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cetavfs01\hqaccounts$\Common\sharedoffice\Inv_Accounting\Q1-2017\תפעול_ותשואות\אסף מגן\אקסלים אסף\כללי\ביקורת הלוואות נכס בודד\תיקייה לאסף בהיר\סיבוב\סיבוב 2 מונגש\גמל\Q22023\"/>
    </mc:Choice>
  </mc:AlternateContent>
  <xr:revisionPtr revIDLastSave="0" documentId="13_ncr:1_{D905FB1C-E7F0-43B1-BFC0-FB41C931AF95}" xr6:coauthVersionLast="47" xr6:coauthVersionMax="47" xr10:uidLastSave="{00000000-0000-0000-0000-000000000000}"/>
  <bookViews>
    <workbookView xWindow="-108" yWindow="-108" windowWidth="23256" windowHeight="12456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0" hidden="1">'סכום נכסי הקרן'!#REF!</definedName>
    <definedName name="TM1REBUILDOPTION">1</definedName>
    <definedName name="_xlnm.Print_Area" localSheetId="4">'אג"ח קונצרני'!$A$5:$T$403</definedName>
    <definedName name="_xlnm.Print_Area" localSheetId="9">אופציות!$A$5:$K$21</definedName>
    <definedName name="_xlnm.Print_Area" localSheetId="21">הלוואות!$A$5:$Q$148</definedName>
    <definedName name="_xlnm.Print_Area" localSheetId="25">'השקעות אחרות'!$A$5:$J$19</definedName>
    <definedName name="_xlnm.Print_Area" localSheetId="23">'זכויות מקרקעין'!$A$5:$H$15</definedName>
    <definedName name="_xlnm.Print_Area" localSheetId="10">'חוזים עתידיים'!$A$5:$G$12</definedName>
    <definedName name="_xlnm.Print_Area" localSheetId="26">'יתרת התחייבות להשקעה'!$A$1:$B$47</definedName>
    <definedName name="_xlnm.Print_Area" localSheetId="8">'כתבי אופציה'!$A$5:$K$16</definedName>
    <definedName name="_xlnm.Print_Area" localSheetId="12">'לא סחיר- תעודות התחייבות ממשלתי'!$A$5:$O$19</definedName>
    <definedName name="_xlnm.Print_Area" localSheetId="14">'לא סחיר - אג"ח קונצרני'!$A$5:$R$38</definedName>
    <definedName name="_xlnm.Print_Area" localSheetId="18">'לא סחיר - אופציות'!$A$5:$K$22</definedName>
    <definedName name="_xlnm.Print_Area" localSheetId="19">'לא סחיר - חוזים עתידיים'!$A$5:$J$98</definedName>
    <definedName name="_xlnm.Print_Area" localSheetId="17">'לא סחיר - כתבי אופציה'!$A$5:$K$12</definedName>
    <definedName name="_xlnm.Print_Area" localSheetId="20">'לא סחיר - מוצרים מובנים'!$A$5:$P$26</definedName>
    <definedName name="_xlnm.Print_Area" localSheetId="15">'לא סחיר - מניות'!$A$5:$L$14</definedName>
    <definedName name="_xlnm.Print_Area" localSheetId="16">'לא סחיר - קרנות השקעה'!$A$5:$J$44</definedName>
    <definedName name="_xlnm.Print_Area" localSheetId="13">'לא סחיר - תעודות חוב מסחריות'!$A$5:$R$18</definedName>
    <definedName name="_xlnm.Print_Area" localSheetId="11">'מוצרים מובנים'!$A$5:$P$26</definedName>
    <definedName name="_xlnm.Print_Area" localSheetId="1">מזומנים!$A$5:$K$128</definedName>
    <definedName name="_xlnm.Print_Area" localSheetId="5">מניות!$A$5:$N$21</definedName>
    <definedName name="_xlnm.Print_Area" localSheetId="0">'סכום נכסי הקרן'!$A$5:$C$54</definedName>
    <definedName name="_xlnm.Print_Area" localSheetId="22">'פקדונות מעל 3 חודשים'!$A$5:$N$17</definedName>
    <definedName name="_xlnm.Print_Area" localSheetId="7">'קרנות נאמנות'!$A$5:$N$36</definedName>
    <definedName name="_xlnm.Print_Area" localSheetId="6">'קרנות סל'!$A$5:$M$43</definedName>
    <definedName name="_xlnm.Print_Area" localSheetId="2">'תעודות התחייבות ממשלתיות'!$A$5:$Q$53</definedName>
    <definedName name="_xlnm.Print_Area" localSheetId="3">'תעודות חוב מסחריות'!$A$5:$T$17</definedName>
    <definedName name="_xlnm.Print_Titles" localSheetId="1">מזומנים!$8:$8</definedName>
  </definedNames>
  <calcPr calcId="191029" calcMode="manual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3" i="16" l="1"/>
</calcChain>
</file>

<file path=xl/sharedStrings.xml><?xml version="1.0" encoding="utf-8"?>
<sst xmlns="http://schemas.openxmlformats.org/spreadsheetml/2006/main" count="12443" uniqueCount="3011">
  <si>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</si>
  <si>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</si>
  <si>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</si>
  <si>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</si>
  <si>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</si>
  <si>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</si>
  <si>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</si>
  <si>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</si>
  <si>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</si>
  <si>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</si>
  <si>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</si>
  <si>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</si>
  <si>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</si>
  <si>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</si>
  <si>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</si>
  <si>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</si>
  <si>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</si>
  <si>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</si>
  <si>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</si>
  <si>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</si>
  <si>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</si>
  <si>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</si>
  <si>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</si>
  <si>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</si>
  <si>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</si>
  <si>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</si>
  <si>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</si>
  <si>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</si>
  <si>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</si>
  <si>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</si>
  <si>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</si>
  <si>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</si>
  <si>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</si>
  <si>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</si>
  <si>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</si>
  <si>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</si>
  <si>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</si>
  <si>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</si>
  <si>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</si>
  <si>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</si>
  <si>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</si>
  <si>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</si>
  <si>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</si>
  <si>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</si>
  <si>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</si>
  <si>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</si>
  <si>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</si>
  <si>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</si>
  <si>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</si>
  <si>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</si>
  <si>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</si>
  <si>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</si>
  <si>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</si>
  <si>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</si>
  <si>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</si>
  <si>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</si>
  <si>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</si>
  <si>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</si>
  <si>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</si>
  <si>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</si>
  <si>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</si>
  <si>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</si>
  <si>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</si>
  <si>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</si>
  <si>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</si>
  <si>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</si>
  <si>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</si>
  <si>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</si>
  <si>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</si>
  <si>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</si>
  <si>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</si>
  <si>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</si>
  <si>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</si>
  <si>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</si>
  <si>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</si>
  <si>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</si>
  <si>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</si>
  <si>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</si>
  <si>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</si>
  <si>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</si>
  <si>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</si>
  <si>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</si>
  <si>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</si>
  <si>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</si>
  <si>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</si>
  <si>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</si>
  <si>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</si>
  <si>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</si>
  <si>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</si>
  <si>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</si>
  <si>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</si>
  <si>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</si>
  <si>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</si>
  <si>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</si>
  <si>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</si>
  <si>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</si>
  <si>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</si>
  <si>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</si>
  <si>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</si>
  <si>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</si>
  <si>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</si>
  <si>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</si>
  <si>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</si>
  <si>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</si>
  <si>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</si>
  <si>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</si>
  <si>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</si>
  <si>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</si>
  <si>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</si>
  <si>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</si>
  <si>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</si>
  <si>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</si>
  <si>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</si>
  <si>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</si>
  <si>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</si>
  <si>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</si>
  <si>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</si>
  <si>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</si>
  <si>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</si>
  <si>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</si>
  <si>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</si>
  <si>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</si>
  <si>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</si>
  <si>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</si>
  <si>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</si>
  <si>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</si>
  <si>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</si>
  <si>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</si>
  <si>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</si>
  <si>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</si>
  <si>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</si>
  <si>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</si>
  <si>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</si>
  <si>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</si>
  <si>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</si>
  <si>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</si>
  <si>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</si>
  <si>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</si>
  <si>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</si>
  <si>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</si>
  <si>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</si>
  <si>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</si>
  <si>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</si>
  <si>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</si>
  <si>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</si>
  <si>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</si>
  <si>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</si>
  <si>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</si>
  <si>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</si>
  <si>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</si>
  <si>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</si>
  <si>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</si>
  <si>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</si>
  <si>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</si>
  <si>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</si>
  <si>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</si>
  <si>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</si>
  <si>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</si>
  <si>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</si>
  <si>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</si>
  <si>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</si>
  <si>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</si>
  <si>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</si>
  <si>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ריאל ברזילאי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</si>
  <si>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</si>
  <si>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</si>
  <si>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</si>
  <si>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</si>
  <si>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</si>
  <si>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</si>
  <si>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</si>
  <si>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</si>
  <si>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</si>
  <si>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</si>
  <si>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</si>
  <si>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</si>
  <si>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</si>
  <si>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</si>
  <si>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</si>
  <si>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</si>
  <si>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</si>
  <si>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</si>
  <si>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</si>
  <si>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</si>
  <si>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</si>
  <si>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</si>
  <si>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</si>
  <si>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</si>
  <si>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</si>
  <si>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</si>
  <si>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</si>
  <si>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</si>
  <si>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</si>
  <si>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</si>
  <si>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</si>
  <si>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</si>
  <si>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</si>
  <si>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</si>
  <si>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</si>
  <si>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</si>
  <si>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</si>
  <si>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</si>
  <si>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</si>
  <si>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</si>
  <si>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</si>
  <si>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</si>
  <si>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</si>
  <si>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</si>
  <si>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</si>
  <si>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</si>
  <si>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</si>
  <si>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</si>
  <si>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</si>
  <si>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</si>
  <si>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</si>
  <si>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</si>
  <si>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</si>
  <si>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</si>
  <si>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</si>
  <si>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</si>
  <si>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</si>
  <si>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</si>
  <si>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</si>
  <si>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נדל"ן מניב בישראל</t>
  </si>
  <si>
    <t>נדל"ן מניב בחו"ל</t>
  </si>
  <si>
    <t>אנרגיה</t>
  </si>
  <si>
    <t>בנייה</t>
  </si>
  <si>
    <t>פארמה</t>
  </si>
  <si>
    <t>השקעה ואחזקות</t>
  </si>
  <si>
    <t>רשתות שווק</t>
  </si>
  <si>
    <t>פודטק</t>
  </si>
  <si>
    <t>אנרגיה מתחדשת</t>
  </si>
  <si>
    <t>קנאביס</t>
  </si>
  <si>
    <t>רובוטיקה ותלת מימד</t>
  </si>
  <si>
    <t>אשראי חוץ בנקאי</t>
  </si>
  <si>
    <t>רשתות שיווק</t>
  </si>
  <si>
    <t>פרנק שווצרי</t>
  </si>
  <si>
    <t>תאריך הדיווח</t>
  </si>
  <si>
    <t>החברה המדווחת</t>
  </si>
  <si>
    <t>שם מסלול/קרן/קופה</t>
  </si>
  <si>
    <t>כלל תמר אגח דגש איתן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</si>
  <si>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</si>
  <si>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</si>
  <si>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</si>
  <si>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</si>
  <si>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</si>
  <si>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</si>
  <si>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30/06/2023</t>
  </si>
  <si>
    <t>2023</t>
  </si>
  <si>
    <t>117</t>
  </si>
  <si>
    <t xml:space="preserve">סה"כ בישראל: </t>
  </si>
  <si>
    <t/>
  </si>
  <si>
    <t xml:space="preserve">יתרות מזומנים ועו"ש בש"ח </t>
  </si>
  <si>
    <t>30005160</t>
  </si>
  <si>
    <t>11</t>
  </si>
  <si>
    <t>ilAAA</t>
  </si>
  <si>
    <t>S&amp;P מעלות</t>
  </si>
  <si>
    <t>שקל חדש</t>
  </si>
  <si>
    <t>30020900</t>
  </si>
  <si>
    <t>12</t>
  </si>
  <si>
    <t>30023680</t>
  </si>
  <si>
    <t>10</t>
  </si>
  <si>
    <t>29602998</t>
  </si>
  <si>
    <t>27501573</t>
  </si>
  <si>
    <t>22</t>
  </si>
  <si>
    <t>A3</t>
  </si>
  <si>
    <t>Moodys</t>
  </si>
  <si>
    <t>30043130</t>
  </si>
  <si>
    <t>30056620</t>
  </si>
  <si>
    <t>26</t>
  </si>
  <si>
    <t>קרן לעסקים קטנים - מזומן בנק הפועלים בע"מ</t>
  </si>
  <si>
    <t>999999433</t>
  </si>
  <si>
    <t>30089270</t>
  </si>
  <si>
    <t>30091530</t>
  </si>
  <si>
    <t>30096090</t>
  </si>
  <si>
    <t>30098270</t>
  </si>
  <si>
    <t>30098590</t>
  </si>
  <si>
    <t>30098610</t>
  </si>
  <si>
    <t>30098630</t>
  </si>
  <si>
    <t>30098950</t>
  </si>
  <si>
    <t>27295736</t>
  </si>
  <si>
    <t>27295737</t>
  </si>
  <si>
    <t>27295738</t>
  </si>
  <si>
    <t>27295748</t>
  </si>
  <si>
    <t>27387007</t>
  </si>
  <si>
    <t>27854250</t>
  </si>
  <si>
    <t>30022650</t>
  </si>
  <si>
    <t>30023370</t>
  </si>
  <si>
    <t>שקל - נייר הפרשים - עדכון ידני בנק הפועלים בע"מ</t>
  </si>
  <si>
    <t>27457978</t>
  </si>
  <si>
    <t>30030400</t>
  </si>
  <si>
    <t>20</t>
  </si>
  <si>
    <t>30030430</t>
  </si>
  <si>
    <t>30035470</t>
  </si>
  <si>
    <t>30038310</t>
  </si>
  <si>
    <t>30035240</t>
  </si>
  <si>
    <t>30046610</t>
  </si>
  <si>
    <t>30046670</t>
  </si>
  <si>
    <t>30046700</t>
  </si>
  <si>
    <t>30044180</t>
  </si>
  <si>
    <t>30057380</t>
  </si>
  <si>
    <t>2316330</t>
  </si>
  <si>
    <t>30057520</t>
  </si>
  <si>
    <t>30057560</t>
  </si>
  <si>
    <t>30057840</t>
  </si>
  <si>
    <t>30057521</t>
  </si>
  <si>
    <t>30057561</t>
  </si>
  <si>
    <t xml:space="preserve">יתרות מזומנים ועו"ש נקובים במט"ח </t>
  </si>
  <si>
    <t>30005200</t>
  </si>
  <si>
    <t>30020920</t>
  </si>
  <si>
    <t>30023700</t>
  </si>
  <si>
    <t>26501573</t>
  </si>
  <si>
    <t>30043140</t>
  </si>
  <si>
    <t>30056720</t>
  </si>
  <si>
    <t>28376994</t>
  </si>
  <si>
    <t>30098990</t>
  </si>
  <si>
    <t>30023720</t>
  </si>
  <si>
    <t>26401417</t>
  </si>
  <si>
    <t>30043150</t>
  </si>
  <si>
    <t>24296162</t>
  </si>
  <si>
    <t>30096110</t>
  </si>
  <si>
    <t>30098290</t>
  </si>
  <si>
    <t>30098650</t>
  </si>
  <si>
    <t>30098970</t>
  </si>
  <si>
    <t>30029450</t>
  </si>
  <si>
    <t>29295743</t>
  </si>
  <si>
    <t>29295748</t>
  </si>
  <si>
    <t>30028630</t>
  </si>
  <si>
    <t>30006670</t>
  </si>
  <si>
    <t>30022670</t>
  </si>
  <si>
    <t>30023390</t>
  </si>
  <si>
    <t>30030440</t>
  </si>
  <si>
    <t>29449398</t>
  </si>
  <si>
    <t>448421844</t>
  </si>
  <si>
    <t>28295738</t>
  </si>
  <si>
    <t>26295737</t>
  </si>
  <si>
    <t>265016330</t>
  </si>
  <si>
    <t>30044190</t>
  </si>
  <si>
    <t>30046620</t>
  </si>
  <si>
    <t>30046680</t>
  </si>
  <si>
    <t>265016350</t>
  </si>
  <si>
    <t>26854250</t>
  </si>
  <si>
    <t>30057540</t>
  </si>
  <si>
    <t>30057580</t>
  </si>
  <si>
    <t>275016110</t>
  </si>
  <si>
    <t>27549856</t>
  </si>
  <si>
    <t>30057541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</si>
  <si>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</si>
  <si>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</si>
  <si>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</si>
  <si>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</si>
  <si>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לאומי - HO בנק לאומי לישראל בע"מ</t>
  </si>
  <si>
    <t>68030200</t>
  </si>
  <si>
    <t>פק' סל נזילות יו בנק - HO הבנק הבינלאומי הראשון לישראל בע"מ</t>
  </si>
  <si>
    <t>68030340</t>
  </si>
  <si>
    <t>31</t>
  </si>
  <si>
    <t>פק' סל נזילות דיסקונט - HO בנק דיסקונט לישראל בע"מ</t>
  </si>
  <si>
    <t>68030360</t>
  </si>
  <si>
    <t>פק' סל נזילות מרכנתיל - HO בנק מרכנתיל דיסקונט בע"מ</t>
  </si>
  <si>
    <t>68030380</t>
  </si>
  <si>
    <t>17</t>
  </si>
  <si>
    <t>פק' סל נזילות מזרחי - HO בנק מזרחי טפחות בע"מ</t>
  </si>
  <si>
    <t>68030370</t>
  </si>
  <si>
    <t>פיקדון סל אגח ממשלתי מזרחי בנק מזרחי טפחות בע"מ</t>
  </si>
  <si>
    <t>67035240</t>
  </si>
  <si>
    <t>פיקדון סל אגח ממשלתי לאומי בנק לאומי לישראל בע"מ</t>
  </si>
  <si>
    <t>67098610</t>
  </si>
  <si>
    <t>67035470</t>
  </si>
  <si>
    <t xml:space="preserve">פקדונות במט"ח עד שלושה חודשים </t>
  </si>
  <si>
    <t>30021020</t>
  </si>
  <si>
    <t>30023470</t>
  </si>
  <si>
    <t>30023630</t>
  </si>
  <si>
    <t>30026790</t>
  </si>
  <si>
    <t>30057600</t>
  </si>
  <si>
    <t>30057620</t>
  </si>
  <si>
    <t xml:space="preserve">סה"כ בחו"ל: </t>
  </si>
  <si>
    <t>30096290</t>
  </si>
  <si>
    <t>88</t>
  </si>
  <si>
    <t>A1</t>
  </si>
  <si>
    <t>30028660</t>
  </si>
  <si>
    <t>30096270</t>
  </si>
  <si>
    <t>29857050</t>
  </si>
  <si>
    <t>30180999</t>
  </si>
  <si>
    <t>261861961</t>
  </si>
  <si>
    <t>99</t>
  </si>
  <si>
    <t>A2</t>
  </si>
  <si>
    <t>28114070</t>
  </si>
  <si>
    <t>98</t>
  </si>
  <si>
    <t>AA</t>
  </si>
  <si>
    <t>S&amp;P</t>
  </si>
  <si>
    <t>30040760</t>
  </si>
  <si>
    <t>30045750</t>
  </si>
  <si>
    <t>30048040</t>
  </si>
  <si>
    <t>30048170</t>
  </si>
  <si>
    <t>26114070</t>
  </si>
  <si>
    <t>30061900</t>
  </si>
  <si>
    <t>30099530</t>
  </si>
  <si>
    <t>סה"כ צמודות למדד</t>
  </si>
  <si>
    <t>גליל 5904</t>
  </si>
  <si>
    <t>9590431</t>
  </si>
  <si>
    <t>TASE</t>
  </si>
  <si>
    <t>RF</t>
  </si>
  <si>
    <t>27/09/2004</t>
  </si>
  <si>
    <t>ממצ"מ 0841</t>
  </si>
  <si>
    <t>1120583</t>
  </si>
  <si>
    <t>28/09/2010</t>
  </si>
  <si>
    <t>ממצ"מ 0923</t>
  </si>
  <si>
    <t>1128081</t>
  </si>
  <si>
    <t>05/05/2013</t>
  </si>
  <si>
    <t>ממצ"מ 1025</t>
  </si>
  <si>
    <t>1135912</t>
  </si>
  <si>
    <t>20/08/2015</t>
  </si>
  <si>
    <t>ממצ"מ 0527</t>
  </si>
  <si>
    <t>1140847</t>
  </si>
  <si>
    <t>23/05/2017</t>
  </si>
  <si>
    <t>ממצמ 0529</t>
  </si>
  <si>
    <t>1157023</t>
  </si>
  <si>
    <t>21/05/2019</t>
  </si>
  <si>
    <t>ממצמ 1151</t>
  </si>
  <si>
    <t>1168301</t>
  </si>
  <si>
    <t>07/09/2020</t>
  </si>
  <si>
    <t>ממצמ 0726</t>
  </si>
  <si>
    <t>1169564</t>
  </si>
  <si>
    <t>25/01/2021</t>
  </si>
  <si>
    <t>ממצמ 1131</t>
  </si>
  <si>
    <t>1172220</t>
  </si>
  <si>
    <t>09/03/2021</t>
  </si>
  <si>
    <t>ממצמ 1025 ריפו 27/03/2024</t>
  </si>
  <si>
    <t>999999111</t>
  </si>
  <si>
    <t>01/11/2022</t>
  </si>
  <si>
    <t>ממצמ 1025 ריפו 23/05/2024</t>
  </si>
  <si>
    <t>999999132</t>
  </si>
  <si>
    <t>24/05/2023</t>
  </si>
  <si>
    <t>מלווה קצר מועד (מק"מ)</t>
  </si>
  <si>
    <t>מקמ 1213</t>
  </si>
  <si>
    <t>8231219</t>
  </si>
  <si>
    <t>06/12/2022</t>
  </si>
  <si>
    <t>מקמ 114</t>
  </si>
  <si>
    <t>8240111</t>
  </si>
  <si>
    <t>03/01/2023</t>
  </si>
  <si>
    <t>מקמ 214</t>
  </si>
  <si>
    <t>8240210</t>
  </si>
  <si>
    <t>09/02/2023</t>
  </si>
  <si>
    <t>מקמ 314</t>
  </si>
  <si>
    <t>8240319</t>
  </si>
  <si>
    <t>01/03/2023</t>
  </si>
  <si>
    <t>מקמ 414</t>
  </si>
  <si>
    <t>8240418</t>
  </si>
  <si>
    <t>04/04/2023</t>
  </si>
  <si>
    <t>מקמ 524</t>
  </si>
  <si>
    <t>8240525</t>
  </si>
  <si>
    <t>07/05/2023</t>
  </si>
  <si>
    <t>שחר</t>
  </si>
  <si>
    <t>ממשק 142</t>
  </si>
  <si>
    <t>1125400</t>
  </si>
  <si>
    <t>13/06/2012</t>
  </si>
  <si>
    <t>ממשק 0347</t>
  </si>
  <si>
    <t>1140193</t>
  </si>
  <si>
    <t>18/07/2017</t>
  </si>
  <si>
    <t>ממשק 0537</t>
  </si>
  <si>
    <t>1166180</t>
  </si>
  <si>
    <t>27/05/2020</t>
  </si>
  <si>
    <t>ממשק 0432</t>
  </si>
  <si>
    <t>1180660</t>
  </si>
  <si>
    <t>25/11/2021</t>
  </si>
  <si>
    <t>ממשק 1152</t>
  </si>
  <si>
    <t>1184076</t>
  </si>
  <si>
    <t>31/03/2022</t>
  </si>
  <si>
    <t>ממשל משתנה 0526 ריפו 11/07/2023</t>
  </si>
  <si>
    <t>999999129</t>
  </si>
  <si>
    <t>13/04/2023</t>
  </si>
  <si>
    <t>ממשל משתנה 0526 ריפו 18/07/2023</t>
  </si>
  <si>
    <t>999999130</t>
  </si>
  <si>
    <t>20/04/2023</t>
  </si>
  <si>
    <t>ממשל משתנה 0526 ריפו 23/05/2024</t>
  </si>
  <si>
    <t>999999131</t>
  </si>
  <si>
    <t>23/05/2023</t>
  </si>
  <si>
    <t>ממשל משתנה 1130 ריפו 12/12/2023</t>
  </si>
  <si>
    <t>999999133</t>
  </si>
  <si>
    <t>12/06/2023</t>
  </si>
  <si>
    <t>גילון</t>
  </si>
  <si>
    <t>ממשמ 0526</t>
  </si>
  <si>
    <t>1141795</t>
  </si>
  <si>
    <t>15/10/2019</t>
  </si>
  <si>
    <t>ממשל משתנה 1130</t>
  </si>
  <si>
    <t>1166552</t>
  </si>
  <si>
    <t>22/09/2020</t>
  </si>
  <si>
    <t>סה"כ צמודות לדולר</t>
  </si>
  <si>
    <t>סה"כ בחו"ל:</t>
  </si>
  <si>
    <t>אג"ח של ממשלת ישראל שהונפקו בחו"ל:</t>
  </si>
  <si>
    <t>ISRAEL 4.125 01/17/48</t>
  </si>
  <si>
    <t>US46513YJJ82</t>
  </si>
  <si>
    <t>10/01/2018</t>
  </si>
  <si>
    <t>ISRAEL 1.5 01/16/29</t>
  </si>
  <si>
    <t>XS1936100483</t>
  </si>
  <si>
    <t>09/01/2019</t>
  </si>
  <si>
    <t>סה"כ אג"ח שהנפיקו ממשלות זרות בחו"ל</t>
  </si>
  <si>
    <t>T 2.875 05/15/32</t>
  </si>
  <si>
    <t>US91282CEP23</t>
  </si>
  <si>
    <t>NR</t>
  </si>
  <si>
    <t>25/11/2022</t>
  </si>
  <si>
    <t>T 4.125 11/15/32</t>
  </si>
  <si>
    <t>US91282CFV81</t>
  </si>
  <si>
    <t>09/03/2023</t>
  </si>
  <si>
    <t>MBONO 7.5 06/03/27</t>
  </si>
  <si>
    <t>MX0MGO0000D8</t>
  </si>
  <si>
    <t>Baa2</t>
  </si>
  <si>
    <t>13/12/2018</t>
  </si>
  <si>
    <t>סה"כ צמודות למט"ח</t>
  </si>
  <si>
    <t>סה"כ בחו"ל</t>
  </si>
  <si>
    <t>6390207</t>
  </si>
  <si>
    <t>520023896</t>
  </si>
  <si>
    <t>ilBBB</t>
  </si>
  <si>
    <t>27/05/2007</t>
  </si>
  <si>
    <t>6990154</t>
  </si>
  <si>
    <t>520025438</t>
  </si>
  <si>
    <t>ilA</t>
  </si>
  <si>
    <t>גב ים אגח ו</t>
  </si>
  <si>
    <t>7590128</t>
  </si>
  <si>
    <t>520001736</t>
  </si>
  <si>
    <t>Aa2.il</t>
  </si>
  <si>
    <t>מידרוג</t>
  </si>
  <si>
    <t>28/05/2007</t>
  </si>
  <si>
    <t>1105535</t>
  </si>
  <si>
    <t>1239114</t>
  </si>
  <si>
    <t>06/06/2007</t>
  </si>
  <si>
    <t>1110915</t>
  </si>
  <si>
    <t>520043605</t>
  </si>
  <si>
    <t>ilAA-</t>
  </si>
  <si>
    <t>27/12/2006</t>
  </si>
  <si>
    <t>קרדן אן וי אגח ב</t>
  </si>
  <si>
    <t>1113034</t>
  </si>
  <si>
    <t>16/12/2008</t>
  </si>
  <si>
    <t>פועלים הנפקות אגח 32</t>
  </si>
  <si>
    <t>1940535</t>
  </si>
  <si>
    <t>520032640</t>
  </si>
  <si>
    <t>Aaa.il</t>
  </si>
  <si>
    <t>08/08/2011</t>
  </si>
  <si>
    <t>שיכון ובינוי אגח 6</t>
  </si>
  <si>
    <t>1129733</t>
  </si>
  <si>
    <t>520036104</t>
  </si>
  <si>
    <t>08/09/2013</t>
  </si>
  <si>
    <t>שופרסל אגח ד</t>
  </si>
  <si>
    <t>7770191</t>
  </si>
  <si>
    <t>520022732</t>
  </si>
  <si>
    <t>ilAA</t>
  </si>
  <si>
    <t>07/10/2013</t>
  </si>
  <si>
    <t>ריט 1 אגח ד</t>
  </si>
  <si>
    <t>1129899</t>
  </si>
  <si>
    <t>513821488</t>
  </si>
  <si>
    <t>06/03/2014</t>
  </si>
  <si>
    <t>אשטרום קבוצה אגח א</t>
  </si>
  <si>
    <t>1132323</t>
  </si>
  <si>
    <t>510381601</t>
  </si>
  <si>
    <t>08/07/2014</t>
  </si>
  <si>
    <t>אמות אגח ד</t>
  </si>
  <si>
    <t>1133149</t>
  </si>
  <si>
    <t>520026683</t>
  </si>
  <si>
    <t>30/07/2014</t>
  </si>
  <si>
    <t>ארפורט אגח ה</t>
  </si>
  <si>
    <t>1133487</t>
  </si>
  <si>
    <t>511659401</t>
  </si>
  <si>
    <t>17/09/2014</t>
  </si>
  <si>
    <t>גי סיטי בעמ אגח יב</t>
  </si>
  <si>
    <t>1260603</t>
  </si>
  <si>
    <t>520033234</t>
  </si>
  <si>
    <t>A3.il</t>
  </si>
  <si>
    <t>29/10/2013</t>
  </si>
  <si>
    <t>מליסרון אגח י</t>
  </si>
  <si>
    <t>3230190</t>
  </si>
  <si>
    <t>520037789</t>
  </si>
  <si>
    <t>31/03/2015</t>
  </si>
  <si>
    <t>פניקס הון אגח ה</t>
  </si>
  <si>
    <t>1135417</t>
  </si>
  <si>
    <t>514290345</t>
  </si>
  <si>
    <t>27/04/2015</t>
  </si>
  <si>
    <t>שיכון ובינוי אגח 8</t>
  </si>
  <si>
    <t>1135888</t>
  </si>
  <si>
    <t>25/06/2015</t>
  </si>
  <si>
    <t>עזריאלי אגח ב</t>
  </si>
  <si>
    <t>1134436</t>
  </si>
  <si>
    <t>510960719</t>
  </si>
  <si>
    <t>ilAA+</t>
  </si>
  <si>
    <t>30/07/2008</t>
  </si>
  <si>
    <t>ביג אגח ז</t>
  </si>
  <si>
    <t>1136084</t>
  </si>
  <si>
    <t>513623314</t>
  </si>
  <si>
    <t>24/09/2015</t>
  </si>
  <si>
    <t>בזק אגח 10</t>
  </si>
  <si>
    <t>2300184</t>
  </si>
  <si>
    <t>520031931</t>
  </si>
  <si>
    <t>Aa3.il</t>
  </si>
  <si>
    <t>15/10/2015</t>
  </si>
  <si>
    <t>ריט 1 אגח ה</t>
  </si>
  <si>
    <t>1136753</t>
  </si>
  <si>
    <t>01/11/2015</t>
  </si>
  <si>
    <t>חשמל אגח 27</t>
  </si>
  <si>
    <t>6000210</t>
  </si>
  <si>
    <t>520000472</t>
  </si>
  <si>
    <t>Aa1.il</t>
  </si>
  <si>
    <t>23/02/2016</t>
  </si>
  <si>
    <t>סלע נדלן אגח ב</t>
  </si>
  <si>
    <t>1132927</t>
  </si>
  <si>
    <t>513992529</t>
  </si>
  <si>
    <t>13/08/2019</t>
  </si>
  <si>
    <t>שופרסל אגח ו</t>
  </si>
  <si>
    <t>7770217</t>
  </si>
  <si>
    <t>08/02/2018</t>
  </si>
  <si>
    <t>מליסרון אגח יד</t>
  </si>
  <si>
    <t>3230232</t>
  </si>
  <si>
    <t>01/05/2016</t>
  </si>
  <si>
    <t>ריט 1 אגח ו</t>
  </si>
  <si>
    <t>1138544</t>
  </si>
  <si>
    <t>13/06/2016</t>
  </si>
  <si>
    <t>עזריאלי אגח ד</t>
  </si>
  <si>
    <t>1138650</t>
  </si>
  <si>
    <t>07/07/2016</t>
  </si>
  <si>
    <t>ביג אגח ח</t>
  </si>
  <si>
    <t>1138924</t>
  </si>
  <si>
    <t>07/08/2016</t>
  </si>
  <si>
    <t>פז נפט אגח ו</t>
  </si>
  <si>
    <t>1139542</t>
  </si>
  <si>
    <t>510216054</t>
  </si>
  <si>
    <t>ilA+</t>
  </si>
  <si>
    <t>05/12/2016</t>
  </si>
  <si>
    <t>מגה אור אגח ו</t>
  </si>
  <si>
    <t>1138668</t>
  </si>
  <si>
    <t>513257873</t>
  </si>
  <si>
    <t>18/12/2016</t>
  </si>
  <si>
    <t>מבני תעשיה אגח יז</t>
  </si>
  <si>
    <t>2260446</t>
  </si>
  <si>
    <t>520024126</t>
  </si>
  <si>
    <t>13/07/2014</t>
  </si>
  <si>
    <t>חשמל אגח 29</t>
  </si>
  <si>
    <t>6000236</t>
  </si>
  <si>
    <t>28/03/2017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</si>
  <si>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</si>
  <si>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</si>
  <si>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</si>
  <si>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</si>
  <si>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</si>
  <si>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</si>
  <si>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</si>
  <si>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</si>
  <si>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</si>
  <si>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21/03/2007</t>
  </si>
  <si>
    <t>ביג אגח ט</t>
  </si>
  <si>
    <t>1141050</t>
  </si>
  <si>
    <t>12/06/2017</t>
  </si>
  <si>
    <t>שלמה החזקות אגח יח</t>
  </si>
  <si>
    <t>1410307</t>
  </si>
  <si>
    <t>520034372</t>
  </si>
  <si>
    <t>מבני תעשיה אגח כ</t>
  </si>
  <si>
    <t>2260495</t>
  </si>
  <si>
    <t>31/07/2017</t>
  </si>
  <si>
    <t>מגה אור אגח ז</t>
  </si>
  <si>
    <t>1141696</t>
  </si>
  <si>
    <t>21/08/2017</t>
  </si>
  <si>
    <t>מזרחי טפחות הנפקות 46</t>
  </si>
  <si>
    <t>2310225</t>
  </si>
  <si>
    <t>520032046</t>
  </si>
  <si>
    <t>28/09/2017</t>
  </si>
  <si>
    <t>הכשרת ישוב אגח 21</t>
  </si>
  <si>
    <t>6120224</t>
  </si>
  <si>
    <t>520020116</t>
  </si>
  <si>
    <t>05/12/2017</t>
  </si>
  <si>
    <t>גירון אגח ז</t>
  </si>
  <si>
    <t>1142629</t>
  </si>
  <si>
    <t>520044520</t>
  </si>
  <si>
    <t>A1.il</t>
  </si>
  <si>
    <t>19/12/2017</t>
  </si>
  <si>
    <t>רבוע נדלן אגח ו</t>
  </si>
  <si>
    <t>1140607</t>
  </si>
  <si>
    <t>513765859</t>
  </si>
  <si>
    <t>11/01/2018</t>
  </si>
  <si>
    <t>פז נפט אגח ז</t>
  </si>
  <si>
    <t>1142595</t>
  </si>
  <si>
    <t>25/01/2018</t>
  </si>
  <si>
    <t>אדגר אגח י</t>
  </si>
  <si>
    <t>1820208</t>
  </si>
  <si>
    <t>520035171</t>
  </si>
  <si>
    <t>A2.il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</si>
  <si>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</si>
  <si>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</si>
  <si>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</si>
  <si>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</si>
  <si>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</si>
  <si>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</si>
  <si>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</si>
  <si>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</si>
  <si>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</si>
  <si>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</si>
  <si>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</si>
  <si>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</si>
  <si>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</si>
  <si>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1147503</t>
  </si>
  <si>
    <t>513436394</t>
  </si>
  <si>
    <t>07/06/2018</t>
  </si>
  <si>
    <t>ביג אגח יא</t>
  </si>
  <si>
    <t>1151117</t>
  </si>
  <si>
    <t>29/07/2018</t>
  </si>
  <si>
    <t>גי סיטי בעמ אגח יג</t>
  </si>
  <si>
    <t>1260652</t>
  </si>
  <si>
    <t>02/09/2018</t>
  </si>
  <si>
    <t>אשטרום נכסים אגח 11</t>
  </si>
  <si>
    <t>2510238</t>
  </si>
  <si>
    <t>520036617</t>
  </si>
  <si>
    <t>05/09/2018</t>
  </si>
  <si>
    <t>רבוע נדלן אגח ז</t>
  </si>
  <si>
    <t>1140615</t>
  </si>
  <si>
    <t>16/10/2018</t>
  </si>
  <si>
    <t>אלדן תחבורה אגח ה</t>
  </si>
  <si>
    <t>1155357</t>
  </si>
  <si>
    <t>510454333</t>
  </si>
  <si>
    <t>17/10/2018</t>
  </si>
  <si>
    <t>חשמל אגח 31</t>
  </si>
  <si>
    <t>6000285</t>
  </si>
  <si>
    <t>13/11/2018</t>
  </si>
  <si>
    <t>מניבים ריט אגח ב</t>
  </si>
  <si>
    <t>1155928</t>
  </si>
  <si>
    <t>515327120</t>
  </si>
  <si>
    <t>29/11/2018</t>
  </si>
  <si>
    <t>פועלים הנפקות אגח 36</t>
  </si>
  <si>
    <t>1940659</t>
  </si>
  <si>
    <t>04/12/2018</t>
  </si>
  <si>
    <t>ביג אגח יב</t>
  </si>
  <si>
    <t>1156231</t>
  </si>
  <si>
    <t>20/12/2018</t>
  </si>
  <si>
    <t>עזריאלי אגח ה</t>
  </si>
  <si>
    <t>1156603</t>
  </si>
  <si>
    <t>22/01/2019</t>
  </si>
  <si>
    <t>עזריאלי אגח ו</t>
  </si>
  <si>
    <t>1156611</t>
  </si>
  <si>
    <t>לאומי אגח 179</t>
  </si>
  <si>
    <t>6040372</t>
  </si>
  <si>
    <t>520018078</t>
  </si>
  <si>
    <t>12/02/2019</t>
  </si>
  <si>
    <t>רבוע נדלן אגח ח</t>
  </si>
  <si>
    <t>1157569</t>
  </si>
  <si>
    <t>17/04/2019</t>
  </si>
  <si>
    <t>מזרחי טפחות הנפקות 49</t>
  </si>
  <si>
    <t>2310282</t>
  </si>
  <si>
    <t>23/06/2019</t>
  </si>
  <si>
    <t>מקורות אגח 10</t>
  </si>
  <si>
    <t>1158468</t>
  </si>
  <si>
    <t>520010869</t>
  </si>
  <si>
    <t>15/03/2007</t>
  </si>
  <si>
    <t>מקורות אגח 11</t>
  </si>
  <si>
    <t>1158476</t>
  </si>
  <si>
    <t>25/06/2019</t>
  </si>
  <si>
    <t>אמות אגח ו</t>
  </si>
  <si>
    <t>1158609</t>
  </si>
  <si>
    <t>30/06/2019</t>
  </si>
  <si>
    <t>ביג אגח יג</t>
  </si>
  <si>
    <t>1159516</t>
  </si>
  <si>
    <t>30/07/2019</t>
  </si>
  <si>
    <t>ישרס אגח יח</t>
  </si>
  <si>
    <t>6130280</t>
  </si>
  <si>
    <t>25/09/2019</t>
  </si>
  <si>
    <t>ארפורט אגח ט</t>
  </si>
  <si>
    <t>1160944</t>
  </si>
  <si>
    <t>28/10/2019</t>
  </si>
  <si>
    <t>מבני תעשיה אגח כג</t>
  </si>
  <si>
    <t>2260545</t>
  </si>
  <si>
    <t>06/11/2019</t>
  </si>
  <si>
    <t>מבני תעשיה אגח כד</t>
  </si>
  <si>
    <t>2260552</t>
  </si>
  <si>
    <t>גי סיטי בעמ אגח יד</t>
  </si>
  <si>
    <t>1260736</t>
  </si>
  <si>
    <t>16/01/2020</t>
  </si>
  <si>
    <t>גב ים אגח ט</t>
  </si>
  <si>
    <t>7590219</t>
  </si>
  <si>
    <t>20/02/2020</t>
  </si>
  <si>
    <t>מגה אור אגח ט</t>
  </si>
  <si>
    <t>1165141</t>
  </si>
  <si>
    <t>23/02/2020</t>
  </si>
  <si>
    <t>הפניקס אגח 5</t>
  </si>
  <si>
    <t>7670284</t>
  </si>
  <si>
    <t>520017450</t>
  </si>
  <si>
    <t>מליסרון אגח יח</t>
  </si>
  <si>
    <t>3230372</t>
  </si>
  <si>
    <t>08/03/2020</t>
  </si>
  <si>
    <t>או פי סי אגח ב</t>
  </si>
  <si>
    <t>1166057</t>
  </si>
  <si>
    <t>514401702</t>
  </si>
  <si>
    <t>ilA-</t>
  </si>
  <si>
    <t>26/04/2020</t>
  </si>
  <si>
    <t>בזק אגח 12</t>
  </si>
  <si>
    <t>2300242</t>
  </si>
  <si>
    <t>לאומי אגח 181</t>
  </si>
  <si>
    <t>6040505</t>
  </si>
  <si>
    <t>04/06/2020</t>
  </si>
  <si>
    <t>סלע נדלן אגח ד</t>
  </si>
  <si>
    <t>1167147</t>
  </si>
  <si>
    <t>29/06/2020</t>
  </si>
  <si>
    <t>שיכון ובינוי אגח 9</t>
  </si>
  <si>
    <t>1167386</t>
  </si>
  <si>
    <t>15/07/2020</t>
  </si>
  <si>
    <t>מזרחי טפחות הנפקות 52</t>
  </si>
  <si>
    <t>2310381</t>
  </si>
  <si>
    <t>21/07/2020</t>
  </si>
  <si>
    <t>צור אגח י</t>
  </si>
  <si>
    <t>7300171</t>
  </si>
  <si>
    <t>520025586</t>
  </si>
  <si>
    <t>12/08/2020</t>
  </si>
  <si>
    <t>מליסרון אגח יט</t>
  </si>
  <si>
    <t>3230398</t>
  </si>
  <si>
    <t>18/08/2020</t>
  </si>
  <si>
    <t>אפקון אגח ד</t>
  </si>
  <si>
    <t>5780168</t>
  </si>
  <si>
    <t>520033473</t>
  </si>
  <si>
    <t>מגוריט אגח ב</t>
  </si>
  <si>
    <t>1168350</t>
  </si>
  <si>
    <t>515434074</t>
  </si>
  <si>
    <t>16/04/2007</t>
  </si>
  <si>
    <t>משק אנרגיה אגח א</t>
  </si>
  <si>
    <t>1169531</t>
  </si>
  <si>
    <t>516167343</t>
  </si>
  <si>
    <t>01/11/2020</t>
  </si>
  <si>
    <t>בינלאומי הנפקות אגח יא</t>
  </si>
  <si>
    <t>1167048</t>
  </si>
  <si>
    <t>513141879</t>
  </si>
  <si>
    <t>17/11/2020</t>
  </si>
  <si>
    <t>אדגר אגח יא</t>
  </si>
  <si>
    <t>1820281</t>
  </si>
  <si>
    <t>15/12/2020</t>
  </si>
  <si>
    <t>מימון ישיר אגח ג</t>
  </si>
  <si>
    <t>1171214</t>
  </si>
  <si>
    <t>513893123</t>
  </si>
  <si>
    <t>24/12/2020</t>
  </si>
  <si>
    <t>ירושלים אגח טו</t>
  </si>
  <si>
    <t>1161769</t>
  </si>
  <si>
    <t>513682146</t>
  </si>
  <si>
    <t>22/04/2020</t>
  </si>
  <si>
    <t>ריט 1 אגח ז</t>
  </si>
  <si>
    <t>1171271</t>
  </si>
  <si>
    <t>28/12/2020</t>
  </si>
  <si>
    <t>מרכנטיל הנפקות אגח ג</t>
  </si>
  <si>
    <t>1171297</t>
  </si>
  <si>
    <t>513686154</t>
  </si>
  <si>
    <t>03/01/2021</t>
  </si>
  <si>
    <t>מרכנטיל הנפקות אגח ד</t>
  </si>
  <si>
    <t>1171305</t>
  </si>
  <si>
    <t>ביג אגח טז</t>
  </si>
  <si>
    <t>1168442</t>
  </si>
  <si>
    <t>ביג אגח יז</t>
  </si>
  <si>
    <t>1168459</t>
  </si>
  <si>
    <t>אמות אגח ח</t>
  </si>
  <si>
    <t>1172782</t>
  </si>
  <si>
    <t>18/02/2021</t>
  </si>
  <si>
    <t>ביג אגח יח</t>
  </si>
  <si>
    <t>1174226</t>
  </si>
  <si>
    <t>22/03/2021</t>
  </si>
  <si>
    <t>רבוע נדלן אגח ט</t>
  </si>
  <si>
    <t>1174556</t>
  </si>
  <si>
    <t>29/03/2021</t>
  </si>
  <si>
    <t>ריט אזורים אגח א</t>
  </si>
  <si>
    <t>1175769</t>
  </si>
  <si>
    <t>516117181</t>
  </si>
  <si>
    <t>27/05/2021</t>
  </si>
  <si>
    <t>מזרחי טפחות אגח 57</t>
  </si>
  <si>
    <t>2310423</t>
  </si>
  <si>
    <t>15/06/2021</t>
  </si>
  <si>
    <t>מניבים ריט אגח ג</t>
  </si>
  <si>
    <t>1177658</t>
  </si>
  <si>
    <t>21/06/2021</t>
  </si>
  <si>
    <t>מגה אור אגח י</t>
  </si>
  <si>
    <t>1178367</t>
  </si>
  <si>
    <t>12/07/2021</t>
  </si>
  <si>
    <t>מגה אור אגח יא</t>
  </si>
  <si>
    <t>1178375</t>
  </si>
  <si>
    <t>צור אגח יא</t>
  </si>
  <si>
    <t>7300247</t>
  </si>
  <si>
    <t>19/07/2021</t>
  </si>
  <si>
    <t>עזריאלי  אגח ז</t>
  </si>
  <si>
    <t>1178672</t>
  </si>
  <si>
    <t>21/07/2021</t>
  </si>
  <si>
    <t>עזריאלי אגח ח</t>
  </si>
  <si>
    <t>1178680</t>
  </si>
  <si>
    <t>09/07/2007</t>
  </si>
  <si>
    <t>חשמל אגח 32</t>
  </si>
  <si>
    <t>6000384</t>
  </si>
  <si>
    <t>25/07/2021</t>
  </si>
  <si>
    <t>חשמל אגח 33</t>
  </si>
  <si>
    <t>6000392</t>
  </si>
  <si>
    <t>מליסרון אגח כ</t>
  </si>
  <si>
    <t>3230422</t>
  </si>
  <si>
    <t>17/08/2021</t>
  </si>
  <si>
    <t>אמות אגח ח חסום</t>
  </si>
  <si>
    <t>11727820</t>
  </si>
  <si>
    <t>21/10/2021</t>
  </si>
  <si>
    <t>מזרחי אגח 62</t>
  </si>
  <si>
    <t>2310498</t>
  </si>
  <si>
    <t>מבנה אגח כה</t>
  </si>
  <si>
    <t>2260636</t>
  </si>
  <si>
    <t>01/11/2021</t>
  </si>
  <si>
    <t>רבוע נדלן אגח ח חסום</t>
  </si>
  <si>
    <t>11575690</t>
  </si>
  <si>
    <t>02/11/2021</t>
  </si>
  <si>
    <t>ירושלים הנפ אגח יח</t>
  </si>
  <si>
    <t>1182054</t>
  </si>
  <si>
    <t>לאומי אגח 182</t>
  </si>
  <si>
    <t>6040539</t>
  </si>
  <si>
    <t>28/11/2021</t>
  </si>
  <si>
    <t>לאומי אגח 183</t>
  </si>
  <si>
    <t>6040547</t>
  </si>
  <si>
    <t>דיסקונט אגח טו</t>
  </si>
  <si>
    <t>7480304</t>
  </si>
  <si>
    <t>520029935</t>
  </si>
  <si>
    <t>29/11/2021</t>
  </si>
  <si>
    <t>בינלאומי הנפקות אגח יב</t>
  </si>
  <si>
    <t>1182385</t>
  </si>
  <si>
    <t>07/12/2021</t>
  </si>
  <si>
    <t>פועלים אגח 200</t>
  </si>
  <si>
    <t>6620496</t>
  </si>
  <si>
    <t>520000118</t>
  </si>
  <si>
    <t>12/12/2021</t>
  </si>
  <si>
    <t>בזק אגח 14</t>
  </si>
  <si>
    <t>2300317</t>
  </si>
  <si>
    <t>23/12/2021</t>
  </si>
  <si>
    <t>אשטרום  אגח ד</t>
  </si>
  <si>
    <t>1182989</t>
  </si>
  <si>
    <t>27/12/2021</t>
  </si>
  <si>
    <t>גירון אגח ח</t>
  </si>
  <si>
    <t>1183151</t>
  </si>
  <si>
    <t>29/12/2021</t>
  </si>
  <si>
    <t>אדגר אגח יב</t>
  </si>
  <si>
    <t>1820331</t>
  </si>
  <si>
    <t>10/01/2022</t>
  </si>
  <si>
    <t>אפי נכסים אגח יד</t>
  </si>
  <si>
    <t>1184530</t>
  </si>
  <si>
    <t>510560188</t>
  </si>
  <si>
    <t>20/02/2022</t>
  </si>
  <si>
    <t>ג'נריישן קפיטל אגח ג</t>
  </si>
  <si>
    <t>1184555</t>
  </si>
  <si>
    <t>515846558</t>
  </si>
  <si>
    <t>אלדן תחבורה אגח ז</t>
  </si>
  <si>
    <t>1184779</t>
  </si>
  <si>
    <t>27/02/2022</t>
  </si>
  <si>
    <t>מנרב אגח ד</t>
  </si>
  <si>
    <t>1550169</t>
  </si>
  <si>
    <t>520034505</t>
  </si>
  <si>
    <t>גב ים אגח י</t>
  </si>
  <si>
    <t>7590284</t>
  </si>
  <si>
    <t>07/03/2022</t>
  </si>
  <si>
    <t>דליה אגח א</t>
  </si>
  <si>
    <t>1184951</t>
  </si>
  <si>
    <t>516269248</t>
  </si>
  <si>
    <t>13/03/2022</t>
  </si>
  <si>
    <t>ישרס אגח יט</t>
  </si>
  <si>
    <t>6130348</t>
  </si>
  <si>
    <t>30/03/2022</t>
  </si>
  <si>
    <t>מזרחי אגח 64</t>
  </si>
  <si>
    <t>2310555</t>
  </si>
  <si>
    <t>11/04/2022</t>
  </si>
  <si>
    <t>מגוריט אגח ד</t>
  </si>
  <si>
    <t>1185834</t>
  </si>
  <si>
    <t>12/04/2022</t>
  </si>
  <si>
    <t>ביג אגח כ</t>
  </si>
  <si>
    <t>1186188</t>
  </si>
  <si>
    <t>02/05/2022</t>
  </si>
  <si>
    <t>סולגרין אגח ב</t>
  </si>
  <si>
    <t>1186246</t>
  </si>
  <si>
    <t>512882747</t>
  </si>
  <si>
    <t>03/05/2022</t>
  </si>
  <si>
    <t>ארי נדלן אגח א</t>
  </si>
  <si>
    <t>3660156</t>
  </si>
  <si>
    <t>520038332</t>
  </si>
  <si>
    <t>15/05/2022</t>
  </si>
  <si>
    <t>מניבים ריט אגח ג חסום</t>
  </si>
  <si>
    <t>11776580</t>
  </si>
  <si>
    <t>04/07/2022</t>
  </si>
  <si>
    <t>מימון ישיר אגח ה חסום</t>
  </si>
  <si>
    <t>11828310</t>
  </si>
  <si>
    <t>07/07/2022</t>
  </si>
  <si>
    <t>פתאל החזקות אגח ד</t>
  </si>
  <si>
    <t>1188192</t>
  </si>
  <si>
    <t>512607888</t>
  </si>
  <si>
    <t>31/07/2022</t>
  </si>
  <si>
    <t>תנופורט אגח ב</t>
  </si>
  <si>
    <t>1189919</t>
  </si>
  <si>
    <t>511519829</t>
  </si>
  <si>
    <t>22/09/2022</t>
  </si>
  <si>
    <t>אשטרום נכ אגח 12</t>
  </si>
  <si>
    <t>2510279</t>
  </si>
  <si>
    <t>02/11/2022</t>
  </si>
  <si>
    <t>פועלים  אגח 201</t>
  </si>
  <si>
    <t>1191345</t>
  </si>
  <si>
    <t>29/11/2022</t>
  </si>
  <si>
    <t>מזרחי טפחות הנפקות אגח 66</t>
  </si>
  <si>
    <t>1191667</t>
  </si>
  <si>
    <t>09/10/2005</t>
  </si>
  <si>
    <t>אלבר אגח יט</t>
  </si>
  <si>
    <t>1191824</t>
  </si>
  <si>
    <t>512025891</t>
  </si>
  <si>
    <t>13/12/2022</t>
  </si>
  <si>
    <t>מגוריט אגח ה</t>
  </si>
  <si>
    <t>1192129</t>
  </si>
  <si>
    <t>01/01/2023</t>
  </si>
  <si>
    <t>אלדן תחבורה אגח ח</t>
  </si>
  <si>
    <t>1192442</t>
  </si>
  <si>
    <t>22/01/2023</t>
  </si>
  <si>
    <t>מימון ישיר אגח ו חסום</t>
  </si>
  <si>
    <t>11916590</t>
  </si>
  <si>
    <t>24/01/2023</t>
  </si>
  <si>
    <t>ויתניה אגח ו</t>
  </si>
  <si>
    <t>1193143</t>
  </si>
  <si>
    <t>512096793</t>
  </si>
  <si>
    <t>30/01/2023</t>
  </si>
  <si>
    <t>נכסים ובנין אגח י</t>
  </si>
  <si>
    <t>1193630</t>
  </si>
  <si>
    <t>19/02/2023</t>
  </si>
  <si>
    <t>שלמה החזקות אגח  כ</t>
  </si>
  <si>
    <t>1192749</t>
  </si>
  <si>
    <t>20/02/2023</t>
  </si>
  <si>
    <t>מניבים ריט אגח ד</t>
  </si>
  <si>
    <t>1193929</t>
  </si>
  <si>
    <t>מליסרון אגח כא</t>
  </si>
  <si>
    <t>1194638</t>
  </si>
  <si>
    <t>27/03/2023</t>
  </si>
  <si>
    <t>גירון אגח ו</t>
  </si>
  <si>
    <t>1139849</t>
  </si>
  <si>
    <t>23/04/2023</t>
  </si>
  <si>
    <t>ארפורט אגח יא</t>
  </si>
  <si>
    <t>1195999</t>
  </si>
  <si>
    <t>14/05/2023</t>
  </si>
  <si>
    <t>נכסים ובניין אגח ח</t>
  </si>
  <si>
    <t>6990204</t>
  </si>
  <si>
    <t>אלה פקדון אגח ה</t>
  </si>
  <si>
    <t>1162577</t>
  </si>
  <si>
    <t>515666881</t>
  </si>
  <si>
    <t>14/05/2008</t>
  </si>
  <si>
    <t>חשמל אגח 34</t>
  </si>
  <si>
    <t>1196781</t>
  </si>
  <si>
    <t>חשמל אגח 35</t>
  </si>
  <si>
    <t>1196799</t>
  </si>
  <si>
    <t>מזרחי טפחות הנפקות אגח 67</t>
  </si>
  <si>
    <t>1196807</t>
  </si>
  <si>
    <t>אלוני חץ אגח טו</t>
  </si>
  <si>
    <t>1189414</t>
  </si>
  <si>
    <t>520038506</t>
  </si>
  <si>
    <t>18/06/2023</t>
  </si>
  <si>
    <t>מזרחי טפחות הנפקות 42</t>
  </si>
  <si>
    <t>2310183</t>
  </si>
  <si>
    <t>08/06/2015</t>
  </si>
  <si>
    <t>הראל הנפקות אגח ט</t>
  </si>
  <si>
    <t>1134030</t>
  </si>
  <si>
    <t>513834200</t>
  </si>
  <si>
    <t>08/01/2015</t>
  </si>
  <si>
    <t>הראל הנפקות אגח י</t>
  </si>
  <si>
    <t>1134048</t>
  </si>
  <si>
    <t>הראל הנפקות אגח ז</t>
  </si>
  <si>
    <t>1126077</t>
  </si>
  <si>
    <t>05/04/2012</t>
  </si>
  <si>
    <t>פועלים הנפקות התחייבות יט</t>
  </si>
  <si>
    <t>1940626</t>
  </si>
  <si>
    <t>18/06/2018</t>
  </si>
  <si>
    <t>לאומי כתבי התחייבות נדחים 401</t>
  </si>
  <si>
    <t>6040380</t>
  </si>
  <si>
    <t>08/07/2018</t>
  </si>
  <si>
    <t>בינלאומי קוקו כתב התחייבות נדחה כד</t>
  </si>
  <si>
    <t>1151000</t>
  </si>
  <si>
    <t>15/07/2018</t>
  </si>
  <si>
    <t>לאומי כתבי התחייבות נדחים 403</t>
  </si>
  <si>
    <t>6040430</t>
  </si>
  <si>
    <t>31/01/2019</t>
  </si>
  <si>
    <t>פועלים הנפקות התחייבות כ</t>
  </si>
  <si>
    <t>1940691</t>
  </si>
  <si>
    <t>02/04/2019</t>
  </si>
  <si>
    <t>לאומי כתבי התחייבות נדחים 404</t>
  </si>
  <si>
    <t>6040471</t>
  </si>
  <si>
    <t>17/07/2019</t>
  </si>
  <si>
    <t>דיסקונט מנפיקים התחייבות ו</t>
  </si>
  <si>
    <t>7480197</t>
  </si>
  <si>
    <t>29/10/2019</t>
  </si>
  <si>
    <t>פועלים הנפקות התחייבות כא</t>
  </si>
  <si>
    <t>1940725</t>
  </si>
  <si>
    <t>21/05/2020</t>
  </si>
  <si>
    <t>דיסקונט מנפיקים כתבי התחייבות נדחים ז</t>
  </si>
  <si>
    <t>7480247</t>
  </si>
  <si>
    <t>22/06/2020</t>
  </si>
  <si>
    <t>בינלאומי כתבי התחייבות נדחים כה</t>
  </si>
  <si>
    <t>1167030</t>
  </si>
  <si>
    <t>23/06/2020</t>
  </si>
  <si>
    <t>פועלים כתבי התחייבות נדחים ה</t>
  </si>
  <si>
    <t>6620462</t>
  </si>
  <si>
    <t>19/08/2020</t>
  </si>
  <si>
    <t>מזרחי טפחות כתבי התחייבות נדחים 53</t>
  </si>
  <si>
    <t>2310399</t>
  </si>
  <si>
    <t>דיסקונט מנפיקים כתבי התחייבות נדחים ז חסום</t>
  </si>
  <si>
    <t>74802470</t>
  </si>
  <si>
    <t>28/06/2021</t>
  </si>
  <si>
    <t>בינלאומי הנפקות התח כו</t>
  </si>
  <si>
    <t>1185537</t>
  </si>
  <si>
    <t>לאומי כתבי התחייבות נדחים 405</t>
  </si>
  <si>
    <t>6040620</t>
  </si>
  <si>
    <t>12/09/2022</t>
  </si>
  <si>
    <t>בינלאומי כתב התחייבות כז</t>
  </si>
  <si>
    <t>1189497</t>
  </si>
  <si>
    <t>13/09/2022</t>
  </si>
  <si>
    <t>דיסקונט כתבי התחייבות נדחים ח</t>
  </si>
  <si>
    <t>7480312</t>
  </si>
  <si>
    <t>24/11/2022</t>
  </si>
  <si>
    <t>פועלים כתבי התחייבות נדחים ז</t>
  </si>
  <si>
    <t>1191329</t>
  </si>
  <si>
    <t>21/09/2005</t>
  </si>
  <si>
    <t>מזרחי טפחות הנפקות התחייבות 65</t>
  </si>
  <si>
    <t>1191675</t>
  </si>
  <si>
    <t>08/12/2022</t>
  </si>
  <si>
    <t>דיסקונט כתב התחייבות נדחה ט</t>
  </si>
  <si>
    <t>1191246</t>
  </si>
  <si>
    <t>22/06/2023</t>
  </si>
  <si>
    <t>אשטרום קבוצה אגח ב</t>
  </si>
  <si>
    <t>1132331</t>
  </si>
  <si>
    <t>29/05/2014</t>
  </si>
  <si>
    <t>אבגול אגח ג</t>
  </si>
  <si>
    <t>1133289</t>
  </si>
  <si>
    <t>510119068</t>
  </si>
  <si>
    <t>14/08/2014</t>
  </si>
  <si>
    <t>פניקס הון אגח ד</t>
  </si>
  <si>
    <t>1133529</t>
  </si>
  <si>
    <t>28/09/2014</t>
  </si>
  <si>
    <t>מזרחי טפחות הנפקות 40</t>
  </si>
  <si>
    <t>2310167</t>
  </si>
  <si>
    <t>מנורה הון התח ד</t>
  </si>
  <si>
    <t>1135920</t>
  </si>
  <si>
    <t>513937714</t>
  </si>
  <si>
    <t>30/06/2015</t>
  </si>
  <si>
    <t>בזן אגח ה</t>
  </si>
  <si>
    <t>2590388</t>
  </si>
  <si>
    <t>520036658</t>
  </si>
  <si>
    <t>29/07/2015</t>
  </si>
  <si>
    <t>הראל הנפקות אגח יא</t>
  </si>
  <si>
    <t>1136316</t>
  </si>
  <si>
    <t>03/09/2015</t>
  </si>
  <si>
    <t>אמות אגח ה</t>
  </si>
  <si>
    <t>1138114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</si>
  <si>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</si>
  <si>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</si>
  <si>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</si>
  <si>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</si>
  <si>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</si>
  <si>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</si>
  <si>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בזק אגח 9</t>
  </si>
  <si>
    <t>2300176</t>
  </si>
  <si>
    <t>09/06/2016</t>
  </si>
  <si>
    <t>איי.סי.אל אגח ה</t>
  </si>
  <si>
    <t>2810299</t>
  </si>
  <si>
    <t>520027830</t>
  </si>
  <si>
    <t>03/07/2016</t>
  </si>
  <si>
    <t>מנורה אגח ג</t>
  </si>
  <si>
    <t>5660063</t>
  </si>
  <si>
    <t>520007469</t>
  </si>
  <si>
    <t>05/10/2016</t>
  </si>
  <si>
    <t>מליסרון אגח טו</t>
  </si>
  <si>
    <t>3230240</t>
  </si>
  <si>
    <t>21/11/2016</t>
  </si>
  <si>
    <t>שופרסל אגח ה</t>
  </si>
  <si>
    <t>7770209</t>
  </si>
  <si>
    <t>09/10/2013</t>
  </si>
  <si>
    <t>פניקס הון אגח ח</t>
  </si>
  <si>
    <t>1139815</t>
  </si>
  <si>
    <t>15/01/2017</t>
  </si>
  <si>
    <t>שפיר הנדסה אגח א</t>
  </si>
  <si>
    <t>1136134</t>
  </si>
  <si>
    <t>514892801</t>
  </si>
  <si>
    <t>28/02/2017</t>
  </si>
  <si>
    <t>דור אלון אגח ו</t>
  </si>
  <si>
    <t>1140656</t>
  </si>
  <si>
    <t>520043878</t>
  </si>
  <si>
    <t>13/07/2006</t>
  </si>
  <si>
    <t>שלמה החזקות אגח יז</t>
  </si>
  <si>
    <t>1410299</t>
  </si>
  <si>
    <t>נובל אגח א</t>
  </si>
  <si>
    <t>1141860</t>
  </si>
  <si>
    <t>1947641</t>
  </si>
  <si>
    <t>07/09/2017</t>
  </si>
  <si>
    <t>פרטנר אגח ו</t>
  </si>
  <si>
    <t>1141415</t>
  </si>
  <si>
    <t>520044314</t>
  </si>
  <si>
    <t>12/12/2017</t>
  </si>
  <si>
    <t>הראל הנפקות אגח יד</t>
  </si>
  <si>
    <t>1143122</t>
  </si>
  <si>
    <t>28/01/2018</t>
  </si>
  <si>
    <t>הראל הנפקות אגח טו</t>
  </si>
  <si>
    <t>1143130</t>
  </si>
  <si>
    <t>עמידר אגח א</t>
  </si>
  <si>
    <t>1143585</t>
  </si>
  <si>
    <t>520017393</t>
  </si>
  <si>
    <t>22/06/2018</t>
  </si>
  <si>
    <t>גב ים אגח ח</t>
  </si>
  <si>
    <t>7590151</t>
  </si>
  <si>
    <t>05/08/2018</t>
  </si>
  <si>
    <t>נמלי ישראל אגח ג</t>
  </si>
  <si>
    <t>1145580</t>
  </si>
  <si>
    <t>05/07/2018</t>
  </si>
  <si>
    <t>שפיר הנדסה אגח ב</t>
  </si>
  <si>
    <t>1141951</t>
  </si>
  <si>
    <t>12/09/2018</t>
  </si>
  <si>
    <t>דיסקונט השקעות אגח י</t>
  </si>
  <si>
    <t>6390348</t>
  </si>
  <si>
    <t>01/11/2018</t>
  </si>
  <si>
    <t>פניקס הון אגח ט</t>
  </si>
  <si>
    <t>1155522</t>
  </si>
  <si>
    <t>04/11/2018</t>
  </si>
  <si>
    <t>קרסו מוטורס אגח ג</t>
  </si>
  <si>
    <t>1141829</t>
  </si>
  <si>
    <t>514065283</t>
  </si>
  <si>
    <t>24/12/2018</t>
  </si>
  <si>
    <t>דיסקונט מנפיקים אגח יד</t>
  </si>
  <si>
    <t>7480163</t>
  </si>
  <si>
    <t>פרטנר אגח ז</t>
  </si>
  <si>
    <t>1156397</t>
  </si>
  <si>
    <t>06/01/2019</t>
  </si>
  <si>
    <t>לאומי אגח 180</t>
  </si>
  <si>
    <t>6040422</t>
  </si>
  <si>
    <t>הראל הנפקות אגח טז</t>
  </si>
  <si>
    <t>1157601</t>
  </si>
  <si>
    <t>18/04/2019</t>
  </si>
  <si>
    <t>פניקס הון אגח יא</t>
  </si>
  <si>
    <t>1159359</t>
  </si>
  <si>
    <t>23/07/2019</t>
  </si>
  <si>
    <t>מנורה הון התח ו</t>
  </si>
  <si>
    <t>1160241</t>
  </si>
  <si>
    <t>20/07/2007</t>
  </si>
  <si>
    <t>אפריקה נכסים אגח י</t>
  </si>
  <si>
    <t>1160878</t>
  </si>
  <si>
    <t>07/10/2019</t>
  </si>
  <si>
    <t>איי.סי.אל אגח ז</t>
  </si>
  <si>
    <t>2810372</t>
  </si>
  <si>
    <t>02/01/2020</t>
  </si>
  <si>
    <t>פז נפט אגח ח</t>
  </si>
  <si>
    <t>1162817</t>
  </si>
  <si>
    <t>06/02/2020</t>
  </si>
  <si>
    <t>אמות אגח ז</t>
  </si>
  <si>
    <t>1162866</t>
  </si>
  <si>
    <t>מיטב דש אגח ד</t>
  </si>
  <si>
    <t>1161371</t>
  </si>
  <si>
    <t>520043795</t>
  </si>
  <si>
    <t>25/03/2020</t>
  </si>
  <si>
    <t>בזק אגח 11</t>
  </si>
  <si>
    <t>2300234</t>
  </si>
  <si>
    <t>ממן אגח ג</t>
  </si>
  <si>
    <t>2380053</t>
  </si>
  <si>
    <t>520036435</t>
  </si>
  <si>
    <t>30/04/2020</t>
  </si>
  <si>
    <t>שטראוס אגח ו</t>
  </si>
  <si>
    <t>7460421</t>
  </si>
  <si>
    <t>520003781</t>
  </si>
  <si>
    <t>07/07/2020</t>
  </si>
  <si>
    <t>סופרגז אגח א</t>
  </si>
  <si>
    <t>1167360</t>
  </si>
  <si>
    <t>516077989</t>
  </si>
  <si>
    <t>21/04/2005</t>
  </si>
  <si>
    <t>פתאל אירופה אגח ד</t>
  </si>
  <si>
    <t>1168038</t>
  </si>
  <si>
    <t>515328250</t>
  </si>
  <si>
    <t>11/08/2020</t>
  </si>
  <si>
    <t>אפריקה מגורים אגח ה</t>
  </si>
  <si>
    <t>1162825</t>
  </si>
  <si>
    <t>520034760</t>
  </si>
  <si>
    <t>26/08/2020</t>
  </si>
  <si>
    <t>פתאל אגח ג</t>
  </si>
  <si>
    <t>1161785</t>
  </si>
  <si>
    <t>10/03/2005</t>
  </si>
  <si>
    <t>מגדלי ים תיכון אגח ה</t>
  </si>
  <si>
    <t>1168517</t>
  </si>
  <si>
    <t>512719485</t>
  </si>
  <si>
    <t>08/09/2020</t>
  </si>
  <si>
    <t>ישראמקו אגח ג</t>
  </si>
  <si>
    <t>2320232</t>
  </si>
  <si>
    <t>550010003</t>
  </si>
  <si>
    <t>03/11/2020</t>
  </si>
  <si>
    <t>בוני תיכון אגח יח</t>
  </si>
  <si>
    <t>5310255</t>
  </si>
  <si>
    <t>520040304</t>
  </si>
  <si>
    <t>29/11/2020</t>
  </si>
  <si>
    <t>אזורים אגח 14</t>
  </si>
  <si>
    <t>7150444</t>
  </si>
  <si>
    <t>520025990</t>
  </si>
  <si>
    <t>08/12/2020</t>
  </si>
  <si>
    <t>אלעד מגורים אגח א</t>
  </si>
  <si>
    <t>1165588</t>
  </si>
  <si>
    <t>516119609</t>
  </si>
  <si>
    <t>Baa1.il</t>
  </si>
  <si>
    <t>09/12/2020</t>
  </si>
  <si>
    <t>בזן אגח יב</t>
  </si>
  <si>
    <t>2590578</t>
  </si>
  <si>
    <t>13/12/2020</t>
  </si>
  <si>
    <t>ישראל קנדה אגח ז</t>
  </si>
  <si>
    <t>4340212</t>
  </si>
  <si>
    <t>520039298</t>
  </si>
  <si>
    <t>06/01/2021</t>
  </si>
  <si>
    <t>יוניברסל אגח ד</t>
  </si>
  <si>
    <t>1172253</t>
  </si>
  <si>
    <t>511809071</t>
  </si>
  <si>
    <t>02/02/2021</t>
  </si>
  <si>
    <t>קרדן נדלן אגח ה</t>
  </si>
  <si>
    <t>1172725</t>
  </si>
  <si>
    <t>520041005</t>
  </si>
  <si>
    <t>16/02/2021</t>
  </si>
  <si>
    <t>אלדן תחבורה אגח ו</t>
  </si>
  <si>
    <t>1161678</t>
  </si>
  <si>
    <t>23/12/2020</t>
  </si>
  <si>
    <t>קרסו מוטורס אגח ד</t>
  </si>
  <si>
    <t>1173566</t>
  </si>
  <si>
    <t>אפריקה נכסים אגח יב</t>
  </si>
  <si>
    <t>1173764</t>
  </si>
  <si>
    <t>שיכון ובינוי אגח 10</t>
  </si>
  <si>
    <t>1175132</t>
  </si>
  <si>
    <t>28/04/2021</t>
  </si>
  <si>
    <t>פנינסולה אגח ג</t>
  </si>
  <si>
    <t>3330222</t>
  </si>
  <si>
    <t>520033713</t>
  </si>
  <si>
    <t>31/05/2021</t>
  </si>
  <si>
    <t>בוני תיכון אגח יט</t>
  </si>
  <si>
    <t>5310271</t>
  </si>
  <si>
    <t>24/06/2021</t>
  </si>
  <si>
    <t>שפיר הנדסה אגח ג</t>
  </si>
  <si>
    <t>1178417</t>
  </si>
  <si>
    <t>13/07/2021</t>
  </si>
  <si>
    <t>הראל השקעות אגח א</t>
  </si>
  <si>
    <t>5850110</t>
  </si>
  <si>
    <t>520033986</t>
  </si>
  <si>
    <t>26/07/2021</t>
  </si>
  <si>
    <t>אנלייט אנרגיה אגח ד</t>
  </si>
  <si>
    <t>7200256</t>
  </si>
  <si>
    <t>520041146</t>
  </si>
  <si>
    <t>01/08/2021</t>
  </si>
  <si>
    <t>דיסקונט השקע אגח יא</t>
  </si>
  <si>
    <t>6390405</t>
  </si>
  <si>
    <t>09/09/2021</t>
  </si>
  <si>
    <t>ביג אגח יט</t>
  </si>
  <si>
    <t>1181007</t>
  </si>
  <si>
    <t>18/10/2021</t>
  </si>
  <si>
    <t>סילברסטין אגח ב</t>
  </si>
  <si>
    <t>1160597</t>
  </si>
  <si>
    <t>1970336</t>
  </si>
  <si>
    <t>24/10/2021</t>
  </si>
  <si>
    <t>סופרגז אגח ב</t>
  </si>
  <si>
    <t>1181924</t>
  </si>
  <si>
    <t>23/11/2021</t>
  </si>
  <si>
    <t>פועלים אגח 100</t>
  </si>
  <si>
    <t>6620488</t>
  </si>
  <si>
    <t>הראל הנפקות אגח יח</t>
  </si>
  <si>
    <t>1182666</t>
  </si>
  <si>
    <t>14/12/2021</t>
  </si>
  <si>
    <t>מירלנד אגח ח</t>
  </si>
  <si>
    <t>1182542</t>
  </si>
  <si>
    <t>153010</t>
  </si>
  <si>
    <t>בזק אגח 13</t>
  </si>
  <si>
    <t>2300309</t>
  </si>
  <si>
    <t>מגדל אגח ח</t>
  </si>
  <si>
    <t>1182955</t>
  </si>
  <si>
    <t>513230029</t>
  </si>
  <si>
    <t>21/07/2005</t>
  </si>
  <si>
    <t>סאמיט אגח יב</t>
  </si>
  <si>
    <t>1183920</t>
  </si>
  <si>
    <t>520043720</t>
  </si>
  <si>
    <t>25/01/2022</t>
  </si>
  <si>
    <t>מנורה הון אגח ז</t>
  </si>
  <si>
    <t>1184191</t>
  </si>
  <si>
    <t>18/09/2006</t>
  </si>
  <si>
    <t>לאומי אגח 184</t>
  </si>
  <si>
    <t>6040604</t>
  </si>
  <si>
    <t>27/03/2022</t>
  </si>
  <si>
    <t>מגדל הון אגח ט</t>
  </si>
  <si>
    <t>1185628</t>
  </si>
  <si>
    <t>06/04/2022</t>
  </si>
  <si>
    <t>מזרחי אגח 63</t>
  </si>
  <si>
    <t>2310548</t>
  </si>
  <si>
    <t>יוניברסל אגח ד חסום</t>
  </si>
  <si>
    <t>11722530</t>
  </si>
  <si>
    <t>27/06/2022</t>
  </si>
  <si>
    <t>אקרו אגח א</t>
  </si>
  <si>
    <t>1188572</t>
  </si>
  <si>
    <t>511996803</t>
  </si>
  <si>
    <t>12/08/2022</t>
  </si>
  <si>
    <t>אלקטרה צריכה אגח א חסום</t>
  </si>
  <si>
    <t>50103350</t>
  </si>
  <si>
    <t>520039967</t>
  </si>
  <si>
    <t>18/08/2022</t>
  </si>
  <si>
    <t>סלקום אגח יג</t>
  </si>
  <si>
    <t>1189190</t>
  </si>
  <si>
    <t>511930125</t>
  </si>
  <si>
    <t>08/09/2022</t>
  </si>
  <si>
    <t>פטרוכימים אגח ט</t>
  </si>
  <si>
    <t>1189554</t>
  </si>
  <si>
    <t>520029315</t>
  </si>
  <si>
    <t>01/01/2007</t>
  </si>
  <si>
    <t>פטרוכימים אגח י</t>
  </si>
  <si>
    <t>1190297</t>
  </si>
  <si>
    <t>24/10/2022</t>
  </si>
  <si>
    <t>מנורה הון אגח ז חסום</t>
  </si>
  <si>
    <t>11841910</t>
  </si>
  <si>
    <t>פתאל אירו אגח א חסום</t>
  </si>
  <si>
    <t>11375120</t>
  </si>
  <si>
    <t>21/12/2022</t>
  </si>
  <si>
    <t>מגדל הון אגח י</t>
  </si>
  <si>
    <t>1192079</t>
  </si>
  <si>
    <t>29/12/2022</t>
  </si>
  <si>
    <t>אלדן תחבורה אגח ט</t>
  </si>
  <si>
    <t>1192459</t>
  </si>
  <si>
    <t>12/01/2023</t>
  </si>
  <si>
    <t>הראל אגח יט</t>
  </si>
  <si>
    <t>1192772</t>
  </si>
  <si>
    <t>אלבר אגח כ</t>
  </si>
  <si>
    <t>1191832</t>
  </si>
  <si>
    <t>06/02/2023</t>
  </si>
  <si>
    <t>שלמה החזקות אגח יט</t>
  </si>
  <si>
    <t>1192731</t>
  </si>
  <si>
    <t>11508120</t>
  </si>
  <si>
    <t>02/03/2023</t>
  </si>
  <si>
    <t>דלק קבוצה אגח לז</t>
  </si>
  <si>
    <t>1192889</t>
  </si>
  <si>
    <t>520044322</t>
  </si>
  <si>
    <t>11827990</t>
  </si>
  <si>
    <t>511134298</t>
  </si>
  <si>
    <t>24/04/2023</t>
  </si>
  <si>
    <t>קרסו נדלן אגח א</t>
  </si>
  <si>
    <t>1190008</t>
  </si>
  <si>
    <t>510488190</t>
  </si>
  <si>
    <t>27/04/2023</t>
  </si>
  <si>
    <t>11905860</t>
  </si>
  <si>
    <t>520033424</t>
  </si>
  <si>
    <t>04/05/2023</t>
  </si>
  <si>
    <t>אשטרום קבוצה אגח ג</t>
  </si>
  <si>
    <t>1140102</t>
  </si>
  <si>
    <t>05/05/2020</t>
  </si>
  <si>
    <t>נכסים ובנ אגח ט</t>
  </si>
  <si>
    <t>6990212</t>
  </si>
  <si>
    <t>31/03/2020</t>
  </si>
  <si>
    <t>מגדל הון אגח ו</t>
  </si>
  <si>
    <t>1142785</t>
  </si>
  <si>
    <t>קרסו מוטורס אגח א</t>
  </si>
  <si>
    <t>1136464</t>
  </si>
  <si>
    <t>21/07/2019</t>
  </si>
  <si>
    <t>איילון אגח ד</t>
  </si>
  <si>
    <t>1195551</t>
  </si>
  <si>
    <t>520030677</t>
  </si>
  <si>
    <t>28/05/2023</t>
  </si>
  <si>
    <t>איילון אגח ה</t>
  </si>
  <si>
    <t>1195569</t>
  </si>
  <si>
    <t>איילון אגח ה חסום</t>
  </si>
  <si>
    <t>11955690</t>
  </si>
  <si>
    <t>11605970</t>
  </si>
  <si>
    <t>28/06/2023</t>
  </si>
  <si>
    <t>בי קומיוניקיישנס אגח ו</t>
  </si>
  <si>
    <t>1178151</t>
  </si>
  <si>
    <t>512832742</t>
  </si>
  <si>
    <t>05/01/2022</t>
  </si>
  <si>
    <t>איי די איי אגח ה</t>
  </si>
  <si>
    <t>1155878</t>
  </si>
  <si>
    <t>514486042</t>
  </si>
  <si>
    <t>25/11/2018</t>
  </si>
  <si>
    <t>פז נפט אגח ד</t>
  </si>
  <si>
    <t>1132505</t>
  </si>
  <si>
    <t>15/06/2014</t>
  </si>
  <si>
    <t>פניקס הון אגח י</t>
  </si>
  <si>
    <t>1155530</t>
  </si>
  <si>
    <t>הראל הנפקות אגח יז</t>
  </si>
  <si>
    <t>1161454</t>
  </si>
  <si>
    <t>02/12/2019</t>
  </si>
  <si>
    <t>מירלנד אגח ט</t>
  </si>
  <si>
    <t>1182559</t>
  </si>
  <si>
    <t>ישראמקו אגח א</t>
  </si>
  <si>
    <t>2320174</t>
  </si>
  <si>
    <t>16/05/2017</t>
  </si>
  <si>
    <t>1155951</t>
  </si>
  <si>
    <t>1742</t>
  </si>
  <si>
    <t>09/12/2018</t>
  </si>
  <si>
    <t>רציו מימון אגח ג</t>
  </si>
  <si>
    <t>1142488</t>
  </si>
  <si>
    <t>515060044</t>
  </si>
  <si>
    <t>רציו מימון אגח ד</t>
  </si>
  <si>
    <t>1178144</t>
  </si>
  <si>
    <t>06/07/2021</t>
  </si>
  <si>
    <t>סה"כ צמודות למדד אחר</t>
  </si>
  <si>
    <t>ICL 6.375 05/31/38</t>
  </si>
  <si>
    <t>IL0028103310</t>
  </si>
  <si>
    <t>Bloomberg</t>
  </si>
  <si>
    <t>BBB-</t>
  </si>
  <si>
    <t>26/01/2022</t>
  </si>
  <si>
    <t>ENOIGA 4.875 03/30/26</t>
  </si>
  <si>
    <t>IL0011736654</t>
  </si>
  <si>
    <t>516301843</t>
  </si>
  <si>
    <t>Ba3</t>
  </si>
  <si>
    <t>24/03/2021</t>
  </si>
  <si>
    <t>ENOIGA 5.375 03/30/28</t>
  </si>
  <si>
    <t>IL0011736738</t>
  </si>
  <si>
    <t>ENOIGA 5.875 03/30/31</t>
  </si>
  <si>
    <t>IL0011736811</t>
  </si>
  <si>
    <t>ENOGLN 6.5 04/30/27</t>
  </si>
  <si>
    <t>USG3044DAA49</t>
  </si>
  <si>
    <t>10758801</t>
  </si>
  <si>
    <t>B1</t>
  </si>
  <si>
    <t>18/11/2021</t>
  </si>
  <si>
    <t>LUMIIT 7.129 07/18/33</t>
  </si>
  <si>
    <t>IL0060406795</t>
  </si>
  <si>
    <t>BBB</t>
  </si>
  <si>
    <t>11/01/2023</t>
  </si>
  <si>
    <t>TEVA 7.875 09/15/29</t>
  </si>
  <si>
    <t>US88167AAS06</t>
  </si>
  <si>
    <t>520013954</t>
  </si>
  <si>
    <t>BB-</t>
  </si>
  <si>
    <t>MZRHIT 3.077 04/07/31</t>
  </si>
  <si>
    <t>IL0069508369</t>
  </si>
  <si>
    <t>28/07/2016</t>
  </si>
  <si>
    <t>HAPOAL 3.255 01/21/32</t>
  </si>
  <si>
    <t>IL0066204707</t>
  </si>
  <si>
    <t>08/05/2023</t>
  </si>
  <si>
    <t>ATRSAV 3.625 PERP</t>
  </si>
  <si>
    <t>XS2338530467</t>
  </si>
  <si>
    <t>511633596</t>
  </si>
  <si>
    <t>Ba2</t>
  </si>
  <si>
    <t>03/05/2021</t>
  </si>
  <si>
    <t>TEVA 4.375 05/09/30</t>
  </si>
  <si>
    <t>XS2406607171</t>
  </si>
  <si>
    <t>09/11/2021</t>
  </si>
  <si>
    <t>TEVA 7.875 09/15/31</t>
  </si>
  <si>
    <t>XS2592804194</t>
  </si>
  <si>
    <t>TEVA 7.375 09/15/29</t>
  </si>
  <si>
    <t>XS2592804434</t>
  </si>
  <si>
    <t>PRU 5.7 09/15/48</t>
  </si>
  <si>
    <t>US744320BF81</t>
  </si>
  <si>
    <t>06/05/2020</t>
  </si>
  <si>
    <t>CNC 4.625 12/15/29</t>
  </si>
  <si>
    <t>US15135BAT89</t>
  </si>
  <si>
    <t>Ba1</t>
  </si>
  <si>
    <t>11/05/2020</t>
  </si>
  <si>
    <t>MQGAU 3.624 06/03/30</t>
  </si>
  <si>
    <t>USQ568A9SQ14</t>
  </si>
  <si>
    <t>Baa3</t>
  </si>
  <si>
    <t>01/06/2020</t>
  </si>
  <si>
    <t>MTZ 4 ½ 08/15/28</t>
  </si>
  <si>
    <t>US576323AP42</t>
  </si>
  <si>
    <t>22/07/2020</t>
  </si>
  <si>
    <t>IRM 4.5 02/15/31</t>
  </si>
  <si>
    <t>US46284VAN10</t>
  </si>
  <si>
    <t>DVA 4.625 06/01/30</t>
  </si>
  <si>
    <t>US23918KAS78</t>
  </si>
  <si>
    <t>04/01/2021</t>
  </si>
  <si>
    <t>MUSA 3.75 02/15/31</t>
  </si>
  <si>
    <t>US626738AF53</t>
  </si>
  <si>
    <t>01/02/2021</t>
  </si>
  <si>
    <t>ASGN 4.625 05/15/28</t>
  </si>
  <si>
    <t>US00191UAA07</t>
  </si>
  <si>
    <t>CHTR 4.25 02/01/31</t>
  </si>
  <si>
    <t>US1248EPCK74</t>
  </si>
  <si>
    <t>07/04/2021</t>
  </si>
  <si>
    <t>BMCAUS 4.375 07/15/30</t>
  </si>
  <si>
    <t>US853496AG21</t>
  </si>
  <si>
    <t>22/04/2021</t>
  </si>
  <si>
    <t>GBLATL 4.7 10/15/51</t>
  </si>
  <si>
    <t>US37959GAC15</t>
  </si>
  <si>
    <t>BB</t>
  </si>
  <si>
    <t>02/07/2021</t>
  </si>
  <si>
    <t>ADT 4.125 08/01/29</t>
  </si>
  <si>
    <t>US00109LAA17</t>
  </si>
  <si>
    <t>27/07/2021</t>
  </si>
  <si>
    <t>LIBMUT 4.125 12/15/51</t>
  </si>
  <si>
    <t>US53079EBM57</t>
  </si>
  <si>
    <t>BB+</t>
  </si>
  <si>
    <t>16/08/2021</t>
  </si>
  <si>
    <t>OGN 5.125 04/30/31</t>
  </si>
  <si>
    <t>US68622TAB70</t>
  </si>
  <si>
    <t>13/09/2021</t>
  </si>
  <si>
    <t>T 3 ½ 09/15/53</t>
  </si>
  <si>
    <t>US00206RKJ04</t>
  </si>
  <si>
    <t>15/09/2021</t>
  </si>
  <si>
    <t>SIRI 3.875 09/01/31</t>
  </si>
  <si>
    <t>US82967NBM92</t>
  </si>
  <si>
    <t>23/09/2021</t>
  </si>
  <si>
    <t>BFALA 3.375 01/15/32</t>
  </si>
  <si>
    <t>USP3984LAA81</t>
  </si>
  <si>
    <t>18/01/2022</t>
  </si>
  <si>
    <t>BAC 3.846 03/08/37</t>
  </si>
  <si>
    <t>US06051GKL22</t>
  </si>
  <si>
    <t>Baa1</t>
  </si>
  <si>
    <t>22/03/2022</t>
  </si>
  <si>
    <t>NAB 3.347  01/12/37</t>
  </si>
  <si>
    <t>US632525BB69</t>
  </si>
  <si>
    <t>28/03/2022</t>
  </si>
  <si>
    <t>AVGO 4.15 04/15/32</t>
  </si>
  <si>
    <t>US11135FBT75</t>
  </si>
  <si>
    <t>MAR 3.5% 10/15/32</t>
  </si>
  <si>
    <t>US571903BF91</t>
  </si>
  <si>
    <t>07/06/2022</t>
  </si>
  <si>
    <t>ABNANV 3.324 03/13/37</t>
  </si>
  <si>
    <t>US00084DAV29</t>
  </si>
  <si>
    <t>16/06/2022</t>
  </si>
  <si>
    <t>STZ 2.25% 08/01/31</t>
  </si>
  <si>
    <t>US21036PBH01</t>
  </si>
  <si>
    <t>VRSN 2.7% 06/15/31</t>
  </si>
  <si>
    <t>US92343EAM49</t>
  </si>
  <si>
    <t>12/07/2022</t>
  </si>
  <si>
    <t>CE 6.165 07/15/27</t>
  </si>
  <si>
    <t>US15089QAM69</t>
  </si>
  <si>
    <t>18/07/2022</t>
  </si>
  <si>
    <t>MS 5.297 04/20/37</t>
  </si>
  <si>
    <t>US61747YES00</t>
  </si>
  <si>
    <t>19/07/2022</t>
  </si>
  <si>
    <t>AHTLN 5.5% 08/11/32</t>
  </si>
  <si>
    <t>US04505AAA79</t>
  </si>
  <si>
    <t>04/08/2022</t>
  </si>
  <si>
    <t>JPM 5.717 09/14/33</t>
  </si>
  <si>
    <t>US46647PDK93</t>
  </si>
  <si>
    <t>2711006</t>
  </si>
  <si>
    <t>BBB+</t>
  </si>
  <si>
    <t>14/09/2022</t>
  </si>
  <si>
    <t>KD 3.15 10/15/31</t>
  </si>
  <si>
    <t>US50155QAL41</t>
  </si>
  <si>
    <t>31/10/2022</t>
  </si>
  <si>
    <t>EXPE 3.25 02/15/30</t>
  </si>
  <si>
    <t>US30212PAR64</t>
  </si>
  <si>
    <t>GM 5.4 10/15/29</t>
  </si>
  <si>
    <t>US37045VAY65</t>
  </si>
  <si>
    <t>ORCL 6.25 11/09/32</t>
  </si>
  <si>
    <t>US68389XCJ28</t>
  </si>
  <si>
    <t>16/11/2022</t>
  </si>
  <si>
    <t>RRX 6.3 02/15/30</t>
  </si>
  <si>
    <t>US758750AE33</t>
  </si>
  <si>
    <t>PPC 4.25 04/15/31</t>
  </si>
  <si>
    <t>US72147KAJ79</t>
  </si>
  <si>
    <t>22/02/2023</t>
  </si>
  <si>
    <t>LDOS 5.75 03/15/33</t>
  </si>
  <si>
    <t>US52532XAJ46</t>
  </si>
  <si>
    <t>MSCI 3.875% 02/15/31</t>
  </si>
  <si>
    <t>US55354GAL41</t>
  </si>
  <si>
    <t>23/03/2023</t>
  </si>
  <si>
    <t>WBD 4.279 03/15/32</t>
  </si>
  <si>
    <t>US55903VBC63</t>
  </si>
  <si>
    <t>03/05/2023</t>
  </si>
  <si>
    <t>LKQ 5.75 06/15/28</t>
  </si>
  <si>
    <t>US501889AC33</t>
  </si>
  <si>
    <t>16/05/2023</t>
  </si>
  <si>
    <t>DG 5.45 07/05/33</t>
  </si>
  <si>
    <t>US256677AP01</t>
  </si>
  <si>
    <t>08/06/2023</t>
  </si>
  <si>
    <t>VMED 4.5 07/15/31</t>
  </si>
  <si>
    <t>XS2358483258</t>
  </si>
  <si>
    <t>IBRD 5 01/22/26</t>
  </si>
  <si>
    <t>XS2288097640</t>
  </si>
  <si>
    <t>Aaa</t>
  </si>
  <si>
    <t>07/02/2022</t>
  </si>
  <si>
    <t>EBRD 5 01/27/25</t>
  </si>
  <si>
    <t>XS2289828902</t>
  </si>
  <si>
    <t>AAA</t>
  </si>
  <si>
    <t>14/02/2022</t>
  </si>
  <si>
    <t>GYCGR 0.125% 01/11/28</t>
  </si>
  <si>
    <t>XS2282101539</t>
  </si>
  <si>
    <t>ANNGR 5 11/23/30</t>
  </si>
  <si>
    <t>DE000A30VQB2</t>
  </si>
  <si>
    <t>17/11/2022</t>
  </si>
  <si>
    <t>BPCEGP 5.125% 01/25/35</t>
  </si>
  <si>
    <t>FR001400FB22</t>
  </si>
  <si>
    <t>14/02/2023</t>
  </si>
  <si>
    <t>TRPCN 5.625 05/20/75</t>
  </si>
  <si>
    <t>US89356BAA61</t>
  </si>
  <si>
    <t>01/11/2016</t>
  </si>
  <si>
    <t>ENBCN 5.5 07/15/77</t>
  </si>
  <si>
    <t>US29250NAS45</t>
  </si>
  <si>
    <t>04/12/2017</t>
  </si>
  <si>
    <t>EPD 5.25 08/16/77</t>
  </si>
  <si>
    <t>US29379VBN29</t>
  </si>
  <si>
    <t>23/09/2019</t>
  </si>
  <si>
    <t>AES 7.125 03/26/79</t>
  </si>
  <si>
    <t>USP0607LAC74</t>
  </si>
  <si>
    <t>25/11/2019</t>
  </si>
  <si>
    <t>SWK 4 03/15/60</t>
  </si>
  <si>
    <t>US854502AM31</t>
  </si>
  <si>
    <t>03/02/2020</t>
  </si>
  <si>
    <t>SCGAU 4.75 09/24/80</t>
  </si>
  <si>
    <t>US76025LAA26</t>
  </si>
  <si>
    <t>17/09/2020</t>
  </si>
  <si>
    <t>RAKUTN 6.25 PERP</t>
  </si>
  <si>
    <t>USJ6S87BAX69</t>
  </si>
  <si>
    <t>B</t>
  </si>
  <si>
    <t>15/04/2021</t>
  </si>
  <si>
    <t>VOD 4.125 06/04/81</t>
  </si>
  <si>
    <t>US92857WBW91</t>
  </si>
  <si>
    <t>01/06/2021</t>
  </si>
  <si>
    <t>BPLN 4.875 PERP</t>
  </si>
  <si>
    <t>US05565QDV77</t>
  </si>
  <si>
    <t>CPIPGR 4.875 PERP</t>
  </si>
  <si>
    <t>XS1982704824</t>
  </si>
  <si>
    <t>VIEFP 2 1/2 PERP Corp</t>
  </si>
  <si>
    <t>FR00140007L3</t>
  </si>
  <si>
    <t>15/10/2020</t>
  </si>
  <si>
    <t>ACFP 4.375 PERP</t>
  </si>
  <si>
    <t>FR0013399177</t>
  </si>
  <si>
    <t>B+</t>
  </si>
  <si>
    <t>11/01/2021</t>
  </si>
  <si>
    <t>BAYNGR 5.375% 03/25/82</t>
  </si>
  <si>
    <t>XS2451803063</t>
  </si>
  <si>
    <t>04/04/2022</t>
  </si>
  <si>
    <t>TELEFO 7.125 PERP</t>
  </si>
  <si>
    <t>XS2462605671</t>
  </si>
  <si>
    <t>14/11/2022</t>
  </si>
  <si>
    <t>CNALN 5.25 04/10/75</t>
  </si>
  <si>
    <t>XS1216019585</t>
  </si>
  <si>
    <t>20/02/2017</t>
  </si>
  <si>
    <t>DANBNK 4.375 PERP</t>
  </si>
  <si>
    <t>XS2343014119</t>
  </si>
  <si>
    <t>13/05/2021</t>
  </si>
  <si>
    <t>SOCGEN 5.375 PERP</t>
  </si>
  <si>
    <t>US83370RAA68</t>
  </si>
  <si>
    <t>INTNED 5.75 PERP</t>
  </si>
  <si>
    <t>US456837AR44</t>
  </si>
  <si>
    <t>27/01/2022</t>
  </si>
  <si>
    <t>BNP 7.75 PERP</t>
  </si>
  <si>
    <t>USF1067PAC08</t>
  </si>
  <si>
    <t>08/08/2022</t>
  </si>
  <si>
    <t>SANTAN 4.375 PERP</t>
  </si>
  <si>
    <t>XS2102912966</t>
  </si>
  <si>
    <t>RABOBK 4.875 PERP</t>
  </si>
  <si>
    <t>XS2456432413</t>
  </si>
  <si>
    <t>ACAFP 7.25 PERP</t>
  </si>
  <si>
    <t>FR001400F067</t>
  </si>
  <si>
    <t>07/06/2023</t>
  </si>
  <si>
    <t>BACR 5.875 PERP</t>
  </si>
  <si>
    <t>XS1658012023</t>
  </si>
  <si>
    <t>03/08/2017</t>
  </si>
  <si>
    <t>NWIDE 5.75 PERP</t>
  </si>
  <si>
    <t>XS2113658202</t>
  </si>
  <si>
    <t>10/06/2020</t>
  </si>
  <si>
    <t>NWG 5.125 PERP</t>
  </si>
  <si>
    <t>XS2258827034</t>
  </si>
  <si>
    <t>סה"כ תל אביב 35</t>
  </si>
  <si>
    <t>סה"כ תל אביב 90</t>
  </si>
  <si>
    <t>סה"כ מניות היתר</t>
  </si>
  <si>
    <t>1087949</t>
  </si>
  <si>
    <t>סה"כ אופציות Call 001</t>
  </si>
  <si>
    <t>long</t>
  </si>
  <si>
    <t>short</t>
  </si>
  <si>
    <t>סה"כ שעוקבות אחר מדדי מניות בישראל</t>
  </si>
  <si>
    <t>סה"כ שעוקבות אחר מדדי מניות בחו"ל</t>
  </si>
  <si>
    <t>סה"כ שעוקבות אחר מדדים אחרים בישראל</t>
  </si>
  <si>
    <t>תכלית קרן סל תלבונד 20</t>
  </si>
  <si>
    <t>1143791</t>
  </si>
  <si>
    <t>513534974</t>
  </si>
  <si>
    <t>אג"ח</t>
  </si>
  <si>
    <t>תכלית קרן סל תלבונד 60</t>
  </si>
  <si>
    <t>1145101</t>
  </si>
  <si>
    <t>קסם קרן סל תלבונד 20</t>
  </si>
  <si>
    <t>1145960</t>
  </si>
  <si>
    <t>510938608</t>
  </si>
  <si>
    <t>קסם קרן סל תלבונד 60</t>
  </si>
  <si>
    <t>1146232</t>
  </si>
  <si>
    <t>קסם קרן סל תלבונד צמודות</t>
  </si>
  <si>
    <t>1146927</t>
  </si>
  <si>
    <t>פסגות קרן סל תלבונד 20</t>
  </si>
  <si>
    <t>1147958</t>
  </si>
  <si>
    <t>513765339</t>
  </si>
  <si>
    <t>פסגות קרן סל תלבונד 60</t>
  </si>
  <si>
    <t>1148006</t>
  </si>
  <si>
    <t>פסגות קרן סל תלבונד צמודות</t>
  </si>
  <si>
    <t>1148048</t>
  </si>
  <si>
    <t>הראל קרן סל תלבונד 20</t>
  </si>
  <si>
    <t>1150440</t>
  </si>
  <si>
    <t>511776783</t>
  </si>
  <si>
    <t>הראל קרן סל תלבונד 60</t>
  </si>
  <si>
    <t>1150473</t>
  </si>
  <si>
    <t>הראל קרן סל תלבונד צמודות</t>
  </si>
  <si>
    <t>1150606</t>
  </si>
  <si>
    <t>מגדל קרן סל תל בונד תשואות</t>
  </si>
  <si>
    <t>1150119</t>
  </si>
  <si>
    <t>511303661</t>
  </si>
  <si>
    <t>MTF תל בונד צמודות</t>
  </si>
  <si>
    <t>1150101</t>
  </si>
  <si>
    <t>תכלית קרן סל תלבונד שקלי</t>
  </si>
  <si>
    <t>1145184</t>
  </si>
  <si>
    <t>קסם קרן סל תלבונד שקלי</t>
  </si>
  <si>
    <t>1146414</t>
  </si>
  <si>
    <t>פסגות קרן סל תלבונד שקלי</t>
  </si>
  <si>
    <t>1148261</t>
  </si>
  <si>
    <t>הראל קרן סל תלבונד שקלי</t>
  </si>
  <si>
    <t>1150523</t>
  </si>
  <si>
    <t>MTF סל תל בונד שקלי מגדל</t>
  </si>
  <si>
    <t>1150002</t>
  </si>
  <si>
    <t>סה"כ שעוקבות אחר מדדים אחרים בחו"ל</t>
  </si>
  <si>
    <t>סה"כ short</t>
  </si>
  <si>
    <t>סה"כ שעוקבות אחר מדדי מניות</t>
  </si>
  <si>
    <t>סה"כ שעוקבות אחר מדדים אחרים</t>
  </si>
  <si>
    <t>LQDE LN Equity</t>
  </si>
  <si>
    <t>IE0032895942</t>
  </si>
  <si>
    <t>LSE</t>
  </si>
  <si>
    <t>Bonds</t>
  </si>
  <si>
    <t>USCR LN Equity</t>
  </si>
  <si>
    <t>IE00BLF7VX27</t>
  </si>
  <si>
    <t>EMCA LN Equity</t>
  </si>
  <si>
    <t>IE00BFM6TD65</t>
  </si>
  <si>
    <t>סה"כ אג"ח ממשלתי</t>
  </si>
  <si>
    <t>KKRGCOF KY Equity</t>
  </si>
  <si>
    <t>XD0445943018</t>
  </si>
  <si>
    <t>PGUHBIU ID Equity</t>
  </si>
  <si>
    <t>IE00BD1DGZ57</t>
  </si>
  <si>
    <t>Fidelity Funds - US High Yield Fund</t>
  </si>
  <si>
    <t>LU0891474172</t>
  </si>
  <si>
    <t>NUSHYIU ID Equity</t>
  </si>
  <si>
    <t>IE00B3RW8498</t>
  </si>
  <si>
    <t>SEHYIZE LX Equity</t>
  </si>
  <si>
    <t>LU1496798478</t>
  </si>
  <si>
    <t>TEMHYIA LX Equity</t>
  </si>
  <si>
    <t>LU0195952261</t>
  </si>
  <si>
    <t>IUSSENG LX Equity</t>
  </si>
  <si>
    <t>LU0564079282</t>
  </si>
  <si>
    <t>CSNGSMU LX Equity</t>
  </si>
  <si>
    <t>LU0635707705</t>
  </si>
  <si>
    <t>CIFCLF5 KY Equity</t>
  </si>
  <si>
    <t>KYG2139S1194</t>
  </si>
  <si>
    <t>ICESAEA ID Equity</t>
  </si>
  <si>
    <t>IE00BYXGJT42</t>
  </si>
  <si>
    <t>PIMEMBI ID Equity</t>
  </si>
  <si>
    <t>IE0030759645</t>
  </si>
  <si>
    <t>JP Morgan Liquidity Dollar</t>
  </si>
  <si>
    <t>X9X9USD02A31</t>
  </si>
  <si>
    <t>JP Morgan Treasury Liquidity Dollar</t>
  </si>
  <si>
    <t>X9X9USDJPMI8</t>
  </si>
  <si>
    <t>GS Liquidity Dollar</t>
  </si>
  <si>
    <t>X9X9USDGLM44</t>
  </si>
  <si>
    <t>Goldman Sachs Liquidity Euro</t>
  </si>
  <si>
    <t>IE00B96CNN65</t>
  </si>
  <si>
    <t>JP Morgan Liquidity GBP</t>
  </si>
  <si>
    <t>X9X9GBP00L41</t>
  </si>
  <si>
    <t>כתבי אופציה בישראל</t>
  </si>
  <si>
    <t>פטרוכימים אפ 1</t>
  </si>
  <si>
    <t>1190305</t>
  </si>
  <si>
    <t>פטרוכימים אפ 2</t>
  </si>
  <si>
    <t>1190313</t>
  </si>
  <si>
    <t>כתבי אופציה בחו"ל</t>
  </si>
  <si>
    <t>סה"כ מדדים כולל מניות</t>
  </si>
  <si>
    <t>₪/מט"ח</t>
  </si>
  <si>
    <t>סה"כ ריבית</t>
  </si>
  <si>
    <t>סה"כ מטבע</t>
  </si>
  <si>
    <t>סה"כ סחורות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</si>
  <si>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</si>
  <si>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</si>
  <si>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</si>
  <si>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</si>
  <si>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</si>
  <si>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</si>
  <si>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</si>
  <si>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</si>
  <si>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סה"כ קרן לא מובטחת:</t>
  </si>
  <si>
    <t>סה"כ מוצרים מאוגחים:</t>
  </si>
  <si>
    <t>חץ</t>
  </si>
  <si>
    <t>ערד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</si>
  <si>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</si>
  <si>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</si>
  <si>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</si>
  <si>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</si>
  <si>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</si>
  <si>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</si>
  <si>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</si>
  <si>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</si>
  <si>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מנורה מבטחים אגח ג נשר</t>
  </si>
  <si>
    <t>1131911</t>
  </si>
  <si>
    <t>02/04/2014</t>
  </si>
  <si>
    <t>מירלנד שטר  הון</t>
  </si>
  <si>
    <t>1182963</t>
  </si>
  <si>
    <t>וי.אי.די התפלת מי אשקלון מאוחד 07/06 נשר</t>
  </si>
  <si>
    <t>1097997</t>
  </si>
  <si>
    <t>513365098</t>
  </si>
  <si>
    <t>06/07/2006</t>
  </si>
  <si>
    <t>מקורות אגח 6 רצף מוסדי</t>
  </si>
  <si>
    <t>1100908</t>
  </si>
  <si>
    <t>25/12/2006</t>
  </si>
  <si>
    <t>נתיבי גז אגח א רצף מוסדי</t>
  </si>
  <si>
    <t>1103084</t>
  </si>
  <si>
    <t>02/01/2007</t>
  </si>
  <si>
    <t>אגל"ס דרך ארץ נחות מזנין 2</t>
  </si>
  <si>
    <t>999999766</t>
  </si>
  <si>
    <t>512475203</t>
  </si>
  <si>
    <t>10/04/2011</t>
  </si>
  <si>
    <t>מקורות אגח 8 רצף מוסדי</t>
  </si>
  <si>
    <t>1124346</t>
  </si>
  <si>
    <t>19/07/2011</t>
  </si>
  <si>
    <t>נתיבי גז אגח ג רצף מוסדי</t>
  </si>
  <si>
    <t>1125509</t>
  </si>
  <si>
    <t>03/01/2012</t>
  </si>
  <si>
    <t>מימון ישיר אגח א רצף מוסדי</t>
  </si>
  <si>
    <t>1139740</t>
  </si>
  <si>
    <t>25/02/2008</t>
  </si>
  <si>
    <t>תשתיות נפט ואנרגיה אגח א רצף מוסדי</t>
  </si>
  <si>
    <t>1168087</t>
  </si>
  <si>
    <t>520027293</t>
  </si>
  <si>
    <t>17/08/2020</t>
  </si>
  <si>
    <t>רשות שדות התעופה אגח א רצף מוסדי</t>
  </si>
  <si>
    <t>1187335</t>
  </si>
  <si>
    <t>500102868</t>
  </si>
  <si>
    <t>29/06/2022</t>
  </si>
  <si>
    <t>רשות שדות התעופה אגח ב רצף מוסדי</t>
  </si>
  <si>
    <t>1187343</t>
  </si>
  <si>
    <t>ביטוח ישיר אגח יא רצף מוסדי</t>
  </si>
  <si>
    <t>1138825</t>
  </si>
  <si>
    <t>520044439</t>
  </si>
  <si>
    <t>21/07/2016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</si>
  <si>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</si>
  <si>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</si>
  <si>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</si>
  <si>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</si>
  <si>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</si>
  <si>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</si>
  <si>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מתמ אגח א נשר</t>
  </si>
  <si>
    <t>1138999</t>
  </si>
  <si>
    <t>510687403</t>
  </si>
  <si>
    <t>27/07/2020</t>
  </si>
  <si>
    <t>אורמת אגח 4 רצף מוסדי</t>
  </si>
  <si>
    <t>1167212</t>
  </si>
  <si>
    <t>880326081</t>
  </si>
  <si>
    <t>פז בית זיקוק אגח ב רצף מוסדי</t>
  </si>
  <si>
    <t>1192673</t>
  </si>
  <si>
    <t>513775163</t>
  </si>
  <si>
    <t>25/01/2023</t>
  </si>
  <si>
    <t>מקס איט כתב התחייבות ב רצף מוסדי</t>
  </si>
  <si>
    <t>1156223</t>
  </si>
  <si>
    <t>512905423</t>
  </si>
  <si>
    <t>19/12/2018</t>
  </si>
  <si>
    <t>נתיבים אגח א רצף מוסדי</t>
  </si>
  <si>
    <t>1090281</t>
  </si>
  <si>
    <t>513502229</t>
  </si>
  <si>
    <t>10/05/2004</t>
  </si>
  <si>
    <t>סה"כ אג"ח קונצרני של חברות ישראליות</t>
  </si>
  <si>
    <t>סה"כ אג"ח קונצרני של חברות זרות</t>
  </si>
  <si>
    <t>סה"כ קרנות השקעה בישראל</t>
  </si>
  <si>
    <t>סה"כ קרנות הון סיכון</t>
  </si>
  <si>
    <t>סה"כ קרנות גידור</t>
  </si>
  <si>
    <t>Brosh Capital Partners</t>
  </si>
  <si>
    <t>76625236</t>
  </si>
  <si>
    <t>סה"כ קרנות נדל"ן</t>
  </si>
  <si>
    <t>סה"כ קרנות השקעה אחרות</t>
  </si>
  <si>
    <t>Arbel II</t>
  </si>
  <si>
    <t>89322</t>
  </si>
  <si>
    <t>03/10/2021</t>
  </si>
  <si>
    <t>Reality Debt Fund</t>
  </si>
  <si>
    <t>89338</t>
  </si>
  <si>
    <t>Giza Singer Even Mezzanine</t>
  </si>
  <si>
    <t>89351</t>
  </si>
  <si>
    <t>17/02/2022</t>
  </si>
  <si>
    <t>סה"כ קרנות השקעה בחו"ל</t>
  </si>
  <si>
    <t>Golden Tree</t>
  </si>
  <si>
    <t>76625237</t>
  </si>
  <si>
    <t>03/02/2022</t>
  </si>
  <si>
    <t>CIFC CLO Opportunity Fund</t>
  </si>
  <si>
    <t>KYG2191F1046</t>
  </si>
  <si>
    <t>Blackstone Real Estate Partners IX</t>
  </si>
  <si>
    <t>89203</t>
  </si>
  <si>
    <t>Electra Capital PM</t>
  </si>
  <si>
    <t>89292</t>
  </si>
  <si>
    <t>HGI Multifamily Credit Fund</t>
  </si>
  <si>
    <t>89380</t>
  </si>
  <si>
    <t>15/06/2022</t>
  </si>
  <si>
    <t>Northwind Healthcare Debt Fund I</t>
  </si>
  <si>
    <t>89413</t>
  </si>
  <si>
    <t>19/01/2023</t>
  </si>
  <si>
    <t>Electra Capital PM II</t>
  </si>
  <si>
    <t>89414</t>
  </si>
  <si>
    <t>26/01/2023</t>
  </si>
  <si>
    <t>Madison Realty Capital Debt Fund IV</t>
  </si>
  <si>
    <t>89185</t>
  </si>
  <si>
    <t>04/03/2019</t>
  </si>
  <si>
    <t>Torchlight Debt Opportunity Fund VI</t>
  </si>
  <si>
    <t>89195</t>
  </si>
  <si>
    <t>17/06/2019</t>
  </si>
  <si>
    <t>RevolverCap Partners Fund</t>
  </si>
  <si>
    <t>89210</t>
  </si>
  <si>
    <t>18/11/2019</t>
  </si>
  <si>
    <t>Madison Realty Capital Debt Fund V</t>
  </si>
  <si>
    <t>89227</t>
  </si>
  <si>
    <t>26/03/2020</t>
  </si>
  <si>
    <t>Pagaya Opportunity</t>
  </si>
  <si>
    <t>89263</t>
  </si>
  <si>
    <t>SCP IRE SERIES III LP</t>
  </si>
  <si>
    <t>89350</t>
  </si>
  <si>
    <t>02/02/2022</t>
  </si>
  <si>
    <t>MV Subordinated V Feeder</t>
  </si>
  <si>
    <t>89395</t>
  </si>
  <si>
    <t>Madison Realty Capital Debt Fund VI</t>
  </si>
  <si>
    <t>89404</t>
  </si>
  <si>
    <t>22/11/2022</t>
  </si>
  <si>
    <t>Clal Hamilton Lane Credit International Fund</t>
  </si>
  <si>
    <t>89415</t>
  </si>
  <si>
    <t>01/02/2023</t>
  </si>
  <si>
    <t>Clal Hamilton Lane Credit Int Scope JV</t>
  </si>
  <si>
    <t>89417</t>
  </si>
  <si>
    <t>28/02/2023</t>
  </si>
  <si>
    <t>Clal Hamilton Lane Credit International SOVII JV</t>
  </si>
  <si>
    <t>89426</t>
  </si>
  <si>
    <t>Energy Capital Partners V</t>
  </si>
  <si>
    <t>89432</t>
  </si>
  <si>
    <t>06/06/2023</t>
  </si>
  <si>
    <t>ECP V Clal Co-Invest</t>
  </si>
  <si>
    <t>89436</t>
  </si>
  <si>
    <t>סה"כ כתבי אופציה בישראל:</t>
  </si>
  <si>
    <t>סה"כ כתבי אופציה בחו"ל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</si>
  <si>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</si>
  <si>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</si>
  <si>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</si>
  <si>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</si>
  <si>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</si>
  <si>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סה"כ  אחר</t>
  </si>
  <si>
    <t>FW EURUSD 18/10/2023 - USD</t>
  </si>
  <si>
    <t>445270100</t>
  </si>
  <si>
    <t>09/05/2023</t>
  </si>
  <si>
    <t>FW EURUSD 18/10/2023 - EUR</t>
  </si>
  <si>
    <t>445270101</t>
  </si>
  <si>
    <t>445270104</t>
  </si>
  <si>
    <t>445270105</t>
  </si>
  <si>
    <t>FW GBPUSD 20/09/2023 - GBP</t>
  </si>
  <si>
    <t>445274220</t>
  </si>
  <si>
    <t>26/06/2023</t>
  </si>
  <si>
    <t>FW GBPUSD 20/09/2023 - USD</t>
  </si>
  <si>
    <t>445274221</t>
  </si>
  <si>
    <t>FW USDILS 19/07/2023 - ILS</t>
  </si>
  <si>
    <t>445243216</t>
  </si>
  <si>
    <t>24/08/2022</t>
  </si>
  <si>
    <t>FW USDILS 19/07/2023 - USD</t>
  </si>
  <si>
    <t>445243217</t>
  </si>
  <si>
    <t>445243420</t>
  </si>
  <si>
    <t>29/08/2022</t>
  </si>
  <si>
    <t>445243421</t>
  </si>
  <si>
    <t>445244104</t>
  </si>
  <si>
    <t>19/09/2022</t>
  </si>
  <si>
    <t>445244105</t>
  </si>
  <si>
    <t>445244246</t>
  </si>
  <si>
    <t>21/09/2022</t>
  </si>
  <si>
    <t>445244247</t>
  </si>
  <si>
    <t>FW USDILS 13/09/2023 - ILS</t>
  </si>
  <si>
    <t>445245780</t>
  </si>
  <si>
    <t>03/10/2022</t>
  </si>
  <si>
    <t>FW USDILS 13/09/2023 - USD</t>
  </si>
  <si>
    <t>445245781</t>
  </si>
  <si>
    <t>445246476</t>
  </si>
  <si>
    <t>19/10/2022</t>
  </si>
  <si>
    <t>445246477</t>
  </si>
  <si>
    <t>445248526</t>
  </si>
  <si>
    <t>09/11/2022</t>
  </si>
  <si>
    <t>445248527</t>
  </si>
  <si>
    <t>445248528</t>
  </si>
  <si>
    <t>445248529</t>
  </si>
  <si>
    <t>445249842</t>
  </si>
  <si>
    <t>445249843</t>
  </si>
  <si>
    <t>FW USDILS 06/09/2023 - ILS</t>
  </si>
  <si>
    <t>445250922</t>
  </si>
  <si>
    <t>FW USDILS 06/09/2023 - USD</t>
  </si>
  <si>
    <t>445250923</t>
  </si>
  <si>
    <t>445252460</t>
  </si>
  <si>
    <t>19/12/2022</t>
  </si>
  <si>
    <t>445252461</t>
  </si>
  <si>
    <t>445252464</t>
  </si>
  <si>
    <t>445252465</t>
  </si>
  <si>
    <t>445253328</t>
  </si>
  <si>
    <t>27/12/2022</t>
  </si>
  <si>
    <t>445253329</t>
  </si>
  <si>
    <t>445257748</t>
  </si>
  <si>
    <t>13/02/2023</t>
  </si>
  <si>
    <t>445257749</t>
  </si>
  <si>
    <t>445258226</t>
  </si>
  <si>
    <t>21/02/2023</t>
  </si>
  <si>
    <t>445258227</t>
  </si>
  <si>
    <t>445261156</t>
  </si>
  <si>
    <t>08/03/2023</t>
  </si>
  <si>
    <t>445261157</t>
  </si>
  <si>
    <t>445261160</t>
  </si>
  <si>
    <t>445261161</t>
  </si>
  <si>
    <t>445261166</t>
  </si>
  <si>
    <t>445261167</t>
  </si>
  <si>
    <t>445264156</t>
  </si>
  <si>
    <t>22/03/2023</t>
  </si>
  <si>
    <t>445264157</t>
  </si>
  <si>
    <t>445264180</t>
  </si>
  <si>
    <t>445264181</t>
  </si>
  <si>
    <t>445264206</t>
  </si>
  <si>
    <t>445264207</t>
  </si>
  <si>
    <t>445264214</t>
  </si>
  <si>
    <t>445264215</t>
  </si>
  <si>
    <t>445264626</t>
  </si>
  <si>
    <t>30/03/2023</t>
  </si>
  <si>
    <t>445264627</t>
  </si>
  <si>
    <t>445264630</t>
  </si>
  <si>
    <t>445264631</t>
  </si>
  <si>
    <t>FW USDILS 06/12/2023 - ILS</t>
  </si>
  <si>
    <t>445267280</t>
  </si>
  <si>
    <t>FW USDILS 06/12/2023 - USD</t>
  </si>
  <si>
    <t>445267281</t>
  </si>
  <si>
    <t>445267526</t>
  </si>
  <si>
    <t>445267527</t>
  </si>
  <si>
    <t>445267554</t>
  </si>
  <si>
    <t>445267555</t>
  </si>
  <si>
    <t>445269084</t>
  </si>
  <si>
    <t>02/05/2023</t>
  </si>
  <si>
    <t>445269085</t>
  </si>
  <si>
    <t>445269470</t>
  </si>
  <si>
    <t>445269471</t>
  </si>
  <si>
    <t>FW USDILS 26/06/2024 - ILS</t>
  </si>
  <si>
    <t>445269472</t>
  </si>
  <si>
    <t>FW USDILS 26/06/2024 - USD</t>
  </si>
  <si>
    <t>445269473</t>
  </si>
  <si>
    <t>445269474</t>
  </si>
  <si>
    <t>445269475</t>
  </si>
  <si>
    <t>445269476</t>
  </si>
  <si>
    <t>445269477</t>
  </si>
  <si>
    <t>445269478</t>
  </si>
  <si>
    <t>445269479</t>
  </si>
  <si>
    <t>445269480</t>
  </si>
  <si>
    <t>445269481</t>
  </si>
  <si>
    <t>445270176</t>
  </si>
  <si>
    <t>10/05/2023</t>
  </si>
  <si>
    <t>445270177</t>
  </si>
  <si>
    <t>445270180</t>
  </si>
  <si>
    <t>445270181</t>
  </si>
  <si>
    <t>445270620</t>
  </si>
  <si>
    <t>15/05/2023</t>
  </si>
  <si>
    <t>445270621</t>
  </si>
  <si>
    <t>445270846</t>
  </si>
  <si>
    <t>445270847</t>
  </si>
  <si>
    <t>445270852</t>
  </si>
  <si>
    <t>445270853</t>
  </si>
  <si>
    <t>FW USDILS 24/07/2024 - ILS</t>
  </si>
  <si>
    <t>445270854</t>
  </si>
  <si>
    <t>FW USDILS 24/07/2024 - USD</t>
  </si>
  <si>
    <t>445270855</t>
  </si>
  <si>
    <t>445270878</t>
  </si>
  <si>
    <t>17/05/2023</t>
  </si>
  <si>
    <t>445270879</t>
  </si>
  <si>
    <t>445270882</t>
  </si>
  <si>
    <t>445270883</t>
  </si>
  <si>
    <t>445271274</t>
  </si>
  <si>
    <t>22/05/2023</t>
  </si>
  <si>
    <t>445271275</t>
  </si>
  <si>
    <t>445271276</t>
  </si>
  <si>
    <t>445271277</t>
  </si>
  <si>
    <t>445271278</t>
  </si>
  <si>
    <t>445271279</t>
  </si>
  <si>
    <t>445271280</t>
  </si>
  <si>
    <t>445271281</t>
  </si>
  <si>
    <t>445271330</t>
  </si>
  <si>
    <t>445271331</t>
  </si>
  <si>
    <t>445271332</t>
  </si>
  <si>
    <t>445271333</t>
  </si>
  <si>
    <t>445271778</t>
  </si>
  <si>
    <t>31/05/2023</t>
  </si>
  <si>
    <t>445271779</t>
  </si>
  <si>
    <t>FW USDILS 20/12/2023 - ILS</t>
  </si>
  <si>
    <t>445271938</t>
  </si>
  <si>
    <t>01/06/2023</t>
  </si>
  <si>
    <t>FW USDILS 20/12/2023 - USD</t>
  </si>
  <si>
    <t>445271939</t>
  </si>
  <si>
    <t>445273296</t>
  </si>
  <si>
    <t>20/06/2023</t>
  </si>
  <si>
    <t>445273297</t>
  </si>
  <si>
    <t>445273322</t>
  </si>
  <si>
    <t>445273323</t>
  </si>
  <si>
    <t>445273542</t>
  </si>
  <si>
    <t>21/06/2023</t>
  </si>
  <si>
    <t>445273543</t>
  </si>
  <si>
    <t>445274182</t>
  </si>
  <si>
    <t>445274183</t>
  </si>
  <si>
    <t>445274450</t>
  </si>
  <si>
    <t>445274451</t>
  </si>
  <si>
    <t>445274514</t>
  </si>
  <si>
    <t>29/06/2023</t>
  </si>
  <si>
    <t>445274515</t>
  </si>
  <si>
    <t>סה"כ חוזים עתידיים בחו"ל</t>
  </si>
  <si>
    <t>445244146</t>
  </si>
  <si>
    <t>20/09/2022</t>
  </si>
  <si>
    <t>445244147</t>
  </si>
  <si>
    <t>445251316</t>
  </si>
  <si>
    <t>07/12/2022</t>
  </si>
  <si>
    <t>445251317</t>
  </si>
  <si>
    <t>445258216</t>
  </si>
  <si>
    <t>445258217</t>
  </si>
  <si>
    <t>445272018</t>
  </si>
  <si>
    <t>445272019</t>
  </si>
  <si>
    <t>FW USDILS 27/03/2024 - ILS</t>
  </si>
  <si>
    <t>445272020</t>
  </si>
  <si>
    <t>FW USDILS 27/03/2024 - USD</t>
  </si>
  <si>
    <t>445272021</t>
  </si>
  <si>
    <t>445263196</t>
  </si>
  <si>
    <t>20/03/2023</t>
  </si>
  <si>
    <t>445263197</t>
  </si>
  <si>
    <t>445263220</t>
  </si>
  <si>
    <t>445263221</t>
  </si>
  <si>
    <t>445269608</t>
  </si>
  <si>
    <t>445269609</t>
  </si>
  <si>
    <t>445270096</t>
  </si>
  <si>
    <t>445270097</t>
  </si>
  <si>
    <t>445272790</t>
  </si>
  <si>
    <t>09/06/2023</t>
  </si>
  <si>
    <t>445272791</t>
  </si>
  <si>
    <t>445272874</t>
  </si>
  <si>
    <t>445272875</t>
  </si>
  <si>
    <t>445272986</t>
  </si>
  <si>
    <t>14/06/2023</t>
  </si>
  <si>
    <t>445272987</t>
  </si>
  <si>
    <t>445273044</t>
  </si>
  <si>
    <t>15/06/2023</t>
  </si>
  <si>
    <t>445273045</t>
  </si>
  <si>
    <t>FW GBPUSD 18/10/2023 - USD</t>
  </si>
  <si>
    <t>445273378</t>
  </si>
  <si>
    <t>FW GBPUSD 18/10/2023 - GBP</t>
  </si>
  <si>
    <t>445273379</t>
  </si>
  <si>
    <t>FW EURUSD 03/07/2023 - USD</t>
  </si>
  <si>
    <t>445274556</t>
  </si>
  <si>
    <t>FW EURUSD 03/07/2023 - EUR</t>
  </si>
  <si>
    <t>445274557</t>
  </si>
  <si>
    <t>AS IBOXIG Index 20/12/23 - Equity Leg</t>
  </si>
  <si>
    <t>880000307</t>
  </si>
  <si>
    <t>15/03/2023</t>
  </si>
  <si>
    <t>AS IBOXIG Index 20/12/23 - Fund Leg</t>
  </si>
  <si>
    <t>880000308</t>
  </si>
  <si>
    <t>AS IBOXXIG Index 20/12/23 - Equity Leg</t>
  </si>
  <si>
    <t>880000309</t>
  </si>
  <si>
    <t>16/03/2023</t>
  </si>
  <si>
    <t>AS IBOXXIG Index 20/12/23 - Fund Leg</t>
  </si>
  <si>
    <t>880000310</t>
  </si>
  <si>
    <t>AS BBB-BB Bonds basket 18/11/23 - Equity Leg</t>
  </si>
  <si>
    <t>880000323</t>
  </si>
  <si>
    <t>AS BBB-BB Bonds basket 18/11/23 - Fund Leg</t>
  </si>
  <si>
    <t>880000324</t>
  </si>
  <si>
    <t>880000325</t>
  </si>
  <si>
    <t>880000326</t>
  </si>
  <si>
    <t>AS IBOXIG Index 20/03/24 - Equity Leg</t>
  </si>
  <si>
    <t>880000327</t>
  </si>
  <si>
    <t>AS IBOXIG Index 20/03/24 - Fund Leg</t>
  </si>
  <si>
    <t>880000328</t>
  </si>
  <si>
    <t>סה"כ כנגד חסכון עמיתים/מבוטחים</t>
  </si>
  <si>
    <t>333014006</t>
  </si>
  <si>
    <t>סה"כ מובטחות במשכנתא או תיקי משכנתאות</t>
  </si>
  <si>
    <t>2080407</t>
  </si>
  <si>
    <t>23/12/2019</t>
  </si>
  <si>
    <t>2080408</t>
  </si>
  <si>
    <t>2080409</t>
  </si>
  <si>
    <t>2080410</t>
  </si>
  <si>
    <t>2080496</t>
  </si>
  <si>
    <t>01/10/2020</t>
  </si>
  <si>
    <t>2080497</t>
  </si>
  <si>
    <t>2080498</t>
  </si>
  <si>
    <t>2080500</t>
  </si>
  <si>
    <t>20802613</t>
  </si>
  <si>
    <t>24/11/2020</t>
  </si>
  <si>
    <t>20802614</t>
  </si>
  <si>
    <t>20802615</t>
  </si>
  <si>
    <t>2080614</t>
  </si>
  <si>
    <t>30/05/2022</t>
  </si>
  <si>
    <t>2080615</t>
  </si>
  <si>
    <t>2080616</t>
  </si>
  <si>
    <t>2080617</t>
  </si>
  <si>
    <t>2080644</t>
  </si>
  <si>
    <t>29/09/2022</t>
  </si>
  <si>
    <t>2080649</t>
  </si>
  <si>
    <t>2080651</t>
  </si>
  <si>
    <t>2080450</t>
  </si>
  <si>
    <t>2080696</t>
  </si>
  <si>
    <t>2080697</t>
  </si>
  <si>
    <t>2080698</t>
  </si>
  <si>
    <t>2080411</t>
  </si>
  <si>
    <t>2080412</t>
  </si>
  <si>
    <t>2080499</t>
  </si>
  <si>
    <t>2080501</t>
  </si>
  <si>
    <t>2080502</t>
  </si>
  <si>
    <t>2080611</t>
  </si>
  <si>
    <t>2080612</t>
  </si>
  <si>
    <t>2080613</t>
  </si>
  <si>
    <t>2080652</t>
  </si>
  <si>
    <t>2080653</t>
  </si>
  <si>
    <t>2080375</t>
  </si>
  <si>
    <t>2080376</t>
  </si>
  <si>
    <t>2080448</t>
  </si>
  <si>
    <t>2080449</t>
  </si>
  <si>
    <t>סה"כ מובטחות בבטחונות אחרים</t>
  </si>
  <si>
    <t>כן</t>
  </si>
  <si>
    <t>20701503</t>
  </si>
  <si>
    <t>18/11/2015</t>
  </si>
  <si>
    <t>2070208</t>
  </si>
  <si>
    <t>24/08/2016</t>
  </si>
  <si>
    <t>2070218</t>
  </si>
  <si>
    <t>26/10/2016</t>
  </si>
  <si>
    <t>2070243</t>
  </si>
  <si>
    <t>14/12/2016</t>
  </si>
  <si>
    <t>2070278</t>
  </si>
  <si>
    <t>14/06/2017</t>
  </si>
  <si>
    <t>2070287</t>
  </si>
  <si>
    <t>02/08/2017</t>
  </si>
  <si>
    <t>2070288</t>
  </si>
  <si>
    <t>2080198</t>
  </si>
  <si>
    <t>26/11/2017</t>
  </si>
  <si>
    <t>2080202</t>
  </si>
  <si>
    <t>06/12/2017</t>
  </si>
  <si>
    <t>2080322</t>
  </si>
  <si>
    <t>30/11/2018</t>
  </si>
  <si>
    <t>2080421</t>
  </si>
  <si>
    <t>02/02/2020</t>
  </si>
  <si>
    <t>2080406</t>
  </si>
  <si>
    <t>04/12/2019</t>
  </si>
  <si>
    <t>20702023</t>
  </si>
  <si>
    <t>01/01/2020</t>
  </si>
  <si>
    <t>2080427</t>
  </si>
  <si>
    <t>09/07/2020</t>
  </si>
  <si>
    <t>2080428</t>
  </si>
  <si>
    <t>21/09/2020</t>
  </si>
  <si>
    <t>2080439</t>
  </si>
  <si>
    <t>09/11/2020</t>
  </si>
  <si>
    <t>2080512</t>
  </si>
  <si>
    <t>10/02/2021</t>
  </si>
  <si>
    <t>2080440</t>
  </si>
  <si>
    <t>12/04/2021</t>
  </si>
  <si>
    <t>2080533</t>
  </si>
  <si>
    <t>29/06/2021</t>
  </si>
  <si>
    <t>2080534</t>
  </si>
  <si>
    <t>01/07/2021</t>
  </si>
  <si>
    <t>2080536</t>
  </si>
  <si>
    <t>04/07/2021</t>
  </si>
  <si>
    <t>2080538</t>
  </si>
  <si>
    <t>07/07/2021</t>
  </si>
  <si>
    <t>2080445</t>
  </si>
  <si>
    <t>08/07/2021</t>
  </si>
  <si>
    <t>2080540</t>
  </si>
  <si>
    <t>28/07/2021</t>
  </si>
  <si>
    <t>2080542</t>
  </si>
  <si>
    <t>11/08/2021</t>
  </si>
  <si>
    <t>2080543</t>
  </si>
  <si>
    <t>23/08/2021</t>
  </si>
  <si>
    <t>2080545</t>
  </si>
  <si>
    <t>19/09/2021</t>
  </si>
  <si>
    <t>2080549</t>
  </si>
  <si>
    <t>04/10/2021</t>
  </si>
  <si>
    <t>2080551</t>
  </si>
  <si>
    <t>26/10/2021</t>
  </si>
  <si>
    <t>2080554</t>
  </si>
  <si>
    <t>11/11/2021</t>
  </si>
  <si>
    <t>2080555</t>
  </si>
  <si>
    <t>15/11/2021</t>
  </si>
  <si>
    <t>2080556</t>
  </si>
  <si>
    <t>24/11/2021</t>
  </si>
  <si>
    <t>90240797</t>
  </si>
  <si>
    <t>11/07/2018</t>
  </si>
  <si>
    <t>2080562</t>
  </si>
  <si>
    <t>2080566</t>
  </si>
  <si>
    <t>06/01/2022</t>
  </si>
  <si>
    <t>2080567</t>
  </si>
  <si>
    <t>2080568</t>
  </si>
  <si>
    <t>2080569</t>
  </si>
  <si>
    <t>17/01/2022</t>
  </si>
  <si>
    <t>2080571</t>
  </si>
  <si>
    <t>19/01/2022</t>
  </si>
  <si>
    <t>2080575</t>
  </si>
  <si>
    <t>06/02/2022</t>
  </si>
  <si>
    <t>2080576</t>
  </si>
  <si>
    <t>2080580</t>
  </si>
  <si>
    <t>02/03/2022</t>
  </si>
  <si>
    <t>2080584</t>
  </si>
  <si>
    <t>2080583</t>
  </si>
  <si>
    <t>14/03/2022</t>
  </si>
  <si>
    <t>2080589</t>
  </si>
  <si>
    <t>23/03/2022</t>
  </si>
  <si>
    <t>2080590</t>
  </si>
  <si>
    <t>24/03/2022</t>
  </si>
  <si>
    <t>2080595</t>
  </si>
  <si>
    <t>13/04/2022</t>
  </si>
  <si>
    <t>2080598</t>
  </si>
  <si>
    <t>01/05/2022</t>
  </si>
  <si>
    <t>2080602</t>
  </si>
  <si>
    <t>2080604</t>
  </si>
  <si>
    <t>18/05/2022</t>
  </si>
  <si>
    <t>2080607</t>
  </si>
  <si>
    <t>22/05/2022</t>
  </si>
  <si>
    <t>2080609</t>
  </si>
  <si>
    <t>25/05/2022</t>
  </si>
  <si>
    <t>2080610</t>
  </si>
  <si>
    <t>2080606</t>
  </si>
  <si>
    <t>01/06/2022</t>
  </si>
  <si>
    <t>2080627</t>
  </si>
  <si>
    <t>01/07/2022</t>
  </si>
  <si>
    <t>2080626</t>
  </si>
  <si>
    <t>03/07/2022</t>
  </si>
  <si>
    <t>2080628</t>
  </si>
  <si>
    <t>06/07/2022</t>
  </si>
  <si>
    <t>2080637</t>
  </si>
  <si>
    <t>A+</t>
  </si>
  <si>
    <t>15/09/2022</t>
  </si>
  <si>
    <t>פנימי</t>
  </si>
  <si>
    <t>2080638</t>
  </si>
  <si>
    <t>2080639</t>
  </si>
  <si>
    <t>2080640</t>
  </si>
  <si>
    <t>2080641</t>
  </si>
  <si>
    <t>2080645</t>
  </si>
  <si>
    <t>2080646</t>
  </si>
  <si>
    <t>2080656</t>
  </si>
  <si>
    <t>ilBBB+</t>
  </si>
  <si>
    <t>2080547</t>
  </si>
  <si>
    <t>25/10/2022</t>
  </si>
  <si>
    <t>2080659</t>
  </si>
  <si>
    <t>2080663</t>
  </si>
  <si>
    <t>2080664</t>
  </si>
  <si>
    <t>2080665</t>
  </si>
  <si>
    <t>2080668</t>
  </si>
  <si>
    <t>01/12/2022</t>
  </si>
  <si>
    <t>2080671</t>
  </si>
  <si>
    <t>14/12/2022</t>
  </si>
  <si>
    <t>2080675</t>
  </si>
  <si>
    <t>26/12/2022</t>
  </si>
  <si>
    <t>2080679</t>
  </si>
  <si>
    <t>15/01/2023</t>
  </si>
  <si>
    <t>2080680</t>
  </si>
  <si>
    <t>16/01/2023</t>
  </si>
  <si>
    <t>2080683</t>
  </si>
  <si>
    <t>2080684</t>
  </si>
  <si>
    <t>2080685</t>
  </si>
  <si>
    <t>2080689</t>
  </si>
  <si>
    <t>26/02/2023</t>
  </si>
  <si>
    <t>2080690</t>
  </si>
  <si>
    <t>2080694</t>
  </si>
  <si>
    <t>2080695</t>
  </si>
  <si>
    <t>2080693</t>
  </si>
  <si>
    <t>2080700</t>
  </si>
  <si>
    <t>14/03/2023</t>
  </si>
  <si>
    <t>2080708</t>
  </si>
  <si>
    <t>2080709</t>
  </si>
  <si>
    <t>2080710</t>
  </si>
  <si>
    <t>2080711</t>
  </si>
  <si>
    <t>17/04/2023</t>
  </si>
  <si>
    <t>2080712</t>
  </si>
  <si>
    <t>02/04/2023</t>
  </si>
  <si>
    <t>2080723</t>
  </si>
  <si>
    <t>2080726</t>
  </si>
  <si>
    <t>29/05/2023</t>
  </si>
  <si>
    <t>2080727</t>
  </si>
  <si>
    <t>2080728</t>
  </si>
  <si>
    <t>30/05/2023</t>
  </si>
  <si>
    <t>2080732</t>
  </si>
  <si>
    <t>2080733</t>
  </si>
  <si>
    <t>2080734</t>
  </si>
  <si>
    <t>999999869</t>
  </si>
  <si>
    <t>30/09/2007</t>
  </si>
  <si>
    <t>207013328</t>
  </si>
  <si>
    <t>21/08/2013</t>
  </si>
  <si>
    <t>207013398</t>
  </si>
  <si>
    <t>24/10/2013</t>
  </si>
  <si>
    <t>207013423</t>
  </si>
  <si>
    <t>27/01/2011</t>
  </si>
  <si>
    <t>207013424</t>
  </si>
  <si>
    <t>17/11/2013</t>
  </si>
  <si>
    <t>207013425</t>
  </si>
  <si>
    <t>207013426</t>
  </si>
  <si>
    <t>207013427</t>
  </si>
  <si>
    <t>207013428</t>
  </si>
  <si>
    <t>207013429</t>
  </si>
  <si>
    <t>207013430</t>
  </si>
  <si>
    <t>207013431</t>
  </si>
  <si>
    <t>207013432</t>
  </si>
  <si>
    <t>207013433</t>
  </si>
  <si>
    <t>207013434</t>
  </si>
  <si>
    <t>207013435</t>
  </si>
  <si>
    <t>207013436</t>
  </si>
  <si>
    <t>207013437</t>
  </si>
  <si>
    <t>207013438</t>
  </si>
  <si>
    <t>207013439</t>
  </si>
  <si>
    <t>207013440</t>
  </si>
  <si>
    <t>207013441</t>
  </si>
  <si>
    <t>207013442</t>
  </si>
  <si>
    <t>207013443</t>
  </si>
  <si>
    <t>19/11/2013</t>
  </si>
  <si>
    <t>207013457</t>
  </si>
  <si>
    <t>22/12/2013</t>
  </si>
  <si>
    <t>207013351</t>
  </si>
  <si>
    <t>27/01/2014</t>
  </si>
  <si>
    <t>207013478</t>
  </si>
  <si>
    <t>26/02/2014</t>
  </si>
  <si>
    <t>207013492</t>
  </si>
  <si>
    <t>27/03/2014</t>
  </si>
  <si>
    <t>207013502</t>
  </si>
  <si>
    <t>13/04/2014</t>
  </si>
  <si>
    <t>207013507</t>
  </si>
  <si>
    <t>28/05/2014</t>
  </si>
  <si>
    <t>207013511</t>
  </si>
  <si>
    <t>25/06/2014</t>
  </si>
  <si>
    <t>207013513</t>
  </si>
  <si>
    <t>Ba1.il</t>
  </si>
  <si>
    <t>31/12/2016</t>
  </si>
  <si>
    <t>207013517</t>
  </si>
  <si>
    <t>16/07/2014</t>
  </si>
  <si>
    <t>207013518</t>
  </si>
  <si>
    <t>23/07/2014</t>
  </si>
  <si>
    <t>207013526</t>
  </si>
  <si>
    <t>207013530</t>
  </si>
  <si>
    <t>29/09/2014</t>
  </si>
  <si>
    <t>20701379</t>
  </si>
  <si>
    <t>29/01/2015</t>
  </si>
  <si>
    <t>20701381</t>
  </si>
  <si>
    <t>01/02/2015</t>
  </si>
  <si>
    <t>20701382</t>
  </si>
  <si>
    <t>20701383</t>
  </si>
  <si>
    <t>19/02/2015</t>
  </si>
  <si>
    <t>20701386</t>
  </si>
  <si>
    <t>02/05/2013</t>
  </si>
  <si>
    <t>20701387</t>
  </si>
  <si>
    <t>27/05/2013</t>
  </si>
  <si>
    <t>20701388</t>
  </si>
  <si>
    <t>17/07/2013</t>
  </si>
  <si>
    <t>20701389</t>
  </si>
  <si>
    <t>08/08/2013</t>
  </si>
  <si>
    <t>20701390</t>
  </si>
  <si>
    <t>04/02/2014</t>
  </si>
  <si>
    <t>20701391</t>
  </si>
  <si>
    <t>18/03/2014</t>
  </si>
  <si>
    <t>20701392</t>
  </si>
  <si>
    <t>28/12/2014</t>
  </si>
  <si>
    <t>20701407</t>
  </si>
  <si>
    <t>20701411</t>
  </si>
  <si>
    <t>20701429</t>
  </si>
  <si>
    <t>2070153</t>
  </si>
  <si>
    <t>17/09/2015</t>
  </si>
  <si>
    <t>2070162</t>
  </si>
  <si>
    <t>2070181</t>
  </si>
  <si>
    <t>2070198</t>
  </si>
  <si>
    <t>2070200</t>
  </si>
  <si>
    <t>12/07/2016</t>
  </si>
  <si>
    <t>2070207</t>
  </si>
  <si>
    <t>2070212</t>
  </si>
  <si>
    <t>8261018</t>
  </si>
  <si>
    <t>19/05/2009</t>
  </si>
  <si>
    <t>8261026</t>
  </si>
  <si>
    <t>8261034</t>
  </si>
  <si>
    <t>8261042</t>
  </si>
  <si>
    <t>8261059</t>
  </si>
  <si>
    <t>8261067</t>
  </si>
  <si>
    <t>8261075</t>
  </si>
  <si>
    <t>8261083</t>
  </si>
  <si>
    <t>8261091</t>
  </si>
  <si>
    <t>8261109</t>
  </si>
  <si>
    <t>8261117</t>
  </si>
  <si>
    <t>8261125</t>
  </si>
  <si>
    <t>8261133</t>
  </si>
  <si>
    <t>8261141</t>
  </si>
  <si>
    <t>8261158</t>
  </si>
  <si>
    <t>8261166</t>
  </si>
  <si>
    <t>8261174</t>
  </si>
  <si>
    <t>8261182</t>
  </si>
  <si>
    <t>8261190</t>
  </si>
  <si>
    <t>207013329</t>
  </si>
  <si>
    <t>02/09/2013</t>
  </si>
  <si>
    <t>207013330</t>
  </si>
  <si>
    <t>207013331</t>
  </si>
  <si>
    <t>207013332</t>
  </si>
  <si>
    <t>207013333</t>
  </si>
  <si>
    <t>207013334</t>
  </si>
  <si>
    <t>207013335</t>
  </si>
  <si>
    <t>207013336</t>
  </si>
  <si>
    <t>207013337</t>
  </si>
  <si>
    <t>207013338</t>
  </si>
  <si>
    <t>207013339</t>
  </si>
  <si>
    <t>207013340</t>
  </si>
  <si>
    <t>207013341</t>
  </si>
  <si>
    <t>207013342</t>
  </si>
  <si>
    <t>207013343</t>
  </si>
  <si>
    <t>207013344</t>
  </si>
  <si>
    <t>207013345</t>
  </si>
  <si>
    <t>207013346</t>
  </si>
  <si>
    <t>207013347</t>
  </si>
  <si>
    <t>2070239</t>
  </si>
  <si>
    <t>20702591</t>
  </si>
  <si>
    <t>06/02/2017</t>
  </si>
  <si>
    <t>20702601</t>
  </si>
  <si>
    <t>20702399</t>
  </si>
  <si>
    <t>09/03/2017</t>
  </si>
  <si>
    <t>20702400</t>
  </si>
  <si>
    <t>2070286</t>
  </si>
  <si>
    <t>2070295</t>
  </si>
  <si>
    <t>04/09/2017</t>
  </si>
  <si>
    <t>2070296</t>
  </si>
  <si>
    <t>20702401</t>
  </si>
  <si>
    <t>11/09/2017</t>
  </si>
  <si>
    <t>2080206</t>
  </si>
  <si>
    <t>11/12/2017</t>
  </si>
  <si>
    <t>2080232</t>
  </si>
  <si>
    <t>12/03/2018</t>
  </si>
  <si>
    <t>2080241</t>
  </si>
  <si>
    <t>08/06/2020</t>
  </si>
  <si>
    <t>2080240</t>
  </si>
  <si>
    <t>29/08/2018</t>
  </si>
  <si>
    <t>90113001</t>
  </si>
  <si>
    <t>21/08/2018</t>
  </si>
  <si>
    <t>20802748</t>
  </si>
  <si>
    <t>02/01/2019</t>
  </si>
  <si>
    <t>20802749</t>
  </si>
  <si>
    <t>2080361</t>
  </si>
  <si>
    <t>01/03/2019</t>
  </si>
  <si>
    <t>2080362</t>
  </si>
  <si>
    <t>12/03/2019</t>
  </si>
  <si>
    <t>2080363</t>
  </si>
  <si>
    <t>2080367</t>
  </si>
  <si>
    <t>2080451</t>
  </si>
  <si>
    <t>29/05/2019</t>
  </si>
  <si>
    <t>2080396</t>
  </si>
  <si>
    <t>29/07/2019</t>
  </si>
  <si>
    <t>2080397</t>
  </si>
  <si>
    <t>20803950</t>
  </si>
  <si>
    <t>20804061</t>
  </si>
  <si>
    <t>21/11/2019</t>
  </si>
  <si>
    <t>20803912</t>
  </si>
  <si>
    <t>17/12/2019</t>
  </si>
  <si>
    <t>20702019</t>
  </si>
  <si>
    <t>26/12/2019</t>
  </si>
  <si>
    <t>20804114</t>
  </si>
  <si>
    <t>30/12/2019</t>
  </si>
  <si>
    <t>20804116</t>
  </si>
  <si>
    <t>20702022</t>
  </si>
  <si>
    <t>20802407</t>
  </si>
  <si>
    <t>01/05/2019</t>
  </si>
  <si>
    <t>90142366</t>
  </si>
  <si>
    <t>AA-</t>
  </si>
  <si>
    <t>17/10/2013</t>
  </si>
  <si>
    <t>90142367</t>
  </si>
  <si>
    <t>2080521</t>
  </si>
  <si>
    <t>25/04/2021</t>
  </si>
  <si>
    <t>2080522</t>
  </si>
  <si>
    <t>2080531</t>
  </si>
  <si>
    <t>03/06/2021</t>
  </si>
  <si>
    <t>2080529</t>
  </si>
  <si>
    <t>30/05/2021</t>
  </si>
  <si>
    <t>2080574</t>
  </si>
  <si>
    <t>2080621</t>
  </si>
  <si>
    <t>22/06/2022</t>
  </si>
  <si>
    <t>2080622</t>
  </si>
  <si>
    <t>23/06/2022</t>
  </si>
  <si>
    <t>2080632</t>
  </si>
  <si>
    <t>01/08/2022</t>
  </si>
  <si>
    <t>2080633</t>
  </si>
  <si>
    <t>15/08/2022</t>
  </si>
  <si>
    <t>2080647</t>
  </si>
  <si>
    <t>18/09/2022</t>
  </si>
  <si>
    <t>2080648</t>
  </si>
  <si>
    <t>2080676</t>
  </si>
  <si>
    <t>28/12/2022</t>
  </si>
  <si>
    <t>2080677</t>
  </si>
  <si>
    <t>2080691</t>
  </si>
  <si>
    <t>23/02/2023</t>
  </si>
  <si>
    <t>2080692</t>
  </si>
  <si>
    <t>2080704</t>
  </si>
  <si>
    <t>19/03/2023</t>
  </si>
  <si>
    <t>2080688</t>
  </si>
  <si>
    <t>12/02/2023</t>
  </si>
  <si>
    <t>2080706</t>
  </si>
  <si>
    <t>2080681</t>
  </si>
  <si>
    <t>18/01/2023</t>
  </si>
  <si>
    <t>2080724</t>
  </si>
  <si>
    <t>11/05/2023</t>
  </si>
  <si>
    <t>2080731</t>
  </si>
  <si>
    <t>20701419</t>
  </si>
  <si>
    <t>17/08/2015</t>
  </si>
  <si>
    <t>20701427</t>
  </si>
  <si>
    <t>25/10/2015</t>
  </si>
  <si>
    <t>2070210</t>
  </si>
  <si>
    <t>2070220</t>
  </si>
  <si>
    <t>2070245</t>
  </si>
  <si>
    <t>2070280</t>
  </si>
  <si>
    <t>2080204</t>
  </si>
  <si>
    <t>207013246</t>
  </si>
  <si>
    <t>20/02/2013</t>
  </si>
  <si>
    <t>2080279</t>
  </si>
  <si>
    <t>99999844</t>
  </si>
  <si>
    <t>20/05/2012</t>
  </si>
  <si>
    <t>99999845</t>
  </si>
  <si>
    <t>2080277</t>
  </si>
  <si>
    <t>25/06/2018</t>
  </si>
  <si>
    <t>2080506</t>
  </si>
  <si>
    <t>30/03/2002</t>
  </si>
  <si>
    <t>999999657</t>
  </si>
  <si>
    <t>30/06/2016</t>
  </si>
  <si>
    <t>999999659</t>
  </si>
  <si>
    <t>99999965</t>
  </si>
  <si>
    <t>13/09/2016</t>
  </si>
  <si>
    <t>999999663</t>
  </si>
  <si>
    <t>90554201</t>
  </si>
  <si>
    <t>26/11/2020</t>
  </si>
  <si>
    <t>90554202</t>
  </si>
  <si>
    <t>90554203</t>
  </si>
  <si>
    <t>90554204</t>
  </si>
  <si>
    <t>90554205</t>
  </si>
  <si>
    <t>31/12/2020</t>
  </si>
  <si>
    <t>90554206</t>
  </si>
  <si>
    <t>90554207</t>
  </si>
  <si>
    <t>01/04/2021</t>
  </si>
  <si>
    <t>90554208</t>
  </si>
  <si>
    <t>90554209</t>
  </si>
  <si>
    <t>90554210</t>
  </si>
  <si>
    <t>90554211</t>
  </si>
  <si>
    <t>01/10/2021</t>
  </si>
  <si>
    <t>90554212</t>
  </si>
  <si>
    <t>90554213</t>
  </si>
  <si>
    <t>02/01/2022</t>
  </si>
  <si>
    <t>90554214</t>
  </si>
  <si>
    <t>2080591</t>
  </si>
  <si>
    <t>01/04/2022</t>
  </si>
  <si>
    <t>2080592</t>
  </si>
  <si>
    <t>2080624</t>
  </si>
  <si>
    <t>2080625</t>
  </si>
  <si>
    <t>2080654</t>
  </si>
  <si>
    <t>02/10/2022</t>
  </si>
  <si>
    <t>2080655</t>
  </si>
  <si>
    <t>2080662</t>
  </si>
  <si>
    <t>06/11/2022</t>
  </si>
  <si>
    <t>2080687</t>
  </si>
  <si>
    <t>2080707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</si>
  <si>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</si>
  <si>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</si>
  <si>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</si>
  <si>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</si>
  <si>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</si>
  <si>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מובטחות בערבות בנקאית</t>
  </si>
  <si>
    <t>סה"כ לא מובטחות</t>
  </si>
  <si>
    <t>2080472</t>
  </si>
  <si>
    <t>19/02/2020</t>
  </si>
  <si>
    <t>2080338</t>
  </si>
  <si>
    <t>20/02/2019</t>
  </si>
  <si>
    <t>2080353</t>
  </si>
  <si>
    <t>07/03/2019</t>
  </si>
  <si>
    <t>2080385</t>
  </si>
  <si>
    <t>18/06/2019</t>
  </si>
  <si>
    <t>2080388</t>
  </si>
  <si>
    <t>26/06/2019</t>
  </si>
  <si>
    <t>20805270</t>
  </si>
  <si>
    <t>20/05/2021</t>
  </si>
  <si>
    <t>2080601</t>
  </si>
  <si>
    <t>777100009</t>
  </si>
  <si>
    <t>31/08/2022</t>
  </si>
  <si>
    <t>2080725</t>
  </si>
  <si>
    <t>72681158</t>
  </si>
  <si>
    <t>29/12/2020</t>
  </si>
  <si>
    <t>72721459</t>
  </si>
  <si>
    <t>72721475</t>
  </si>
  <si>
    <t>סה"כ צמוד למדד</t>
  </si>
  <si>
    <t>פק' דיסקונט פריים-1.42% 12/12/23</t>
  </si>
  <si>
    <t>20803074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</si>
  <si>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</si>
  <si>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</si>
  <si>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</si>
  <si>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</si>
  <si>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</si>
  <si>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</si>
  <si>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אול יר אגח ב</t>
  </si>
  <si>
    <t>1139781</t>
  </si>
  <si>
    <t>אול יר אגח ג</t>
  </si>
  <si>
    <t>1140136</t>
  </si>
  <si>
    <t>אול יר אגח ד</t>
  </si>
  <si>
    <t>1141274</t>
  </si>
  <si>
    <t>אול יר אגח ה</t>
  </si>
  <si>
    <t>1143304</t>
  </si>
  <si>
    <t>אגל"ס אלון חברה לדלק 22.01.07 עמיתים -חש</t>
  </si>
  <si>
    <t>20701423</t>
  </si>
  <si>
    <t>יורוקום הלוואה ב 12.2014</t>
  </si>
  <si>
    <t>20701371</t>
  </si>
  <si>
    <t>יורוקום הלוואה ג 12.2014</t>
  </si>
  <si>
    <t>20701372</t>
  </si>
  <si>
    <t>חייבים זכאים תפעולי</t>
  </si>
  <si>
    <t>60101335</t>
  </si>
  <si>
    <t>שקל  סיטי בנק סיטיבנק</t>
  </si>
  <si>
    <t>שקל  סיטי בנק עדכון ידני סיטיבנק</t>
  </si>
  <si>
    <t>יורו  סיטי בנק עדכון ידני סיטיבנק</t>
  </si>
  <si>
    <t>דולר  סיטי בנק עדכון ידני סיטיבנק</t>
  </si>
  <si>
    <t>דולר  סיטי בנק סיטיבנק</t>
  </si>
  <si>
    <t>Margin FW  Citibank USD סיטיבנק</t>
  </si>
  <si>
    <t>שקל  הפועלים בנק הפועלים בע"מ</t>
  </si>
  <si>
    <t>שקל  יו בנק בנק יו-בנק בע"מ</t>
  </si>
  <si>
    <t>אירו  הפועלים בנק הפועלים בע"מ</t>
  </si>
  <si>
    <t>אירו  הפועלים עדכון ידני בנק הפועלים בע"מ</t>
  </si>
  <si>
    <t>דולר  הפועלים בנק הפועלים בע"מ</t>
  </si>
  <si>
    <t>אירו  סיטי בנק סיטיבנק</t>
  </si>
  <si>
    <t>דולר  JPM עדכון ידני JPM</t>
  </si>
  <si>
    <t>Margin FW  JPM USD JPM</t>
  </si>
  <si>
    <t>Margin Future  JPM USD JPM</t>
  </si>
  <si>
    <t>שקל  דיסקונט בנק דיסקונט לישראל בע"מ</t>
  </si>
  <si>
    <t>שקל  דיסקונט עדכון ידני בנק דיסקונט לישראל בע"מ</t>
  </si>
  <si>
    <t>שקל  הפועלים עדכון ידני בנק הפועלים בע"מ</t>
  </si>
  <si>
    <t>שקל  פועלים בנק הפועלים בע"מ</t>
  </si>
  <si>
    <t>שקל  יובנק בנק יו-בנק בע"מ</t>
  </si>
  <si>
    <t>שקל  לאומי בנק לאומי לישראל בע"מ</t>
  </si>
  <si>
    <t>שקל  לאומי עדכון ידני בנק לאומי לישראל בע"מ</t>
  </si>
  <si>
    <t>דולר  דיסקונט בנק דיסקונט לישראל בע"מ</t>
  </si>
  <si>
    <t>דולר  דיסקונט עדכון ידני בנק דיסקונט לישראל בע"מ</t>
  </si>
  <si>
    <t>דולר  פועלים בנק הפועלים בע"מ</t>
  </si>
  <si>
    <t>דולר  הפועלים עדכון ידני בנק הפועלים בע"מ</t>
  </si>
  <si>
    <t>דולר  לאומי בנק לאומי לישראל בע"מ</t>
  </si>
  <si>
    <t>דולר  לאומי עדכון ידני בנק לאומי לישראל בע"מ</t>
  </si>
  <si>
    <t>Margin FW  Hapoalim USD בנק הפועלים בע"מ</t>
  </si>
  <si>
    <t>Margin FW  Leumi USD בנק לאומי לישראל בע"מ</t>
  </si>
  <si>
    <t>אירו  BNY Bny Mellon</t>
  </si>
  <si>
    <t>דולר  BNY Bny Mellon</t>
  </si>
  <si>
    <t>דולר  BNY עדכון ידני Bny Mellon</t>
  </si>
  <si>
    <t>דולר עתידי  BNY Bny Mellon</t>
  </si>
  <si>
    <t>שקל  מזרחי בנק מזרחי טפחות בע"מ</t>
  </si>
  <si>
    <t>דולר  דיסוקנט בנק דיסקונט לישראל בע"מ</t>
  </si>
  <si>
    <t>דולר  פועלים עדכון ידני בנק הפועלים בע"מ</t>
  </si>
  <si>
    <t>אירו  לאומי בנק לאומי לישראל בע"מ</t>
  </si>
  <si>
    <t>יורו  BNY Bny Mellon</t>
  </si>
  <si>
    <t>דולר  GS עדכון ידני Goldman Sachs</t>
  </si>
  <si>
    <t>Margin FW   USD GS Goldman Sachs</t>
  </si>
  <si>
    <t>*בעל עניין/צד קשור</t>
  </si>
  <si>
    <t>סה"כ יתרות התחייבות להשקעה</t>
  </si>
  <si>
    <t>Commitment Arbel II</t>
  </si>
  <si>
    <t>2029</t>
  </si>
  <si>
    <t>Commitment Giza Singer Even Mezzanine</t>
  </si>
  <si>
    <t>Commitment Reality Debt Fund Commitment Reality D</t>
  </si>
  <si>
    <t>Commitment Greenlight Fund</t>
  </si>
  <si>
    <t>מסגרת מתקן התפלה חדרה דולר 2012</t>
  </si>
  <si>
    <t>2036</t>
  </si>
  <si>
    <t>מסגרת מתקן התפלה חדרה יורו</t>
  </si>
  <si>
    <t>מסגרת אגירה שואבה PSP</t>
  </si>
  <si>
    <t>2024</t>
  </si>
  <si>
    <t>מסגרת וויצק נדלן בכיר</t>
  </si>
  <si>
    <t>מסגרת וויצק נדלן סופר מזנין</t>
  </si>
  <si>
    <t>מסגרת כביש 16 סטנד ביי</t>
  </si>
  <si>
    <t>מסגרת כביש 16 טווח ארוך</t>
  </si>
  <si>
    <t>מסגרת צומת OPC טווח ארוך</t>
  </si>
  <si>
    <t>2025</t>
  </si>
  <si>
    <t>מסגרת צומת OPC סטנד ביי</t>
  </si>
  <si>
    <t>מסגרת נמל דרום</t>
  </si>
  <si>
    <t>מסגרת אמפא יובלים</t>
  </si>
  <si>
    <t>מסגרת ברקת כיכר המדינה א</t>
  </si>
  <si>
    <t>2027</t>
  </si>
  <si>
    <t>מסגרת ברקת כיכר המדינה ב</t>
  </si>
  <si>
    <t>מסגרת תדהר</t>
  </si>
  <si>
    <t>מסגרת מגוריט מנרב</t>
  </si>
  <si>
    <t>2026</t>
  </si>
  <si>
    <t>מסגרת קריית התקשוב</t>
  </si>
  <si>
    <t>מסגרת קריית המודיעין</t>
  </si>
  <si>
    <t>2030</t>
  </si>
  <si>
    <t>Commitment Mdison Realty Capital  Fund IV</t>
  </si>
  <si>
    <t>Commitment Torchlight Debt Opportunity Fund VI</t>
  </si>
  <si>
    <t>Commitment  Blackstone Real Estate Partners IX</t>
  </si>
  <si>
    <t>Commitment RevolverCap Partners Fund</t>
  </si>
  <si>
    <t>Commitment Madison Realty Capital Debt Fund V</t>
  </si>
  <si>
    <t>Commitment SCP IRE SERIES III</t>
  </si>
  <si>
    <t>Commitment HGI Multifamily Credit Fund</t>
  </si>
  <si>
    <t>Commitment MV Subordinated V</t>
  </si>
  <si>
    <t>2032</t>
  </si>
  <si>
    <t>Commitment Madison Realty Capital Debt Fund VI</t>
  </si>
  <si>
    <t>2028</t>
  </si>
  <si>
    <t>Commitment Northwind Healthcare Debt Fund I</t>
  </si>
  <si>
    <t>Commitment Electra Capital PM II</t>
  </si>
  <si>
    <t>Commitment EQT Infrastructure VI</t>
  </si>
  <si>
    <t>2035</t>
  </si>
  <si>
    <t>Commitment Energy Capital Partners V</t>
  </si>
  <si>
    <t>2033</t>
  </si>
  <si>
    <t>Commitment ECP V Clal Co-Invest</t>
  </si>
  <si>
    <t>Fort Lauderdale Commitment</t>
  </si>
  <si>
    <t>יין יפני</t>
  </si>
  <si>
    <t>הלוואה לגורם 171</t>
  </si>
  <si>
    <t>הלוואה לגורם 125</t>
  </si>
  <si>
    <t>הלוואה לגורם 113</t>
  </si>
  <si>
    <t>הלוואה לגורם 93</t>
  </si>
  <si>
    <t>הלוואה לגורם 94</t>
  </si>
  <si>
    <t>הלוואה לגורם 150</t>
  </si>
  <si>
    <t>הלוואה לגורם 77</t>
  </si>
  <si>
    <t>הלוואה לגורם 45</t>
  </si>
  <si>
    <t>הלוואה לגורם 173</t>
  </si>
  <si>
    <t>הלוואה לגורם 36</t>
  </si>
  <si>
    <t>הלוואה לגורם 54</t>
  </si>
  <si>
    <t>הלוואה לגורם 41</t>
  </si>
  <si>
    <t>הלוואה לגורם 166</t>
  </si>
  <si>
    <t>הלוואה לגורם 175</t>
  </si>
  <si>
    <t>הלוואה לגורם 181</t>
  </si>
  <si>
    <t>הלוואה לגורם 189</t>
  </si>
  <si>
    <t>הלוואה לגורם 190</t>
  </si>
  <si>
    <t>הלוואה לגורם 191</t>
  </si>
  <si>
    <t>הלוואה לגורם 192</t>
  </si>
  <si>
    <t>הלוואה לגורם 193</t>
  </si>
  <si>
    <t>הלוואה לגורם 99</t>
  </si>
  <si>
    <t>הלוואה לגורם 92</t>
  </si>
  <si>
    <t>הלוואה לגורם 169</t>
  </si>
  <si>
    <t>הלוואה לגורם 187</t>
  </si>
  <si>
    <t>הלוואה לגורם 179</t>
  </si>
  <si>
    <t>הלוואה לגורם 168</t>
  </si>
  <si>
    <t>הלוואה לגורם 167</t>
  </si>
  <si>
    <t>הלוואה לגורם 154</t>
  </si>
  <si>
    <t>הלוואה לגורם 116</t>
  </si>
  <si>
    <t>הלוואה לגורם 158</t>
  </si>
  <si>
    <t>הלוואה לגורם 156</t>
  </si>
  <si>
    <t>הלוואה לגורם 84</t>
  </si>
  <si>
    <t>הלוואה לגורם 170</t>
  </si>
  <si>
    <t>הלוואה לגורם 134</t>
  </si>
  <si>
    <t>הלוואה לגורם 155</t>
  </si>
  <si>
    <t>הלוואה לגורם 157</t>
  </si>
  <si>
    <t>הלוואה לגורם 135</t>
  </si>
  <si>
    <t>הלוואה לגורם 117</t>
  </si>
  <si>
    <t>הלוואה לגורם 165</t>
  </si>
  <si>
    <t>הלוואה לגורם 180</t>
  </si>
  <si>
    <t>הלוואה לגורם 100</t>
  </si>
  <si>
    <t>הלוואה לגורם 164</t>
  </si>
  <si>
    <t>הלוואה לגורם 196</t>
  </si>
  <si>
    <t>הלוואה לגורם 185</t>
  </si>
  <si>
    <t>הלוואה לגורם 186</t>
  </si>
  <si>
    <t>הלוואה לגורם 195</t>
  </si>
  <si>
    <t>הלוואה לגורם 182</t>
  </si>
  <si>
    <t>הלוואה לגורם 174</t>
  </si>
  <si>
    <t>הלוואה לגורם 120</t>
  </si>
  <si>
    <t>הלוואה לגורם 107</t>
  </si>
  <si>
    <t>הלוואה לגורם 194</t>
  </si>
  <si>
    <t>הלוואה לגורם 162</t>
  </si>
  <si>
    <t>הלוואה לגורם 83</t>
  </si>
  <si>
    <t>הלוואה לגורם 126</t>
  </si>
  <si>
    <t>הלוואה לגורם 163</t>
  </si>
  <si>
    <t>הלוואה לגורם 178</t>
  </si>
  <si>
    <t>הלוואה לגורם 159</t>
  </si>
  <si>
    <t>הלוואה לגורם 184</t>
  </si>
  <si>
    <t>הלוואה לגורם 176</t>
  </si>
  <si>
    <t>הלוואה לגורם 177</t>
  </si>
  <si>
    <t>הלוואה לגורם 138</t>
  </si>
  <si>
    <t>עמית א</t>
  </si>
  <si>
    <t>הלוואה לגורם 197</t>
  </si>
  <si>
    <t>הלוואה לגורם 199</t>
  </si>
  <si>
    <t>הלוואה לגורם 200</t>
  </si>
  <si>
    <t>עמודה1</t>
  </si>
  <si>
    <t>לא</t>
  </si>
  <si>
    <t>5PRBRS5FEH7NREC8OR45</t>
  </si>
  <si>
    <t>549300Z7JJ4TQSQGT333</t>
  </si>
  <si>
    <t>4ZHCHI4KYZG2WVRT8631</t>
  </si>
  <si>
    <t>549300TMDIT8WREDOF45</t>
  </si>
  <si>
    <t>SQL3F6CKNNBM3SQGHX24</t>
  </si>
  <si>
    <t>M2XHYMU3TZNEZURC6H66</t>
  </si>
  <si>
    <t>N32S6DTR2ZZ5222WHV58</t>
  </si>
  <si>
    <t>LZBNYYCBUKY537072438</t>
  </si>
  <si>
    <t>0J0XRGZE3PBRFEZ7MV65</t>
  </si>
  <si>
    <t>54930064UHXCIUWVI755</t>
  </si>
  <si>
    <t>254900QBKK4WBSO3GE51</t>
  </si>
  <si>
    <t>5493009JEEDYLVRA0J13</t>
  </si>
  <si>
    <t>QUR0DG15Z6FFGYCHH861</t>
  </si>
  <si>
    <t>549300AMCKY57OK2CO56</t>
  </si>
  <si>
    <t>549300Z40J86GGSTL398</t>
  </si>
  <si>
    <t>WP5O65E6BMU84LNO4227</t>
  </si>
  <si>
    <t>5493004CKJQ7H391LM41</t>
  </si>
  <si>
    <t>9DJT3UXIJIZJI4WXO774</t>
  </si>
  <si>
    <t>F8SB4JFBSYQFRQEH3Z21</t>
  </si>
  <si>
    <t>549300WV6GIDOZJTV909</t>
  </si>
  <si>
    <t>225YDZ14ZO8E1TXUSU86</t>
  </si>
  <si>
    <t>BFXS5XCH7N0Y05NIXW11</t>
  </si>
  <si>
    <t>5493005GKEG8QCVY7037</t>
  </si>
  <si>
    <t>LMPL4N8ZOJRMF0KOF759</t>
  </si>
  <si>
    <t>CD30XVRLT4QO00B1C706</t>
  </si>
  <si>
    <t>IGJSJL3JD5P30I6NJZ34</t>
  </si>
  <si>
    <t>213800J1134IW58IC398</t>
  </si>
  <si>
    <t>549300LQ4LWX2R8ZV130</t>
  </si>
  <si>
    <t>54930070NSV60J38I987</t>
  </si>
  <si>
    <t>1Z4GXXU7ZHVWFCD8TV52</t>
  </si>
  <si>
    <t>QH78R09VCJGQKPBPYU33</t>
  </si>
  <si>
    <t>549300ZSLGV64ZL3HD75</t>
  </si>
  <si>
    <t>5493006I78VIN6J1BQ95</t>
  </si>
  <si>
    <t>549300HTIN2PD78UB763</t>
  </si>
  <si>
    <t>549300DXR29GD4N0A520</t>
  </si>
  <si>
    <t>DS830JTTZQN6GK0I2E41</t>
  </si>
  <si>
    <t>OPX52SQVOZI8IVSWYU66</t>
  </si>
  <si>
    <t>213800MRR46ECNGZ7L69</t>
  </si>
  <si>
    <t>ZTMSNXROF84AHWJNKQ93</t>
  </si>
  <si>
    <t>549300HTGDOVDU6OGK19</t>
  </si>
  <si>
    <t>5299002QLUYKK2WBMB18</t>
  </si>
  <si>
    <t>5299005A2ZEP6AP7KM81</t>
  </si>
  <si>
    <t>9695005MSX1OYEMGDF46</t>
  </si>
  <si>
    <t>549300Y0MFCAXLBWUV51</t>
  </si>
  <si>
    <t>98TPTUM4IVMFCZBCUR27</t>
  </si>
  <si>
    <t>5493004LGN656HWLDA30</t>
  </si>
  <si>
    <t>549300IF4IFG0FS0RM26</t>
  </si>
  <si>
    <t>549300DJ09SMTO561131</t>
  </si>
  <si>
    <t>549300VRF0U0JH8TBJ74</t>
  </si>
  <si>
    <t>529900IMXUCQKUL1H943</t>
  </si>
  <si>
    <t>213800TB53ELEUKM7Q61</t>
  </si>
  <si>
    <t>549300CRVT18MXX0AG93</t>
  </si>
  <si>
    <t>222100CO2ZOTEPGJO223</t>
  </si>
  <si>
    <t>969500LENY69X51OOT31</t>
  </si>
  <si>
    <t>969500QZC2Q0TK11NV07</t>
  </si>
  <si>
    <t>549300J4U55H3WP1XT59</t>
  </si>
  <si>
    <t>7245007FZS0M65WUGP67</t>
  </si>
  <si>
    <t>E26EDV109X6EEPBKVH76</t>
  </si>
  <si>
    <t>MAES062Z21O4RZ2U7M96</t>
  </si>
  <si>
    <t>O2RNE8IBXP4R0TD8PU41</t>
  </si>
  <si>
    <t>549300NYKK9MWM7GGW15</t>
  </si>
  <si>
    <t>R0MUWSFPU8MPRO8K5P83</t>
  </si>
  <si>
    <t>5493006QMFDDMYWIAM13</t>
  </si>
  <si>
    <t>DG3RU1DBUFHT4ZF9WN62</t>
  </si>
  <si>
    <t>969500TJ5KRTCJQWXH05</t>
  </si>
  <si>
    <t>213800LBQA1Y9L22JB70</t>
  </si>
  <si>
    <t>549300XFX12G42QIKN82</t>
  </si>
  <si>
    <t>2138005O9XJIJN4JPN90</t>
  </si>
  <si>
    <t>549300Y4ZFSCU6XVGF08</t>
  </si>
  <si>
    <t>549300QQR5SNTQVNFC45</t>
  </si>
  <si>
    <t>549300D9O5F5P2DTYB19</t>
  </si>
  <si>
    <t>549300NEMRCSGL23FU27</t>
  </si>
  <si>
    <t>54930077MN2BBHNFZQ03</t>
  </si>
  <si>
    <t>5493009BXYOCIRTXRS63</t>
  </si>
  <si>
    <t>A3OFOMMYV8PYF37HFY49</t>
  </si>
  <si>
    <t>549300OGASR5WRKJ8R68</t>
  </si>
  <si>
    <t>549300HQ8IBAX0TXDL49</t>
  </si>
  <si>
    <t>549300OKF6OUA5P5MU19</t>
  </si>
  <si>
    <t>549300B3CEAHYG7K8164</t>
  </si>
  <si>
    <t>549300RZ4TE1T5F3DY45</t>
  </si>
  <si>
    <t>51AMXMBYJTZWXA4L4L83</t>
  </si>
  <si>
    <t>FDQ3U0BX0ZTSLH0GBR19</t>
  </si>
  <si>
    <t>549300NHQGC72RX55X16</t>
  </si>
  <si>
    <t>קרדן אן.וי-ש</t>
  </si>
  <si>
    <t>NV1239114</t>
  </si>
  <si>
    <t xml:space="preserve">נתיבי גז אגח ד </t>
  </si>
  <si>
    <t xml:space="preserve">אדמה אגח ב </t>
  </si>
  <si>
    <t xml:space="preserve">נכסים ובנ אגח ד </t>
  </si>
  <si>
    <t>דיסקונט השקעות אגח ו'</t>
  </si>
  <si>
    <t xml:space="preserve">קרדן אן וי אגח א  </t>
  </si>
  <si>
    <t xml:space="preserve">לוינשטיין נכסים אגח ג </t>
  </si>
  <si>
    <t xml:space="preserve">לוינשטיין הנדסה אגח ה </t>
  </si>
  <si>
    <t xml:space="preserve">סילברסטין אגח ב </t>
  </si>
  <si>
    <t xml:space="preserve">פתאל החזקות אגח ב </t>
  </si>
  <si>
    <t xml:space="preserve">שמוס  אגח א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</si>
</sst>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3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sz val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36">
    <xf numFmtId="0" fontId="0" fillId="0" borderId="0" xfId="0"/>
    <xf numFmtId="0" fontId="4" fillId="3" borderId="1" xfId="0" applyFont="1" applyFill="1" applyBorder="1" applyAlignment="1">
      <alignment horizontal="right"/>
    </xf>
    <xf numFmtId="165" fontId="1" fillId="3" borderId="1" xfId="3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/>
    </xf>
    <xf numFmtId="165" fontId="1" fillId="3" borderId="2" xfId="3" applyNumberFormat="1" applyFont="1" applyFill="1" applyBorder="1" applyAlignment="1">
      <alignment horizontal="center"/>
    </xf>
    <xf numFmtId="0" fontId="0" fillId="2" borderId="0" xfId="0" applyFill="1"/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0" fontId="0" fillId="2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10" fontId="1" fillId="2" borderId="1" xfId="3" applyNumberFormat="1" applyFill="1" applyBorder="1"/>
    <xf numFmtId="167" fontId="1" fillId="2" borderId="0" xfId="3" applyNumberFormat="1" applyFill="1"/>
    <xf numFmtId="167" fontId="1" fillId="2" borderId="0" xfId="1" applyNumberFormat="1" applyFill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0" fontId="1" fillId="2" borderId="1" xfId="3" applyNumberFormat="1" applyFill="1" applyBorder="1" applyAlignment="1">
      <alignment horizontal="right"/>
    </xf>
    <xf numFmtId="10" fontId="1" fillId="2" borderId="1" xfId="3" applyNumberFormat="1" applyFill="1" applyBorder="1" applyAlignment="1">
      <alignment horizontal="center"/>
    </xf>
    <xf numFmtId="2" fontId="1" fillId="2" borderId="1" xfId="3" applyNumberFormat="1" applyFill="1" applyBorder="1"/>
    <xf numFmtId="0" fontId="4" fillId="3" borderId="3" xfId="0" applyFont="1" applyFill="1" applyBorder="1" applyAlignment="1">
      <alignment horizontal="center"/>
    </xf>
    <xf numFmtId="10" fontId="1" fillId="3" borderId="1" xfId="3" applyNumberFormat="1" applyFill="1" applyBorder="1" applyAlignment="1">
      <alignment horizontal="center"/>
    </xf>
    <xf numFmtId="10" fontId="1" fillId="3" borderId="1" xfId="3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1" fillId="3" borderId="7" xfId="3" applyNumberFormat="1" applyFont="1" applyFill="1" applyBorder="1" applyAlignment="1">
      <alignment horizontal="center"/>
    </xf>
    <xf numFmtId="10" fontId="1" fillId="2" borderId="8" xfId="3" applyNumberFormat="1" applyFill="1" applyBorder="1" applyAlignment="1">
      <alignment horizontal="right"/>
    </xf>
    <xf numFmtId="10" fontId="1" fillId="2" borderId="8" xfId="3" applyNumberFormat="1" applyFill="1" applyBorder="1" applyAlignment="1">
      <alignment horizontal="center"/>
    </xf>
    <xf numFmtId="2" fontId="1" fillId="2" borderId="8" xfId="3" applyNumberFormat="1" applyFill="1" applyBorder="1"/>
    <xf numFmtId="10" fontId="1" fillId="2" borderId="8" xfId="3" applyNumberFormat="1" applyFill="1" applyBorder="1"/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0" fillId="0" borderId="1" xfId="0" applyBorder="1"/>
    <xf numFmtId="164" fontId="4" fillId="2" borderId="1" xfId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165" fontId="4" fillId="3" borderId="1" xfId="3" applyNumberFormat="1" applyFont="1" applyFill="1" applyBorder="1" applyAlignment="1">
      <alignment horizontal="center"/>
    </xf>
    <xf numFmtId="165" fontId="10" fillId="3" borderId="1" xfId="3" applyNumberFormat="1" applyFont="1" applyFill="1" applyBorder="1" applyAlignment="1">
      <alignment horizontal="center"/>
    </xf>
    <xf numFmtId="165" fontId="10" fillId="3" borderId="2" xfId="3" applyNumberFormat="1" applyFont="1" applyFill="1" applyBorder="1" applyAlignment="1">
      <alignment horizontal="center"/>
    </xf>
    <xf numFmtId="10" fontId="10" fillId="3" borderId="1" xfId="3" applyNumberFormat="1" applyFont="1" applyFill="1" applyBorder="1" applyAlignment="1">
      <alignment horizontal="center"/>
    </xf>
    <xf numFmtId="10" fontId="4" fillId="3" borderId="1" xfId="3" applyNumberFormat="1" applyFont="1" applyFill="1" applyBorder="1" applyAlignment="1">
      <alignment horizontal="center"/>
    </xf>
    <xf numFmtId="165" fontId="10" fillId="3" borderId="7" xfId="3" applyNumberFormat="1" applyFont="1" applyFill="1" applyBorder="1" applyAlignment="1">
      <alignment horizontal="center"/>
    </xf>
    <xf numFmtId="165" fontId="4" fillId="3" borderId="2" xfId="3" applyNumberFormat="1" applyFont="1" applyFill="1" applyBorder="1" applyAlignment="1">
      <alignment horizontal="center"/>
    </xf>
    <xf numFmtId="165" fontId="4" fillId="3" borderId="7" xfId="3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0" fontId="5" fillId="3" borderId="12" xfId="3" applyNumberFormat="1" applyFont="1" applyFill="1" applyBorder="1" applyAlignment="1">
      <alignment horizontal="center"/>
    </xf>
    <xf numFmtId="10" fontId="1" fillId="2" borderId="0" xfId="3" applyNumberFormat="1" applyFill="1" applyAlignment="1">
      <alignment horizontal="center"/>
    </xf>
    <xf numFmtId="2" fontId="1" fillId="2" borderId="1" xfId="3" applyNumberFormat="1" applyFill="1" applyBorder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4" fontId="4" fillId="2" borderId="1" xfId="1" applyFont="1" applyFill="1" applyBorder="1" applyAlignment="1">
      <alignment horizontal="center"/>
    </xf>
    <xf numFmtId="166" fontId="1" fillId="2" borderId="0" xfId="1" applyNumberFormat="1" applyFill="1" applyAlignment="1">
      <alignment horizontal="center"/>
    </xf>
    <xf numFmtId="2" fontId="1" fillId="2" borderId="8" xfId="3" applyNumberFormat="1" applyFill="1" applyBorder="1" applyAlignment="1">
      <alignment horizontal="center"/>
    </xf>
    <xf numFmtId="10" fontId="5" fillId="4" borderId="11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center"/>
    </xf>
    <xf numFmtId="4" fontId="1" fillId="2" borderId="1" xfId="3" applyNumberFormat="1" applyFill="1" applyBorder="1" applyAlignment="1">
      <alignment horizontal="center"/>
    </xf>
    <xf numFmtId="10" fontId="5" fillId="4" borderId="14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right"/>
    </xf>
    <xf numFmtId="0" fontId="5" fillId="3" borderId="13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2" fontId="5" fillId="3" borderId="11" xfId="0" applyNumberFormat="1" applyFont="1" applyFill="1" applyBorder="1" applyAlignment="1">
      <alignment horizontal="center"/>
    </xf>
    <xf numFmtId="9" fontId="4" fillId="2" borderId="8" xfId="3" applyFont="1" applyFill="1" applyBorder="1" applyAlignment="1">
      <alignment horizontal="center"/>
    </xf>
    <xf numFmtId="10" fontId="4" fillId="2" borderId="8" xfId="3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4" borderId="12" xfId="3" applyNumberFormat="1" applyFont="1" applyFill="1" applyBorder="1" applyAlignment="1">
      <alignment horizontal="center"/>
    </xf>
    <xf numFmtId="10" fontId="5" fillId="4" borderId="28" xfId="3" applyNumberFormat="1" applyFont="1" applyFill="1" applyBorder="1" applyAlignment="1">
      <alignment horizontal="center"/>
    </xf>
    <xf numFmtId="9" fontId="5" fillId="4" borderId="14" xfId="3" applyFont="1" applyFill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4" fontId="4" fillId="2" borderId="8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5" fillId="3" borderId="11" xfId="1" applyNumberFormat="1" applyFont="1" applyFill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4" fontId="1" fillId="2" borderId="8" xfId="3" applyNumberFormat="1" applyFill="1" applyBorder="1" applyAlignment="1">
      <alignment horizontal="center"/>
    </xf>
    <xf numFmtId="0" fontId="5" fillId="4" borderId="13" xfId="0" applyFont="1" applyFill="1" applyBorder="1" applyAlignment="1">
      <alignment horizontal="right"/>
    </xf>
    <xf numFmtId="2" fontId="5" fillId="4" borderId="11" xfId="3" applyNumberFormat="1" applyFont="1" applyFill="1" applyBorder="1" applyAlignment="1">
      <alignment horizontal="center"/>
    </xf>
    <xf numFmtId="4" fontId="5" fillId="4" borderId="11" xfId="3" applyNumberFormat="1" applyFont="1" applyFill="1" applyBorder="1" applyAlignment="1">
      <alignment horizontal="center"/>
    </xf>
    <xf numFmtId="4" fontId="5" fillId="4" borderId="11" xfId="1" applyNumberFormat="1" applyFont="1" applyFill="1" applyBorder="1" applyAlignment="1">
      <alignment horizontal="center"/>
    </xf>
    <xf numFmtId="3" fontId="5" fillId="4" borderId="11" xfId="3" applyNumberFormat="1" applyFont="1" applyFill="1" applyBorder="1" applyAlignment="1">
      <alignment horizontal="center"/>
    </xf>
    <xf numFmtId="164" fontId="5" fillId="4" borderId="11" xfId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4" borderId="14" xfId="1" applyFont="1" applyFill="1" applyBorder="1" applyAlignment="1">
      <alignment horizontal="center"/>
    </xf>
    <xf numFmtId="2" fontId="5" fillId="4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170" fontId="5" fillId="4" borderId="11" xfId="1" applyNumberFormat="1" applyFont="1" applyFill="1" applyBorder="1" applyAlignment="1">
      <alignment horizontal="center"/>
    </xf>
    <xf numFmtId="170" fontId="1" fillId="2" borderId="1" xfId="1" applyNumberFormat="1" applyFill="1" applyBorder="1" applyAlignment="1">
      <alignment horizontal="center"/>
    </xf>
    <xf numFmtId="0" fontId="5" fillId="0" borderId="0" xfId="0" applyFont="1"/>
    <xf numFmtId="3" fontId="0" fillId="0" borderId="1" xfId="0" applyNumberFormat="1" applyBorder="1" applyAlignment="1">
      <alignment horizontal="center"/>
    </xf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0" fontId="1" fillId="2" borderId="34" xfId="3" applyNumberFormat="1" applyFill="1" applyBorder="1" applyAlignment="1">
      <alignment horizontal="center"/>
    </xf>
    <xf numFmtId="2" fontId="1" fillId="2" borderId="34" xfId="3" applyNumberForma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10" fontId="5" fillId="2" borderId="34" xfId="3" applyNumberFormat="1" applyFont="1" applyFill="1" applyBorder="1" applyAlignment="1">
      <alignment horizontal="center"/>
    </xf>
    <xf numFmtId="2" fontId="5" fillId="2" borderId="34" xfId="3" applyNumberFormat="1" applyFont="1" applyFill="1" applyBorder="1" applyAlignment="1">
      <alignment horizontal="center"/>
    </xf>
    <xf numFmtId="4" fontId="5" fillId="2" borderId="8" xfId="3" applyNumberFormat="1" applyFont="1" applyFill="1" applyBorder="1" applyAlignment="1">
      <alignment horizontal="center"/>
    </xf>
    <xf numFmtId="164" fontId="5" fillId="2" borderId="8" xfId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10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4" borderId="11" xfId="3" applyNumberFormat="1" applyFont="1" applyFill="1" applyBorder="1"/>
    <xf numFmtId="10" fontId="5" fillId="4" borderId="11" xfId="3" applyNumberFormat="1" applyFont="1" applyFill="1" applyBorder="1"/>
    <xf numFmtId="4" fontId="5" fillId="4" borderId="11" xfId="3" applyNumberFormat="1" applyFont="1" applyFill="1" applyBorder="1"/>
    <xf numFmtId="4" fontId="5" fillId="2" borderId="8" xfId="3" applyNumberFormat="1" applyFont="1" applyFill="1" applyBorder="1"/>
    <xf numFmtId="2" fontId="5" fillId="2" borderId="8" xfId="3" applyNumberFormat="1" applyFont="1" applyFill="1" applyBorder="1"/>
    <xf numFmtId="4" fontId="5" fillId="2" borderId="1" xfId="3" applyNumberFormat="1" applyFont="1" applyFill="1" applyBorder="1"/>
    <xf numFmtId="2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4" borderId="27" xfId="0" applyFont="1" applyFill="1" applyBorder="1" applyAlignment="1">
      <alignment horizontal="right"/>
    </xf>
    <xf numFmtId="2" fontId="5" fillId="4" borderId="14" xfId="3" applyNumberFormat="1" applyFont="1" applyFill="1" applyBorder="1" applyAlignment="1">
      <alignment horizontal="center"/>
    </xf>
    <xf numFmtId="4" fontId="5" fillId="4" borderId="14" xfId="3" applyNumberFormat="1" applyFont="1" applyFill="1" applyBorder="1" applyAlignment="1">
      <alignment horizontal="center"/>
    </xf>
    <xf numFmtId="164" fontId="5" fillId="2" borderId="1" xfId="1" applyFont="1" applyFill="1" applyBorder="1" applyAlignment="1">
      <alignment horizontal="center"/>
    </xf>
    <xf numFmtId="4" fontId="5" fillId="4" borderId="14" xfId="1" applyNumberFormat="1" applyFont="1" applyFill="1" applyBorder="1" applyAlignment="1">
      <alignment horizontal="center"/>
    </xf>
    <xf numFmtId="164" fontId="5" fillId="2" borderId="8" xfId="1" applyFont="1" applyFill="1" applyBorder="1" applyAlignment="1"/>
    <xf numFmtId="3" fontId="5" fillId="4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0" fontId="5" fillId="2" borderId="8" xfId="3" applyNumberFormat="1" applyFont="1" applyFill="1" applyBorder="1"/>
    <xf numFmtId="10" fontId="5" fillId="2" borderId="1" xfId="3" applyNumberFormat="1" applyFont="1" applyFill="1" applyBorder="1"/>
    <xf numFmtId="167" fontId="5" fillId="2" borderId="0" xfId="3" applyNumberFormat="1" applyFont="1" applyFill="1"/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4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" fontId="1" fillId="2" borderId="34" xfId="3" applyNumberFormat="1" applyFill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166" fontId="7" fillId="0" borderId="1" xfId="1" applyNumberFormat="1" applyFont="1" applyFill="1" applyBorder="1" applyAlignment="1">
      <alignment horizontal="center" vertical="center" wrapText="1"/>
    </xf>
    <xf numFmtId="166" fontId="6" fillId="0" borderId="1" xfId="1" applyNumberFormat="1" applyFont="1" applyFill="1" applyBorder="1" applyAlignment="1">
      <alignment horizontal="center" vertical="center" wrapText="1"/>
    </xf>
    <xf numFmtId="166" fontId="7" fillId="0" borderId="5" xfId="1" applyNumberFormat="1" applyFont="1" applyFill="1" applyBorder="1" applyAlignment="1">
      <alignment horizontal="right" vertical="center" wrapText="1"/>
    </xf>
    <xf numFmtId="166" fontId="6" fillId="0" borderId="1" xfId="1" quotePrefix="1" applyNumberFormat="1" applyFont="1" applyFill="1" applyBorder="1" applyAlignment="1">
      <alignment horizontal="center" vertical="center" wrapText="1" readingOrder="2"/>
    </xf>
    <xf numFmtId="0" fontId="5" fillId="0" borderId="9" xfId="0" applyFont="1" applyBorder="1" applyAlignment="1">
      <alignment horizontal="right" readingOrder="2"/>
    </xf>
    <xf numFmtId="0" fontId="5" fillId="0" borderId="9" xfId="0" applyFont="1" applyBorder="1" applyAlignment="1">
      <alignment horizontal="right"/>
    </xf>
    <xf numFmtId="0" fontId="5" fillId="0" borderId="8" xfId="0" applyFont="1" applyBorder="1" applyAlignment="1">
      <alignment horizontal="right" readingOrder="2"/>
    </xf>
    <xf numFmtId="164" fontId="5" fillId="0" borderId="1" xfId="1" quotePrefix="1" applyFont="1" applyFill="1" applyBorder="1" applyAlignment="1">
      <alignment horizontal="right"/>
    </xf>
    <xf numFmtId="165" fontId="5" fillId="0" borderId="1" xfId="3" quotePrefix="1" applyNumberFormat="1" applyFont="1" applyFill="1" applyBorder="1" applyAlignment="1">
      <alignment horizontal="center"/>
    </xf>
    <xf numFmtId="166" fontId="3" fillId="0" borderId="1" xfId="1" applyNumberFormat="1" applyFont="1" applyFill="1" applyBorder="1" applyAlignment="1">
      <alignment horizontal="center" vertical="center" wrapText="1"/>
    </xf>
    <xf numFmtId="0" fontId="8" fillId="0" borderId="9" xfId="2" applyFont="1" applyFill="1" applyBorder="1" applyAlignment="1" applyProtection="1">
      <alignment horizontal="right"/>
    </xf>
    <xf numFmtId="169" fontId="1" fillId="0" borderId="1" xfId="1" applyNumberFormat="1" applyFont="1" applyFill="1" applyBorder="1" applyAlignment="1">
      <alignment horizontal="center"/>
    </xf>
    <xf numFmtId="165" fontId="1" fillId="0" borderId="1" xfId="3" applyNumberFormat="1" applyFont="1" applyFill="1" applyBorder="1" applyAlignment="1">
      <alignment horizontal="center"/>
    </xf>
    <xf numFmtId="0" fontId="8" fillId="0" borderId="9" xfId="2" applyFont="1" applyFill="1" applyBorder="1" applyAlignment="1" applyProtection="1">
      <alignment horizontal="right" readingOrder="2"/>
    </xf>
    <xf numFmtId="166" fontId="1" fillId="0" borderId="1" xfId="1" applyNumberFormat="1" applyFont="1" applyFill="1" applyBorder="1" applyAlignment="1">
      <alignment horizontal="center"/>
    </xf>
    <xf numFmtId="0" fontId="8" fillId="0" borderId="1" xfId="2" applyFont="1" applyFill="1" applyBorder="1" applyAlignment="1" applyProtection="1">
      <alignment horizontal="right" readingOrder="2"/>
    </xf>
    <xf numFmtId="166" fontId="11" fillId="0" borderId="1" xfId="1" applyNumberFormat="1" applyFont="1" applyFill="1" applyBorder="1" applyAlignment="1">
      <alignment horizontal="center" vertical="center" wrapText="1"/>
    </xf>
    <xf numFmtId="0" fontId="5" fillId="0" borderId="35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166" fontId="6" fillId="0" borderId="16" xfId="1" quotePrefix="1" applyNumberFormat="1" applyFont="1" applyFill="1" applyBorder="1" applyAlignment="1">
      <alignment horizontal="center" vertical="center" wrapText="1" readingOrder="2"/>
    </xf>
    <xf numFmtId="166" fontId="6" fillId="0" borderId="7" xfId="1" quotePrefix="1" applyNumberFormat="1" applyFont="1" applyFill="1" applyBorder="1" applyAlignment="1">
      <alignment horizontal="center" vertical="center" wrapText="1" readingOrder="2"/>
    </xf>
    <xf numFmtId="0" fontId="1" fillId="0" borderId="16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8" fontId="1" fillId="0" borderId="7" xfId="0" applyNumberFormat="1" applyFont="1" applyBorder="1" applyAlignment="1">
      <alignment horizontal="center"/>
    </xf>
    <xf numFmtId="168" fontId="1" fillId="0" borderId="10" xfId="0" applyNumberFormat="1" applyFont="1" applyBorder="1" applyAlignment="1">
      <alignment horizontal="center"/>
    </xf>
    <xf numFmtId="0" fontId="12" fillId="2" borderId="0" xfId="0" applyFont="1" applyFill="1" applyAlignment="1">
      <alignment horizontal="right"/>
    </xf>
    <xf numFmtId="10" fontId="5" fillId="3" borderId="34" xfId="3" applyNumberFormat="1" applyFont="1" applyFill="1" applyBorder="1" applyAlignment="1">
      <alignment horizontal="center" vertical="center" wrapText="1"/>
    </xf>
    <xf numFmtId="165" fontId="5" fillId="3" borderId="34" xfId="3" applyNumberFormat="1" applyFont="1" applyFill="1" applyBorder="1" applyAlignment="1">
      <alignment horizontal="center" vertical="center" wrapText="1"/>
    </xf>
    <xf numFmtId="10" fontId="5" fillId="3" borderId="29" xfId="3" applyNumberFormat="1" applyFont="1" applyFill="1" applyBorder="1" applyAlignment="1">
      <alignment horizontal="right" vertical="center" wrapText="1" readingOrder="1"/>
    </xf>
    <xf numFmtId="0" fontId="5" fillId="2" borderId="5" xfId="0" applyFont="1" applyFill="1" applyBorder="1" applyAlignment="1">
      <alignment horizontal="right"/>
    </xf>
    <xf numFmtId="10" fontId="1" fillId="2" borderId="5" xfId="3" applyNumberFormat="1" applyFill="1" applyBorder="1" applyAlignment="1">
      <alignment horizontal="right"/>
    </xf>
    <xf numFmtId="2" fontId="1" fillId="2" borderId="5" xfId="3" applyNumberFormat="1" applyFill="1" applyBorder="1" applyAlignment="1">
      <alignment horizontal="center"/>
    </xf>
    <xf numFmtId="2" fontId="1" fillId="2" borderId="5" xfId="3" applyNumberFormat="1" applyFill="1" applyBorder="1"/>
    <xf numFmtId="10" fontId="1" fillId="2" borderId="5" xfId="3" applyNumberFormat="1" applyFill="1" applyBorder="1"/>
    <xf numFmtId="164" fontId="4" fillId="2" borderId="40" xfId="1" applyFont="1" applyFill="1" applyBorder="1" applyAlignment="1">
      <alignment horizontal="center"/>
    </xf>
    <xf numFmtId="164" fontId="4" fillId="2" borderId="5" xfId="1" applyFont="1" applyFill="1" applyBorder="1" applyAlignment="1">
      <alignment horizontal="right"/>
    </xf>
    <xf numFmtId="10" fontId="4" fillId="2" borderId="40" xfId="3" applyNumberFormat="1" applyFont="1" applyFill="1" applyBorder="1" applyAlignment="1">
      <alignment horizontal="center"/>
    </xf>
    <xf numFmtId="10" fontId="1" fillId="2" borderId="5" xfId="3" applyNumberFormat="1" applyFill="1" applyBorder="1" applyAlignment="1">
      <alignment horizontal="center"/>
    </xf>
    <xf numFmtId="0" fontId="1" fillId="2" borderId="34" xfId="3" applyNumberFormat="1" applyFill="1" applyBorder="1" applyAlignment="1">
      <alignment horizontal="center"/>
    </xf>
    <xf numFmtId="0" fontId="1" fillId="2" borderId="8" xfId="3" applyNumberFormat="1" applyFill="1" applyBorder="1" applyAlignment="1">
      <alignment horizontal="center"/>
    </xf>
    <xf numFmtId="0" fontId="9" fillId="3" borderId="7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  <xf numFmtId="0" fontId="8" fillId="3" borderId="37" xfId="0" applyFont="1" applyFill="1" applyBorder="1" applyAlignment="1">
      <alignment horizontal="center"/>
    </xf>
    <xf numFmtId="0" fontId="8" fillId="3" borderId="38" xfId="0" applyFont="1" applyFill="1" applyBorder="1" applyAlignment="1">
      <alignment horizontal="center"/>
    </xf>
    <xf numFmtId="0" fontId="8" fillId="3" borderId="39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640"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color auto="1"/>
        <family val="2"/>
      </font>
      <numFmt numFmtId="168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65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7A76E7-DA37-4E2D-95B5-B4B037876E1D}" name="סכום נכסי הקרן1" displayName="סכום_נכסי_הקרן1" ref="A6:C42" totalsRowShown="0" headerRowDxfId="639" dataDxfId="638">
  <tableColumns count="3">
    <tableColumn id="1" xr3:uid="{044FE1CC-1D27-49E0-862F-B2B0C451D3E7}" name="עמודה1" dataDxfId="637"/>
    <tableColumn id="2" xr3:uid="{A69F6B67-6877-4ACC-B8FD-467CF3A586FD}" name="שווי הוגן" dataDxfId="636"/>
    <tableColumn id="3" xr3:uid="{401B3CDB-CE95-40CF-927B-74753C77B1DC}" name="שיעור מנכסי השקעה" dataDxfId="635" dataCellStyle="Percen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61A4929-D3ED-46B5-A6B1-3EC5BF6F3078}" name="סכום נכסי הקרן0" displayName="סכום_נכסי_הקרן0" ref="B43:C67" totalsRowShown="0" headerRowDxfId="634" dataDxfId="632" headerRowBorderDxfId="633" tableBorderDxfId="631" totalsRowBorderDxfId="630">
  <tableColumns count="2">
    <tableColumn id="1" xr3:uid="{396E48DC-4846-49A2-A97F-009D37CBFF5E}" name="שם המטבע" dataDxfId="629"/>
    <tableColumn id="2" xr3:uid="{6F8DA7EC-FEEC-4544-AE0A-AE75CD844251}" name="שע&quot;ח" dataDxfId="628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4EAAAEF-5F0C-4465-911C-DE4A1ACA9AEF}" name="מזומנים1" displayName="מזומנים1" ref="A6:K133" totalsRowShown="0" headerRowDxfId="627" headerRowBorderDxfId="626" tableBorderDxfId="625" headerRowCellStyle="Percent">
  <tableColumns count="11">
    <tableColumn id="1" xr3:uid="{E5ACE026-5E09-4E53-A827-0FBB58E703A9}" name="שם המנפיק/שם נייר ערך" dataDxfId="624"/>
    <tableColumn id="2" xr3:uid="{5A34BC14-B94B-491C-839B-E7124B8C2C8C}" name="מספר נ&quot;ע" dataDxfId="623"/>
    <tableColumn id="3" xr3:uid="{46869BAC-F625-4CF0-A2ED-67CD277836F3}" name="מספר מנפיק" dataDxfId="622"/>
    <tableColumn id="4" xr3:uid="{BB067087-570F-46F7-BA7B-BE3C8EB674BE}" name="דירוג" dataDxfId="621"/>
    <tableColumn id="5" xr3:uid="{04E87A39-5BFE-463D-9836-1C9C5379353C}" name="שם מדרג" dataDxfId="620" dataCellStyle="Percent"/>
    <tableColumn id="6" xr3:uid="{EE7B075F-E394-4F05-866F-A0E5D9C89C11}" name="סוג מטבע" dataDxfId="619"/>
    <tableColumn id="7" xr3:uid="{E2B7A5C1-B1C9-4804-979B-C6096DD3865C}" name="שעור ריבית" dataDxfId="618" dataCellStyle="Percent"/>
    <tableColumn id="8" xr3:uid="{1FF6A89A-EB14-43FB-A6E5-FCDCBC8988F1}" name="תשואה לפדיון" dataDxfId="617" dataCellStyle="Comma"/>
    <tableColumn id="9" xr3:uid="{6AA6F4CF-4661-4BC3-96D0-56234BDBFEFB}" name="שווי שוק" dataDxfId="616" dataCellStyle="Percent"/>
    <tableColumn id="10" xr3:uid="{107BADA4-1A8F-4F78-989D-84255139388F}" name="שעור מנכסי אפיק ההשקעה" dataDxfId="615" dataCellStyle="Percent"/>
    <tableColumn id="11" xr3:uid="{1743B335-CD57-4B6A-8A3F-D906BF68CAFA}" name="שעור מנכסי השקעה" dataDxfId="614" dataCellStyle="Comma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9E6AD88-31DE-473C-8C3B-7D949E1DDEA6}" name="תעודות התחייבות ממשלתיות1" displayName="תעודות_התחייבות_ממשלתיות1" ref="A7:Q58" totalsRowShown="0" headerRowDxfId="613" dataDxfId="611" headerRowBorderDxfId="612" tableBorderDxfId="610" headerRowCellStyle="Percent" dataCellStyle="Percent">
  <tableColumns count="17">
    <tableColumn id="1" xr3:uid="{5F308CDD-03BE-4E13-A771-A36EA0F67EF6}" name="שם המנפיק/שם נייר ערך" dataDxfId="609"/>
    <tableColumn id="2" xr3:uid="{7C5DB657-F3FE-45AF-B109-6C26FA265AAD}" name="מספר נ&quot;ע" dataDxfId="608"/>
    <tableColumn id="3" xr3:uid="{094E410D-9521-4357-8817-235810968C3E}" name="זירת מסחר" dataDxfId="607"/>
    <tableColumn id="4" xr3:uid="{595D182F-E1D0-41C4-B56A-3967CE8340FB}" name="דירוג" dataDxfId="606"/>
    <tableColumn id="5" xr3:uid="{61AA1D2C-0967-42EE-B791-3DFEC05C7697}" name="שם מדרג" dataDxfId="605" dataCellStyle="Percent"/>
    <tableColumn id="6" xr3:uid="{03C41E68-FA3A-4FD4-876B-59AE11009D6E}" name="תאריך רכישה" dataDxfId="604" dataCellStyle="Percent"/>
    <tableColumn id="7" xr3:uid="{C74E8629-FE75-48E2-8E46-83D93C7145FE}" name="מח&quot;מ" dataDxfId="603" dataCellStyle="Percent"/>
    <tableColumn id="8" xr3:uid="{B39C7BE2-8C50-4053-B307-8AA5AF44920A}" name="סוג מטבע" dataDxfId="602"/>
    <tableColumn id="9" xr3:uid="{030D9AAA-BA43-4164-A236-88AD9846021F}" name="שעור ריבית" dataDxfId="601" dataCellStyle="Percent"/>
    <tableColumn id="10" xr3:uid="{708C3620-D197-4FFA-BB96-0110C3FCF725}" name="תשואה לפדיון" dataDxfId="600" dataCellStyle="Comma"/>
    <tableColumn id="11" xr3:uid="{08B11DC7-E7B6-47E0-B6FA-9D6D38767F8F}" name="ערך נקוב" dataDxfId="599" dataCellStyle="Comma"/>
    <tableColumn id="12" xr3:uid="{7C892803-72F9-4B14-905D-2ECF4724354E}" name="שער" dataDxfId="598" dataCellStyle="Comma"/>
    <tableColumn id="13" xr3:uid="{B1EEB8F4-BA27-496F-A8A2-05EA71938840}" name="פדיון/ריבית לקבל" dataDxfId="597" dataCellStyle="Comma"/>
    <tableColumn id="14" xr3:uid="{558C7588-3324-4DD4-84EE-072F779CDC0E}" name="שווי שוק" dataDxfId="596" dataCellStyle="Percent"/>
    <tableColumn id="15" xr3:uid="{9BB70545-1460-4CA7-AD13-BC31A634380C}" name="שעור מערך נקוב מונפק" dataDxfId="595" dataCellStyle="Percent"/>
    <tableColumn id="16" xr3:uid="{59A03959-47CA-411A-BF8E-61C64C626701}" name="שעור מנכסי אפיק ההשקעה" dataDxfId="594" dataCellStyle="Percent"/>
    <tableColumn id="17" xr3:uid="{964A0CD7-70F8-4A2A-8BC9-09761214EEFF}" name="שעור מנכסי השקעה" dataDxfId="593" dataCellStyle="Comma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BE977FF-5CAB-45C7-9E73-B9C09190FC04}" name="תעודות חוב מסחריות1" displayName="תעודות_חוב_מסחריות1" ref="A7:T22" totalsRowShown="0" headerRowDxfId="592" dataDxfId="590" headerRowBorderDxfId="591" tableBorderDxfId="589" headerRowCellStyle="Percent" dataCellStyle="Comma">
  <tableColumns count="20">
    <tableColumn id="1" xr3:uid="{CB53C149-03E7-41ED-8E9A-2F646EB01D8A}" name="שם המנפיק/שם נייר ערך" dataDxfId="588"/>
    <tableColumn id="2" xr3:uid="{E0B20F51-269D-4837-9F55-3391B7215A03}" name="מספר נ&quot;ע" dataDxfId="587"/>
    <tableColumn id="3" xr3:uid="{3D78A751-B2DE-44DC-AAA7-DCB4AD8F5426}" name="זירת מסחר" dataDxfId="586"/>
    <tableColumn id="4" xr3:uid="{25B852D7-733D-4141-B728-9E013A439974}" name="ספק מידע" dataDxfId="585"/>
    <tableColumn id="5" xr3:uid="{8D915B54-3CFF-496C-A5BE-89C14A5A21B6}" name="מספר מנפיק" dataDxfId="584"/>
    <tableColumn id="6" xr3:uid="{5FD74586-6B81-47E7-98D3-82F4BD650445}" name="ענף מסחר" dataDxfId="583"/>
    <tableColumn id="7" xr3:uid="{988CDE8E-C60A-47B8-B537-483C832C8DE0}" name="דירוג" dataDxfId="582" dataCellStyle="Percent"/>
    <tableColumn id="8" xr3:uid="{B7598FEF-094E-498F-9E48-ED7CFE44CDDB}" name="שם מדרג" dataDxfId="581" dataCellStyle="Percent"/>
    <tableColumn id="9" xr3:uid="{E8234E99-5734-4D63-B85F-1253153D733F}" name="תאריך רכישה" dataDxfId="580" dataCellStyle="Percent"/>
    <tableColumn id="10" xr3:uid="{EF091030-B1F2-496E-9376-583563220662}" name="מח&quot;מ" dataDxfId="579"/>
    <tableColumn id="11" xr3:uid="{D6F018BB-766B-4FE9-89EC-BD0090556D5B}" name="סוג מטבע" dataDxfId="578" dataCellStyle="Percent"/>
    <tableColumn id="12" xr3:uid="{05E31F33-6D70-42B0-B391-CFA1BCE7DB5E}" name="שעור ריבית" dataDxfId="577" dataCellStyle="Comma"/>
    <tableColumn id="13" xr3:uid="{23F2CF8D-471B-4BD0-91B3-67CD6BDFDF50}" name="תשואה לפדיון" dataDxfId="576" dataCellStyle="Comma"/>
    <tableColumn id="14" xr3:uid="{6FCED743-8ABC-4E18-99F1-DA34E99CFE08}" name="ערך נקוב" dataDxfId="575" dataCellStyle="Comma"/>
    <tableColumn id="15" xr3:uid="{9B46209C-6158-46E6-9F03-83837E7483E5}" name="שער" dataDxfId="574" dataCellStyle="Percent"/>
    <tableColumn id="16" xr3:uid="{F497F7FE-EBB4-44C5-B87C-B9E3425AAD34}" name="פדיון/ריבית לקבל" dataDxfId="573" dataCellStyle="Percent"/>
    <tableColumn id="17" xr3:uid="{FC02A74C-9CB5-44EC-82DC-9EA57EF757B3}" name="שווי שוק" dataDxfId="572" dataCellStyle="Percent"/>
    <tableColumn id="18" xr3:uid="{E9D83A2C-BB65-4807-989B-F6E283B0B083}" name="שעור מערך נקוב מונפק" dataDxfId="571" dataCellStyle="Comma"/>
    <tableColumn id="19" xr3:uid="{4FBF39AD-D005-49A2-BD24-2CDECB36A2A5}" name="שעור מנכסי אפיק ההשקעה" dataDxfId="570" dataCellStyle="Comma"/>
    <tableColumn id="20" xr3:uid="{59A58210-0DB4-495D-BCDC-C250F60FAD3E}" name="שעור מנכסי השקעה" dataDxfId="569" dataCellStyle="Comma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188E3EA-F6E2-4503-B625-F9E866107A9B}" name="אג&quot;ח קונצרני1" displayName="אג_ח_קונצרני1" ref="A7:T408" totalsRowShown="0" headerRowDxfId="568" dataDxfId="566" headerRowBorderDxfId="567" tableBorderDxfId="565" headerRowCellStyle="Percent" dataCellStyle="Comma">
  <tableColumns count="20">
    <tableColumn id="1" xr3:uid="{EB4EB8D4-E252-4675-8E46-F0CBECD4B531}" name="שם המנפיק/שם נייר ערך" dataDxfId="564"/>
    <tableColumn id="2" xr3:uid="{35BE8FB9-59C7-4F6B-8386-2F3180BAD1C2}" name="מספר נ&quot;ע" dataDxfId="563"/>
    <tableColumn id="3" xr3:uid="{36FB209F-C725-419A-BB20-3A39F70DED25}" name="זירת מסחר" dataDxfId="562"/>
    <tableColumn id="4" xr3:uid="{A794FC8A-845F-42A8-BD65-27F4B664EFAA}" name="ספק מידע" dataDxfId="561"/>
    <tableColumn id="5" xr3:uid="{DDE23367-54F4-40A4-ADFF-2987E9FAFEB1}" name="מספר מנפיק" dataDxfId="560"/>
    <tableColumn id="6" xr3:uid="{8BFE2D5E-0ED5-4E7F-815B-262D71661C68}" name="ענף מסחר" dataDxfId="559"/>
    <tableColumn id="7" xr3:uid="{8E8AC88B-46F9-4766-8BAB-84C38AA29023}" name="דירוג" dataDxfId="558" dataCellStyle="Percent"/>
    <tableColumn id="8" xr3:uid="{E6EAAABC-DA5F-4ADF-888C-911B77810625}" name="שם מדרג" dataDxfId="557" dataCellStyle="Percent"/>
    <tableColumn id="9" xr3:uid="{FE7FAC87-6996-4043-ACF5-3EFCBD90E8F8}" name="תאריך רכישה" dataDxfId="556" dataCellStyle="Percent"/>
    <tableColumn id="10" xr3:uid="{EE6A30EC-BE2B-463B-A194-4318AF891661}" name="מח&quot;מ" dataDxfId="555"/>
    <tableColumn id="11" xr3:uid="{EAEE8423-C2E4-4350-AD95-6B6478D230EC}" name="סוג מטבע" dataDxfId="554" dataCellStyle="Percent"/>
    <tableColumn id="12" xr3:uid="{C81A0734-37FE-412D-8244-E3E4FBCD7FBF}" name="שעור ריבית" dataDxfId="553" dataCellStyle="Comma"/>
    <tableColumn id="13" xr3:uid="{4486CE47-E682-4BFD-B360-304552C24A2F}" name="תשואה לפדיון" dataDxfId="552" dataCellStyle="Comma"/>
    <tableColumn id="14" xr3:uid="{E3710546-1FB8-4003-B9A1-8932D703C95D}" name="ערך נקוב" dataDxfId="551" dataCellStyle="Comma"/>
    <tableColumn id="15" xr3:uid="{98A30CC5-414D-4B58-9D52-BB70F13CB7A9}" name="שער" dataDxfId="550" dataCellStyle="Percent"/>
    <tableColumn id="16" xr3:uid="{A9385998-A558-4661-9ADE-722A0B772CFA}" name="פדיון/ריבית לקבל" dataDxfId="549" dataCellStyle="Percent"/>
    <tableColumn id="17" xr3:uid="{754E68DA-46CC-49BB-92A5-06111CF8913E}" name="שווי שוק" dataDxfId="548" dataCellStyle="Percent"/>
    <tableColumn id="18" xr3:uid="{433F8E45-E1CD-4F84-BEE8-720C1B2C7621}" name="שעור מערך נקוב מונפק" dataDxfId="547" dataCellStyle="Comma"/>
    <tableColumn id="19" xr3:uid="{67E3BC79-531E-4474-89D5-1AC55E98557B}" name="שעור מנכסי אפיק ההשקעה" dataDxfId="546" dataCellStyle="Comma"/>
    <tableColumn id="20" xr3:uid="{6F53D150-32F9-4ACC-92D4-427E5D08FC58}" name="שעור מנכסי השקעה" dataDxfId="545" dataCellStyle="Comma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9340B86-532F-4D9A-9A1D-5FA6F22016FB}" name="מניות1" displayName="מניות1" ref="A7:N26" totalsRowShown="0" headerRowDxfId="544" dataDxfId="542" headerRowBorderDxfId="543" tableBorderDxfId="541" headerRowCellStyle="Percent" dataCellStyle="Percent">
  <tableColumns count="14">
    <tableColumn id="1" xr3:uid="{8C3A047C-6A4D-4493-8C48-ECC39F0B9C1E}" name="שם המנפיק/שם נייר ערך" dataDxfId="540"/>
    <tableColumn id="2" xr3:uid="{E4983643-6632-4087-97AE-867F1D8E337A}" name="מספר נ&quot;ע" dataDxfId="539"/>
    <tableColumn id="3" xr3:uid="{B0EF039B-759C-477E-9D94-0795479BD633}" name="זירת מסחר" dataDxfId="538"/>
    <tableColumn id="4" xr3:uid="{52455DBD-D885-41F2-959F-1C1655F379C1}" name="ספק מידע" dataDxfId="537"/>
    <tableColumn id="5" xr3:uid="{98AD37F6-6165-47D4-9ECA-3A78692FE49B}" name="מספר מנפיק" dataDxfId="536"/>
    <tableColumn id="6" xr3:uid="{AC04A34A-D7BE-4CE9-889C-73B623394B31}" name="ענף מסחר" dataDxfId="535"/>
    <tableColumn id="7" xr3:uid="{A6262A37-EC09-4EE2-A0A0-F56193A797D5}" name="סוג מטבע" dataDxfId="534" dataCellStyle="Percent"/>
    <tableColumn id="8" xr3:uid="{EB2DC55C-ABF3-4074-815E-CF60AB439F0C}" name="ערך נקוב" dataDxfId="533" dataCellStyle="Percent"/>
    <tableColumn id="9" xr3:uid="{84ED5055-4F20-4EC3-BEDB-E7481929CD07}" name="שער" dataDxfId="532" dataCellStyle="Percent"/>
    <tableColumn id="10" xr3:uid="{A49D99FF-62D6-4C96-AF29-28F8DB2F51A8}" name="פדיון/ריבית לקבל" dataDxfId="531" dataCellStyle="Percent"/>
    <tableColumn id="11" xr3:uid="{C0C7EE63-C235-4B26-8DC9-E42A87795D81}" name="שווי שוק" dataDxfId="530"/>
    <tableColumn id="12" xr3:uid="{05CB7DBA-BDE0-40AD-AD0D-CBE2B44D3854}" name="שעור מערך נקוב מונפק" dataDxfId="529" dataCellStyle="Percent"/>
    <tableColumn id="13" xr3:uid="{D52259F7-5DC3-4C09-968F-5C607DE49271}" name="שעור מנכסי אפיק ההשקעה" dataDxfId="528" dataCellStyle="Percent"/>
    <tableColumn id="14" xr3:uid="{0B972EBA-293B-4FD7-811D-8A3FA86C1AEB}" name="שעור מנכסי השקעה" dataDxfId="527" dataCellStyle="Comma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E2CA940-2B1A-43A6-BB72-CFCEEB727EAC}" name="קרנות סל1" displayName="קרנות_סל1" ref="A7:M48" totalsRowShown="0" headerRowDxfId="526" dataDxfId="524" headerRowBorderDxfId="525" tableBorderDxfId="523" headerRowCellStyle="Percent" dataCellStyle="Percent">
  <tableColumns count="13">
    <tableColumn id="1" xr3:uid="{C90F15CA-632D-4149-994E-ADC6CF466497}" name="שם המנפיק/שם נייר ערך" dataDxfId="522"/>
    <tableColumn id="2" xr3:uid="{23C8B367-5491-4DEF-B072-B5D9DB58D094}" name="מספר נ&quot;ע" dataDxfId="521"/>
    <tableColumn id="3" xr3:uid="{14DC5AE4-CB85-4119-8E61-A3652E9C2587}" name="זירת מסחר" dataDxfId="520"/>
    <tableColumn id="4" xr3:uid="{C1F7F34C-32D5-4D4F-BC9E-A84B473C520F}" name="מספר מנפיק" dataDxfId="519"/>
    <tableColumn id="5" xr3:uid="{74F5AE91-B97F-45E4-B8DB-63015BA16CD9}" name="ענף מסחר" dataDxfId="518"/>
    <tableColumn id="6" xr3:uid="{C2C86351-A92A-40C9-96B6-685A97A33D66}" name="סוג מטבע" dataDxfId="517"/>
    <tableColumn id="7" xr3:uid="{C1F5E340-BC17-4961-BEB4-B05C595B334D}" name="ערך נקוב" dataDxfId="516" dataCellStyle="Percent"/>
    <tableColumn id="8" xr3:uid="{B71B3292-29F2-4B18-9C7E-389872BCF83F}" name="שער" dataDxfId="515" dataCellStyle="Percent"/>
    <tableColumn id="9" xr3:uid="{433FA18B-18D9-46DA-B61B-DF465CE7840D}" name="פדיון/ריבית לקבל" dataDxfId="514" dataCellStyle="Percent"/>
    <tableColumn id="10" xr3:uid="{620E8B1A-6FB0-4337-A5E7-3959135B17F2}" name="שווי שוק" dataDxfId="513" dataCellStyle="Percent"/>
    <tableColumn id="11" xr3:uid="{351D3DBC-EC5E-4821-AD88-B1D68E1C6457}" name="שעור מערך נקוב מונפק" dataDxfId="512"/>
    <tableColumn id="12" xr3:uid="{13083057-7CA0-41AE-AEFB-A2B6D050BAE1}" name="שעור מנכסי אפיק ההשקעה" dataDxfId="511"/>
    <tableColumn id="13" xr3:uid="{CF5A9490-A350-4401-89E6-95E284283DB2}" name="שעור מנכסי השקעה" dataDxfId="510" dataCellStyle="Percent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10B4E03-7993-4948-B012-2B0968FD765F}" name="קרנות נאמנות1" displayName="קרנות_נאמנות1" ref="A7:N41" totalsRowShown="0" headerRowDxfId="509" dataDxfId="507" headerRowBorderDxfId="508" tableBorderDxfId="506" headerRowCellStyle="Percent" dataCellStyle="Comma">
  <tableColumns count="14">
    <tableColumn id="1" xr3:uid="{A755E871-60F2-4CFC-A125-F04A2DD92FF2}" name="שם המנפיק/שם נייר ערך" dataDxfId="505"/>
    <tableColumn id="2" xr3:uid="{13FF6016-1F26-4575-B0A7-FEB195BD2057}" name="מספר נ&quot;ע" dataDxfId="504"/>
    <tableColumn id="3" xr3:uid="{BC8916B7-700A-4645-B85B-E8601D2B32AF}" name="זירת מסחר" dataDxfId="503"/>
    <tableColumn id="4" xr3:uid="{DAF0968F-4041-418D-8854-03176368ECF5}" name="מספר מנפיק" dataDxfId="502"/>
    <tableColumn id="5" xr3:uid="{A07E971E-30F4-455B-8AA5-E5DFFEB06333}" name="ענף מסחר" dataDxfId="501"/>
    <tableColumn id="6" xr3:uid="{8124B4BB-AC55-4A1E-AA22-D0FEFCFE2612}" name="דירוג" dataDxfId="500" dataCellStyle="Percent"/>
    <tableColumn id="7" xr3:uid="{755AEBF3-5644-4C23-8CCD-9042C8E12B8D}" name="שם מדרג" dataDxfId="499" dataCellStyle="Percent"/>
    <tableColumn id="8" xr3:uid="{FCA899DA-08D6-436C-A661-F83BB58BA34F}" name="סוג מטבע" dataDxfId="498" dataCellStyle="Percent"/>
    <tableColumn id="9" xr3:uid="{1D1229F0-F27F-417B-9429-4391B933E680}" name="ערך נקוב" dataDxfId="497"/>
    <tableColumn id="10" xr3:uid="{5E3D6D8E-8B52-4A54-B1ED-735FD112B28F}" name="שער" dataDxfId="496" dataCellStyle="Percent"/>
    <tableColumn id="11" xr3:uid="{BFBFB7E3-531F-436C-AE18-763BAAA9047E}" name="שווי שוק" dataDxfId="495" dataCellStyle="Comma"/>
    <tableColumn id="12" xr3:uid="{9C5F1B89-32EE-4DC1-86BE-AC6BE7DA7CD3}" name="שעור מערך נקוב מונפק" dataDxfId="494" dataCellStyle="Comma"/>
    <tableColumn id="13" xr3:uid="{4DE55A95-97B0-440E-80B5-5CF151F031A8}" name="שעור מנכסי אפיק ההשקעה" dataDxfId="493" dataCellStyle="Comma"/>
    <tableColumn id="14" xr3:uid="{CF0B84EF-7554-43E2-82F8-0DE0EEF743C8}" name="שעור מנכסי השקעה" dataDxfId="492" dataCellStyle="Comma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8DE4F57-87AA-41E9-B575-F5090ADFDD22}" name="כתבי אופציה1" displayName="כתבי_אופציה1" ref="A7:K21" totalsRowShown="0" headerRowDxfId="491" dataDxfId="489" headerRowBorderDxfId="490" tableBorderDxfId="488" headerRowCellStyle="Percent" dataCellStyle="Percent">
  <tableColumns count="11">
    <tableColumn id="1" xr3:uid="{8749B0CC-1412-4DF0-A33E-890F19416B91}" name="שם המנפיק/שם נייר ערך" dataDxfId="487"/>
    <tableColumn id="2" xr3:uid="{A6E12063-46F0-486D-8D4E-781E4E0418C3}" name="מספר נ&quot;ע" dataDxfId="486"/>
    <tableColumn id="3" xr3:uid="{C0902DD7-BDFD-489A-93FB-017B0F1DB995}" name="זירת מסחר" dataDxfId="485"/>
    <tableColumn id="4" xr3:uid="{2C11CC41-EF18-4E3B-A43B-236B50304294}" name="ענף מסחר" dataDxfId="484"/>
    <tableColumn id="5" xr3:uid="{9BC1F5F7-2D79-4E40-A34B-9EA5AC45FEF3}" name="סוג מטבע" dataDxfId="483" dataCellStyle="Percent"/>
    <tableColumn id="6" xr3:uid="{F68B1583-83EB-4F42-B7FC-10072F2B50B7}" name="ערך נקוב" dataDxfId="482" dataCellStyle="Percent"/>
    <tableColumn id="7" xr3:uid="{09472584-B54A-45B3-976C-1E8ADBDA7369}" name="שער" dataDxfId="481" dataCellStyle="Percent"/>
    <tableColumn id="8" xr3:uid="{A10AE334-B7D0-4CE0-9072-115B56632BEE}" name="שווי שוק" dataDxfId="480"/>
    <tableColumn id="9" xr3:uid="{B4C6DEE2-BCC5-46C2-AF0F-E4D6CF97C01A}" name="שעור מערך נקוב מונפק" dataDxfId="479" dataCellStyle="Percent"/>
    <tableColumn id="10" xr3:uid="{A6AF338E-ED96-498F-BEF3-FB3B37E7E8FD}" name="שעור מנכסי אפיק ההשקעה" dataDxfId="478" dataCellStyle="Percent"/>
    <tableColumn id="11" xr3:uid="{EB0FDEBB-6EE9-45EF-81C7-921DBF65CA7F}" name="שעור מנכסי השקעה" dataDxfId="477" dataCellStyle="Comma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E5B7DD3-4F1A-4753-B530-C131A0E5F094}" name="אופציות1" displayName="אופציות1" ref="A7:K26" totalsRowShown="0" headerRowDxfId="476" dataDxfId="474" headerRowBorderDxfId="475" tableBorderDxfId="473" headerRowCellStyle="Percent" dataCellStyle="Percent">
  <tableColumns count="11">
    <tableColumn id="1" xr3:uid="{1D3105A6-73E5-408E-A35B-A503EA8771DA}" name="שם המנפיק/שם נייר ערך" dataDxfId="472"/>
    <tableColumn id="2" xr3:uid="{C023A5F3-31AA-4F81-B4F8-781BB091FEEA}" name="מספר נ&quot;ע" dataDxfId="471"/>
    <tableColumn id="3" xr3:uid="{7EB4AB64-1FEB-4925-9C8D-97395CF36ED3}" name="זירת מסחר" dataDxfId="470"/>
    <tableColumn id="4" xr3:uid="{13759EB6-D2B2-41DB-9730-13EFE96576B4}" name="ענף מסחר" dataDxfId="469"/>
    <tableColumn id="5" xr3:uid="{D6DC5AA1-19B3-42B9-AF1D-F7B155F3F720}" name="סוג מטבע" dataDxfId="468"/>
    <tableColumn id="6" xr3:uid="{488186B3-CB42-4C51-91A4-8A50A53BB710}" name="ערך נקוב" dataDxfId="467" dataCellStyle="Percent"/>
    <tableColumn id="7" xr3:uid="{A7AEC779-8DFC-45BF-894C-3E81AE3B1A42}" name="שער" dataDxfId="466" dataCellStyle="Percent"/>
    <tableColumn id="8" xr3:uid="{AA41BADC-ABFE-4602-93A4-F533717ADE27}" name="שווי שוק" dataDxfId="465" dataCellStyle="Percent"/>
    <tableColumn id="9" xr3:uid="{2741AB66-1B03-4D85-8E56-A5DA02B94003}" name="שעור מערך נקוב מונפק" dataDxfId="464"/>
    <tableColumn id="10" xr3:uid="{2934B1F8-02F6-48B4-AC22-5B5F7B217813}" name="שעור מנכסי אפיק ההשקעה" dataDxfId="463" dataCellStyle="Percent"/>
    <tableColumn id="11" xr3:uid="{F625DF81-FE24-4834-853A-89041C19036C}" name="שעור מנכסי השקעה" dataDxfId="462" dataCellStyle="Comma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8E2E204-E225-400E-9768-2D2F9E4EF199}" name="חוזים עתידיים1" displayName="חוזים_עתידיים1" ref="A7:J17" totalsRowShown="0" headerRowDxfId="461" dataDxfId="459" headerRowBorderDxfId="460" tableBorderDxfId="458" headerRowCellStyle="Percent" dataCellStyle="Percent">
  <tableColumns count="10">
    <tableColumn id="1" xr3:uid="{6E4B79AA-91EF-4D2E-A4B8-89FA121C5DC7}" name="שם המנפיק/שם נייר ערך" dataDxfId="457"/>
    <tableColumn id="2" xr3:uid="{D26AEC3F-3A37-434F-ADB3-35ECA3EA19FA}" name="מספר נ&quot;ע" dataDxfId="456"/>
    <tableColumn id="3" xr3:uid="{5A5C67A0-1B49-41A7-8D7A-6363A8B62D03}" name="זירת מסחר" dataDxfId="455"/>
    <tableColumn id="4" xr3:uid="{4F0686B0-9E4F-4346-B8AD-4A3B78C78139}" name="ענף מסחר" dataDxfId="454"/>
    <tableColumn id="5" xr3:uid="{8E5E72F9-016A-4D43-A724-79D7E3397046}" name="סוג מטבע" dataDxfId="453" dataCellStyle="Percent"/>
    <tableColumn id="6" xr3:uid="{E143FBB0-C69E-4A84-8885-031E23A5146A}" name="ערך נקוב" dataDxfId="452" dataCellStyle="Percent"/>
    <tableColumn id="7" xr3:uid="{CA32F886-7A88-4950-9AFA-BC2CF76F8B94}" name="שער" dataDxfId="451" dataCellStyle="Percent"/>
    <tableColumn id="8" xr3:uid="{F35E561C-8425-4562-A6E7-DAC0A5BFB119}" name="שווי שוק" dataDxfId="450"/>
    <tableColumn id="9" xr3:uid="{C565948F-085E-4658-A32E-7535CCA43064}" name="שעור מנכסי אפיק ההשקעה" dataDxfId="449"/>
    <tableColumn id="10" xr3:uid="{58BB4139-4E98-49DE-93DB-A6D805B03D20}" name="שעור מנכסי השקעה" dataDxfId="448" dataCellStyle="Percent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4AEDD15-2A25-4B65-99F9-D6B817C2F721}" name="מוצרים מובנים1" displayName="מוצרים_מובנים1" ref="A7:P31" totalsRowShown="0" headerRowDxfId="447" dataDxfId="445" headerRowBorderDxfId="446" tableBorderDxfId="444" headerRowCellStyle="Percent" dataCellStyle="Comma">
  <tableColumns count="16">
    <tableColumn id="1" xr3:uid="{E22FDCAD-2E65-4472-8CAC-98C9431361E1}" name="שם המנפיק/שם נייר ערך" dataDxfId="443"/>
    <tableColumn id="2" xr3:uid="{0C497653-703B-4F7B-B124-34AA20D7DCEC}" name="מספר נ&quot;ע" dataDxfId="442"/>
    <tableColumn id="3" xr3:uid="{0A1D44B6-1644-4B64-B4BC-3475F111201E}" name="נכס הבסיס" dataDxfId="441"/>
    <tableColumn id="4" xr3:uid="{DA85B9CC-F3F7-4F94-9513-2DB958FC283C}" name="דירוג" dataDxfId="440" dataCellStyle="Percent"/>
    <tableColumn id="5" xr3:uid="{1BBFAD19-AC66-4D8A-B670-77E811201D9A}" name="שם מדרג" dataDxfId="439" dataCellStyle="Percent"/>
    <tableColumn id="6" xr3:uid="{F39FBF3C-FD2C-47E3-994A-A6032B15D6E7}" name="תאריך רכישה" dataDxfId="438" dataCellStyle="Percent"/>
    <tableColumn id="7" xr3:uid="{00535144-8B52-49C4-AB98-656A6E9A9269}" name="מח&quot;מ" dataDxfId="437"/>
    <tableColumn id="8" xr3:uid="{C63F3307-F53B-4779-AAE3-08EB43CCD8DD}" name="סוג מטבע" dataDxfId="436" dataCellStyle="Percent"/>
    <tableColumn id="9" xr3:uid="{6444F2ED-673D-410E-AAEE-B7BB4A2AEAF1}" name="שעור ריבית" dataDxfId="435" dataCellStyle="Comma"/>
    <tableColumn id="10" xr3:uid="{78D94C56-111F-4F48-9FC1-4A3512694C8A}" name="תשואה לפדיון" dataDxfId="434" dataCellStyle="Comma"/>
    <tableColumn id="11" xr3:uid="{7FC1D2FC-3A1A-4B2F-8E58-37C6F08EC9A4}" name="ערך נקוב" dataDxfId="433" dataCellStyle="Comma"/>
    <tableColumn id="12" xr3:uid="{E13C35AE-8842-43FC-A57D-B69FAE81543D}" name="שער" dataDxfId="432" dataCellStyle="Percent"/>
    <tableColumn id="13" xr3:uid="{084E424A-C269-4A8F-80A0-5DCD0CE45C99}" name="שווי שוק" dataDxfId="431" dataCellStyle="Percent"/>
    <tableColumn id="14" xr3:uid="{C73B0946-918A-4149-8D6C-E86689AFDC73}" name="שעור מערך נקוב מונפק" dataDxfId="430" dataCellStyle="Comma"/>
    <tableColumn id="15" xr3:uid="{B870C889-1A72-4352-9900-50F86C8E00DD}" name="שעור מנכסי אפיק ההשקעה" dataDxfId="429" dataCellStyle="Comma"/>
    <tableColumn id="16" xr3:uid="{DCCF5905-3E94-4F0F-822E-54272F215871}" name="שעור מנכסי השקעה" dataDxfId="428" dataCellStyle="Comma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667BE44-32A1-48EA-A48B-96C4C66FBB10}" name="לא סחיר- תעודות התחייבות ממשלתי1" displayName="לא_סחיר__תעודות_התחייבות_ממשלתי1" ref="A7:O24" totalsRowShown="0" headerRowDxfId="427" dataDxfId="425" headerRowBorderDxfId="426" tableBorderDxfId="424" headerRowCellStyle="Percent" dataCellStyle="Percent">
  <tableColumns count="15">
    <tableColumn id="1" xr3:uid="{A6F08912-7BFC-49BD-807B-450DC76202B4}" name="שם המנפיק/שם נייר ערך" dataDxfId="423"/>
    <tableColumn id="2" xr3:uid="{B842FD00-D9F2-47A7-8707-9FA94569EDF9}" name="מספר נ&quot;ע" dataDxfId="422"/>
    <tableColumn id="3" xr3:uid="{41E7F111-826C-4271-B4D1-9261434F77AF}" name="דירוג" dataDxfId="421"/>
    <tableColumn id="4" xr3:uid="{97AD58C4-4CBC-4859-B6FB-45CF377B8DCF}" name="שם מדרג" dataDxfId="420" dataCellStyle="Percent"/>
    <tableColumn id="5" xr3:uid="{C4C01202-F9FC-4D9B-859A-DE73467D19B4}" name="תאריך רכישה" dataDxfId="419" dataCellStyle="Percent"/>
    <tableColumn id="6" xr3:uid="{FB8649AF-859E-4588-9114-7E52BF7D5D3B}" name="מח&quot;מ" dataDxfId="418" dataCellStyle="Percent"/>
    <tableColumn id="7" xr3:uid="{4663210B-8279-41B1-89E4-BBEDAA9FF2CA}" name="סוג מטבע" dataDxfId="417"/>
    <tableColumn id="8" xr3:uid="{618DBB01-C181-4E5F-A054-6FA7444E4AE8}" name="שעור ריבית" dataDxfId="416" dataCellStyle="Percent"/>
    <tableColumn id="9" xr3:uid="{A33B0412-CA54-45E8-95C5-2E161B81885E}" name="תשואה לפדיון" dataDxfId="415" dataCellStyle="Comma"/>
    <tableColumn id="10" xr3:uid="{00643C0B-0879-4C19-A16C-0B713BBA5C73}" name="ערך נקוב" dataDxfId="414" dataCellStyle="Comma"/>
    <tableColumn id="11" xr3:uid="{12F7A647-83A5-4890-93C4-D746E0D02E1E}" name="שער" dataDxfId="413" dataCellStyle="Comma"/>
    <tableColumn id="12" xr3:uid="{56E5ADDD-A22F-4A5A-B2C8-C35B4D21D456}" name="שווי הוגן" dataDxfId="412" dataCellStyle="Percent"/>
    <tableColumn id="13" xr3:uid="{4A21943E-9FD6-4EEA-B25D-D0F28E4E2C99}" name="שעור מערך נקוב מונפק" dataDxfId="411" dataCellStyle="Percent"/>
    <tableColumn id="14" xr3:uid="{9B8A7F93-812E-47A4-A7AD-72442564C909}" name="שעור מנכסי אפיק ההשקעה" dataDxfId="410" dataCellStyle="Percent"/>
    <tableColumn id="15" xr3:uid="{D90DF205-FED2-4C54-A683-D98C9FDF7784}" name="שעור מנכסי השקעה" dataDxfId="409" dataCellStyle="Comma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7EDF478-6536-41A0-A025-34F29C30C23F}" name="לא סחיר - תעודות חוב מסחריות1" displayName="לא_סחיר___תעודות_חוב_מסחריות1" ref="A7:R23" totalsRowShown="0" headerRowDxfId="408" dataDxfId="406" headerRowBorderDxfId="407" tableBorderDxfId="405" headerRowCellStyle="Percent" dataCellStyle="Comma">
  <tableColumns count="18">
    <tableColumn id="1" xr3:uid="{0C17C300-FE4D-4A6A-9578-1E565B5E4DB5}" name="שם המנפיק/שם נייר ערך" dataDxfId="404"/>
    <tableColumn id="2" xr3:uid="{18D845E3-5289-4C32-A9EF-8A7F89DEDA66}" name="מספר נ&quot;ע" dataDxfId="403"/>
    <tableColumn id="3" xr3:uid="{DF1C7F8C-64AB-4ECD-A90A-AC8D95965FCC}" name="ספק המידע" dataDxfId="402"/>
    <tableColumn id="4" xr3:uid="{9C8D8433-8EDB-4B22-BD8C-C6C15423137E}" name="מספר מנפיק" dataDxfId="401"/>
    <tableColumn id="5" xr3:uid="{D9370DA6-20EE-4626-A344-99FDAC33F72D}" name="ענף מסחר" dataDxfId="400"/>
    <tableColumn id="6" xr3:uid="{0DC4318F-F80B-4583-A7E2-46C4E445DFBE}" name="דירוג" dataDxfId="399" dataCellStyle="Percent"/>
    <tableColumn id="7" xr3:uid="{030CCDE6-7C21-46D5-9E40-0B27EFAF80A7}" name="שם מדרג" dataDxfId="398" dataCellStyle="Percent"/>
    <tableColumn id="8" xr3:uid="{64E2C53A-CECA-4BB1-81ED-BBFBEC936A97}" name="תאריך רכישה" dataDxfId="397" dataCellStyle="Percent"/>
    <tableColumn id="9" xr3:uid="{B6056832-B32B-40E3-AE21-DE93D970F7D0}" name="מח&quot;מ" dataDxfId="396"/>
    <tableColumn id="10" xr3:uid="{41B867B3-2852-4262-A85F-0E770010B4AA}" name="סוג מטבע" dataDxfId="395" dataCellStyle="Percent"/>
    <tableColumn id="11" xr3:uid="{E9498DD9-9BE0-4DA2-B97B-34F0D83B427A}" name="שעור ריבית" dataDxfId="394" dataCellStyle="Comma"/>
    <tableColumn id="12" xr3:uid="{20CB169B-97B2-4BE9-9972-11809BEE1723}" name="תשואה לפדיון" dataDxfId="393" dataCellStyle="Comma"/>
    <tableColumn id="13" xr3:uid="{A2A3A5B0-84FD-4086-9A4A-23B052499E3F}" name="ערך נקוב" dataDxfId="392" dataCellStyle="Comma"/>
    <tableColumn id="14" xr3:uid="{8A5817F5-2121-444B-929E-CFCAD34A3A0A}" name="שער" dataDxfId="391" dataCellStyle="Percent"/>
    <tableColumn id="15" xr3:uid="{78183AF4-D616-4829-884E-3EF666CC21E0}" name="שווי הוגן" dataDxfId="390" dataCellStyle="Percent"/>
    <tableColumn id="16" xr3:uid="{8A9FAA3E-A689-4449-A0CE-FA5448C8536D}" name="שעור מערך נקוב מונפק" dataDxfId="389" dataCellStyle="Comma"/>
    <tableColumn id="17" xr3:uid="{1CAE8119-3970-46AC-B236-0A4F8B273965}" name="שעור מנכסי אפיק ההשקעה" dataDxfId="388" dataCellStyle="Comma"/>
    <tableColumn id="18" xr3:uid="{72E40A6C-6019-425F-AC48-98EFA49EB132}" name="שעור מנכסי השקעה" dataDxfId="387" dataCellStyle="Comma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87DFF48-CFD4-4D19-ABB4-059245F494DF}" name="לא סחיר - אג&quot;ח קונצרני1" displayName="לא_סחיר___אג_ח_קונצרני1" ref="A7:R43" totalsRowShown="0" headerRowDxfId="386" dataDxfId="384" headerRowBorderDxfId="385" tableBorderDxfId="383" headerRowCellStyle="Percent" dataCellStyle="Comma">
  <tableColumns count="18">
    <tableColumn id="1" xr3:uid="{842FFEB3-8E88-4B16-85FB-678B12FB7EDB}" name="שם המנפיק/שם נייר ערך" dataDxfId="382"/>
    <tableColumn id="2" xr3:uid="{6AFE6267-3ADF-440B-90F0-14A13040D305}" name="מספר נ&quot;ע" dataDxfId="381"/>
    <tableColumn id="3" xr3:uid="{8382856C-C291-4362-BEFF-49DE1CEE51BB}" name="ספק המידע" dataDxfId="380"/>
    <tableColumn id="4" xr3:uid="{3A8ED1B7-F5CA-4971-9FD3-C39889123019}" name="מספר מנפיק" dataDxfId="379"/>
    <tableColumn id="5" xr3:uid="{42947967-DBCA-4D7B-9944-19906EBF7E3C}" name="ענף מסחר" dataDxfId="378"/>
    <tableColumn id="6" xr3:uid="{8794D6D7-5B75-4729-A900-23D22A099035}" name="דירוג" dataDxfId="377" dataCellStyle="Percent"/>
    <tableColumn id="7" xr3:uid="{0A994F57-FA6F-4041-B0AE-7176895712C8}" name="שם מדרג" dataDxfId="376" dataCellStyle="Percent"/>
    <tableColumn id="8" xr3:uid="{984B7983-F6EA-447D-A09A-2EC6CFA747FE}" name="תאריך רכישה" dataDxfId="375" dataCellStyle="Percent"/>
    <tableColumn id="9" xr3:uid="{02719935-2438-48ED-9B1C-729213F38250}" name="מח&quot;מ" dataDxfId="374"/>
    <tableColumn id="10" xr3:uid="{0225B6E6-D7B3-4F16-80CB-0AD9681D3278}" name="סוג מטבע" dataDxfId="373" dataCellStyle="Percent"/>
    <tableColumn id="11" xr3:uid="{14FD24D7-440B-4350-A294-780BEE2ECADD}" name="שעור ריבית" dataDxfId="372" dataCellStyle="Comma"/>
    <tableColumn id="12" xr3:uid="{C65A9DAE-9301-43FE-852D-6C4711C7194B}" name="תשואה לפדיון" dataDxfId="371" dataCellStyle="Comma"/>
    <tableColumn id="13" xr3:uid="{3E79BBC6-31CC-4410-84CF-0CB3382B10EF}" name="ערך נקוב" dataDxfId="370" dataCellStyle="Comma"/>
    <tableColumn id="14" xr3:uid="{6B8F23F6-7006-4981-92C3-266D35621AD6}" name="שער" dataDxfId="369" dataCellStyle="Percent"/>
    <tableColumn id="15" xr3:uid="{6290C28F-F235-49C3-B6F5-8B381B133683}" name="שווי הוגן" dataDxfId="368" dataCellStyle="Percent"/>
    <tableColumn id="16" xr3:uid="{580BCFCA-DA19-4D15-9ADB-6CEF904051B5}" name="שעור מערך נקוב מונפק" dataDxfId="367" dataCellStyle="Comma"/>
    <tableColumn id="17" xr3:uid="{CC8EB232-DCBE-4DD2-B940-820BCE56E04D}" name="שעור מנכסי אפיק ההשקעה" dataDxfId="366" dataCellStyle="Comma"/>
    <tableColumn id="18" xr3:uid="{88D12EDA-15BD-48EF-B545-65CF38A6BE0A}" name="שעור מנכסי השקעה" dataDxfId="365" dataCellStyle="Comma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E9E2AC1-1FD7-47D2-BCC9-F1B4980EAEB2}" name="לא סחיר - מניות1" displayName="לא_סחיר___מניות1" ref="A7:L19" totalsRowShown="0" headerRowDxfId="364" dataDxfId="362" headerRowBorderDxfId="363" tableBorderDxfId="361" headerRowCellStyle="Percent" dataCellStyle="Percent">
  <tableColumns count="12">
    <tableColumn id="1" xr3:uid="{6D35ADDA-0955-408B-B0B2-5E5FE76066F1}" name="שם המנפיק/שם נייר ערך" dataDxfId="360"/>
    <tableColumn id="2" xr3:uid="{D012EA95-1188-4763-B502-9B3E7AC8B12B}" name="מספר נ&quot;ע" dataDxfId="359"/>
    <tableColumn id="3" xr3:uid="{8B1F591F-D3FF-4103-AFD5-49A7E470419F}" name="ספק המידע" dataDxfId="358"/>
    <tableColumn id="4" xr3:uid="{8C9E1E5F-68B8-47AC-A3CB-C2BBDE7EAB9D}" name="מספר מנפיק" dataDxfId="357"/>
    <tableColumn id="5" xr3:uid="{501B8ECE-7423-45EE-8422-7A20AB0EFD0E}" name="ענף מסחר" dataDxfId="356"/>
    <tableColumn id="6" xr3:uid="{65CEB025-D85E-4E04-B1C0-6CDC6EF4AEBF}" name="סוג מטבע" dataDxfId="355" dataCellStyle="Percent"/>
    <tableColumn id="7" xr3:uid="{1BF668D0-6B9A-49BD-A9AD-C696FBD07DD0}" name="ערך נקוב" dataDxfId="354" dataCellStyle="Percent"/>
    <tableColumn id="8" xr3:uid="{0E9D1B57-F6CB-48DC-B264-B8729D5010BB}" name="שער" dataDxfId="353" dataCellStyle="Percent"/>
    <tableColumn id="9" xr3:uid="{F7E4CCD6-DCF5-4C16-812B-F004ED9BE636}" name="שווי שוק" dataDxfId="352"/>
    <tableColumn id="10" xr3:uid="{53455CA0-D448-4DBD-8585-8F99E9C4174B}" name="שעור מערך נקוב מונפק" dataDxfId="351" dataCellStyle="Percent"/>
    <tableColumn id="11" xr3:uid="{3E9E63F2-68AB-4817-B4E3-3BF0BB6FC8AE}" name="שעור מנכסי אפיק ההשקעה" dataDxfId="350" dataCellStyle="Percent"/>
    <tableColumn id="12" xr3:uid="{4B547041-DE29-46C1-BEFA-706C5A918369}" name="שעור מנכסי השקעה" dataDxfId="349" dataCellStyle="Comma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CA2212BE-F2F6-467A-BEF5-15AC392985B5}" name="לא סחיר - קרנות השקעה1" displayName="לא_סחיר___קרנות_השקעה1" ref="A7:J49" totalsRowShown="0" headerRowDxfId="348" dataDxfId="346" headerRowBorderDxfId="347" tableBorderDxfId="345" headerRowCellStyle="Percent" dataCellStyle="Comma">
  <tableColumns count="10">
    <tableColumn id="1" xr3:uid="{11702420-2D6B-4F48-9CA5-805620746503}" name="שם המנפיק/שם נייר ערך" dataDxfId="344"/>
    <tableColumn id="2" xr3:uid="{118A12B8-EC07-4696-8118-DD1336D1002E}" name="מספר נ&quot;ע" dataDxfId="343"/>
    <tableColumn id="3" xr3:uid="{9A1106CE-7B30-4B06-8D95-E5A49B47A482}" name="סוג מטבע" dataDxfId="342" dataCellStyle="Percent"/>
    <tableColumn id="4" xr3:uid="{28C5A090-4121-430E-9FB1-C121741E9E70}" name="תאריך רכישה" dataDxfId="341" dataCellStyle="Percent"/>
    <tableColumn id="5" xr3:uid="{66483692-4F69-43A2-93D5-90496DC8B77A}" name="ערך נקוב" dataDxfId="340" dataCellStyle="Percent"/>
    <tableColumn id="6" xr3:uid="{C507CA8C-213B-433D-B10F-A75D545BDDE1}" name="שער" dataDxfId="339"/>
    <tableColumn id="7" xr3:uid="{168C1FCA-2005-489A-B38B-94E770214AD3}" name="שווי הוגן" dataDxfId="338" dataCellStyle="Percent"/>
    <tableColumn id="8" xr3:uid="{EEFA707C-28DE-47C2-B98D-5A61212D4E8D}" name="שעור מערך נקוב מונפק" dataDxfId="337" dataCellStyle="Comma"/>
    <tableColumn id="9" xr3:uid="{1EA784F7-1625-4DB4-AE1B-F8155E44F893}" name="שעור מנכסי אפיק ההשקעה" dataDxfId="336" dataCellStyle="Comma"/>
    <tableColumn id="10" xr3:uid="{C2FCF750-7656-4533-A74B-97A0B091544C}" name="שעור מנכסי השקעה" dataDxfId="335" dataCellStyle="Comma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1047C72B-A6BF-4364-9A36-B3A5C79B7ECA}" name="לא סחיר - כתבי אופציה1" displayName="לא_סחיר___כתבי_אופציה1" ref="A7:K17" totalsRowShown="0" headerRowDxfId="334" dataDxfId="332" headerRowBorderDxfId="333" tableBorderDxfId="331" headerRowCellStyle="Percent" dataCellStyle="Comma">
  <tableColumns count="11">
    <tableColumn id="1" xr3:uid="{A89D9F7A-526C-4877-9334-231503FEA516}" name="שם המנפיק/שם נייר ערך" dataDxfId="330"/>
    <tableColumn id="2" xr3:uid="{459E038D-9DDB-4479-A057-1A4724C1160B}" name="מספר נ&quot;ע" dataDxfId="329"/>
    <tableColumn id="3" xr3:uid="{C2AD2659-A106-4AC3-913C-52DF5098AF78}" name="ענף מסחר" dataDxfId="328"/>
    <tableColumn id="4" xr3:uid="{078DD253-AC10-4BDC-8011-7A6DB297FBA5}" name="סוג מטבע" dataDxfId="327" dataCellStyle="Percent"/>
    <tableColumn id="5" xr3:uid="{360A118B-4FEC-4004-B764-5D35EBB125A0}" name="תאריך רכישה" dataDxfId="326" dataCellStyle="Percent"/>
    <tableColumn id="6" xr3:uid="{D8C6F1C0-7731-46F9-A5BF-8B72A7653C4A}" name="ערך נקוב" dataDxfId="325" dataCellStyle="Percent"/>
    <tableColumn id="7" xr3:uid="{2EDB7DCD-DDCB-46D5-B275-E7E4AE7190FF}" name="שער" dataDxfId="324"/>
    <tableColumn id="8" xr3:uid="{8F7AD9E0-0A17-4E3E-9E59-F522F494744A}" name="שווי הוגן" dataDxfId="323" dataCellStyle="Percent"/>
    <tableColumn id="9" xr3:uid="{C60E12C8-9848-4B56-AE46-B07C9443D30C}" name="שעור מערך נקוב מונפק" dataDxfId="322" dataCellStyle="Comma"/>
    <tableColumn id="10" xr3:uid="{6FB5EEB0-6958-4E23-B334-390DB454EB92}" name="שעור מנכסי אפיק ההשקעה" dataDxfId="321" dataCellStyle="Comma"/>
    <tableColumn id="11" xr3:uid="{1DE430E8-D1B8-430B-9D2A-D35D9D62BF41}" name="שעור מנכסי השקעה" dataDxfId="320" dataCellStyle="Comma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85555BC2-2363-47D4-AD2F-94ACC54B43CA}" name="לא סחיר - אופציות1" displayName="לא_סחיר___אופציות1" ref="A7:K27" totalsRowShown="0" headerRowDxfId="319" dataDxfId="317" headerRowBorderDxfId="318" tableBorderDxfId="316" headerRowCellStyle="Percent" dataCellStyle="Comma">
  <tableColumns count="11">
    <tableColumn id="1" xr3:uid="{97C70D1D-954E-4908-94BD-40815E9B89C4}" name="שם המנפיק/שם נייר ערך" dataDxfId="315"/>
    <tableColumn id="2" xr3:uid="{C6F5728C-32B7-4F83-99AC-6B9389BD5243}" name="מספר נ&quot;ע" dataDxfId="314"/>
    <tableColumn id="3" xr3:uid="{1BB5206B-4BF8-4C3A-ABE5-89DE73A0FCB3}" name="ענף מסחר" dataDxfId="313"/>
    <tableColumn id="4" xr3:uid="{12855440-2533-4410-8896-A706E4AF9BA7}" name="סוג מטבע" dataDxfId="312" dataCellStyle="Percent"/>
    <tableColumn id="5" xr3:uid="{E746DE68-3340-4039-9EBA-A566C6076F97}" name="תאריך רכישה" dataDxfId="311" dataCellStyle="Percent"/>
    <tableColumn id="6" xr3:uid="{5CE3F447-7A42-477B-8882-816CEEF92041}" name="ערך נקוב" dataDxfId="310" dataCellStyle="Percent"/>
    <tableColumn id="7" xr3:uid="{1249F085-8C69-4C13-842B-50180B5F8B43}" name="שער" dataDxfId="309"/>
    <tableColumn id="8" xr3:uid="{80F63F75-4C5B-48CE-AD07-BB08F0A5ACDE}" name="שווי הוגן" dataDxfId="308" dataCellStyle="Percent"/>
    <tableColumn id="9" xr3:uid="{93309953-4313-49F2-9A20-EE58CE925A57}" name="שעור מערך נקוב מונפק" dataDxfId="307" dataCellStyle="Comma"/>
    <tableColumn id="10" xr3:uid="{62790F69-5C25-49D4-8242-F3C8EC1C1832}" name="שעור מנכסי אפיק ההשקעה" dataDxfId="306" dataCellStyle="Comma"/>
    <tableColumn id="11" xr3:uid="{D7CD87B1-0D7A-440C-B111-3B2F5F730F9E}" name="שעור מנכסי השקעה" dataDxfId="305" dataCellStyle="Comma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CA334B42-2D1C-475B-A036-4ACA6A776C61}" name="לא סחיר - חוזים עתידיים1" displayName="לא_סחיר___חוזים_עתידיים1" ref="A7:J184" totalsRowShown="0" headerRowDxfId="304" dataDxfId="302" headerRowBorderDxfId="303" tableBorderDxfId="301" headerRowCellStyle="Percent" dataCellStyle="Percent">
  <tableColumns count="10">
    <tableColumn id="1" xr3:uid="{B75DB09E-F814-406A-AD13-04787E5CD052}" name="שם המנפיק/שם נייר ערך" dataDxfId="300"/>
    <tableColumn id="2" xr3:uid="{9972068A-09BD-40CC-9C11-E0D836C901AA}" name="מספר נ&quot;ע" dataDxfId="299"/>
    <tableColumn id="3" xr3:uid="{B1B8A681-A339-4933-ACBC-899047A8E82F}" name="ענף מסחר" dataDxfId="298"/>
    <tableColumn id="4" xr3:uid="{9F091911-CFC1-412F-9862-295A24082595}" name="סוג מטבע" dataDxfId="297" dataCellStyle="Percent"/>
    <tableColumn id="5" xr3:uid="{44004ABA-04CB-4228-B72F-A46C3D48899A}" name="תאריך רכישה" dataDxfId="296" dataCellStyle="Percent"/>
    <tableColumn id="6" xr3:uid="{D788C27D-2322-42E9-9CC4-2693091B4664}" name="ערך נקוב" dataDxfId="295" dataCellStyle="Percent"/>
    <tableColumn id="7" xr3:uid="{246F4CE1-97A1-4D71-81DC-A4BCA86EAB12}" name="שער" dataDxfId="294"/>
    <tableColumn id="8" xr3:uid="{1ED17D43-9B22-4896-AC3E-5C2471AE845F}" name="שווי הוגן" dataDxfId="293" dataCellStyle="Percent"/>
    <tableColumn id="9" xr3:uid="{BB385557-FDEF-479A-82B4-C2A493FD4234}" name="שעור מנכסי אפיק ההשקעה" dataDxfId="292" dataCellStyle="Percent"/>
    <tableColumn id="10" xr3:uid="{04CE0834-944E-428E-A103-A40D9BC5BB6E}" name="שעור מנכסי השקעה" dataDxfId="291" dataCellStyle="Comma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EE89921F-D999-4882-81EA-217884CE68D7}" name="לא סחיר - מוצרים מובנים1" displayName="לא_סחיר___מוצרים_מובנים1" ref="A7:P31" totalsRowShown="0" headerRowDxfId="290" dataDxfId="288" headerRowBorderDxfId="289" tableBorderDxfId="287" headerRowCellStyle="Percent" dataCellStyle="Comma">
  <tableColumns count="16">
    <tableColumn id="1" xr3:uid="{E2C66D07-2E0C-4F74-AF6E-16D56D21E0FF}" name="שם המנפיק/שם נייר ערך" dataDxfId="286"/>
    <tableColumn id="2" xr3:uid="{8672D8DF-A762-46BD-97C7-41888861ADAA}" name="מספר נ&quot;ע" dataDxfId="285"/>
    <tableColumn id="3" xr3:uid="{80218D55-53E2-4217-B30F-129516FC228A}" name="נכס הבסיס" dataDxfId="284"/>
    <tableColumn id="4" xr3:uid="{24E50646-4247-4C1B-A329-035A11466187}" name="דירוג" dataDxfId="283" dataCellStyle="Percent"/>
    <tableColumn id="5" xr3:uid="{83C464E5-77EF-48B6-A6AC-465BDE716FFB}" name="שם מדרג" dataDxfId="282" dataCellStyle="Percent"/>
    <tableColumn id="6" xr3:uid="{59292DDB-6E46-4D2D-BD67-DF424522A674}" name="תאריך רכישה" dataDxfId="281" dataCellStyle="Percent"/>
    <tableColumn id="7" xr3:uid="{2AD2B925-3974-4954-BCD2-7D26015AD6C9}" name="מח&quot;מ" dataDxfId="280"/>
    <tableColumn id="8" xr3:uid="{FB252710-D212-429E-BFAB-4128662114F6}" name="סוג מטבע" dataDxfId="279" dataCellStyle="Percent"/>
    <tableColumn id="9" xr3:uid="{D20DB9F8-8013-4A98-A76C-68C4D134ACD4}" name="שעור ריבית" dataDxfId="278" dataCellStyle="Comma"/>
    <tableColumn id="10" xr3:uid="{06434838-0FFF-4B0F-8F78-A2A0FB679486}" name="תשואה לפדיון" dataDxfId="277" dataCellStyle="Comma"/>
    <tableColumn id="11" xr3:uid="{E77EE45A-ABC5-46AA-A05C-FBF89E0F1BE6}" name="ערך נקוב" dataDxfId="276" dataCellStyle="Comma"/>
    <tableColumn id="12" xr3:uid="{9D275E69-8F1E-40C5-8E69-C55E883D8E73}" name="שער" dataDxfId="275" dataCellStyle="Percent"/>
    <tableColumn id="13" xr3:uid="{A8D9CF69-BF94-494C-8CC4-C58E67B6DE84}" name="שווי שוק" dataDxfId="274" dataCellStyle="Percent"/>
    <tableColumn id="14" xr3:uid="{1B192DA7-E292-4C76-BF37-628BAE0CB4B0}" name="שעור מערך נקוב מונפק" dataDxfId="273" dataCellStyle="Comma"/>
    <tableColumn id="15" xr3:uid="{C35C5FA3-88E4-41A0-9F1B-F9B8CFBA5ED0}" name="שעור מנכסי אפיק ההשקעה" dataDxfId="272" dataCellStyle="Comma"/>
    <tableColumn id="16" xr3:uid="{0A40FD90-C6B2-4799-BD65-C57F2F3ABCCB}" name="שעור מנכסי השקעה" dataDxfId="271" dataCellStyle="Comma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6179C939-A2F0-4F2F-99C1-FB7AF806830B}" name="הלוואות1" displayName="הלוואות1" ref="A6:Q365" totalsRowShown="0" headerRowDxfId="270" dataDxfId="268" headerRowBorderDxfId="269" tableBorderDxfId="267" headerRowCellStyle="Percent" dataCellStyle="Comma">
  <tableColumns count="17">
    <tableColumn id="1" xr3:uid="{FFD6C86D-B606-4B38-AB2B-8064CC8FCC71}" name="שם המנפיק/שם נייר ערך" dataDxfId="266"/>
    <tableColumn id="2" xr3:uid="{BC36602B-ECC9-4504-B873-6F7BBCC96F62}" name="קונסורציום" dataDxfId="265"/>
    <tableColumn id="3" xr3:uid="{E4BC7668-956E-4204-82AB-0E3F3DD95676}" name="מספר נ&quot;ע" dataDxfId="264"/>
    <tableColumn id="4" xr3:uid="{AC87EEB6-B29D-484F-A771-DD3350236DE9}" name="מספר מנפיק" dataDxfId="263"/>
    <tableColumn id="5" xr3:uid="{0523EC5D-F960-4929-8205-E761D5C588CF}" name="דירוג" dataDxfId="262"/>
    <tableColumn id="6" xr3:uid="{96AA7F8F-BC15-4289-ACFA-E931D8E0A9D2}" name="תאריך רכישה" dataDxfId="261" dataCellStyle="Percent"/>
    <tableColumn id="7" xr3:uid="{126E08F1-F706-47AB-968D-B26D5DECFB6A}" name="שם מדרג" dataDxfId="260" dataCellStyle="Percent"/>
    <tableColumn id="8" xr3:uid="{57F597ED-BACA-4FC9-B6F0-FB1F920DB464}" name="מח&quot;מ" dataDxfId="259" dataCellStyle="Percent"/>
    <tableColumn id="9" xr3:uid="{A092FF27-6FDC-4A3F-8690-660B15D2AEA8}" name="ענף משק" dataDxfId="258" dataCellStyle="Percent"/>
    <tableColumn id="10" xr3:uid="{6E898BE0-2031-40FC-827A-91D16064E0BB}" name="סוג מטבע" dataDxfId="257" dataCellStyle="Percent"/>
    <tableColumn id="11" xr3:uid="{B537E1B3-3A8F-4878-AED6-653F9FB5A7BE}" name="שעור ריבית ממוצע" dataDxfId="256"/>
    <tableColumn id="12" xr3:uid="{B9D165D9-E34C-4C2C-BA46-4B67EF1441A9}" name="תשואה לפדיון" dataDxfId="255" dataCellStyle="Percent"/>
    <tableColumn id="13" xr3:uid="{1AF73635-690C-4661-B6FF-6FD950345451}" name="ערך נקוב" dataDxfId="254" dataCellStyle="Comma"/>
    <tableColumn id="14" xr3:uid="{CA86C45E-C56A-4569-8BB5-0C900510C430}" name="שער" dataDxfId="253" dataCellStyle="Comma"/>
    <tableColumn id="15" xr3:uid="{71A34634-5706-4A11-8662-82E985E51314}" name="שווי הוגן" dataDxfId="252" dataCellStyle="Comma"/>
    <tableColumn id="16" xr3:uid="{39C6357B-3CA2-4CAB-918A-8D9AEC31AE92}" name="שעור מנכסי אפיק ההשקעה" dataDxfId="251" dataCellStyle="Comma"/>
    <tableColumn id="17" xr3:uid="{B100FECF-C9DD-406D-BB53-83F86A48BC52}" name="שעור מנכסי השקעה" dataDxfId="250" dataCellStyle="Percent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A10890C4-1CE9-496E-B0F9-D8CBE94FB93F}" name="פקדונות מעל 3 חודשים1" displayName="פקדונות_מעל_3_חודשים1" ref="A6:N22" totalsRowShown="0" headerRowDxfId="249" dataDxfId="247" headerRowBorderDxfId="248" tableBorderDxfId="246" headerRowCellStyle="Percent" dataCellStyle="Comma">
  <tableColumns count="14">
    <tableColumn id="1" xr3:uid="{CDFC8ECE-185B-4F29-83D7-BE6898DA3A89}" name="שם המנפיק/שם נייר ערך" dataDxfId="245"/>
    <tableColumn id="2" xr3:uid="{7B50BF47-1EB7-4B06-85CC-E9AD8199EC84}" name="מספר נ&quot;ע" dataDxfId="244"/>
    <tableColumn id="3" xr3:uid="{E434AA90-0AAF-45F7-BE48-F78F6223458A}" name="מספר מנפיק" dataDxfId="243"/>
    <tableColumn id="4" xr3:uid="{1E8FA281-7BD4-4468-A17B-C5CD5D9E2956}" name="דירוג" dataDxfId="242"/>
    <tableColumn id="5" xr3:uid="{A82CF1CF-7DD8-4F10-B627-C71519769EB6}" name="שם מדרג" dataDxfId="241" dataCellStyle="Percent"/>
    <tableColumn id="6" xr3:uid="{0625E5DD-03B9-4B7D-B4D4-16A8A985C324}" name="מח&quot;מ" dataDxfId="240" dataCellStyle="Percent"/>
    <tableColumn id="7" xr3:uid="{71A447AD-E88E-4AEC-BA8A-D6187166B741}" name="סוג מטבע" dataDxfId="239" dataCellStyle="Percent"/>
    <tableColumn id="8" xr3:uid="{5E0F4B42-0C9B-4BA0-A2BC-2AD16E486186}" name="תנאי ושיעור ריבית" dataDxfId="238"/>
    <tableColumn id="9" xr3:uid="{DFF76780-6162-437D-8C23-608D95ED50D7}" name="תשואה לפדיון" dataDxfId="237" dataCellStyle="Percent"/>
    <tableColumn id="10" xr3:uid="{5FA1775B-C225-4B78-AEB9-62D24AC4450B}" name="ערך נקוב" dataDxfId="236" dataCellStyle="Comma"/>
    <tableColumn id="11" xr3:uid="{F367941A-7F55-431F-8DFB-14B7A55BF7AC}" name="שער" dataDxfId="235" dataCellStyle="Comma"/>
    <tableColumn id="12" xr3:uid="{0FB3F5E6-5B44-4794-866D-C32856517289}" name="שווי הוגן" dataDxfId="234" dataCellStyle="Comma"/>
    <tableColumn id="13" xr3:uid="{40E1ADE8-7865-42EA-8C9B-A88A33ABB469}" name="שעור מנכסי אפיק ההשקעה" dataDxfId="233" dataCellStyle="Comma"/>
    <tableColumn id="14" xr3:uid="{9BE34FD9-2E9B-41AA-BC44-74530F7792A3}" name="שעור מנכסי השקעה" dataDxfId="232" dataCellStyle="Percent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5E75703-741E-4BEF-8922-4CD373C011E4}" name="זכויות מקרקעין1" displayName="זכויות_מקרקעין1" ref="A6:I20" totalsRowShown="0" headerRowDxfId="231" dataDxfId="229" headerRowBorderDxfId="230" tableBorderDxfId="228" headerRowCellStyle="Percent" dataCellStyle="Percent">
  <tableColumns count="9">
    <tableColumn id="1" xr3:uid="{67092B34-C3D4-4DFD-A8FE-20C8F964526D}" name="שם המנפיק/שם נייר ערך" dataDxfId="227"/>
    <tableColumn id="2" xr3:uid="{DEF6DF61-5C58-43F7-9353-5F66710EBFCE}" name="תאריך שערוך אחרון" dataDxfId="226"/>
    <tableColumn id="3" xr3:uid="{4FE913F8-FED3-4775-AC53-9805BC81133B}" name="אופי הנכס" dataDxfId="225"/>
    <tableColumn id="4" xr3:uid="{46B2D744-0F33-467F-947D-178A49BFB922}" name="שעור תשואה במהלך התקופה" dataDxfId="224" dataCellStyle="Percent"/>
    <tableColumn id="5" xr3:uid="{7135E7A7-A328-4123-86CE-FE20369F86E1}" name="סוג מטבע" dataDxfId="223" dataCellStyle="Percent"/>
    <tableColumn id="6" xr3:uid="{D6D12F73-145D-4689-BAE6-05F1A864DE48}" name="שווי משוערך" dataDxfId="222" dataCellStyle="Percent"/>
    <tableColumn id="7" xr3:uid="{414EDBA8-0FCE-415F-B136-CAB80497A882}" name="שעור מנכסי אפיק ההשקעה" dataDxfId="221" dataCellStyle="Percent"/>
    <tableColumn id="8" xr3:uid="{8E115371-E4C7-41DD-B2B0-B401BF09E59A}" name="שעור מנכסי השקעה" dataDxfId="220" dataCellStyle="Percent"/>
    <tableColumn id="9" xr3:uid="{22969D3A-F46E-4984-9084-D081B83E141E}" name="כתובת הנכס" dataDxfId="219" dataCellStyle="Percent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B19C6D8E-7807-4D96-9B10-20F787B1E5B1}" name="השקעה בחברות מוחזקות1" displayName="השקעה_בחברות_מוחזקות1" ref="A6:J16" totalsRowShown="0" headerRowDxfId="218" dataDxfId="216" headerRowBorderDxfId="217" tableBorderDxfId="215" headerRowCellStyle="Percent" dataCellStyle="Percent">
  <tableColumns count="10">
    <tableColumn id="1" xr3:uid="{9B2F29BD-81E8-44AF-B8E0-5A0347C3BAD6}" name="שם המנפיק/שם נייר ערך" dataDxfId="214"/>
    <tableColumn id="2" xr3:uid="{B2560BBA-B841-4725-AFA8-4D629DB52DAA}" name="מספר מנפיק" dataDxfId="213"/>
    <tableColumn id="3" xr3:uid="{7D5ED58A-B67E-4556-9E83-8A93EFA41042}" name="דירוג" dataDxfId="212"/>
    <tableColumn id="4" xr3:uid="{88073CD7-0DE2-48D2-B1C4-F37927482039}" name="שם המדרג" dataDxfId="211" dataCellStyle="Percent"/>
    <tableColumn id="5" xr3:uid="{A3462727-030F-4718-B947-3AADC3517037}" name="שעור הריבית" dataDxfId="210" dataCellStyle="Percent"/>
    <tableColumn id="6" xr3:uid="{C2031CE0-0877-4A88-B46E-D6C42FB9A211}" name="סוג מטבע" dataDxfId="209" dataCellStyle="Percent"/>
    <tableColumn id="7" xr3:uid="{A905078B-CDF9-4ABF-9790-F5EBA3BD4168}" name="תשואה לפדיון" dataDxfId="208" dataCellStyle="Percent"/>
    <tableColumn id="8" xr3:uid="{4B1E8B10-DA00-43E1-A6D3-382A11D82520}" name="שווי הוגן" dataDxfId="207" dataCellStyle="Percent"/>
    <tableColumn id="9" xr3:uid="{8FF0794F-7F3B-4E25-8140-08462359DE3A}" name="שעור מנכסי אפיק ההשקעה" dataDxfId="206" dataCellStyle="Percent"/>
    <tableColumn id="10" xr3:uid="{78D76209-C13F-48E4-A497-1D0C39BDF515}" name="שעור מסך נכסי השקעה" dataDxfId="205" dataCellStyle="Percent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1E1863B-739D-499A-BBA0-211973AF93B3}" name="השקעות אחרות1" displayName="השקעות_אחרות1" ref="A6:J24" totalsRowShown="0" headerRowDxfId="204" dataDxfId="202" headerRowBorderDxfId="203" tableBorderDxfId="201" headerRowCellStyle="Percent" dataCellStyle="Percent">
  <tableColumns count="10">
    <tableColumn id="1" xr3:uid="{76130431-523A-43A6-BD04-F8971FAC1C3D}" name="שם המנפיק/שם נייר ערך" dataDxfId="200"/>
    <tableColumn id="2" xr3:uid="{6E3E8105-B7EC-4CD6-BCD8-4E6C9F4950B0}" name="מספר נייר" dataDxfId="199"/>
    <tableColumn id="3" xr3:uid="{484C512F-D2F3-4CCC-A217-7FBF1E5C7E6C}" name="דירוג" dataDxfId="198"/>
    <tableColumn id="4" xr3:uid="{A2A80886-3C8F-4CEC-84BC-DD2789F5C6B0}" name="שם מדרג" dataDxfId="197"/>
    <tableColumn id="5" xr3:uid="{3D453B9B-D458-4DD2-94AD-F05C639C50A1}" name="שעור ריבית" dataDxfId="196" dataCellStyle="Percent"/>
    <tableColumn id="6" xr3:uid="{61C4484C-25A5-414B-BB62-F76EBE58F3D4}" name="סוג מטבע" dataDxfId="195" dataCellStyle="Percent"/>
    <tableColumn id="7" xr3:uid="{C128C2FB-B079-4C3D-A39D-FB9088B6E93F}" name="תשואה לפדיון" dataDxfId="194" dataCellStyle="Percent"/>
    <tableColumn id="8" xr3:uid="{9A1BB589-52D7-41A7-B218-8614725AF292}" name="שווי הוגן" dataDxfId="193" dataCellStyle="Percent"/>
    <tableColumn id="9" xr3:uid="{0BF11A32-6C11-4C26-BEAF-BFC209652FD8}" name="שעור מנכסי אפיק ההשקעה" dataDxfId="192" dataCellStyle="Percent"/>
    <tableColumn id="10" xr3:uid="{6E7FF604-4C45-4B48-8E35-F55F00058DDB}" name="שעור מנכסי השקעה" dataDxfId="191"/>
  </tableColumns>
  <tableStyleInfo name="TableStyleMedium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5F585A9A-81A2-4CAE-BC4E-1003AAB43DF4}" name="יתרת התחייבות להשקעה1" displayName="יתרת_התחייבות_להשקעה1" ref="A6:C48" totalsRowShown="0" headerRowBorderDxfId="190" tableBorderDxfId="189">
  <tableColumns count="3">
    <tableColumn id="1" xr3:uid="{87F2429D-491B-4CAF-B053-D295794D7153}" name="שם המנפיק/שם נייר ערך" dataDxfId="188"/>
    <tableColumn id="2" xr3:uid="{F9BE85CC-E833-418E-B069-4DBECD198BAA}" name="סכום ההתחייבות" dataDxfId="187"/>
    <tableColumn id="3" xr3:uid="{5F107EF4-D7C9-4EC6-97B8-D629560B17A6}" name="תאריך סיום ההתחייבות" dataDxfId="186"/>
  </tableColumns>
  <tableStyleInfo name="TableStyleMedium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C5F2678B-19E5-4A16-ACC3-80DB7282EDE5}" name="עלות מתואמת אג&quot;ח קונצרני סחיר1" displayName="עלות_מתואמת_אג_ח_קונצרני_סחיר1" ref="A6:O17" totalsRowShown="0" headerRowDxfId="185" headerRowBorderDxfId="184" tableBorderDxfId="183" headerRowCellStyle="Percent">
  <tableColumns count="15">
    <tableColumn id="1" xr3:uid="{2CC39DDA-DADD-4DFD-A9BB-B78ACAD7270D}" name="שם המנפיק/שם נייר ערך" dataDxfId="182"/>
    <tableColumn id="2" xr3:uid="{FFDA2677-D85F-4A53-B7C9-F5B51056BB0A}" name="מספר ני&quot;ע" dataDxfId="181" dataCellStyle="Percent"/>
    <tableColumn id="3" xr3:uid="{5F0163AA-85DA-443C-BD2B-CDA843FA25A9}" name="ענף מסחר" dataDxfId="180" dataCellStyle="Percent"/>
    <tableColumn id="4" xr3:uid="{1DBC1E6D-2A58-43C1-AC70-73A9F2E190C3}" name="דירוג" dataDxfId="179" dataCellStyle="Percent"/>
    <tableColumn id="5" xr3:uid="{EC75D89C-F0E2-4BB0-A48E-9D8633922BE0}" name="שם מדרג" dataDxfId="178" dataCellStyle="Percent"/>
    <tableColumn id="6" xr3:uid="{3047C689-4DA2-430E-B56D-4BA23E2A32F2}" name="תאריך רכישה" dataDxfId="177" dataCellStyle="Percent"/>
    <tableColumn id="7" xr3:uid="{380EB191-DD8A-463D-BEF6-BE290A6DEE53}" name="מח&quot;מ" dataDxfId="176" dataCellStyle="Percent"/>
    <tableColumn id="8" xr3:uid="{61407AC5-504E-4F8F-AD83-8AFB57815F30}" name="סוג מטבע" dataDxfId="175" dataCellStyle="Percent"/>
    <tableColumn id="9" xr3:uid="{1EFE90B0-B9AE-4F95-A872-C13A37BAAC4B}" name="שיעור ריבית" dataDxfId="174" dataCellStyle="Percent"/>
    <tableColumn id="10" xr3:uid="{CBA53BB9-E448-45B4-9EB8-88991BA5E71B}" name="ריבית אפקטיבית" dataDxfId="173" dataCellStyle="Percent"/>
    <tableColumn id="11" xr3:uid="{1A2539B0-280F-4401-99A6-9AC315934026}" name="ערך נקוב" dataDxfId="172" dataCellStyle="Comma"/>
    <tableColumn id="12" xr3:uid="{BCEBE80D-AE79-4FB0-847F-F7E7AF7FCFB4}" name="עלות מתואמת" dataDxfId="171" dataCellStyle="Percent"/>
    <tableColumn id="13" xr3:uid="{7BAA8E17-6A14-4A5A-A1CB-67ED0691984B}" name="שעור מערך נקוב מונפק" dataDxfId="170" dataCellStyle="Comma"/>
    <tableColumn id="14" xr3:uid="{0536CFC0-46F5-44DA-A9BD-297F3A942EC3}" name="שעור מנכסי אפיק ההשקעה" dataDxfId="169" dataCellStyle="Percent"/>
    <tableColumn id="15" xr3:uid="{4C53D432-2EEC-418B-B50E-B88DA37C31E8}" name="שעור מסך נכסי השקעה**" dataDxfId="168" dataCellStyle="Percent"/>
  </tableColumns>
  <tableStyleInfo name="TableStyleMedium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4AF13CCC-0869-4EF4-8D2A-026043B3A4BB}" name="עלות מתואמת אג&quot;ח קונצרני ל.סחיר1" displayName="עלות_מתואמת_אג_ח_קונצרני_ל.סחיר1" ref="A6:O17" totalsRowShown="0" headerRowDxfId="167" headerRowBorderDxfId="166" tableBorderDxfId="165" headerRowCellStyle="Percent">
  <tableColumns count="15">
    <tableColumn id="1" xr3:uid="{5BA41536-B836-45D7-A47D-D43ECBD38326}" name="שם המנפיק/שם נייר ערך" dataDxfId="164"/>
    <tableColumn id="2" xr3:uid="{577AEA6E-89D7-4FC2-88AC-274D57D31DA9}" name="מספר ני&quot;ע" dataDxfId="163" dataCellStyle="Percent"/>
    <tableColumn id="3" xr3:uid="{C90502A3-E294-47F6-A741-820B7EFD869B}" name="ענף מסחר" dataDxfId="162" dataCellStyle="Percent"/>
    <tableColumn id="4" xr3:uid="{6235C8B8-9DC6-467F-8A27-7254A51E3D66}" name="דירוג" dataDxfId="161" dataCellStyle="Percent"/>
    <tableColumn id="5" xr3:uid="{DDC5190F-974E-453C-945B-23671190E483}" name="שם מדרג" dataDxfId="160" dataCellStyle="Percent"/>
    <tableColumn id="6" xr3:uid="{48CC7705-3A1D-4768-8266-61F60F139523}" name="תאריך רכישה" dataDxfId="159" dataCellStyle="Percent"/>
    <tableColumn id="7" xr3:uid="{CCCFEFB1-3F43-4D77-B430-FDB1D01F698B}" name="מח&quot;מ" dataDxfId="158" dataCellStyle="Percent"/>
    <tableColumn id="8" xr3:uid="{8FD5DB23-FAFA-4745-AD47-56BC1345938F}" name="סוג מטבע" dataDxfId="157" dataCellStyle="Percent"/>
    <tableColumn id="9" xr3:uid="{B822E3CE-E220-4D8E-AB1C-70FF0021802F}" name="שיעור ריבית" dataDxfId="156" dataCellStyle="Percent"/>
    <tableColumn id="10" xr3:uid="{08D87440-EBCD-472E-8B38-501E50E793E8}" name="ריבית אפקטיבית" dataDxfId="155" dataCellStyle="Percent"/>
    <tableColumn id="11" xr3:uid="{4BC54335-DE51-44D2-9222-FE00135ABC9E}" name="ערך נקוב" dataDxfId="154" dataCellStyle="Comma"/>
    <tableColumn id="12" xr3:uid="{CE185C75-354E-46E1-8723-B00A791B0F7F}" name="עלות מתואמת" dataDxfId="153" dataCellStyle="Percent"/>
    <tableColumn id="13" xr3:uid="{491D3B7A-D664-4CE4-A488-C1D334611E0B}" name="שעור מערך נקוב מונפק" dataDxfId="152" dataCellStyle="Comma"/>
    <tableColumn id="14" xr3:uid="{83F13079-94B1-45F6-94F9-1B4E15CBE4B5}" name="שעור מנכסי אפיק ההשקעה" dataDxfId="151" dataCellStyle="Percent"/>
    <tableColumn id="15" xr3:uid="{6C24D776-6062-47B1-8ACE-921742C33F16}" name="שעור מסך נכסי השקעה**" dataDxfId="150" dataCellStyle="Percent"/>
  </tableColumns>
  <tableStyleInfo name="TableStyleMedium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6CCAEEA5-9602-4497-8F8C-17AC2369072D}" name="עלות מתואמת מסגרות אשראי ללווים1" displayName="עלות_מתואמת_מסגרות_אשראי_ללווים1" ref="A6:O17" totalsRowShown="0" headerRowDxfId="149" headerRowBorderDxfId="148" tableBorderDxfId="147" headerRowCellStyle="Percent">
  <tableColumns count="15">
    <tableColumn id="1" xr3:uid="{0249862F-3A18-4482-9D5F-AA6C93F63CD0}" name="שם המנפיק/שם נייר ערך" dataDxfId="146"/>
    <tableColumn id="2" xr3:uid="{EBAADD38-815C-4CD0-920F-8ACE8426117B}" name="מספר ני&quot;ע" dataDxfId="145" dataCellStyle="Percent"/>
    <tableColumn id="3" xr3:uid="{AFD05984-23FB-4830-8BAD-E57BA13696D6}" name="ענף מסחר" dataDxfId="144" dataCellStyle="Percent"/>
    <tableColumn id="4" xr3:uid="{839D7F21-238A-425C-BE7C-7D90A0345545}" name="דירוג" dataDxfId="143" dataCellStyle="Percent"/>
    <tableColumn id="5" xr3:uid="{E9BD4D4D-9434-445A-B2C6-8F958600B4F8}" name="שם מדרג" dataDxfId="142" dataCellStyle="Percent"/>
    <tableColumn id="6" xr3:uid="{52778069-A7E1-4BF8-9992-14B03522378E}" name="תאריך רכישה" dataDxfId="141" dataCellStyle="Percent"/>
    <tableColumn id="7" xr3:uid="{9D26E74A-636C-40D6-85DA-76FDCE4FEF75}" name="מח&quot;מ" dataDxfId="140" dataCellStyle="Percent"/>
    <tableColumn id="8" xr3:uid="{1502AC4D-B55C-49CE-8B96-953B7C191AF5}" name="סוג מטבע" dataDxfId="139" dataCellStyle="Percent"/>
    <tableColumn id="9" xr3:uid="{4054A11B-9A28-4E5B-8CD1-7FE13B7CADE0}" name="שיעור ריבית" dataDxfId="138" dataCellStyle="Percent"/>
    <tableColumn id="10" xr3:uid="{BF1B37AB-24EB-4FA6-8148-C73203C65395}" name="ריבית אפקטיבית" dataDxfId="137" dataCellStyle="Percent"/>
    <tableColumn id="11" xr3:uid="{A390DFCE-75C9-46D2-B596-43BF65D2AA02}" name="ערך נקוב" dataDxfId="136" dataCellStyle="Comma"/>
    <tableColumn id="12" xr3:uid="{92E8E3D1-841F-4551-9065-7A85CDB037E3}" name="עלות מתואמת" dataDxfId="135" dataCellStyle="Percent"/>
    <tableColumn id="13" xr3:uid="{1E33520A-5745-416B-A1BE-1CB32AE85C2A}" name="שעור מערך נקוב מונפק" dataDxfId="134" dataCellStyle="Comma"/>
    <tableColumn id="14" xr3:uid="{7882C57B-9EFE-4C8A-9688-196AEC37A621}" name="שעור מנכסי אפיק ההשקעה" dataDxfId="133" dataCellStyle="Percent"/>
    <tableColumn id="15" xr3:uid="{19733395-D4B0-4617-A67E-18DCC249C978}" name="שעור מסך נכסי השקעה**" dataDxfId="132" dataCellStyle="Percent"/>
  </tableColumns>
  <tableStyleInfo name="TableStyleMedium9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F04F4560-916D-4EBE-9112-044ED27207DC}" name="טבלה32" displayName="טבלה32" ref="A1:B72" headerRowCount="0" totalsRowShown="0">
  <tableColumns count="2">
    <tableColumn id="1" xr3:uid="{F27B1E53-002C-4D37-9F77-25FE44677FD7}" name="עמודה1"/>
    <tableColumn id="2" xr3:uid="{B7934C2A-65F6-4083-84D2-3523BCF5F2DF}" name="עמודה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B689"/>
  <sheetViews>
    <sheetView rightToLeft="1" zoomScale="80" zoomScaleNormal="80" workbookViewId="0">
      <selection activeCell="B44" sqref="B44"/>
    </sheetView>
  </sheetViews>
  <sheetFormatPr defaultColWidth="44.44140625" defaultRowHeight="13.2" x14ac:dyDescent="0.25"/>
  <cols>
    <col min="1" max="1" width="31.33203125" style="39" customWidth="1"/>
    <col min="2" max="2" width="14.88671875" style="40" bestFit="1" customWidth="1"/>
    <col min="3" max="3" width="17.88671875" style="39" customWidth="1"/>
    <col min="4" max="4" width="9.109375" style="39" customWidth="1"/>
    <col min="5" max="48" width="11.6640625" style="39" customWidth="1"/>
    <col min="49" max="16384" width="44.44140625" style="39"/>
  </cols>
  <sheetData>
    <row r="1" spans="1:54" x14ac:dyDescent="0.25">
      <c r="A1" s="42" t="s">
        <v>237</v>
      </c>
      <c r="B1" s="42" t="s">
        <v>247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</row>
    <row r="2" spans="1:54" x14ac:dyDescent="0.25">
      <c r="A2" s="42" t="s">
        <v>238</v>
      </c>
      <c r="B2" s="42" t="s">
        <v>150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</row>
    <row r="3" spans="1:54" x14ac:dyDescent="0.25">
      <c r="A3" s="42" t="s">
        <v>239</v>
      </c>
      <c r="B3" s="42" t="s">
        <v>240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/>
      <c r="AS3" s="42"/>
      <c r="AT3" s="42"/>
      <c r="AU3" s="42"/>
      <c r="AV3" s="42"/>
      <c r="AW3" s="42"/>
      <c r="AX3" s="42"/>
      <c r="AY3" s="42"/>
      <c r="AZ3" s="42"/>
      <c r="BA3" s="42"/>
      <c r="BB3" s="42"/>
    </row>
    <row r="4" spans="1:54" x14ac:dyDescent="0.25">
      <c r="A4" s="42" t="s">
        <v>241</v>
      </c>
      <c r="B4" s="42" t="s">
        <v>249</v>
      </c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42"/>
      <c r="BB4" s="42"/>
    </row>
    <row r="5" spans="1:54" ht="21.75" customHeight="1" x14ac:dyDescent="0.25">
      <c r="A5" s="217" t="s">
        <v>51</v>
      </c>
      <c r="B5" s="218"/>
      <c r="C5" s="219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42"/>
      <c r="BB5" s="42"/>
    </row>
    <row r="6" spans="1:54" ht="21.75" customHeight="1" x14ac:dyDescent="0.25">
      <c r="A6" s="192" t="s">
        <v>2914</v>
      </c>
      <c r="B6" s="177" t="s">
        <v>29</v>
      </c>
      <c r="C6" s="177" t="s">
        <v>72</v>
      </c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</row>
    <row r="7" spans="1:54" ht="15.6" x14ac:dyDescent="0.25">
      <c r="A7" s="176"/>
      <c r="B7" s="185" t="s">
        <v>10</v>
      </c>
      <c r="C7" s="185" t="s">
        <v>9</v>
      </c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</row>
    <row r="8" spans="1:54" ht="15.6" x14ac:dyDescent="0.25">
      <c r="A8" s="178"/>
      <c r="B8" s="179" t="s">
        <v>49</v>
      </c>
      <c r="C8" s="179" t="s">
        <v>50</v>
      </c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</row>
    <row r="9" spans="1:54" x14ac:dyDescent="0.25">
      <c r="A9" s="180" t="s">
        <v>97</v>
      </c>
      <c r="B9" s="179"/>
      <c r="C9" s="179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</row>
    <row r="10" spans="1:54" x14ac:dyDescent="0.25">
      <c r="A10" s="186" t="s">
        <v>43</v>
      </c>
      <c r="B10" s="187">
        <v>27780.438874779316</v>
      </c>
      <c r="C10" s="188">
        <v>4.8225651211452301E-2</v>
      </c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</row>
    <row r="11" spans="1:54" x14ac:dyDescent="0.25">
      <c r="A11" s="181" t="s">
        <v>45</v>
      </c>
      <c r="B11" s="187">
        <v>446245.8196375983</v>
      </c>
      <c r="C11" s="188">
        <v>0.77466361670581863</v>
      </c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42"/>
    </row>
    <row r="12" spans="1:54" x14ac:dyDescent="0.25">
      <c r="A12" s="189" t="s">
        <v>12</v>
      </c>
      <c r="B12" s="187">
        <v>198879.84043255448</v>
      </c>
      <c r="C12" s="188">
        <v>0.34524687896118961</v>
      </c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</row>
    <row r="13" spans="1:54" x14ac:dyDescent="0.25">
      <c r="A13" s="189" t="s">
        <v>18</v>
      </c>
      <c r="B13" s="187">
        <v>4.9999999999999998E-7</v>
      </c>
      <c r="C13" s="188">
        <v>8.6797856990002994E-13</v>
      </c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42"/>
    </row>
    <row r="14" spans="1:54" x14ac:dyDescent="0.25">
      <c r="A14" s="189" t="s">
        <v>20</v>
      </c>
      <c r="B14" s="187">
        <v>209637.61231231794</v>
      </c>
      <c r="C14" s="188">
        <v>0.36392190986420531</v>
      </c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</row>
    <row r="15" spans="1:54" x14ac:dyDescent="0.25">
      <c r="A15" s="189" t="s">
        <v>21</v>
      </c>
      <c r="B15" s="187">
        <v>0.52191512473563273</v>
      </c>
      <c r="C15" s="188">
        <v>9.0602228715446053E-7</v>
      </c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</row>
    <row r="16" spans="1:54" x14ac:dyDescent="0.25">
      <c r="A16" s="189" t="s">
        <v>158</v>
      </c>
      <c r="B16" s="187">
        <v>11884.952269184374</v>
      </c>
      <c r="C16" s="188">
        <v>2.063176774787354E-2</v>
      </c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</row>
    <row r="17" spans="1:54" x14ac:dyDescent="0.25">
      <c r="A17" s="189" t="s">
        <v>44</v>
      </c>
      <c r="B17" s="187">
        <v>25836.354385489722</v>
      </c>
      <c r="C17" s="188">
        <v>4.4850803861895473E-2</v>
      </c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</row>
    <row r="18" spans="1:54" x14ac:dyDescent="0.25">
      <c r="A18" s="189" t="s">
        <v>23</v>
      </c>
      <c r="B18" s="187">
        <v>6.5383201270166458</v>
      </c>
      <c r="C18" s="188">
        <v>1.1350243506792981E-5</v>
      </c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</row>
    <row r="19" spans="1:54" x14ac:dyDescent="0.25">
      <c r="A19" s="189" t="s">
        <v>24</v>
      </c>
      <c r="B19" s="187">
        <v>9.0000000000000007E-7</v>
      </c>
      <c r="C19" s="188">
        <v>1.5623614258200541E-12</v>
      </c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V19" s="42"/>
      <c r="AW19" s="42"/>
      <c r="AX19" s="42"/>
      <c r="AY19" s="42"/>
      <c r="AZ19" s="42"/>
      <c r="BA19" s="42"/>
      <c r="BB19" s="42"/>
    </row>
    <row r="20" spans="1:54" x14ac:dyDescent="0.25">
      <c r="A20" s="189" t="s">
        <v>25</v>
      </c>
      <c r="B20" s="187">
        <v>2.0000000000000002E-7</v>
      </c>
      <c r="C20" s="188">
        <v>3.4719142796001203E-13</v>
      </c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</row>
    <row r="21" spans="1:54" x14ac:dyDescent="0.25">
      <c r="A21" s="189" t="s">
        <v>26</v>
      </c>
      <c r="B21" s="187">
        <v>1.2000000000000002E-6</v>
      </c>
      <c r="C21" s="188">
        <v>2.0831485677600723E-12</v>
      </c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42"/>
    </row>
    <row r="22" spans="1:54" x14ac:dyDescent="0.25">
      <c r="A22" s="180" t="s">
        <v>46</v>
      </c>
      <c r="B22" s="187">
        <v>44148.058677303357</v>
      </c>
      <c r="C22" s="188">
        <v>7.6639137669176752E-2</v>
      </c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42"/>
    </row>
    <row r="23" spans="1:54" x14ac:dyDescent="0.25">
      <c r="A23" s="189" t="s">
        <v>12</v>
      </c>
      <c r="B23" s="187">
        <v>6.9999999999999997E-7</v>
      </c>
      <c r="C23" s="188">
        <v>1.2151699978600419E-12</v>
      </c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42"/>
      <c r="AU23" s="42"/>
      <c r="AV23" s="42"/>
      <c r="AW23" s="42"/>
      <c r="AX23" s="42"/>
      <c r="AY23" s="42"/>
      <c r="AZ23" s="42"/>
      <c r="BA23" s="42"/>
      <c r="BB23" s="42"/>
    </row>
    <row r="24" spans="1:54" x14ac:dyDescent="0.25">
      <c r="A24" s="189" t="s">
        <v>18</v>
      </c>
      <c r="B24" s="187">
        <v>6.0000000000000008E-7</v>
      </c>
      <c r="C24" s="188">
        <v>1.0415742838800361E-12</v>
      </c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42"/>
      <c r="AT24" s="42"/>
      <c r="AU24" s="42"/>
      <c r="AV24" s="42"/>
      <c r="AW24" s="42"/>
      <c r="AX24" s="42"/>
      <c r="AY24" s="42"/>
      <c r="AZ24" s="42"/>
      <c r="BA24" s="42"/>
      <c r="BB24" s="42"/>
    </row>
    <row r="25" spans="1:54" x14ac:dyDescent="0.25">
      <c r="A25" s="189" t="s">
        <v>20</v>
      </c>
      <c r="B25" s="187">
        <v>22864.185087323098</v>
      </c>
      <c r="C25" s="188">
        <v>3.969124534804859E-2</v>
      </c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/>
      <c r="AW25" s="42"/>
      <c r="AX25" s="42"/>
      <c r="AY25" s="42"/>
      <c r="AZ25" s="42"/>
      <c r="BA25" s="42"/>
      <c r="BB25" s="42"/>
    </row>
    <row r="26" spans="1:54" x14ac:dyDescent="0.25">
      <c r="A26" s="189" t="s">
        <v>21</v>
      </c>
      <c r="B26" s="187">
        <v>3.0000000000000004E-7</v>
      </c>
      <c r="C26" s="188">
        <v>5.2078714194001806E-13</v>
      </c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</row>
    <row r="27" spans="1:54" x14ac:dyDescent="0.25">
      <c r="A27" s="189" t="s">
        <v>30</v>
      </c>
      <c r="B27" s="187">
        <v>28080.940330799996</v>
      </c>
      <c r="C27" s="188">
        <v>4.8747308859551711E-2</v>
      </c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42"/>
    </row>
    <row r="28" spans="1:54" x14ac:dyDescent="0.25">
      <c r="A28" s="189" t="s">
        <v>31</v>
      </c>
      <c r="B28" s="187">
        <v>2.0000000000000002E-7</v>
      </c>
      <c r="C28" s="188">
        <v>3.4719142796001203E-13</v>
      </c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/>
      <c r="BB28" s="42"/>
    </row>
    <row r="29" spans="1:54" x14ac:dyDescent="0.25">
      <c r="A29" s="189" t="s">
        <v>32</v>
      </c>
      <c r="B29" s="187">
        <v>9.9999999999999995E-7</v>
      </c>
      <c r="C29" s="188">
        <v>1.7359571398000599E-12</v>
      </c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42"/>
    </row>
    <row r="30" spans="1:54" x14ac:dyDescent="0.25">
      <c r="A30" s="189" t="s">
        <v>33</v>
      </c>
      <c r="B30" s="187">
        <v>-6797.0667448197337</v>
      </c>
      <c r="C30" s="188">
        <v>-1.1799416545367369E-2</v>
      </c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</row>
    <row r="31" spans="1:54" x14ac:dyDescent="0.25">
      <c r="A31" s="189" t="s">
        <v>34</v>
      </c>
      <c r="B31" s="187">
        <v>1.2000000000000002E-6</v>
      </c>
      <c r="C31" s="188">
        <v>2.0831485677600723E-12</v>
      </c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42"/>
    </row>
    <row r="32" spans="1:54" x14ac:dyDescent="0.25">
      <c r="A32" s="189" t="s">
        <v>35</v>
      </c>
      <c r="B32" s="187">
        <v>56151.507172718753</v>
      </c>
      <c r="C32" s="188">
        <v>9.7476609787015403E-2</v>
      </c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</row>
    <row r="33" spans="1:54" x14ac:dyDescent="0.25">
      <c r="A33" s="189" t="s">
        <v>37</v>
      </c>
      <c r="B33" s="187">
        <v>1625.9338816844017</v>
      </c>
      <c r="C33" s="188">
        <v>2.8225515307528631E-3</v>
      </c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</row>
    <row r="34" spans="1:54" x14ac:dyDescent="0.25">
      <c r="A34" s="189" t="s">
        <v>47</v>
      </c>
      <c r="B34" s="187">
        <v>4.0000000000000003E-7</v>
      </c>
      <c r="C34" s="188">
        <v>6.9438285592002405E-13</v>
      </c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</row>
    <row r="35" spans="1:54" x14ac:dyDescent="0.25">
      <c r="A35" s="189" t="s">
        <v>86</v>
      </c>
      <c r="B35" s="187">
        <v>2.0000000000000002E-7</v>
      </c>
      <c r="C35" s="188">
        <v>3.4719142796001203E-13</v>
      </c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</row>
    <row r="36" spans="1:54" x14ac:dyDescent="0.25">
      <c r="A36" s="189" t="s">
        <v>87</v>
      </c>
      <c r="B36" s="187">
        <v>99.330271922595969</v>
      </c>
      <c r="C36" s="188">
        <v>1.7243309474231192E-4</v>
      </c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42"/>
    </row>
    <row r="37" spans="1:54" x14ac:dyDescent="0.25">
      <c r="A37" s="180" t="s">
        <v>93</v>
      </c>
      <c r="B37" s="190"/>
      <c r="C37" s="188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42"/>
    </row>
    <row r="38" spans="1:54" x14ac:dyDescent="0.25">
      <c r="A38" s="189" t="s">
        <v>94</v>
      </c>
      <c r="B38" s="190">
        <v>0</v>
      </c>
      <c r="C38" s="188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</row>
    <row r="39" spans="1:54" x14ac:dyDescent="0.25">
      <c r="A39" s="189" t="s">
        <v>95</v>
      </c>
      <c r="B39" s="190">
        <v>0</v>
      </c>
      <c r="C39" s="188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42"/>
    </row>
    <row r="40" spans="1:54" x14ac:dyDescent="0.25">
      <c r="A40" s="189" t="s">
        <v>96</v>
      </c>
      <c r="B40" s="190">
        <v>0</v>
      </c>
      <c r="C40" s="188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</row>
    <row r="41" spans="1:54" x14ac:dyDescent="0.25">
      <c r="A41" s="182" t="s">
        <v>48</v>
      </c>
      <c r="B41" s="183">
        <v>576051.08851660683</v>
      </c>
      <c r="C41" s="184">
        <v>0.99999999999999978</v>
      </c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42"/>
    </row>
    <row r="42" spans="1:54" x14ac:dyDescent="0.25">
      <c r="A42" s="191" t="s">
        <v>92</v>
      </c>
      <c r="B42" s="187">
        <v>30721.495587467005</v>
      </c>
      <c r="C42" s="188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  <c r="BB42" s="42"/>
    </row>
    <row r="43" spans="1:54" x14ac:dyDescent="0.25">
      <c r="A43" s="202"/>
      <c r="B43" s="193" t="s">
        <v>0</v>
      </c>
      <c r="C43" s="194" t="s">
        <v>1</v>
      </c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  <c r="BB43" s="42"/>
    </row>
    <row r="44" spans="1:54" x14ac:dyDescent="0.25">
      <c r="A44" s="42"/>
      <c r="B44" s="195" t="s">
        <v>49</v>
      </c>
      <c r="C44" s="196" t="s">
        <v>50</v>
      </c>
      <c r="D44" s="109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42"/>
    </row>
    <row r="45" spans="1:54" x14ac:dyDescent="0.25">
      <c r="A45" s="42"/>
      <c r="B45" s="197" t="s">
        <v>125</v>
      </c>
      <c r="C45" s="199">
        <v>3.7</v>
      </c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42"/>
      <c r="AS45" s="42"/>
      <c r="AT45" s="42"/>
      <c r="AU45" s="42"/>
      <c r="AV45" s="42"/>
      <c r="AW45" s="42"/>
      <c r="AX45" s="42"/>
      <c r="AY45" s="42"/>
      <c r="AZ45" s="42"/>
      <c r="BA45" s="42"/>
      <c r="BB45" s="42"/>
    </row>
    <row r="46" spans="1:54" x14ac:dyDescent="0.25">
      <c r="A46" s="42"/>
      <c r="B46" s="197" t="s">
        <v>126</v>
      </c>
      <c r="C46" s="199">
        <v>4.0185000000000004</v>
      </c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42"/>
      <c r="AS46" s="42"/>
      <c r="AT46" s="42"/>
      <c r="AU46" s="42"/>
      <c r="AV46" s="42"/>
      <c r="AW46" s="42"/>
      <c r="AX46" s="42"/>
      <c r="AY46" s="42"/>
      <c r="AZ46" s="42"/>
      <c r="BA46" s="42"/>
      <c r="BB46" s="42"/>
    </row>
    <row r="47" spans="1:54" x14ac:dyDescent="0.25">
      <c r="A47" s="42"/>
      <c r="B47" s="197" t="s">
        <v>2</v>
      </c>
      <c r="C47" s="199">
        <v>4.6707000000000001</v>
      </c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42"/>
      <c r="AS47" s="42"/>
      <c r="AT47" s="42"/>
      <c r="AU47" s="42"/>
      <c r="AV47" s="42"/>
      <c r="AW47" s="42"/>
      <c r="AX47" s="42"/>
      <c r="AY47" s="42"/>
      <c r="AZ47" s="42"/>
      <c r="BA47" s="42"/>
      <c r="BB47" s="42"/>
    </row>
    <row r="48" spans="1:54" x14ac:dyDescent="0.25">
      <c r="A48" s="42"/>
      <c r="B48" s="197" t="s">
        <v>131</v>
      </c>
      <c r="C48" s="199">
        <v>2.7898000000000001</v>
      </c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2"/>
      <c r="AS48" s="42"/>
      <c r="AT48" s="42"/>
      <c r="AU48" s="42"/>
      <c r="AV48" s="42"/>
      <c r="AW48" s="42"/>
      <c r="AX48" s="42"/>
      <c r="AY48" s="42"/>
      <c r="AZ48" s="42"/>
      <c r="BA48" s="42"/>
      <c r="BB48" s="42"/>
    </row>
    <row r="49" spans="1:54" x14ac:dyDescent="0.25">
      <c r="A49" s="42"/>
      <c r="B49" s="197" t="s">
        <v>3</v>
      </c>
      <c r="C49" s="199">
        <v>2.4517000000000002</v>
      </c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2"/>
      <c r="AS49" s="42"/>
      <c r="AT49" s="42"/>
      <c r="AU49" s="42"/>
      <c r="AV49" s="42"/>
      <c r="AW49" s="42"/>
      <c r="AX49" s="42"/>
      <c r="AY49" s="42"/>
      <c r="AZ49" s="42"/>
      <c r="BA49" s="42"/>
      <c r="BB49" s="42"/>
    </row>
    <row r="50" spans="1:54" x14ac:dyDescent="0.25">
      <c r="A50" s="42"/>
      <c r="B50" s="197" t="s">
        <v>65</v>
      </c>
      <c r="C50" s="199">
        <v>0.47220000000000001</v>
      </c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2"/>
      <c r="AS50" s="42"/>
      <c r="AT50" s="42"/>
      <c r="AU50" s="42"/>
      <c r="AV50" s="42"/>
      <c r="AW50" s="42"/>
      <c r="AX50" s="42"/>
      <c r="AY50" s="42"/>
      <c r="AZ50" s="42"/>
      <c r="BA50" s="42"/>
      <c r="BB50" s="42"/>
    </row>
    <row r="51" spans="1:54" x14ac:dyDescent="0.25">
      <c r="A51" s="42"/>
      <c r="B51" s="197" t="s">
        <v>127</v>
      </c>
      <c r="C51" s="199">
        <v>2.2509999999999999</v>
      </c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42"/>
      <c r="AS51" s="42"/>
      <c r="AT51" s="42"/>
      <c r="AU51" s="42"/>
      <c r="AV51" s="42"/>
      <c r="AW51" s="42"/>
      <c r="AX51" s="42"/>
      <c r="AY51" s="42"/>
      <c r="AZ51" s="42"/>
      <c r="BA51" s="42"/>
      <c r="BB51" s="42"/>
    </row>
    <row r="52" spans="1:54" x14ac:dyDescent="0.25">
      <c r="A52" s="42"/>
      <c r="B52" s="197" t="s">
        <v>90</v>
      </c>
      <c r="C52" s="200">
        <v>0.54149999999999998</v>
      </c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42"/>
      <c r="AS52" s="42"/>
      <c r="AT52" s="42"/>
      <c r="AU52" s="42"/>
      <c r="AV52" s="42"/>
      <c r="AW52" s="42"/>
      <c r="AX52" s="42"/>
      <c r="AY52" s="42"/>
      <c r="AZ52" s="42"/>
      <c r="BA52" s="42"/>
      <c r="BB52" s="42"/>
    </row>
    <row r="53" spans="1:54" x14ac:dyDescent="0.25">
      <c r="A53" s="42"/>
      <c r="B53" s="197" t="s">
        <v>132</v>
      </c>
      <c r="C53" s="200">
        <v>0.34229999999999999</v>
      </c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42"/>
      <c r="AQ53" s="42"/>
      <c r="AR53" s="42"/>
      <c r="AS53" s="42"/>
      <c r="AT53" s="42"/>
      <c r="AU53" s="42"/>
      <c r="AV53" s="42"/>
      <c r="AW53" s="42"/>
      <c r="AX53" s="42"/>
      <c r="AY53" s="42"/>
      <c r="AZ53" s="42"/>
      <c r="BA53" s="42"/>
      <c r="BB53" s="42"/>
    </row>
    <row r="54" spans="1:54" x14ac:dyDescent="0.25">
      <c r="A54" s="42"/>
      <c r="B54" s="197" t="s">
        <v>2848</v>
      </c>
      <c r="C54" s="199">
        <v>2.5581999999999998</v>
      </c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42"/>
      <c r="AQ54" s="42"/>
      <c r="AR54" s="42"/>
      <c r="AS54" s="42"/>
      <c r="AT54" s="42"/>
      <c r="AU54" s="42"/>
      <c r="AV54" s="42"/>
      <c r="AW54" s="42"/>
      <c r="AX54" s="42"/>
      <c r="AY54" s="42"/>
      <c r="AZ54" s="42"/>
      <c r="BA54" s="42"/>
      <c r="BB54" s="42"/>
    </row>
    <row r="55" spans="1:54" ht="12" customHeight="1" x14ac:dyDescent="0.25">
      <c r="A55" s="42"/>
      <c r="B55" s="197" t="s">
        <v>130</v>
      </c>
      <c r="C55" s="200">
        <v>0.2165</v>
      </c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  <c r="AQ55" s="42"/>
      <c r="AR55" s="42"/>
      <c r="AS55" s="42"/>
      <c r="AT55" s="42"/>
      <c r="AU55" s="42"/>
      <c r="AV55" s="42"/>
      <c r="AW55" s="42"/>
      <c r="AX55" s="42"/>
      <c r="AY55" s="42"/>
      <c r="AZ55" s="42"/>
      <c r="BA55" s="42"/>
      <c r="BB55" s="42"/>
    </row>
    <row r="56" spans="1:54" x14ac:dyDescent="0.25">
      <c r="A56" s="42"/>
      <c r="B56" s="197" t="s">
        <v>236</v>
      </c>
      <c r="C56" s="200">
        <v>4.1134000000000004</v>
      </c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42"/>
      <c r="AQ56" s="42"/>
      <c r="AR56" s="42"/>
      <c r="AS56" s="42"/>
      <c r="AT56" s="42"/>
      <c r="AU56" s="42"/>
      <c r="AV56" s="42"/>
      <c r="AW56" s="42"/>
      <c r="AX56" s="42"/>
      <c r="AY56" s="42"/>
      <c r="AZ56" s="42"/>
      <c r="BA56" s="42"/>
      <c r="BB56" s="42"/>
    </row>
    <row r="57" spans="1:54" x14ac:dyDescent="0.25">
      <c r="A57" s="42"/>
      <c r="B57" s="197" t="s">
        <v>91</v>
      </c>
      <c r="C57" s="200">
        <v>0.50839999999999996</v>
      </c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42"/>
      <c r="AQ57" s="42"/>
      <c r="AR57" s="42"/>
      <c r="AS57" s="42"/>
      <c r="AT57" s="42"/>
      <c r="AU57" s="42"/>
      <c r="AV57" s="42"/>
      <c r="AW57" s="42"/>
      <c r="AX57" s="42"/>
      <c r="AY57" s="42"/>
      <c r="AZ57" s="42"/>
      <c r="BA57" s="42"/>
      <c r="BB57" s="42"/>
    </row>
    <row r="58" spans="1:54" x14ac:dyDescent="0.25">
      <c r="A58" s="42"/>
      <c r="B58" s="197" t="s">
        <v>163</v>
      </c>
      <c r="C58" s="200">
        <v>0.77429999999999999</v>
      </c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42"/>
      <c r="AQ58" s="42"/>
      <c r="AR58" s="42"/>
      <c r="AS58" s="42"/>
      <c r="AT58" s="42"/>
      <c r="AU58" s="42"/>
      <c r="AV58" s="42"/>
      <c r="AW58" s="42"/>
      <c r="AX58" s="42"/>
      <c r="AY58" s="42"/>
      <c r="AZ58" s="42"/>
      <c r="BA58" s="42"/>
      <c r="BB58" s="42"/>
    </row>
    <row r="59" spans="1:54" x14ac:dyDescent="0.25">
      <c r="A59" s="42"/>
      <c r="B59" s="197" t="s">
        <v>129</v>
      </c>
      <c r="C59" s="200">
        <v>0.16900000000000001</v>
      </c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42"/>
      <c r="AQ59" s="42"/>
      <c r="AR59" s="42"/>
      <c r="AS59" s="42"/>
      <c r="AT59" s="42"/>
      <c r="AU59" s="42"/>
      <c r="AV59" s="42"/>
      <c r="AW59" s="42"/>
      <c r="AX59" s="42"/>
      <c r="AY59" s="42"/>
      <c r="AZ59" s="42"/>
      <c r="BA59" s="42"/>
      <c r="BB59" s="42"/>
    </row>
    <row r="60" spans="1:54" x14ac:dyDescent="0.25">
      <c r="A60" s="42"/>
      <c r="B60" s="197" t="s">
        <v>151</v>
      </c>
      <c r="C60" s="200">
        <v>0.34350000000000003</v>
      </c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42"/>
      <c r="AQ60" s="42"/>
      <c r="AR60" s="42"/>
      <c r="AS60" s="42"/>
      <c r="AT60" s="42"/>
      <c r="AU60" s="42"/>
      <c r="AV60" s="42"/>
      <c r="AW60" s="42"/>
      <c r="AX60" s="42"/>
      <c r="AY60" s="42"/>
      <c r="AZ60" s="42"/>
      <c r="BA60" s="42"/>
      <c r="BB60" s="42"/>
    </row>
    <row r="61" spans="1:54" x14ac:dyDescent="0.25">
      <c r="A61" s="42"/>
      <c r="B61" s="197" t="s">
        <v>161</v>
      </c>
      <c r="C61" s="200">
        <v>0</v>
      </c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42"/>
      <c r="AQ61" s="42"/>
      <c r="AR61" s="42"/>
      <c r="AS61" s="42"/>
      <c r="AT61" s="42"/>
      <c r="AU61" s="42"/>
      <c r="AV61" s="42"/>
      <c r="AW61" s="42"/>
      <c r="AX61" s="42"/>
      <c r="AY61" s="42"/>
      <c r="AZ61" s="42"/>
      <c r="BA61" s="42"/>
      <c r="BB61" s="42"/>
    </row>
    <row r="62" spans="1:54" x14ac:dyDescent="0.25">
      <c r="A62" s="42"/>
      <c r="B62" s="197" t="s">
        <v>152</v>
      </c>
      <c r="C62" s="200">
        <v>0.89990000000000003</v>
      </c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42"/>
      <c r="AQ62" s="42"/>
      <c r="AR62" s="42"/>
      <c r="AS62" s="42"/>
      <c r="AT62" s="42"/>
      <c r="AU62" s="42"/>
      <c r="AV62" s="42"/>
      <c r="AW62" s="42"/>
      <c r="AX62" s="42"/>
      <c r="AY62" s="42"/>
      <c r="AZ62" s="42"/>
      <c r="BA62" s="42"/>
      <c r="BB62" s="42"/>
    </row>
    <row r="63" spans="1:54" x14ac:dyDescent="0.25">
      <c r="A63" s="42"/>
      <c r="B63" s="197" t="s">
        <v>153</v>
      </c>
      <c r="C63" s="200">
        <v>4.5388320000000003E-2</v>
      </c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42"/>
      <c r="AQ63" s="42"/>
      <c r="AR63" s="42"/>
      <c r="AS63" s="42"/>
      <c r="AT63" s="42"/>
      <c r="AU63" s="42"/>
      <c r="AV63" s="42"/>
      <c r="AW63" s="42"/>
      <c r="AX63" s="42"/>
      <c r="AY63" s="42"/>
      <c r="AZ63" s="42"/>
      <c r="BA63" s="42"/>
      <c r="BB63" s="42"/>
    </row>
    <row r="64" spans="1:54" x14ac:dyDescent="0.25">
      <c r="A64" s="42"/>
      <c r="B64" s="197" t="s">
        <v>162</v>
      </c>
      <c r="C64" s="200">
        <v>2.4605500000000002E-4</v>
      </c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  <c r="AJ64" s="42"/>
      <c r="AK64" s="42"/>
      <c r="AL64" s="42"/>
      <c r="AM64" s="42"/>
      <c r="AN64" s="42"/>
      <c r="AO64" s="42"/>
      <c r="AP64" s="42"/>
      <c r="AQ64" s="42"/>
      <c r="AR64" s="42"/>
      <c r="AS64" s="42"/>
      <c r="AT64" s="42"/>
      <c r="AU64" s="42"/>
      <c r="AV64" s="42"/>
      <c r="AW64" s="42"/>
      <c r="AX64" s="42"/>
      <c r="AY64" s="42"/>
      <c r="AZ64" s="42"/>
      <c r="BA64" s="42"/>
      <c r="BB64" s="42"/>
    </row>
    <row r="65" spans="1:54" x14ac:dyDescent="0.25">
      <c r="A65" s="42"/>
      <c r="B65" s="197" t="s">
        <v>154</v>
      </c>
      <c r="C65" s="200">
        <v>4.2000000000000003E-2</v>
      </c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42"/>
      <c r="AQ65" s="42"/>
      <c r="AR65" s="42"/>
      <c r="AS65" s="42"/>
      <c r="AT65" s="42"/>
      <c r="AU65" s="42"/>
      <c r="AV65" s="42"/>
      <c r="AW65" s="42"/>
      <c r="AX65" s="42"/>
      <c r="AY65" s="42"/>
      <c r="AZ65" s="42"/>
      <c r="BA65" s="42"/>
      <c r="BB65" s="42"/>
    </row>
    <row r="66" spans="1:54" x14ac:dyDescent="0.25">
      <c r="A66" s="42"/>
      <c r="B66" s="197" t="s">
        <v>155</v>
      </c>
      <c r="C66" s="200">
        <v>2.7989999999999998E-3</v>
      </c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42"/>
      <c r="AQ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/>
      <c r="BB66" s="42"/>
    </row>
    <row r="67" spans="1:54" x14ac:dyDescent="0.25">
      <c r="A67" s="42"/>
      <c r="B67" s="198" t="s">
        <v>156</v>
      </c>
      <c r="C67" s="201">
        <v>6.7000000000000004E-2</v>
      </c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42"/>
      <c r="AQ67" s="42"/>
      <c r="AR67" s="42"/>
      <c r="AS67" s="42"/>
      <c r="AT67" s="42"/>
      <c r="AU67" s="42"/>
      <c r="AV67" s="42"/>
      <c r="AW67" s="42"/>
      <c r="AX67" s="42"/>
      <c r="AY67" s="42"/>
      <c r="AZ67" s="42"/>
      <c r="BA67" s="42"/>
      <c r="BB67" s="42"/>
    </row>
    <row r="68" spans="1:54" x14ac:dyDescent="0.25">
      <c r="A68" s="42"/>
      <c r="B68" s="43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/>
      <c r="BB68" s="42"/>
    </row>
    <row r="69" spans="1:54" x14ac:dyDescent="0.25">
      <c r="A69" s="42"/>
      <c r="B69" s="43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42"/>
      <c r="AQ69" s="42"/>
      <c r="AR69" s="42"/>
      <c r="AS69" s="42"/>
      <c r="AT69" s="42"/>
      <c r="AU69" s="42"/>
      <c r="AV69" s="42"/>
      <c r="AW69" s="42"/>
      <c r="AX69" s="42"/>
      <c r="AY69" s="42"/>
      <c r="AZ69" s="42"/>
      <c r="BA69" s="42"/>
      <c r="BB69" s="42"/>
    </row>
    <row r="70" spans="1:54" x14ac:dyDescent="0.25">
      <c r="A70" s="42"/>
      <c r="B70" s="43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42"/>
      <c r="AQ70" s="42"/>
      <c r="AR70" s="42"/>
      <c r="AS70" s="42"/>
      <c r="AT70" s="42"/>
      <c r="AU70" s="42"/>
      <c r="AV70" s="42"/>
      <c r="AW70" s="42"/>
      <c r="AX70" s="42"/>
      <c r="AY70" s="42"/>
      <c r="AZ70" s="42"/>
      <c r="BA70" s="42"/>
      <c r="BB70" s="42"/>
    </row>
    <row r="71" spans="1:54" x14ac:dyDescent="0.25">
      <c r="A71" s="42"/>
      <c r="B71" s="43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42"/>
      <c r="AQ71" s="42"/>
      <c r="AR71" s="42"/>
      <c r="AS71" s="42"/>
      <c r="AT71" s="42"/>
      <c r="AU71" s="42"/>
      <c r="AV71" s="42"/>
      <c r="AW71" s="42"/>
      <c r="AX71" s="42"/>
      <c r="AY71" s="42"/>
      <c r="AZ71" s="42"/>
      <c r="BA71" s="42"/>
      <c r="BB71" s="42"/>
    </row>
    <row r="72" spans="1:54" x14ac:dyDescent="0.25">
      <c r="A72" s="42"/>
      <c r="B72" s="43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42"/>
      <c r="AQ72" s="42"/>
      <c r="AR72" s="42"/>
      <c r="AS72" s="42"/>
      <c r="AT72" s="42"/>
      <c r="AU72" s="42"/>
      <c r="AV72" s="42"/>
      <c r="AW72" s="42"/>
      <c r="AX72" s="42"/>
      <c r="AY72" s="42"/>
      <c r="AZ72" s="42"/>
      <c r="BA72" s="42"/>
      <c r="BB72" s="42"/>
    </row>
    <row r="73" spans="1:54" x14ac:dyDescent="0.25">
      <c r="A73" s="42"/>
      <c r="B73" s="43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42"/>
      <c r="AQ73" s="42"/>
      <c r="AR73" s="42"/>
      <c r="AS73" s="42"/>
      <c r="AT73" s="42"/>
      <c r="AU73" s="42"/>
      <c r="AV73" s="42"/>
      <c r="AW73" s="42"/>
      <c r="AX73" s="42"/>
      <c r="AY73" s="42"/>
      <c r="AZ73" s="42"/>
      <c r="BA73" s="42"/>
      <c r="BB73" s="42"/>
    </row>
    <row r="74" spans="1:54" x14ac:dyDescent="0.25">
      <c r="A74" s="42"/>
      <c r="B74" s="43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42"/>
      <c r="AQ74" s="42"/>
      <c r="AR74" s="42"/>
      <c r="AS74" s="42"/>
      <c r="AT74" s="42"/>
      <c r="AU74" s="42"/>
      <c r="AV74" s="42"/>
      <c r="AW74" s="42"/>
      <c r="AX74" s="42"/>
      <c r="AY74" s="42"/>
      <c r="AZ74" s="42"/>
      <c r="BA74" s="42"/>
      <c r="BB74" s="42"/>
    </row>
    <row r="75" spans="1:54" x14ac:dyDescent="0.25">
      <c r="A75" s="42"/>
      <c r="B75" s="43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42"/>
      <c r="AQ75" s="42"/>
      <c r="AR75" s="42"/>
      <c r="AS75" s="42"/>
      <c r="AT75" s="42"/>
      <c r="AU75" s="42"/>
      <c r="AV75" s="42"/>
      <c r="AW75" s="42"/>
      <c r="AX75" s="42"/>
      <c r="AY75" s="42"/>
      <c r="AZ75" s="42"/>
      <c r="BA75" s="42"/>
      <c r="BB75" s="42"/>
    </row>
    <row r="76" spans="1:54" x14ac:dyDescent="0.25">
      <c r="A76" s="42"/>
      <c r="B76" s="43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42"/>
      <c r="AQ76" s="42"/>
      <c r="AR76" s="42"/>
      <c r="AS76" s="42"/>
      <c r="AT76" s="42"/>
      <c r="AU76" s="42"/>
      <c r="AV76" s="42"/>
      <c r="AW76" s="42"/>
      <c r="AX76" s="42"/>
      <c r="AY76" s="42"/>
      <c r="AZ76" s="42"/>
      <c r="BA76" s="42"/>
      <c r="BB76" s="42"/>
    </row>
    <row r="77" spans="1:54" x14ac:dyDescent="0.25">
      <c r="A77" s="42"/>
      <c r="B77" s="43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42"/>
      <c r="AQ77" s="42"/>
      <c r="AR77" s="42"/>
      <c r="AS77" s="42"/>
      <c r="AT77" s="42"/>
      <c r="AU77" s="42"/>
      <c r="AV77" s="42"/>
      <c r="AW77" s="42"/>
      <c r="AX77" s="42"/>
      <c r="AY77" s="42"/>
      <c r="AZ77" s="42"/>
      <c r="BA77" s="42"/>
      <c r="BB77" s="42"/>
    </row>
    <row r="78" spans="1:54" x14ac:dyDescent="0.25">
      <c r="A78" s="42"/>
      <c r="B78" s="43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42"/>
      <c r="AQ78" s="42"/>
      <c r="AR78" s="42"/>
      <c r="AS78" s="42"/>
      <c r="AT78" s="42"/>
      <c r="AU78" s="42"/>
      <c r="AV78" s="42"/>
      <c r="AW78" s="42"/>
      <c r="AX78" s="42"/>
      <c r="AY78" s="42"/>
      <c r="AZ78" s="42"/>
      <c r="BA78" s="42"/>
      <c r="BB78" s="42"/>
    </row>
    <row r="79" spans="1:54" x14ac:dyDescent="0.25">
      <c r="A79" s="42"/>
      <c r="B79" s="43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42"/>
      <c r="AQ79" s="42"/>
      <c r="AR79" s="42"/>
      <c r="AS79" s="42"/>
      <c r="AT79" s="42"/>
      <c r="AU79" s="42"/>
      <c r="AV79" s="42"/>
      <c r="AW79" s="42"/>
      <c r="AX79" s="42"/>
      <c r="AY79" s="42"/>
      <c r="AZ79" s="42"/>
      <c r="BA79" s="42"/>
      <c r="BB79" s="42"/>
    </row>
    <row r="80" spans="1:54" x14ac:dyDescent="0.25">
      <c r="A80" s="42"/>
      <c r="B80" s="43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42"/>
      <c r="AQ80" s="42"/>
      <c r="AR80" s="42"/>
      <c r="AS80" s="42"/>
      <c r="AT80" s="42"/>
      <c r="AU80" s="42"/>
      <c r="AV80" s="42"/>
      <c r="AW80" s="42"/>
      <c r="AX80" s="42"/>
      <c r="AY80" s="42"/>
      <c r="AZ80" s="42"/>
      <c r="BA80" s="42"/>
      <c r="BB80" s="42"/>
    </row>
    <row r="81" spans="1:54" x14ac:dyDescent="0.25">
      <c r="A81" s="42"/>
      <c r="B81" s="43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O81" s="42"/>
      <c r="AP81" s="42"/>
      <c r="AQ81" s="42"/>
      <c r="AR81" s="42"/>
      <c r="AS81" s="42"/>
      <c r="AT81" s="42"/>
      <c r="AU81" s="42"/>
      <c r="AV81" s="42"/>
      <c r="AW81" s="42"/>
      <c r="AX81" s="42"/>
      <c r="AY81" s="42"/>
      <c r="AZ81" s="42"/>
      <c r="BA81" s="42"/>
      <c r="BB81" s="42"/>
    </row>
    <row r="82" spans="1:54" x14ac:dyDescent="0.25">
      <c r="A82" s="42"/>
      <c r="B82" s="43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2"/>
      <c r="AU82" s="42"/>
      <c r="AV82" s="42"/>
      <c r="AW82" s="42"/>
      <c r="AX82" s="42"/>
      <c r="AY82" s="42"/>
      <c r="AZ82" s="42"/>
      <c r="BA82" s="42"/>
      <c r="BB82" s="42"/>
    </row>
    <row r="83" spans="1:54" x14ac:dyDescent="0.25">
      <c r="A83" s="42"/>
      <c r="B83" s="43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42"/>
      <c r="AQ83" s="42"/>
      <c r="AR83" s="42"/>
      <c r="AS83" s="42"/>
      <c r="AT83" s="42"/>
      <c r="AU83" s="42"/>
      <c r="AV83" s="42"/>
      <c r="AW83" s="42"/>
      <c r="AX83" s="42"/>
      <c r="AY83" s="42"/>
      <c r="AZ83" s="42"/>
      <c r="BA83" s="42"/>
      <c r="BB83" s="42"/>
    </row>
    <row r="84" spans="1:54" x14ac:dyDescent="0.25">
      <c r="A84" s="42"/>
      <c r="B84" s="43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  <c r="AR84" s="42"/>
      <c r="AS84" s="42"/>
      <c r="AT84" s="42"/>
      <c r="AU84" s="42"/>
      <c r="AV84" s="42"/>
      <c r="AW84" s="42"/>
      <c r="AX84" s="42"/>
      <c r="AY84" s="42"/>
      <c r="AZ84" s="42"/>
      <c r="BA84" s="42"/>
      <c r="BB84" s="42"/>
    </row>
    <row r="85" spans="1:54" x14ac:dyDescent="0.25">
      <c r="A85" s="42"/>
      <c r="B85" s="43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42"/>
      <c r="AQ85" s="42"/>
      <c r="AR85" s="42"/>
      <c r="AS85" s="42"/>
      <c r="AT85" s="42"/>
      <c r="AU85" s="42"/>
      <c r="AV85" s="42"/>
      <c r="AW85" s="42"/>
      <c r="AX85" s="42"/>
      <c r="AY85" s="42"/>
      <c r="AZ85" s="42"/>
      <c r="BA85" s="42"/>
      <c r="BB85" s="42"/>
    </row>
    <row r="86" spans="1:54" x14ac:dyDescent="0.25">
      <c r="A86" s="42"/>
      <c r="B86" s="43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  <c r="AJ86" s="42"/>
      <c r="AK86" s="42"/>
      <c r="AL86" s="42"/>
      <c r="AM86" s="42"/>
      <c r="AN86" s="42"/>
      <c r="AO86" s="42"/>
      <c r="AP86" s="42"/>
      <c r="AQ86" s="42"/>
      <c r="AR86" s="42"/>
      <c r="AS86" s="42"/>
      <c r="AT86" s="42"/>
      <c r="AU86" s="42"/>
      <c r="AV86" s="42"/>
      <c r="AW86" s="42"/>
      <c r="AX86" s="42"/>
      <c r="AY86" s="42"/>
      <c r="AZ86" s="42"/>
      <c r="BA86" s="42"/>
      <c r="BB86" s="42"/>
    </row>
    <row r="87" spans="1:54" x14ac:dyDescent="0.25">
      <c r="A87" s="42"/>
      <c r="B87" s="43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  <c r="AJ87" s="42"/>
      <c r="AK87" s="42"/>
      <c r="AL87" s="42"/>
      <c r="AM87" s="42"/>
      <c r="AN87" s="42"/>
      <c r="AO87" s="42"/>
      <c r="AP87" s="42"/>
      <c r="AQ87" s="42"/>
      <c r="AR87" s="42"/>
      <c r="AS87" s="42"/>
      <c r="AT87" s="42"/>
      <c r="AU87" s="42"/>
      <c r="AV87" s="42"/>
      <c r="AW87" s="42"/>
      <c r="AX87" s="42"/>
      <c r="AY87" s="42"/>
      <c r="AZ87" s="42"/>
      <c r="BA87" s="42"/>
      <c r="BB87" s="42"/>
    </row>
    <row r="88" spans="1:54" x14ac:dyDescent="0.25">
      <c r="A88" s="42"/>
      <c r="B88" s="43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2"/>
      <c r="AM88" s="42"/>
      <c r="AN88" s="42"/>
      <c r="AO88" s="42"/>
      <c r="AP88" s="42"/>
      <c r="AQ88" s="42"/>
      <c r="AR88" s="42"/>
      <c r="AS88" s="42"/>
      <c r="AT88" s="42"/>
      <c r="AU88" s="42"/>
      <c r="AV88" s="42"/>
      <c r="AW88" s="42"/>
      <c r="AX88" s="42"/>
      <c r="AY88" s="42"/>
      <c r="AZ88" s="42"/>
      <c r="BA88" s="42"/>
      <c r="BB88" s="42"/>
    </row>
    <row r="89" spans="1:54" x14ac:dyDescent="0.25">
      <c r="A89" s="42"/>
      <c r="B89" s="43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  <c r="AM89" s="42"/>
      <c r="AN89" s="42"/>
      <c r="AO89" s="42"/>
      <c r="AP89" s="42"/>
      <c r="AQ89" s="42"/>
      <c r="AR89" s="42"/>
      <c r="AS89" s="42"/>
      <c r="AT89" s="42"/>
      <c r="AU89" s="42"/>
      <c r="AV89" s="42"/>
      <c r="AW89" s="42"/>
      <c r="AX89" s="42"/>
      <c r="AY89" s="42"/>
      <c r="AZ89" s="42"/>
      <c r="BA89" s="42"/>
      <c r="BB89" s="42"/>
    </row>
    <row r="90" spans="1:54" x14ac:dyDescent="0.25">
      <c r="A90" s="42"/>
      <c r="B90" s="43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  <c r="AM90" s="42"/>
      <c r="AN90" s="42"/>
      <c r="AO90" s="42"/>
      <c r="AP90" s="42"/>
      <c r="AQ90" s="42"/>
      <c r="AR90" s="42"/>
      <c r="AS90" s="42"/>
      <c r="AT90" s="42"/>
      <c r="AU90" s="42"/>
      <c r="AV90" s="42"/>
      <c r="AW90" s="42"/>
      <c r="AX90" s="42"/>
      <c r="AY90" s="42"/>
      <c r="AZ90" s="42"/>
      <c r="BA90" s="42"/>
      <c r="BB90" s="42"/>
    </row>
    <row r="91" spans="1:54" x14ac:dyDescent="0.25">
      <c r="A91" s="42"/>
      <c r="B91" s="43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  <c r="AK91" s="42"/>
      <c r="AL91" s="42"/>
      <c r="AM91" s="42"/>
      <c r="AN91" s="42"/>
      <c r="AO91" s="42"/>
      <c r="AP91" s="42"/>
      <c r="AQ91" s="42"/>
      <c r="AR91" s="42"/>
      <c r="AS91" s="42"/>
      <c r="AT91" s="42"/>
      <c r="AU91" s="42"/>
      <c r="AV91" s="42"/>
      <c r="AW91" s="42"/>
      <c r="AX91" s="42"/>
      <c r="AY91" s="42"/>
      <c r="AZ91" s="42"/>
      <c r="BA91" s="42"/>
      <c r="BB91" s="42"/>
    </row>
    <row r="92" spans="1:54" x14ac:dyDescent="0.25">
      <c r="A92" s="42"/>
      <c r="B92" s="43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  <c r="AM92" s="42"/>
      <c r="AN92" s="42"/>
      <c r="AO92" s="42"/>
      <c r="AP92" s="42"/>
      <c r="AQ92" s="42"/>
      <c r="AR92" s="42"/>
      <c r="AS92" s="42"/>
      <c r="AT92" s="42"/>
      <c r="AU92" s="42"/>
      <c r="AV92" s="42"/>
      <c r="AW92" s="42"/>
      <c r="AX92" s="42"/>
      <c r="AY92" s="42"/>
      <c r="AZ92" s="42"/>
      <c r="BA92" s="42"/>
      <c r="BB92" s="42"/>
    </row>
    <row r="93" spans="1:54" x14ac:dyDescent="0.25">
      <c r="A93" s="42"/>
      <c r="B93" s="43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N93" s="42"/>
      <c r="AO93" s="42"/>
      <c r="AP93" s="42"/>
      <c r="AQ93" s="42"/>
      <c r="AR93" s="42"/>
      <c r="AS93" s="42"/>
      <c r="AT93" s="42"/>
      <c r="AU93" s="42"/>
      <c r="AV93" s="42"/>
      <c r="AW93" s="42"/>
      <c r="AX93" s="42"/>
      <c r="AY93" s="42"/>
      <c r="AZ93" s="42"/>
      <c r="BA93" s="42"/>
      <c r="BB93" s="42"/>
    </row>
    <row r="94" spans="1:54" x14ac:dyDescent="0.25">
      <c r="A94" s="42"/>
      <c r="B94" s="43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  <c r="AM94" s="42"/>
      <c r="AN94" s="42"/>
      <c r="AO94" s="42"/>
      <c r="AP94" s="42"/>
      <c r="AQ94" s="42"/>
      <c r="AR94" s="42"/>
      <c r="AS94" s="42"/>
      <c r="AT94" s="42"/>
      <c r="AU94" s="42"/>
      <c r="AV94" s="42"/>
      <c r="AW94" s="42"/>
      <c r="AX94" s="42"/>
      <c r="AY94" s="42"/>
      <c r="AZ94" s="42"/>
      <c r="BA94" s="42"/>
      <c r="BB94" s="42"/>
    </row>
    <row r="95" spans="1:54" x14ac:dyDescent="0.25">
      <c r="A95" s="42"/>
      <c r="B95" s="43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42"/>
      <c r="AL95" s="42"/>
      <c r="AM95" s="42"/>
      <c r="AN95" s="42"/>
      <c r="AO95" s="42"/>
      <c r="AP95" s="42"/>
      <c r="AQ95" s="42"/>
      <c r="AR95" s="42"/>
      <c r="AS95" s="42"/>
      <c r="AT95" s="42"/>
      <c r="AU95" s="42"/>
      <c r="AV95" s="42"/>
      <c r="AW95" s="42"/>
      <c r="AX95" s="42"/>
      <c r="AY95" s="42"/>
      <c r="AZ95" s="42"/>
      <c r="BA95" s="42"/>
      <c r="BB95" s="42"/>
    </row>
    <row r="96" spans="1:54" x14ac:dyDescent="0.25">
      <c r="A96" s="42"/>
      <c r="B96" s="43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/>
      <c r="AM96" s="42"/>
      <c r="AN96" s="42"/>
      <c r="AO96" s="42"/>
      <c r="AP96" s="42"/>
      <c r="AQ96" s="42"/>
      <c r="AR96" s="42"/>
      <c r="AS96" s="42"/>
      <c r="AT96" s="42"/>
      <c r="AU96" s="42"/>
      <c r="AV96" s="42"/>
      <c r="AW96" s="42"/>
      <c r="AX96" s="42"/>
      <c r="AY96" s="42"/>
      <c r="AZ96" s="42"/>
      <c r="BA96" s="42"/>
      <c r="BB96" s="42"/>
    </row>
    <row r="97" spans="1:54" x14ac:dyDescent="0.25">
      <c r="A97" s="42"/>
      <c r="B97" s="43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42"/>
      <c r="AL97" s="42"/>
      <c r="AM97" s="42"/>
      <c r="AN97" s="42"/>
      <c r="AO97" s="42"/>
      <c r="AP97" s="42"/>
      <c r="AQ97" s="42"/>
      <c r="AR97" s="42"/>
      <c r="AS97" s="42"/>
      <c r="AT97" s="42"/>
      <c r="AU97" s="42"/>
      <c r="AV97" s="42"/>
      <c r="AW97" s="42"/>
      <c r="AX97" s="42"/>
      <c r="AY97" s="42"/>
      <c r="AZ97" s="42"/>
      <c r="BA97" s="42"/>
      <c r="BB97" s="42"/>
    </row>
    <row r="98" spans="1:54" x14ac:dyDescent="0.25">
      <c r="A98" s="42"/>
      <c r="B98" s="43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  <c r="AJ98" s="42"/>
      <c r="AK98" s="42"/>
      <c r="AL98" s="42"/>
      <c r="AM98" s="42"/>
      <c r="AN98" s="42"/>
      <c r="AO98" s="42"/>
      <c r="AP98" s="42"/>
      <c r="AQ98" s="42"/>
      <c r="AR98" s="42"/>
      <c r="AS98" s="42"/>
      <c r="AT98" s="42"/>
      <c r="AU98" s="42"/>
      <c r="AV98" s="42"/>
      <c r="AW98" s="42"/>
      <c r="AX98" s="42"/>
      <c r="AY98" s="42"/>
      <c r="AZ98" s="42"/>
      <c r="BA98" s="42"/>
      <c r="BB98" s="42"/>
    </row>
    <row r="99" spans="1:54" x14ac:dyDescent="0.25">
      <c r="A99" s="42"/>
      <c r="B99" s="43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  <c r="AJ99" s="42"/>
      <c r="AK99" s="42"/>
      <c r="AL99" s="42"/>
      <c r="AM99" s="42"/>
      <c r="AN99" s="42"/>
      <c r="AO99" s="42"/>
      <c r="AP99" s="42"/>
      <c r="AQ99" s="42"/>
      <c r="AR99" s="42"/>
      <c r="AS99" s="42"/>
      <c r="AT99" s="42"/>
      <c r="AU99" s="42"/>
      <c r="AV99" s="42"/>
      <c r="AW99" s="42"/>
      <c r="AX99" s="42"/>
      <c r="AY99" s="42"/>
      <c r="AZ99" s="42"/>
      <c r="BA99" s="42"/>
      <c r="BB99" s="42"/>
    </row>
    <row r="100" spans="1:54" x14ac:dyDescent="0.25">
      <c r="A100" s="42"/>
      <c r="B100" s="43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  <c r="AK100" s="42"/>
      <c r="AL100" s="42"/>
      <c r="AM100" s="42"/>
      <c r="AN100" s="42"/>
      <c r="AO100" s="42"/>
      <c r="AP100" s="42"/>
      <c r="AQ100" s="42"/>
      <c r="AR100" s="42"/>
      <c r="AS100" s="42"/>
      <c r="AT100" s="42"/>
      <c r="AU100" s="42"/>
      <c r="AV100" s="42"/>
      <c r="AW100" s="42"/>
      <c r="AX100" s="42"/>
      <c r="AY100" s="42"/>
      <c r="AZ100" s="42"/>
      <c r="BA100" s="42"/>
      <c r="BB100" s="42"/>
    </row>
    <row r="101" spans="1:54" x14ac:dyDescent="0.25">
      <c r="A101" s="42"/>
      <c r="B101" s="43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2"/>
      <c r="AM101" s="42"/>
      <c r="AN101" s="42"/>
      <c r="AO101" s="42"/>
      <c r="AP101" s="42"/>
      <c r="AQ101" s="42"/>
      <c r="AR101" s="42"/>
      <c r="AS101" s="42"/>
      <c r="AT101" s="42"/>
      <c r="AU101" s="42"/>
      <c r="AV101" s="42"/>
      <c r="AW101" s="42"/>
      <c r="AX101" s="42"/>
      <c r="AY101" s="42"/>
      <c r="AZ101" s="42"/>
      <c r="BA101" s="42"/>
      <c r="BB101" s="42"/>
    </row>
    <row r="102" spans="1:54" x14ac:dyDescent="0.25">
      <c r="A102" s="42"/>
      <c r="B102" s="43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42"/>
      <c r="AJ102" s="42"/>
      <c r="AK102" s="42"/>
      <c r="AL102" s="42"/>
      <c r="AM102" s="42"/>
      <c r="AN102" s="42"/>
      <c r="AO102" s="42"/>
      <c r="AP102" s="42"/>
      <c r="AQ102" s="42"/>
      <c r="AR102" s="42"/>
      <c r="AS102" s="42"/>
      <c r="AT102" s="42"/>
      <c r="AU102" s="42"/>
      <c r="AV102" s="42"/>
      <c r="AW102" s="42"/>
      <c r="AX102" s="42"/>
      <c r="AY102" s="42"/>
      <c r="AZ102" s="42"/>
      <c r="BA102" s="42"/>
      <c r="BB102" s="42"/>
    </row>
    <row r="103" spans="1:54" x14ac:dyDescent="0.25">
      <c r="A103" s="42"/>
      <c r="B103" s="43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  <c r="AJ103" s="42"/>
      <c r="AK103" s="42"/>
      <c r="AL103" s="42"/>
      <c r="AM103" s="42"/>
      <c r="AN103" s="42"/>
      <c r="AO103" s="42"/>
      <c r="AP103" s="42"/>
      <c r="AQ103" s="42"/>
      <c r="AR103" s="42"/>
      <c r="AS103" s="42"/>
      <c r="AT103" s="42"/>
      <c r="AU103" s="42"/>
      <c r="AV103" s="42"/>
      <c r="AW103" s="42"/>
      <c r="AX103" s="42"/>
      <c r="AY103" s="42"/>
      <c r="AZ103" s="42"/>
      <c r="BA103" s="42"/>
      <c r="BB103" s="42"/>
    </row>
    <row r="104" spans="1:54" x14ac:dyDescent="0.25">
      <c r="A104" s="42"/>
      <c r="B104" s="43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/>
      <c r="AN104" s="42"/>
      <c r="AO104" s="42"/>
      <c r="AP104" s="42"/>
      <c r="AQ104" s="42"/>
      <c r="AR104" s="42"/>
      <c r="AS104" s="42"/>
      <c r="AT104" s="42"/>
      <c r="AU104" s="42"/>
      <c r="AV104" s="42"/>
      <c r="AW104" s="42"/>
      <c r="AX104" s="42"/>
      <c r="AY104" s="42"/>
      <c r="AZ104" s="42"/>
      <c r="BA104" s="42"/>
      <c r="BB104" s="42"/>
    </row>
    <row r="105" spans="1:54" x14ac:dyDescent="0.25">
      <c r="A105" s="42"/>
      <c r="B105" s="43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42"/>
      <c r="AJ105" s="42"/>
      <c r="AK105" s="42"/>
      <c r="AL105" s="42"/>
      <c r="AM105" s="42"/>
      <c r="AN105" s="42"/>
      <c r="AO105" s="42"/>
      <c r="AP105" s="42"/>
      <c r="AQ105" s="42"/>
      <c r="AR105" s="42"/>
      <c r="AS105" s="42"/>
      <c r="AT105" s="42"/>
      <c r="AU105" s="42"/>
      <c r="AV105" s="42"/>
      <c r="AW105" s="42"/>
      <c r="AX105" s="42"/>
      <c r="AY105" s="42"/>
      <c r="AZ105" s="42"/>
      <c r="BA105" s="42"/>
      <c r="BB105" s="42"/>
    </row>
    <row r="106" spans="1:54" x14ac:dyDescent="0.25">
      <c r="A106" s="42"/>
      <c r="B106" s="43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  <c r="AJ106" s="42"/>
      <c r="AK106" s="42"/>
      <c r="AL106" s="42"/>
      <c r="AM106" s="42"/>
      <c r="AN106" s="42"/>
      <c r="AO106" s="42"/>
      <c r="AP106" s="42"/>
      <c r="AQ106" s="42"/>
      <c r="AR106" s="42"/>
      <c r="AS106" s="42"/>
      <c r="AT106" s="42"/>
      <c r="AU106" s="42"/>
      <c r="AV106" s="42"/>
      <c r="AW106" s="42"/>
      <c r="AX106" s="42"/>
      <c r="AY106" s="42"/>
      <c r="AZ106" s="42"/>
      <c r="BA106" s="42"/>
      <c r="BB106" s="42"/>
    </row>
    <row r="107" spans="1:54" x14ac:dyDescent="0.25">
      <c r="A107" s="42"/>
      <c r="B107" s="43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42"/>
      <c r="AJ107" s="42"/>
      <c r="AK107" s="42"/>
      <c r="AL107" s="42"/>
      <c r="AM107" s="42"/>
      <c r="AN107" s="42"/>
      <c r="AO107" s="42"/>
      <c r="AP107" s="42"/>
      <c r="AQ107" s="42"/>
      <c r="AR107" s="42"/>
      <c r="AS107" s="42"/>
      <c r="AT107" s="42"/>
      <c r="AU107" s="42"/>
      <c r="AV107" s="42"/>
      <c r="AW107" s="42"/>
      <c r="AX107" s="42"/>
      <c r="AY107" s="42"/>
      <c r="AZ107" s="42"/>
      <c r="BA107" s="42"/>
      <c r="BB107" s="42"/>
    </row>
    <row r="108" spans="1:54" x14ac:dyDescent="0.25">
      <c r="A108" s="42"/>
      <c r="B108" s="43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/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/>
      <c r="BB108" s="42"/>
    </row>
    <row r="109" spans="1:54" x14ac:dyDescent="0.25">
      <c r="A109" s="42"/>
      <c r="B109" s="43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2"/>
      <c r="AO109" s="42"/>
      <c r="AP109" s="42"/>
      <c r="AQ109" s="42"/>
      <c r="AR109" s="42"/>
      <c r="AS109" s="42"/>
      <c r="AT109" s="42"/>
      <c r="AU109" s="42"/>
      <c r="AV109" s="42"/>
      <c r="AW109" s="42"/>
      <c r="AX109" s="42"/>
      <c r="AY109" s="42"/>
      <c r="AZ109" s="42"/>
      <c r="BA109" s="42"/>
      <c r="BB109" s="42"/>
    </row>
    <row r="110" spans="1:54" x14ac:dyDescent="0.25">
      <c r="A110" s="42"/>
      <c r="B110" s="43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O110" s="42"/>
      <c r="AP110" s="42"/>
      <c r="AQ110" s="42"/>
      <c r="AR110" s="42"/>
      <c r="AS110" s="42"/>
      <c r="AT110" s="42"/>
      <c r="AU110" s="42"/>
      <c r="AV110" s="42"/>
      <c r="AW110" s="42"/>
      <c r="AX110" s="42"/>
      <c r="AY110" s="42"/>
      <c r="AZ110" s="42"/>
      <c r="BA110" s="42"/>
      <c r="BB110" s="42"/>
    </row>
    <row r="111" spans="1:54" x14ac:dyDescent="0.25">
      <c r="A111" s="42"/>
      <c r="B111" s="43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  <c r="AM111" s="42"/>
      <c r="AN111" s="42"/>
      <c r="AO111" s="42"/>
      <c r="AP111" s="42"/>
      <c r="AQ111" s="42"/>
      <c r="AR111" s="42"/>
      <c r="AS111" s="42"/>
      <c r="AT111" s="42"/>
      <c r="AU111" s="42"/>
      <c r="AV111" s="42"/>
      <c r="AW111" s="42"/>
      <c r="AX111" s="42"/>
      <c r="AY111" s="42"/>
      <c r="AZ111" s="42"/>
      <c r="BA111" s="42"/>
      <c r="BB111" s="42"/>
    </row>
    <row r="112" spans="1:54" x14ac:dyDescent="0.25">
      <c r="A112" s="42"/>
      <c r="B112" s="43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42"/>
      <c r="BB112" s="42"/>
    </row>
    <row r="113" spans="1:54" x14ac:dyDescent="0.25">
      <c r="A113" s="42"/>
      <c r="B113" s="43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/>
      <c r="AN113" s="42"/>
      <c r="AO113" s="42"/>
      <c r="AP113" s="42"/>
      <c r="AQ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42"/>
      <c r="BB113" s="42"/>
    </row>
    <row r="114" spans="1:54" x14ac:dyDescent="0.25">
      <c r="A114" s="42"/>
      <c r="B114" s="43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  <c r="AJ114" s="42"/>
      <c r="AK114" s="42"/>
      <c r="AL114" s="42"/>
      <c r="AM114" s="42"/>
      <c r="AN114" s="42"/>
      <c r="AO114" s="42"/>
      <c r="AP114" s="42"/>
      <c r="AQ114" s="42"/>
      <c r="AR114" s="42"/>
      <c r="AS114" s="42"/>
      <c r="AT114" s="42"/>
      <c r="AU114" s="42"/>
      <c r="AV114" s="42"/>
      <c r="AW114" s="42"/>
      <c r="AX114" s="42"/>
      <c r="AY114" s="42"/>
      <c r="AZ114" s="42"/>
      <c r="BA114" s="42"/>
      <c r="BB114" s="42"/>
    </row>
    <row r="115" spans="1:54" x14ac:dyDescent="0.25">
      <c r="A115" s="42"/>
      <c r="B115" s="43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2"/>
      <c r="AE115" s="42"/>
      <c r="AF115" s="42"/>
      <c r="AG115" s="42"/>
      <c r="AH115" s="42"/>
      <c r="AI115" s="42"/>
      <c r="AJ115" s="42"/>
      <c r="AK115" s="42"/>
      <c r="AL115" s="42"/>
      <c r="AM115" s="42"/>
      <c r="AN115" s="42"/>
      <c r="AO115" s="42"/>
      <c r="AP115" s="42"/>
      <c r="AQ115" s="42"/>
      <c r="AR115" s="42"/>
      <c r="AS115" s="42"/>
      <c r="AT115" s="42"/>
      <c r="AU115" s="42"/>
      <c r="AV115" s="42"/>
      <c r="AW115" s="42"/>
      <c r="AX115" s="42"/>
      <c r="AY115" s="42"/>
      <c r="AZ115" s="42"/>
      <c r="BA115" s="42"/>
      <c r="BB115" s="42"/>
    </row>
    <row r="116" spans="1:54" x14ac:dyDescent="0.25">
      <c r="A116" s="42"/>
      <c r="B116" s="43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42"/>
      <c r="AJ116" s="42"/>
      <c r="AK116" s="42"/>
      <c r="AL116" s="42"/>
      <c r="AM116" s="42"/>
      <c r="AN116" s="42"/>
      <c r="AO116" s="42"/>
      <c r="AP116" s="42"/>
      <c r="AQ116" s="42"/>
      <c r="AR116" s="42"/>
      <c r="AS116" s="42"/>
      <c r="AT116" s="42"/>
      <c r="AU116" s="42"/>
      <c r="AV116" s="42"/>
      <c r="AW116" s="42"/>
      <c r="AX116" s="42"/>
      <c r="AY116" s="42"/>
      <c r="AZ116" s="42"/>
      <c r="BA116" s="42"/>
      <c r="BB116" s="42"/>
    </row>
    <row r="117" spans="1:54" x14ac:dyDescent="0.25">
      <c r="A117" s="42"/>
      <c r="B117" s="43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42"/>
      <c r="AJ117" s="42"/>
      <c r="AK117" s="42"/>
      <c r="AL117" s="42"/>
      <c r="AM117" s="42"/>
      <c r="AN117" s="42"/>
      <c r="AO117" s="42"/>
      <c r="AP117" s="42"/>
      <c r="AQ117" s="42"/>
      <c r="AR117" s="42"/>
      <c r="AS117" s="42"/>
      <c r="AT117" s="42"/>
      <c r="AU117" s="42"/>
      <c r="AV117" s="42"/>
      <c r="AW117" s="42"/>
      <c r="AX117" s="42"/>
      <c r="AY117" s="42"/>
      <c r="AZ117" s="42"/>
      <c r="BA117" s="42"/>
      <c r="BB117" s="42"/>
    </row>
    <row r="118" spans="1:54" x14ac:dyDescent="0.25">
      <c r="A118" s="42"/>
      <c r="B118" s="43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  <c r="AM118" s="42"/>
      <c r="AN118" s="42"/>
      <c r="AO118" s="42"/>
      <c r="AP118" s="42"/>
      <c r="AQ118" s="42"/>
      <c r="AR118" s="42"/>
      <c r="AS118" s="42"/>
      <c r="AT118" s="42"/>
      <c r="AU118" s="42"/>
      <c r="AV118" s="42"/>
      <c r="AW118" s="42"/>
      <c r="AX118" s="42"/>
      <c r="AY118" s="42"/>
      <c r="AZ118" s="42"/>
      <c r="BA118" s="42"/>
      <c r="BB118" s="42"/>
    </row>
    <row r="119" spans="1:54" x14ac:dyDescent="0.25">
      <c r="A119" s="42"/>
      <c r="B119" s="43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42"/>
      <c r="AJ119" s="42"/>
      <c r="AK119" s="42"/>
      <c r="AL119" s="42"/>
      <c r="AM119" s="42"/>
      <c r="AN119" s="42"/>
      <c r="AO119" s="42"/>
      <c r="AP119" s="42"/>
      <c r="AQ119" s="42"/>
      <c r="AR119" s="42"/>
      <c r="AS119" s="42"/>
      <c r="AT119" s="42"/>
      <c r="AU119" s="42"/>
      <c r="AV119" s="42"/>
      <c r="AW119" s="42"/>
      <c r="AX119" s="42"/>
      <c r="AY119" s="42"/>
      <c r="AZ119" s="42"/>
      <c r="BA119" s="42"/>
      <c r="BB119" s="42"/>
    </row>
    <row r="120" spans="1:54" x14ac:dyDescent="0.25">
      <c r="A120" s="42"/>
      <c r="B120" s="43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  <c r="AC120" s="42"/>
      <c r="AD120" s="42"/>
      <c r="AE120" s="42"/>
      <c r="AF120" s="42"/>
      <c r="AG120" s="42"/>
      <c r="AH120" s="42"/>
      <c r="AI120" s="42"/>
      <c r="AJ120" s="42"/>
      <c r="AK120" s="42"/>
      <c r="AL120" s="42"/>
      <c r="AM120" s="42"/>
      <c r="AN120" s="42"/>
      <c r="AO120" s="42"/>
      <c r="AP120" s="42"/>
      <c r="AQ120" s="42"/>
      <c r="AR120" s="42"/>
      <c r="AS120" s="42"/>
      <c r="AT120" s="42"/>
      <c r="AU120" s="42"/>
      <c r="AV120" s="42"/>
      <c r="AW120" s="42"/>
      <c r="AX120" s="42"/>
      <c r="AY120" s="42"/>
      <c r="AZ120" s="42"/>
      <c r="BA120" s="42"/>
      <c r="BB120" s="42"/>
    </row>
    <row r="121" spans="1:54" x14ac:dyDescent="0.25">
      <c r="A121" s="42"/>
      <c r="B121" s="43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42"/>
      <c r="AJ121" s="42"/>
      <c r="AK121" s="42"/>
      <c r="AL121" s="42"/>
      <c r="AM121" s="42"/>
      <c r="AN121" s="42"/>
      <c r="AO121" s="42"/>
      <c r="AP121" s="42"/>
      <c r="AQ121" s="42"/>
      <c r="AR121" s="42"/>
      <c r="AS121" s="42"/>
      <c r="AT121" s="42"/>
      <c r="AU121" s="42"/>
      <c r="AV121" s="42"/>
      <c r="AW121" s="42"/>
      <c r="AX121" s="42"/>
      <c r="AY121" s="42"/>
      <c r="AZ121" s="42"/>
      <c r="BA121" s="42"/>
      <c r="BB121" s="42"/>
    </row>
    <row r="122" spans="1:54" x14ac:dyDescent="0.25">
      <c r="A122" s="42"/>
      <c r="B122" s="43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42"/>
      <c r="AJ122" s="42"/>
      <c r="AK122" s="42"/>
      <c r="AL122" s="42"/>
      <c r="AM122" s="42"/>
      <c r="AN122" s="42"/>
      <c r="AO122" s="42"/>
      <c r="AP122" s="42"/>
      <c r="AQ122" s="42"/>
      <c r="AR122" s="42"/>
      <c r="AS122" s="42"/>
      <c r="AT122" s="42"/>
      <c r="AU122" s="42"/>
      <c r="AV122" s="42"/>
      <c r="AW122" s="42"/>
      <c r="AX122" s="42"/>
      <c r="AY122" s="42"/>
      <c r="AZ122" s="42"/>
      <c r="BA122" s="42"/>
      <c r="BB122" s="42"/>
    </row>
    <row r="123" spans="1:54" x14ac:dyDescent="0.25">
      <c r="A123" s="42"/>
      <c r="B123" s="43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42"/>
      <c r="AJ123" s="42"/>
      <c r="AK123" s="42"/>
      <c r="AL123" s="42"/>
      <c r="AM123" s="42"/>
      <c r="AN123" s="42"/>
      <c r="AO123" s="42"/>
      <c r="AP123" s="42"/>
      <c r="AQ123" s="42"/>
      <c r="AR123" s="42"/>
      <c r="AS123" s="42"/>
      <c r="AT123" s="42"/>
      <c r="AU123" s="42"/>
      <c r="AV123" s="42"/>
      <c r="AW123" s="42"/>
      <c r="AX123" s="42"/>
      <c r="AY123" s="42"/>
      <c r="AZ123" s="42"/>
      <c r="BA123" s="42"/>
      <c r="BB123" s="42"/>
    </row>
    <row r="124" spans="1:54" x14ac:dyDescent="0.25">
      <c r="A124" s="42"/>
      <c r="B124" s="43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2"/>
      <c r="AJ124" s="42"/>
      <c r="AK124" s="42"/>
      <c r="AL124" s="42"/>
      <c r="AM124" s="42"/>
      <c r="AN124" s="42"/>
      <c r="AO124" s="42"/>
      <c r="AP124" s="42"/>
      <c r="AQ124" s="42"/>
      <c r="AR124" s="42"/>
      <c r="AS124" s="42"/>
      <c r="AT124" s="42"/>
      <c r="AU124" s="42"/>
      <c r="AV124" s="42"/>
      <c r="AW124" s="42"/>
      <c r="AX124" s="42"/>
      <c r="AY124" s="42"/>
      <c r="AZ124" s="42"/>
      <c r="BA124" s="42"/>
      <c r="BB124" s="42"/>
    </row>
    <row r="125" spans="1:54" x14ac:dyDescent="0.25">
      <c r="A125" s="42"/>
      <c r="B125" s="43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42"/>
      <c r="AJ125" s="42"/>
      <c r="AK125" s="42"/>
      <c r="AL125" s="42"/>
      <c r="AM125" s="42"/>
      <c r="AN125" s="42"/>
      <c r="AO125" s="42"/>
      <c r="AP125" s="42"/>
      <c r="AQ125" s="42"/>
      <c r="AR125" s="42"/>
      <c r="AS125" s="42"/>
      <c r="AT125" s="42"/>
      <c r="AU125" s="42"/>
      <c r="AV125" s="42"/>
      <c r="AW125" s="42"/>
      <c r="AX125" s="42"/>
      <c r="AY125" s="42"/>
      <c r="AZ125" s="42"/>
      <c r="BA125" s="42"/>
      <c r="BB125" s="42"/>
    </row>
    <row r="126" spans="1:54" x14ac:dyDescent="0.25">
      <c r="A126" s="42"/>
      <c r="B126" s="43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42"/>
      <c r="AJ126" s="42"/>
      <c r="AK126" s="42"/>
      <c r="AL126" s="42"/>
      <c r="AM126" s="42"/>
      <c r="AN126" s="42"/>
      <c r="AO126" s="42"/>
      <c r="AP126" s="42"/>
      <c r="AQ126" s="42"/>
      <c r="AR126" s="42"/>
      <c r="AS126" s="42"/>
      <c r="AT126" s="42"/>
      <c r="AU126" s="42"/>
      <c r="AV126" s="42"/>
      <c r="AW126" s="42"/>
      <c r="AX126" s="42"/>
      <c r="AY126" s="42"/>
      <c r="AZ126" s="42"/>
      <c r="BA126" s="42"/>
      <c r="BB126" s="42"/>
    </row>
    <row r="127" spans="1:54" x14ac:dyDescent="0.25">
      <c r="A127" s="42"/>
      <c r="B127" s="43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42"/>
      <c r="AJ127" s="42"/>
      <c r="AK127" s="42"/>
      <c r="AL127" s="42"/>
      <c r="AM127" s="42"/>
      <c r="AN127" s="42"/>
      <c r="AO127" s="42"/>
      <c r="AP127" s="42"/>
      <c r="AQ127" s="42"/>
      <c r="AR127" s="42"/>
      <c r="AS127" s="42"/>
      <c r="AT127" s="42"/>
      <c r="AU127" s="42"/>
      <c r="AV127" s="42"/>
      <c r="AW127" s="42"/>
      <c r="AX127" s="42"/>
      <c r="AY127" s="42"/>
      <c r="AZ127" s="42"/>
      <c r="BA127" s="42"/>
      <c r="BB127" s="42"/>
    </row>
    <row r="128" spans="1:54" x14ac:dyDescent="0.25">
      <c r="A128" s="42"/>
      <c r="B128" s="43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42"/>
      <c r="AJ128" s="42"/>
      <c r="AK128" s="42"/>
      <c r="AL128" s="42"/>
      <c r="AM128" s="42"/>
      <c r="AN128" s="42"/>
      <c r="AO128" s="42"/>
      <c r="AP128" s="42"/>
      <c r="AQ128" s="42"/>
      <c r="AR128" s="42"/>
      <c r="AS128" s="42"/>
      <c r="AT128" s="42"/>
      <c r="AU128" s="42"/>
      <c r="AV128" s="42"/>
      <c r="AW128" s="42"/>
      <c r="AX128" s="42"/>
      <c r="AY128" s="42"/>
      <c r="AZ128" s="42"/>
      <c r="BA128" s="42"/>
      <c r="BB128" s="42"/>
    </row>
    <row r="129" spans="1:54" x14ac:dyDescent="0.25">
      <c r="A129" s="42"/>
      <c r="B129" s="43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42"/>
      <c r="AJ129" s="42"/>
      <c r="AK129" s="42"/>
      <c r="AL129" s="42"/>
      <c r="AM129" s="42"/>
      <c r="AN129" s="42"/>
      <c r="AO129" s="42"/>
      <c r="AP129" s="42"/>
      <c r="AQ129" s="42"/>
      <c r="AR129" s="42"/>
      <c r="AS129" s="42"/>
      <c r="AT129" s="42"/>
      <c r="AU129" s="42"/>
      <c r="AV129" s="42"/>
      <c r="AW129" s="42"/>
      <c r="AX129" s="42"/>
      <c r="AY129" s="42"/>
      <c r="AZ129" s="42"/>
      <c r="BA129" s="42"/>
      <c r="BB129" s="42"/>
    </row>
    <row r="130" spans="1:54" x14ac:dyDescent="0.25">
      <c r="A130" s="42"/>
      <c r="B130" s="43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42"/>
      <c r="AJ130" s="42"/>
      <c r="AK130" s="42"/>
      <c r="AL130" s="42"/>
      <c r="AM130" s="42"/>
      <c r="AN130" s="42"/>
      <c r="AO130" s="42"/>
      <c r="AP130" s="42"/>
      <c r="AQ130" s="42"/>
      <c r="AR130" s="42"/>
      <c r="AS130" s="42"/>
      <c r="AT130" s="42"/>
      <c r="AU130" s="42"/>
      <c r="AV130" s="42"/>
      <c r="AW130" s="42"/>
      <c r="AX130" s="42"/>
      <c r="AY130" s="42"/>
      <c r="AZ130" s="42"/>
      <c r="BA130" s="42"/>
      <c r="BB130" s="42"/>
    </row>
    <row r="131" spans="1:54" x14ac:dyDescent="0.25">
      <c r="A131" s="42"/>
      <c r="B131" s="43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42"/>
      <c r="AJ131" s="42"/>
      <c r="AK131" s="42"/>
      <c r="AL131" s="42"/>
      <c r="AM131" s="42"/>
      <c r="AN131" s="42"/>
      <c r="AO131" s="42"/>
      <c r="AP131" s="42"/>
      <c r="AQ131" s="42"/>
      <c r="AR131" s="42"/>
      <c r="AS131" s="42"/>
      <c r="AT131" s="42"/>
      <c r="AU131" s="42"/>
      <c r="AV131" s="42"/>
      <c r="AW131" s="42"/>
      <c r="AX131" s="42"/>
      <c r="AY131" s="42"/>
      <c r="AZ131" s="42"/>
      <c r="BA131" s="42"/>
      <c r="BB131" s="42"/>
    </row>
    <row r="132" spans="1:54" x14ac:dyDescent="0.25">
      <c r="A132" s="42"/>
      <c r="B132" s="43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  <c r="AB132" s="42"/>
      <c r="AC132" s="42"/>
      <c r="AD132" s="42"/>
      <c r="AE132" s="42"/>
      <c r="AF132" s="42"/>
      <c r="AG132" s="42"/>
      <c r="AH132" s="42"/>
      <c r="AI132" s="42"/>
      <c r="AJ132" s="42"/>
      <c r="AK132" s="42"/>
      <c r="AL132" s="42"/>
      <c r="AM132" s="42"/>
      <c r="AN132" s="42"/>
      <c r="AO132" s="42"/>
      <c r="AP132" s="42"/>
      <c r="AQ132" s="42"/>
      <c r="AR132" s="42"/>
      <c r="AS132" s="42"/>
      <c r="AT132" s="42"/>
      <c r="AU132" s="42"/>
      <c r="AV132" s="42"/>
      <c r="AW132" s="42"/>
      <c r="AX132" s="42"/>
      <c r="AY132" s="42"/>
      <c r="AZ132" s="42"/>
      <c r="BA132" s="42"/>
      <c r="BB132" s="42"/>
    </row>
    <row r="133" spans="1:54" x14ac:dyDescent="0.25">
      <c r="A133" s="42"/>
      <c r="B133" s="43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  <c r="AI133" s="42"/>
      <c r="AJ133" s="42"/>
      <c r="AK133" s="42"/>
      <c r="AL133" s="42"/>
      <c r="AM133" s="42"/>
      <c r="AN133" s="42"/>
      <c r="AO133" s="42"/>
      <c r="AP133" s="42"/>
      <c r="AQ133" s="42"/>
      <c r="AR133" s="42"/>
      <c r="AS133" s="42"/>
      <c r="AT133" s="42"/>
      <c r="AU133" s="42"/>
      <c r="AV133" s="42"/>
      <c r="AW133" s="42"/>
      <c r="AX133" s="42"/>
      <c r="AY133" s="42"/>
      <c r="AZ133" s="42"/>
      <c r="BA133" s="42"/>
      <c r="BB133" s="42"/>
    </row>
    <row r="134" spans="1:54" x14ac:dyDescent="0.25">
      <c r="A134" s="42"/>
      <c r="B134" s="43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42"/>
      <c r="AJ134" s="42"/>
      <c r="AK134" s="42"/>
      <c r="AL134" s="42"/>
      <c r="AM134" s="42"/>
      <c r="AN134" s="42"/>
      <c r="AO134" s="42"/>
      <c r="AP134" s="42"/>
      <c r="AQ134" s="42"/>
      <c r="AR134" s="42"/>
      <c r="AS134" s="42"/>
      <c r="AT134" s="42"/>
      <c r="AU134" s="42"/>
      <c r="AV134" s="42"/>
      <c r="AW134" s="42"/>
      <c r="AX134" s="42"/>
      <c r="AY134" s="42"/>
      <c r="AZ134" s="42"/>
      <c r="BA134" s="42"/>
      <c r="BB134" s="42"/>
    </row>
    <row r="135" spans="1:54" x14ac:dyDescent="0.25">
      <c r="A135" s="42"/>
      <c r="B135" s="43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F135" s="42"/>
      <c r="AG135" s="42"/>
      <c r="AH135" s="42"/>
      <c r="AI135" s="42"/>
      <c r="AJ135" s="42"/>
      <c r="AK135" s="42"/>
      <c r="AL135" s="42"/>
      <c r="AM135" s="42"/>
      <c r="AN135" s="42"/>
      <c r="AO135" s="42"/>
      <c r="AP135" s="42"/>
      <c r="AQ135" s="42"/>
      <c r="AR135" s="42"/>
      <c r="AS135" s="42"/>
      <c r="AT135" s="42"/>
      <c r="AU135" s="42"/>
      <c r="AV135" s="42"/>
      <c r="AW135" s="42"/>
      <c r="AX135" s="42"/>
      <c r="AY135" s="42"/>
      <c r="AZ135" s="42"/>
      <c r="BA135" s="42"/>
      <c r="BB135" s="42"/>
    </row>
    <row r="136" spans="1:54" x14ac:dyDescent="0.25">
      <c r="A136" s="42"/>
      <c r="B136" s="43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</row>
    <row r="137" spans="1:54" x14ac:dyDescent="0.25">
      <c r="A137" s="42"/>
      <c r="B137" s="43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42"/>
    </row>
    <row r="138" spans="1:54" x14ac:dyDescent="0.25">
      <c r="A138" s="42"/>
      <c r="B138" s="43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42"/>
    </row>
    <row r="139" spans="1:54" x14ac:dyDescent="0.25">
      <c r="A139" s="42"/>
      <c r="B139" s="43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42"/>
    </row>
    <row r="140" spans="1:54" x14ac:dyDescent="0.25">
      <c r="A140" s="42"/>
      <c r="B140" s="43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42"/>
    </row>
    <row r="141" spans="1:54" x14ac:dyDescent="0.25">
      <c r="A141" s="42"/>
      <c r="B141" s="43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42"/>
    </row>
    <row r="142" spans="1:54" x14ac:dyDescent="0.25">
      <c r="A142" s="42"/>
      <c r="B142" s="43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42"/>
    </row>
    <row r="143" spans="1:54" x14ac:dyDescent="0.25">
      <c r="A143" s="42"/>
      <c r="B143" s="43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42"/>
      <c r="AJ143" s="42"/>
      <c r="AK143" s="42"/>
      <c r="AL143" s="42"/>
      <c r="AM143" s="42"/>
      <c r="AN143" s="42"/>
      <c r="AO143" s="42"/>
      <c r="AP143" s="42"/>
      <c r="AQ143" s="42"/>
      <c r="AR143" s="42"/>
      <c r="AS143" s="42"/>
      <c r="AT143" s="42"/>
      <c r="AU143" s="42"/>
      <c r="AV143" s="42"/>
      <c r="AW143" s="42"/>
      <c r="AX143" s="42"/>
      <c r="AY143" s="42"/>
      <c r="AZ143" s="42"/>
      <c r="BA143" s="42"/>
      <c r="BB143" s="42"/>
    </row>
    <row r="144" spans="1:54" x14ac:dyDescent="0.25">
      <c r="A144" s="42"/>
      <c r="B144" s="43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42"/>
      <c r="AJ144" s="42"/>
      <c r="AK144" s="42"/>
      <c r="AL144" s="42"/>
      <c r="AM144" s="42"/>
      <c r="AN144" s="42"/>
      <c r="AO144" s="42"/>
      <c r="AP144" s="42"/>
      <c r="AQ144" s="42"/>
      <c r="AR144" s="42"/>
      <c r="AS144" s="42"/>
      <c r="AT144" s="42"/>
      <c r="AU144" s="42"/>
      <c r="AV144" s="42"/>
      <c r="AW144" s="42"/>
      <c r="AX144" s="42"/>
      <c r="AY144" s="42"/>
      <c r="AZ144" s="42"/>
      <c r="BA144" s="42"/>
      <c r="BB144" s="42"/>
    </row>
    <row r="145" spans="1:54" x14ac:dyDescent="0.25">
      <c r="A145" s="42"/>
      <c r="B145" s="43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42"/>
      <c r="AJ145" s="42"/>
      <c r="AK145" s="42"/>
      <c r="AL145" s="42"/>
      <c r="AM145" s="42"/>
      <c r="AN145" s="42"/>
      <c r="AO145" s="42"/>
      <c r="AP145" s="42"/>
      <c r="AQ145" s="42"/>
      <c r="AR145" s="42"/>
      <c r="AS145" s="42"/>
      <c r="AT145" s="42"/>
      <c r="AU145" s="42"/>
      <c r="AV145" s="42"/>
      <c r="AW145" s="42"/>
      <c r="AX145" s="42"/>
      <c r="AY145" s="42"/>
      <c r="AZ145" s="42"/>
      <c r="BA145" s="42"/>
      <c r="BB145" s="42"/>
    </row>
    <row r="146" spans="1:54" x14ac:dyDescent="0.25">
      <c r="A146" s="42"/>
      <c r="B146" s="43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42"/>
      <c r="AJ146" s="42"/>
      <c r="AK146" s="42"/>
      <c r="AL146" s="42"/>
      <c r="AM146" s="42"/>
      <c r="AN146" s="42"/>
      <c r="AO146" s="42"/>
      <c r="AP146" s="42"/>
      <c r="AQ146" s="42"/>
      <c r="AR146" s="42"/>
      <c r="AS146" s="42"/>
      <c r="AT146" s="42"/>
      <c r="AU146" s="42"/>
      <c r="AV146" s="42"/>
      <c r="AW146" s="42"/>
      <c r="AX146" s="42"/>
      <c r="AY146" s="42"/>
      <c r="AZ146" s="42"/>
      <c r="BA146" s="42"/>
      <c r="BB146" s="42"/>
    </row>
    <row r="147" spans="1:54" x14ac:dyDescent="0.25">
      <c r="A147" s="42"/>
      <c r="B147" s="43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42"/>
      <c r="AJ147" s="42"/>
      <c r="AK147" s="42"/>
      <c r="AL147" s="42"/>
      <c r="AM147" s="42"/>
      <c r="AN147" s="42"/>
      <c r="AO147" s="42"/>
      <c r="AP147" s="42"/>
      <c r="AQ147" s="42"/>
      <c r="AR147" s="42"/>
      <c r="AS147" s="42"/>
      <c r="AT147" s="42"/>
      <c r="AU147" s="42"/>
      <c r="AV147" s="42"/>
      <c r="AW147" s="42"/>
      <c r="AX147" s="42"/>
      <c r="AY147" s="42"/>
      <c r="AZ147" s="42"/>
      <c r="BA147" s="42"/>
      <c r="BB147" s="42"/>
    </row>
    <row r="148" spans="1:54" x14ac:dyDescent="0.25">
      <c r="A148" s="42"/>
      <c r="B148" s="43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/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/>
      <c r="BB148" s="42"/>
    </row>
    <row r="149" spans="1:54" x14ac:dyDescent="0.25">
      <c r="A149" s="42"/>
      <c r="B149" s="43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  <c r="AF149" s="42"/>
      <c r="AG149" s="42"/>
      <c r="AH149" s="42"/>
      <c r="AI149" s="42"/>
      <c r="AJ149" s="42"/>
      <c r="AK149" s="42"/>
      <c r="AL149" s="42"/>
      <c r="AM149" s="42"/>
      <c r="AN149" s="42"/>
      <c r="AO149" s="42"/>
      <c r="AP149" s="42"/>
      <c r="AQ149" s="42"/>
      <c r="AR149" s="42"/>
      <c r="AS149" s="42"/>
      <c r="AT149" s="42"/>
      <c r="AU149" s="42"/>
      <c r="AV149" s="42"/>
      <c r="AW149" s="42"/>
      <c r="AX149" s="42"/>
      <c r="AY149" s="42"/>
      <c r="AZ149" s="42"/>
      <c r="BA149" s="42"/>
      <c r="BB149" s="42"/>
    </row>
    <row r="150" spans="1:54" x14ac:dyDescent="0.25">
      <c r="A150" s="42"/>
      <c r="B150" s="43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  <c r="AI150" s="42"/>
      <c r="AJ150" s="42"/>
      <c r="AK150" s="42"/>
      <c r="AL150" s="42"/>
      <c r="AM150" s="42"/>
      <c r="AN150" s="42"/>
      <c r="AO150" s="42"/>
      <c r="AP150" s="42"/>
      <c r="AQ150" s="42"/>
      <c r="AR150" s="42"/>
      <c r="AS150" s="42"/>
      <c r="AT150" s="42"/>
      <c r="AU150" s="42"/>
      <c r="AV150" s="42"/>
      <c r="AW150" s="42"/>
      <c r="AX150" s="42"/>
      <c r="AY150" s="42"/>
      <c r="AZ150" s="42"/>
      <c r="BA150" s="42"/>
      <c r="BB150" s="42"/>
    </row>
    <row r="151" spans="1:54" x14ac:dyDescent="0.25">
      <c r="A151" s="42"/>
      <c r="B151" s="43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42"/>
      <c r="AJ151" s="42"/>
      <c r="AK151" s="42"/>
      <c r="AL151" s="42"/>
      <c r="AM151" s="42"/>
      <c r="AN151" s="42"/>
      <c r="AO151" s="42"/>
      <c r="AP151" s="42"/>
      <c r="AQ151" s="42"/>
      <c r="AR151" s="42"/>
      <c r="AS151" s="42"/>
      <c r="AT151" s="42"/>
      <c r="AU151" s="42"/>
      <c r="AV151" s="42"/>
      <c r="AW151" s="42"/>
      <c r="AX151" s="42"/>
      <c r="AY151" s="42"/>
      <c r="AZ151" s="42"/>
      <c r="BA151" s="42"/>
      <c r="BB151" s="42"/>
    </row>
    <row r="152" spans="1:54" x14ac:dyDescent="0.25">
      <c r="A152" s="42"/>
      <c r="B152" s="43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  <c r="AE152" s="42"/>
      <c r="AF152" s="42"/>
      <c r="AG152" s="42"/>
      <c r="AH152" s="42"/>
      <c r="AI152" s="42"/>
      <c r="AJ152" s="42"/>
      <c r="AK152" s="42"/>
      <c r="AL152" s="42"/>
      <c r="AM152" s="42"/>
      <c r="AN152" s="42"/>
      <c r="AO152" s="42"/>
      <c r="AP152" s="42"/>
      <c r="AQ152" s="42"/>
      <c r="AR152" s="42"/>
      <c r="AS152" s="42"/>
      <c r="AT152" s="42"/>
      <c r="AU152" s="42"/>
      <c r="AV152" s="42"/>
      <c r="AW152" s="42"/>
      <c r="AX152" s="42"/>
      <c r="AY152" s="42"/>
      <c r="AZ152" s="42"/>
      <c r="BA152" s="42"/>
      <c r="BB152" s="42"/>
    </row>
    <row r="153" spans="1:54" x14ac:dyDescent="0.25">
      <c r="A153" s="42"/>
      <c r="B153" s="43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42"/>
      <c r="AJ153" s="42"/>
      <c r="AK153" s="42"/>
      <c r="AL153" s="42"/>
      <c r="AM153" s="42"/>
      <c r="AN153" s="42"/>
      <c r="AO153" s="42"/>
      <c r="AP153" s="42"/>
      <c r="AQ153" s="42"/>
      <c r="AR153" s="42"/>
      <c r="AS153" s="42"/>
      <c r="AT153" s="42"/>
      <c r="AU153" s="42"/>
      <c r="AV153" s="42"/>
      <c r="AW153" s="42"/>
      <c r="AX153" s="42"/>
      <c r="AY153" s="42"/>
      <c r="AZ153" s="42"/>
      <c r="BA153" s="42"/>
      <c r="BB153" s="42"/>
    </row>
    <row r="154" spans="1:54" x14ac:dyDescent="0.25">
      <c r="A154" s="42"/>
      <c r="B154" s="43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42"/>
      <c r="AJ154" s="42"/>
      <c r="AK154" s="42"/>
      <c r="AL154" s="42"/>
      <c r="AM154" s="42"/>
      <c r="AN154" s="42"/>
      <c r="AO154" s="42"/>
      <c r="AP154" s="42"/>
      <c r="AQ154" s="42"/>
      <c r="AR154" s="42"/>
      <c r="AS154" s="42"/>
      <c r="AT154" s="42"/>
      <c r="AU154" s="42"/>
      <c r="AV154" s="42"/>
      <c r="AW154" s="42"/>
      <c r="AX154" s="42"/>
      <c r="AY154" s="42"/>
      <c r="AZ154" s="42"/>
      <c r="BA154" s="42"/>
      <c r="BB154" s="42"/>
    </row>
    <row r="155" spans="1:54" x14ac:dyDescent="0.25">
      <c r="A155" s="42"/>
      <c r="B155" s="43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42"/>
      <c r="AJ155" s="42"/>
      <c r="AK155" s="42"/>
      <c r="AL155" s="42"/>
      <c r="AM155" s="42"/>
      <c r="AN155" s="42"/>
      <c r="AO155" s="42"/>
      <c r="AP155" s="42"/>
      <c r="AQ155" s="42"/>
      <c r="AR155" s="42"/>
      <c r="AS155" s="42"/>
      <c r="AT155" s="42"/>
      <c r="AU155" s="42"/>
      <c r="AV155" s="42"/>
      <c r="AW155" s="42"/>
      <c r="AX155" s="42"/>
      <c r="AY155" s="42"/>
      <c r="AZ155" s="42"/>
      <c r="BA155" s="42"/>
      <c r="BB155" s="42"/>
    </row>
    <row r="156" spans="1:54" x14ac:dyDescent="0.25">
      <c r="A156" s="42"/>
      <c r="B156" s="43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42"/>
      <c r="AJ156" s="42"/>
      <c r="AK156" s="42"/>
      <c r="AL156" s="42"/>
      <c r="AM156" s="42"/>
      <c r="AN156" s="42"/>
      <c r="AO156" s="42"/>
      <c r="AP156" s="42"/>
      <c r="AQ156" s="42"/>
      <c r="AR156" s="42"/>
      <c r="AS156" s="42"/>
      <c r="AT156" s="42"/>
      <c r="AU156" s="42"/>
      <c r="AV156" s="42"/>
      <c r="AW156" s="42"/>
      <c r="AX156" s="42"/>
      <c r="AY156" s="42"/>
      <c r="AZ156" s="42"/>
      <c r="BA156" s="42"/>
      <c r="BB156" s="42"/>
    </row>
    <row r="157" spans="1:54" x14ac:dyDescent="0.25">
      <c r="A157" s="42"/>
      <c r="B157" s="43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42"/>
      <c r="AJ157" s="42"/>
      <c r="AK157" s="42"/>
      <c r="AL157" s="42"/>
      <c r="AM157" s="42"/>
      <c r="AN157" s="42"/>
      <c r="AO157" s="42"/>
      <c r="AP157" s="42"/>
      <c r="AQ157" s="42"/>
      <c r="AR157" s="42"/>
      <c r="AS157" s="42"/>
      <c r="AT157" s="42"/>
      <c r="AU157" s="42"/>
      <c r="AV157" s="42"/>
      <c r="AW157" s="42"/>
      <c r="AX157" s="42"/>
      <c r="AY157" s="42"/>
      <c r="AZ157" s="42"/>
      <c r="BA157" s="42"/>
      <c r="BB157" s="42"/>
    </row>
    <row r="158" spans="1:54" x14ac:dyDescent="0.25">
      <c r="A158" s="42"/>
      <c r="B158" s="43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42"/>
      <c r="AJ158" s="42"/>
      <c r="AK158" s="42"/>
      <c r="AL158" s="42"/>
      <c r="AM158" s="42"/>
      <c r="AN158" s="42"/>
      <c r="AO158" s="42"/>
      <c r="AP158" s="42"/>
      <c r="AQ158" s="42"/>
      <c r="AR158" s="42"/>
      <c r="AS158" s="42"/>
      <c r="AT158" s="42"/>
      <c r="AU158" s="42"/>
      <c r="AV158" s="42"/>
      <c r="AW158" s="42"/>
      <c r="AX158" s="42"/>
      <c r="AY158" s="42"/>
      <c r="AZ158" s="42"/>
      <c r="BA158" s="42"/>
      <c r="BB158" s="42"/>
    </row>
    <row r="159" spans="1:54" x14ac:dyDescent="0.25">
      <c r="A159" s="42"/>
      <c r="B159" s="43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  <c r="AI159" s="42"/>
      <c r="AJ159" s="42"/>
      <c r="AK159" s="42"/>
      <c r="AL159" s="42"/>
      <c r="AM159" s="42"/>
      <c r="AN159" s="42"/>
      <c r="AO159" s="42"/>
      <c r="AP159" s="42"/>
      <c r="AQ159" s="42"/>
      <c r="AR159" s="42"/>
      <c r="AS159" s="42"/>
      <c r="AT159" s="42"/>
      <c r="AU159" s="42"/>
      <c r="AV159" s="42"/>
      <c r="AW159" s="42"/>
      <c r="AX159" s="42"/>
      <c r="AY159" s="42"/>
      <c r="AZ159" s="42"/>
      <c r="BA159" s="42"/>
      <c r="BB159" s="42"/>
    </row>
    <row r="160" spans="1:54" x14ac:dyDescent="0.25">
      <c r="A160" s="42"/>
      <c r="B160" s="43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42"/>
      <c r="AJ160" s="42"/>
      <c r="AK160" s="42"/>
      <c r="AL160" s="42"/>
      <c r="AM160" s="42"/>
      <c r="AN160" s="42"/>
      <c r="AO160" s="42"/>
      <c r="AP160" s="42"/>
      <c r="AQ160" s="42"/>
      <c r="AR160" s="42"/>
      <c r="AS160" s="42"/>
      <c r="AT160" s="42"/>
      <c r="AU160" s="42"/>
      <c r="AV160" s="42"/>
      <c r="AW160" s="42"/>
      <c r="AX160" s="42"/>
      <c r="AY160" s="42"/>
      <c r="AZ160" s="42"/>
      <c r="BA160" s="42"/>
      <c r="BB160" s="42"/>
    </row>
    <row r="161" spans="1:54" x14ac:dyDescent="0.25">
      <c r="A161" s="42"/>
      <c r="B161" s="43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  <c r="AI161" s="42"/>
      <c r="AJ161" s="42"/>
      <c r="AK161" s="42"/>
      <c r="AL161" s="42"/>
      <c r="AM161" s="42"/>
      <c r="AN161" s="42"/>
      <c r="AO161" s="42"/>
      <c r="AP161" s="42"/>
      <c r="AQ161" s="42"/>
      <c r="AR161" s="42"/>
      <c r="AS161" s="42"/>
      <c r="AT161" s="42"/>
      <c r="AU161" s="42"/>
      <c r="AV161" s="42"/>
      <c r="AW161" s="42"/>
      <c r="AX161" s="42"/>
      <c r="AY161" s="42"/>
      <c r="AZ161" s="42"/>
      <c r="BA161" s="42"/>
      <c r="BB161" s="42"/>
    </row>
    <row r="162" spans="1:54" x14ac:dyDescent="0.25">
      <c r="A162" s="42"/>
      <c r="B162" s="43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42"/>
      <c r="AJ162" s="42"/>
      <c r="AK162" s="42"/>
      <c r="AL162" s="42"/>
      <c r="AM162" s="42"/>
      <c r="AN162" s="42"/>
      <c r="AO162" s="42"/>
      <c r="AP162" s="42"/>
      <c r="AQ162" s="42"/>
      <c r="AR162" s="42"/>
      <c r="AS162" s="42"/>
      <c r="AT162" s="42"/>
      <c r="AU162" s="42"/>
      <c r="AV162" s="42"/>
      <c r="AW162" s="42"/>
      <c r="AX162" s="42"/>
      <c r="AY162" s="42"/>
      <c r="AZ162" s="42"/>
      <c r="BA162" s="42"/>
      <c r="BB162" s="42"/>
    </row>
    <row r="163" spans="1:54" x14ac:dyDescent="0.25">
      <c r="A163" s="42"/>
      <c r="B163" s="43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  <c r="AC163" s="42"/>
      <c r="AD163" s="42"/>
      <c r="AE163" s="42"/>
      <c r="AF163" s="42"/>
      <c r="AG163" s="42"/>
      <c r="AH163" s="42"/>
      <c r="AI163" s="42"/>
      <c r="AJ163" s="42"/>
      <c r="AK163" s="42"/>
      <c r="AL163" s="42"/>
      <c r="AM163" s="42"/>
      <c r="AN163" s="42"/>
      <c r="AO163" s="42"/>
      <c r="AP163" s="42"/>
      <c r="AQ163" s="42"/>
      <c r="AR163" s="42"/>
      <c r="AS163" s="42"/>
      <c r="AT163" s="42"/>
      <c r="AU163" s="42"/>
      <c r="AV163" s="42"/>
      <c r="AW163" s="42"/>
      <c r="AX163" s="42"/>
      <c r="AY163" s="42"/>
      <c r="AZ163" s="42"/>
      <c r="BA163" s="42"/>
      <c r="BB163" s="42"/>
    </row>
    <row r="164" spans="1:54" x14ac:dyDescent="0.25">
      <c r="A164" s="42"/>
      <c r="B164" s="43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42"/>
      <c r="AJ164" s="42"/>
      <c r="AK164" s="42"/>
      <c r="AL164" s="42"/>
      <c r="AM164" s="42"/>
      <c r="AN164" s="42"/>
      <c r="AO164" s="42"/>
      <c r="AP164" s="42"/>
      <c r="AQ164" s="42"/>
      <c r="AR164" s="42"/>
      <c r="AS164" s="42"/>
      <c r="AT164" s="42"/>
      <c r="AU164" s="42"/>
      <c r="AV164" s="42"/>
      <c r="AW164" s="42"/>
      <c r="AX164" s="42"/>
      <c r="AY164" s="42"/>
      <c r="AZ164" s="42"/>
      <c r="BA164" s="42"/>
      <c r="BB164" s="42"/>
    </row>
    <row r="165" spans="1:54" x14ac:dyDescent="0.25">
      <c r="A165" s="42"/>
      <c r="B165" s="43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  <c r="AI165" s="42"/>
      <c r="AJ165" s="42"/>
      <c r="AK165" s="42"/>
      <c r="AL165" s="42"/>
      <c r="AM165" s="42"/>
      <c r="AN165" s="42"/>
      <c r="AO165" s="42"/>
      <c r="AP165" s="42"/>
      <c r="AQ165" s="42"/>
      <c r="AR165" s="42"/>
      <c r="AS165" s="42"/>
      <c r="AT165" s="42"/>
      <c r="AU165" s="42"/>
      <c r="AV165" s="42"/>
      <c r="AW165" s="42"/>
      <c r="AX165" s="42"/>
      <c r="AY165" s="42"/>
      <c r="AZ165" s="42"/>
      <c r="BA165" s="42"/>
      <c r="BB165" s="42"/>
    </row>
    <row r="166" spans="1:54" x14ac:dyDescent="0.25">
      <c r="A166" s="42"/>
      <c r="B166" s="43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42"/>
      <c r="AJ166" s="42"/>
      <c r="AK166" s="42"/>
      <c r="AL166" s="42"/>
      <c r="AM166" s="42"/>
      <c r="AN166" s="42"/>
      <c r="AO166" s="42"/>
      <c r="AP166" s="42"/>
      <c r="AQ166" s="42"/>
      <c r="AR166" s="42"/>
      <c r="AS166" s="42"/>
      <c r="AT166" s="42"/>
      <c r="AU166" s="42"/>
      <c r="AV166" s="42"/>
      <c r="AW166" s="42"/>
      <c r="AX166" s="42"/>
      <c r="AY166" s="42"/>
      <c r="AZ166" s="42"/>
      <c r="BA166" s="42"/>
      <c r="BB166" s="42"/>
    </row>
    <row r="167" spans="1:54" x14ac:dyDescent="0.25">
      <c r="A167" s="42"/>
      <c r="B167" s="43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  <c r="AC167" s="42"/>
      <c r="AD167" s="42"/>
      <c r="AE167" s="42"/>
      <c r="AF167" s="42"/>
      <c r="AG167" s="42"/>
      <c r="AH167" s="42"/>
      <c r="AI167" s="42"/>
      <c r="AJ167" s="42"/>
      <c r="AK167" s="42"/>
      <c r="AL167" s="42"/>
      <c r="AM167" s="42"/>
      <c r="AN167" s="42"/>
      <c r="AO167" s="42"/>
      <c r="AP167" s="42"/>
      <c r="AQ167" s="42"/>
      <c r="AR167" s="42"/>
      <c r="AS167" s="42"/>
      <c r="AT167" s="42"/>
      <c r="AU167" s="42"/>
      <c r="AV167" s="42"/>
      <c r="AW167" s="42"/>
      <c r="AX167" s="42"/>
      <c r="AY167" s="42"/>
      <c r="AZ167" s="42"/>
      <c r="BA167" s="42"/>
      <c r="BB167" s="42"/>
    </row>
    <row r="168" spans="1:54" x14ac:dyDescent="0.25">
      <c r="A168" s="42"/>
      <c r="B168" s="43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42"/>
      <c r="AJ168" s="42"/>
      <c r="AK168" s="42"/>
      <c r="AL168" s="42"/>
      <c r="AM168" s="42"/>
      <c r="AN168" s="42"/>
      <c r="AO168" s="42"/>
      <c r="AP168" s="42"/>
      <c r="AQ168" s="42"/>
      <c r="AR168" s="42"/>
      <c r="AS168" s="42"/>
      <c r="AT168" s="42"/>
      <c r="AU168" s="42"/>
      <c r="AV168" s="42"/>
      <c r="AW168" s="42"/>
      <c r="AX168" s="42"/>
      <c r="AY168" s="42"/>
      <c r="AZ168" s="42"/>
      <c r="BA168" s="42"/>
      <c r="BB168" s="42"/>
    </row>
    <row r="169" spans="1:54" x14ac:dyDescent="0.25">
      <c r="A169" s="42"/>
      <c r="B169" s="43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  <c r="AI169" s="42"/>
      <c r="AJ169" s="42"/>
      <c r="AK169" s="42"/>
      <c r="AL169" s="42"/>
      <c r="AM169" s="42"/>
      <c r="AN169" s="42"/>
      <c r="AO169" s="42"/>
      <c r="AP169" s="42"/>
      <c r="AQ169" s="42"/>
      <c r="AR169" s="42"/>
      <c r="AS169" s="42"/>
      <c r="AT169" s="42"/>
      <c r="AU169" s="42"/>
      <c r="AV169" s="42"/>
      <c r="AW169" s="42"/>
      <c r="AX169" s="42"/>
      <c r="AY169" s="42"/>
      <c r="AZ169" s="42"/>
      <c r="BA169" s="42"/>
      <c r="BB169" s="42"/>
    </row>
    <row r="170" spans="1:54" x14ac:dyDescent="0.25">
      <c r="A170" s="42"/>
      <c r="B170" s="43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  <c r="AI170" s="42"/>
      <c r="AJ170" s="42"/>
      <c r="AK170" s="42"/>
      <c r="AL170" s="42"/>
      <c r="AM170" s="42"/>
      <c r="AN170" s="42"/>
      <c r="AO170" s="42"/>
      <c r="AP170" s="42"/>
      <c r="AQ170" s="42"/>
      <c r="AR170" s="42"/>
      <c r="AS170" s="42"/>
      <c r="AT170" s="42"/>
      <c r="AU170" s="42"/>
      <c r="AV170" s="42"/>
      <c r="AW170" s="42"/>
      <c r="AX170" s="42"/>
      <c r="AY170" s="42"/>
      <c r="AZ170" s="42"/>
      <c r="BA170" s="42"/>
      <c r="BB170" s="42"/>
    </row>
    <row r="171" spans="1:54" x14ac:dyDescent="0.25">
      <c r="A171" s="42"/>
      <c r="B171" s="43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42"/>
      <c r="AJ171" s="42"/>
      <c r="AK171" s="42"/>
      <c r="AL171" s="42"/>
      <c r="AM171" s="42"/>
      <c r="AN171" s="42"/>
      <c r="AO171" s="42"/>
      <c r="AP171" s="42"/>
      <c r="AQ171" s="42"/>
      <c r="AR171" s="42"/>
      <c r="AS171" s="42"/>
      <c r="AT171" s="42"/>
      <c r="AU171" s="42"/>
      <c r="AV171" s="42"/>
      <c r="AW171" s="42"/>
      <c r="AX171" s="42"/>
      <c r="AY171" s="42"/>
      <c r="AZ171" s="42"/>
      <c r="BA171" s="42"/>
      <c r="BB171" s="42"/>
    </row>
    <row r="172" spans="1:54" x14ac:dyDescent="0.25">
      <c r="A172" s="42"/>
      <c r="B172" s="43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42"/>
      <c r="AJ172" s="42"/>
      <c r="AK172" s="42"/>
      <c r="AL172" s="42"/>
      <c r="AM172" s="42"/>
      <c r="AN172" s="42"/>
      <c r="AO172" s="42"/>
      <c r="AP172" s="42"/>
      <c r="AQ172" s="42"/>
      <c r="AR172" s="42"/>
      <c r="AS172" s="42"/>
      <c r="AT172" s="42"/>
      <c r="AU172" s="42"/>
      <c r="AV172" s="42"/>
      <c r="AW172" s="42"/>
      <c r="AX172" s="42"/>
      <c r="AY172" s="42"/>
      <c r="AZ172" s="42"/>
      <c r="BA172" s="42"/>
      <c r="BB172" s="42"/>
    </row>
    <row r="173" spans="1:54" x14ac:dyDescent="0.25">
      <c r="A173" s="42"/>
      <c r="B173" s="43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42"/>
      <c r="AJ173" s="42"/>
      <c r="AK173" s="42"/>
      <c r="AL173" s="42"/>
      <c r="AM173" s="42"/>
      <c r="AN173" s="42"/>
      <c r="AO173" s="42"/>
      <c r="AP173" s="42"/>
      <c r="AQ173" s="42"/>
      <c r="AR173" s="42"/>
      <c r="AS173" s="42"/>
      <c r="AT173" s="42"/>
      <c r="AU173" s="42"/>
      <c r="AV173" s="42"/>
      <c r="AW173" s="42"/>
      <c r="AX173" s="42"/>
      <c r="AY173" s="42"/>
      <c r="AZ173" s="42"/>
      <c r="BA173" s="42"/>
      <c r="BB173" s="42"/>
    </row>
    <row r="174" spans="1:54" x14ac:dyDescent="0.25">
      <c r="A174" s="42"/>
      <c r="B174" s="43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42"/>
      <c r="AJ174" s="42"/>
      <c r="AK174" s="42"/>
      <c r="AL174" s="42"/>
      <c r="AM174" s="42"/>
      <c r="AN174" s="42"/>
      <c r="AO174" s="42"/>
      <c r="AP174" s="42"/>
      <c r="AQ174" s="42"/>
      <c r="AR174" s="42"/>
      <c r="AS174" s="42"/>
      <c r="AT174" s="42"/>
      <c r="AU174" s="42"/>
      <c r="AV174" s="42"/>
      <c r="AW174" s="42"/>
      <c r="AX174" s="42"/>
      <c r="AY174" s="42"/>
      <c r="AZ174" s="42"/>
      <c r="BA174" s="42"/>
      <c r="BB174" s="42"/>
    </row>
    <row r="175" spans="1:54" x14ac:dyDescent="0.25">
      <c r="A175" s="42"/>
      <c r="B175" s="43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42"/>
      <c r="AJ175" s="42"/>
      <c r="AK175" s="42"/>
      <c r="AL175" s="42"/>
      <c r="AM175" s="42"/>
      <c r="AN175" s="42"/>
      <c r="AO175" s="42"/>
      <c r="AP175" s="42"/>
      <c r="AQ175" s="42"/>
      <c r="AR175" s="42"/>
      <c r="AS175" s="42"/>
      <c r="AT175" s="42"/>
      <c r="AU175" s="42"/>
      <c r="AV175" s="42"/>
      <c r="AW175" s="42"/>
      <c r="AX175" s="42"/>
      <c r="AY175" s="42"/>
      <c r="AZ175" s="42"/>
      <c r="BA175" s="42"/>
      <c r="BB175" s="42"/>
    </row>
    <row r="176" spans="1:54" x14ac:dyDescent="0.25">
      <c r="A176" s="42"/>
      <c r="B176" s="43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42"/>
      <c r="AJ176" s="42"/>
      <c r="AK176" s="42"/>
      <c r="AL176" s="42"/>
      <c r="AM176" s="42"/>
      <c r="AN176" s="42"/>
      <c r="AO176" s="42"/>
      <c r="AP176" s="42"/>
      <c r="AQ176" s="42"/>
      <c r="AR176" s="42"/>
      <c r="AS176" s="42"/>
      <c r="AT176" s="42"/>
      <c r="AU176" s="42"/>
      <c r="AV176" s="42"/>
      <c r="AW176" s="42"/>
      <c r="AX176" s="42"/>
      <c r="AY176" s="42"/>
      <c r="AZ176" s="42"/>
      <c r="BA176" s="42"/>
      <c r="BB176" s="42"/>
    </row>
    <row r="177" spans="1:54" x14ac:dyDescent="0.25">
      <c r="A177" s="42"/>
      <c r="B177" s="43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2"/>
      <c r="AM177" s="42"/>
      <c r="AN177" s="42"/>
      <c r="AO177" s="42"/>
      <c r="AP177" s="42"/>
      <c r="AQ177" s="42"/>
      <c r="AR177" s="42"/>
      <c r="AS177" s="42"/>
      <c r="AT177" s="42"/>
      <c r="AU177" s="42"/>
      <c r="AV177" s="42"/>
      <c r="AW177" s="42"/>
      <c r="AX177" s="42"/>
      <c r="AY177" s="42"/>
      <c r="AZ177" s="42"/>
      <c r="BA177" s="42"/>
      <c r="BB177" s="42"/>
    </row>
    <row r="178" spans="1:54" x14ac:dyDescent="0.25">
      <c r="A178" s="42"/>
      <c r="B178" s="43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42"/>
      <c r="AJ178" s="42"/>
      <c r="AK178" s="42"/>
      <c r="AL178" s="42"/>
      <c r="AM178" s="42"/>
      <c r="AN178" s="42"/>
      <c r="AO178" s="42"/>
      <c r="AP178" s="42"/>
      <c r="AQ178" s="42"/>
      <c r="AR178" s="42"/>
      <c r="AS178" s="42"/>
      <c r="AT178" s="42"/>
      <c r="AU178" s="42"/>
      <c r="AV178" s="42"/>
      <c r="AW178" s="42"/>
      <c r="AX178" s="42"/>
      <c r="AY178" s="42"/>
      <c r="AZ178" s="42"/>
      <c r="BA178" s="42"/>
      <c r="BB178" s="42"/>
    </row>
    <row r="179" spans="1:54" x14ac:dyDescent="0.25">
      <c r="A179" s="42"/>
      <c r="B179" s="43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42"/>
      <c r="AJ179" s="42"/>
      <c r="AK179" s="42"/>
      <c r="AL179" s="42"/>
      <c r="AM179" s="42"/>
      <c r="AN179" s="42"/>
      <c r="AO179" s="42"/>
      <c r="AP179" s="42"/>
      <c r="AQ179" s="42"/>
      <c r="AR179" s="42"/>
      <c r="AS179" s="42"/>
      <c r="AT179" s="42"/>
      <c r="AU179" s="42"/>
      <c r="AV179" s="42"/>
      <c r="AW179" s="42"/>
      <c r="AX179" s="42"/>
      <c r="AY179" s="42"/>
      <c r="AZ179" s="42"/>
      <c r="BA179" s="42"/>
      <c r="BB179" s="42"/>
    </row>
    <row r="180" spans="1:54" x14ac:dyDescent="0.25">
      <c r="A180" s="42"/>
      <c r="B180" s="43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2"/>
      <c r="AM180" s="42"/>
      <c r="AN180" s="42"/>
      <c r="AO180" s="42"/>
      <c r="AP180" s="42"/>
      <c r="AQ180" s="42"/>
      <c r="AR180" s="42"/>
      <c r="AS180" s="42"/>
      <c r="AT180" s="42"/>
      <c r="AU180" s="42"/>
      <c r="AV180" s="42"/>
      <c r="AW180" s="42"/>
      <c r="AX180" s="42"/>
      <c r="AY180" s="42"/>
      <c r="AZ180" s="42"/>
      <c r="BA180" s="42"/>
      <c r="BB180" s="42"/>
    </row>
    <row r="181" spans="1:54" x14ac:dyDescent="0.25">
      <c r="A181" s="42"/>
      <c r="B181" s="43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42"/>
      <c r="AJ181" s="42"/>
      <c r="AK181" s="42"/>
      <c r="AL181" s="42"/>
      <c r="AM181" s="42"/>
      <c r="AN181" s="42"/>
      <c r="AO181" s="42"/>
      <c r="AP181" s="42"/>
      <c r="AQ181" s="42"/>
      <c r="AR181" s="42"/>
      <c r="AS181" s="42"/>
      <c r="AT181" s="42"/>
      <c r="AU181" s="42"/>
      <c r="AV181" s="42"/>
      <c r="AW181" s="42"/>
      <c r="AX181" s="42"/>
      <c r="AY181" s="42"/>
      <c r="AZ181" s="42"/>
      <c r="BA181" s="42"/>
      <c r="BB181" s="42"/>
    </row>
    <row r="182" spans="1:54" x14ac:dyDescent="0.25">
      <c r="A182" s="42"/>
      <c r="B182" s="43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42"/>
      <c r="AJ182" s="42"/>
      <c r="AK182" s="42"/>
      <c r="AL182" s="42"/>
      <c r="AM182" s="42"/>
      <c r="AN182" s="42"/>
      <c r="AO182" s="42"/>
      <c r="AP182" s="42"/>
      <c r="AQ182" s="42"/>
      <c r="AR182" s="42"/>
      <c r="AS182" s="42"/>
      <c r="AT182" s="42"/>
      <c r="AU182" s="42"/>
      <c r="AV182" s="42"/>
      <c r="AW182" s="42"/>
      <c r="AX182" s="42"/>
      <c r="AY182" s="42"/>
      <c r="AZ182" s="42"/>
      <c r="BA182" s="42"/>
      <c r="BB182" s="42"/>
    </row>
    <row r="183" spans="1:54" x14ac:dyDescent="0.25">
      <c r="A183" s="42"/>
      <c r="B183" s="43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  <c r="AG183" s="42"/>
      <c r="AH183" s="42"/>
      <c r="AI183" s="42"/>
      <c r="AJ183" s="42"/>
      <c r="AK183" s="42"/>
      <c r="AL183" s="42"/>
      <c r="AM183" s="42"/>
      <c r="AN183" s="42"/>
      <c r="AO183" s="42"/>
      <c r="AP183" s="42"/>
      <c r="AQ183" s="42"/>
      <c r="AR183" s="42"/>
      <c r="AS183" s="42"/>
      <c r="AT183" s="42"/>
      <c r="AU183" s="42"/>
      <c r="AV183" s="42"/>
      <c r="AW183" s="42"/>
      <c r="AX183" s="42"/>
      <c r="AY183" s="42"/>
      <c r="AZ183" s="42"/>
      <c r="BA183" s="42"/>
      <c r="BB183" s="42"/>
    </row>
    <row r="184" spans="1:54" x14ac:dyDescent="0.25">
      <c r="A184" s="42"/>
      <c r="B184" s="43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42"/>
      <c r="AJ184" s="42"/>
      <c r="AK184" s="42"/>
      <c r="AL184" s="42"/>
      <c r="AM184" s="42"/>
      <c r="AN184" s="42"/>
      <c r="AO184" s="42"/>
      <c r="AP184" s="42"/>
      <c r="AQ184" s="42"/>
      <c r="AR184" s="42"/>
      <c r="AS184" s="42"/>
      <c r="AT184" s="42"/>
      <c r="AU184" s="42"/>
      <c r="AV184" s="42"/>
      <c r="AW184" s="42"/>
      <c r="AX184" s="42"/>
      <c r="AY184" s="42"/>
      <c r="AZ184" s="42"/>
      <c r="BA184" s="42"/>
      <c r="BB184" s="42"/>
    </row>
    <row r="185" spans="1:54" x14ac:dyDescent="0.25">
      <c r="A185" s="42"/>
      <c r="B185" s="43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  <c r="AG185" s="42"/>
      <c r="AH185" s="42"/>
      <c r="AI185" s="42"/>
      <c r="AJ185" s="42"/>
      <c r="AK185" s="42"/>
      <c r="AL185" s="42"/>
      <c r="AM185" s="42"/>
      <c r="AN185" s="42"/>
      <c r="AO185" s="42"/>
      <c r="AP185" s="42"/>
      <c r="AQ185" s="42"/>
      <c r="AR185" s="42"/>
      <c r="AS185" s="42"/>
      <c r="AT185" s="42"/>
      <c r="AU185" s="42"/>
      <c r="AV185" s="42"/>
      <c r="AW185" s="42"/>
      <c r="AX185" s="42"/>
      <c r="AY185" s="42"/>
      <c r="AZ185" s="42"/>
      <c r="BA185" s="42"/>
      <c r="BB185" s="42"/>
    </row>
    <row r="186" spans="1:54" x14ac:dyDescent="0.25">
      <c r="A186" s="42"/>
      <c r="B186" s="43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42"/>
      <c r="AJ186" s="42"/>
      <c r="AK186" s="42"/>
      <c r="AL186" s="42"/>
      <c r="AM186" s="42"/>
      <c r="AN186" s="42"/>
      <c r="AO186" s="42"/>
      <c r="AP186" s="42"/>
      <c r="AQ186" s="42"/>
      <c r="AR186" s="42"/>
      <c r="AS186" s="42"/>
      <c r="AT186" s="42"/>
      <c r="AU186" s="42"/>
      <c r="AV186" s="42"/>
      <c r="AW186" s="42"/>
      <c r="AX186" s="42"/>
      <c r="AY186" s="42"/>
      <c r="AZ186" s="42"/>
      <c r="BA186" s="42"/>
      <c r="BB186" s="42"/>
    </row>
    <row r="187" spans="1:54" x14ac:dyDescent="0.25">
      <c r="A187" s="42"/>
      <c r="B187" s="43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42"/>
      <c r="AJ187" s="42"/>
      <c r="AK187" s="42"/>
      <c r="AL187" s="42"/>
      <c r="AM187" s="42"/>
      <c r="AN187" s="42"/>
      <c r="AO187" s="42"/>
      <c r="AP187" s="42"/>
      <c r="AQ187" s="42"/>
      <c r="AR187" s="42"/>
      <c r="AS187" s="42"/>
      <c r="AT187" s="42"/>
      <c r="AU187" s="42"/>
      <c r="AV187" s="42"/>
      <c r="AW187" s="42"/>
      <c r="AX187" s="42"/>
      <c r="AY187" s="42"/>
      <c r="AZ187" s="42"/>
      <c r="BA187" s="42"/>
      <c r="BB187" s="42"/>
    </row>
    <row r="188" spans="1:54" x14ac:dyDescent="0.25">
      <c r="A188" s="42"/>
      <c r="B188" s="43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/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/>
      <c r="BB188" s="42"/>
    </row>
    <row r="189" spans="1:54" x14ac:dyDescent="0.25">
      <c r="A189" s="42"/>
      <c r="B189" s="43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  <c r="AD189" s="42"/>
      <c r="AE189" s="42"/>
      <c r="AF189" s="42"/>
      <c r="AG189" s="42"/>
      <c r="AH189" s="42"/>
      <c r="AI189" s="42"/>
      <c r="AJ189" s="42"/>
      <c r="AK189" s="42"/>
      <c r="AL189" s="42"/>
      <c r="AM189" s="42"/>
      <c r="AN189" s="42"/>
      <c r="AO189" s="42"/>
      <c r="AP189" s="42"/>
      <c r="AQ189" s="42"/>
      <c r="AR189" s="42"/>
      <c r="AS189" s="42"/>
      <c r="AT189" s="42"/>
      <c r="AU189" s="42"/>
      <c r="AV189" s="42"/>
      <c r="AW189" s="42"/>
      <c r="AX189" s="42"/>
      <c r="AY189" s="42"/>
      <c r="AZ189" s="42"/>
      <c r="BA189" s="42"/>
      <c r="BB189" s="42"/>
    </row>
    <row r="190" spans="1:54" x14ac:dyDescent="0.25">
      <c r="A190" s="42"/>
      <c r="B190" s="43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42"/>
      <c r="AJ190" s="42"/>
      <c r="AK190" s="42"/>
      <c r="AL190" s="42"/>
      <c r="AM190" s="42"/>
      <c r="AN190" s="42"/>
      <c r="AO190" s="42"/>
      <c r="AP190" s="42"/>
      <c r="AQ190" s="42"/>
      <c r="AR190" s="42"/>
      <c r="AS190" s="42"/>
      <c r="AT190" s="42"/>
      <c r="AU190" s="42"/>
      <c r="AV190" s="42"/>
      <c r="AW190" s="42"/>
      <c r="AX190" s="42"/>
      <c r="AY190" s="42"/>
      <c r="AZ190" s="42"/>
      <c r="BA190" s="42"/>
      <c r="BB190" s="42"/>
    </row>
    <row r="191" spans="1:54" x14ac:dyDescent="0.25">
      <c r="A191" s="42"/>
      <c r="B191" s="43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42"/>
      <c r="AJ191" s="42"/>
      <c r="AK191" s="42"/>
      <c r="AL191" s="42"/>
      <c r="AM191" s="42"/>
      <c r="AN191" s="42"/>
      <c r="AO191" s="42"/>
      <c r="AP191" s="42"/>
      <c r="AQ191" s="42"/>
      <c r="AR191" s="42"/>
      <c r="AS191" s="42"/>
      <c r="AT191" s="42"/>
      <c r="AU191" s="42"/>
      <c r="AV191" s="42"/>
      <c r="AW191" s="42"/>
      <c r="AX191" s="42"/>
      <c r="AY191" s="42"/>
      <c r="AZ191" s="42"/>
      <c r="BA191" s="42"/>
      <c r="BB191" s="42"/>
    </row>
    <row r="192" spans="1:54" x14ac:dyDescent="0.25">
      <c r="A192" s="42"/>
      <c r="B192" s="43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42"/>
      <c r="AJ192" s="42"/>
      <c r="AK192" s="42"/>
      <c r="AL192" s="42"/>
      <c r="AM192" s="42"/>
      <c r="AN192" s="42"/>
      <c r="AO192" s="42"/>
      <c r="AP192" s="42"/>
      <c r="AQ192" s="42"/>
      <c r="AR192" s="42"/>
      <c r="AS192" s="42"/>
      <c r="AT192" s="42"/>
      <c r="AU192" s="42"/>
      <c r="AV192" s="42"/>
      <c r="AW192" s="42"/>
      <c r="AX192" s="42"/>
      <c r="AY192" s="42"/>
      <c r="AZ192" s="42"/>
      <c r="BA192" s="42"/>
      <c r="BB192" s="42"/>
    </row>
    <row r="193" spans="1:54" x14ac:dyDescent="0.25">
      <c r="A193" s="42"/>
      <c r="B193" s="43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42"/>
      <c r="AJ193" s="42"/>
      <c r="AK193" s="42"/>
      <c r="AL193" s="42"/>
      <c r="AM193" s="42"/>
      <c r="AN193" s="42"/>
      <c r="AO193" s="42"/>
      <c r="AP193" s="42"/>
      <c r="AQ193" s="42"/>
      <c r="AR193" s="42"/>
      <c r="AS193" s="42"/>
      <c r="AT193" s="42"/>
      <c r="AU193" s="42"/>
      <c r="AV193" s="42"/>
      <c r="AW193" s="42"/>
      <c r="AX193" s="42"/>
      <c r="AY193" s="42"/>
      <c r="AZ193" s="42"/>
      <c r="BA193" s="42"/>
      <c r="BB193" s="42"/>
    </row>
    <row r="194" spans="1:54" x14ac:dyDescent="0.25">
      <c r="A194" s="42"/>
      <c r="B194" s="43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42"/>
      <c r="AJ194" s="42"/>
      <c r="AK194" s="42"/>
      <c r="AL194" s="42"/>
      <c r="AM194" s="42"/>
      <c r="AN194" s="42"/>
      <c r="AO194" s="42"/>
      <c r="AP194" s="42"/>
      <c r="AQ194" s="42"/>
      <c r="AR194" s="42"/>
      <c r="AS194" s="42"/>
      <c r="AT194" s="42"/>
      <c r="AU194" s="42"/>
      <c r="AV194" s="42"/>
      <c r="AW194" s="42"/>
      <c r="AX194" s="42"/>
      <c r="AY194" s="42"/>
      <c r="AZ194" s="42"/>
      <c r="BA194" s="42"/>
      <c r="BB194" s="42"/>
    </row>
    <row r="195" spans="1:54" x14ac:dyDescent="0.25">
      <c r="A195" s="42"/>
      <c r="B195" s="43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42"/>
      <c r="AJ195" s="42"/>
      <c r="AK195" s="42"/>
      <c r="AL195" s="42"/>
      <c r="AM195" s="42"/>
      <c r="AN195" s="42"/>
      <c r="AO195" s="42"/>
      <c r="AP195" s="42"/>
      <c r="AQ195" s="42"/>
      <c r="AR195" s="42"/>
      <c r="AS195" s="42"/>
      <c r="AT195" s="42"/>
      <c r="AU195" s="42"/>
      <c r="AV195" s="42"/>
      <c r="AW195" s="42"/>
      <c r="AX195" s="42"/>
      <c r="AY195" s="42"/>
      <c r="AZ195" s="42"/>
      <c r="BA195" s="42"/>
      <c r="BB195" s="42"/>
    </row>
    <row r="196" spans="1:54" x14ac:dyDescent="0.25">
      <c r="A196" s="42"/>
      <c r="B196" s="43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  <c r="AH196" s="42"/>
      <c r="AI196" s="42"/>
      <c r="AJ196" s="42"/>
      <c r="AK196" s="42"/>
      <c r="AL196" s="42"/>
      <c r="AM196" s="42"/>
      <c r="AN196" s="42"/>
      <c r="AO196" s="42"/>
      <c r="AP196" s="42"/>
      <c r="AQ196" s="42"/>
      <c r="AR196" s="42"/>
      <c r="AS196" s="42"/>
      <c r="AT196" s="42"/>
      <c r="AU196" s="42"/>
      <c r="AV196" s="42"/>
      <c r="AW196" s="42"/>
      <c r="AX196" s="42"/>
      <c r="AY196" s="42"/>
      <c r="AZ196" s="42"/>
      <c r="BA196" s="42"/>
      <c r="BB196" s="42"/>
    </row>
    <row r="197" spans="1:54" x14ac:dyDescent="0.25">
      <c r="A197" s="42"/>
      <c r="B197" s="43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42"/>
      <c r="AJ197" s="42"/>
      <c r="AK197" s="42"/>
      <c r="AL197" s="42"/>
      <c r="AM197" s="42"/>
      <c r="AN197" s="42"/>
      <c r="AO197" s="42"/>
      <c r="AP197" s="42"/>
      <c r="AQ197" s="42"/>
      <c r="AR197" s="42"/>
      <c r="AS197" s="42"/>
      <c r="AT197" s="42"/>
      <c r="AU197" s="42"/>
      <c r="AV197" s="42"/>
      <c r="AW197" s="42"/>
      <c r="AX197" s="42"/>
      <c r="AY197" s="42"/>
      <c r="AZ197" s="42"/>
      <c r="BA197" s="42"/>
      <c r="BB197" s="42"/>
    </row>
    <row r="198" spans="1:54" x14ac:dyDescent="0.25">
      <c r="A198" s="42"/>
      <c r="B198" s="43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42"/>
      <c r="AJ198" s="42"/>
      <c r="AK198" s="42"/>
      <c r="AL198" s="42"/>
      <c r="AM198" s="42"/>
      <c r="AN198" s="42"/>
      <c r="AO198" s="42"/>
      <c r="AP198" s="42"/>
      <c r="AQ198" s="42"/>
      <c r="AR198" s="42"/>
      <c r="AS198" s="42"/>
      <c r="AT198" s="42"/>
      <c r="AU198" s="42"/>
      <c r="AV198" s="42"/>
      <c r="AW198" s="42"/>
      <c r="AX198" s="42"/>
      <c r="AY198" s="42"/>
      <c r="AZ198" s="42"/>
      <c r="BA198" s="42"/>
      <c r="BB198" s="42"/>
    </row>
    <row r="199" spans="1:54" x14ac:dyDescent="0.25">
      <c r="A199" s="42"/>
      <c r="B199" s="43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  <c r="AI199" s="42"/>
      <c r="AJ199" s="42"/>
      <c r="AK199" s="42"/>
      <c r="AL199" s="42"/>
      <c r="AM199" s="42"/>
      <c r="AN199" s="42"/>
      <c r="AO199" s="42"/>
      <c r="AP199" s="42"/>
      <c r="AQ199" s="42"/>
      <c r="AR199" s="42"/>
      <c r="AS199" s="42"/>
      <c r="AT199" s="42"/>
      <c r="AU199" s="42"/>
      <c r="AV199" s="42"/>
      <c r="AW199" s="42"/>
      <c r="AX199" s="42"/>
      <c r="AY199" s="42"/>
      <c r="AZ199" s="42"/>
      <c r="BA199" s="42"/>
      <c r="BB199" s="42"/>
    </row>
    <row r="200" spans="1:54" x14ac:dyDescent="0.25">
      <c r="A200" s="42"/>
      <c r="B200" s="43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  <c r="AI200" s="42"/>
      <c r="AJ200" s="42"/>
      <c r="AK200" s="42"/>
      <c r="AL200" s="42"/>
      <c r="AM200" s="42"/>
      <c r="AN200" s="42"/>
      <c r="AO200" s="42"/>
      <c r="AP200" s="42"/>
      <c r="AQ200" s="42"/>
      <c r="AR200" s="42"/>
      <c r="AS200" s="42"/>
      <c r="AT200" s="42"/>
      <c r="AU200" s="42"/>
      <c r="AV200" s="42"/>
      <c r="AW200" s="42"/>
      <c r="AX200" s="42"/>
      <c r="AY200" s="42"/>
      <c r="AZ200" s="42"/>
      <c r="BA200" s="42"/>
      <c r="BB200" s="42"/>
    </row>
    <row r="201" spans="1:54" x14ac:dyDescent="0.25">
      <c r="A201" s="42"/>
      <c r="B201" s="43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  <c r="AI201" s="42"/>
      <c r="AJ201" s="42"/>
      <c r="AK201" s="42"/>
      <c r="AL201" s="42"/>
      <c r="AM201" s="42"/>
      <c r="AN201" s="42"/>
      <c r="AO201" s="42"/>
      <c r="AP201" s="42"/>
      <c r="AQ201" s="42"/>
      <c r="AR201" s="42"/>
      <c r="AS201" s="42"/>
      <c r="AT201" s="42"/>
      <c r="AU201" s="42"/>
      <c r="AV201" s="42"/>
      <c r="AW201" s="42"/>
      <c r="AX201" s="42"/>
      <c r="AY201" s="42"/>
      <c r="AZ201" s="42"/>
      <c r="BA201" s="42"/>
      <c r="BB201" s="42"/>
    </row>
    <row r="202" spans="1:54" x14ac:dyDescent="0.25">
      <c r="A202" s="42"/>
      <c r="B202" s="43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42"/>
      <c r="AJ202" s="42"/>
      <c r="AK202" s="42"/>
      <c r="AL202" s="42"/>
      <c r="AM202" s="42"/>
      <c r="AN202" s="42"/>
      <c r="AO202" s="42"/>
      <c r="AP202" s="42"/>
      <c r="AQ202" s="42"/>
      <c r="AR202" s="42"/>
      <c r="AS202" s="42"/>
      <c r="AT202" s="42"/>
      <c r="AU202" s="42"/>
      <c r="AV202" s="42"/>
      <c r="AW202" s="42"/>
      <c r="AX202" s="42"/>
      <c r="AY202" s="42"/>
      <c r="AZ202" s="42"/>
      <c r="BA202" s="42"/>
      <c r="BB202" s="42"/>
    </row>
    <row r="203" spans="1:54" x14ac:dyDescent="0.25">
      <c r="A203" s="42"/>
      <c r="B203" s="43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  <c r="AI203" s="42"/>
      <c r="AJ203" s="42"/>
      <c r="AK203" s="42"/>
      <c r="AL203" s="42"/>
      <c r="AM203" s="42"/>
      <c r="AN203" s="42"/>
      <c r="AO203" s="42"/>
      <c r="AP203" s="42"/>
      <c r="AQ203" s="42"/>
      <c r="AR203" s="42"/>
      <c r="AS203" s="42"/>
      <c r="AT203" s="42"/>
      <c r="AU203" s="42"/>
      <c r="AV203" s="42"/>
      <c r="AW203" s="42"/>
      <c r="AX203" s="42"/>
      <c r="AY203" s="42"/>
      <c r="AZ203" s="42"/>
      <c r="BA203" s="42"/>
      <c r="BB203" s="42"/>
    </row>
    <row r="204" spans="1:54" x14ac:dyDescent="0.25">
      <c r="A204" s="42"/>
      <c r="B204" s="43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  <c r="AI204" s="42"/>
      <c r="AJ204" s="42"/>
      <c r="AK204" s="42"/>
      <c r="AL204" s="42"/>
      <c r="AM204" s="42"/>
      <c r="AN204" s="42"/>
      <c r="AO204" s="42"/>
      <c r="AP204" s="42"/>
      <c r="AQ204" s="42"/>
      <c r="AR204" s="42"/>
      <c r="AS204" s="42"/>
      <c r="AT204" s="42"/>
      <c r="AU204" s="42"/>
      <c r="AV204" s="42"/>
      <c r="AW204" s="42"/>
      <c r="AX204" s="42"/>
      <c r="AY204" s="42"/>
      <c r="AZ204" s="42"/>
      <c r="BA204" s="42"/>
      <c r="BB204" s="42"/>
    </row>
    <row r="205" spans="1:54" x14ac:dyDescent="0.25">
      <c r="A205" s="42"/>
      <c r="B205" s="43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42"/>
      <c r="AJ205" s="42"/>
      <c r="AK205" s="42"/>
      <c r="AL205" s="42"/>
      <c r="AM205" s="42"/>
      <c r="AN205" s="42"/>
      <c r="AO205" s="42"/>
      <c r="AP205" s="42"/>
      <c r="AQ205" s="42"/>
      <c r="AR205" s="42"/>
      <c r="AS205" s="42"/>
      <c r="AT205" s="42"/>
      <c r="AU205" s="42"/>
      <c r="AV205" s="42"/>
      <c r="AW205" s="42"/>
      <c r="AX205" s="42"/>
      <c r="AY205" s="42"/>
      <c r="AZ205" s="42"/>
      <c r="BA205" s="42"/>
      <c r="BB205" s="42"/>
    </row>
    <row r="206" spans="1:54" x14ac:dyDescent="0.25">
      <c r="A206" s="42"/>
      <c r="B206" s="43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42"/>
      <c r="AJ206" s="42"/>
      <c r="AK206" s="42"/>
      <c r="AL206" s="42"/>
      <c r="AM206" s="42"/>
      <c r="AN206" s="42"/>
      <c r="AO206" s="42"/>
      <c r="AP206" s="42"/>
      <c r="AQ206" s="42"/>
      <c r="AR206" s="42"/>
      <c r="AS206" s="42"/>
      <c r="AT206" s="42"/>
      <c r="AU206" s="42"/>
      <c r="AV206" s="42"/>
      <c r="AW206" s="42"/>
      <c r="AX206" s="42"/>
      <c r="AY206" s="42"/>
      <c r="AZ206" s="42"/>
      <c r="BA206" s="42"/>
      <c r="BB206" s="42"/>
    </row>
    <row r="207" spans="1:54" x14ac:dyDescent="0.25">
      <c r="A207" s="42"/>
      <c r="B207" s="43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  <c r="AI207" s="42"/>
      <c r="AJ207" s="42"/>
      <c r="AK207" s="42"/>
      <c r="AL207" s="42"/>
      <c r="AM207" s="42"/>
      <c r="AN207" s="42"/>
      <c r="AO207" s="42"/>
      <c r="AP207" s="42"/>
      <c r="AQ207" s="42"/>
      <c r="AR207" s="42"/>
      <c r="AS207" s="42"/>
      <c r="AT207" s="42"/>
      <c r="AU207" s="42"/>
      <c r="AV207" s="42"/>
      <c r="AW207" s="42"/>
      <c r="AX207" s="42"/>
      <c r="AY207" s="42"/>
      <c r="AZ207" s="42"/>
      <c r="BA207" s="42"/>
      <c r="BB207" s="42"/>
    </row>
    <row r="208" spans="1:54" x14ac:dyDescent="0.25">
      <c r="A208" s="42"/>
      <c r="B208" s="43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  <c r="AI208" s="42"/>
      <c r="AJ208" s="42"/>
      <c r="AK208" s="42"/>
      <c r="AL208" s="42"/>
      <c r="AM208" s="42"/>
      <c r="AN208" s="42"/>
      <c r="AO208" s="42"/>
      <c r="AP208" s="42"/>
      <c r="AQ208" s="42"/>
      <c r="AR208" s="42"/>
      <c r="AS208" s="42"/>
      <c r="AT208" s="42"/>
      <c r="AU208" s="42"/>
      <c r="AV208" s="42"/>
      <c r="AW208" s="42"/>
      <c r="AX208" s="42"/>
      <c r="AY208" s="42"/>
      <c r="AZ208" s="42"/>
      <c r="BA208" s="42"/>
      <c r="BB208" s="42"/>
    </row>
    <row r="209" spans="1:54" x14ac:dyDescent="0.25">
      <c r="A209" s="42"/>
      <c r="B209" s="43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42"/>
      <c r="AJ209" s="42"/>
      <c r="AK209" s="42"/>
      <c r="AL209" s="42"/>
      <c r="AM209" s="42"/>
      <c r="AN209" s="42"/>
      <c r="AO209" s="42"/>
      <c r="AP209" s="42"/>
      <c r="AQ209" s="42"/>
      <c r="AR209" s="42"/>
      <c r="AS209" s="42"/>
      <c r="AT209" s="42"/>
      <c r="AU209" s="42"/>
      <c r="AV209" s="42"/>
      <c r="AW209" s="42"/>
      <c r="AX209" s="42"/>
      <c r="AY209" s="42"/>
      <c r="AZ209" s="42"/>
      <c r="BA209" s="42"/>
      <c r="BB209" s="42"/>
    </row>
    <row r="210" spans="1:54" x14ac:dyDescent="0.25">
      <c r="A210" s="42"/>
      <c r="B210" s="43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42"/>
      <c r="AJ210" s="42"/>
      <c r="AK210" s="42"/>
      <c r="AL210" s="42"/>
      <c r="AM210" s="42"/>
      <c r="AN210" s="42"/>
      <c r="AO210" s="42"/>
      <c r="AP210" s="42"/>
      <c r="AQ210" s="42"/>
      <c r="AR210" s="42"/>
      <c r="AS210" s="42"/>
      <c r="AT210" s="42"/>
      <c r="AU210" s="42"/>
      <c r="AV210" s="42"/>
      <c r="AW210" s="42"/>
      <c r="AX210" s="42"/>
      <c r="AY210" s="42"/>
      <c r="AZ210" s="42"/>
      <c r="BA210" s="42"/>
      <c r="BB210" s="42"/>
    </row>
    <row r="211" spans="1:54" x14ac:dyDescent="0.25">
      <c r="A211" s="42"/>
      <c r="B211" s="43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  <c r="AI211" s="42"/>
      <c r="AJ211" s="42"/>
      <c r="AK211" s="42"/>
      <c r="AL211" s="42"/>
      <c r="AM211" s="42"/>
      <c r="AN211" s="42"/>
      <c r="AO211" s="42"/>
      <c r="AP211" s="42"/>
      <c r="AQ211" s="42"/>
      <c r="AR211" s="42"/>
      <c r="AS211" s="42"/>
      <c r="AT211" s="42"/>
      <c r="AU211" s="42"/>
      <c r="AV211" s="42"/>
      <c r="AW211" s="42"/>
      <c r="AX211" s="42"/>
      <c r="AY211" s="42"/>
      <c r="AZ211" s="42"/>
      <c r="BA211" s="42"/>
      <c r="BB211" s="42"/>
    </row>
    <row r="212" spans="1:54" x14ac:dyDescent="0.25">
      <c r="A212" s="42"/>
      <c r="B212" s="43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42"/>
      <c r="AJ212" s="42"/>
      <c r="AK212" s="42"/>
      <c r="AL212" s="42"/>
      <c r="AM212" s="42"/>
      <c r="AN212" s="42"/>
      <c r="AO212" s="42"/>
      <c r="AP212" s="42"/>
      <c r="AQ212" s="42"/>
      <c r="AR212" s="42"/>
      <c r="AS212" s="42"/>
      <c r="AT212" s="42"/>
      <c r="AU212" s="42"/>
      <c r="AV212" s="42"/>
      <c r="AW212" s="42"/>
      <c r="AX212" s="42"/>
      <c r="AY212" s="42"/>
      <c r="AZ212" s="42"/>
      <c r="BA212" s="42"/>
      <c r="BB212" s="42"/>
    </row>
    <row r="213" spans="1:54" x14ac:dyDescent="0.25">
      <c r="A213" s="42"/>
      <c r="B213" s="43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2"/>
      <c r="AG213" s="42"/>
      <c r="AH213" s="42"/>
      <c r="AI213" s="42"/>
      <c r="AJ213" s="42"/>
      <c r="AK213" s="42"/>
      <c r="AL213" s="42"/>
      <c r="AM213" s="42"/>
      <c r="AN213" s="42"/>
      <c r="AO213" s="42"/>
      <c r="AP213" s="42"/>
      <c r="AQ213" s="42"/>
      <c r="AR213" s="42"/>
      <c r="AS213" s="42"/>
      <c r="AT213" s="42"/>
      <c r="AU213" s="42"/>
      <c r="AV213" s="42"/>
      <c r="AW213" s="42"/>
      <c r="AX213" s="42"/>
      <c r="AY213" s="42"/>
      <c r="AZ213" s="42"/>
      <c r="BA213" s="42"/>
      <c r="BB213" s="42"/>
    </row>
    <row r="214" spans="1:54" x14ac:dyDescent="0.25">
      <c r="A214" s="42"/>
      <c r="B214" s="43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  <c r="AI214" s="42"/>
      <c r="AJ214" s="42"/>
      <c r="AK214" s="42"/>
      <c r="AL214" s="42"/>
      <c r="AM214" s="42"/>
      <c r="AN214" s="42"/>
      <c r="AO214" s="42"/>
      <c r="AP214" s="42"/>
      <c r="AQ214" s="42"/>
      <c r="AR214" s="42"/>
      <c r="AS214" s="42"/>
      <c r="AT214" s="42"/>
      <c r="AU214" s="42"/>
      <c r="AV214" s="42"/>
      <c r="AW214" s="42"/>
      <c r="AX214" s="42"/>
      <c r="AY214" s="42"/>
      <c r="AZ214" s="42"/>
      <c r="BA214" s="42"/>
      <c r="BB214" s="42"/>
    </row>
    <row r="215" spans="1:54" x14ac:dyDescent="0.25">
      <c r="A215" s="42"/>
      <c r="B215" s="43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2"/>
      <c r="AM215" s="42"/>
      <c r="AN215" s="42"/>
      <c r="AO215" s="42"/>
      <c r="AP215" s="42"/>
      <c r="AQ215" s="42"/>
      <c r="AR215" s="42"/>
      <c r="AS215" s="42"/>
      <c r="AT215" s="42"/>
      <c r="AU215" s="42"/>
      <c r="AV215" s="42"/>
      <c r="AW215" s="42"/>
      <c r="AX215" s="42"/>
      <c r="AY215" s="42"/>
      <c r="AZ215" s="42"/>
      <c r="BA215" s="42"/>
      <c r="BB215" s="42"/>
    </row>
    <row r="216" spans="1:54" x14ac:dyDescent="0.25">
      <c r="A216" s="42"/>
      <c r="B216" s="43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  <c r="AI216" s="42"/>
      <c r="AJ216" s="42"/>
      <c r="AK216" s="42"/>
      <c r="AL216" s="42"/>
      <c r="AM216" s="42"/>
      <c r="AN216" s="42"/>
      <c r="AO216" s="42"/>
      <c r="AP216" s="42"/>
      <c r="AQ216" s="42"/>
      <c r="AR216" s="42"/>
      <c r="AS216" s="42"/>
      <c r="AT216" s="42"/>
      <c r="AU216" s="42"/>
      <c r="AV216" s="42"/>
      <c r="AW216" s="42"/>
      <c r="AX216" s="42"/>
      <c r="AY216" s="42"/>
      <c r="AZ216" s="42"/>
      <c r="BA216" s="42"/>
      <c r="BB216" s="42"/>
    </row>
    <row r="217" spans="1:54" x14ac:dyDescent="0.25">
      <c r="A217" s="42"/>
      <c r="B217" s="43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  <c r="AI217" s="42"/>
      <c r="AJ217" s="42"/>
      <c r="AK217" s="42"/>
      <c r="AL217" s="42"/>
      <c r="AM217" s="42"/>
      <c r="AN217" s="42"/>
      <c r="AO217" s="42"/>
      <c r="AP217" s="42"/>
      <c r="AQ217" s="42"/>
      <c r="AR217" s="42"/>
      <c r="AS217" s="42"/>
      <c r="AT217" s="42"/>
      <c r="AU217" s="42"/>
      <c r="AV217" s="42"/>
      <c r="AW217" s="42"/>
      <c r="AX217" s="42"/>
      <c r="AY217" s="42"/>
      <c r="AZ217" s="42"/>
      <c r="BA217" s="42"/>
      <c r="BB217" s="42"/>
    </row>
    <row r="218" spans="1:54" x14ac:dyDescent="0.25">
      <c r="A218" s="42"/>
      <c r="B218" s="43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2"/>
      <c r="AM218" s="42"/>
      <c r="AN218" s="42"/>
      <c r="AO218" s="42"/>
      <c r="AP218" s="42"/>
      <c r="AQ218" s="42"/>
      <c r="AR218" s="42"/>
      <c r="AS218" s="42"/>
      <c r="AT218" s="42"/>
      <c r="AU218" s="42"/>
      <c r="AV218" s="42"/>
      <c r="AW218" s="42"/>
      <c r="AX218" s="42"/>
      <c r="AY218" s="42"/>
      <c r="AZ218" s="42"/>
      <c r="BA218" s="42"/>
      <c r="BB218" s="42"/>
    </row>
    <row r="219" spans="1:54" x14ac:dyDescent="0.25">
      <c r="A219" s="42"/>
      <c r="B219" s="43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  <c r="AI219" s="42"/>
      <c r="AJ219" s="42"/>
      <c r="AK219" s="42"/>
      <c r="AL219" s="42"/>
      <c r="AM219" s="42"/>
      <c r="AN219" s="42"/>
      <c r="AO219" s="42"/>
      <c r="AP219" s="42"/>
      <c r="AQ219" s="42"/>
      <c r="AR219" s="42"/>
      <c r="AS219" s="42"/>
      <c r="AT219" s="42"/>
      <c r="AU219" s="42"/>
      <c r="AV219" s="42"/>
      <c r="AW219" s="42"/>
      <c r="AX219" s="42"/>
      <c r="AY219" s="42"/>
      <c r="AZ219" s="42"/>
      <c r="BA219" s="42"/>
      <c r="BB219" s="42"/>
    </row>
    <row r="220" spans="1:54" x14ac:dyDescent="0.25">
      <c r="A220" s="42"/>
      <c r="B220" s="43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  <c r="AI220" s="42"/>
      <c r="AJ220" s="42"/>
      <c r="AK220" s="42"/>
      <c r="AL220" s="42"/>
      <c r="AM220" s="42"/>
      <c r="AN220" s="42"/>
      <c r="AO220" s="42"/>
      <c r="AP220" s="42"/>
      <c r="AQ220" s="42"/>
      <c r="AR220" s="42"/>
      <c r="AS220" s="42"/>
      <c r="AT220" s="42"/>
      <c r="AU220" s="42"/>
      <c r="AV220" s="42"/>
      <c r="AW220" s="42"/>
      <c r="AX220" s="42"/>
      <c r="AY220" s="42"/>
      <c r="AZ220" s="42"/>
      <c r="BA220" s="42"/>
      <c r="BB220" s="42"/>
    </row>
    <row r="221" spans="1:54" x14ac:dyDescent="0.25">
      <c r="A221" s="42"/>
      <c r="B221" s="43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  <c r="AI221" s="42"/>
      <c r="AJ221" s="42"/>
      <c r="AK221" s="42"/>
      <c r="AL221" s="42"/>
      <c r="AM221" s="42"/>
      <c r="AN221" s="42"/>
      <c r="AO221" s="42"/>
      <c r="AP221" s="42"/>
      <c r="AQ221" s="42"/>
      <c r="AR221" s="42"/>
      <c r="AS221" s="42"/>
      <c r="AT221" s="42"/>
      <c r="AU221" s="42"/>
      <c r="AV221" s="42"/>
      <c r="AW221" s="42"/>
      <c r="AX221" s="42"/>
      <c r="AY221" s="42"/>
      <c r="AZ221" s="42"/>
      <c r="BA221" s="42"/>
      <c r="BB221" s="42"/>
    </row>
    <row r="222" spans="1:54" x14ac:dyDescent="0.25">
      <c r="A222" s="42"/>
      <c r="B222" s="43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  <c r="AJ222" s="42"/>
      <c r="AK222" s="42"/>
      <c r="AL222" s="42"/>
      <c r="AM222" s="42"/>
      <c r="AN222" s="42"/>
      <c r="AO222" s="42"/>
      <c r="AP222" s="42"/>
      <c r="AQ222" s="42"/>
      <c r="AR222" s="42"/>
      <c r="AS222" s="42"/>
      <c r="AT222" s="42"/>
      <c r="AU222" s="42"/>
      <c r="AV222" s="42"/>
      <c r="AW222" s="42"/>
      <c r="AX222" s="42"/>
      <c r="AY222" s="42"/>
      <c r="AZ222" s="42"/>
      <c r="BA222" s="42"/>
      <c r="BB222" s="42"/>
    </row>
    <row r="223" spans="1:54" x14ac:dyDescent="0.25">
      <c r="A223" s="42"/>
      <c r="B223" s="43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  <c r="AI223" s="42"/>
      <c r="AJ223" s="42"/>
      <c r="AK223" s="42"/>
      <c r="AL223" s="42"/>
      <c r="AM223" s="42"/>
      <c r="AN223" s="42"/>
      <c r="AO223" s="42"/>
      <c r="AP223" s="42"/>
      <c r="AQ223" s="42"/>
      <c r="AR223" s="42"/>
      <c r="AS223" s="42"/>
      <c r="AT223" s="42"/>
      <c r="AU223" s="42"/>
      <c r="AV223" s="42"/>
      <c r="AW223" s="42"/>
      <c r="AX223" s="42"/>
      <c r="AY223" s="42"/>
      <c r="AZ223" s="42"/>
      <c r="BA223" s="42"/>
      <c r="BB223" s="42"/>
    </row>
    <row r="224" spans="1:54" x14ac:dyDescent="0.25">
      <c r="A224" s="42"/>
      <c r="B224" s="43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  <c r="AJ224" s="42"/>
      <c r="AK224" s="42"/>
      <c r="AL224" s="42"/>
      <c r="AM224" s="42"/>
      <c r="AN224" s="42"/>
      <c r="AO224" s="42"/>
      <c r="AP224" s="42"/>
      <c r="AQ224" s="42"/>
      <c r="AR224" s="42"/>
      <c r="AS224" s="42"/>
      <c r="AT224" s="42"/>
      <c r="AU224" s="42"/>
      <c r="AV224" s="42"/>
      <c r="AW224" s="42"/>
      <c r="AX224" s="42"/>
      <c r="AY224" s="42"/>
      <c r="AZ224" s="42"/>
      <c r="BA224" s="42"/>
      <c r="BB224" s="42"/>
    </row>
    <row r="225" spans="1:54" x14ac:dyDescent="0.25">
      <c r="A225" s="42"/>
      <c r="B225" s="43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  <c r="AI225" s="42"/>
      <c r="AJ225" s="42"/>
      <c r="AK225" s="42"/>
      <c r="AL225" s="42"/>
      <c r="AM225" s="42"/>
      <c r="AN225" s="42"/>
      <c r="AO225" s="42"/>
      <c r="AP225" s="42"/>
      <c r="AQ225" s="42"/>
      <c r="AR225" s="42"/>
      <c r="AS225" s="42"/>
      <c r="AT225" s="42"/>
      <c r="AU225" s="42"/>
      <c r="AV225" s="42"/>
      <c r="AW225" s="42"/>
      <c r="AX225" s="42"/>
      <c r="AY225" s="42"/>
      <c r="AZ225" s="42"/>
      <c r="BA225" s="42"/>
      <c r="BB225" s="42"/>
    </row>
    <row r="226" spans="1:54" x14ac:dyDescent="0.25">
      <c r="A226" s="42"/>
      <c r="B226" s="43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  <c r="AJ226" s="42"/>
      <c r="AK226" s="42"/>
      <c r="AL226" s="42"/>
      <c r="AM226" s="42"/>
      <c r="AN226" s="42"/>
      <c r="AO226" s="42"/>
      <c r="AP226" s="42"/>
      <c r="AQ226" s="42"/>
      <c r="AR226" s="42"/>
      <c r="AS226" s="42"/>
      <c r="AT226" s="42"/>
      <c r="AU226" s="42"/>
      <c r="AV226" s="42"/>
      <c r="AW226" s="42"/>
      <c r="AX226" s="42"/>
      <c r="AY226" s="42"/>
      <c r="AZ226" s="42"/>
      <c r="BA226" s="42"/>
      <c r="BB226" s="42"/>
    </row>
    <row r="227" spans="1:54" x14ac:dyDescent="0.25">
      <c r="A227" s="42"/>
      <c r="B227" s="43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  <c r="AI227" s="42"/>
      <c r="AJ227" s="42"/>
      <c r="AK227" s="42"/>
      <c r="AL227" s="42"/>
      <c r="AM227" s="42"/>
      <c r="AN227" s="42"/>
      <c r="AO227" s="42"/>
      <c r="AP227" s="42"/>
      <c r="AQ227" s="42"/>
      <c r="AR227" s="42"/>
      <c r="AS227" s="42"/>
      <c r="AT227" s="42"/>
      <c r="AU227" s="42"/>
      <c r="AV227" s="42"/>
      <c r="AW227" s="42"/>
      <c r="AX227" s="42"/>
      <c r="AY227" s="42"/>
      <c r="AZ227" s="42"/>
      <c r="BA227" s="42"/>
      <c r="BB227" s="42"/>
    </row>
    <row r="228" spans="1:54" x14ac:dyDescent="0.25">
      <c r="A228" s="42"/>
      <c r="B228" s="43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/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/>
      <c r="BB228" s="42"/>
    </row>
    <row r="229" spans="1:54" x14ac:dyDescent="0.25">
      <c r="A229" s="42"/>
      <c r="B229" s="43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  <c r="AI229" s="42"/>
      <c r="AJ229" s="42"/>
      <c r="AK229" s="42"/>
      <c r="AL229" s="42"/>
      <c r="AM229" s="42"/>
      <c r="AN229" s="42"/>
      <c r="AO229" s="42"/>
      <c r="AP229" s="42"/>
      <c r="AQ229" s="42"/>
      <c r="AR229" s="42"/>
      <c r="AS229" s="42"/>
      <c r="AT229" s="42"/>
      <c r="AU229" s="42"/>
      <c r="AV229" s="42"/>
      <c r="AW229" s="42"/>
      <c r="AX229" s="42"/>
      <c r="AY229" s="42"/>
      <c r="AZ229" s="42"/>
      <c r="BA229" s="42"/>
      <c r="BB229" s="42"/>
    </row>
    <row r="230" spans="1:54" x14ac:dyDescent="0.25">
      <c r="A230" s="42"/>
      <c r="B230" s="43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  <c r="AJ230" s="42"/>
      <c r="AK230" s="42"/>
      <c r="AL230" s="42"/>
      <c r="AM230" s="42"/>
      <c r="AN230" s="42"/>
      <c r="AO230" s="42"/>
      <c r="AP230" s="42"/>
      <c r="AQ230" s="42"/>
      <c r="AR230" s="42"/>
      <c r="AS230" s="42"/>
      <c r="AT230" s="42"/>
      <c r="AU230" s="42"/>
      <c r="AV230" s="42"/>
      <c r="AW230" s="42"/>
      <c r="AX230" s="42"/>
      <c r="AY230" s="42"/>
      <c r="AZ230" s="42"/>
      <c r="BA230" s="42"/>
      <c r="BB230" s="42"/>
    </row>
    <row r="231" spans="1:54" x14ac:dyDescent="0.25">
      <c r="A231" s="42"/>
      <c r="B231" s="43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2"/>
      <c r="AG231" s="42"/>
      <c r="AH231" s="42"/>
      <c r="AI231" s="42"/>
      <c r="AJ231" s="42"/>
      <c r="AK231" s="42"/>
      <c r="AL231" s="42"/>
      <c r="AM231" s="42"/>
      <c r="AN231" s="42"/>
      <c r="AO231" s="42"/>
      <c r="AP231" s="42"/>
      <c r="AQ231" s="42"/>
      <c r="AR231" s="42"/>
      <c r="AS231" s="42"/>
      <c r="AT231" s="42"/>
      <c r="AU231" s="42"/>
      <c r="AV231" s="42"/>
      <c r="AW231" s="42"/>
      <c r="AX231" s="42"/>
      <c r="AY231" s="42"/>
      <c r="AZ231" s="42"/>
      <c r="BA231" s="42"/>
      <c r="BB231" s="42"/>
    </row>
    <row r="232" spans="1:54" x14ac:dyDescent="0.25">
      <c r="A232" s="42"/>
      <c r="B232" s="43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  <c r="AJ232" s="42"/>
      <c r="AK232" s="42"/>
      <c r="AL232" s="42"/>
      <c r="AM232" s="42"/>
      <c r="AN232" s="42"/>
      <c r="AO232" s="42"/>
      <c r="AP232" s="42"/>
      <c r="AQ232" s="42"/>
      <c r="AR232" s="42"/>
      <c r="AS232" s="42"/>
      <c r="AT232" s="42"/>
      <c r="AU232" s="42"/>
      <c r="AV232" s="42"/>
      <c r="AW232" s="42"/>
      <c r="AX232" s="42"/>
      <c r="AY232" s="42"/>
      <c r="AZ232" s="42"/>
      <c r="BA232" s="42"/>
      <c r="BB232" s="42"/>
    </row>
    <row r="233" spans="1:54" x14ac:dyDescent="0.25">
      <c r="A233" s="42"/>
      <c r="B233" s="43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/>
      <c r="AN233" s="42"/>
      <c r="AO233" s="42"/>
      <c r="AP233" s="42"/>
      <c r="AQ233" s="42"/>
      <c r="AR233" s="42"/>
      <c r="AS233" s="42"/>
      <c r="AT233" s="42"/>
      <c r="AU233" s="42"/>
      <c r="AV233" s="42"/>
      <c r="AW233" s="42"/>
      <c r="AX233" s="42"/>
      <c r="AY233" s="42"/>
      <c r="AZ233" s="42"/>
      <c r="BA233" s="42"/>
      <c r="BB233" s="42"/>
    </row>
    <row r="234" spans="1:54" x14ac:dyDescent="0.25">
      <c r="A234" s="42"/>
      <c r="B234" s="43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  <c r="AM234" s="42"/>
      <c r="AN234" s="42"/>
      <c r="AO234" s="42"/>
      <c r="AP234" s="42"/>
      <c r="AQ234" s="42"/>
      <c r="AR234" s="42"/>
      <c r="AS234" s="42"/>
      <c r="AT234" s="42"/>
      <c r="AU234" s="42"/>
      <c r="AV234" s="42"/>
      <c r="AW234" s="42"/>
      <c r="AX234" s="42"/>
      <c r="AY234" s="42"/>
      <c r="AZ234" s="42"/>
      <c r="BA234" s="42"/>
      <c r="BB234" s="42"/>
    </row>
    <row r="235" spans="1:54" x14ac:dyDescent="0.25">
      <c r="A235" s="42"/>
      <c r="B235" s="43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2"/>
      <c r="AG235" s="42"/>
      <c r="AH235" s="42"/>
      <c r="AI235" s="42"/>
      <c r="AJ235" s="42"/>
      <c r="AK235" s="42"/>
      <c r="AL235" s="42"/>
      <c r="AM235" s="42"/>
      <c r="AN235" s="42"/>
      <c r="AO235" s="42"/>
      <c r="AP235" s="42"/>
      <c r="AQ235" s="42"/>
      <c r="AR235" s="42"/>
      <c r="AS235" s="42"/>
      <c r="AT235" s="42"/>
      <c r="AU235" s="42"/>
      <c r="AV235" s="42"/>
      <c r="AW235" s="42"/>
      <c r="AX235" s="42"/>
      <c r="AY235" s="42"/>
      <c r="AZ235" s="42"/>
      <c r="BA235" s="42"/>
      <c r="BB235" s="42"/>
    </row>
    <row r="236" spans="1:54" x14ac:dyDescent="0.25">
      <c r="A236" s="42"/>
      <c r="B236" s="43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  <c r="AM236" s="42"/>
      <c r="AN236" s="42"/>
      <c r="AO236" s="42"/>
      <c r="AP236" s="42"/>
      <c r="AQ236" s="42"/>
      <c r="AR236" s="42"/>
      <c r="AS236" s="42"/>
      <c r="AT236" s="42"/>
      <c r="AU236" s="42"/>
      <c r="AV236" s="42"/>
      <c r="AW236" s="42"/>
      <c r="AX236" s="42"/>
      <c r="AY236" s="42"/>
      <c r="AZ236" s="42"/>
      <c r="BA236" s="42"/>
      <c r="BB236" s="42"/>
    </row>
    <row r="237" spans="1:54" x14ac:dyDescent="0.25">
      <c r="A237" s="42"/>
      <c r="B237" s="43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  <c r="AF237" s="42"/>
      <c r="AG237" s="42"/>
      <c r="AH237" s="42"/>
      <c r="AI237" s="42"/>
      <c r="AJ237" s="42"/>
      <c r="AK237" s="42"/>
      <c r="AL237" s="42"/>
      <c r="AM237" s="42"/>
      <c r="AN237" s="42"/>
      <c r="AO237" s="42"/>
      <c r="AP237" s="42"/>
      <c r="AQ237" s="42"/>
      <c r="AR237" s="42"/>
      <c r="AS237" s="42"/>
      <c r="AT237" s="42"/>
      <c r="AU237" s="42"/>
      <c r="AV237" s="42"/>
      <c r="AW237" s="42"/>
      <c r="AX237" s="42"/>
      <c r="AY237" s="42"/>
      <c r="AZ237" s="42"/>
      <c r="BA237" s="42"/>
      <c r="BB237" s="42"/>
    </row>
    <row r="238" spans="1:54" x14ac:dyDescent="0.25">
      <c r="A238" s="42"/>
      <c r="B238" s="43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2"/>
      <c r="AG238" s="42"/>
      <c r="AH238" s="42"/>
      <c r="AI238" s="42"/>
      <c r="AJ238" s="42"/>
      <c r="AK238" s="42"/>
      <c r="AL238" s="42"/>
      <c r="AM238" s="42"/>
      <c r="AN238" s="42"/>
      <c r="AO238" s="42"/>
      <c r="AP238" s="42"/>
      <c r="AQ238" s="42"/>
      <c r="AR238" s="42"/>
      <c r="AS238" s="42"/>
      <c r="AT238" s="42"/>
      <c r="AU238" s="42"/>
      <c r="AV238" s="42"/>
      <c r="AW238" s="42"/>
      <c r="AX238" s="42"/>
      <c r="AY238" s="42"/>
      <c r="AZ238" s="42"/>
      <c r="BA238" s="42"/>
      <c r="BB238" s="42"/>
    </row>
    <row r="239" spans="1:54" x14ac:dyDescent="0.25">
      <c r="A239" s="42"/>
      <c r="B239" s="43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2"/>
      <c r="AG239" s="42"/>
      <c r="AH239" s="42"/>
      <c r="AI239" s="42"/>
      <c r="AJ239" s="42"/>
      <c r="AK239" s="42"/>
      <c r="AL239" s="42"/>
      <c r="AM239" s="42"/>
      <c r="AN239" s="42"/>
      <c r="AO239" s="42"/>
      <c r="AP239" s="42"/>
      <c r="AQ239" s="42"/>
      <c r="AR239" s="42"/>
      <c r="AS239" s="42"/>
      <c r="AT239" s="42"/>
      <c r="AU239" s="42"/>
      <c r="AV239" s="42"/>
      <c r="AW239" s="42"/>
      <c r="AX239" s="42"/>
      <c r="AY239" s="42"/>
      <c r="AZ239" s="42"/>
      <c r="BA239" s="42"/>
      <c r="BB239" s="42"/>
    </row>
    <row r="240" spans="1:54" x14ac:dyDescent="0.25">
      <c r="A240" s="42"/>
      <c r="B240" s="43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  <c r="AI240" s="42"/>
      <c r="AJ240" s="42"/>
      <c r="AK240" s="42"/>
      <c r="AL240" s="42"/>
      <c r="AM240" s="42"/>
      <c r="AN240" s="42"/>
      <c r="AO240" s="42"/>
      <c r="AP240" s="42"/>
      <c r="AQ240" s="42"/>
      <c r="AR240" s="42"/>
      <c r="AS240" s="42"/>
      <c r="AT240" s="42"/>
      <c r="AU240" s="42"/>
      <c r="AV240" s="42"/>
      <c r="AW240" s="42"/>
      <c r="AX240" s="42"/>
      <c r="AY240" s="42"/>
      <c r="AZ240" s="42"/>
      <c r="BA240" s="42"/>
      <c r="BB240" s="42"/>
    </row>
    <row r="241" spans="1:54" x14ac:dyDescent="0.25">
      <c r="A241" s="42"/>
      <c r="B241" s="43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  <c r="AI241" s="42"/>
      <c r="AJ241" s="42"/>
      <c r="AK241" s="42"/>
      <c r="AL241" s="42"/>
      <c r="AM241" s="42"/>
      <c r="AN241" s="42"/>
      <c r="AO241" s="42"/>
      <c r="AP241" s="42"/>
      <c r="AQ241" s="42"/>
      <c r="AR241" s="42"/>
      <c r="AS241" s="42"/>
      <c r="AT241" s="42"/>
      <c r="AU241" s="42"/>
      <c r="AV241" s="42"/>
      <c r="AW241" s="42"/>
      <c r="AX241" s="42"/>
      <c r="AY241" s="42"/>
      <c r="AZ241" s="42"/>
      <c r="BA241" s="42"/>
      <c r="BB241" s="42"/>
    </row>
    <row r="242" spans="1:54" x14ac:dyDescent="0.25">
      <c r="A242" s="42"/>
      <c r="B242" s="43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  <c r="AI242" s="42"/>
      <c r="AJ242" s="42"/>
      <c r="AK242" s="42"/>
      <c r="AL242" s="42"/>
      <c r="AM242" s="42"/>
      <c r="AN242" s="42"/>
      <c r="AO242" s="42"/>
      <c r="AP242" s="42"/>
      <c r="AQ242" s="42"/>
      <c r="AR242" s="42"/>
      <c r="AS242" s="42"/>
      <c r="AT242" s="42"/>
      <c r="AU242" s="42"/>
      <c r="AV242" s="42"/>
      <c r="AW242" s="42"/>
      <c r="AX242" s="42"/>
      <c r="AY242" s="42"/>
      <c r="AZ242" s="42"/>
      <c r="BA242" s="42"/>
      <c r="BB242" s="42"/>
    </row>
    <row r="243" spans="1:54" x14ac:dyDescent="0.25">
      <c r="A243" s="42"/>
      <c r="B243" s="43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  <c r="AF243" s="42"/>
      <c r="AG243" s="42"/>
      <c r="AH243" s="42"/>
      <c r="AI243" s="42"/>
      <c r="AJ243" s="42"/>
      <c r="AK243" s="42"/>
      <c r="AL243" s="42"/>
      <c r="AM243" s="42"/>
      <c r="AN243" s="42"/>
      <c r="AO243" s="42"/>
      <c r="AP243" s="42"/>
      <c r="AQ243" s="42"/>
      <c r="AR243" s="42"/>
      <c r="AS243" s="42"/>
      <c r="AT243" s="42"/>
      <c r="AU243" s="42"/>
      <c r="AV243" s="42"/>
      <c r="AW243" s="42"/>
      <c r="AX243" s="42"/>
      <c r="AY243" s="42"/>
      <c r="AZ243" s="42"/>
      <c r="BA243" s="42"/>
      <c r="BB243" s="42"/>
    </row>
    <row r="244" spans="1:54" x14ac:dyDescent="0.25">
      <c r="A244" s="42"/>
      <c r="B244" s="43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  <c r="AI244" s="42"/>
      <c r="AJ244" s="42"/>
      <c r="AK244" s="42"/>
      <c r="AL244" s="42"/>
      <c r="AM244" s="42"/>
      <c r="AN244" s="42"/>
      <c r="AO244" s="42"/>
      <c r="AP244" s="42"/>
      <c r="AQ244" s="42"/>
      <c r="AR244" s="42"/>
      <c r="AS244" s="42"/>
      <c r="AT244" s="42"/>
      <c r="AU244" s="42"/>
      <c r="AV244" s="42"/>
      <c r="AW244" s="42"/>
      <c r="AX244" s="42"/>
      <c r="AY244" s="42"/>
      <c r="AZ244" s="42"/>
      <c r="BA244" s="42"/>
      <c r="BB244" s="42"/>
    </row>
    <row r="245" spans="1:54" x14ac:dyDescent="0.25">
      <c r="A245" s="42"/>
      <c r="B245" s="43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  <c r="AI245" s="42"/>
      <c r="AJ245" s="42"/>
      <c r="AK245" s="42"/>
      <c r="AL245" s="42"/>
      <c r="AM245" s="42"/>
      <c r="AN245" s="42"/>
      <c r="AO245" s="42"/>
      <c r="AP245" s="42"/>
      <c r="AQ245" s="42"/>
      <c r="AR245" s="42"/>
      <c r="AS245" s="42"/>
      <c r="AT245" s="42"/>
      <c r="AU245" s="42"/>
      <c r="AV245" s="42"/>
      <c r="AW245" s="42"/>
      <c r="AX245" s="42"/>
      <c r="AY245" s="42"/>
      <c r="AZ245" s="42"/>
      <c r="BA245" s="42"/>
      <c r="BB245" s="42"/>
    </row>
    <row r="246" spans="1:54" x14ac:dyDescent="0.25">
      <c r="A246" s="42"/>
      <c r="B246" s="43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  <c r="AG246" s="42"/>
      <c r="AH246" s="42"/>
      <c r="AI246" s="42"/>
      <c r="AJ246" s="42"/>
      <c r="AK246" s="42"/>
      <c r="AL246" s="42"/>
      <c r="AM246" s="42"/>
      <c r="AN246" s="42"/>
      <c r="AO246" s="42"/>
      <c r="AP246" s="42"/>
      <c r="AQ246" s="42"/>
      <c r="AR246" s="42"/>
      <c r="AS246" s="42"/>
      <c r="AT246" s="42"/>
      <c r="AU246" s="42"/>
      <c r="AV246" s="42"/>
      <c r="AW246" s="42"/>
      <c r="AX246" s="42"/>
      <c r="AY246" s="42"/>
      <c r="AZ246" s="42"/>
      <c r="BA246" s="42"/>
      <c r="BB246" s="42"/>
    </row>
    <row r="247" spans="1:54" x14ac:dyDescent="0.25">
      <c r="A247" s="42"/>
      <c r="B247" s="43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  <c r="AC247" s="42"/>
      <c r="AD247" s="42"/>
      <c r="AE247" s="42"/>
      <c r="AF247" s="42"/>
      <c r="AG247" s="42"/>
      <c r="AH247" s="42"/>
      <c r="AI247" s="42"/>
      <c r="AJ247" s="42"/>
      <c r="AK247" s="42"/>
      <c r="AL247" s="42"/>
      <c r="AM247" s="42"/>
      <c r="AN247" s="42"/>
      <c r="AO247" s="42"/>
      <c r="AP247" s="42"/>
      <c r="AQ247" s="42"/>
      <c r="AR247" s="42"/>
      <c r="AS247" s="42"/>
      <c r="AT247" s="42"/>
      <c r="AU247" s="42"/>
      <c r="AV247" s="42"/>
      <c r="AW247" s="42"/>
      <c r="AX247" s="42"/>
      <c r="AY247" s="42"/>
      <c r="AZ247" s="42"/>
      <c r="BA247" s="42"/>
      <c r="BB247" s="42"/>
    </row>
    <row r="248" spans="1:54" x14ac:dyDescent="0.25">
      <c r="A248" s="42"/>
      <c r="B248" s="43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2"/>
      <c r="AG248" s="42"/>
      <c r="AH248" s="42"/>
      <c r="AI248" s="42"/>
      <c r="AJ248" s="42"/>
      <c r="AK248" s="42"/>
      <c r="AL248" s="42"/>
      <c r="AM248" s="42"/>
      <c r="AN248" s="42"/>
      <c r="AO248" s="42"/>
      <c r="AP248" s="42"/>
      <c r="AQ248" s="42"/>
      <c r="AR248" s="42"/>
      <c r="AS248" s="42"/>
      <c r="AT248" s="42"/>
      <c r="AU248" s="42"/>
      <c r="AV248" s="42"/>
      <c r="AW248" s="42"/>
      <c r="AX248" s="42"/>
      <c r="AY248" s="42"/>
      <c r="AZ248" s="42"/>
      <c r="BA248" s="42"/>
      <c r="BB248" s="42"/>
    </row>
    <row r="249" spans="1:54" x14ac:dyDescent="0.25">
      <c r="A249" s="42"/>
      <c r="B249" s="43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  <c r="AC249" s="42"/>
      <c r="AD249" s="42"/>
      <c r="AE249" s="42"/>
      <c r="AF249" s="42"/>
      <c r="AG249" s="42"/>
      <c r="AH249" s="42"/>
      <c r="AI249" s="42"/>
      <c r="AJ249" s="42"/>
      <c r="AK249" s="42"/>
      <c r="AL249" s="42"/>
      <c r="AM249" s="42"/>
      <c r="AN249" s="42"/>
      <c r="AO249" s="42"/>
      <c r="AP249" s="42"/>
      <c r="AQ249" s="42"/>
      <c r="AR249" s="42"/>
      <c r="AS249" s="42"/>
      <c r="AT249" s="42"/>
      <c r="AU249" s="42"/>
      <c r="AV249" s="42"/>
      <c r="AW249" s="42"/>
      <c r="AX249" s="42"/>
      <c r="AY249" s="42"/>
      <c r="AZ249" s="42"/>
      <c r="BA249" s="42"/>
      <c r="BB249" s="42"/>
    </row>
    <row r="250" spans="1:54" x14ac:dyDescent="0.25">
      <c r="A250" s="42"/>
      <c r="B250" s="43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2"/>
      <c r="AG250" s="42"/>
      <c r="AH250" s="42"/>
      <c r="AI250" s="42"/>
      <c r="AJ250" s="42"/>
      <c r="AK250" s="42"/>
      <c r="AL250" s="42"/>
      <c r="AM250" s="42"/>
      <c r="AN250" s="42"/>
      <c r="AO250" s="42"/>
      <c r="AP250" s="42"/>
      <c r="AQ250" s="42"/>
      <c r="AR250" s="42"/>
      <c r="AS250" s="42"/>
      <c r="AT250" s="42"/>
      <c r="AU250" s="42"/>
      <c r="AV250" s="42"/>
      <c r="AW250" s="42"/>
      <c r="AX250" s="42"/>
      <c r="AY250" s="42"/>
      <c r="AZ250" s="42"/>
      <c r="BA250" s="42"/>
      <c r="BB250" s="42"/>
    </row>
    <row r="251" spans="1:54" x14ac:dyDescent="0.25">
      <c r="A251" s="42"/>
      <c r="B251" s="43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  <c r="AF251" s="42"/>
      <c r="AG251" s="42"/>
      <c r="AH251" s="42"/>
      <c r="AI251" s="42"/>
      <c r="AJ251" s="42"/>
      <c r="AK251" s="42"/>
      <c r="AL251" s="42"/>
      <c r="AM251" s="42"/>
      <c r="AN251" s="42"/>
      <c r="AO251" s="42"/>
      <c r="AP251" s="42"/>
      <c r="AQ251" s="42"/>
      <c r="AR251" s="42"/>
      <c r="AS251" s="42"/>
      <c r="AT251" s="42"/>
      <c r="AU251" s="42"/>
      <c r="AV251" s="42"/>
      <c r="AW251" s="42"/>
      <c r="AX251" s="42"/>
      <c r="AY251" s="42"/>
      <c r="AZ251" s="42"/>
      <c r="BA251" s="42"/>
      <c r="BB251" s="42"/>
    </row>
    <row r="252" spans="1:54" x14ac:dyDescent="0.25">
      <c r="A252" s="42"/>
      <c r="B252" s="43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2"/>
      <c r="AG252" s="42"/>
      <c r="AH252" s="42"/>
      <c r="AI252" s="42"/>
      <c r="AJ252" s="42"/>
      <c r="AK252" s="42"/>
      <c r="AL252" s="42"/>
      <c r="AM252" s="42"/>
      <c r="AN252" s="42"/>
      <c r="AO252" s="42"/>
      <c r="AP252" s="42"/>
      <c r="AQ252" s="42"/>
      <c r="AR252" s="42"/>
      <c r="AS252" s="42"/>
      <c r="AT252" s="42"/>
      <c r="AU252" s="42"/>
      <c r="AV252" s="42"/>
      <c r="AW252" s="42"/>
      <c r="AX252" s="42"/>
      <c r="AY252" s="42"/>
      <c r="AZ252" s="42"/>
      <c r="BA252" s="42"/>
      <c r="BB252" s="42"/>
    </row>
    <row r="253" spans="1:54" x14ac:dyDescent="0.25">
      <c r="A253" s="42"/>
      <c r="B253" s="43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2"/>
      <c r="AM253" s="42"/>
      <c r="AN253" s="42"/>
      <c r="AO253" s="42"/>
      <c r="AP253" s="42"/>
      <c r="AQ253" s="42"/>
      <c r="AR253" s="42"/>
      <c r="AS253" s="42"/>
      <c r="AT253" s="42"/>
      <c r="AU253" s="42"/>
      <c r="AV253" s="42"/>
      <c r="AW253" s="42"/>
      <c r="AX253" s="42"/>
      <c r="AY253" s="42"/>
      <c r="AZ253" s="42"/>
      <c r="BA253" s="42"/>
      <c r="BB253" s="42"/>
    </row>
    <row r="254" spans="1:54" x14ac:dyDescent="0.25">
      <c r="A254" s="42"/>
      <c r="B254" s="43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  <c r="AF254" s="42"/>
      <c r="AG254" s="42"/>
      <c r="AH254" s="42"/>
      <c r="AI254" s="42"/>
      <c r="AJ254" s="42"/>
      <c r="AK254" s="42"/>
      <c r="AL254" s="42"/>
      <c r="AM254" s="42"/>
      <c r="AN254" s="42"/>
      <c r="AO254" s="42"/>
      <c r="AP254" s="42"/>
      <c r="AQ254" s="42"/>
      <c r="AR254" s="42"/>
      <c r="AS254" s="42"/>
      <c r="AT254" s="42"/>
      <c r="AU254" s="42"/>
      <c r="AV254" s="42"/>
      <c r="AW254" s="42"/>
      <c r="AX254" s="42"/>
      <c r="AY254" s="42"/>
      <c r="AZ254" s="42"/>
      <c r="BA254" s="42"/>
      <c r="BB254" s="42"/>
    </row>
    <row r="255" spans="1:54" x14ac:dyDescent="0.25">
      <c r="A255" s="42"/>
      <c r="B255" s="43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  <c r="AC255" s="42"/>
      <c r="AD255" s="42"/>
      <c r="AE255" s="42"/>
      <c r="AF255" s="42"/>
      <c r="AG255" s="42"/>
      <c r="AH255" s="42"/>
      <c r="AI255" s="42"/>
      <c r="AJ255" s="42"/>
      <c r="AK255" s="42"/>
      <c r="AL255" s="42"/>
      <c r="AM255" s="42"/>
      <c r="AN255" s="42"/>
      <c r="AO255" s="42"/>
      <c r="AP255" s="42"/>
      <c r="AQ255" s="42"/>
      <c r="AR255" s="42"/>
      <c r="AS255" s="42"/>
      <c r="AT255" s="42"/>
      <c r="AU255" s="42"/>
      <c r="AV255" s="42"/>
      <c r="AW255" s="42"/>
      <c r="AX255" s="42"/>
      <c r="AY255" s="42"/>
      <c r="AZ255" s="42"/>
      <c r="BA255" s="42"/>
      <c r="BB255" s="42"/>
    </row>
    <row r="256" spans="1:54" x14ac:dyDescent="0.25">
      <c r="A256" s="42"/>
      <c r="B256" s="43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/>
      <c r="AN256" s="42"/>
      <c r="AO256" s="42"/>
      <c r="AP256" s="42"/>
      <c r="AQ256" s="42"/>
      <c r="AR256" s="42"/>
      <c r="AS256" s="42"/>
      <c r="AT256" s="42"/>
      <c r="AU256" s="42"/>
      <c r="AV256" s="42"/>
      <c r="AW256" s="42"/>
      <c r="AX256" s="42"/>
      <c r="AY256" s="42"/>
      <c r="AZ256" s="42"/>
      <c r="BA256" s="42"/>
      <c r="BB256" s="42"/>
    </row>
    <row r="257" spans="1:54" x14ac:dyDescent="0.25">
      <c r="A257" s="42"/>
      <c r="B257" s="43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2"/>
      <c r="AG257" s="42"/>
      <c r="AH257" s="42"/>
      <c r="AI257" s="42"/>
      <c r="AJ257" s="42"/>
      <c r="AK257" s="42"/>
      <c r="AL257" s="42"/>
      <c r="AM257" s="42"/>
      <c r="AN257" s="42"/>
      <c r="AO257" s="42"/>
      <c r="AP257" s="42"/>
      <c r="AQ257" s="42"/>
      <c r="AR257" s="42"/>
      <c r="AS257" s="42"/>
      <c r="AT257" s="42"/>
      <c r="AU257" s="42"/>
      <c r="AV257" s="42"/>
      <c r="AW257" s="42"/>
      <c r="AX257" s="42"/>
      <c r="AY257" s="42"/>
      <c r="AZ257" s="42"/>
      <c r="BA257" s="42"/>
      <c r="BB257" s="42"/>
    </row>
    <row r="258" spans="1:54" x14ac:dyDescent="0.25">
      <c r="A258" s="42"/>
      <c r="B258" s="43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2"/>
      <c r="AG258" s="42"/>
      <c r="AH258" s="42"/>
      <c r="AI258" s="42"/>
      <c r="AJ258" s="42"/>
      <c r="AK258" s="42"/>
      <c r="AL258" s="42"/>
      <c r="AM258" s="42"/>
      <c r="AN258" s="42"/>
      <c r="AO258" s="42"/>
      <c r="AP258" s="42"/>
      <c r="AQ258" s="42"/>
      <c r="AR258" s="42"/>
      <c r="AS258" s="42"/>
      <c r="AT258" s="42"/>
      <c r="AU258" s="42"/>
      <c r="AV258" s="42"/>
      <c r="AW258" s="42"/>
      <c r="AX258" s="42"/>
      <c r="AY258" s="42"/>
      <c r="AZ258" s="42"/>
      <c r="BA258" s="42"/>
      <c r="BB258" s="42"/>
    </row>
    <row r="259" spans="1:54" x14ac:dyDescent="0.25">
      <c r="A259" s="42"/>
      <c r="B259" s="43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2"/>
      <c r="AG259" s="42"/>
      <c r="AH259" s="42"/>
      <c r="AI259" s="42"/>
      <c r="AJ259" s="42"/>
      <c r="AK259" s="42"/>
      <c r="AL259" s="42"/>
      <c r="AM259" s="42"/>
      <c r="AN259" s="42"/>
      <c r="AO259" s="42"/>
      <c r="AP259" s="42"/>
      <c r="AQ259" s="42"/>
      <c r="AR259" s="42"/>
      <c r="AS259" s="42"/>
      <c r="AT259" s="42"/>
      <c r="AU259" s="42"/>
      <c r="AV259" s="42"/>
      <c r="AW259" s="42"/>
      <c r="AX259" s="42"/>
      <c r="AY259" s="42"/>
      <c r="AZ259" s="42"/>
      <c r="BA259" s="42"/>
      <c r="BB259" s="42"/>
    </row>
    <row r="260" spans="1:54" x14ac:dyDescent="0.25">
      <c r="A260" s="42"/>
      <c r="B260" s="43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  <c r="AM260" s="42"/>
      <c r="AN260" s="42"/>
      <c r="AO260" s="42"/>
      <c r="AP260" s="42"/>
      <c r="AQ260" s="42"/>
      <c r="AR260" s="42"/>
      <c r="AS260" s="42"/>
      <c r="AT260" s="42"/>
      <c r="AU260" s="42"/>
      <c r="AV260" s="42"/>
      <c r="AW260" s="42"/>
      <c r="AX260" s="42"/>
      <c r="AY260" s="42"/>
      <c r="AZ260" s="42"/>
      <c r="BA260" s="42"/>
      <c r="BB260" s="42"/>
    </row>
    <row r="261" spans="1:54" x14ac:dyDescent="0.25">
      <c r="A261" s="42"/>
      <c r="B261" s="43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2"/>
      <c r="AG261" s="42"/>
      <c r="AH261" s="42"/>
      <c r="AI261" s="42"/>
      <c r="AJ261" s="42"/>
      <c r="AK261" s="42"/>
      <c r="AL261" s="42"/>
      <c r="AM261" s="42"/>
      <c r="AN261" s="42"/>
      <c r="AO261" s="42"/>
      <c r="AP261" s="42"/>
      <c r="AQ261" s="42"/>
      <c r="AR261" s="42"/>
      <c r="AS261" s="42"/>
      <c r="AT261" s="42"/>
      <c r="AU261" s="42"/>
      <c r="AV261" s="42"/>
      <c r="AW261" s="42"/>
      <c r="AX261" s="42"/>
      <c r="AY261" s="42"/>
      <c r="AZ261" s="42"/>
      <c r="BA261" s="42"/>
      <c r="BB261" s="42"/>
    </row>
    <row r="262" spans="1:54" x14ac:dyDescent="0.25">
      <c r="A262" s="42"/>
      <c r="B262" s="43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2"/>
      <c r="AG262" s="42"/>
      <c r="AH262" s="42"/>
      <c r="AI262" s="42"/>
      <c r="AJ262" s="42"/>
      <c r="AK262" s="42"/>
      <c r="AL262" s="42"/>
      <c r="AM262" s="42"/>
      <c r="AN262" s="42"/>
      <c r="AO262" s="42"/>
      <c r="AP262" s="42"/>
      <c r="AQ262" s="42"/>
      <c r="AR262" s="42"/>
      <c r="AS262" s="42"/>
      <c r="AT262" s="42"/>
      <c r="AU262" s="42"/>
      <c r="AV262" s="42"/>
      <c r="AW262" s="42"/>
      <c r="AX262" s="42"/>
      <c r="AY262" s="42"/>
      <c r="AZ262" s="42"/>
      <c r="BA262" s="42"/>
      <c r="BB262" s="42"/>
    </row>
    <row r="263" spans="1:54" x14ac:dyDescent="0.25">
      <c r="A263" s="42"/>
      <c r="B263" s="43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  <c r="AF263" s="42"/>
      <c r="AG263" s="42"/>
      <c r="AH263" s="42"/>
      <c r="AI263" s="42"/>
      <c r="AJ263" s="42"/>
      <c r="AK263" s="42"/>
      <c r="AL263" s="42"/>
      <c r="AM263" s="42"/>
      <c r="AN263" s="42"/>
      <c r="AO263" s="42"/>
      <c r="AP263" s="42"/>
      <c r="AQ263" s="42"/>
      <c r="AR263" s="42"/>
      <c r="AS263" s="42"/>
      <c r="AT263" s="42"/>
      <c r="AU263" s="42"/>
      <c r="AV263" s="42"/>
      <c r="AW263" s="42"/>
      <c r="AX263" s="42"/>
      <c r="AY263" s="42"/>
      <c r="AZ263" s="42"/>
      <c r="BA263" s="42"/>
      <c r="BB263" s="42"/>
    </row>
    <row r="264" spans="1:54" x14ac:dyDescent="0.25">
      <c r="A264" s="42"/>
      <c r="B264" s="43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2"/>
      <c r="AG264" s="42"/>
      <c r="AH264" s="42"/>
      <c r="AI264" s="42"/>
      <c r="AJ264" s="42"/>
      <c r="AK264" s="42"/>
      <c r="AL264" s="42"/>
      <c r="AM264" s="42"/>
      <c r="AN264" s="42"/>
      <c r="AO264" s="42"/>
      <c r="AP264" s="42"/>
      <c r="AQ264" s="42"/>
      <c r="AR264" s="42"/>
      <c r="AS264" s="42"/>
      <c r="AT264" s="42"/>
      <c r="AU264" s="42"/>
      <c r="AV264" s="42"/>
      <c r="AW264" s="42"/>
      <c r="AX264" s="42"/>
      <c r="AY264" s="42"/>
      <c r="AZ264" s="42"/>
      <c r="BA264" s="42"/>
      <c r="BB264" s="42"/>
    </row>
    <row r="265" spans="1:54" x14ac:dyDescent="0.25">
      <c r="A265" s="42"/>
      <c r="B265" s="43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42"/>
      <c r="AG265" s="42"/>
      <c r="AH265" s="42"/>
      <c r="AI265" s="42"/>
      <c r="AJ265" s="42"/>
      <c r="AK265" s="42"/>
      <c r="AL265" s="42"/>
      <c r="AM265" s="42"/>
      <c r="AN265" s="42"/>
      <c r="AO265" s="42"/>
      <c r="AP265" s="42"/>
      <c r="AQ265" s="42"/>
      <c r="AR265" s="42"/>
      <c r="AS265" s="42"/>
      <c r="AT265" s="42"/>
      <c r="AU265" s="42"/>
      <c r="AV265" s="42"/>
      <c r="AW265" s="42"/>
      <c r="AX265" s="42"/>
      <c r="AY265" s="42"/>
      <c r="AZ265" s="42"/>
      <c r="BA265" s="42"/>
      <c r="BB265" s="42"/>
    </row>
    <row r="266" spans="1:54" x14ac:dyDescent="0.25">
      <c r="A266" s="42"/>
      <c r="B266" s="43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2"/>
      <c r="AG266" s="42"/>
      <c r="AH266" s="42"/>
      <c r="AI266" s="42"/>
      <c r="AJ266" s="42"/>
      <c r="AK266" s="42"/>
      <c r="AL266" s="42"/>
      <c r="AM266" s="42"/>
      <c r="AN266" s="42"/>
      <c r="AO266" s="42"/>
      <c r="AP266" s="42"/>
      <c r="AQ266" s="42"/>
      <c r="AR266" s="42"/>
      <c r="AS266" s="42"/>
      <c r="AT266" s="42"/>
      <c r="AU266" s="42"/>
      <c r="AV266" s="42"/>
      <c r="AW266" s="42"/>
      <c r="AX266" s="42"/>
      <c r="AY266" s="42"/>
      <c r="AZ266" s="42"/>
      <c r="BA266" s="42"/>
      <c r="BB266" s="42"/>
    </row>
    <row r="267" spans="1:54" x14ac:dyDescent="0.25">
      <c r="A267" s="42"/>
      <c r="B267" s="43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  <c r="AF267" s="42"/>
      <c r="AG267" s="42"/>
      <c r="AH267" s="42"/>
      <c r="AI267" s="42"/>
      <c r="AJ267" s="42"/>
      <c r="AK267" s="42"/>
      <c r="AL267" s="42"/>
      <c r="AM267" s="42"/>
      <c r="AN267" s="42"/>
      <c r="AO267" s="42"/>
      <c r="AP267" s="42"/>
      <c r="AQ267" s="42"/>
      <c r="AR267" s="42"/>
      <c r="AS267" s="42"/>
      <c r="AT267" s="42"/>
      <c r="AU267" s="42"/>
      <c r="AV267" s="42"/>
      <c r="AW267" s="42"/>
      <c r="AX267" s="42"/>
      <c r="AY267" s="42"/>
      <c r="AZ267" s="42"/>
      <c r="BA267" s="42"/>
      <c r="BB267" s="42"/>
    </row>
    <row r="268" spans="1:54" x14ac:dyDescent="0.25">
      <c r="A268" s="42"/>
      <c r="B268" s="43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  <c r="AA268" s="42"/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/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/>
      <c r="BB268" s="42"/>
    </row>
    <row r="269" spans="1:54" x14ac:dyDescent="0.25">
      <c r="A269" s="42"/>
      <c r="B269" s="43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  <c r="AC269" s="42"/>
      <c r="AD269" s="42"/>
      <c r="AE269" s="42"/>
      <c r="AF269" s="42"/>
      <c r="AG269" s="42"/>
      <c r="AH269" s="42"/>
      <c r="AI269" s="42"/>
      <c r="AJ269" s="42"/>
      <c r="AK269" s="42"/>
      <c r="AL269" s="42"/>
      <c r="AM269" s="42"/>
      <c r="AN269" s="42"/>
      <c r="AO269" s="42"/>
      <c r="AP269" s="42"/>
      <c r="AQ269" s="42"/>
      <c r="AR269" s="42"/>
      <c r="AS269" s="42"/>
      <c r="AT269" s="42"/>
      <c r="AU269" s="42"/>
      <c r="AV269" s="42"/>
      <c r="AW269" s="42"/>
      <c r="AX269" s="42"/>
      <c r="AY269" s="42"/>
      <c r="AZ269" s="42"/>
      <c r="BA269" s="42"/>
      <c r="BB269" s="42"/>
    </row>
    <row r="270" spans="1:54" x14ac:dyDescent="0.25">
      <c r="A270" s="42"/>
      <c r="B270" s="43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  <c r="AC270" s="42"/>
      <c r="AD270" s="42"/>
      <c r="AE270" s="42"/>
      <c r="AF270" s="42"/>
      <c r="AG270" s="42"/>
      <c r="AH270" s="42"/>
      <c r="AI270" s="42"/>
      <c r="AJ270" s="42"/>
      <c r="AK270" s="42"/>
      <c r="AL270" s="42"/>
      <c r="AM270" s="42"/>
      <c r="AN270" s="42"/>
      <c r="AO270" s="42"/>
      <c r="AP270" s="42"/>
      <c r="AQ270" s="42"/>
      <c r="AR270" s="42"/>
      <c r="AS270" s="42"/>
      <c r="AT270" s="42"/>
      <c r="AU270" s="42"/>
      <c r="AV270" s="42"/>
      <c r="AW270" s="42"/>
      <c r="AX270" s="42"/>
      <c r="AY270" s="42"/>
      <c r="AZ270" s="42"/>
      <c r="BA270" s="42"/>
      <c r="BB270" s="42"/>
    </row>
    <row r="271" spans="1:54" x14ac:dyDescent="0.25">
      <c r="A271" s="42"/>
      <c r="B271" s="43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  <c r="AF271" s="42"/>
      <c r="AG271" s="42"/>
      <c r="AH271" s="42"/>
      <c r="AI271" s="42"/>
      <c r="AJ271" s="42"/>
      <c r="AK271" s="42"/>
      <c r="AL271" s="42"/>
      <c r="AM271" s="42"/>
      <c r="AN271" s="42"/>
      <c r="AO271" s="42"/>
      <c r="AP271" s="42"/>
      <c r="AQ271" s="42"/>
      <c r="AR271" s="42"/>
      <c r="AS271" s="42"/>
      <c r="AT271" s="42"/>
      <c r="AU271" s="42"/>
      <c r="AV271" s="42"/>
      <c r="AW271" s="42"/>
      <c r="AX271" s="42"/>
      <c r="AY271" s="42"/>
      <c r="AZ271" s="42"/>
      <c r="BA271" s="42"/>
      <c r="BB271" s="42"/>
    </row>
    <row r="272" spans="1:54" x14ac:dyDescent="0.25">
      <c r="A272" s="42"/>
      <c r="B272" s="43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2"/>
      <c r="AG272" s="42"/>
      <c r="AH272" s="42"/>
      <c r="AI272" s="42"/>
      <c r="AJ272" s="42"/>
      <c r="AK272" s="42"/>
      <c r="AL272" s="42"/>
      <c r="AM272" s="42"/>
      <c r="AN272" s="42"/>
      <c r="AO272" s="42"/>
      <c r="AP272" s="42"/>
      <c r="AQ272" s="42"/>
      <c r="AR272" s="42"/>
      <c r="AS272" s="42"/>
      <c r="AT272" s="42"/>
      <c r="AU272" s="42"/>
      <c r="AV272" s="42"/>
      <c r="AW272" s="42"/>
      <c r="AX272" s="42"/>
      <c r="AY272" s="42"/>
      <c r="AZ272" s="42"/>
      <c r="BA272" s="42"/>
      <c r="BB272" s="42"/>
    </row>
    <row r="273" spans="1:54" x14ac:dyDescent="0.25">
      <c r="A273" s="42"/>
      <c r="B273" s="43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  <c r="AM273" s="42"/>
      <c r="AN273" s="42"/>
      <c r="AO273" s="42"/>
      <c r="AP273" s="42"/>
      <c r="AQ273" s="42"/>
      <c r="AR273" s="42"/>
      <c r="AS273" s="42"/>
      <c r="AT273" s="42"/>
      <c r="AU273" s="42"/>
      <c r="AV273" s="42"/>
      <c r="AW273" s="42"/>
      <c r="AX273" s="42"/>
      <c r="AY273" s="42"/>
      <c r="AZ273" s="42"/>
      <c r="BA273" s="42"/>
      <c r="BB273" s="42"/>
    </row>
    <row r="274" spans="1:54" x14ac:dyDescent="0.25">
      <c r="A274" s="42"/>
      <c r="B274" s="43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2"/>
      <c r="AG274" s="42"/>
      <c r="AH274" s="42"/>
      <c r="AI274" s="42"/>
      <c r="AJ274" s="42"/>
      <c r="AK274" s="42"/>
      <c r="AL274" s="42"/>
      <c r="AM274" s="42"/>
      <c r="AN274" s="42"/>
      <c r="AO274" s="42"/>
      <c r="AP274" s="42"/>
      <c r="AQ274" s="42"/>
      <c r="AR274" s="42"/>
      <c r="AS274" s="42"/>
      <c r="AT274" s="42"/>
      <c r="AU274" s="42"/>
      <c r="AV274" s="42"/>
      <c r="AW274" s="42"/>
      <c r="AX274" s="42"/>
      <c r="AY274" s="42"/>
      <c r="AZ274" s="42"/>
      <c r="BA274" s="42"/>
      <c r="BB274" s="42"/>
    </row>
    <row r="275" spans="1:54" x14ac:dyDescent="0.25">
      <c r="A275" s="42"/>
      <c r="B275" s="43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2"/>
      <c r="AG275" s="42"/>
      <c r="AH275" s="42"/>
      <c r="AI275" s="42"/>
      <c r="AJ275" s="42"/>
      <c r="AK275" s="42"/>
      <c r="AL275" s="42"/>
      <c r="AM275" s="42"/>
      <c r="AN275" s="42"/>
      <c r="AO275" s="42"/>
      <c r="AP275" s="42"/>
      <c r="AQ275" s="42"/>
      <c r="AR275" s="42"/>
      <c r="AS275" s="42"/>
      <c r="AT275" s="42"/>
      <c r="AU275" s="42"/>
      <c r="AV275" s="42"/>
      <c r="AW275" s="42"/>
      <c r="AX275" s="42"/>
      <c r="AY275" s="42"/>
      <c r="AZ275" s="42"/>
      <c r="BA275" s="42"/>
      <c r="BB275" s="42"/>
    </row>
    <row r="276" spans="1:54" x14ac:dyDescent="0.25">
      <c r="A276" s="42"/>
      <c r="B276" s="43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  <c r="AC276" s="42"/>
      <c r="AD276" s="42"/>
      <c r="AE276" s="42"/>
      <c r="AF276" s="42"/>
      <c r="AG276" s="42"/>
      <c r="AH276" s="42"/>
      <c r="AI276" s="42"/>
      <c r="AJ276" s="42"/>
      <c r="AK276" s="42"/>
      <c r="AL276" s="42"/>
      <c r="AM276" s="42"/>
      <c r="AN276" s="42"/>
      <c r="AO276" s="42"/>
      <c r="AP276" s="42"/>
      <c r="AQ276" s="42"/>
      <c r="AR276" s="42"/>
      <c r="AS276" s="42"/>
      <c r="AT276" s="42"/>
      <c r="AU276" s="42"/>
      <c r="AV276" s="42"/>
      <c r="AW276" s="42"/>
      <c r="AX276" s="42"/>
      <c r="AY276" s="42"/>
      <c r="AZ276" s="42"/>
      <c r="BA276" s="42"/>
      <c r="BB276" s="42"/>
    </row>
    <row r="277" spans="1:54" x14ac:dyDescent="0.25">
      <c r="A277" s="42"/>
      <c r="B277" s="43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  <c r="AC277" s="42"/>
      <c r="AD277" s="42"/>
      <c r="AE277" s="42"/>
      <c r="AF277" s="42"/>
      <c r="AG277" s="42"/>
      <c r="AH277" s="42"/>
      <c r="AI277" s="42"/>
      <c r="AJ277" s="42"/>
      <c r="AK277" s="42"/>
      <c r="AL277" s="42"/>
      <c r="AM277" s="42"/>
      <c r="AN277" s="42"/>
      <c r="AO277" s="42"/>
      <c r="AP277" s="42"/>
      <c r="AQ277" s="42"/>
      <c r="AR277" s="42"/>
      <c r="AS277" s="42"/>
      <c r="AT277" s="42"/>
      <c r="AU277" s="42"/>
      <c r="AV277" s="42"/>
      <c r="AW277" s="42"/>
      <c r="AX277" s="42"/>
      <c r="AY277" s="42"/>
      <c r="AZ277" s="42"/>
      <c r="BA277" s="42"/>
      <c r="BB277" s="42"/>
    </row>
    <row r="278" spans="1:54" x14ac:dyDescent="0.25">
      <c r="A278" s="42"/>
      <c r="B278" s="43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  <c r="AC278" s="42"/>
      <c r="AD278" s="42"/>
      <c r="AE278" s="42"/>
      <c r="AF278" s="42"/>
      <c r="AG278" s="42"/>
      <c r="AH278" s="42"/>
      <c r="AI278" s="42"/>
      <c r="AJ278" s="42"/>
      <c r="AK278" s="42"/>
      <c r="AL278" s="42"/>
      <c r="AM278" s="42"/>
      <c r="AN278" s="42"/>
      <c r="AO278" s="42"/>
      <c r="AP278" s="42"/>
      <c r="AQ278" s="42"/>
      <c r="AR278" s="42"/>
      <c r="AS278" s="42"/>
      <c r="AT278" s="42"/>
      <c r="AU278" s="42"/>
      <c r="AV278" s="42"/>
      <c r="AW278" s="42"/>
      <c r="AX278" s="42"/>
      <c r="AY278" s="42"/>
      <c r="AZ278" s="42"/>
      <c r="BA278" s="42"/>
      <c r="BB278" s="42"/>
    </row>
    <row r="279" spans="1:54" x14ac:dyDescent="0.25">
      <c r="A279" s="42"/>
      <c r="B279" s="43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  <c r="AC279" s="42"/>
      <c r="AD279" s="42"/>
      <c r="AE279" s="42"/>
      <c r="AF279" s="42"/>
      <c r="AG279" s="42"/>
      <c r="AH279" s="42"/>
      <c r="AI279" s="42"/>
      <c r="AJ279" s="42"/>
      <c r="AK279" s="42"/>
      <c r="AL279" s="42"/>
      <c r="AM279" s="42"/>
      <c r="AN279" s="42"/>
      <c r="AO279" s="42"/>
      <c r="AP279" s="42"/>
      <c r="AQ279" s="42"/>
      <c r="AR279" s="42"/>
      <c r="AS279" s="42"/>
      <c r="AT279" s="42"/>
      <c r="AU279" s="42"/>
      <c r="AV279" s="42"/>
      <c r="AW279" s="42"/>
      <c r="AX279" s="42"/>
      <c r="AY279" s="42"/>
      <c r="AZ279" s="42"/>
      <c r="BA279" s="42"/>
      <c r="BB279" s="42"/>
    </row>
    <row r="280" spans="1:54" x14ac:dyDescent="0.25">
      <c r="A280" s="42"/>
      <c r="B280" s="43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  <c r="AA280" s="42"/>
      <c r="AB280" s="42"/>
      <c r="AC280" s="42"/>
      <c r="AD280" s="42"/>
      <c r="AE280" s="42"/>
      <c r="AF280" s="42"/>
      <c r="AG280" s="42"/>
      <c r="AH280" s="42"/>
      <c r="AI280" s="42"/>
      <c r="AJ280" s="42"/>
      <c r="AK280" s="42"/>
      <c r="AL280" s="42"/>
      <c r="AM280" s="42"/>
      <c r="AN280" s="42"/>
      <c r="AO280" s="42"/>
      <c r="AP280" s="42"/>
      <c r="AQ280" s="42"/>
      <c r="AR280" s="42"/>
      <c r="AS280" s="42"/>
      <c r="AT280" s="42"/>
      <c r="AU280" s="42"/>
      <c r="AV280" s="42"/>
      <c r="AW280" s="42"/>
      <c r="AX280" s="42"/>
      <c r="AY280" s="42"/>
      <c r="AZ280" s="42"/>
      <c r="BA280" s="42"/>
      <c r="BB280" s="42"/>
    </row>
    <row r="281" spans="1:54" x14ac:dyDescent="0.25">
      <c r="A281" s="42"/>
      <c r="B281" s="43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  <c r="AF281" s="42"/>
      <c r="AG281" s="42"/>
      <c r="AH281" s="42"/>
      <c r="AI281" s="42"/>
      <c r="AJ281" s="42"/>
      <c r="AK281" s="42"/>
      <c r="AL281" s="42"/>
      <c r="AM281" s="42"/>
      <c r="AN281" s="42"/>
      <c r="AO281" s="42"/>
      <c r="AP281" s="42"/>
      <c r="AQ281" s="42"/>
      <c r="AR281" s="42"/>
      <c r="AS281" s="42"/>
      <c r="AT281" s="42"/>
      <c r="AU281" s="42"/>
      <c r="AV281" s="42"/>
      <c r="AW281" s="42"/>
      <c r="AX281" s="42"/>
      <c r="AY281" s="42"/>
      <c r="AZ281" s="42"/>
      <c r="BA281" s="42"/>
      <c r="BB281" s="42"/>
    </row>
    <row r="282" spans="1:54" x14ac:dyDescent="0.25">
      <c r="A282" s="42"/>
      <c r="B282" s="43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2"/>
      <c r="AG282" s="42"/>
      <c r="AH282" s="42"/>
      <c r="AI282" s="42"/>
      <c r="AJ282" s="42"/>
      <c r="AK282" s="42"/>
      <c r="AL282" s="42"/>
      <c r="AM282" s="42"/>
      <c r="AN282" s="42"/>
      <c r="AO282" s="42"/>
      <c r="AP282" s="42"/>
      <c r="AQ282" s="42"/>
      <c r="AR282" s="42"/>
      <c r="AS282" s="42"/>
      <c r="AT282" s="42"/>
      <c r="AU282" s="42"/>
      <c r="AV282" s="42"/>
      <c r="AW282" s="42"/>
      <c r="AX282" s="42"/>
      <c r="AY282" s="42"/>
      <c r="AZ282" s="42"/>
      <c r="BA282" s="42"/>
      <c r="BB282" s="42"/>
    </row>
    <row r="283" spans="1:54" x14ac:dyDescent="0.25">
      <c r="A283" s="42"/>
      <c r="B283" s="43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  <c r="AC283" s="42"/>
      <c r="AD283" s="42"/>
      <c r="AE283" s="42"/>
      <c r="AF283" s="42"/>
      <c r="AG283" s="42"/>
      <c r="AH283" s="42"/>
      <c r="AI283" s="42"/>
      <c r="AJ283" s="42"/>
      <c r="AK283" s="42"/>
      <c r="AL283" s="42"/>
      <c r="AM283" s="42"/>
      <c r="AN283" s="42"/>
      <c r="AO283" s="42"/>
      <c r="AP283" s="42"/>
      <c r="AQ283" s="42"/>
      <c r="AR283" s="42"/>
      <c r="AS283" s="42"/>
      <c r="AT283" s="42"/>
      <c r="AU283" s="42"/>
      <c r="AV283" s="42"/>
      <c r="AW283" s="42"/>
      <c r="AX283" s="42"/>
      <c r="AY283" s="42"/>
      <c r="AZ283" s="42"/>
      <c r="BA283" s="42"/>
      <c r="BB283" s="42"/>
    </row>
    <row r="284" spans="1:54" x14ac:dyDescent="0.25">
      <c r="A284" s="42"/>
      <c r="B284" s="43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  <c r="AC284" s="42"/>
      <c r="AD284" s="42"/>
      <c r="AE284" s="42"/>
      <c r="AF284" s="42"/>
      <c r="AG284" s="42"/>
      <c r="AH284" s="42"/>
      <c r="AI284" s="42"/>
      <c r="AJ284" s="42"/>
      <c r="AK284" s="42"/>
      <c r="AL284" s="42"/>
      <c r="AM284" s="42"/>
      <c r="AN284" s="42"/>
      <c r="AO284" s="42"/>
      <c r="AP284" s="42"/>
      <c r="AQ284" s="42"/>
      <c r="AR284" s="42"/>
      <c r="AS284" s="42"/>
      <c r="AT284" s="42"/>
      <c r="AU284" s="42"/>
      <c r="AV284" s="42"/>
      <c r="AW284" s="42"/>
      <c r="AX284" s="42"/>
      <c r="AY284" s="42"/>
      <c r="AZ284" s="42"/>
      <c r="BA284" s="42"/>
      <c r="BB284" s="42"/>
    </row>
    <row r="285" spans="1:54" x14ac:dyDescent="0.25">
      <c r="A285" s="42"/>
      <c r="B285" s="43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  <c r="AC285" s="42"/>
      <c r="AD285" s="42"/>
      <c r="AE285" s="42"/>
      <c r="AF285" s="42"/>
      <c r="AG285" s="42"/>
      <c r="AH285" s="42"/>
      <c r="AI285" s="42"/>
      <c r="AJ285" s="42"/>
      <c r="AK285" s="42"/>
      <c r="AL285" s="42"/>
      <c r="AM285" s="42"/>
      <c r="AN285" s="42"/>
      <c r="AO285" s="42"/>
      <c r="AP285" s="42"/>
      <c r="AQ285" s="42"/>
      <c r="AR285" s="42"/>
      <c r="AS285" s="42"/>
      <c r="AT285" s="42"/>
      <c r="AU285" s="42"/>
      <c r="AV285" s="42"/>
      <c r="AW285" s="42"/>
      <c r="AX285" s="42"/>
      <c r="AY285" s="42"/>
      <c r="AZ285" s="42"/>
      <c r="BA285" s="42"/>
      <c r="BB285" s="42"/>
    </row>
    <row r="286" spans="1:54" x14ac:dyDescent="0.25">
      <c r="A286" s="42"/>
      <c r="B286" s="43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2"/>
      <c r="AG286" s="42"/>
      <c r="AH286" s="42"/>
      <c r="AI286" s="42"/>
      <c r="AJ286" s="42"/>
      <c r="AK286" s="42"/>
      <c r="AL286" s="42"/>
      <c r="AM286" s="42"/>
      <c r="AN286" s="42"/>
      <c r="AO286" s="42"/>
      <c r="AP286" s="42"/>
      <c r="AQ286" s="42"/>
      <c r="AR286" s="42"/>
      <c r="AS286" s="42"/>
      <c r="AT286" s="42"/>
      <c r="AU286" s="42"/>
      <c r="AV286" s="42"/>
      <c r="AW286" s="42"/>
      <c r="AX286" s="42"/>
      <c r="AY286" s="42"/>
      <c r="AZ286" s="42"/>
      <c r="BA286" s="42"/>
      <c r="BB286" s="42"/>
    </row>
    <row r="287" spans="1:54" x14ac:dyDescent="0.25">
      <c r="A287" s="42"/>
      <c r="B287" s="43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  <c r="AC287" s="42"/>
      <c r="AD287" s="42"/>
      <c r="AE287" s="42"/>
      <c r="AF287" s="42"/>
      <c r="AG287" s="42"/>
      <c r="AH287" s="42"/>
      <c r="AI287" s="42"/>
      <c r="AJ287" s="42"/>
      <c r="AK287" s="42"/>
      <c r="AL287" s="42"/>
      <c r="AM287" s="42"/>
      <c r="AN287" s="42"/>
      <c r="AO287" s="42"/>
      <c r="AP287" s="42"/>
      <c r="AQ287" s="42"/>
      <c r="AR287" s="42"/>
      <c r="AS287" s="42"/>
      <c r="AT287" s="42"/>
      <c r="AU287" s="42"/>
      <c r="AV287" s="42"/>
      <c r="AW287" s="42"/>
      <c r="AX287" s="42"/>
      <c r="AY287" s="42"/>
      <c r="AZ287" s="42"/>
      <c r="BA287" s="42"/>
      <c r="BB287" s="42"/>
    </row>
    <row r="288" spans="1:54" x14ac:dyDescent="0.25">
      <c r="A288" s="42"/>
      <c r="B288" s="43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2"/>
      <c r="AG288" s="42"/>
      <c r="AH288" s="42"/>
      <c r="AI288" s="42"/>
      <c r="AJ288" s="42"/>
      <c r="AK288" s="42"/>
      <c r="AL288" s="42"/>
      <c r="AM288" s="42"/>
      <c r="AN288" s="42"/>
      <c r="AO288" s="42"/>
      <c r="AP288" s="42"/>
      <c r="AQ288" s="42"/>
      <c r="AR288" s="42"/>
      <c r="AS288" s="42"/>
      <c r="AT288" s="42"/>
      <c r="AU288" s="42"/>
      <c r="AV288" s="42"/>
      <c r="AW288" s="42"/>
      <c r="AX288" s="42"/>
      <c r="AY288" s="42"/>
      <c r="AZ288" s="42"/>
      <c r="BA288" s="42"/>
      <c r="BB288" s="42"/>
    </row>
    <row r="289" spans="1:54" x14ac:dyDescent="0.25">
      <c r="A289" s="42"/>
      <c r="B289" s="43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  <c r="AC289" s="42"/>
      <c r="AD289" s="42"/>
      <c r="AE289" s="42"/>
      <c r="AF289" s="42"/>
      <c r="AG289" s="42"/>
      <c r="AH289" s="42"/>
      <c r="AI289" s="42"/>
      <c r="AJ289" s="42"/>
      <c r="AK289" s="42"/>
      <c r="AL289" s="42"/>
      <c r="AM289" s="42"/>
      <c r="AN289" s="42"/>
      <c r="AO289" s="42"/>
      <c r="AP289" s="42"/>
      <c r="AQ289" s="42"/>
      <c r="AR289" s="42"/>
      <c r="AS289" s="42"/>
      <c r="AT289" s="42"/>
      <c r="AU289" s="42"/>
      <c r="AV289" s="42"/>
      <c r="AW289" s="42"/>
      <c r="AX289" s="42"/>
      <c r="AY289" s="42"/>
      <c r="AZ289" s="42"/>
      <c r="BA289" s="42"/>
      <c r="BB289" s="42"/>
    </row>
    <row r="290" spans="1:54" x14ac:dyDescent="0.25">
      <c r="A290" s="42"/>
      <c r="B290" s="43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  <c r="AA290" s="42"/>
      <c r="AB290" s="42"/>
      <c r="AC290" s="42"/>
      <c r="AD290" s="42"/>
      <c r="AE290" s="42"/>
      <c r="AF290" s="42"/>
      <c r="AG290" s="42"/>
      <c r="AH290" s="42"/>
      <c r="AI290" s="42"/>
      <c r="AJ290" s="42"/>
      <c r="AK290" s="42"/>
      <c r="AL290" s="42"/>
      <c r="AM290" s="42"/>
      <c r="AN290" s="42"/>
      <c r="AO290" s="42"/>
      <c r="AP290" s="42"/>
      <c r="AQ290" s="42"/>
      <c r="AR290" s="42"/>
      <c r="AS290" s="42"/>
      <c r="AT290" s="42"/>
      <c r="AU290" s="42"/>
      <c r="AV290" s="42"/>
      <c r="AW290" s="42"/>
      <c r="AX290" s="42"/>
      <c r="AY290" s="42"/>
      <c r="AZ290" s="42"/>
      <c r="BA290" s="42"/>
      <c r="BB290" s="42"/>
    </row>
    <row r="291" spans="1:54" x14ac:dyDescent="0.25">
      <c r="A291" s="42"/>
      <c r="B291" s="43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2"/>
      <c r="AM291" s="42"/>
      <c r="AN291" s="42"/>
      <c r="AO291" s="42"/>
      <c r="AP291" s="42"/>
      <c r="AQ291" s="42"/>
      <c r="AR291" s="42"/>
      <c r="AS291" s="42"/>
      <c r="AT291" s="42"/>
      <c r="AU291" s="42"/>
      <c r="AV291" s="42"/>
      <c r="AW291" s="42"/>
      <c r="AX291" s="42"/>
      <c r="AY291" s="42"/>
      <c r="AZ291" s="42"/>
      <c r="BA291" s="42"/>
      <c r="BB291" s="42"/>
    </row>
    <row r="292" spans="1:54" x14ac:dyDescent="0.25">
      <c r="A292" s="42"/>
      <c r="B292" s="43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  <c r="AC292" s="42"/>
      <c r="AD292" s="42"/>
      <c r="AE292" s="42"/>
      <c r="AF292" s="42"/>
      <c r="AG292" s="42"/>
      <c r="AH292" s="42"/>
      <c r="AI292" s="42"/>
      <c r="AJ292" s="42"/>
      <c r="AK292" s="42"/>
      <c r="AL292" s="42"/>
      <c r="AM292" s="42"/>
      <c r="AN292" s="42"/>
      <c r="AO292" s="42"/>
      <c r="AP292" s="42"/>
      <c r="AQ292" s="42"/>
      <c r="AR292" s="42"/>
      <c r="AS292" s="42"/>
      <c r="AT292" s="42"/>
      <c r="AU292" s="42"/>
      <c r="AV292" s="42"/>
      <c r="AW292" s="42"/>
      <c r="AX292" s="42"/>
      <c r="AY292" s="42"/>
      <c r="AZ292" s="42"/>
      <c r="BA292" s="42"/>
      <c r="BB292" s="42"/>
    </row>
    <row r="293" spans="1:54" x14ac:dyDescent="0.25">
      <c r="A293" s="42"/>
      <c r="B293" s="43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  <c r="AC293" s="42"/>
      <c r="AD293" s="42"/>
      <c r="AE293" s="42"/>
      <c r="AF293" s="42"/>
      <c r="AG293" s="42"/>
      <c r="AH293" s="42"/>
      <c r="AI293" s="42"/>
      <c r="AJ293" s="42"/>
      <c r="AK293" s="42"/>
      <c r="AL293" s="42"/>
      <c r="AM293" s="42"/>
      <c r="AN293" s="42"/>
      <c r="AO293" s="42"/>
      <c r="AP293" s="42"/>
      <c r="AQ293" s="42"/>
      <c r="AR293" s="42"/>
      <c r="AS293" s="42"/>
      <c r="AT293" s="42"/>
      <c r="AU293" s="42"/>
      <c r="AV293" s="42"/>
      <c r="AW293" s="42"/>
      <c r="AX293" s="42"/>
      <c r="AY293" s="42"/>
      <c r="AZ293" s="42"/>
      <c r="BA293" s="42"/>
      <c r="BB293" s="42"/>
    </row>
    <row r="294" spans="1:54" x14ac:dyDescent="0.25">
      <c r="A294" s="42"/>
      <c r="B294" s="43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42"/>
      <c r="AQ294" s="42"/>
      <c r="AR294" s="42"/>
      <c r="AS294" s="42"/>
      <c r="AT294" s="42"/>
      <c r="AU294" s="42"/>
      <c r="AV294" s="42"/>
      <c r="AW294" s="42"/>
      <c r="AX294" s="42"/>
      <c r="AY294" s="42"/>
      <c r="AZ294" s="42"/>
      <c r="BA294" s="42"/>
      <c r="BB294" s="42"/>
    </row>
    <row r="295" spans="1:54" x14ac:dyDescent="0.25">
      <c r="A295" s="42"/>
      <c r="B295" s="43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  <c r="AC295" s="42"/>
      <c r="AD295" s="42"/>
      <c r="AE295" s="42"/>
      <c r="AF295" s="42"/>
      <c r="AG295" s="42"/>
      <c r="AH295" s="42"/>
      <c r="AI295" s="42"/>
      <c r="AJ295" s="42"/>
      <c r="AK295" s="42"/>
      <c r="AL295" s="42"/>
      <c r="AM295" s="42"/>
      <c r="AN295" s="42"/>
      <c r="AO295" s="42"/>
      <c r="AP295" s="42"/>
      <c r="AQ295" s="42"/>
      <c r="AR295" s="42"/>
      <c r="AS295" s="42"/>
      <c r="AT295" s="42"/>
      <c r="AU295" s="42"/>
      <c r="AV295" s="42"/>
      <c r="AW295" s="42"/>
      <c r="AX295" s="42"/>
      <c r="AY295" s="42"/>
      <c r="AZ295" s="42"/>
      <c r="BA295" s="42"/>
      <c r="BB295" s="42"/>
    </row>
    <row r="296" spans="1:54" x14ac:dyDescent="0.25">
      <c r="A296" s="42"/>
      <c r="B296" s="43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  <c r="AF296" s="42"/>
      <c r="AG296" s="42"/>
      <c r="AH296" s="42"/>
      <c r="AI296" s="42"/>
      <c r="AJ296" s="42"/>
      <c r="AK296" s="42"/>
      <c r="AL296" s="42"/>
      <c r="AM296" s="42"/>
      <c r="AN296" s="42"/>
      <c r="AO296" s="42"/>
      <c r="AP296" s="42"/>
      <c r="AQ296" s="42"/>
      <c r="AR296" s="42"/>
      <c r="AS296" s="42"/>
      <c r="AT296" s="42"/>
      <c r="AU296" s="42"/>
      <c r="AV296" s="42"/>
      <c r="AW296" s="42"/>
      <c r="AX296" s="42"/>
      <c r="AY296" s="42"/>
      <c r="AZ296" s="42"/>
      <c r="BA296" s="42"/>
      <c r="BB296" s="42"/>
    </row>
    <row r="297" spans="1:54" x14ac:dyDescent="0.25">
      <c r="A297" s="42"/>
      <c r="B297" s="43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  <c r="AC297" s="42"/>
      <c r="AD297" s="42"/>
      <c r="AE297" s="42"/>
      <c r="AF297" s="42"/>
      <c r="AG297" s="42"/>
      <c r="AH297" s="42"/>
      <c r="AI297" s="42"/>
      <c r="AJ297" s="42"/>
      <c r="AK297" s="42"/>
      <c r="AL297" s="42"/>
      <c r="AM297" s="42"/>
      <c r="AN297" s="42"/>
      <c r="AO297" s="42"/>
      <c r="AP297" s="42"/>
      <c r="AQ297" s="42"/>
      <c r="AR297" s="42"/>
      <c r="AS297" s="42"/>
      <c r="AT297" s="42"/>
      <c r="AU297" s="42"/>
      <c r="AV297" s="42"/>
      <c r="AW297" s="42"/>
      <c r="AX297" s="42"/>
      <c r="AY297" s="42"/>
      <c r="AZ297" s="42"/>
      <c r="BA297" s="42"/>
      <c r="BB297" s="42"/>
    </row>
    <row r="298" spans="1:54" x14ac:dyDescent="0.25">
      <c r="A298" s="42"/>
      <c r="B298" s="43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  <c r="AF298" s="42"/>
      <c r="AG298" s="42"/>
      <c r="AH298" s="42"/>
      <c r="AI298" s="42"/>
      <c r="AJ298" s="42"/>
      <c r="AK298" s="42"/>
      <c r="AL298" s="42"/>
      <c r="AM298" s="42"/>
      <c r="AN298" s="42"/>
      <c r="AO298" s="42"/>
      <c r="AP298" s="42"/>
      <c r="AQ298" s="42"/>
      <c r="AR298" s="42"/>
      <c r="AS298" s="42"/>
      <c r="AT298" s="42"/>
      <c r="AU298" s="42"/>
      <c r="AV298" s="42"/>
      <c r="AW298" s="42"/>
      <c r="AX298" s="42"/>
      <c r="AY298" s="42"/>
      <c r="AZ298" s="42"/>
      <c r="BA298" s="42"/>
      <c r="BB298" s="42"/>
    </row>
    <row r="299" spans="1:54" x14ac:dyDescent="0.25">
      <c r="A299" s="42"/>
      <c r="B299" s="43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  <c r="AC299" s="42"/>
      <c r="AD299" s="42"/>
      <c r="AE299" s="42"/>
      <c r="AF299" s="42"/>
      <c r="AG299" s="42"/>
      <c r="AH299" s="42"/>
      <c r="AI299" s="42"/>
      <c r="AJ299" s="42"/>
      <c r="AK299" s="42"/>
      <c r="AL299" s="42"/>
      <c r="AM299" s="42"/>
      <c r="AN299" s="42"/>
      <c r="AO299" s="42"/>
      <c r="AP299" s="42"/>
      <c r="AQ299" s="42"/>
      <c r="AR299" s="42"/>
      <c r="AS299" s="42"/>
      <c r="AT299" s="42"/>
      <c r="AU299" s="42"/>
      <c r="AV299" s="42"/>
      <c r="AW299" s="42"/>
      <c r="AX299" s="42"/>
      <c r="AY299" s="42"/>
      <c r="AZ299" s="42"/>
      <c r="BA299" s="42"/>
      <c r="BB299" s="42"/>
    </row>
    <row r="300" spans="1:54" x14ac:dyDescent="0.25">
      <c r="A300" s="42"/>
      <c r="B300" s="43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  <c r="AJ300" s="42"/>
      <c r="AK300" s="42"/>
      <c r="AL300" s="42"/>
      <c r="AM300" s="42"/>
      <c r="AN300" s="42"/>
      <c r="AO300" s="42"/>
      <c r="AP300" s="42"/>
      <c r="AQ300" s="42"/>
      <c r="AR300" s="42"/>
      <c r="AS300" s="42"/>
      <c r="AT300" s="42"/>
      <c r="AU300" s="42"/>
      <c r="AV300" s="42"/>
      <c r="AW300" s="42"/>
      <c r="AX300" s="42"/>
      <c r="AY300" s="42"/>
      <c r="AZ300" s="42"/>
      <c r="BA300" s="42"/>
      <c r="BB300" s="42"/>
    </row>
    <row r="301" spans="1:54" x14ac:dyDescent="0.25">
      <c r="A301" s="42"/>
      <c r="B301" s="43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  <c r="AC301" s="42"/>
      <c r="AD301" s="42"/>
      <c r="AE301" s="42"/>
      <c r="AF301" s="42"/>
      <c r="AG301" s="42"/>
      <c r="AH301" s="42"/>
      <c r="AI301" s="42"/>
      <c r="AJ301" s="42"/>
      <c r="AK301" s="42"/>
      <c r="AL301" s="42"/>
      <c r="AM301" s="42"/>
      <c r="AN301" s="42"/>
      <c r="AO301" s="42"/>
      <c r="AP301" s="42"/>
      <c r="AQ301" s="42"/>
      <c r="AR301" s="42"/>
      <c r="AS301" s="42"/>
      <c r="AT301" s="42"/>
      <c r="AU301" s="42"/>
      <c r="AV301" s="42"/>
      <c r="AW301" s="42"/>
      <c r="AX301" s="42"/>
      <c r="AY301" s="42"/>
      <c r="AZ301" s="42"/>
      <c r="BA301" s="42"/>
      <c r="BB301" s="42"/>
    </row>
    <row r="302" spans="1:54" x14ac:dyDescent="0.25">
      <c r="A302" s="42"/>
      <c r="B302" s="43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  <c r="AC302" s="42"/>
      <c r="AD302" s="42"/>
      <c r="AE302" s="42"/>
      <c r="AF302" s="42"/>
      <c r="AG302" s="42"/>
      <c r="AH302" s="42"/>
      <c r="AI302" s="42"/>
      <c r="AJ302" s="42"/>
      <c r="AK302" s="42"/>
      <c r="AL302" s="42"/>
      <c r="AM302" s="42"/>
      <c r="AN302" s="42"/>
      <c r="AO302" s="42"/>
      <c r="AP302" s="42"/>
      <c r="AQ302" s="42"/>
      <c r="AR302" s="42"/>
      <c r="AS302" s="42"/>
      <c r="AT302" s="42"/>
      <c r="AU302" s="42"/>
      <c r="AV302" s="42"/>
      <c r="AW302" s="42"/>
      <c r="AX302" s="42"/>
      <c r="AY302" s="42"/>
      <c r="AZ302" s="42"/>
      <c r="BA302" s="42"/>
      <c r="BB302" s="42"/>
    </row>
    <row r="303" spans="1:54" x14ac:dyDescent="0.25">
      <c r="A303" s="42"/>
      <c r="B303" s="43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  <c r="AC303" s="42"/>
      <c r="AD303" s="42"/>
      <c r="AE303" s="42"/>
      <c r="AF303" s="42"/>
      <c r="AG303" s="42"/>
      <c r="AH303" s="42"/>
      <c r="AI303" s="42"/>
      <c r="AJ303" s="42"/>
      <c r="AK303" s="42"/>
      <c r="AL303" s="42"/>
      <c r="AM303" s="42"/>
      <c r="AN303" s="42"/>
      <c r="AO303" s="42"/>
      <c r="AP303" s="42"/>
      <c r="AQ303" s="42"/>
      <c r="AR303" s="42"/>
      <c r="AS303" s="42"/>
      <c r="AT303" s="42"/>
      <c r="AU303" s="42"/>
      <c r="AV303" s="42"/>
      <c r="AW303" s="42"/>
      <c r="AX303" s="42"/>
      <c r="AY303" s="42"/>
      <c r="AZ303" s="42"/>
      <c r="BA303" s="42"/>
      <c r="BB303" s="42"/>
    </row>
    <row r="304" spans="1:54" x14ac:dyDescent="0.25">
      <c r="A304" s="42"/>
      <c r="B304" s="43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  <c r="AF304" s="42"/>
      <c r="AG304" s="42"/>
      <c r="AH304" s="42"/>
      <c r="AI304" s="42"/>
      <c r="AJ304" s="42"/>
      <c r="AK304" s="42"/>
      <c r="AL304" s="42"/>
      <c r="AM304" s="42"/>
      <c r="AN304" s="42"/>
      <c r="AO304" s="42"/>
      <c r="AP304" s="42"/>
      <c r="AQ304" s="42"/>
      <c r="AR304" s="42"/>
      <c r="AS304" s="42"/>
      <c r="AT304" s="42"/>
      <c r="AU304" s="42"/>
      <c r="AV304" s="42"/>
      <c r="AW304" s="42"/>
      <c r="AX304" s="42"/>
      <c r="AY304" s="42"/>
      <c r="AZ304" s="42"/>
      <c r="BA304" s="42"/>
      <c r="BB304" s="42"/>
    </row>
    <row r="305" spans="1:54" x14ac:dyDescent="0.25">
      <c r="A305" s="42"/>
      <c r="B305" s="43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  <c r="AC305" s="42"/>
      <c r="AD305" s="42"/>
      <c r="AE305" s="42"/>
      <c r="AF305" s="42"/>
      <c r="AG305" s="42"/>
      <c r="AH305" s="42"/>
      <c r="AI305" s="42"/>
      <c r="AJ305" s="42"/>
      <c r="AK305" s="42"/>
      <c r="AL305" s="42"/>
      <c r="AM305" s="42"/>
      <c r="AN305" s="42"/>
      <c r="AO305" s="42"/>
      <c r="AP305" s="42"/>
      <c r="AQ305" s="42"/>
      <c r="AR305" s="42"/>
      <c r="AS305" s="42"/>
      <c r="AT305" s="42"/>
      <c r="AU305" s="42"/>
      <c r="AV305" s="42"/>
      <c r="AW305" s="42"/>
      <c r="AX305" s="42"/>
      <c r="AY305" s="42"/>
      <c r="AZ305" s="42"/>
      <c r="BA305" s="42"/>
      <c r="BB305" s="42"/>
    </row>
    <row r="306" spans="1:54" x14ac:dyDescent="0.25">
      <c r="A306" s="42"/>
      <c r="B306" s="43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  <c r="AE306" s="42"/>
      <c r="AF306" s="42"/>
      <c r="AG306" s="42"/>
      <c r="AH306" s="42"/>
      <c r="AI306" s="42"/>
      <c r="AJ306" s="42"/>
      <c r="AK306" s="42"/>
      <c r="AL306" s="42"/>
      <c r="AM306" s="42"/>
      <c r="AN306" s="42"/>
      <c r="AO306" s="42"/>
      <c r="AP306" s="42"/>
      <c r="AQ306" s="42"/>
      <c r="AR306" s="42"/>
      <c r="AS306" s="42"/>
      <c r="AT306" s="42"/>
      <c r="AU306" s="42"/>
      <c r="AV306" s="42"/>
      <c r="AW306" s="42"/>
      <c r="AX306" s="42"/>
      <c r="AY306" s="42"/>
      <c r="AZ306" s="42"/>
      <c r="BA306" s="42"/>
      <c r="BB306" s="42"/>
    </row>
    <row r="307" spans="1:54" x14ac:dyDescent="0.25">
      <c r="A307" s="42"/>
      <c r="B307" s="43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  <c r="AC307" s="42"/>
      <c r="AD307" s="42"/>
      <c r="AE307" s="42"/>
      <c r="AF307" s="42"/>
      <c r="AG307" s="42"/>
      <c r="AH307" s="42"/>
      <c r="AI307" s="42"/>
      <c r="AJ307" s="42"/>
      <c r="AK307" s="42"/>
      <c r="AL307" s="42"/>
      <c r="AM307" s="42"/>
      <c r="AN307" s="42"/>
      <c r="AO307" s="42"/>
      <c r="AP307" s="42"/>
      <c r="AQ307" s="42"/>
      <c r="AR307" s="42"/>
      <c r="AS307" s="42"/>
      <c r="AT307" s="42"/>
      <c r="AU307" s="42"/>
      <c r="AV307" s="42"/>
      <c r="AW307" s="42"/>
      <c r="AX307" s="42"/>
      <c r="AY307" s="42"/>
      <c r="AZ307" s="42"/>
      <c r="BA307" s="42"/>
      <c r="BB307" s="42"/>
    </row>
    <row r="308" spans="1:54" x14ac:dyDescent="0.25">
      <c r="A308" s="42"/>
      <c r="B308" s="43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  <c r="AA308" s="42"/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/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/>
      <c r="BB308" s="42"/>
    </row>
    <row r="309" spans="1:54" x14ac:dyDescent="0.25">
      <c r="A309" s="42"/>
      <c r="B309" s="43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  <c r="AB309" s="42"/>
      <c r="AC309" s="42"/>
      <c r="AD309" s="42"/>
      <c r="AE309" s="42"/>
      <c r="AF309" s="42"/>
      <c r="AG309" s="42"/>
      <c r="AH309" s="42"/>
      <c r="AI309" s="42"/>
      <c r="AJ309" s="42"/>
      <c r="AK309" s="42"/>
      <c r="AL309" s="42"/>
      <c r="AM309" s="42"/>
      <c r="AN309" s="42"/>
      <c r="AO309" s="42"/>
      <c r="AP309" s="42"/>
      <c r="AQ309" s="42"/>
      <c r="AR309" s="42"/>
      <c r="AS309" s="42"/>
      <c r="AT309" s="42"/>
      <c r="AU309" s="42"/>
      <c r="AV309" s="42"/>
      <c r="AW309" s="42"/>
      <c r="AX309" s="42"/>
      <c r="AY309" s="42"/>
      <c r="AZ309" s="42"/>
      <c r="BA309" s="42"/>
      <c r="BB309" s="42"/>
    </row>
    <row r="310" spans="1:54" x14ac:dyDescent="0.25">
      <c r="A310" s="42"/>
      <c r="B310" s="43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  <c r="AC310" s="42"/>
      <c r="AD310" s="42"/>
      <c r="AE310" s="42"/>
      <c r="AF310" s="42"/>
      <c r="AG310" s="42"/>
      <c r="AH310" s="42"/>
      <c r="AI310" s="42"/>
      <c r="AJ310" s="42"/>
      <c r="AK310" s="42"/>
      <c r="AL310" s="42"/>
      <c r="AM310" s="42"/>
      <c r="AN310" s="42"/>
      <c r="AO310" s="42"/>
      <c r="AP310" s="42"/>
      <c r="AQ310" s="42"/>
      <c r="AR310" s="42"/>
      <c r="AS310" s="42"/>
      <c r="AT310" s="42"/>
      <c r="AU310" s="42"/>
      <c r="AV310" s="42"/>
      <c r="AW310" s="42"/>
      <c r="AX310" s="42"/>
      <c r="AY310" s="42"/>
      <c r="AZ310" s="42"/>
      <c r="BA310" s="42"/>
      <c r="BB310" s="42"/>
    </row>
    <row r="311" spans="1:54" x14ac:dyDescent="0.25">
      <c r="A311" s="42"/>
      <c r="B311" s="43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  <c r="AC311" s="42"/>
      <c r="AD311" s="42"/>
      <c r="AE311" s="42"/>
      <c r="AF311" s="42"/>
      <c r="AG311" s="42"/>
      <c r="AH311" s="42"/>
      <c r="AI311" s="42"/>
      <c r="AJ311" s="42"/>
      <c r="AK311" s="42"/>
      <c r="AL311" s="42"/>
      <c r="AM311" s="42"/>
      <c r="AN311" s="42"/>
      <c r="AO311" s="42"/>
      <c r="AP311" s="42"/>
      <c r="AQ311" s="42"/>
      <c r="AR311" s="42"/>
      <c r="AS311" s="42"/>
      <c r="AT311" s="42"/>
      <c r="AU311" s="42"/>
      <c r="AV311" s="42"/>
      <c r="AW311" s="42"/>
      <c r="AX311" s="42"/>
      <c r="AY311" s="42"/>
      <c r="AZ311" s="42"/>
      <c r="BA311" s="42"/>
      <c r="BB311" s="42"/>
    </row>
    <row r="312" spans="1:54" x14ac:dyDescent="0.25">
      <c r="A312" s="42"/>
      <c r="B312" s="43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  <c r="AC312" s="42"/>
      <c r="AD312" s="42"/>
      <c r="AE312" s="42"/>
      <c r="AF312" s="42"/>
      <c r="AG312" s="42"/>
      <c r="AH312" s="42"/>
      <c r="AI312" s="42"/>
      <c r="AJ312" s="42"/>
      <c r="AK312" s="42"/>
      <c r="AL312" s="42"/>
      <c r="AM312" s="42"/>
      <c r="AN312" s="42"/>
      <c r="AO312" s="42"/>
      <c r="AP312" s="42"/>
      <c r="AQ312" s="42"/>
      <c r="AR312" s="42"/>
      <c r="AS312" s="42"/>
      <c r="AT312" s="42"/>
      <c r="AU312" s="42"/>
      <c r="AV312" s="42"/>
      <c r="AW312" s="42"/>
      <c r="AX312" s="42"/>
      <c r="AY312" s="42"/>
      <c r="AZ312" s="42"/>
      <c r="BA312" s="42"/>
      <c r="BB312" s="42"/>
    </row>
    <row r="313" spans="1:54" x14ac:dyDescent="0.25">
      <c r="A313" s="42"/>
      <c r="B313" s="43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  <c r="AC313" s="42"/>
      <c r="AD313" s="42"/>
      <c r="AE313" s="42"/>
      <c r="AF313" s="42"/>
      <c r="AG313" s="42"/>
      <c r="AH313" s="42"/>
      <c r="AI313" s="42"/>
      <c r="AJ313" s="42"/>
      <c r="AK313" s="42"/>
      <c r="AL313" s="42"/>
      <c r="AM313" s="42"/>
      <c r="AN313" s="42"/>
      <c r="AO313" s="42"/>
      <c r="AP313" s="42"/>
      <c r="AQ313" s="42"/>
      <c r="AR313" s="42"/>
      <c r="AS313" s="42"/>
      <c r="AT313" s="42"/>
      <c r="AU313" s="42"/>
      <c r="AV313" s="42"/>
      <c r="AW313" s="42"/>
      <c r="AX313" s="42"/>
      <c r="AY313" s="42"/>
      <c r="AZ313" s="42"/>
      <c r="BA313" s="42"/>
      <c r="BB313" s="42"/>
    </row>
    <row r="314" spans="1:54" x14ac:dyDescent="0.25">
      <c r="A314" s="42"/>
      <c r="B314" s="43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  <c r="AC314" s="42"/>
      <c r="AD314" s="42"/>
      <c r="AE314" s="42"/>
      <c r="AF314" s="42"/>
      <c r="AG314" s="42"/>
      <c r="AH314" s="42"/>
      <c r="AI314" s="42"/>
      <c r="AJ314" s="42"/>
      <c r="AK314" s="42"/>
      <c r="AL314" s="42"/>
      <c r="AM314" s="42"/>
      <c r="AN314" s="42"/>
      <c r="AO314" s="42"/>
      <c r="AP314" s="42"/>
      <c r="AQ314" s="42"/>
      <c r="AR314" s="42"/>
      <c r="AS314" s="42"/>
      <c r="AT314" s="42"/>
      <c r="AU314" s="42"/>
      <c r="AV314" s="42"/>
      <c r="AW314" s="42"/>
      <c r="AX314" s="42"/>
      <c r="AY314" s="42"/>
      <c r="AZ314" s="42"/>
      <c r="BA314" s="42"/>
      <c r="BB314" s="42"/>
    </row>
    <row r="315" spans="1:54" x14ac:dyDescent="0.25">
      <c r="A315" s="42"/>
      <c r="B315" s="43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  <c r="AC315" s="42"/>
      <c r="AD315" s="42"/>
      <c r="AE315" s="42"/>
      <c r="AF315" s="42"/>
      <c r="AG315" s="42"/>
      <c r="AH315" s="42"/>
      <c r="AI315" s="42"/>
      <c r="AJ315" s="42"/>
      <c r="AK315" s="42"/>
      <c r="AL315" s="42"/>
      <c r="AM315" s="42"/>
      <c r="AN315" s="42"/>
      <c r="AO315" s="42"/>
      <c r="AP315" s="42"/>
      <c r="AQ315" s="42"/>
      <c r="AR315" s="42"/>
      <c r="AS315" s="42"/>
      <c r="AT315" s="42"/>
      <c r="AU315" s="42"/>
      <c r="AV315" s="42"/>
      <c r="AW315" s="42"/>
      <c r="AX315" s="42"/>
      <c r="AY315" s="42"/>
      <c r="AZ315" s="42"/>
      <c r="BA315" s="42"/>
      <c r="BB315" s="42"/>
    </row>
    <row r="316" spans="1:54" x14ac:dyDescent="0.25">
      <c r="A316" s="42"/>
      <c r="B316" s="43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  <c r="AE316" s="42"/>
      <c r="AF316" s="42"/>
      <c r="AG316" s="42"/>
      <c r="AH316" s="42"/>
      <c r="AI316" s="42"/>
      <c r="AJ316" s="42"/>
      <c r="AK316" s="42"/>
      <c r="AL316" s="42"/>
      <c r="AM316" s="42"/>
      <c r="AN316" s="42"/>
      <c r="AO316" s="42"/>
      <c r="AP316" s="42"/>
      <c r="AQ316" s="42"/>
      <c r="AR316" s="42"/>
      <c r="AS316" s="42"/>
      <c r="AT316" s="42"/>
      <c r="AU316" s="42"/>
      <c r="AV316" s="42"/>
      <c r="AW316" s="42"/>
      <c r="AX316" s="42"/>
      <c r="AY316" s="42"/>
      <c r="AZ316" s="42"/>
      <c r="BA316" s="42"/>
      <c r="BB316" s="42"/>
    </row>
    <row r="317" spans="1:54" x14ac:dyDescent="0.25">
      <c r="A317" s="42"/>
      <c r="B317" s="43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  <c r="AC317" s="42"/>
      <c r="AD317" s="42"/>
      <c r="AE317" s="42"/>
      <c r="AF317" s="42"/>
      <c r="AG317" s="42"/>
      <c r="AH317" s="42"/>
      <c r="AI317" s="42"/>
      <c r="AJ317" s="42"/>
      <c r="AK317" s="42"/>
      <c r="AL317" s="42"/>
      <c r="AM317" s="42"/>
      <c r="AN317" s="42"/>
      <c r="AO317" s="42"/>
      <c r="AP317" s="42"/>
      <c r="AQ317" s="42"/>
      <c r="AR317" s="42"/>
      <c r="AS317" s="42"/>
      <c r="AT317" s="42"/>
      <c r="AU317" s="42"/>
      <c r="AV317" s="42"/>
      <c r="AW317" s="42"/>
      <c r="AX317" s="42"/>
      <c r="AY317" s="42"/>
      <c r="AZ317" s="42"/>
      <c r="BA317" s="42"/>
      <c r="BB317" s="42"/>
    </row>
    <row r="318" spans="1:54" x14ac:dyDescent="0.25">
      <c r="A318" s="42"/>
      <c r="B318" s="43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  <c r="AC318" s="42"/>
      <c r="AD318" s="42"/>
      <c r="AE318" s="42"/>
      <c r="AF318" s="42"/>
      <c r="AG318" s="42"/>
      <c r="AH318" s="42"/>
      <c r="AI318" s="42"/>
      <c r="AJ318" s="42"/>
      <c r="AK318" s="42"/>
      <c r="AL318" s="42"/>
      <c r="AM318" s="42"/>
      <c r="AN318" s="42"/>
      <c r="AO318" s="42"/>
      <c r="AP318" s="42"/>
      <c r="AQ318" s="42"/>
      <c r="AR318" s="42"/>
      <c r="AS318" s="42"/>
      <c r="AT318" s="42"/>
      <c r="AU318" s="42"/>
      <c r="AV318" s="42"/>
      <c r="AW318" s="42"/>
      <c r="AX318" s="42"/>
      <c r="AY318" s="42"/>
      <c r="AZ318" s="42"/>
      <c r="BA318" s="42"/>
      <c r="BB318" s="42"/>
    </row>
    <row r="319" spans="1:54" x14ac:dyDescent="0.25">
      <c r="A319" s="42"/>
      <c r="B319" s="43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  <c r="AB319" s="42"/>
      <c r="AC319" s="42"/>
      <c r="AD319" s="42"/>
      <c r="AE319" s="42"/>
      <c r="AF319" s="42"/>
      <c r="AG319" s="42"/>
      <c r="AH319" s="42"/>
      <c r="AI319" s="42"/>
      <c r="AJ319" s="42"/>
      <c r="AK319" s="42"/>
      <c r="AL319" s="42"/>
      <c r="AM319" s="42"/>
      <c r="AN319" s="42"/>
      <c r="AO319" s="42"/>
      <c r="AP319" s="42"/>
      <c r="AQ319" s="42"/>
      <c r="AR319" s="42"/>
      <c r="AS319" s="42"/>
      <c r="AT319" s="42"/>
      <c r="AU319" s="42"/>
      <c r="AV319" s="42"/>
      <c r="AW319" s="42"/>
      <c r="AX319" s="42"/>
      <c r="AY319" s="42"/>
      <c r="AZ319" s="42"/>
      <c r="BA319" s="42"/>
      <c r="BB319" s="42"/>
    </row>
    <row r="320" spans="1:54" x14ac:dyDescent="0.25">
      <c r="A320" s="42"/>
      <c r="B320" s="43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  <c r="AC320" s="42"/>
      <c r="AD320" s="42"/>
      <c r="AE320" s="42"/>
      <c r="AF320" s="42"/>
      <c r="AG320" s="42"/>
      <c r="AH320" s="42"/>
      <c r="AI320" s="42"/>
      <c r="AJ320" s="42"/>
      <c r="AK320" s="42"/>
      <c r="AL320" s="42"/>
      <c r="AM320" s="42"/>
      <c r="AN320" s="42"/>
      <c r="AO320" s="42"/>
      <c r="AP320" s="42"/>
      <c r="AQ320" s="42"/>
      <c r="AR320" s="42"/>
      <c r="AS320" s="42"/>
      <c r="AT320" s="42"/>
      <c r="AU320" s="42"/>
      <c r="AV320" s="42"/>
      <c r="AW320" s="42"/>
      <c r="AX320" s="42"/>
      <c r="AY320" s="42"/>
      <c r="AZ320" s="42"/>
      <c r="BA320" s="42"/>
      <c r="BB320" s="42"/>
    </row>
    <row r="321" spans="1:54" x14ac:dyDescent="0.25">
      <c r="A321" s="42"/>
      <c r="B321" s="43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  <c r="AC321" s="42"/>
      <c r="AD321" s="42"/>
      <c r="AE321" s="42"/>
      <c r="AF321" s="42"/>
      <c r="AG321" s="42"/>
      <c r="AH321" s="42"/>
      <c r="AI321" s="42"/>
      <c r="AJ321" s="42"/>
      <c r="AK321" s="42"/>
      <c r="AL321" s="42"/>
      <c r="AM321" s="42"/>
      <c r="AN321" s="42"/>
      <c r="AO321" s="42"/>
      <c r="AP321" s="42"/>
      <c r="AQ321" s="42"/>
      <c r="AR321" s="42"/>
      <c r="AS321" s="42"/>
      <c r="AT321" s="42"/>
      <c r="AU321" s="42"/>
      <c r="AV321" s="42"/>
      <c r="AW321" s="42"/>
      <c r="AX321" s="42"/>
      <c r="AY321" s="42"/>
      <c r="AZ321" s="42"/>
      <c r="BA321" s="42"/>
      <c r="BB321" s="42"/>
    </row>
    <row r="322" spans="1:54" x14ac:dyDescent="0.25">
      <c r="A322" s="42"/>
      <c r="B322" s="43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  <c r="AC322" s="42"/>
      <c r="AD322" s="42"/>
      <c r="AE322" s="42"/>
      <c r="AF322" s="42"/>
      <c r="AG322" s="42"/>
      <c r="AH322" s="42"/>
      <c r="AI322" s="42"/>
      <c r="AJ322" s="42"/>
      <c r="AK322" s="42"/>
      <c r="AL322" s="42"/>
      <c r="AM322" s="42"/>
      <c r="AN322" s="42"/>
      <c r="AO322" s="42"/>
      <c r="AP322" s="42"/>
      <c r="AQ322" s="42"/>
      <c r="AR322" s="42"/>
      <c r="AS322" s="42"/>
      <c r="AT322" s="42"/>
      <c r="AU322" s="42"/>
      <c r="AV322" s="42"/>
      <c r="AW322" s="42"/>
      <c r="AX322" s="42"/>
      <c r="AY322" s="42"/>
      <c r="AZ322" s="42"/>
      <c r="BA322" s="42"/>
      <c r="BB322" s="42"/>
    </row>
    <row r="323" spans="1:54" x14ac:dyDescent="0.25">
      <c r="A323" s="42"/>
      <c r="B323" s="43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  <c r="AC323" s="42"/>
      <c r="AD323" s="42"/>
      <c r="AE323" s="42"/>
      <c r="AF323" s="42"/>
      <c r="AG323" s="42"/>
      <c r="AH323" s="42"/>
      <c r="AI323" s="42"/>
      <c r="AJ323" s="42"/>
      <c r="AK323" s="42"/>
      <c r="AL323" s="42"/>
      <c r="AM323" s="42"/>
      <c r="AN323" s="42"/>
      <c r="AO323" s="42"/>
      <c r="AP323" s="42"/>
      <c r="AQ323" s="42"/>
      <c r="AR323" s="42"/>
      <c r="AS323" s="42"/>
      <c r="AT323" s="42"/>
      <c r="AU323" s="42"/>
      <c r="AV323" s="42"/>
      <c r="AW323" s="42"/>
      <c r="AX323" s="42"/>
      <c r="AY323" s="42"/>
      <c r="AZ323" s="42"/>
      <c r="BA323" s="42"/>
      <c r="BB323" s="42"/>
    </row>
    <row r="324" spans="1:54" x14ac:dyDescent="0.25">
      <c r="A324" s="42"/>
      <c r="B324" s="43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  <c r="AC324" s="42"/>
      <c r="AD324" s="42"/>
      <c r="AE324" s="42"/>
      <c r="AF324" s="42"/>
      <c r="AG324" s="42"/>
      <c r="AH324" s="42"/>
      <c r="AI324" s="42"/>
      <c r="AJ324" s="42"/>
      <c r="AK324" s="42"/>
      <c r="AL324" s="42"/>
      <c r="AM324" s="42"/>
      <c r="AN324" s="42"/>
      <c r="AO324" s="42"/>
      <c r="AP324" s="42"/>
      <c r="AQ324" s="42"/>
      <c r="AR324" s="42"/>
      <c r="AS324" s="42"/>
      <c r="AT324" s="42"/>
      <c r="AU324" s="42"/>
      <c r="AV324" s="42"/>
      <c r="AW324" s="42"/>
      <c r="AX324" s="42"/>
      <c r="AY324" s="42"/>
      <c r="AZ324" s="42"/>
      <c r="BA324" s="42"/>
      <c r="BB324" s="42"/>
    </row>
    <row r="325" spans="1:54" x14ac:dyDescent="0.25">
      <c r="A325" s="42"/>
      <c r="B325" s="43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  <c r="AC325" s="42"/>
      <c r="AD325" s="42"/>
      <c r="AE325" s="42"/>
      <c r="AF325" s="42"/>
      <c r="AG325" s="42"/>
      <c r="AH325" s="42"/>
      <c r="AI325" s="42"/>
      <c r="AJ325" s="42"/>
      <c r="AK325" s="42"/>
      <c r="AL325" s="42"/>
      <c r="AM325" s="42"/>
      <c r="AN325" s="42"/>
      <c r="AO325" s="42"/>
      <c r="AP325" s="42"/>
      <c r="AQ325" s="42"/>
      <c r="AR325" s="42"/>
      <c r="AS325" s="42"/>
      <c r="AT325" s="42"/>
      <c r="AU325" s="42"/>
      <c r="AV325" s="42"/>
      <c r="AW325" s="42"/>
      <c r="AX325" s="42"/>
      <c r="AY325" s="42"/>
      <c r="AZ325" s="42"/>
      <c r="BA325" s="42"/>
      <c r="BB325" s="42"/>
    </row>
    <row r="326" spans="1:54" x14ac:dyDescent="0.25">
      <c r="A326" s="42"/>
      <c r="B326" s="43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  <c r="AC326" s="42"/>
      <c r="AD326" s="42"/>
      <c r="AE326" s="42"/>
      <c r="AF326" s="42"/>
      <c r="AG326" s="42"/>
      <c r="AH326" s="42"/>
      <c r="AI326" s="42"/>
      <c r="AJ326" s="42"/>
      <c r="AK326" s="42"/>
      <c r="AL326" s="42"/>
      <c r="AM326" s="42"/>
      <c r="AN326" s="42"/>
      <c r="AO326" s="42"/>
      <c r="AP326" s="42"/>
      <c r="AQ326" s="42"/>
      <c r="AR326" s="42"/>
      <c r="AS326" s="42"/>
      <c r="AT326" s="42"/>
      <c r="AU326" s="42"/>
      <c r="AV326" s="42"/>
      <c r="AW326" s="42"/>
      <c r="AX326" s="42"/>
      <c r="AY326" s="42"/>
      <c r="AZ326" s="42"/>
      <c r="BA326" s="42"/>
      <c r="BB326" s="42"/>
    </row>
    <row r="327" spans="1:54" x14ac:dyDescent="0.25">
      <c r="A327" s="42"/>
      <c r="B327" s="43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  <c r="AC327" s="42"/>
      <c r="AD327" s="42"/>
      <c r="AE327" s="42"/>
      <c r="AF327" s="42"/>
      <c r="AG327" s="42"/>
      <c r="AH327" s="42"/>
      <c r="AI327" s="42"/>
      <c r="AJ327" s="42"/>
      <c r="AK327" s="42"/>
      <c r="AL327" s="42"/>
      <c r="AM327" s="42"/>
      <c r="AN327" s="42"/>
      <c r="AO327" s="42"/>
      <c r="AP327" s="42"/>
      <c r="AQ327" s="42"/>
      <c r="AR327" s="42"/>
      <c r="AS327" s="42"/>
      <c r="AT327" s="42"/>
      <c r="AU327" s="42"/>
      <c r="AV327" s="42"/>
      <c r="AW327" s="42"/>
      <c r="AX327" s="42"/>
      <c r="AY327" s="42"/>
      <c r="AZ327" s="42"/>
      <c r="BA327" s="42"/>
      <c r="BB327" s="42"/>
    </row>
    <row r="328" spans="1:54" x14ac:dyDescent="0.25">
      <c r="A328" s="42"/>
      <c r="B328" s="43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  <c r="AC328" s="42"/>
      <c r="AD328" s="42"/>
      <c r="AE328" s="42"/>
      <c r="AF328" s="42"/>
      <c r="AG328" s="42"/>
      <c r="AH328" s="42"/>
      <c r="AI328" s="42"/>
      <c r="AJ328" s="42"/>
      <c r="AK328" s="42"/>
      <c r="AL328" s="42"/>
      <c r="AM328" s="42"/>
      <c r="AN328" s="42"/>
      <c r="AO328" s="42"/>
      <c r="AP328" s="42"/>
      <c r="AQ328" s="42"/>
      <c r="AR328" s="42"/>
      <c r="AS328" s="42"/>
      <c r="AT328" s="42"/>
      <c r="AU328" s="42"/>
      <c r="AV328" s="42"/>
      <c r="AW328" s="42"/>
      <c r="AX328" s="42"/>
      <c r="AY328" s="42"/>
      <c r="AZ328" s="42"/>
      <c r="BA328" s="42"/>
      <c r="BB328" s="42"/>
    </row>
    <row r="329" spans="1:54" x14ac:dyDescent="0.25">
      <c r="A329" s="42"/>
      <c r="B329" s="43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2"/>
      <c r="AM329" s="42"/>
      <c r="AN329" s="42"/>
      <c r="AO329" s="42"/>
      <c r="AP329" s="42"/>
      <c r="AQ329" s="42"/>
      <c r="AR329" s="42"/>
      <c r="AS329" s="42"/>
      <c r="AT329" s="42"/>
      <c r="AU329" s="42"/>
      <c r="AV329" s="42"/>
      <c r="AW329" s="42"/>
      <c r="AX329" s="42"/>
      <c r="AY329" s="42"/>
      <c r="AZ329" s="42"/>
      <c r="BA329" s="42"/>
      <c r="BB329" s="42"/>
    </row>
    <row r="330" spans="1:54" x14ac:dyDescent="0.25">
      <c r="A330" s="42"/>
      <c r="B330" s="43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  <c r="AC330" s="42"/>
      <c r="AD330" s="42"/>
      <c r="AE330" s="42"/>
      <c r="AF330" s="42"/>
      <c r="AG330" s="42"/>
      <c r="AH330" s="42"/>
      <c r="AI330" s="42"/>
      <c r="AJ330" s="42"/>
      <c r="AK330" s="42"/>
      <c r="AL330" s="42"/>
      <c r="AM330" s="42"/>
      <c r="AN330" s="42"/>
      <c r="AO330" s="42"/>
      <c r="AP330" s="42"/>
      <c r="AQ330" s="42"/>
      <c r="AR330" s="42"/>
      <c r="AS330" s="42"/>
      <c r="AT330" s="42"/>
      <c r="AU330" s="42"/>
      <c r="AV330" s="42"/>
      <c r="AW330" s="42"/>
      <c r="AX330" s="42"/>
      <c r="AY330" s="42"/>
      <c r="AZ330" s="42"/>
      <c r="BA330" s="42"/>
      <c r="BB330" s="42"/>
    </row>
    <row r="331" spans="1:54" x14ac:dyDescent="0.25">
      <c r="A331" s="42"/>
      <c r="B331" s="43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  <c r="AC331" s="42"/>
      <c r="AD331" s="42"/>
      <c r="AE331" s="42"/>
      <c r="AF331" s="42"/>
      <c r="AG331" s="42"/>
      <c r="AH331" s="42"/>
      <c r="AI331" s="42"/>
      <c r="AJ331" s="42"/>
      <c r="AK331" s="42"/>
      <c r="AL331" s="42"/>
      <c r="AM331" s="42"/>
      <c r="AN331" s="42"/>
      <c r="AO331" s="42"/>
      <c r="AP331" s="42"/>
      <c r="AQ331" s="42"/>
      <c r="AR331" s="42"/>
      <c r="AS331" s="42"/>
      <c r="AT331" s="42"/>
      <c r="AU331" s="42"/>
      <c r="AV331" s="42"/>
      <c r="AW331" s="42"/>
      <c r="AX331" s="42"/>
      <c r="AY331" s="42"/>
      <c r="AZ331" s="42"/>
      <c r="BA331" s="42"/>
      <c r="BB331" s="42"/>
    </row>
    <row r="332" spans="1:54" x14ac:dyDescent="0.25">
      <c r="A332" s="42"/>
      <c r="B332" s="43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  <c r="AM332" s="42"/>
      <c r="AN332" s="42"/>
      <c r="AO332" s="42"/>
      <c r="AP332" s="42"/>
      <c r="AQ332" s="42"/>
      <c r="AR332" s="42"/>
      <c r="AS332" s="42"/>
      <c r="AT332" s="42"/>
      <c r="AU332" s="42"/>
      <c r="AV332" s="42"/>
      <c r="AW332" s="42"/>
      <c r="AX332" s="42"/>
      <c r="AY332" s="42"/>
      <c r="AZ332" s="42"/>
      <c r="BA332" s="42"/>
      <c r="BB332" s="42"/>
    </row>
    <row r="333" spans="1:54" x14ac:dyDescent="0.25">
      <c r="A333" s="42"/>
      <c r="B333" s="43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  <c r="AB333" s="42"/>
      <c r="AC333" s="42"/>
      <c r="AD333" s="42"/>
      <c r="AE333" s="42"/>
      <c r="AF333" s="42"/>
      <c r="AG333" s="42"/>
      <c r="AH333" s="42"/>
      <c r="AI333" s="42"/>
      <c r="AJ333" s="42"/>
      <c r="AK333" s="42"/>
      <c r="AL333" s="42"/>
      <c r="AM333" s="42"/>
      <c r="AN333" s="42"/>
      <c r="AO333" s="42"/>
      <c r="AP333" s="42"/>
      <c r="AQ333" s="42"/>
      <c r="AR333" s="42"/>
      <c r="AS333" s="42"/>
      <c r="AT333" s="42"/>
      <c r="AU333" s="42"/>
      <c r="AV333" s="42"/>
      <c r="AW333" s="42"/>
      <c r="AX333" s="42"/>
      <c r="AY333" s="42"/>
      <c r="AZ333" s="42"/>
      <c r="BA333" s="42"/>
      <c r="BB333" s="42"/>
    </row>
    <row r="334" spans="1:54" x14ac:dyDescent="0.25">
      <c r="A334" s="42"/>
      <c r="B334" s="43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  <c r="AC334" s="42"/>
      <c r="AD334" s="42"/>
      <c r="AE334" s="42"/>
      <c r="AF334" s="42"/>
      <c r="AG334" s="42"/>
      <c r="AH334" s="42"/>
      <c r="AI334" s="42"/>
      <c r="AJ334" s="42"/>
      <c r="AK334" s="42"/>
      <c r="AL334" s="42"/>
      <c r="AM334" s="42"/>
      <c r="AN334" s="42"/>
      <c r="AO334" s="42"/>
      <c r="AP334" s="42"/>
      <c r="AQ334" s="42"/>
      <c r="AR334" s="42"/>
      <c r="AS334" s="42"/>
      <c r="AT334" s="42"/>
      <c r="AU334" s="42"/>
      <c r="AV334" s="42"/>
      <c r="AW334" s="42"/>
      <c r="AX334" s="42"/>
      <c r="AY334" s="42"/>
      <c r="AZ334" s="42"/>
      <c r="BA334" s="42"/>
      <c r="BB334" s="42"/>
    </row>
    <row r="335" spans="1:54" x14ac:dyDescent="0.25">
      <c r="A335" s="42"/>
      <c r="B335" s="43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  <c r="AC335" s="42"/>
      <c r="AD335" s="42"/>
      <c r="AE335" s="42"/>
      <c r="AF335" s="42"/>
      <c r="AG335" s="42"/>
      <c r="AH335" s="42"/>
      <c r="AI335" s="42"/>
      <c r="AJ335" s="42"/>
      <c r="AK335" s="42"/>
      <c r="AL335" s="42"/>
      <c r="AM335" s="42"/>
      <c r="AN335" s="42"/>
      <c r="AO335" s="42"/>
      <c r="AP335" s="42"/>
      <c r="AQ335" s="42"/>
      <c r="AR335" s="42"/>
      <c r="AS335" s="42"/>
      <c r="AT335" s="42"/>
      <c r="AU335" s="42"/>
      <c r="AV335" s="42"/>
      <c r="AW335" s="42"/>
      <c r="AX335" s="42"/>
      <c r="AY335" s="42"/>
      <c r="AZ335" s="42"/>
      <c r="BA335" s="42"/>
      <c r="BB335" s="42"/>
    </row>
    <row r="336" spans="1:54" x14ac:dyDescent="0.25">
      <c r="A336" s="42"/>
      <c r="B336" s="43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  <c r="AC336" s="42"/>
      <c r="AD336" s="42"/>
      <c r="AE336" s="42"/>
      <c r="AF336" s="42"/>
      <c r="AG336" s="42"/>
      <c r="AH336" s="42"/>
      <c r="AI336" s="42"/>
      <c r="AJ336" s="42"/>
      <c r="AK336" s="42"/>
      <c r="AL336" s="42"/>
      <c r="AM336" s="42"/>
      <c r="AN336" s="42"/>
      <c r="AO336" s="42"/>
      <c r="AP336" s="42"/>
      <c r="AQ336" s="42"/>
      <c r="AR336" s="42"/>
      <c r="AS336" s="42"/>
      <c r="AT336" s="42"/>
      <c r="AU336" s="42"/>
      <c r="AV336" s="42"/>
      <c r="AW336" s="42"/>
      <c r="AX336" s="42"/>
      <c r="AY336" s="42"/>
      <c r="AZ336" s="42"/>
      <c r="BA336" s="42"/>
      <c r="BB336" s="42"/>
    </row>
    <row r="337" spans="1:54" x14ac:dyDescent="0.25">
      <c r="A337" s="42"/>
      <c r="B337" s="43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  <c r="AB337" s="42"/>
      <c r="AC337" s="42"/>
      <c r="AD337" s="42"/>
      <c r="AE337" s="42"/>
      <c r="AF337" s="42"/>
      <c r="AG337" s="42"/>
      <c r="AH337" s="42"/>
      <c r="AI337" s="42"/>
      <c r="AJ337" s="42"/>
      <c r="AK337" s="42"/>
      <c r="AL337" s="42"/>
      <c r="AM337" s="42"/>
      <c r="AN337" s="42"/>
      <c r="AO337" s="42"/>
      <c r="AP337" s="42"/>
      <c r="AQ337" s="42"/>
      <c r="AR337" s="42"/>
      <c r="AS337" s="42"/>
      <c r="AT337" s="42"/>
      <c r="AU337" s="42"/>
      <c r="AV337" s="42"/>
      <c r="AW337" s="42"/>
      <c r="AX337" s="42"/>
      <c r="AY337" s="42"/>
      <c r="AZ337" s="42"/>
      <c r="BA337" s="42"/>
      <c r="BB337" s="42"/>
    </row>
    <row r="338" spans="1:54" x14ac:dyDescent="0.25">
      <c r="A338" s="42"/>
      <c r="B338" s="43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  <c r="AC338" s="42"/>
      <c r="AD338" s="42"/>
      <c r="AE338" s="42"/>
      <c r="AF338" s="42"/>
      <c r="AG338" s="42"/>
      <c r="AH338" s="42"/>
      <c r="AI338" s="42"/>
      <c r="AJ338" s="42"/>
      <c r="AK338" s="42"/>
      <c r="AL338" s="42"/>
      <c r="AM338" s="42"/>
      <c r="AN338" s="42"/>
      <c r="AO338" s="42"/>
      <c r="AP338" s="42"/>
      <c r="AQ338" s="42"/>
      <c r="AR338" s="42"/>
      <c r="AS338" s="42"/>
      <c r="AT338" s="42"/>
      <c r="AU338" s="42"/>
      <c r="AV338" s="42"/>
      <c r="AW338" s="42"/>
      <c r="AX338" s="42"/>
      <c r="AY338" s="42"/>
      <c r="AZ338" s="42"/>
      <c r="BA338" s="42"/>
      <c r="BB338" s="42"/>
    </row>
    <row r="339" spans="1:54" x14ac:dyDescent="0.25">
      <c r="A339" s="42"/>
      <c r="B339" s="43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  <c r="AA339" s="42"/>
      <c r="AB339" s="42"/>
      <c r="AC339" s="42"/>
      <c r="AD339" s="42"/>
      <c r="AE339" s="42"/>
      <c r="AF339" s="42"/>
      <c r="AG339" s="42"/>
      <c r="AH339" s="42"/>
      <c r="AI339" s="42"/>
      <c r="AJ339" s="42"/>
      <c r="AK339" s="42"/>
      <c r="AL339" s="42"/>
      <c r="AM339" s="42"/>
      <c r="AN339" s="42"/>
      <c r="AO339" s="42"/>
      <c r="AP339" s="42"/>
      <c r="AQ339" s="42"/>
      <c r="AR339" s="42"/>
      <c r="AS339" s="42"/>
      <c r="AT339" s="42"/>
      <c r="AU339" s="42"/>
      <c r="AV339" s="42"/>
      <c r="AW339" s="42"/>
      <c r="AX339" s="42"/>
      <c r="AY339" s="42"/>
      <c r="AZ339" s="42"/>
      <c r="BA339" s="42"/>
      <c r="BB339" s="42"/>
    </row>
    <row r="340" spans="1:54" x14ac:dyDescent="0.25">
      <c r="A340" s="42"/>
      <c r="B340" s="43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  <c r="AC340" s="42"/>
      <c r="AD340" s="42"/>
      <c r="AE340" s="42"/>
      <c r="AF340" s="42"/>
      <c r="AG340" s="42"/>
      <c r="AH340" s="42"/>
      <c r="AI340" s="42"/>
      <c r="AJ340" s="42"/>
      <c r="AK340" s="42"/>
      <c r="AL340" s="42"/>
      <c r="AM340" s="42"/>
      <c r="AN340" s="42"/>
      <c r="AO340" s="42"/>
      <c r="AP340" s="42"/>
      <c r="AQ340" s="42"/>
      <c r="AR340" s="42"/>
      <c r="AS340" s="42"/>
      <c r="AT340" s="42"/>
      <c r="AU340" s="42"/>
      <c r="AV340" s="42"/>
      <c r="AW340" s="42"/>
      <c r="AX340" s="42"/>
      <c r="AY340" s="42"/>
      <c r="AZ340" s="42"/>
      <c r="BA340" s="42"/>
      <c r="BB340" s="42"/>
    </row>
    <row r="341" spans="1:54" x14ac:dyDescent="0.25">
      <c r="A341" s="42"/>
      <c r="B341" s="43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  <c r="AB341" s="42"/>
      <c r="AC341" s="42"/>
      <c r="AD341" s="42"/>
      <c r="AE341" s="42"/>
      <c r="AF341" s="42"/>
      <c r="AG341" s="42"/>
      <c r="AH341" s="42"/>
      <c r="AI341" s="42"/>
      <c r="AJ341" s="42"/>
      <c r="AK341" s="42"/>
      <c r="AL341" s="42"/>
      <c r="AM341" s="42"/>
      <c r="AN341" s="42"/>
      <c r="AO341" s="42"/>
      <c r="AP341" s="42"/>
      <c r="AQ341" s="42"/>
      <c r="AR341" s="42"/>
      <c r="AS341" s="42"/>
      <c r="AT341" s="42"/>
      <c r="AU341" s="42"/>
      <c r="AV341" s="42"/>
      <c r="AW341" s="42"/>
      <c r="AX341" s="42"/>
      <c r="AY341" s="42"/>
      <c r="AZ341" s="42"/>
      <c r="BA341" s="42"/>
      <c r="BB341" s="42"/>
    </row>
    <row r="342" spans="1:54" x14ac:dyDescent="0.25">
      <c r="A342" s="42"/>
      <c r="B342" s="43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  <c r="AH342" s="42"/>
      <c r="AI342" s="42"/>
      <c r="AJ342" s="42"/>
      <c r="AK342" s="42"/>
      <c r="AL342" s="42"/>
      <c r="AM342" s="42"/>
      <c r="AN342" s="42"/>
      <c r="AO342" s="42"/>
      <c r="AP342" s="42"/>
      <c r="AQ342" s="42"/>
      <c r="AR342" s="42"/>
      <c r="AS342" s="42"/>
      <c r="AT342" s="42"/>
      <c r="AU342" s="42"/>
      <c r="AV342" s="42"/>
      <c r="AW342" s="42"/>
      <c r="AX342" s="42"/>
      <c r="AY342" s="42"/>
      <c r="AZ342" s="42"/>
      <c r="BA342" s="42"/>
      <c r="BB342" s="42"/>
    </row>
    <row r="343" spans="1:54" x14ac:dyDescent="0.25">
      <c r="A343" s="42"/>
      <c r="B343" s="43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  <c r="AC343" s="42"/>
      <c r="AD343" s="42"/>
      <c r="AE343" s="42"/>
      <c r="AF343" s="42"/>
      <c r="AG343" s="42"/>
      <c r="AH343" s="42"/>
      <c r="AI343" s="42"/>
      <c r="AJ343" s="42"/>
      <c r="AK343" s="42"/>
      <c r="AL343" s="42"/>
      <c r="AM343" s="42"/>
      <c r="AN343" s="42"/>
      <c r="AO343" s="42"/>
      <c r="AP343" s="42"/>
      <c r="AQ343" s="42"/>
      <c r="AR343" s="42"/>
      <c r="AS343" s="42"/>
      <c r="AT343" s="42"/>
      <c r="AU343" s="42"/>
      <c r="AV343" s="42"/>
      <c r="AW343" s="42"/>
      <c r="AX343" s="42"/>
      <c r="AY343" s="42"/>
      <c r="AZ343" s="42"/>
      <c r="BA343" s="42"/>
      <c r="BB343" s="42"/>
    </row>
    <row r="344" spans="1:54" x14ac:dyDescent="0.25">
      <c r="A344" s="42"/>
      <c r="B344" s="43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  <c r="AH344" s="42"/>
      <c r="AI344" s="42"/>
      <c r="AJ344" s="42"/>
      <c r="AK344" s="42"/>
      <c r="AL344" s="42"/>
      <c r="AM344" s="42"/>
      <c r="AN344" s="42"/>
      <c r="AO344" s="42"/>
      <c r="AP344" s="42"/>
      <c r="AQ344" s="42"/>
      <c r="AR344" s="42"/>
      <c r="AS344" s="42"/>
      <c r="AT344" s="42"/>
      <c r="AU344" s="42"/>
      <c r="AV344" s="42"/>
      <c r="AW344" s="42"/>
      <c r="AX344" s="42"/>
      <c r="AY344" s="42"/>
      <c r="AZ344" s="42"/>
      <c r="BA344" s="42"/>
      <c r="BB344" s="42"/>
    </row>
    <row r="345" spans="1:54" x14ac:dyDescent="0.25">
      <c r="A345" s="42"/>
      <c r="B345" s="43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  <c r="AG345" s="42"/>
      <c r="AH345" s="42"/>
      <c r="AI345" s="42"/>
      <c r="AJ345" s="42"/>
      <c r="AK345" s="42"/>
      <c r="AL345" s="42"/>
      <c r="AM345" s="42"/>
      <c r="AN345" s="42"/>
      <c r="AO345" s="42"/>
      <c r="AP345" s="42"/>
      <c r="AQ345" s="42"/>
      <c r="AR345" s="42"/>
      <c r="AS345" s="42"/>
      <c r="AT345" s="42"/>
      <c r="AU345" s="42"/>
      <c r="AV345" s="42"/>
      <c r="AW345" s="42"/>
      <c r="AX345" s="42"/>
      <c r="AY345" s="42"/>
      <c r="AZ345" s="42"/>
      <c r="BA345" s="42"/>
      <c r="BB345" s="42"/>
    </row>
    <row r="346" spans="1:54" x14ac:dyDescent="0.25">
      <c r="A346" s="42"/>
      <c r="B346" s="43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  <c r="AA346" s="42"/>
      <c r="AB346" s="42"/>
      <c r="AC346" s="42"/>
      <c r="AD346" s="42"/>
      <c r="AE346" s="42"/>
      <c r="AF346" s="42"/>
      <c r="AG346" s="42"/>
      <c r="AH346" s="42"/>
      <c r="AI346" s="42"/>
      <c r="AJ346" s="42"/>
      <c r="AK346" s="42"/>
      <c r="AL346" s="42"/>
      <c r="AM346" s="42"/>
      <c r="AN346" s="42"/>
      <c r="AO346" s="42"/>
      <c r="AP346" s="42"/>
      <c r="AQ346" s="42"/>
      <c r="AR346" s="42"/>
      <c r="AS346" s="42"/>
      <c r="AT346" s="42"/>
      <c r="AU346" s="42"/>
      <c r="AV346" s="42"/>
      <c r="AW346" s="42"/>
      <c r="AX346" s="42"/>
      <c r="AY346" s="42"/>
      <c r="AZ346" s="42"/>
      <c r="BA346" s="42"/>
      <c r="BB346" s="42"/>
    </row>
    <row r="347" spans="1:54" x14ac:dyDescent="0.25">
      <c r="A347" s="42"/>
      <c r="B347" s="43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  <c r="AA347" s="42"/>
      <c r="AB347" s="42"/>
      <c r="AC347" s="42"/>
      <c r="AD347" s="42"/>
      <c r="AE347" s="42"/>
      <c r="AF347" s="42"/>
      <c r="AG347" s="42"/>
      <c r="AH347" s="42"/>
      <c r="AI347" s="42"/>
      <c r="AJ347" s="42"/>
      <c r="AK347" s="42"/>
      <c r="AL347" s="42"/>
      <c r="AM347" s="42"/>
      <c r="AN347" s="42"/>
      <c r="AO347" s="42"/>
      <c r="AP347" s="42"/>
      <c r="AQ347" s="42"/>
      <c r="AR347" s="42"/>
      <c r="AS347" s="42"/>
      <c r="AT347" s="42"/>
      <c r="AU347" s="42"/>
      <c r="AV347" s="42"/>
      <c r="AW347" s="42"/>
      <c r="AX347" s="42"/>
      <c r="AY347" s="42"/>
      <c r="AZ347" s="42"/>
      <c r="BA347" s="42"/>
      <c r="BB347" s="42"/>
    </row>
    <row r="348" spans="1:54" x14ac:dyDescent="0.25">
      <c r="A348" s="42"/>
      <c r="B348" s="43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  <c r="AA348" s="42"/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/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/>
      <c r="BB348" s="42"/>
    </row>
    <row r="349" spans="1:54" x14ac:dyDescent="0.25">
      <c r="A349" s="42"/>
      <c r="B349" s="43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  <c r="AA349" s="42"/>
      <c r="AB349" s="42"/>
      <c r="AC349" s="42"/>
      <c r="AD349" s="42"/>
      <c r="AE349" s="42"/>
      <c r="AF349" s="42"/>
      <c r="AG349" s="42"/>
      <c r="AH349" s="42"/>
      <c r="AI349" s="42"/>
      <c r="AJ349" s="42"/>
      <c r="AK349" s="42"/>
      <c r="AL349" s="42"/>
      <c r="AM349" s="42"/>
      <c r="AN349" s="42"/>
      <c r="AO349" s="42"/>
      <c r="AP349" s="42"/>
      <c r="AQ349" s="42"/>
      <c r="AR349" s="42"/>
      <c r="AS349" s="42"/>
      <c r="AT349" s="42"/>
      <c r="AU349" s="42"/>
      <c r="AV349" s="42"/>
      <c r="AW349" s="42"/>
      <c r="AX349" s="42"/>
      <c r="AY349" s="42"/>
      <c r="AZ349" s="42"/>
      <c r="BA349" s="42"/>
      <c r="BB349" s="42"/>
    </row>
    <row r="350" spans="1:54" x14ac:dyDescent="0.25">
      <c r="A350" s="42"/>
      <c r="B350" s="43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  <c r="AA350" s="42"/>
      <c r="AB350" s="42"/>
      <c r="AC350" s="42"/>
      <c r="AD350" s="42"/>
      <c r="AE350" s="42"/>
      <c r="AF350" s="42"/>
      <c r="AG350" s="42"/>
      <c r="AH350" s="42"/>
      <c r="AI350" s="42"/>
      <c r="AJ350" s="42"/>
      <c r="AK350" s="42"/>
      <c r="AL350" s="42"/>
      <c r="AM350" s="42"/>
      <c r="AN350" s="42"/>
      <c r="AO350" s="42"/>
      <c r="AP350" s="42"/>
      <c r="AQ350" s="42"/>
      <c r="AR350" s="42"/>
      <c r="AS350" s="42"/>
      <c r="AT350" s="42"/>
      <c r="AU350" s="42"/>
      <c r="AV350" s="42"/>
      <c r="AW350" s="42"/>
      <c r="AX350" s="42"/>
      <c r="AY350" s="42"/>
      <c r="AZ350" s="42"/>
      <c r="BA350" s="42"/>
      <c r="BB350" s="42"/>
    </row>
    <row r="351" spans="1:54" x14ac:dyDescent="0.25">
      <c r="A351" s="42"/>
      <c r="B351" s="43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  <c r="AA351" s="42"/>
      <c r="AB351" s="42"/>
      <c r="AC351" s="42"/>
      <c r="AD351" s="42"/>
      <c r="AE351" s="42"/>
      <c r="AF351" s="42"/>
      <c r="AG351" s="42"/>
      <c r="AH351" s="42"/>
      <c r="AI351" s="42"/>
      <c r="AJ351" s="42"/>
      <c r="AK351" s="42"/>
      <c r="AL351" s="42"/>
      <c r="AM351" s="42"/>
      <c r="AN351" s="42"/>
      <c r="AO351" s="42"/>
      <c r="AP351" s="42"/>
      <c r="AQ351" s="42"/>
      <c r="AR351" s="42"/>
      <c r="AS351" s="42"/>
      <c r="AT351" s="42"/>
      <c r="AU351" s="42"/>
      <c r="AV351" s="42"/>
      <c r="AW351" s="42"/>
      <c r="AX351" s="42"/>
      <c r="AY351" s="42"/>
      <c r="AZ351" s="42"/>
      <c r="BA351" s="42"/>
      <c r="BB351" s="42"/>
    </row>
    <row r="352" spans="1:54" x14ac:dyDescent="0.25">
      <c r="A352" s="42"/>
      <c r="B352" s="43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  <c r="AA352" s="42"/>
      <c r="AB352" s="42"/>
      <c r="AC352" s="42"/>
      <c r="AD352" s="42"/>
      <c r="AE352" s="42"/>
      <c r="AF352" s="42"/>
      <c r="AG352" s="42"/>
      <c r="AH352" s="42"/>
      <c r="AI352" s="42"/>
      <c r="AJ352" s="42"/>
      <c r="AK352" s="42"/>
      <c r="AL352" s="42"/>
      <c r="AM352" s="42"/>
      <c r="AN352" s="42"/>
      <c r="AO352" s="42"/>
      <c r="AP352" s="42"/>
      <c r="AQ352" s="42"/>
      <c r="AR352" s="42"/>
      <c r="AS352" s="42"/>
      <c r="AT352" s="42"/>
      <c r="AU352" s="42"/>
      <c r="AV352" s="42"/>
      <c r="AW352" s="42"/>
      <c r="AX352" s="42"/>
      <c r="AY352" s="42"/>
      <c r="AZ352" s="42"/>
      <c r="BA352" s="42"/>
      <c r="BB352" s="42"/>
    </row>
    <row r="353" spans="1:54" x14ac:dyDescent="0.25">
      <c r="A353" s="42"/>
      <c r="B353" s="43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  <c r="AA353" s="42"/>
      <c r="AB353" s="42"/>
      <c r="AC353" s="42"/>
      <c r="AD353" s="42"/>
      <c r="AE353" s="42"/>
      <c r="AF353" s="42"/>
      <c r="AG353" s="42"/>
      <c r="AH353" s="42"/>
      <c r="AI353" s="42"/>
      <c r="AJ353" s="42"/>
      <c r="AK353" s="42"/>
      <c r="AL353" s="42"/>
      <c r="AM353" s="42"/>
      <c r="AN353" s="42"/>
      <c r="AO353" s="42"/>
      <c r="AP353" s="42"/>
      <c r="AQ353" s="42"/>
      <c r="AR353" s="42"/>
      <c r="AS353" s="42"/>
      <c r="AT353" s="42"/>
      <c r="AU353" s="42"/>
      <c r="AV353" s="42"/>
      <c r="AW353" s="42"/>
      <c r="AX353" s="42"/>
      <c r="AY353" s="42"/>
      <c r="AZ353" s="42"/>
      <c r="BA353" s="42"/>
      <c r="BB353" s="42"/>
    </row>
    <row r="354" spans="1:54" x14ac:dyDescent="0.25">
      <c r="A354" s="42"/>
      <c r="B354" s="43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  <c r="AA354" s="42"/>
      <c r="AB354" s="42"/>
      <c r="AC354" s="42"/>
      <c r="AD354" s="42"/>
      <c r="AE354" s="42"/>
      <c r="AF354" s="42"/>
      <c r="AG354" s="42"/>
      <c r="AH354" s="42"/>
      <c r="AI354" s="42"/>
      <c r="AJ354" s="42"/>
      <c r="AK354" s="42"/>
      <c r="AL354" s="42"/>
      <c r="AM354" s="42"/>
      <c r="AN354" s="42"/>
      <c r="AO354" s="42"/>
      <c r="AP354" s="42"/>
      <c r="AQ354" s="42"/>
      <c r="AR354" s="42"/>
      <c r="AS354" s="42"/>
      <c r="AT354" s="42"/>
      <c r="AU354" s="42"/>
      <c r="AV354" s="42"/>
      <c r="AW354" s="42"/>
      <c r="AX354" s="42"/>
      <c r="AY354" s="42"/>
      <c r="AZ354" s="42"/>
      <c r="BA354" s="42"/>
      <c r="BB354" s="42"/>
    </row>
    <row r="355" spans="1:54" x14ac:dyDescent="0.25">
      <c r="A355" s="42"/>
      <c r="B355" s="43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  <c r="AA355" s="42"/>
      <c r="AB355" s="42"/>
      <c r="AC355" s="42"/>
      <c r="AD355" s="42"/>
      <c r="AE355" s="42"/>
      <c r="AF355" s="42"/>
      <c r="AG355" s="42"/>
      <c r="AH355" s="42"/>
      <c r="AI355" s="42"/>
      <c r="AJ355" s="42"/>
      <c r="AK355" s="42"/>
      <c r="AL355" s="42"/>
      <c r="AM355" s="42"/>
      <c r="AN355" s="42"/>
      <c r="AO355" s="42"/>
      <c r="AP355" s="42"/>
      <c r="AQ355" s="42"/>
      <c r="AR355" s="42"/>
      <c r="AS355" s="42"/>
      <c r="AT355" s="42"/>
      <c r="AU355" s="42"/>
      <c r="AV355" s="42"/>
      <c r="AW355" s="42"/>
      <c r="AX355" s="42"/>
      <c r="AY355" s="42"/>
      <c r="AZ355" s="42"/>
      <c r="BA355" s="42"/>
      <c r="BB355" s="42"/>
    </row>
    <row r="356" spans="1:54" x14ac:dyDescent="0.25">
      <c r="A356" s="42"/>
      <c r="B356" s="43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  <c r="AA356" s="42"/>
      <c r="AB356" s="42"/>
      <c r="AC356" s="42"/>
      <c r="AD356" s="42"/>
      <c r="AE356" s="42"/>
      <c r="AF356" s="42"/>
      <c r="AG356" s="42"/>
      <c r="AH356" s="42"/>
      <c r="AI356" s="42"/>
      <c r="AJ356" s="42"/>
      <c r="AK356" s="42"/>
      <c r="AL356" s="42"/>
      <c r="AM356" s="42"/>
      <c r="AN356" s="42"/>
      <c r="AO356" s="42"/>
      <c r="AP356" s="42"/>
      <c r="AQ356" s="42"/>
      <c r="AR356" s="42"/>
      <c r="AS356" s="42"/>
      <c r="AT356" s="42"/>
      <c r="AU356" s="42"/>
      <c r="AV356" s="42"/>
      <c r="AW356" s="42"/>
      <c r="AX356" s="42"/>
      <c r="AY356" s="42"/>
      <c r="AZ356" s="42"/>
      <c r="BA356" s="42"/>
      <c r="BB356" s="42"/>
    </row>
    <row r="357" spans="1:54" x14ac:dyDescent="0.25">
      <c r="A357" s="42"/>
      <c r="B357" s="43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  <c r="AA357" s="42"/>
      <c r="AB357" s="42"/>
      <c r="AC357" s="42"/>
      <c r="AD357" s="42"/>
      <c r="AE357" s="42"/>
      <c r="AF357" s="42"/>
      <c r="AG357" s="42"/>
      <c r="AH357" s="42"/>
      <c r="AI357" s="42"/>
      <c r="AJ357" s="42"/>
      <c r="AK357" s="42"/>
      <c r="AL357" s="42"/>
      <c r="AM357" s="42"/>
      <c r="AN357" s="42"/>
      <c r="AO357" s="42"/>
      <c r="AP357" s="42"/>
      <c r="AQ357" s="42"/>
      <c r="AR357" s="42"/>
      <c r="AS357" s="42"/>
      <c r="AT357" s="42"/>
      <c r="AU357" s="42"/>
      <c r="AV357" s="42"/>
      <c r="AW357" s="42"/>
      <c r="AX357" s="42"/>
      <c r="AY357" s="42"/>
      <c r="AZ357" s="42"/>
      <c r="BA357" s="42"/>
      <c r="BB357" s="42"/>
    </row>
    <row r="358" spans="1:54" x14ac:dyDescent="0.25">
      <c r="A358" s="42"/>
      <c r="B358" s="43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  <c r="AK358" s="42"/>
      <c r="AL358" s="42"/>
      <c r="AM358" s="42"/>
      <c r="AN358" s="42"/>
      <c r="AO358" s="42"/>
      <c r="AP358" s="42"/>
      <c r="AQ358" s="42"/>
      <c r="AR358" s="42"/>
      <c r="AS358" s="42"/>
      <c r="AT358" s="42"/>
      <c r="AU358" s="42"/>
      <c r="AV358" s="42"/>
      <c r="AW358" s="42"/>
      <c r="AX358" s="42"/>
      <c r="AY358" s="42"/>
      <c r="AZ358" s="42"/>
      <c r="BA358" s="42"/>
      <c r="BB358" s="42"/>
    </row>
    <row r="359" spans="1:54" x14ac:dyDescent="0.25">
      <c r="A359" s="42"/>
      <c r="B359" s="43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  <c r="AA359" s="42"/>
      <c r="AB359" s="42"/>
      <c r="AC359" s="42"/>
      <c r="AD359" s="42"/>
      <c r="AE359" s="42"/>
      <c r="AF359" s="42"/>
      <c r="AG359" s="42"/>
      <c r="AH359" s="42"/>
      <c r="AI359" s="42"/>
      <c r="AJ359" s="42"/>
      <c r="AK359" s="42"/>
      <c r="AL359" s="42"/>
      <c r="AM359" s="42"/>
      <c r="AN359" s="42"/>
      <c r="AO359" s="42"/>
      <c r="AP359" s="42"/>
      <c r="AQ359" s="42"/>
      <c r="AR359" s="42"/>
      <c r="AS359" s="42"/>
      <c r="AT359" s="42"/>
      <c r="AU359" s="42"/>
      <c r="AV359" s="42"/>
      <c r="AW359" s="42"/>
      <c r="AX359" s="42"/>
      <c r="AY359" s="42"/>
      <c r="AZ359" s="42"/>
      <c r="BA359" s="42"/>
      <c r="BB359" s="42"/>
    </row>
    <row r="360" spans="1:54" x14ac:dyDescent="0.25">
      <c r="A360" s="42"/>
      <c r="B360" s="43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  <c r="AA360" s="42"/>
      <c r="AB360" s="42"/>
      <c r="AC360" s="42"/>
      <c r="AD360" s="42"/>
      <c r="AE360" s="42"/>
      <c r="AF360" s="42"/>
      <c r="AG360" s="42"/>
      <c r="AH360" s="42"/>
      <c r="AI360" s="42"/>
      <c r="AJ360" s="42"/>
      <c r="AK360" s="42"/>
      <c r="AL360" s="42"/>
      <c r="AM360" s="42"/>
      <c r="AN360" s="42"/>
      <c r="AO360" s="42"/>
      <c r="AP360" s="42"/>
      <c r="AQ360" s="42"/>
      <c r="AR360" s="42"/>
      <c r="AS360" s="42"/>
      <c r="AT360" s="42"/>
      <c r="AU360" s="42"/>
      <c r="AV360" s="42"/>
      <c r="AW360" s="42"/>
      <c r="AX360" s="42"/>
      <c r="AY360" s="42"/>
      <c r="AZ360" s="42"/>
      <c r="BA360" s="42"/>
      <c r="BB360" s="42"/>
    </row>
    <row r="361" spans="1:54" x14ac:dyDescent="0.25">
      <c r="A361" s="42"/>
      <c r="B361" s="43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  <c r="AA361" s="42"/>
      <c r="AB361" s="42"/>
      <c r="AC361" s="42"/>
      <c r="AD361" s="42"/>
      <c r="AE361" s="42"/>
      <c r="AF361" s="42"/>
      <c r="AG361" s="42"/>
      <c r="AH361" s="42"/>
      <c r="AI361" s="42"/>
      <c r="AJ361" s="42"/>
      <c r="AK361" s="42"/>
      <c r="AL361" s="42"/>
      <c r="AM361" s="42"/>
      <c r="AN361" s="42"/>
      <c r="AO361" s="42"/>
      <c r="AP361" s="42"/>
      <c r="AQ361" s="42"/>
      <c r="AR361" s="42"/>
      <c r="AS361" s="42"/>
      <c r="AT361" s="42"/>
      <c r="AU361" s="42"/>
      <c r="AV361" s="42"/>
      <c r="AW361" s="42"/>
      <c r="AX361" s="42"/>
      <c r="AY361" s="42"/>
      <c r="AZ361" s="42"/>
      <c r="BA361" s="42"/>
      <c r="BB361" s="42"/>
    </row>
    <row r="362" spans="1:54" x14ac:dyDescent="0.25">
      <c r="A362" s="42"/>
      <c r="B362" s="43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  <c r="AK362" s="42"/>
      <c r="AL362" s="42"/>
      <c r="AM362" s="42"/>
      <c r="AN362" s="42"/>
      <c r="AO362" s="42"/>
      <c r="AP362" s="42"/>
      <c r="AQ362" s="42"/>
      <c r="AR362" s="42"/>
      <c r="AS362" s="42"/>
      <c r="AT362" s="42"/>
      <c r="AU362" s="42"/>
      <c r="AV362" s="42"/>
      <c r="AW362" s="42"/>
      <c r="AX362" s="42"/>
      <c r="AY362" s="42"/>
      <c r="AZ362" s="42"/>
      <c r="BA362" s="42"/>
      <c r="BB362" s="42"/>
    </row>
    <row r="363" spans="1:54" x14ac:dyDescent="0.25">
      <c r="A363" s="42"/>
      <c r="B363" s="43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  <c r="AA363" s="42"/>
      <c r="AB363" s="42"/>
      <c r="AC363" s="42"/>
      <c r="AD363" s="42"/>
      <c r="AE363" s="42"/>
      <c r="AF363" s="42"/>
      <c r="AG363" s="42"/>
      <c r="AH363" s="42"/>
      <c r="AI363" s="42"/>
      <c r="AJ363" s="42"/>
      <c r="AK363" s="42"/>
      <c r="AL363" s="42"/>
      <c r="AM363" s="42"/>
      <c r="AN363" s="42"/>
      <c r="AO363" s="42"/>
      <c r="AP363" s="42"/>
      <c r="AQ363" s="42"/>
      <c r="AR363" s="42"/>
      <c r="AS363" s="42"/>
      <c r="AT363" s="42"/>
      <c r="AU363" s="42"/>
      <c r="AV363" s="42"/>
      <c r="AW363" s="42"/>
      <c r="AX363" s="42"/>
      <c r="AY363" s="42"/>
      <c r="AZ363" s="42"/>
      <c r="BA363" s="42"/>
      <c r="BB363" s="42"/>
    </row>
    <row r="364" spans="1:54" x14ac:dyDescent="0.25">
      <c r="A364" s="42"/>
      <c r="B364" s="43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  <c r="AA364" s="42"/>
      <c r="AB364" s="42"/>
      <c r="AC364" s="42"/>
      <c r="AD364" s="42"/>
      <c r="AE364" s="42"/>
      <c r="AF364" s="42"/>
      <c r="AG364" s="42"/>
      <c r="AH364" s="42"/>
      <c r="AI364" s="42"/>
      <c r="AJ364" s="42"/>
      <c r="AK364" s="42"/>
      <c r="AL364" s="42"/>
      <c r="AM364" s="42"/>
      <c r="AN364" s="42"/>
      <c r="AO364" s="42"/>
      <c r="AP364" s="42"/>
      <c r="AQ364" s="42"/>
      <c r="AR364" s="42"/>
      <c r="AS364" s="42"/>
      <c r="AT364" s="42"/>
      <c r="AU364" s="42"/>
      <c r="AV364" s="42"/>
      <c r="AW364" s="42"/>
      <c r="AX364" s="42"/>
      <c r="AY364" s="42"/>
      <c r="AZ364" s="42"/>
      <c r="BA364" s="42"/>
      <c r="BB364" s="42"/>
    </row>
    <row r="365" spans="1:54" x14ac:dyDescent="0.25">
      <c r="A365" s="42"/>
      <c r="B365" s="43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  <c r="AA365" s="42"/>
      <c r="AB365" s="42"/>
      <c r="AC365" s="42"/>
      <c r="AD365" s="42"/>
      <c r="AE365" s="42"/>
      <c r="AF365" s="42"/>
      <c r="AG365" s="42"/>
      <c r="AH365" s="42"/>
      <c r="AI365" s="42"/>
      <c r="AJ365" s="42"/>
      <c r="AK365" s="42"/>
      <c r="AL365" s="42"/>
      <c r="AM365" s="42"/>
      <c r="AN365" s="42"/>
      <c r="AO365" s="42"/>
      <c r="AP365" s="42"/>
      <c r="AQ365" s="42"/>
      <c r="AR365" s="42"/>
      <c r="AS365" s="42"/>
      <c r="AT365" s="42"/>
      <c r="AU365" s="42"/>
      <c r="AV365" s="42"/>
      <c r="AW365" s="42"/>
      <c r="AX365" s="42"/>
      <c r="AY365" s="42"/>
      <c r="AZ365" s="42"/>
      <c r="BA365" s="42"/>
      <c r="BB365" s="42"/>
    </row>
    <row r="366" spans="1:54" x14ac:dyDescent="0.25">
      <c r="A366" s="42"/>
      <c r="B366" s="43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  <c r="AA366" s="42"/>
      <c r="AB366" s="42"/>
      <c r="AC366" s="42"/>
      <c r="AD366" s="42"/>
      <c r="AE366" s="42"/>
      <c r="AF366" s="42"/>
      <c r="AG366" s="42"/>
      <c r="AH366" s="42"/>
      <c r="AI366" s="42"/>
      <c r="AJ366" s="42"/>
      <c r="AK366" s="42"/>
      <c r="AL366" s="42"/>
      <c r="AM366" s="42"/>
      <c r="AN366" s="42"/>
      <c r="AO366" s="42"/>
      <c r="AP366" s="42"/>
      <c r="AQ366" s="42"/>
      <c r="AR366" s="42"/>
      <c r="AS366" s="42"/>
      <c r="AT366" s="42"/>
      <c r="AU366" s="42"/>
      <c r="AV366" s="42"/>
      <c r="AW366" s="42"/>
      <c r="AX366" s="42"/>
      <c r="AY366" s="42"/>
      <c r="AZ366" s="42"/>
      <c r="BA366" s="42"/>
      <c r="BB366" s="42"/>
    </row>
    <row r="367" spans="1:54" x14ac:dyDescent="0.25">
      <c r="A367" s="42"/>
      <c r="B367" s="43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2"/>
      <c r="AM367" s="42"/>
      <c r="AN367" s="42"/>
      <c r="AO367" s="42"/>
      <c r="AP367" s="42"/>
      <c r="AQ367" s="42"/>
      <c r="AR367" s="42"/>
      <c r="AS367" s="42"/>
      <c r="AT367" s="42"/>
      <c r="AU367" s="42"/>
      <c r="AV367" s="42"/>
      <c r="AW367" s="42"/>
      <c r="AX367" s="42"/>
      <c r="AY367" s="42"/>
      <c r="AZ367" s="42"/>
      <c r="BA367" s="42"/>
      <c r="BB367" s="42"/>
    </row>
    <row r="368" spans="1:54" x14ac:dyDescent="0.25">
      <c r="A368" s="42"/>
      <c r="B368" s="43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  <c r="AK368" s="42"/>
      <c r="AL368" s="42"/>
      <c r="AM368" s="42"/>
      <c r="AN368" s="42"/>
      <c r="AO368" s="42"/>
      <c r="AP368" s="42"/>
      <c r="AQ368" s="42"/>
      <c r="AR368" s="42"/>
      <c r="AS368" s="42"/>
      <c r="AT368" s="42"/>
      <c r="AU368" s="42"/>
      <c r="AV368" s="42"/>
      <c r="AW368" s="42"/>
      <c r="AX368" s="42"/>
      <c r="AY368" s="42"/>
      <c r="AZ368" s="42"/>
      <c r="BA368" s="42"/>
      <c r="BB368" s="42"/>
    </row>
    <row r="369" spans="1:54" x14ac:dyDescent="0.25">
      <c r="A369" s="42"/>
      <c r="B369" s="43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  <c r="AA369" s="42"/>
      <c r="AB369" s="42"/>
      <c r="AC369" s="42"/>
      <c r="AD369" s="42"/>
      <c r="AE369" s="42"/>
      <c r="AF369" s="42"/>
      <c r="AG369" s="42"/>
      <c r="AH369" s="42"/>
      <c r="AI369" s="42"/>
      <c r="AJ369" s="42"/>
      <c r="AK369" s="42"/>
      <c r="AL369" s="42"/>
      <c r="AM369" s="42"/>
      <c r="AN369" s="42"/>
      <c r="AO369" s="42"/>
      <c r="AP369" s="42"/>
      <c r="AQ369" s="42"/>
      <c r="AR369" s="42"/>
      <c r="AS369" s="42"/>
      <c r="AT369" s="42"/>
      <c r="AU369" s="42"/>
      <c r="AV369" s="42"/>
      <c r="AW369" s="42"/>
      <c r="AX369" s="42"/>
      <c r="AY369" s="42"/>
      <c r="AZ369" s="42"/>
      <c r="BA369" s="42"/>
      <c r="BB369" s="42"/>
    </row>
    <row r="370" spans="1:54" x14ac:dyDescent="0.25">
      <c r="A370" s="42"/>
      <c r="B370" s="43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  <c r="AM370" s="42"/>
      <c r="AN370" s="42"/>
      <c r="AO370" s="42"/>
      <c r="AP370" s="42"/>
      <c r="AQ370" s="42"/>
      <c r="AR370" s="42"/>
      <c r="AS370" s="42"/>
      <c r="AT370" s="42"/>
      <c r="AU370" s="42"/>
      <c r="AV370" s="42"/>
      <c r="AW370" s="42"/>
      <c r="AX370" s="42"/>
      <c r="AY370" s="42"/>
      <c r="AZ370" s="42"/>
      <c r="BA370" s="42"/>
      <c r="BB370" s="42"/>
    </row>
    <row r="371" spans="1:54" x14ac:dyDescent="0.25">
      <c r="A371" s="42"/>
      <c r="B371" s="43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  <c r="AA371" s="42"/>
      <c r="AB371" s="42"/>
      <c r="AC371" s="42"/>
      <c r="AD371" s="42"/>
      <c r="AE371" s="42"/>
      <c r="AF371" s="42"/>
      <c r="AG371" s="42"/>
      <c r="AH371" s="42"/>
      <c r="AI371" s="42"/>
      <c r="AJ371" s="42"/>
      <c r="AK371" s="42"/>
      <c r="AL371" s="42"/>
      <c r="AM371" s="42"/>
      <c r="AN371" s="42"/>
      <c r="AO371" s="42"/>
      <c r="AP371" s="42"/>
      <c r="AQ371" s="42"/>
      <c r="AR371" s="42"/>
      <c r="AS371" s="42"/>
      <c r="AT371" s="42"/>
      <c r="AU371" s="42"/>
      <c r="AV371" s="42"/>
      <c r="AW371" s="42"/>
      <c r="AX371" s="42"/>
      <c r="AY371" s="42"/>
      <c r="AZ371" s="42"/>
      <c r="BA371" s="42"/>
      <c r="BB371" s="42"/>
    </row>
    <row r="372" spans="1:54" x14ac:dyDescent="0.25">
      <c r="A372" s="42"/>
      <c r="B372" s="43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  <c r="AA372" s="42"/>
      <c r="AB372" s="42"/>
      <c r="AC372" s="42"/>
      <c r="AD372" s="42"/>
      <c r="AE372" s="42"/>
      <c r="AF372" s="42"/>
      <c r="AG372" s="42"/>
      <c r="AH372" s="42"/>
      <c r="AI372" s="42"/>
      <c r="AJ372" s="42"/>
      <c r="AK372" s="42"/>
      <c r="AL372" s="42"/>
      <c r="AM372" s="42"/>
      <c r="AN372" s="42"/>
      <c r="AO372" s="42"/>
      <c r="AP372" s="42"/>
      <c r="AQ372" s="42"/>
      <c r="AR372" s="42"/>
      <c r="AS372" s="42"/>
      <c r="AT372" s="42"/>
      <c r="AU372" s="42"/>
      <c r="AV372" s="42"/>
      <c r="AW372" s="42"/>
      <c r="AX372" s="42"/>
      <c r="AY372" s="42"/>
      <c r="AZ372" s="42"/>
      <c r="BA372" s="42"/>
      <c r="BB372" s="42"/>
    </row>
    <row r="373" spans="1:54" x14ac:dyDescent="0.25">
      <c r="A373" s="42"/>
      <c r="B373" s="43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  <c r="AA373" s="42"/>
      <c r="AB373" s="42"/>
      <c r="AC373" s="42"/>
      <c r="AD373" s="42"/>
      <c r="AE373" s="42"/>
      <c r="AF373" s="42"/>
      <c r="AG373" s="42"/>
      <c r="AH373" s="42"/>
      <c r="AI373" s="42"/>
      <c r="AJ373" s="42"/>
      <c r="AK373" s="42"/>
      <c r="AL373" s="42"/>
      <c r="AM373" s="42"/>
      <c r="AN373" s="42"/>
      <c r="AO373" s="42"/>
      <c r="AP373" s="42"/>
      <c r="AQ373" s="42"/>
      <c r="AR373" s="42"/>
      <c r="AS373" s="42"/>
      <c r="AT373" s="42"/>
      <c r="AU373" s="42"/>
      <c r="AV373" s="42"/>
      <c r="AW373" s="42"/>
      <c r="AX373" s="42"/>
      <c r="AY373" s="42"/>
      <c r="AZ373" s="42"/>
      <c r="BA373" s="42"/>
      <c r="BB373" s="42"/>
    </row>
    <row r="374" spans="1:54" x14ac:dyDescent="0.25">
      <c r="A374" s="42"/>
      <c r="B374" s="43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  <c r="AL374" s="42"/>
      <c r="AM374" s="42"/>
      <c r="AN374" s="42"/>
      <c r="AO374" s="42"/>
      <c r="AP374" s="42"/>
      <c r="AQ374" s="42"/>
      <c r="AR374" s="42"/>
      <c r="AS374" s="42"/>
      <c r="AT374" s="42"/>
      <c r="AU374" s="42"/>
      <c r="AV374" s="42"/>
      <c r="AW374" s="42"/>
      <c r="AX374" s="42"/>
      <c r="AY374" s="42"/>
      <c r="AZ374" s="42"/>
      <c r="BA374" s="42"/>
      <c r="BB374" s="42"/>
    </row>
    <row r="375" spans="1:54" x14ac:dyDescent="0.25">
      <c r="A375" s="42"/>
      <c r="B375" s="43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  <c r="AA375" s="42"/>
      <c r="AB375" s="42"/>
      <c r="AC375" s="42"/>
      <c r="AD375" s="42"/>
      <c r="AE375" s="42"/>
      <c r="AF375" s="42"/>
      <c r="AG375" s="42"/>
      <c r="AH375" s="42"/>
      <c r="AI375" s="42"/>
      <c r="AJ375" s="42"/>
      <c r="AK375" s="42"/>
      <c r="AL375" s="42"/>
      <c r="AM375" s="42"/>
      <c r="AN375" s="42"/>
      <c r="AO375" s="42"/>
      <c r="AP375" s="42"/>
      <c r="AQ375" s="42"/>
      <c r="AR375" s="42"/>
      <c r="AS375" s="42"/>
      <c r="AT375" s="42"/>
      <c r="AU375" s="42"/>
      <c r="AV375" s="42"/>
      <c r="AW375" s="42"/>
      <c r="AX375" s="42"/>
      <c r="AY375" s="42"/>
      <c r="AZ375" s="42"/>
      <c r="BA375" s="42"/>
      <c r="BB375" s="42"/>
    </row>
    <row r="376" spans="1:54" x14ac:dyDescent="0.25">
      <c r="A376" s="42"/>
      <c r="B376" s="43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  <c r="AA376" s="42"/>
      <c r="AB376" s="42"/>
      <c r="AC376" s="42"/>
      <c r="AD376" s="42"/>
      <c r="AE376" s="42"/>
      <c r="AF376" s="42"/>
      <c r="AG376" s="42"/>
      <c r="AH376" s="42"/>
      <c r="AI376" s="42"/>
      <c r="AJ376" s="42"/>
      <c r="AK376" s="42"/>
      <c r="AL376" s="42"/>
      <c r="AM376" s="42"/>
      <c r="AN376" s="42"/>
      <c r="AO376" s="42"/>
      <c r="AP376" s="42"/>
      <c r="AQ376" s="42"/>
      <c r="AR376" s="42"/>
      <c r="AS376" s="42"/>
      <c r="AT376" s="42"/>
      <c r="AU376" s="42"/>
      <c r="AV376" s="42"/>
      <c r="AW376" s="42"/>
      <c r="AX376" s="42"/>
      <c r="AY376" s="42"/>
      <c r="AZ376" s="42"/>
      <c r="BA376" s="42"/>
      <c r="BB376" s="42"/>
    </row>
    <row r="377" spans="1:54" x14ac:dyDescent="0.25">
      <c r="A377" s="42"/>
      <c r="B377" s="43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  <c r="AA377" s="42"/>
      <c r="AB377" s="42"/>
      <c r="AC377" s="42"/>
      <c r="AD377" s="42"/>
      <c r="AE377" s="42"/>
      <c r="AF377" s="42"/>
      <c r="AG377" s="42"/>
      <c r="AH377" s="42"/>
      <c r="AI377" s="42"/>
      <c r="AJ377" s="42"/>
      <c r="AK377" s="42"/>
      <c r="AL377" s="42"/>
      <c r="AM377" s="42"/>
      <c r="AN377" s="42"/>
      <c r="AO377" s="42"/>
      <c r="AP377" s="42"/>
      <c r="AQ377" s="42"/>
      <c r="AR377" s="42"/>
      <c r="AS377" s="42"/>
      <c r="AT377" s="42"/>
      <c r="AU377" s="42"/>
      <c r="AV377" s="42"/>
      <c r="AW377" s="42"/>
      <c r="AX377" s="42"/>
      <c r="AY377" s="42"/>
      <c r="AZ377" s="42"/>
      <c r="BA377" s="42"/>
      <c r="BB377" s="42"/>
    </row>
    <row r="378" spans="1:54" x14ac:dyDescent="0.25">
      <c r="A378" s="42"/>
      <c r="B378" s="43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  <c r="AA378" s="42"/>
      <c r="AB378" s="42"/>
      <c r="AC378" s="42"/>
      <c r="AD378" s="42"/>
      <c r="AE378" s="42"/>
      <c r="AF378" s="42"/>
      <c r="AG378" s="42"/>
      <c r="AH378" s="42"/>
      <c r="AI378" s="42"/>
      <c r="AJ378" s="42"/>
      <c r="AK378" s="42"/>
      <c r="AL378" s="42"/>
      <c r="AM378" s="42"/>
      <c r="AN378" s="42"/>
      <c r="AO378" s="42"/>
      <c r="AP378" s="42"/>
      <c r="AQ378" s="42"/>
      <c r="AR378" s="42"/>
      <c r="AS378" s="42"/>
      <c r="AT378" s="42"/>
      <c r="AU378" s="42"/>
      <c r="AV378" s="42"/>
      <c r="AW378" s="42"/>
      <c r="AX378" s="42"/>
      <c r="AY378" s="42"/>
      <c r="AZ378" s="42"/>
      <c r="BA378" s="42"/>
      <c r="BB378" s="42"/>
    </row>
    <row r="379" spans="1:54" x14ac:dyDescent="0.25">
      <c r="A379" s="42"/>
      <c r="B379" s="43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  <c r="AA379" s="42"/>
      <c r="AB379" s="42"/>
      <c r="AC379" s="42"/>
      <c r="AD379" s="42"/>
      <c r="AE379" s="42"/>
      <c r="AF379" s="42"/>
      <c r="AG379" s="42"/>
      <c r="AH379" s="42"/>
      <c r="AI379" s="42"/>
      <c r="AJ379" s="42"/>
      <c r="AK379" s="42"/>
      <c r="AL379" s="42"/>
      <c r="AM379" s="42"/>
      <c r="AN379" s="42"/>
      <c r="AO379" s="42"/>
      <c r="AP379" s="42"/>
      <c r="AQ379" s="42"/>
      <c r="AR379" s="42"/>
      <c r="AS379" s="42"/>
      <c r="AT379" s="42"/>
      <c r="AU379" s="42"/>
      <c r="AV379" s="42"/>
      <c r="AW379" s="42"/>
      <c r="AX379" s="42"/>
      <c r="AY379" s="42"/>
      <c r="AZ379" s="42"/>
      <c r="BA379" s="42"/>
      <c r="BB379" s="42"/>
    </row>
    <row r="380" spans="1:54" x14ac:dyDescent="0.25">
      <c r="A380" s="42"/>
      <c r="B380" s="43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  <c r="AA380" s="42"/>
      <c r="AB380" s="42"/>
      <c r="AC380" s="42"/>
      <c r="AD380" s="42"/>
      <c r="AE380" s="42"/>
      <c r="AF380" s="42"/>
      <c r="AG380" s="42"/>
      <c r="AH380" s="42"/>
      <c r="AI380" s="42"/>
      <c r="AJ380" s="42"/>
      <c r="AK380" s="42"/>
      <c r="AL380" s="42"/>
      <c r="AM380" s="42"/>
      <c r="AN380" s="42"/>
      <c r="AO380" s="42"/>
      <c r="AP380" s="42"/>
      <c r="AQ380" s="42"/>
      <c r="AR380" s="42"/>
      <c r="AS380" s="42"/>
      <c r="AT380" s="42"/>
      <c r="AU380" s="42"/>
      <c r="AV380" s="42"/>
      <c r="AW380" s="42"/>
      <c r="AX380" s="42"/>
      <c r="AY380" s="42"/>
      <c r="AZ380" s="42"/>
      <c r="BA380" s="42"/>
      <c r="BB380" s="42"/>
    </row>
    <row r="381" spans="1:54" x14ac:dyDescent="0.25">
      <c r="A381" s="42"/>
      <c r="B381" s="43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  <c r="AA381" s="42"/>
      <c r="AB381" s="42"/>
      <c r="AC381" s="42"/>
      <c r="AD381" s="42"/>
      <c r="AE381" s="42"/>
      <c r="AF381" s="42"/>
      <c r="AG381" s="42"/>
      <c r="AH381" s="42"/>
      <c r="AI381" s="42"/>
      <c r="AJ381" s="42"/>
      <c r="AK381" s="42"/>
      <c r="AL381" s="42"/>
      <c r="AM381" s="42"/>
      <c r="AN381" s="42"/>
      <c r="AO381" s="42"/>
      <c r="AP381" s="42"/>
      <c r="AQ381" s="42"/>
      <c r="AR381" s="42"/>
      <c r="AS381" s="42"/>
      <c r="AT381" s="42"/>
      <c r="AU381" s="42"/>
      <c r="AV381" s="42"/>
      <c r="AW381" s="42"/>
      <c r="AX381" s="42"/>
      <c r="AY381" s="42"/>
      <c r="AZ381" s="42"/>
      <c r="BA381" s="42"/>
      <c r="BB381" s="42"/>
    </row>
    <row r="382" spans="1:54" x14ac:dyDescent="0.25">
      <c r="A382" s="42"/>
      <c r="B382" s="43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  <c r="AA382" s="42"/>
      <c r="AB382" s="42"/>
      <c r="AC382" s="42"/>
      <c r="AD382" s="42"/>
      <c r="AE382" s="42"/>
      <c r="AF382" s="42"/>
      <c r="AG382" s="42"/>
      <c r="AH382" s="42"/>
      <c r="AI382" s="42"/>
      <c r="AJ382" s="42"/>
      <c r="AK382" s="42"/>
      <c r="AL382" s="42"/>
      <c r="AM382" s="42"/>
      <c r="AN382" s="42"/>
      <c r="AO382" s="42"/>
      <c r="AP382" s="42"/>
      <c r="AQ382" s="42"/>
      <c r="AR382" s="42"/>
      <c r="AS382" s="42"/>
      <c r="AT382" s="42"/>
      <c r="AU382" s="42"/>
      <c r="AV382" s="42"/>
      <c r="AW382" s="42"/>
      <c r="AX382" s="42"/>
      <c r="AY382" s="42"/>
      <c r="AZ382" s="42"/>
      <c r="BA382" s="42"/>
      <c r="BB382" s="42"/>
    </row>
    <row r="383" spans="1:54" x14ac:dyDescent="0.25">
      <c r="A383" s="42"/>
      <c r="B383" s="43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  <c r="AA383" s="42"/>
      <c r="AB383" s="42"/>
      <c r="AC383" s="42"/>
      <c r="AD383" s="42"/>
      <c r="AE383" s="42"/>
      <c r="AF383" s="42"/>
      <c r="AG383" s="42"/>
      <c r="AH383" s="42"/>
      <c r="AI383" s="42"/>
      <c r="AJ383" s="42"/>
      <c r="AK383" s="42"/>
      <c r="AL383" s="42"/>
      <c r="AM383" s="42"/>
      <c r="AN383" s="42"/>
      <c r="AO383" s="42"/>
      <c r="AP383" s="42"/>
      <c r="AQ383" s="42"/>
      <c r="AR383" s="42"/>
      <c r="AS383" s="42"/>
      <c r="AT383" s="42"/>
      <c r="AU383" s="42"/>
      <c r="AV383" s="42"/>
      <c r="AW383" s="42"/>
      <c r="AX383" s="42"/>
      <c r="AY383" s="42"/>
      <c r="AZ383" s="42"/>
      <c r="BA383" s="42"/>
      <c r="BB383" s="42"/>
    </row>
    <row r="384" spans="1:54" x14ac:dyDescent="0.25">
      <c r="A384" s="42"/>
      <c r="B384" s="43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  <c r="AA384" s="42"/>
      <c r="AB384" s="42"/>
      <c r="AC384" s="42"/>
      <c r="AD384" s="42"/>
      <c r="AE384" s="42"/>
      <c r="AF384" s="42"/>
      <c r="AG384" s="42"/>
      <c r="AH384" s="42"/>
      <c r="AI384" s="42"/>
      <c r="AJ384" s="42"/>
      <c r="AK384" s="42"/>
      <c r="AL384" s="42"/>
      <c r="AM384" s="42"/>
      <c r="AN384" s="42"/>
      <c r="AO384" s="42"/>
      <c r="AP384" s="42"/>
      <c r="AQ384" s="42"/>
      <c r="AR384" s="42"/>
      <c r="AS384" s="42"/>
      <c r="AT384" s="42"/>
      <c r="AU384" s="42"/>
      <c r="AV384" s="42"/>
      <c r="AW384" s="42"/>
      <c r="AX384" s="42"/>
      <c r="AY384" s="42"/>
      <c r="AZ384" s="42"/>
      <c r="BA384" s="42"/>
      <c r="BB384" s="42"/>
    </row>
    <row r="385" spans="1:54" x14ac:dyDescent="0.25">
      <c r="A385" s="42"/>
      <c r="B385" s="43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  <c r="AA385" s="42"/>
      <c r="AB385" s="42"/>
      <c r="AC385" s="42"/>
      <c r="AD385" s="42"/>
      <c r="AE385" s="42"/>
      <c r="AF385" s="42"/>
      <c r="AG385" s="42"/>
      <c r="AH385" s="42"/>
      <c r="AI385" s="42"/>
      <c r="AJ385" s="42"/>
      <c r="AK385" s="42"/>
      <c r="AL385" s="42"/>
      <c r="AM385" s="42"/>
      <c r="AN385" s="42"/>
      <c r="AO385" s="42"/>
      <c r="AP385" s="42"/>
      <c r="AQ385" s="42"/>
      <c r="AR385" s="42"/>
      <c r="AS385" s="42"/>
      <c r="AT385" s="42"/>
      <c r="AU385" s="42"/>
      <c r="AV385" s="42"/>
      <c r="AW385" s="42"/>
      <c r="AX385" s="42"/>
      <c r="AY385" s="42"/>
      <c r="AZ385" s="42"/>
      <c r="BA385" s="42"/>
      <c r="BB385" s="42"/>
    </row>
    <row r="386" spans="1:54" x14ac:dyDescent="0.25">
      <c r="A386" s="42"/>
      <c r="B386" s="43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  <c r="AA386" s="42"/>
      <c r="AB386" s="42"/>
      <c r="AC386" s="42"/>
      <c r="AD386" s="42"/>
      <c r="AE386" s="42"/>
      <c r="AF386" s="42"/>
      <c r="AG386" s="42"/>
      <c r="AH386" s="42"/>
      <c r="AI386" s="42"/>
      <c r="AJ386" s="42"/>
      <c r="AK386" s="42"/>
      <c r="AL386" s="42"/>
      <c r="AM386" s="42"/>
      <c r="AN386" s="42"/>
      <c r="AO386" s="42"/>
      <c r="AP386" s="42"/>
      <c r="AQ386" s="42"/>
      <c r="AR386" s="42"/>
      <c r="AS386" s="42"/>
      <c r="AT386" s="42"/>
      <c r="AU386" s="42"/>
      <c r="AV386" s="42"/>
      <c r="AW386" s="42"/>
      <c r="AX386" s="42"/>
      <c r="AY386" s="42"/>
      <c r="AZ386" s="42"/>
      <c r="BA386" s="42"/>
      <c r="BB386" s="42"/>
    </row>
    <row r="387" spans="1:54" x14ac:dyDescent="0.25">
      <c r="A387" s="42"/>
      <c r="B387" s="43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  <c r="AA387" s="42"/>
      <c r="AB387" s="42"/>
      <c r="AC387" s="42"/>
      <c r="AD387" s="42"/>
      <c r="AE387" s="42"/>
      <c r="AF387" s="42"/>
      <c r="AG387" s="42"/>
      <c r="AH387" s="42"/>
      <c r="AI387" s="42"/>
      <c r="AJ387" s="42"/>
      <c r="AK387" s="42"/>
      <c r="AL387" s="42"/>
      <c r="AM387" s="42"/>
      <c r="AN387" s="42"/>
      <c r="AO387" s="42"/>
      <c r="AP387" s="42"/>
      <c r="AQ387" s="42"/>
      <c r="AR387" s="42"/>
      <c r="AS387" s="42"/>
      <c r="AT387" s="42"/>
      <c r="AU387" s="42"/>
      <c r="AV387" s="42"/>
      <c r="AW387" s="42"/>
      <c r="AX387" s="42"/>
      <c r="AY387" s="42"/>
      <c r="AZ387" s="42"/>
      <c r="BA387" s="42"/>
      <c r="BB387" s="42"/>
    </row>
    <row r="388" spans="1:54" x14ac:dyDescent="0.25">
      <c r="A388" s="42"/>
      <c r="B388" s="43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  <c r="AA388" s="42"/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/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/>
      <c r="BB388" s="42"/>
    </row>
    <row r="389" spans="1:54" x14ac:dyDescent="0.25">
      <c r="A389" s="42"/>
      <c r="B389" s="43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  <c r="AA389" s="42"/>
      <c r="AB389" s="42"/>
      <c r="AC389" s="42"/>
      <c r="AD389" s="42"/>
      <c r="AE389" s="42"/>
      <c r="AF389" s="42"/>
      <c r="AG389" s="42"/>
      <c r="AH389" s="42"/>
      <c r="AI389" s="42"/>
      <c r="AJ389" s="42"/>
      <c r="AK389" s="42"/>
      <c r="AL389" s="42"/>
      <c r="AM389" s="42"/>
      <c r="AN389" s="42"/>
      <c r="AO389" s="42"/>
      <c r="AP389" s="42"/>
      <c r="AQ389" s="42"/>
      <c r="AR389" s="42"/>
      <c r="AS389" s="42"/>
      <c r="AT389" s="42"/>
      <c r="AU389" s="42"/>
      <c r="AV389" s="42"/>
      <c r="AW389" s="42"/>
      <c r="AX389" s="42"/>
      <c r="AY389" s="42"/>
      <c r="AZ389" s="42"/>
      <c r="BA389" s="42"/>
      <c r="BB389" s="42"/>
    </row>
    <row r="390" spans="1:54" x14ac:dyDescent="0.25">
      <c r="A390" s="42"/>
      <c r="B390" s="43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  <c r="AA390" s="42"/>
      <c r="AB390" s="42"/>
      <c r="AC390" s="42"/>
      <c r="AD390" s="42"/>
      <c r="AE390" s="42"/>
      <c r="AF390" s="42"/>
      <c r="AG390" s="42"/>
      <c r="AH390" s="42"/>
      <c r="AI390" s="42"/>
      <c r="AJ390" s="42"/>
      <c r="AK390" s="42"/>
      <c r="AL390" s="42"/>
      <c r="AM390" s="42"/>
      <c r="AN390" s="42"/>
      <c r="AO390" s="42"/>
      <c r="AP390" s="42"/>
      <c r="AQ390" s="42"/>
      <c r="AR390" s="42"/>
      <c r="AS390" s="42"/>
      <c r="AT390" s="42"/>
      <c r="AU390" s="42"/>
      <c r="AV390" s="42"/>
      <c r="AW390" s="42"/>
      <c r="AX390" s="42"/>
      <c r="AY390" s="42"/>
      <c r="AZ390" s="42"/>
      <c r="BA390" s="42"/>
      <c r="BB390" s="42"/>
    </row>
    <row r="391" spans="1:54" x14ac:dyDescent="0.25">
      <c r="A391" s="42"/>
      <c r="B391" s="43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  <c r="AA391" s="42"/>
      <c r="AB391" s="42"/>
      <c r="AC391" s="42"/>
      <c r="AD391" s="42"/>
      <c r="AE391" s="42"/>
      <c r="AF391" s="42"/>
      <c r="AG391" s="42"/>
      <c r="AH391" s="42"/>
      <c r="AI391" s="42"/>
      <c r="AJ391" s="42"/>
      <c r="AK391" s="42"/>
      <c r="AL391" s="42"/>
      <c r="AM391" s="42"/>
      <c r="AN391" s="42"/>
      <c r="AO391" s="42"/>
      <c r="AP391" s="42"/>
      <c r="AQ391" s="42"/>
      <c r="AR391" s="42"/>
      <c r="AS391" s="42"/>
      <c r="AT391" s="42"/>
      <c r="AU391" s="42"/>
      <c r="AV391" s="42"/>
      <c r="AW391" s="42"/>
      <c r="AX391" s="42"/>
      <c r="AY391" s="42"/>
      <c r="AZ391" s="42"/>
      <c r="BA391" s="42"/>
      <c r="BB391" s="42"/>
    </row>
    <row r="392" spans="1:54" x14ac:dyDescent="0.25">
      <c r="A392" s="42"/>
      <c r="B392" s="43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  <c r="AA392" s="42"/>
      <c r="AB392" s="42"/>
      <c r="AC392" s="42"/>
      <c r="AD392" s="42"/>
      <c r="AE392" s="42"/>
      <c r="AF392" s="42"/>
      <c r="AG392" s="42"/>
      <c r="AH392" s="42"/>
      <c r="AI392" s="42"/>
      <c r="AJ392" s="42"/>
      <c r="AK392" s="42"/>
      <c r="AL392" s="42"/>
      <c r="AM392" s="42"/>
      <c r="AN392" s="42"/>
      <c r="AO392" s="42"/>
      <c r="AP392" s="42"/>
      <c r="AQ392" s="42"/>
      <c r="AR392" s="42"/>
      <c r="AS392" s="42"/>
      <c r="AT392" s="42"/>
      <c r="AU392" s="42"/>
      <c r="AV392" s="42"/>
      <c r="AW392" s="42"/>
      <c r="AX392" s="42"/>
      <c r="AY392" s="42"/>
      <c r="AZ392" s="42"/>
      <c r="BA392" s="42"/>
      <c r="BB392" s="42"/>
    </row>
    <row r="393" spans="1:54" x14ac:dyDescent="0.25">
      <c r="A393" s="42"/>
      <c r="B393" s="43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  <c r="AA393" s="42"/>
      <c r="AB393" s="42"/>
      <c r="AC393" s="42"/>
      <c r="AD393" s="42"/>
      <c r="AE393" s="42"/>
      <c r="AF393" s="42"/>
      <c r="AG393" s="42"/>
      <c r="AH393" s="42"/>
      <c r="AI393" s="42"/>
      <c r="AJ393" s="42"/>
      <c r="AK393" s="42"/>
      <c r="AL393" s="42"/>
      <c r="AM393" s="42"/>
      <c r="AN393" s="42"/>
      <c r="AO393" s="42"/>
      <c r="AP393" s="42"/>
      <c r="AQ393" s="42"/>
      <c r="AR393" s="42"/>
      <c r="AS393" s="42"/>
      <c r="AT393" s="42"/>
      <c r="AU393" s="42"/>
      <c r="AV393" s="42"/>
      <c r="AW393" s="42"/>
      <c r="AX393" s="42"/>
      <c r="AY393" s="42"/>
      <c r="AZ393" s="42"/>
      <c r="BA393" s="42"/>
      <c r="BB393" s="42"/>
    </row>
    <row r="394" spans="1:54" x14ac:dyDescent="0.25">
      <c r="A394" s="42"/>
      <c r="B394" s="43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  <c r="AA394" s="42"/>
      <c r="AB394" s="42"/>
      <c r="AC394" s="42"/>
      <c r="AD394" s="42"/>
      <c r="AE394" s="42"/>
      <c r="AF394" s="42"/>
      <c r="AG394" s="42"/>
      <c r="AH394" s="42"/>
      <c r="AI394" s="42"/>
      <c r="AJ394" s="42"/>
      <c r="AK394" s="42"/>
      <c r="AL394" s="42"/>
      <c r="AM394" s="42"/>
      <c r="AN394" s="42"/>
      <c r="AO394" s="42"/>
      <c r="AP394" s="42"/>
      <c r="AQ394" s="42"/>
      <c r="AR394" s="42"/>
      <c r="AS394" s="42"/>
      <c r="AT394" s="42"/>
      <c r="AU394" s="42"/>
      <c r="AV394" s="42"/>
      <c r="AW394" s="42"/>
      <c r="AX394" s="42"/>
      <c r="AY394" s="42"/>
      <c r="AZ394" s="42"/>
      <c r="BA394" s="42"/>
      <c r="BB394" s="42"/>
    </row>
    <row r="395" spans="1:54" x14ac:dyDescent="0.25">
      <c r="A395" s="42"/>
      <c r="B395" s="43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  <c r="AA395" s="42"/>
      <c r="AB395" s="42"/>
      <c r="AC395" s="42"/>
      <c r="AD395" s="42"/>
      <c r="AE395" s="42"/>
      <c r="AF395" s="42"/>
      <c r="AG395" s="42"/>
      <c r="AH395" s="42"/>
      <c r="AI395" s="42"/>
      <c r="AJ395" s="42"/>
      <c r="AK395" s="42"/>
      <c r="AL395" s="42"/>
      <c r="AM395" s="42"/>
      <c r="AN395" s="42"/>
      <c r="AO395" s="42"/>
      <c r="AP395" s="42"/>
      <c r="AQ395" s="42"/>
      <c r="AR395" s="42"/>
      <c r="AS395" s="42"/>
      <c r="AT395" s="42"/>
      <c r="AU395" s="42"/>
      <c r="AV395" s="42"/>
      <c r="AW395" s="42"/>
      <c r="AX395" s="42"/>
      <c r="AY395" s="42"/>
      <c r="AZ395" s="42"/>
      <c r="BA395" s="42"/>
      <c r="BB395" s="42"/>
    </row>
    <row r="396" spans="1:54" x14ac:dyDescent="0.25">
      <c r="A396" s="42"/>
      <c r="B396" s="43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  <c r="AA396" s="42"/>
      <c r="AB396" s="42"/>
      <c r="AC396" s="42"/>
      <c r="AD396" s="42"/>
      <c r="AE396" s="42"/>
      <c r="AF396" s="42"/>
      <c r="AG396" s="42"/>
      <c r="AH396" s="42"/>
      <c r="AI396" s="42"/>
      <c r="AJ396" s="42"/>
      <c r="AK396" s="42"/>
      <c r="AL396" s="42"/>
      <c r="AM396" s="42"/>
      <c r="AN396" s="42"/>
      <c r="AO396" s="42"/>
      <c r="AP396" s="42"/>
      <c r="AQ396" s="42"/>
      <c r="AR396" s="42"/>
      <c r="AS396" s="42"/>
      <c r="AT396" s="42"/>
      <c r="AU396" s="42"/>
      <c r="AV396" s="42"/>
      <c r="AW396" s="42"/>
      <c r="AX396" s="42"/>
      <c r="AY396" s="42"/>
      <c r="AZ396" s="42"/>
      <c r="BA396" s="42"/>
      <c r="BB396" s="42"/>
    </row>
    <row r="397" spans="1:54" x14ac:dyDescent="0.25">
      <c r="A397" s="42"/>
      <c r="B397" s="43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  <c r="AA397" s="42"/>
      <c r="AB397" s="42"/>
      <c r="AC397" s="42"/>
      <c r="AD397" s="42"/>
      <c r="AE397" s="42"/>
      <c r="AF397" s="42"/>
      <c r="AG397" s="42"/>
      <c r="AH397" s="42"/>
      <c r="AI397" s="42"/>
      <c r="AJ397" s="42"/>
      <c r="AK397" s="42"/>
      <c r="AL397" s="42"/>
      <c r="AM397" s="42"/>
      <c r="AN397" s="42"/>
      <c r="AO397" s="42"/>
      <c r="AP397" s="42"/>
      <c r="AQ397" s="42"/>
      <c r="AR397" s="42"/>
      <c r="AS397" s="42"/>
      <c r="AT397" s="42"/>
      <c r="AU397" s="42"/>
      <c r="AV397" s="42"/>
      <c r="AW397" s="42"/>
      <c r="AX397" s="42"/>
      <c r="AY397" s="42"/>
      <c r="AZ397" s="42"/>
      <c r="BA397" s="42"/>
      <c r="BB397" s="42"/>
    </row>
    <row r="398" spans="1:54" x14ac:dyDescent="0.25">
      <c r="A398" s="42"/>
      <c r="B398" s="43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  <c r="AA398" s="42"/>
      <c r="AB398" s="42"/>
      <c r="AC398" s="42"/>
      <c r="AD398" s="42"/>
      <c r="AE398" s="42"/>
      <c r="AF398" s="42"/>
      <c r="AG398" s="42"/>
      <c r="AH398" s="42"/>
      <c r="AI398" s="42"/>
      <c r="AJ398" s="42"/>
      <c r="AK398" s="42"/>
      <c r="AL398" s="42"/>
      <c r="AM398" s="42"/>
      <c r="AN398" s="42"/>
      <c r="AO398" s="42"/>
      <c r="AP398" s="42"/>
      <c r="AQ398" s="42"/>
      <c r="AR398" s="42"/>
      <c r="AS398" s="42"/>
      <c r="AT398" s="42"/>
      <c r="AU398" s="42"/>
      <c r="AV398" s="42"/>
      <c r="AW398" s="42"/>
      <c r="AX398" s="42"/>
      <c r="AY398" s="42"/>
      <c r="AZ398" s="42"/>
      <c r="BA398" s="42"/>
      <c r="BB398" s="42"/>
    </row>
    <row r="399" spans="1:54" x14ac:dyDescent="0.25">
      <c r="A399" s="42"/>
      <c r="B399" s="43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  <c r="AA399" s="42"/>
      <c r="AB399" s="42"/>
      <c r="AC399" s="42"/>
      <c r="AD399" s="42"/>
      <c r="AE399" s="42"/>
      <c r="AF399" s="42"/>
      <c r="AG399" s="42"/>
      <c r="AH399" s="42"/>
      <c r="AI399" s="42"/>
      <c r="AJ399" s="42"/>
      <c r="AK399" s="42"/>
      <c r="AL399" s="42"/>
      <c r="AM399" s="42"/>
      <c r="AN399" s="42"/>
      <c r="AO399" s="42"/>
      <c r="AP399" s="42"/>
      <c r="AQ399" s="42"/>
      <c r="AR399" s="42"/>
      <c r="AS399" s="42"/>
      <c r="AT399" s="42"/>
      <c r="AU399" s="42"/>
      <c r="AV399" s="42"/>
      <c r="AW399" s="42"/>
      <c r="AX399" s="42"/>
      <c r="AY399" s="42"/>
      <c r="AZ399" s="42"/>
      <c r="BA399" s="42"/>
      <c r="BB399" s="42"/>
    </row>
    <row r="400" spans="1:54" x14ac:dyDescent="0.25">
      <c r="A400" s="42"/>
      <c r="B400" s="43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  <c r="AA400" s="42"/>
      <c r="AB400" s="42"/>
      <c r="AC400" s="42"/>
      <c r="AD400" s="42"/>
      <c r="AE400" s="42"/>
      <c r="AF400" s="42"/>
      <c r="AG400" s="42"/>
      <c r="AH400" s="42"/>
      <c r="AI400" s="42"/>
      <c r="AJ400" s="42"/>
      <c r="AK400" s="42"/>
      <c r="AL400" s="42"/>
      <c r="AM400" s="42"/>
      <c r="AN400" s="42"/>
      <c r="AO400" s="42"/>
      <c r="AP400" s="42"/>
      <c r="AQ400" s="42"/>
      <c r="AR400" s="42"/>
      <c r="AS400" s="42"/>
      <c r="AT400" s="42"/>
      <c r="AU400" s="42"/>
      <c r="AV400" s="42"/>
      <c r="AW400" s="42"/>
      <c r="AX400" s="42"/>
      <c r="AY400" s="42"/>
      <c r="AZ400" s="42"/>
      <c r="BA400" s="42"/>
      <c r="BB400" s="42"/>
    </row>
    <row r="401" spans="1:54" x14ac:dyDescent="0.25">
      <c r="A401" s="42"/>
      <c r="B401" s="43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  <c r="AA401" s="42"/>
      <c r="AB401" s="42"/>
      <c r="AC401" s="42"/>
      <c r="AD401" s="42"/>
      <c r="AE401" s="42"/>
      <c r="AF401" s="42"/>
      <c r="AG401" s="42"/>
      <c r="AH401" s="42"/>
      <c r="AI401" s="42"/>
      <c r="AJ401" s="42"/>
      <c r="AK401" s="42"/>
      <c r="AL401" s="42"/>
      <c r="AM401" s="42"/>
      <c r="AN401" s="42"/>
      <c r="AO401" s="42"/>
      <c r="AP401" s="42"/>
      <c r="AQ401" s="42"/>
      <c r="AR401" s="42"/>
      <c r="AS401" s="42"/>
      <c r="AT401" s="42"/>
      <c r="AU401" s="42"/>
      <c r="AV401" s="42"/>
      <c r="AW401" s="42"/>
      <c r="AX401" s="42"/>
      <c r="AY401" s="42"/>
      <c r="AZ401" s="42"/>
      <c r="BA401" s="42"/>
      <c r="BB401" s="42"/>
    </row>
    <row r="402" spans="1:54" x14ac:dyDescent="0.25">
      <c r="A402" s="42"/>
      <c r="B402" s="43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  <c r="AA402" s="42"/>
      <c r="AB402" s="42"/>
      <c r="AC402" s="42"/>
      <c r="AD402" s="42"/>
      <c r="AE402" s="42"/>
      <c r="AF402" s="42"/>
      <c r="AG402" s="42"/>
      <c r="AH402" s="42"/>
      <c r="AI402" s="42"/>
      <c r="AJ402" s="42"/>
      <c r="AK402" s="42"/>
      <c r="AL402" s="42"/>
      <c r="AM402" s="42"/>
      <c r="AN402" s="42"/>
      <c r="AO402" s="42"/>
      <c r="AP402" s="42"/>
      <c r="AQ402" s="42"/>
      <c r="AR402" s="42"/>
      <c r="AS402" s="42"/>
      <c r="AT402" s="42"/>
      <c r="AU402" s="42"/>
      <c r="AV402" s="42"/>
      <c r="AW402" s="42"/>
      <c r="AX402" s="42"/>
      <c r="AY402" s="42"/>
      <c r="AZ402" s="42"/>
      <c r="BA402" s="42"/>
      <c r="BB402" s="42"/>
    </row>
    <row r="403" spans="1:54" x14ac:dyDescent="0.25">
      <c r="A403" s="42"/>
      <c r="B403" s="43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  <c r="AA403" s="42"/>
      <c r="AB403" s="42"/>
      <c r="AC403" s="42"/>
      <c r="AD403" s="42"/>
      <c r="AE403" s="42"/>
      <c r="AF403" s="42"/>
      <c r="AG403" s="42"/>
      <c r="AH403" s="42"/>
      <c r="AI403" s="42"/>
      <c r="AJ403" s="42"/>
      <c r="AK403" s="42"/>
      <c r="AL403" s="42"/>
      <c r="AM403" s="42"/>
      <c r="AN403" s="42"/>
      <c r="AO403" s="42"/>
      <c r="AP403" s="42"/>
      <c r="AQ403" s="42"/>
      <c r="AR403" s="42"/>
      <c r="AS403" s="42"/>
      <c r="AT403" s="42"/>
      <c r="AU403" s="42"/>
      <c r="AV403" s="42"/>
      <c r="AW403" s="42"/>
      <c r="AX403" s="42"/>
      <c r="AY403" s="42"/>
      <c r="AZ403" s="42"/>
      <c r="BA403" s="42"/>
      <c r="BB403" s="42"/>
    </row>
    <row r="404" spans="1:54" x14ac:dyDescent="0.25">
      <c r="A404" s="42"/>
      <c r="B404" s="43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  <c r="AA404" s="42"/>
      <c r="AB404" s="42"/>
      <c r="AC404" s="42"/>
      <c r="AD404" s="42"/>
      <c r="AE404" s="42"/>
      <c r="AF404" s="42"/>
      <c r="AG404" s="42"/>
      <c r="AH404" s="42"/>
      <c r="AI404" s="42"/>
      <c r="AJ404" s="42"/>
      <c r="AK404" s="42"/>
      <c r="AL404" s="42"/>
      <c r="AM404" s="42"/>
      <c r="AN404" s="42"/>
      <c r="AO404" s="42"/>
      <c r="AP404" s="42"/>
      <c r="AQ404" s="42"/>
      <c r="AR404" s="42"/>
      <c r="AS404" s="42"/>
      <c r="AT404" s="42"/>
      <c r="AU404" s="42"/>
      <c r="AV404" s="42"/>
      <c r="AW404" s="42"/>
      <c r="AX404" s="42"/>
      <c r="AY404" s="42"/>
      <c r="AZ404" s="42"/>
      <c r="BA404" s="42"/>
      <c r="BB404" s="42"/>
    </row>
    <row r="405" spans="1:54" x14ac:dyDescent="0.25">
      <c r="A405" s="42"/>
      <c r="B405" s="43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2"/>
      <c r="AM405" s="42"/>
      <c r="AN405" s="42"/>
      <c r="AO405" s="42"/>
      <c r="AP405" s="42"/>
      <c r="AQ405" s="42"/>
      <c r="AR405" s="42"/>
      <c r="AS405" s="42"/>
      <c r="AT405" s="42"/>
      <c r="AU405" s="42"/>
      <c r="AV405" s="42"/>
      <c r="AW405" s="42"/>
      <c r="AX405" s="42"/>
      <c r="AY405" s="42"/>
      <c r="AZ405" s="42"/>
      <c r="BA405" s="42"/>
      <c r="BB405" s="42"/>
    </row>
    <row r="406" spans="1:54" x14ac:dyDescent="0.25">
      <c r="A406" s="42"/>
      <c r="B406" s="43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  <c r="AA406" s="42"/>
      <c r="AB406" s="42"/>
      <c r="AC406" s="42"/>
      <c r="AD406" s="42"/>
      <c r="AE406" s="42"/>
      <c r="AF406" s="42"/>
      <c r="AG406" s="42"/>
      <c r="AH406" s="42"/>
      <c r="AI406" s="42"/>
      <c r="AJ406" s="42"/>
      <c r="AK406" s="42"/>
      <c r="AL406" s="42"/>
      <c r="AM406" s="42"/>
      <c r="AN406" s="42"/>
      <c r="AO406" s="42"/>
      <c r="AP406" s="42"/>
      <c r="AQ406" s="42"/>
      <c r="AR406" s="42"/>
      <c r="AS406" s="42"/>
      <c r="AT406" s="42"/>
      <c r="AU406" s="42"/>
      <c r="AV406" s="42"/>
      <c r="AW406" s="42"/>
      <c r="AX406" s="42"/>
      <c r="AY406" s="42"/>
      <c r="AZ406" s="42"/>
      <c r="BA406" s="42"/>
      <c r="BB406" s="42"/>
    </row>
    <row r="407" spans="1:54" x14ac:dyDescent="0.25">
      <c r="A407" s="42"/>
      <c r="B407" s="43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  <c r="AA407" s="42"/>
      <c r="AB407" s="42"/>
      <c r="AC407" s="42"/>
      <c r="AD407" s="42"/>
      <c r="AE407" s="42"/>
      <c r="AF407" s="42"/>
      <c r="AG407" s="42"/>
      <c r="AH407" s="42"/>
      <c r="AI407" s="42"/>
      <c r="AJ407" s="42"/>
      <c r="AK407" s="42"/>
      <c r="AL407" s="42"/>
      <c r="AM407" s="42"/>
      <c r="AN407" s="42"/>
      <c r="AO407" s="42"/>
      <c r="AP407" s="42"/>
      <c r="AQ407" s="42"/>
      <c r="AR407" s="42"/>
      <c r="AS407" s="42"/>
      <c r="AT407" s="42"/>
      <c r="AU407" s="42"/>
      <c r="AV407" s="42"/>
      <c r="AW407" s="42"/>
      <c r="AX407" s="42"/>
      <c r="AY407" s="42"/>
      <c r="AZ407" s="42"/>
      <c r="BA407" s="42"/>
      <c r="BB407" s="42"/>
    </row>
    <row r="408" spans="1:54" x14ac:dyDescent="0.25">
      <c r="A408" s="42"/>
      <c r="B408" s="43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2"/>
      <c r="AM408" s="42"/>
      <c r="AN408" s="42"/>
      <c r="AO408" s="42"/>
      <c r="AP408" s="42"/>
      <c r="AQ408" s="42"/>
      <c r="AR408" s="42"/>
      <c r="AS408" s="42"/>
      <c r="AT408" s="42"/>
      <c r="AU408" s="42"/>
      <c r="AV408" s="42"/>
      <c r="AW408" s="42"/>
      <c r="AX408" s="42"/>
      <c r="AY408" s="42"/>
      <c r="AZ408" s="42"/>
      <c r="BA408" s="42"/>
      <c r="BB408" s="42"/>
    </row>
    <row r="409" spans="1:54" x14ac:dyDescent="0.25">
      <c r="A409" s="42"/>
      <c r="B409" s="43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  <c r="AA409" s="42"/>
      <c r="AB409" s="42"/>
      <c r="AC409" s="42"/>
      <c r="AD409" s="42"/>
      <c r="AE409" s="42"/>
      <c r="AF409" s="42"/>
      <c r="AG409" s="42"/>
      <c r="AH409" s="42"/>
      <c r="AI409" s="42"/>
      <c r="AJ409" s="42"/>
      <c r="AK409" s="42"/>
      <c r="AL409" s="42"/>
      <c r="AM409" s="42"/>
      <c r="AN409" s="42"/>
      <c r="AO409" s="42"/>
      <c r="AP409" s="42"/>
      <c r="AQ409" s="42"/>
      <c r="AR409" s="42"/>
      <c r="AS409" s="42"/>
      <c r="AT409" s="42"/>
      <c r="AU409" s="42"/>
      <c r="AV409" s="42"/>
      <c r="AW409" s="42"/>
      <c r="AX409" s="42"/>
      <c r="AY409" s="42"/>
      <c r="AZ409" s="42"/>
      <c r="BA409" s="42"/>
      <c r="BB409" s="42"/>
    </row>
    <row r="410" spans="1:54" x14ac:dyDescent="0.25">
      <c r="A410" s="42"/>
      <c r="B410" s="43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  <c r="AA410" s="42"/>
      <c r="AB410" s="42"/>
      <c r="AC410" s="42"/>
      <c r="AD410" s="42"/>
      <c r="AE410" s="42"/>
      <c r="AF410" s="42"/>
      <c r="AG410" s="42"/>
      <c r="AH410" s="42"/>
      <c r="AI410" s="42"/>
      <c r="AJ410" s="42"/>
      <c r="AK410" s="42"/>
      <c r="AL410" s="42"/>
      <c r="AM410" s="42"/>
      <c r="AN410" s="42"/>
      <c r="AO410" s="42"/>
      <c r="AP410" s="42"/>
      <c r="AQ410" s="42"/>
      <c r="AR410" s="42"/>
      <c r="AS410" s="42"/>
      <c r="AT410" s="42"/>
      <c r="AU410" s="42"/>
      <c r="AV410" s="42"/>
      <c r="AW410" s="42"/>
      <c r="AX410" s="42"/>
      <c r="AY410" s="42"/>
      <c r="AZ410" s="42"/>
      <c r="BA410" s="42"/>
      <c r="BB410" s="42"/>
    </row>
    <row r="411" spans="1:54" x14ac:dyDescent="0.25">
      <c r="A411" s="42"/>
      <c r="B411" s="43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  <c r="AA411" s="42"/>
      <c r="AB411" s="42"/>
      <c r="AC411" s="42"/>
      <c r="AD411" s="42"/>
      <c r="AE411" s="42"/>
      <c r="AF411" s="42"/>
      <c r="AG411" s="42"/>
      <c r="AH411" s="42"/>
      <c r="AI411" s="42"/>
      <c r="AJ411" s="42"/>
      <c r="AK411" s="42"/>
      <c r="AL411" s="42"/>
      <c r="AM411" s="42"/>
      <c r="AN411" s="42"/>
      <c r="AO411" s="42"/>
      <c r="AP411" s="42"/>
      <c r="AQ411" s="42"/>
      <c r="AR411" s="42"/>
      <c r="AS411" s="42"/>
      <c r="AT411" s="42"/>
      <c r="AU411" s="42"/>
      <c r="AV411" s="42"/>
      <c r="AW411" s="42"/>
      <c r="AX411" s="42"/>
      <c r="AY411" s="42"/>
      <c r="AZ411" s="42"/>
      <c r="BA411" s="42"/>
      <c r="BB411" s="42"/>
    </row>
    <row r="412" spans="1:54" x14ac:dyDescent="0.25">
      <c r="A412" s="42"/>
      <c r="B412" s="43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  <c r="AA412" s="42"/>
      <c r="AB412" s="42"/>
      <c r="AC412" s="42"/>
      <c r="AD412" s="42"/>
      <c r="AE412" s="42"/>
      <c r="AF412" s="42"/>
      <c r="AG412" s="42"/>
      <c r="AH412" s="42"/>
      <c r="AI412" s="42"/>
      <c r="AJ412" s="42"/>
      <c r="AK412" s="42"/>
      <c r="AL412" s="42"/>
      <c r="AM412" s="42"/>
      <c r="AN412" s="42"/>
      <c r="AO412" s="42"/>
      <c r="AP412" s="42"/>
      <c r="AQ412" s="42"/>
      <c r="AR412" s="42"/>
      <c r="AS412" s="42"/>
      <c r="AT412" s="42"/>
      <c r="AU412" s="42"/>
      <c r="AV412" s="42"/>
      <c r="AW412" s="42"/>
      <c r="AX412" s="42"/>
      <c r="AY412" s="42"/>
      <c r="AZ412" s="42"/>
      <c r="BA412" s="42"/>
      <c r="BB412" s="42"/>
    </row>
    <row r="413" spans="1:54" x14ac:dyDescent="0.25">
      <c r="A413" s="42"/>
      <c r="B413" s="43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  <c r="AA413" s="42"/>
      <c r="AB413" s="42"/>
      <c r="AC413" s="42"/>
      <c r="AD413" s="42"/>
      <c r="AE413" s="42"/>
      <c r="AF413" s="42"/>
      <c r="AG413" s="42"/>
      <c r="AH413" s="42"/>
      <c r="AI413" s="42"/>
      <c r="AJ413" s="42"/>
      <c r="AK413" s="42"/>
      <c r="AL413" s="42"/>
      <c r="AM413" s="42"/>
      <c r="AN413" s="42"/>
      <c r="AO413" s="42"/>
      <c r="AP413" s="42"/>
      <c r="AQ413" s="42"/>
      <c r="AR413" s="42"/>
      <c r="AS413" s="42"/>
      <c r="AT413" s="42"/>
      <c r="AU413" s="42"/>
      <c r="AV413" s="42"/>
      <c r="AW413" s="42"/>
      <c r="AX413" s="42"/>
      <c r="AY413" s="42"/>
      <c r="AZ413" s="42"/>
      <c r="BA413" s="42"/>
      <c r="BB413" s="42"/>
    </row>
    <row r="414" spans="1:54" x14ac:dyDescent="0.25">
      <c r="A414" s="42"/>
      <c r="B414" s="43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  <c r="AA414" s="42"/>
      <c r="AB414" s="42"/>
      <c r="AC414" s="42"/>
      <c r="AD414" s="42"/>
      <c r="AE414" s="42"/>
      <c r="AF414" s="42"/>
      <c r="AG414" s="42"/>
      <c r="AH414" s="42"/>
      <c r="AI414" s="42"/>
      <c r="AJ414" s="42"/>
      <c r="AK414" s="42"/>
      <c r="AL414" s="42"/>
      <c r="AM414" s="42"/>
      <c r="AN414" s="42"/>
      <c r="AO414" s="42"/>
      <c r="AP414" s="42"/>
      <c r="AQ414" s="42"/>
      <c r="AR414" s="42"/>
      <c r="AS414" s="42"/>
      <c r="AT414" s="42"/>
      <c r="AU414" s="42"/>
      <c r="AV414" s="42"/>
      <c r="AW414" s="42"/>
      <c r="AX414" s="42"/>
      <c r="AY414" s="42"/>
      <c r="AZ414" s="42"/>
      <c r="BA414" s="42"/>
      <c r="BB414" s="42"/>
    </row>
    <row r="415" spans="1:54" x14ac:dyDescent="0.25">
      <c r="A415" s="42"/>
      <c r="B415" s="43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  <c r="AA415" s="42"/>
      <c r="AB415" s="42"/>
      <c r="AC415" s="42"/>
      <c r="AD415" s="42"/>
      <c r="AE415" s="42"/>
      <c r="AF415" s="42"/>
      <c r="AG415" s="42"/>
      <c r="AH415" s="42"/>
      <c r="AI415" s="42"/>
      <c r="AJ415" s="42"/>
      <c r="AK415" s="42"/>
      <c r="AL415" s="42"/>
      <c r="AM415" s="42"/>
      <c r="AN415" s="42"/>
      <c r="AO415" s="42"/>
      <c r="AP415" s="42"/>
      <c r="AQ415" s="42"/>
      <c r="AR415" s="42"/>
      <c r="AS415" s="42"/>
      <c r="AT415" s="42"/>
      <c r="AU415" s="42"/>
      <c r="AV415" s="42"/>
      <c r="AW415" s="42"/>
      <c r="AX415" s="42"/>
      <c r="AY415" s="42"/>
      <c r="AZ415" s="42"/>
      <c r="BA415" s="42"/>
      <c r="BB415" s="42"/>
    </row>
    <row r="416" spans="1:54" x14ac:dyDescent="0.25">
      <c r="A416" s="42"/>
      <c r="B416" s="43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  <c r="AA416" s="42"/>
      <c r="AB416" s="42"/>
      <c r="AC416" s="42"/>
      <c r="AD416" s="42"/>
      <c r="AE416" s="42"/>
      <c r="AF416" s="42"/>
      <c r="AG416" s="42"/>
      <c r="AH416" s="42"/>
      <c r="AI416" s="42"/>
      <c r="AJ416" s="42"/>
      <c r="AK416" s="42"/>
      <c r="AL416" s="42"/>
      <c r="AM416" s="42"/>
      <c r="AN416" s="42"/>
      <c r="AO416" s="42"/>
      <c r="AP416" s="42"/>
      <c r="AQ416" s="42"/>
      <c r="AR416" s="42"/>
      <c r="AS416" s="42"/>
      <c r="AT416" s="42"/>
      <c r="AU416" s="42"/>
      <c r="AV416" s="42"/>
      <c r="AW416" s="42"/>
      <c r="AX416" s="42"/>
      <c r="AY416" s="42"/>
      <c r="AZ416" s="42"/>
      <c r="BA416" s="42"/>
      <c r="BB416" s="42"/>
    </row>
    <row r="417" spans="1:54" x14ac:dyDescent="0.25">
      <c r="A417" s="42"/>
      <c r="B417" s="43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  <c r="AA417" s="42"/>
      <c r="AB417" s="42"/>
      <c r="AC417" s="42"/>
      <c r="AD417" s="42"/>
      <c r="AE417" s="42"/>
      <c r="AF417" s="42"/>
      <c r="AG417" s="42"/>
      <c r="AH417" s="42"/>
      <c r="AI417" s="42"/>
      <c r="AJ417" s="42"/>
      <c r="AK417" s="42"/>
      <c r="AL417" s="42"/>
      <c r="AM417" s="42"/>
      <c r="AN417" s="42"/>
      <c r="AO417" s="42"/>
      <c r="AP417" s="42"/>
      <c r="AQ417" s="42"/>
      <c r="AR417" s="42"/>
      <c r="AS417" s="42"/>
      <c r="AT417" s="42"/>
      <c r="AU417" s="42"/>
      <c r="AV417" s="42"/>
      <c r="AW417" s="42"/>
      <c r="AX417" s="42"/>
      <c r="AY417" s="42"/>
      <c r="AZ417" s="42"/>
      <c r="BA417" s="42"/>
      <c r="BB417" s="42"/>
    </row>
    <row r="418" spans="1:54" x14ac:dyDescent="0.25">
      <c r="A418" s="42"/>
      <c r="B418" s="43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  <c r="AA418" s="42"/>
      <c r="AB418" s="42"/>
      <c r="AC418" s="42"/>
      <c r="AD418" s="42"/>
      <c r="AE418" s="42"/>
      <c r="AF418" s="42"/>
      <c r="AG418" s="42"/>
      <c r="AH418" s="42"/>
      <c r="AI418" s="42"/>
      <c r="AJ418" s="42"/>
      <c r="AK418" s="42"/>
      <c r="AL418" s="42"/>
      <c r="AM418" s="42"/>
      <c r="AN418" s="42"/>
      <c r="AO418" s="42"/>
      <c r="AP418" s="42"/>
      <c r="AQ418" s="42"/>
      <c r="AR418" s="42"/>
      <c r="AS418" s="42"/>
      <c r="AT418" s="42"/>
      <c r="AU418" s="42"/>
      <c r="AV418" s="42"/>
      <c r="AW418" s="42"/>
      <c r="AX418" s="42"/>
      <c r="AY418" s="42"/>
      <c r="AZ418" s="42"/>
      <c r="BA418" s="42"/>
      <c r="BB418" s="42"/>
    </row>
    <row r="419" spans="1:54" x14ac:dyDescent="0.25">
      <c r="A419" s="42"/>
      <c r="B419" s="43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  <c r="AA419" s="42"/>
      <c r="AB419" s="42"/>
      <c r="AC419" s="42"/>
      <c r="AD419" s="42"/>
      <c r="AE419" s="42"/>
      <c r="AF419" s="42"/>
      <c r="AG419" s="42"/>
      <c r="AH419" s="42"/>
      <c r="AI419" s="42"/>
      <c r="AJ419" s="42"/>
      <c r="AK419" s="42"/>
      <c r="AL419" s="42"/>
      <c r="AM419" s="42"/>
      <c r="AN419" s="42"/>
      <c r="AO419" s="42"/>
      <c r="AP419" s="42"/>
      <c r="AQ419" s="42"/>
      <c r="AR419" s="42"/>
      <c r="AS419" s="42"/>
      <c r="AT419" s="42"/>
      <c r="AU419" s="42"/>
      <c r="AV419" s="42"/>
      <c r="AW419" s="42"/>
      <c r="AX419" s="42"/>
      <c r="AY419" s="42"/>
      <c r="AZ419" s="42"/>
      <c r="BA419" s="42"/>
      <c r="BB419" s="42"/>
    </row>
    <row r="420" spans="1:54" x14ac:dyDescent="0.25">
      <c r="A420" s="42"/>
      <c r="B420" s="43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  <c r="AA420" s="42"/>
      <c r="AB420" s="42"/>
      <c r="AC420" s="42"/>
      <c r="AD420" s="42"/>
      <c r="AE420" s="42"/>
      <c r="AF420" s="42"/>
      <c r="AG420" s="42"/>
      <c r="AH420" s="42"/>
      <c r="AI420" s="42"/>
      <c r="AJ420" s="42"/>
      <c r="AK420" s="42"/>
      <c r="AL420" s="42"/>
      <c r="AM420" s="42"/>
      <c r="AN420" s="42"/>
      <c r="AO420" s="42"/>
      <c r="AP420" s="42"/>
      <c r="AQ420" s="42"/>
      <c r="AR420" s="42"/>
      <c r="AS420" s="42"/>
      <c r="AT420" s="42"/>
      <c r="AU420" s="42"/>
      <c r="AV420" s="42"/>
      <c r="AW420" s="42"/>
      <c r="AX420" s="42"/>
      <c r="AY420" s="42"/>
      <c r="AZ420" s="42"/>
      <c r="BA420" s="42"/>
      <c r="BB420" s="42"/>
    </row>
    <row r="421" spans="1:54" x14ac:dyDescent="0.25">
      <c r="A421" s="42"/>
      <c r="B421" s="43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  <c r="AA421" s="42"/>
      <c r="AB421" s="42"/>
      <c r="AC421" s="42"/>
      <c r="AD421" s="42"/>
      <c r="AE421" s="42"/>
      <c r="AF421" s="42"/>
      <c r="AG421" s="42"/>
      <c r="AH421" s="42"/>
      <c r="AI421" s="42"/>
      <c r="AJ421" s="42"/>
      <c r="AK421" s="42"/>
      <c r="AL421" s="42"/>
      <c r="AM421" s="42"/>
      <c r="AN421" s="42"/>
      <c r="AO421" s="42"/>
      <c r="AP421" s="42"/>
      <c r="AQ421" s="42"/>
      <c r="AR421" s="42"/>
      <c r="AS421" s="42"/>
      <c r="AT421" s="42"/>
      <c r="AU421" s="42"/>
      <c r="AV421" s="42"/>
      <c r="AW421" s="42"/>
      <c r="AX421" s="42"/>
      <c r="AY421" s="42"/>
      <c r="AZ421" s="42"/>
      <c r="BA421" s="42"/>
      <c r="BB421" s="42"/>
    </row>
    <row r="422" spans="1:54" x14ac:dyDescent="0.25">
      <c r="A422" s="42"/>
      <c r="B422" s="43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  <c r="AA422" s="42"/>
      <c r="AB422" s="42"/>
      <c r="AC422" s="42"/>
      <c r="AD422" s="42"/>
      <c r="AE422" s="42"/>
      <c r="AF422" s="42"/>
      <c r="AG422" s="42"/>
      <c r="AH422" s="42"/>
      <c r="AI422" s="42"/>
      <c r="AJ422" s="42"/>
      <c r="AK422" s="42"/>
      <c r="AL422" s="42"/>
      <c r="AM422" s="42"/>
      <c r="AN422" s="42"/>
      <c r="AO422" s="42"/>
      <c r="AP422" s="42"/>
      <c r="AQ422" s="42"/>
      <c r="AR422" s="42"/>
      <c r="AS422" s="42"/>
      <c r="AT422" s="42"/>
      <c r="AU422" s="42"/>
      <c r="AV422" s="42"/>
      <c r="AW422" s="42"/>
      <c r="AX422" s="42"/>
      <c r="AY422" s="42"/>
      <c r="AZ422" s="42"/>
      <c r="BA422" s="42"/>
      <c r="BB422" s="42"/>
    </row>
    <row r="423" spans="1:54" x14ac:dyDescent="0.25">
      <c r="A423" s="42"/>
      <c r="B423" s="43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  <c r="AA423" s="42"/>
      <c r="AB423" s="42"/>
      <c r="AC423" s="42"/>
      <c r="AD423" s="42"/>
      <c r="AE423" s="42"/>
      <c r="AF423" s="42"/>
      <c r="AG423" s="42"/>
      <c r="AH423" s="42"/>
      <c r="AI423" s="42"/>
      <c r="AJ423" s="42"/>
      <c r="AK423" s="42"/>
      <c r="AL423" s="42"/>
      <c r="AM423" s="42"/>
      <c r="AN423" s="42"/>
      <c r="AO423" s="42"/>
      <c r="AP423" s="42"/>
      <c r="AQ423" s="42"/>
      <c r="AR423" s="42"/>
      <c r="AS423" s="42"/>
      <c r="AT423" s="42"/>
      <c r="AU423" s="42"/>
      <c r="AV423" s="42"/>
      <c r="AW423" s="42"/>
      <c r="AX423" s="42"/>
      <c r="AY423" s="42"/>
      <c r="AZ423" s="42"/>
      <c r="BA423" s="42"/>
      <c r="BB423" s="42"/>
    </row>
    <row r="424" spans="1:54" x14ac:dyDescent="0.25">
      <c r="A424" s="42"/>
      <c r="B424" s="43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  <c r="AA424" s="42"/>
      <c r="AB424" s="42"/>
      <c r="AC424" s="42"/>
      <c r="AD424" s="42"/>
      <c r="AE424" s="42"/>
      <c r="AF424" s="42"/>
      <c r="AG424" s="42"/>
      <c r="AH424" s="42"/>
      <c r="AI424" s="42"/>
      <c r="AJ424" s="42"/>
      <c r="AK424" s="42"/>
      <c r="AL424" s="42"/>
      <c r="AM424" s="42"/>
      <c r="AN424" s="42"/>
      <c r="AO424" s="42"/>
      <c r="AP424" s="42"/>
      <c r="AQ424" s="42"/>
      <c r="AR424" s="42"/>
      <c r="AS424" s="42"/>
      <c r="AT424" s="42"/>
      <c r="AU424" s="42"/>
      <c r="AV424" s="42"/>
      <c r="AW424" s="42"/>
      <c r="AX424" s="42"/>
      <c r="AY424" s="42"/>
      <c r="AZ424" s="42"/>
      <c r="BA424" s="42"/>
      <c r="BB424" s="42"/>
    </row>
    <row r="425" spans="1:54" x14ac:dyDescent="0.25">
      <c r="A425" s="42"/>
      <c r="B425" s="43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  <c r="AA425" s="42"/>
      <c r="AB425" s="42"/>
      <c r="AC425" s="42"/>
      <c r="AD425" s="42"/>
      <c r="AE425" s="42"/>
      <c r="AF425" s="42"/>
      <c r="AG425" s="42"/>
      <c r="AH425" s="42"/>
      <c r="AI425" s="42"/>
      <c r="AJ425" s="42"/>
      <c r="AK425" s="42"/>
      <c r="AL425" s="42"/>
      <c r="AM425" s="42"/>
      <c r="AN425" s="42"/>
      <c r="AO425" s="42"/>
      <c r="AP425" s="42"/>
      <c r="AQ425" s="42"/>
      <c r="AR425" s="42"/>
      <c r="AS425" s="42"/>
      <c r="AT425" s="42"/>
      <c r="AU425" s="42"/>
      <c r="AV425" s="42"/>
      <c r="AW425" s="42"/>
      <c r="AX425" s="42"/>
      <c r="AY425" s="42"/>
      <c r="AZ425" s="42"/>
      <c r="BA425" s="42"/>
      <c r="BB425" s="42"/>
    </row>
    <row r="426" spans="1:54" x14ac:dyDescent="0.25">
      <c r="A426" s="42"/>
      <c r="B426" s="43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  <c r="AA426" s="42"/>
      <c r="AB426" s="42"/>
      <c r="AC426" s="42"/>
      <c r="AD426" s="42"/>
      <c r="AE426" s="42"/>
      <c r="AF426" s="42"/>
      <c r="AG426" s="42"/>
      <c r="AH426" s="42"/>
      <c r="AI426" s="42"/>
      <c r="AJ426" s="42"/>
      <c r="AK426" s="42"/>
      <c r="AL426" s="42"/>
      <c r="AM426" s="42"/>
      <c r="AN426" s="42"/>
      <c r="AO426" s="42"/>
      <c r="AP426" s="42"/>
      <c r="AQ426" s="42"/>
      <c r="AR426" s="42"/>
      <c r="AS426" s="42"/>
      <c r="AT426" s="42"/>
      <c r="AU426" s="42"/>
      <c r="AV426" s="42"/>
      <c r="AW426" s="42"/>
      <c r="AX426" s="42"/>
      <c r="AY426" s="42"/>
      <c r="AZ426" s="42"/>
      <c r="BA426" s="42"/>
      <c r="BB426" s="42"/>
    </row>
    <row r="427" spans="1:54" x14ac:dyDescent="0.25">
      <c r="A427" s="42"/>
      <c r="B427" s="43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  <c r="AA427" s="42"/>
      <c r="AB427" s="42"/>
      <c r="AC427" s="42"/>
      <c r="AD427" s="42"/>
      <c r="AE427" s="42"/>
      <c r="AF427" s="42"/>
      <c r="AG427" s="42"/>
      <c r="AH427" s="42"/>
      <c r="AI427" s="42"/>
      <c r="AJ427" s="42"/>
      <c r="AK427" s="42"/>
      <c r="AL427" s="42"/>
      <c r="AM427" s="42"/>
      <c r="AN427" s="42"/>
      <c r="AO427" s="42"/>
      <c r="AP427" s="42"/>
      <c r="AQ427" s="42"/>
      <c r="AR427" s="42"/>
      <c r="AS427" s="42"/>
      <c r="AT427" s="42"/>
      <c r="AU427" s="42"/>
      <c r="AV427" s="42"/>
      <c r="AW427" s="42"/>
      <c r="AX427" s="42"/>
      <c r="AY427" s="42"/>
      <c r="AZ427" s="42"/>
      <c r="BA427" s="42"/>
      <c r="BB427" s="42"/>
    </row>
    <row r="428" spans="1:54" x14ac:dyDescent="0.25">
      <c r="A428" s="42"/>
      <c r="B428" s="43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  <c r="AA428" s="42"/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/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/>
      <c r="BB428" s="42"/>
    </row>
    <row r="429" spans="1:54" x14ac:dyDescent="0.25">
      <c r="A429" s="42"/>
      <c r="B429" s="43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  <c r="AA429" s="42"/>
      <c r="AB429" s="42"/>
      <c r="AC429" s="42"/>
      <c r="AD429" s="42"/>
      <c r="AE429" s="42"/>
      <c r="AF429" s="42"/>
      <c r="AG429" s="42"/>
      <c r="AH429" s="42"/>
      <c r="AI429" s="42"/>
      <c r="AJ429" s="42"/>
      <c r="AK429" s="42"/>
      <c r="AL429" s="42"/>
      <c r="AM429" s="42"/>
      <c r="AN429" s="42"/>
      <c r="AO429" s="42"/>
      <c r="AP429" s="42"/>
      <c r="AQ429" s="42"/>
      <c r="AR429" s="42"/>
      <c r="AS429" s="42"/>
      <c r="AT429" s="42"/>
      <c r="AU429" s="42"/>
      <c r="AV429" s="42"/>
      <c r="AW429" s="42"/>
      <c r="AX429" s="42"/>
      <c r="AY429" s="42"/>
      <c r="AZ429" s="42"/>
      <c r="BA429" s="42"/>
      <c r="BB429" s="42"/>
    </row>
    <row r="430" spans="1:54" x14ac:dyDescent="0.25">
      <c r="A430" s="42"/>
      <c r="B430" s="43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  <c r="AA430" s="42"/>
      <c r="AB430" s="42"/>
      <c r="AC430" s="42"/>
      <c r="AD430" s="42"/>
      <c r="AE430" s="42"/>
      <c r="AF430" s="42"/>
      <c r="AG430" s="42"/>
      <c r="AH430" s="42"/>
      <c r="AI430" s="42"/>
      <c r="AJ430" s="42"/>
      <c r="AK430" s="42"/>
      <c r="AL430" s="42"/>
      <c r="AM430" s="42"/>
      <c r="AN430" s="42"/>
      <c r="AO430" s="42"/>
      <c r="AP430" s="42"/>
      <c r="AQ430" s="42"/>
      <c r="AR430" s="42"/>
      <c r="AS430" s="42"/>
      <c r="AT430" s="42"/>
      <c r="AU430" s="42"/>
      <c r="AV430" s="42"/>
      <c r="AW430" s="42"/>
      <c r="AX430" s="42"/>
      <c r="AY430" s="42"/>
      <c r="AZ430" s="42"/>
      <c r="BA430" s="42"/>
      <c r="BB430" s="42"/>
    </row>
    <row r="431" spans="1:54" x14ac:dyDescent="0.25">
      <c r="A431" s="42"/>
      <c r="B431" s="43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  <c r="AA431" s="42"/>
      <c r="AB431" s="42"/>
      <c r="AC431" s="42"/>
      <c r="AD431" s="42"/>
      <c r="AE431" s="42"/>
      <c r="AF431" s="42"/>
      <c r="AG431" s="42"/>
      <c r="AH431" s="42"/>
      <c r="AI431" s="42"/>
      <c r="AJ431" s="42"/>
      <c r="AK431" s="42"/>
      <c r="AL431" s="42"/>
      <c r="AM431" s="42"/>
      <c r="AN431" s="42"/>
      <c r="AO431" s="42"/>
      <c r="AP431" s="42"/>
      <c r="AQ431" s="42"/>
      <c r="AR431" s="42"/>
      <c r="AS431" s="42"/>
      <c r="AT431" s="42"/>
      <c r="AU431" s="42"/>
      <c r="AV431" s="42"/>
      <c r="AW431" s="42"/>
      <c r="AX431" s="42"/>
      <c r="AY431" s="42"/>
      <c r="AZ431" s="42"/>
      <c r="BA431" s="42"/>
      <c r="BB431" s="42"/>
    </row>
    <row r="432" spans="1:54" x14ac:dyDescent="0.25">
      <c r="A432" s="42"/>
      <c r="B432" s="43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  <c r="AA432" s="42"/>
      <c r="AB432" s="42"/>
      <c r="AC432" s="42"/>
      <c r="AD432" s="42"/>
      <c r="AE432" s="42"/>
      <c r="AF432" s="42"/>
      <c r="AG432" s="42"/>
      <c r="AH432" s="42"/>
      <c r="AI432" s="42"/>
      <c r="AJ432" s="42"/>
      <c r="AK432" s="42"/>
      <c r="AL432" s="42"/>
      <c r="AM432" s="42"/>
      <c r="AN432" s="42"/>
      <c r="AO432" s="42"/>
      <c r="AP432" s="42"/>
      <c r="AQ432" s="42"/>
      <c r="AR432" s="42"/>
      <c r="AS432" s="42"/>
      <c r="AT432" s="42"/>
      <c r="AU432" s="42"/>
      <c r="AV432" s="42"/>
      <c r="AW432" s="42"/>
      <c r="AX432" s="42"/>
      <c r="AY432" s="42"/>
      <c r="AZ432" s="42"/>
      <c r="BA432" s="42"/>
      <c r="BB432" s="42"/>
    </row>
    <row r="433" spans="1:54" x14ac:dyDescent="0.25">
      <c r="A433" s="42"/>
      <c r="B433" s="43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  <c r="AA433" s="42"/>
      <c r="AB433" s="42"/>
      <c r="AC433" s="42"/>
      <c r="AD433" s="42"/>
      <c r="AE433" s="42"/>
      <c r="AF433" s="42"/>
      <c r="AG433" s="42"/>
      <c r="AH433" s="42"/>
      <c r="AI433" s="42"/>
      <c r="AJ433" s="42"/>
      <c r="AK433" s="42"/>
      <c r="AL433" s="42"/>
      <c r="AM433" s="42"/>
      <c r="AN433" s="42"/>
      <c r="AO433" s="42"/>
      <c r="AP433" s="42"/>
      <c r="AQ433" s="42"/>
      <c r="AR433" s="42"/>
      <c r="AS433" s="42"/>
      <c r="AT433" s="42"/>
      <c r="AU433" s="42"/>
      <c r="AV433" s="42"/>
      <c r="AW433" s="42"/>
      <c r="AX433" s="42"/>
      <c r="AY433" s="42"/>
      <c r="AZ433" s="42"/>
      <c r="BA433" s="42"/>
      <c r="BB433" s="42"/>
    </row>
    <row r="434" spans="1:54" x14ac:dyDescent="0.25">
      <c r="A434" s="42"/>
      <c r="B434" s="43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  <c r="AA434" s="42"/>
      <c r="AB434" s="42"/>
      <c r="AC434" s="42"/>
      <c r="AD434" s="42"/>
      <c r="AE434" s="42"/>
      <c r="AF434" s="42"/>
      <c r="AG434" s="42"/>
      <c r="AH434" s="42"/>
      <c r="AI434" s="42"/>
      <c r="AJ434" s="42"/>
      <c r="AK434" s="42"/>
      <c r="AL434" s="42"/>
      <c r="AM434" s="42"/>
      <c r="AN434" s="42"/>
      <c r="AO434" s="42"/>
      <c r="AP434" s="42"/>
      <c r="AQ434" s="42"/>
      <c r="AR434" s="42"/>
      <c r="AS434" s="42"/>
      <c r="AT434" s="42"/>
      <c r="AU434" s="42"/>
      <c r="AV434" s="42"/>
      <c r="AW434" s="42"/>
      <c r="AX434" s="42"/>
      <c r="AY434" s="42"/>
      <c r="AZ434" s="42"/>
      <c r="BA434" s="42"/>
      <c r="BB434" s="42"/>
    </row>
    <row r="435" spans="1:54" x14ac:dyDescent="0.25">
      <c r="A435" s="42"/>
      <c r="B435" s="43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  <c r="AA435" s="42"/>
      <c r="AB435" s="42"/>
      <c r="AC435" s="42"/>
      <c r="AD435" s="42"/>
      <c r="AE435" s="42"/>
      <c r="AF435" s="42"/>
      <c r="AG435" s="42"/>
      <c r="AH435" s="42"/>
      <c r="AI435" s="42"/>
      <c r="AJ435" s="42"/>
      <c r="AK435" s="42"/>
      <c r="AL435" s="42"/>
      <c r="AM435" s="42"/>
      <c r="AN435" s="42"/>
      <c r="AO435" s="42"/>
      <c r="AP435" s="42"/>
      <c r="AQ435" s="42"/>
      <c r="AR435" s="42"/>
      <c r="AS435" s="42"/>
      <c r="AT435" s="42"/>
      <c r="AU435" s="42"/>
      <c r="AV435" s="42"/>
      <c r="AW435" s="42"/>
      <c r="AX435" s="42"/>
      <c r="AY435" s="42"/>
      <c r="AZ435" s="42"/>
      <c r="BA435" s="42"/>
      <c r="BB435" s="42"/>
    </row>
    <row r="436" spans="1:54" x14ac:dyDescent="0.25">
      <c r="A436" s="42"/>
      <c r="B436" s="43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  <c r="AA436" s="42"/>
      <c r="AB436" s="42"/>
      <c r="AC436" s="42"/>
      <c r="AD436" s="42"/>
      <c r="AE436" s="42"/>
      <c r="AF436" s="42"/>
      <c r="AG436" s="42"/>
      <c r="AH436" s="42"/>
      <c r="AI436" s="42"/>
      <c r="AJ436" s="42"/>
      <c r="AK436" s="42"/>
      <c r="AL436" s="42"/>
      <c r="AM436" s="42"/>
      <c r="AN436" s="42"/>
      <c r="AO436" s="42"/>
      <c r="AP436" s="42"/>
      <c r="AQ436" s="42"/>
      <c r="AR436" s="42"/>
      <c r="AS436" s="42"/>
      <c r="AT436" s="42"/>
      <c r="AU436" s="42"/>
      <c r="AV436" s="42"/>
      <c r="AW436" s="42"/>
      <c r="AX436" s="42"/>
      <c r="AY436" s="42"/>
      <c r="AZ436" s="42"/>
      <c r="BA436" s="42"/>
      <c r="BB436" s="42"/>
    </row>
    <row r="437" spans="1:54" x14ac:dyDescent="0.25">
      <c r="A437" s="42"/>
      <c r="B437" s="43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  <c r="AA437" s="42"/>
      <c r="AB437" s="42"/>
      <c r="AC437" s="42"/>
      <c r="AD437" s="42"/>
      <c r="AE437" s="42"/>
      <c r="AF437" s="42"/>
      <c r="AG437" s="42"/>
      <c r="AH437" s="42"/>
      <c r="AI437" s="42"/>
      <c r="AJ437" s="42"/>
      <c r="AK437" s="42"/>
      <c r="AL437" s="42"/>
      <c r="AM437" s="42"/>
      <c r="AN437" s="42"/>
      <c r="AO437" s="42"/>
      <c r="AP437" s="42"/>
      <c r="AQ437" s="42"/>
      <c r="AR437" s="42"/>
      <c r="AS437" s="42"/>
      <c r="AT437" s="42"/>
      <c r="AU437" s="42"/>
      <c r="AV437" s="42"/>
      <c r="AW437" s="42"/>
      <c r="AX437" s="42"/>
      <c r="AY437" s="42"/>
      <c r="AZ437" s="42"/>
      <c r="BA437" s="42"/>
      <c r="BB437" s="42"/>
    </row>
    <row r="438" spans="1:54" x14ac:dyDescent="0.25">
      <c r="A438" s="42"/>
      <c r="B438" s="43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  <c r="AA438" s="42"/>
      <c r="AB438" s="42"/>
      <c r="AC438" s="42"/>
      <c r="AD438" s="42"/>
      <c r="AE438" s="42"/>
      <c r="AF438" s="42"/>
      <c r="AG438" s="42"/>
      <c r="AH438" s="42"/>
      <c r="AI438" s="42"/>
      <c r="AJ438" s="42"/>
      <c r="AK438" s="42"/>
      <c r="AL438" s="42"/>
      <c r="AM438" s="42"/>
      <c r="AN438" s="42"/>
      <c r="AO438" s="42"/>
      <c r="AP438" s="42"/>
      <c r="AQ438" s="42"/>
      <c r="AR438" s="42"/>
      <c r="AS438" s="42"/>
      <c r="AT438" s="42"/>
      <c r="AU438" s="42"/>
      <c r="AV438" s="42"/>
      <c r="AW438" s="42"/>
      <c r="AX438" s="42"/>
      <c r="AY438" s="42"/>
      <c r="AZ438" s="42"/>
      <c r="BA438" s="42"/>
      <c r="BB438" s="42"/>
    </row>
    <row r="439" spans="1:54" x14ac:dyDescent="0.25">
      <c r="A439" s="42"/>
      <c r="B439" s="43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  <c r="AA439" s="42"/>
      <c r="AB439" s="42"/>
      <c r="AC439" s="42"/>
      <c r="AD439" s="42"/>
      <c r="AE439" s="42"/>
      <c r="AF439" s="42"/>
      <c r="AG439" s="42"/>
      <c r="AH439" s="42"/>
      <c r="AI439" s="42"/>
      <c r="AJ439" s="42"/>
      <c r="AK439" s="42"/>
      <c r="AL439" s="42"/>
      <c r="AM439" s="42"/>
      <c r="AN439" s="42"/>
      <c r="AO439" s="42"/>
      <c r="AP439" s="42"/>
      <c r="AQ439" s="42"/>
      <c r="AR439" s="42"/>
      <c r="AS439" s="42"/>
      <c r="AT439" s="42"/>
      <c r="AU439" s="42"/>
      <c r="AV439" s="42"/>
      <c r="AW439" s="42"/>
      <c r="AX439" s="42"/>
      <c r="AY439" s="42"/>
      <c r="AZ439" s="42"/>
      <c r="BA439" s="42"/>
      <c r="BB439" s="42"/>
    </row>
    <row r="440" spans="1:54" x14ac:dyDescent="0.25">
      <c r="A440" s="42"/>
      <c r="B440" s="43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  <c r="AA440" s="42"/>
      <c r="AB440" s="42"/>
      <c r="AC440" s="42"/>
      <c r="AD440" s="42"/>
      <c r="AE440" s="42"/>
      <c r="AF440" s="42"/>
      <c r="AG440" s="42"/>
      <c r="AH440" s="42"/>
      <c r="AI440" s="42"/>
      <c r="AJ440" s="42"/>
      <c r="AK440" s="42"/>
      <c r="AL440" s="42"/>
      <c r="AM440" s="42"/>
      <c r="AN440" s="42"/>
      <c r="AO440" s="42"/>
      <c r="AP440" s="42"/>
      <c r="AQ440" s="42"/>
      <c r="AR440" s="42"/>
      <c r="AS440" s="42"/>
      <c r="AT440" s="42"/>
      <c r="AU440" s="42"/>
      <c r="AV440" s="42"/>
      <c r="AW440" s="42"/>
      <c r="AX440" s="42"/>
      <c r="AY440" s="42"/>
      <c r="AZ440" s="42"/>
      <c r="BA440" s="42"/>
      <c r="BB440" s="42"/>
    </row>
    <row r="441" spans="1:54" x14ac:dyDescent="0.25">
      <c r="A441" s="42"/>
      <c r="B441" s="43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  <c r="AA441" s="42"/>
      <c r="AB441" s="42"/>
      <c r="AC441" s="42"/>
      <c r="AD441" s="42"/>
      <c r="AE441" s="42"/>
      <c r="AF441" s="42"/>
      <c r="AG441" s="42"/>
      <c r="AH441" s="42"/>
      <c r="AI441" s="42"/>
      <c r="AJ441" s="42"/>
      <c r="AK441" s="42"/>
      <c r="AL441" s="42"/>
      <c r="AM441" s="42"/>
      <c r="AN441" s="42"/>
      <c r="AO441" s="42"/>
      <c r="AP441" s="42"/>
      <c r="AQ441" s="42"/>
      <c r="AR441" s="42"/>
      <c r="AS441" s="42"/>
      <c r="AT441" s="42"/>
      <c r="AU441" s="42"/>
      <c r="AV441" s="42"/>
      <c r="AW441" s="42"/>
      <c r="AX441" s="42"/>
      <c r="AY441" s="42"/>
      <c r="AZ441" s="42"/>
      <c r="BA441" s="42"/>
      <c r="BB441" s="42"/>
    </row>
    <row r="442" spans="1:54" x14ac:dyDescent="0.25">
      <c r="A442" s="42"/>
      <c r="B442" s="43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  <c r="AA442" s="42"/>
      <c r="AB442" s="42"/>
      <c r="AC442" s="42"/>
      <c r="AD442" s="42"/>
      <c r="AE442" s="42"/>
      <c r="AF442" s="42"/>
      <c r="AG442" s="42"/>
      <c r="AH442" s="42"/>
      <c r="AI442" s="42"/>
      <c r="AJ442" s="42"/>
      <c r="AK442" s="42"/>
      <c r="AL442" s="42"/>
      <c r="AM442" s="42"/>
      <c r="AN442" s="42"/>
      <c r="AO442" s="42"/>
      <c r="AP442" s="42"/>
      <c r="AQ442" s="42"/>
      <c r="AR442" s="42"/>
      <c r="AS442" s="42"/>
      <c r="AT442" s="42"/>
      <c r="AU442" s="42"/>
      <c r="AV442" s="42"/>
      <c r="AW442" s="42"/>
      <c r="AX442" s="42"/>
      <c r="AY442" s="42"/>
      <c r="AZ442" s="42"/>
      <c r="BA442" s="42"/>
      <c r="BB442" s="42"/>
    </row>
    <row r="443" spans="1:54" x14ac:dyDescent="0.25">
      <c r="A443" s="42"/>
      <c r="B443" s="43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2"/>
      <c r="AM443" s="42"/>
      <c r="AN443" s="42"/>
      <c r="AO443" s="42"/>
      <c r="AP443" s="42"/>
      <c r="AQ443" s="42"/>
      <c r="AR443" s="42"/>
      <c r="AS443" s="42"/>
      <c r="AT443" s="42"/>
      <c r="AU443" s="42"/>
      <c r="AV443" s="42"/>
      <c r="AW443" s="42"/>
      <c r="AX443" s="42"/>
      <c r="AY443" s="42"/>
      <c r="AZ443" s="42"/>
      <c r="BA443" s="42"/>
      <c r="BB443" s="42"/>
    </row>
    <row r="444" spans="1:54" x14ac:dyDescent="0.25">
      <c r="A444" s="42"/>
      <c r="B444" s="43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  <c r="AA444" s="42"/>
      <c r="AB444" s="42"/>
      <c r="AC444" s="42"/>
      <c r="AD444" s="42"/>
      <c r="AE444" s="42"/>
      <c r="AF444" s="42"/>
      <c r="AG444" s="42"/>
      <c r="AH444" s="42"/>
      <c r="AI444" s="42"/>
      <c r="AJ444" s="42"/>
      <c r="AK444" s="42"/>
      <c r="AL444" s="42"/>
      <c r="AM444" s="42"/>
      <c r="AN444" s="42"/>
      <c r="AO444" s="42"/>
      <c r="AP444" s="42"/>
      <c r="AQ444" s="42"/>
      <c r="AR444" s="42"/>
      <c r="AS444" s="42"/>
      <c r="AT444" s="42"/>
      <c r="AU444" s="42"/>
      <c r="AV444" s="42"/>
      <c r="AW444" s="42"/>
      <c r="AX444" s="42"/>
      <c r="AY444" s="42"/>
      <c r="AZ444" s="42"/>
      <c r="BA444" s="42"/>
      <c r="BB444" s="42"/>
    </row>
    <row r="445" spans="1:54" x14ac:dyDescent="0.25">
      <c r="A445" s="42"/>
      <c r="B445" s="43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  <c r="AA445" s="42"/>
      <c r="AB445" s="42"/>
      <c r="AC445" s="42"/>
      <c r="AD445" s="42"/>
      <c r="AE445" s="42"/>
      <c r="AF445" s="42"/>
      <c r="AG445" s="42"/>
      <c r="AH445" s="42"/>
      <c r="AI445" s="42"/>
      <c r="AJ445" s="42"/>
      <c r="AK445" s="42"/>
      <c r="AL445" s="42"/>
      <c r="AM445" s="42"/>
      <c r="AN445" s="42"/>
      <c r="AO445" s="42"/>
      <c r="AP445" s="42"/>
      <c r="AQ445" s="42"/>
      <c r="AR445" s="42"/>
      <c r="AS445" s="42"/>
      <c r="AT445" s="42"/>
      <c r="AU445" s="42"/>
      <c r="AV445" s="42"/>
      <c r="AW445" s="42"/>
      <c r="AX445" s="42"/>
      <c r="AY445" s="42"/>
      <c r="AZ445" s="42"/>
      <c r="BA445" s="42"/>
      <c r="BB445" s="42"/>
    </row>
    <row r="446" spans="1:54" x14ac:dyDescent="0.25">
      <c r="A446" s="42"/>
      <c r="B446" s="43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2"/>
      <c r="AM446" s="42"/>
      <c r="AN446" s="42"/>
      <c r="AO446" s="42"/>
      <c r="AP446" s="42"/>
      <c r="AQ446" s="42"/>
      <c r="AR446" s="42"/>
      <c r="AS446" s="42"/>
      <c r="AT446" s="42"/>
      <c r="AU446" s="42"/>
      <c r="AV446" s="42"/>
      <c r="AW446" s="42"/>
      <c r="AX446" s="42"/>
      <c r="AY446" s="42"/>
      <c r="AZ446" s="42"/>
      <c r="BA446" s="42"/>
      <c r="BB446" s="42"/>
    </row>
    <row r="447" spans="1:54" x14ac:dyDescent="0.25">
      <c r="A447" s="42"/>
      <c r="B447" s="43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  <c r="AA447" s="42"/>
      <c r="AB447" s="42"/>
      <c r="AC447" s="42"/>
      <c r="AD447" s="42"/>
      <c r="AE447" s="42"/>
      <c r="AF447" s="42"/>
      <c r="AG447" s="42"/>
      <c r="AH447" s="42"/>
      <c r="AI447" s="42"/>
      <c r="AJ447" s="42"/>
      <c r="AK447" s="42"/>
      <c r="AL447" s="42"/>
      <c r="AM447" s="42"/>
      <c r="AN447" s="42"/>
      <c r="AO447" s="42"/>
      <c r="AP447" s="42"/>
      <c r="AQ447" s="42"/>
      <c r="AR447" s="42"/>
      <c r="AS447" s="42"/>
      <c r="AT447" s="42"/>
      <c r="AU447" s="42"/>
      <c r="AV447" s="42"/>
      <c r="AW447" s="42"/>
      <c r="AX447" s="42"/>
      <c r="AY447" s="42"/>
      <c r="AZ447" s="42"/>
      <c r="BA447" s="42"/>
      <c r="BB447" s="42"/>
    </row>
    <row r="448" spans="1:54" x14ac:dyDescent="0.25">
      <c r="A448" s="42"/>
      <c r="B448" s="43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  <c r="AA448" s="42"/>
      <c r="AB448" s="42"/>
      <c r="AC448" s="42"/>
      <c r="AD448" s="42"/>
      <c r="AE448" s="42"/>
      <c r="AF448" s="42"/>
      <c r="AG448" s="42"/>
      <c r="AH448" s="42"/>
      <c r="AI448" s="42"/>
      <c r="AJ448" s="42"/>
      <c r="AK448" s="42"/>
      <c r="AL448" s="42"/>
      <c r="AM448" s="42"/>
      <c r="AN448" s="42"/>
      <c r="AO448" s="42"/>
      <c r="AP448" s="42"/>
      <c r="AQ448" s="42"/>
      <c r="AR448" s="42"/>
      <c r="AS448" s="42"/>
      <c r="AT448" s="42"/>
      <c r="AU448" s="42"/>
      <c r="AV448" s="42"/>
      <c r="AW448" s="42"/>
      <c r="AX448" s="42"/>
      <c r="AY448" s="42"/>
      <c r="AZ448" s="42"/>
      <c r="BA448" s="42"/>
      <c r="BB448" s="42"/>
    </row>
    <row r="449" spans="1:54" x14ac:dyDescent="0.25">
      <c r="A449" s="42"/>
      <c r="B449" s="43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  <c r="AA449" s="42"/>
      <c r="AB449" s="42"/>
      <c r="AC449" s="42"/>
      <c r="AD449" s="42"/>
      <c r="AE449" s="42"/>
      <c r="AF449" s="42"/>
      <c r="AG449" s="42"/>
      <c r="AH449" s="42"/>
      <c r="AI449" s="42"/>
      <c r="AJ449" s="42"/>
      <c r="AK449" s="42"/>
      <c r="AL449" s="42"/>
      <c r="AM449" s="42"/>
      <c r="AN449" s="42"/>
      <c r="AO449" s="42"/>
      <c r="AP449" s="42"/>
      <c r="AQ449" s="42"/>
      <c r="AR449" s="42"/>
      <c r="AS449" s="42"/>
      <c r="AT449" s="42"/>
      <c r="AU449" s="42"/>
      <c r="AV449" s="42"/>
      <c r="AW449" s="42"/>
      <c r="AX449" s="42"/>
      <c r="AY449" s="42"/>
      <c r="AZ449" s="42"/>
      <c r="BA449" s="42"/>
      <c r="BB449" s="42"/>
    </row>
    <row r="450" spans="1:54" x14ac:dyDescent="0.25">
      <c r="A450" s="42"/>
      <c r="B450" s="43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  <c r="AA450" s="42"/>
      <c r="AB450" s="42"/>
      <c r="AC450" s="42"/>
      <c r="AD450" s="42"/>
      <c r="AE450" s="42"/>
      <c r="AF450" s="42"/>
      <c r="AG450" s="42"/>
      <c r="AH450" s="42"/>
      <c r="AI450" s="42"/>
      <c r="AJ450" s="42"/>
      <c r="AK450" s="42"/>
      <c r="AL450" s="42"/>
      <c r="AM450" s="42"/>
      <c r="AN450" s="42"/>
      <c r="AO450" s="42"/>
      <c r="AP450" s="42"/>
      <c r="AQ450" s="42"/>
      <c r="AR450" s="42"/>
      <c r="AS450" s="42"/>
      <c r="AT450" s="42"/>
      <c r="AU450" s="42"/>
      <c r="AV450" s="42"/>
      <c r="AW450" s="42"/>
      <c r="AX450" s="42"/>
      <c r="AY450" s="42"/>
      <c r="AZ450" s="42"/>
      <c r="BA450" s="42"/>
      <c r="BB450" s="42"/>
    </row>
    <row r="451" spans="1:54" x14ac:dyDescent="0.25">
      <c r="A451" s="42"/>
      <c r="B451" s="43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  <c r="AA451" s="42"/>
      <c r="AB451" s="42"/>
      <c r="AC451" s="42"/>
      <c r="AD451" s="42"/>
      <c r="AE451" s="42"/>
      <c r="AF451" s="42"/>
      <c r="AG451" s="42"/>
      <c r="AH451" s="42"/>
      <c r="AI451" s="42"/>
      <c r="AJ451" s="42"/>
      <c r="AK451" s="42"/>
      <c r="AL451" s="42"/>
      <c r="AM451" s="42"/>
      <c r="AN451" s="42"/>
      <c r="AO451" s="42"/>
      <c r="AP451" s="42"/>
      <c r="AQ451" s="42"/>
      <c r="AR451" s="42"/>
      <c r="AS451" s="42"/>
      <c r="AT451" s="42"/>
      <c r="AU451" s="42"/>
      <c r="AV451" s="42"/>
      <c r="AW451" s="42"/>
      <c r="AX451" s="42"/>
      <c r="AY451" s="42"/>
      <c r="AZ451" s="42"/>
      <c r="BA451" s="42"/>
      <c r="BB451" s="42"/>
    </row>
    <row r="452" spans="1:54" x14ac:dyDescent="0.25">
      <c r="A452" s="42"/>
      <c r="B452" s="43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  <c r="AA452" s="42"/>
      <c r="AB452" s="42"/>
      <c r="AC452" s="42"/>
      <c r="AD452" s="42"/>
      <c r="AE452" s="42"/>
      <c r="AF452" s="42"/>
      <c r="AG452" s="42"/>
      <c r="AH452" s="42"/>
      <c r="AI452" s="42"/>
      <c r="AJ452" s="42"/>
      <c r="AK452" s="42"/>
      <c r="AL452" s="42"/>
      <c r="AM452" s="42"/>
      <c r="AN452" s="42"/>
      <c r="AO452" s="42"/>
      <c r="AP452" s="42"/>
      <c r="AQ452" s="42"/>
      <c r="AR452" s="42"/>
      <c r="AS452" s="42"/>
      <c r="AT452" s="42"/>
      <c r="AU452" s="42"/>
      <c r="AV452" s="42"/>
      <c r="AW452" s="42"/>
      <c r="AX452" s="42"/>
      <c r="AY452" s="42"/>
      <c r="AZ452" s="42"/>
      <c r="BA452" s="42"/>
      <c r="BB452" s="42"/>
    </row>
    <row r="453" spans="1:54" x14ac:dyDescent="0.25">
      <c r="A453" s="42"/>
      <c r="B453" s="43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  <c r="AA453" s="42"/>
      <c r="AB453" s="42"/>
      <c r="AC453" s="42"/>
      <c r="AD453" s="42"/>
      <c r="AE453" s="42"/>
      <c r="AF453" s="42"/>
      <c r="AG453" s="42"/>
      <c r="AH453" s="42"/>
      <c r="AI453" s="42"/>
      <c r="AJ453" s="42"/>
      <c r="AK453" s="42"/>
      <c r="AL453" s="42"/>
      <c r="AM453" s="42"/>
      <c r="AN453" s="42"/>
      <c r="AO453" s="42"/>
      <c r="AP453" s="42"/>
      <c r="AQ453" s="42"/>
      <c r="AR453" s="42"/>
      <c r="AS453" s="42"/>
      <c r="AT453" s="42"/>
      <c r="AU453" s="42"/>
      <c r="AV453" s="42"/>
      <c r="AW453" s="42"/>
      <c r="AX453" s="42"/>
      <c r="AY453" s="42"/>
      <c r="AZ453" s="42"/>
      <c r="BA453" s="42"/>
      <c r="BB453" s="42"/>
    </row>
    <row r="454" spans="1:54" x14ac:dyDescent="0.25">
      <c r="A454" s="42"/>
      <c r="B454" s="43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  <c r="AA454" s="42"/>
      <c r="AB454" s="42"/>
      <c r="AC454" s="42"/>
      <c r="AD454" s="42"/>
      <c r="AE454" s="42"/>
      <c r="AF454" s="42"/>
      <c r="AG454" s="42"/>
      <c r="AH454" s="42"/>
      <c r="AI454" s="42"/>
      <c r="AJ454" s="42"/>
      <c r="AK454" s="42"/>
      <c r="AL454" s="42"/>
      <c r="AM454" s="42"/>
      <c r="AN454" s="42"/>
      <c r="AO454" s="42"/>
      <c r="AP454" s="42"/>
      <c r="AQ454" s="42"/>
      <c r="AR454" s="42"/>
      <c r="AS454" s="42"/>
      <c r="AT454" s="42"/>
      <c r="AU454" s="42"/>
      <c r="AV454" s="42"/>
      <c r="AW454" s="42"/>
      <c r="AX454" s="42"/>
      <c r="AY454" s="42"/>
      <c r="AZ454" s="42"/>
      <c r="BA454" s="42"/>
      <c r="BB454" s="42"/>
    </row>
    <row r="455" spans="1:54" x14ac:dyDescent="0.25">
      <c r="A455" s="42"/>
      <c r="B455" s="43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  <c r="AA455" s="42"/>
      <c r="AB455" s="42"/>
      <c r="AC455" s="42"/>
      <c r="AD455" s="42"/>
      <c r="AE455" s="42"/>
      <c r="AF455" s="42"/>
      <c r="AG455" s="42"/>
      <c r="AH455" s="42"/>
      <c r="AI455" s="42"/>
      <c r="AJ455" s="42"/>
      <c r="AK455" s="42"/>
      <c r="AL455" s="42"/>
      <c r="AM455" s="42"/>
      <c r="AN455" s="42"/>
      <c r="AO455" s="42"/>
      <c r="AP455" s="42"/>
      <c r="AQ455" s="42"/>
      <c r="AR455" s="42"/>
      <c r="AS455" s="42"/>
      <c r="AT455" s="42"/>
      <c r="AU455" s="42"/>
      <c r="AV455" s="42"/>
      <c r="AW455" s="42"/>
      <c r="AX455" s="42"/>
      <c r="AY455" s="42"/>
      <c r="AZ455" s="42"/>
      <c r="BA455" s="42"/>
      <c r="BB455" s="42"/>
    </row>
    <row r="456" spans="1:54" x14ac:dyDescent="0.25">
      <c r="A456" s="42"/>
      <c r="B456" s="43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  <c r="AA456" s="42"/>
      <c r="AB456" s="42"/>
      <c r="AC456" s="42"/>
      <c r="AD456" s="42"/>
      <c r="AE456" s="42"/>
      <c r="AF456" s="42"/>
      <c r="AG456" s="42"/>
      <c r="AH456" s="42"/>
      <c r="AI456" s="42"/>
      <c r="AJ456" s="42"/>
      <c r="AK456" s="42"/>
      <c r="AL456" s="42"/>
      <c r="AM456" s="42"/>
      <c r="AN456" s="42"/>
      <c r="AO456" s="42"/>
      <c r="AP456" s="42"/>
      <c r="AQ456" s="42"/>
      <c r="AR456" s="42"/>
      <c r="AS456" s="42"/>
      <c r="AT456" s="42"/>
      <c r="AU456" s="42"/>
      <c r="AV456" s="42"/>
      <c r="AW456" s="42"/>
      <c r="AX456" s="42"/>
      <c r="AY456" s="42"/>
      <c r="AZ456" s="42"/>
      <c r="BA456" s="42"/>
      <c r="BB456" s="42"/>
    </row>
    <row r="457" spans="1:54" x14ac:dyDescent="0.25">
      <c r="A457" s="42"/>
      <c r="B457" s="43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  <c r="AA457" s="42"/>
      <c r="AB457" s="42"/>
      <c r="AC457" s="42"/>
      <c r="AD457" s="42"/>
      <c r="AE457" s="42"/>
      <c r="AF457" s="42"/>
      <c r="AG457" s="42"/>
      <c r="AH457" s="42"/>
      <c r="AI457" s="42"/>
      <c r="AJ457" s="42"/>
      <c r="AK457" s="42"/>
      <c r="AL457" s="42"/>
      <c r="AM457" s="42"/>
      <c r="AN457" s="42"/>
      <c r="AO457" s="42"/>
      <c r="AP457" s="42"/>
      <c r="AQ457" s="42"/>
      <c r="AR457" s="42"/>
      <c r="AS457" s="42"/>
      <c r="AT457" s="42"/>
      <c r="AU457" s="42"/>
      <c r="AV457" s="42"/>
      <c r="AW457" s="42"/>
      <c r="AX457" s="42"/>
      <c r="AY457" s="42"/>
      <c r="AZ457" s="42"/>
      <c r="BA457" s="42"/>
      <c r="BB457" s="42"/>
    </row>
    <row r="458" spans="1:54" x14ac:dyDescent="0.25">
      <c r="A458" s="42"/>
      <c r="B458" s="43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  <c r="AA458" s="42"/>
      <c r="AB458" s="42"/>
      <c r="AC458" s="42"/>
      <c r="AD458" s="42"/>
      <c r="AE458" s="42"/>
      <c r="AF458" s="42"/>
      <c r="AG458" s="42"/>
      <c r="AH458" s="42"/>
      <c r="AI458" s="42"/>
      <c r="AJ458" s="42"/>
      <c r="AK458" s="42"/>
      <c r="AL458" s="42"/>
      <c r="AM458" s="42"/>
      <c r="AN458" s="42"/>
      <c r="AO458" s="42"/>
      <c r="AP458" s="42"/>
      <c r="AQ458" s="42"/>
      <c r="AR458" s="42"/>
      <c r="AS458" s="42"/>
      <c r="AT458" s="42"/>
      <c r="AU458" s="42"/>
      <c r="AV458" s="42"/>
      <c r="AW458" s="42"/>
      <c r="AX458" s="42"/>
      <c r="AY458" s="42"/>
      <c r="AZ458" s="42"/>
      <c r="BA458" s="42"/>
      <c r="BB458" s="42"/>
    </row>
    <row r="459" spans="1:54" x14ac:dyDescent="0.25">
      <c r="A459" s="42"/>
      <c r="B459" s="43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  <c r="AA459" s="42"/>
      <c r="AB459" s="42"/>
      <c r="AC459" s="42"/>
      <c r="AD459" s="42"/>
      <c r="AE459" s="42"/>
      <c r="AF459" s="42"/>
      <c r="AG459" s="42"/>
      <c r="AH459" s="42"/>
      <c r="AI459" s="42"/>
      <c r="AJ459" s="42"/>
      <c r="AK459" s="42"/>
      <c r="AL459" s="42"/>
      <c r="AM459" s="42"/>
      <c r="AN459" s="42"/>
      <c r="AO459" s="42"/>
      <c r="AP459" s="42"/>
      <c r="AQ459" s="42"/>
      <c r="AR459" s="42"/>
      <c r="AS459" s="42"/>
      <c r="AT459" s="42"/>
      <c r="AU459" s="42"/>
      <c r="AV459" s="42"/>
      <c r="AW459" s="42"/>
      <c r="AX459" s="42"/>
      <c r="AY459" s="42"/>
      <c r="AZ459" s="42"/>
      <c r="BA459" s="42"/>
      <c r="BB459" s="42"/>
    </row>
    <row r="460" spans="1:54" x14ac:dyDescent="0.25">
      <c r="A460" s="42"/>
      <c r="B460" s="43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  <c r="AA460" s="42"/>
      <c r="AB460" s="42"/>
      <c r="AC460" s="42"/>
      <c r="AD460" s="42"/>
      <c r="AE460" s="42"/>
      <c r="AF460" s="42"/>
      <c r="AG460" s="42"/>
      <c r="AH460" s="42"/>
      <c r="AI460" s="42"/>
      <c r="AJ460" s="42"/>
      <c r="AK460" s="42"/>
      <c r="AL460" s="42"/>
      <c r="AM460" s="42"/>
      <c r="AN460" s="42"/>
      <c r="AO460" s="42"/>
      <c r="AP460" s="42"/>
      <c r="AQ460" s="42"/>
      <c r="AR460" s="42"/>
      <c r="AS460" s="42"/>
      <c r="AT460" s="42"/>
      <c r="AU460" s="42"/>
      <c r="AV460" s="42"/>
      <c r="AW460" s="42"/>
      <c r="AX460" s="42"/>
      <c r="AY460" s="42"/>
      <c r="AZ460" s="42"/>
      <c r="BA460" s="42"/>
      <c r="BB460" s="42"/>
    </row>
    <row r="461" spans="1:54" x14ac:dyDescent="0.25">
      <c r="A461" s="42"/>
      <c r="B461" s="43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  <c r="AA461" s="42"/>
      <c r="AB461" s="42"/>
      <c r="AC461" s="42"/>
      <c r="AD461" s="42"/>
      <c r="AE461" s="42"/>
      <c r="AF461" s="42"/>
      <c r="AG461" s="42"/>
      <c r="AH461" s="42"/>
      <c r="AI461" s="42"/>
      <c r="AJ461" s="42"/>
      <c r="AK461" s="42"/>
      <c r="AL461" s="42"/>
      <c r="AM461" s="42"/>
      <c r="AN461" s="42"/>
      <c r="AO461" s="42"/>
      <c r="AP461" s="42"/>
      <c r="AQ461" s="42"/>
      <c r="AR461" s="42"/>
      <c r="AS461" s="42"/>
      <c r="AT461" s="42"/>
      <c r="AU461" s="42"/>
      <c r="AV461" s="42"/>
      <c r="AW461" s="42"/>
      <c r="AX461" s="42"/>
      <c r="AY461" s="42"/>
      <c r="AZ461" s="42"/>
      <c r="BA461" s="42"/>
      <c r="BB461" s="42"/>
    </row>
    <row r="462" spans="1:54" x14ac:dyDescent="0.25">
      <c r="A462" s="42"/>
      <c r="B462" s="43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  <c r="AA462" s="42"/>
      <c r="AB462" s="42"/>
      <c r="AC462" s="42"/>
      <c r="AD462" s="42"/>
      <c r="AE462" s="42"/>
      <c r="AF462" s="42"/>
      <c r="AG462" s="42"/>
      <c r="AH462" s="42"/>
      <c r="AI462" s="42"/>
      <c r="AJ462" s="42"/>
      <c r="AK462" s="42"/>
      <c r="AL462" s="42"/>
      <c r="AM462" s="42"/>
      <c r="AN462" s="42"/>
      <c r="AO462" s="42"/>
      <c r="AP462" s="42"/>
      <c r="AQ462" s="42"/>
      <c r="AR462" s="42"/>
      <c r="AS462" s="42"/>
      <c r="AT462" s="42"/>
      <c r="AU462" s="42"/>
      <c r="AV462" s="42"/>
      <c r="AW462" s="42"/>
      <c r="AX462" s="42"/>
      <c r="AY462" s="42"/>
      <c r="AZ462" s="42"/>
      <c r="BA462" s="42"/>
      <c r="BB462" s="42"/>
    </row>
    <row r="463" spans="1:54" x14ac:dyDescent="0.25">
      <c r="A463" s="42"/>
      <c r="B463" s="43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  <c r="AA463" s="42"/>
      <c r="AB463" s="42"/>
      <c r="AC463" s="42"/>
      <c r="AD463" s="42"/>
      <c r="AE463" s="42"/>
      <c r="AF463" s="42"/>
      <c r="AG463" s="42"/>
      <c r="AH463" s="42"/>
      <c r="AI463" s="42"/>
      <c r="AJ463" s="42"/>
      <c r="AK463" s="42"/>
      <c r="AL463" s="42"/>
      <c r="AM463" s="42"/>
      <c r="AN463" s="42"/>
      <c r="AO463" s="42"/>
      <c r="AP463" s="42"/>
      <c r="AQ463" s="42"/>
      <c r="AR463" s="42"/>
      <c r="AS463" s="42"/>
      <c r="AT463" s="42"/>
      <c r="AU463" s="42"/>
      <c r="AV463" s="42"/>
      <c r="AW463" s="42"/>
      <c r="AX463" s="42"/>
      <c r="AY463" s="42"/>
      <c r="AZ463" s="42"/>
      <c r="BA463" s="42"/>
      <c r="BB463" s="42"/>
    </row>
    <row r="464" spans="1:54" x14ac:dyDescent="0.25">
      <c r="A464" s="42"/>
      <c r="B464" s="43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  <c r="AA464" s="42"/>
      <c r="AB464" s="42"/>
      <c r="AC464" s="42"/>
      <c r="AD464" s="42"/>
      <c r="AE464" s="42"/>
      <c r="AF464" s="42"/>
      <c r="AG464" s="42"/>
      <c r="AH464" s="42"/>
      <c r="AI464" s="42"/>
      <c r="AJ464" s="42"/>
      <c r="AK464" s="42"/>
      <c r="AL464" s="42"/>
      <c r="AM464" s="42"/>
      <c r="AN464" s="42"/>
      <c r="AO464" s="42"/>
      <c r="AP464" s="42"/>
      <c r="AQ464" s="42"/>
      <c r="AR464" s="42"/>
      <c r="AS464" s="42"/>
      <c r="AT464" s="42"/>
      <c r="AU464" s="42"/>
      <c r="AV464" s="42"/>
      <c r="AW464" s="42"/>
      <c r="AX464" s="42"/>
      <c r="AY464" s="42"/>
      <c r="AZ464" s="42"/>
      <c r="BA464" s="42"/>
      <c r="BB464" s="42"/>
    </row>
    <row r="465" spans="1:54" x14ac:dyDescent="0.25">
      <c r="A465" s="42"/>
      <c r="B465" s="43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  <c r="AA465" s="42"/>
      <c r="AB465" s="42"/>
      <c r="AC465" s="42"/>
      <c r="AD465" s="42"/>
      <c r="AE465" s="42"/>
      <c r="AF465" s="42"/>
      <c r="AG465" s="42"/>
      <c r="AH465" s="42"/>
      <c r="AI465" s="42"/>
      <c r="AJ465" s="42"/>
      <c r="AK465" s="42"/>
      <c r="AL465" s="42"/>
      <c r="AM465" s="42"/>
      <c r="AN465" s="42"/>
      <c r="AO465" s="42"/>
      <c r="AP465" s="42"/>
      <c r="AQ465" s="42"/>
      <c r="AR465" s="42"/>
      <c r="AS465" s="42"/>
      <c r="AT465" s="42"/>
      <c r="AU465" s="42"/>
      <c r="AV465" s="42"/>
      <c r="AW465" s="42"/>
      <c r="AX465" s="42"/>
      <c r="AY465" s="42"/>
      <c r="AZ465" s="42"/>
      <c r="BA465" s="42"/>
      <c r="BB465" s="42"/>
    </row>
    <row r="466" spans="1:54" x14ac:dyDescent="0.25">
      <c r="A466" s="42"/>
      <c r="B466" s="43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  <c r="AA466" s="42"/>
      <c r="AB466" s="42"/>
      <c r="AC466" s="42"/>
      <c r="AD466" s="42"/>
      <c r="AE466" s="42"/>
      <c r="AF466" s="42"/>
      <c r="AG466" s="42"/>
      <c r="AH466" s="42"/>
      <c r="AI466" s="42"/>
      <c r="AJ466" s="42"/>
      <c r="AK466" s="42"/>
      <c r="AL466" s="42"/>
      <c r="AM466" s="42"/>
      <c r="AN466" s="42"/>
      <c r="AO466" s="42"/>
      <c r="AP466" s="42"/>
      <c r="AQ466" s="42"/>
      <c r="AR466" s="42"/>
      <c r="AS466" s="42"/>
      <c r="AT466" s="42"/>
      <c r="AU466" s="42"/>
      <c r="AV466" s="42"/>
      <c r="AW466" s="42"/>
      <c r="AX466" s="42"/>
      <c r="AY466" s="42"/>
      <c r="AZ466" s="42"/>
      <c r="BA466" s="42"/>
      <c r="BB466" s="42"/>
    </row>
    <row r="467" spans="1:54" x14ac:dyDescent="0.25">
      <c r="A467" s="42"/>
      <c r="B467" s="43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  <c r="AA467" s="42"/>
      <c r="AB467" s="42"/>
      <c r="AC467" s="42"/>
      <c r="AD467" s="42"/>
      <c r="AE467" s="42"/>
      <c r="AF467" s="42"/>
      <c r="AG467" s="42"/>
      <c r="AH467" s="42"/>
      <c r="AI467" s="42"/>
      <c r="AJ467" s="42"/>
      <c r="AK467" s="42"/>
      <c r="AL467" s="42"/>
      <c r="AM467" s="42"/>
      <c r="AN467" s="42"/>
      <c r="AO467" s="42"/>
      <c r="AP467" s="42"/>
      <c r="AQ467" s="42"/>
      <c r="AR467" s="42"/>
      <c r="AS467" s="42"/>
      <c r="AT467" s="42"/>
      <c r="AU467" s="42"/>
      <c r="AV467" s="42"/>
      <c r="AW467" s="42"/>
      <c r="AX467" s="42"/>
      <c r="AY467" s="42"/>
      <c r="AZ467" s="42"/>
      <c r="BA467" s="42"/>
      <c r="BB467" s="42"/>
    </row>
    <row r="468" spans="1:54" x14ac:dyDescent="0.25">
      <c r="A468" s="42"/>
      <c r="B468" s="43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  <c r="AA468" s="42"/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/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/>
      <c r="BB468" s="42"/>
    </row>
    <row r="469" spans="1:54" x14ac:dyDescent="0.25">
      <c r="A469" s="42"/>
      <c r="B469" s="43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  <c r="AA469" s="42"/>
      <c r="AB469" s="42"/>
      <c r="AC469" s="42"/>
      <c r="AD469" s="42"/>
      <c r="AE469" s="42"/>
      <c r="AF469" s="42"/>
      <c r="AG469" s="42"/>
      <c r="AH469" s="42"/>
      <c r="AI469" s="42"/>
      <c r="AJ469" s="42"/>
      <c r="AK469" s="42"/>
      <c r="AL469" s="42"/>
      <c r="AM469" s="42"/>
      <c r="AN469" s="42"/>
      <c r="AO469" s="42"/>
      <c r="AP469" s="42"/>
      <c r="AQ469" s="42"/>
      <c r="AR469" s="42"/>
      <c r="AS469" s="42"/>
      <c r="AT469" s="42"/>
      <c r="AU469" s="42"/>
      <c r="AV469" s="42"/>
      <c r="AW469" s="42"/>
      <c r="AX469" s="42"/>
      <c r="AY469" s="42"/>
      <c r="AZ469" s="42"/>
      <c r="BA469" s="42"/>
      <c r="BB469" s="42"/>
    </row>
    <row r="470" spans="1:54" x14ac:dyDescent="0.25">
      <c r="A470" s="42"/>
      <c r="B470" s="43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  <c r="AA470" s="42"/>
      <c r="AB470" s="42"/>
      <c r="AC470" s="42"/>
      <c r="AD470" s="42"/>
      <c r="AE470" s="42"/>
      <c r="AF470" s="42"/>
      <c r="AG470" s="42"/>
      <c r="AH470" s="42"/>
      <c r="AI470" s="42"/>
      <c r="AJ470" s="42"/>
      <c r="AK470" s="42"/>
      <c r="AL470" s="42"/>
      <c r="AM470" s="42"/>
      <c r="AN470" s="42"/>
      <c r="AO470" s="42"/>
      <c r="AP470" s="42"/>
      <c r="AQ470" s="42"/>
      <c r="AR470" s="42"/>
      <c r="AS470" s="42"/>
      <c r="AT470" s="42"/>
      <c r="AU470" s="42"/>
      <c r="AV470" s="42"/>
      <c r="AW470" s="42"/>
      <c r="AX470" s="42"/>
      <c r="AY470" s="42"/>
      <c r="AZ470" s="42"/>
      <c r="BA470" s="42"/>
      <c r="BB470" s="42"/>
    </row>
    <row r="471" spans="1:54" x14ac:dyDescent="0.25">
      <c r="A471" s="42"/>
      <c r="B471" s="43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  <c r="AA471" s="42"/>
      <c r="AB471" s="42"/>
      <c r="AC471" s="42"/>
      <c r="AD471" s="42"/>
      <c r="AE471" s="42"/>
      <c r="AF471" s="42"/>
      <c r="AG471" s="42"/>
      <c r="AH471" s="42"/>
      <c r="AI471" s="42"/>
      <c r="AJ471" s="42"/>
      <c r="AK471" s="42"/>
      <c r="AL471" s="42"/>
      <c r="AM471" s="42"/>
      <c r="AN471" s="42"/>
      <c r="AO471" s="42"/>
      <c r="AP471" s="42"/>
      <c r="AQ471" s="42"/>
      <c r="AR471" s="42"/>
      <c r="AS471" s="42"/>
      <c r="AT471" s="42"/>
      <c r="AU471" s="42"/>
      <c r="AV471" s="42"/>
      <c r="AW471" s="42"/>
      <c r="AX471" s="42"/>
      <c r="AY471" s="42"/>
      <c r="AZ471" s="42"/>
      <c r="BA471" s="42"/>
      <c r="BB471" s="42"/>
    </row>
    <row r="472" spans="1:54" x14ac:dyDescent="0.25">
      <c r="A472" s="42"/>
      <c r="B472" s="43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  <c r="AA472" s="42"/>
      <c r="AB472" s="42"/>
      <c r="AC472" s="42"/>
      <c r="AD472" s="42"/>
      <c r="AE472" s="42"/>
      <c r="AF472" s="42"/>
      <c r="AG472" s="42"/>
      <c r="AH472" s="42"/>
      <c r="AI472" s="42"/>
      <c r="AJ472" s="42"/>
      <c r="AK472" s="42"/>
      <c r="AL472" s="42"/>
      <c r="AM472" s="42"/>
      <c r="AN472" s="42"/>
      <c r="AO472" s="42"/>
      <c r="AP472" s="42"/>
      <c r="AQ472" s="42"/>
      <c r="AR472" s="42"/>
      <c r="AS472" s="42"/>
      <c r="AT472" s="42"/>
      <c r="AU472" s="42"/>
      <c r="AV472" s="42"/>
      <c r="AW472" s="42"/>
      <c r="AX472" s="42"/>
      <c r="AY472" s="42"/>
      <c r="AZ472" s="42"/>
      <c r="BA472" s="42"/>
      <c r="BB472" s="42"/>
    </row>
    <row r="473" spans="1:54" x14ac:dyDescent="0.25">
      <c r="A473" s="42"/>
      <c r="B473" s="43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  <c r="AA473" s="42"/>
      <c r="AB473" s="42"/>
      <c r="AC473" s="42"/>
      <c r="AD473" s="42"/>
      <c r="AE473" s="42"/>
      <c r="AF473" s="42"/>
      <c r="AG473" s="42"/>
      <c r="AH473" s="42"/>
      <c r="AI473" s="42"/>
      <c r="AJ473" s="42"/>
      <c r="AK473" s="42"/>
      <c r="AL473" s="42"/>
      <c r="AM473" s="42"/>
      <c r="AN473" s="42"/>
      <c r="AO473" s="42"/>
      <c r="AP473" s="42"/>
      <c r="AQ473" s="42"/>
      <c r="AR473" s="42"/>
      <c r="AS473" s="42"/>
      <c r="AT473" s="42"/>
      <c r="AU473" s="42"/>
      <c r="AV473" s="42"/>
      <c r="AW473" s="42"/>
      <c r="AX473" s="42"/>
      <c r="AY473" s="42"/>
      <c r="AZ473" s="42"/>
      <c r="BA473" s="42"/>
      <c r="BB473" s="42"/>
    </row>
    <row r="474" spans="1:54" x14ac:dyDescent="0.25">
      <c r="A474" s="42"/>
      <c r="B474" s="43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  <c r="AA474" s="42"/>
      <c r="AB474" s="42"/>
      <c r="AC474" s="42"/>
      <c r="AD474" s="42"/>
      <c r="AE474" s="42"/>
      <c r="AF474" s="42"/>
      <c r="AG474" s="42"/>
      <c r="AH474" s="42"/>
      <c r="AI474" s="42"/>
      <c r="AJ474" s="42"/>
      <c r="AK474" s="42"/>
      <c r="AL474" s="42"/>
      <c r="AM474" s="42"/>
      <c r="AN474" s="42"/>
      <c r="AO474" s="42"/>
      <c r="AP474" s="42"/>
      <c r="AQ474" s="42"/>
      <c r="AR474" s="42"/>
      <c r="AS474" s="42"/>
      <c r="AT474" s="42"/>
      <c r="AU474" s="42"/>
      <c r="AV474" s="42"/>
      <c r="AW474" s="42"/>
      <c r="AX474" s="42"/>
      <c r="AY474" s="42"/>
      <c r="AZ474" s="42"/>
      <c r="BA474" s="42"/>
      <c r="BB474" s="42"/>
    </row>
    <row r="475" spans="1:54" x14ac:dyDescent="0.25">
      <c r="A475" s="42"/>
      <c r="B475" s="43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  <c r="AA475" s="42"/>
      <c r="AB475" s="42"/>
      <c r="AC475" s="42"/>
      <c r="AD475" s="42"/>
      <c r="AE475" s="42"/>
      <c r="AF475" s="42"/>
      <c r="AG475" s="42"/>
      <c r="AH475" s="42"/>
      <c r="AI475" s="42"/>
      <c r="AJ475" s="42"/>
      <c r="AK475" s="42"/>
      <c r="AL475" s="42"/>
      <c r="AM475" s="42"/>
      <c r="AN475" s="42"/>
      <c r="AO475" s="42"/>
      <c r="AP475" s="42"/>
      <c r="AQ475" s="42"/>
      <c r="AR475" s="42"/>
      <c r="AS475" s="42"/>
      <c r="AT475" s="42"/>
      <c r="AU475" s="42"/>
      <c r="AV475" s="42"/>
      <c r="AW475" s="42"/>
      <c r="AX475" s="42"/>
      <c r="AY475" s="42"/>
      <c r="AZ475" s="42"/>
      <c r="BA475" s="42"/>
      <c r="BB475" s="42"/>
    </row>
    <row r="476" spans="1:54" x14ac:dyDescent="0.25">
      <c r="A476" s="42"/>
      <c r="B476" s="43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  <c r="AA476" s="42"/>
      <c r="AB476" s="42"/>
      <c r="AC476" s="42"/>
      <c r="AD476" s="42"/>
      <c r="AE476" s="42"/>
      <c r="AF476" s="42"/>
      <c r="AG476" s="42"/>
      <c r="AH476" s="42"/>
      <c r="AI476" s="42"/>
      <c r="AJ476" s="42"/>
      <c r="AK476" s="42"/>
      <c r="AL476" s="42"/>
      <c r="AM476" s="42"/>
      <c r="AN476" s="42"/>
      <c r="AO476" s="42"/>
      <c r="AP476" s="42"/>
      <c r="AQ476" s="42"/>
      <c r="AR476" s="42"/>
      <c r="AS476" s="42"/>
      <c r="AT476" s="42"/>
      <c r="AU476" s="42"/>
      <c r="AV476" s="42"/>
      <c r="AW476" s="42"/>
      <c r="AX476" s="42"/>
      <c r="AY476" s="42"/>
      <c r="AZ476" s="42"/>
      <c r="BA476" s="42"/>
      <c r="BB476" s="42"/>
    </row>
    <row r="477" spans="1:54" x14ac:dyDescent="0.25">
      <c r="A477" s="42"/>
      <c r="B477" s="43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  <c r="AA477" s="42"/>
      <c r="AB477" s="42"/>
      <c r="AC477" s="42"/>
      <c r="AD477" s="42"/>
      <c r="AE477" s="42"/>
      <c r="AF477" s="42"/>
      <c r="AG477" s="42"/>
      <c r="AH477" s="42"/>
      <c r="AI477" s="42"/>
      <c r="AJ477" s="42"/>
      <c r="AK477" s="42"/>
      <c r="AL477" s="42"/>
      <c r="AM477" s="42"/>
      <c r="AN477" s="42"/>
      <c r="AO477" s="42"/>
      <c r="AP477" s="42"/>
      <c r="AQ477" s="42"/>
      <c r="AR477" s="42"/>
      <c r="AS477" s="42"/>
      <c r="AT477" s="42"/>
      <c r="AU477" s="42"/>
      <c r="AV477" s="42"/>
      <c r="AW477" s="42"/>
      <c r="AX477" s="42"/>
      <c r="AY477" s="42"/>
      <c r="AZ477" s="42"/>
      <c r="BA477" s="42"/>
      <c r="BB477" s="42"/>
    </row>
    <row r="478" spans="1:54" x14ac:dyDescent="0.25">
      <c r="A478" s="42"/>
      <c r="B478" s="43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  <c r="AA478" s="42"/>
      <c r="AB478" s="42"/>
      <c r="AC478" s="42"/>
      <c r="AD478" s="42"/>
      <c r="AE478" s="42"/>
      <c r="AF478" s="42"/>
      <c r="AG478" s="42"/>
      <c r="AH478" s="42"/>
      <c r="AI478" s="42"/>
      <c r="AJ478" s="42"/>
      <c r="AK478" s="42"/>
      <c r="AL478" s="42"/>
      <c r="AM478" s="42"/>
      <c r="AN478" s="42"/>
      <c r="AO478" s="42"/>
      <c r="AP478" s="42"/>
      <c r="AQ478" s="42"/>
      <c r="AR478" s="42"/>
      <c r="AS478" s="42"/>
      <c r="AT478" s="42"/>
      <c r="AU478" s="42"/>
      <c r="AV478" s="42"/>
      <c r="AW478" s="42"/>
      <c r="AX478" s="42"/>
      <c r="AY478" s="42"/>
      <c r="AZ478" s="42"/>
      <c r="BA478" s="42"/>
      <c r="BB478" s="42"/>
    </row>
    <row r="479" spans="1:54" x14ac:dyDescent="0.25">
      <c r="A479" s="42"/>
      <c r="B479" s="43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  <c r="AA479" s="42"/>
      <c r="AB479" s="42"/>
      <c r="AC479" s="42"/>
      <c r="AD479" s="42"/>
      <c r="AE479" s="42"/>
      <c r="AF479" s="42"/>
      <c r="AG479" s="42"/>
      <c r="AH479" s="42"/>
      <c r="AI479" s="42"/>
      <c r="AJ479" s="42"/>
      <c r="AK479" s="42"/>
      <c r="AL479" s="42"/>
      <c r="AM479" s="42"/>
      <c r="AN479" s="42"/>
      <c r="AO479" s="42"/>
      <c r="AP479" s="42"/>
      <c r="AQ479" s="42"/>
      <c r="AR479" s="42"/>
      <c r="AS479" s="42"/>
      <c r="AT479" s="42"/>
      <c r="AU479" s="42"/>
      <c r="AV479" s="42"/>
      <c r="AW479" s="42"/>
      <c r="AX479" s="42"/>
      <c r="AY479" s="42"/>
      <c r="AZ479" s="42"/>
      <c r="BA479" s="42"/>
      <c r="BB479" s="42"/>
    </row>
    <row r="480" spans="1:54" x14ac:dyDescent="0.25">
      <c r="A480" s="42"/>
      <c r="B480" s="43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  <c r="AA480" s="42"/>
      <c r="AB480" s="42"/>
      <c r="AC480" s="42"/>
      <c r="AD480" s="42"/>
      <c r="AE480" s="42"/>
      <c r="AF480" s="42"/>
      <c r="AG480" s="42"/>
      <c r="AH480" s="42"/>
      <c r="AI480" s="42"/>
      <c r="AJ480" s="42"/>
      <c r="AK480" s="42"/>
      <c r="AL480" s="42"/>
      <c r="AM480" s="42"/>
      <c r="AN480" s="42"/>
      <c r="AO480" s="42"/>
      <c r="AP480" s="42"/>
      <c r="AQ480" s="42"/>
      <c r="AR480" s="42"/>
      <c r="AS480" s="42"/>
      <c r="AT480" s="42"/>
      <c r="AU480" s="42"/>
      <c r="AV480" s="42"/>
      <c r="AW480" s="42"/>
      <c r="AX480" s="42"/>
      <c r="AY480" s="42"/>
      <c r="AZ480" s="42"/>
      <c r="BA480" s="42"/>
      <c r="BB480" s="42"/>
    </row>
    <row r="481" spans="1:54" x14ac:dyDescent="0.25">
      <c r="A481" s="42"/>
      <c r="B481" s="43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2"/>
      <c r="AM481" s="42"/>
      <c r="AN481" s="42"/>
      <c r="AO481" s="42"/>
      <c r="AP481" s="42"/>
      <c r="AQ481" s="42"/>
      <c r="AR481" s="42"/>
      <c r="AS481" s="42"/>
      <c r="AT481" s="42"/>
      <c r="AU481" s="42"/>
      <c r="AV481" s="42"/>
      <c r="AW481" s="42"/>
      <c r="AX481" s="42"/>
      <c r="AY481" s="42"/>
      <c r="AZ481" s="42"/>
      <c r="BA481" s="42"/>
      <c r="BB481" s="42"/>
    </row>
    <row r="482" spans="1:54" x14ac:dyDescent="0.25">
      <c r="A482" s="42"/>
      <c r="B482" s="43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  <c r="AA482" s="42"/>
      <c r="AB482" s="42"/>
      <c r="AC482" s="42"/>
      <c r="AD482" s="42"/>
      <c r="AE482" s="42"/>
      <c r="AF482" s="42"/>
      <c r="AG482" s="42"/>
      <c r="AH482" s="42"/>
      <c r="AI482" s="42"/>
      <c r="AJ482" s="42"/>
      <c r="AK482" s="42"/>
      <c r="AL482" s="42"/>
      <c r="AM482" s="42"/>
      <c r="AN482" s="42"/>
      <c r="AO482" s="42"/>
      <c r="AP482" s="42"/>
      <c r="AQ482" s="42"/>
      <c r="AR482" s="42"/>
      <c r="AS482" s="42"/>
      <c r="AT482" s="42"/>
      <c r="AU482" s="42"/>
      <c r="AV482" s="42"/>
      <c r="AW482" s="42"/>
      <c r="AX482" s="42"/>
      <c r="AY482" s="42"/>
      <c r="AZ482" s="42"/>
      <c r="BA482" s="42"/>
      <c r="BB482" s="42"/>
    </row>
    <row r="483" spans="1:54" x14ac:dyDescent="0.25">
      <c r="A483" s="42"/>
      <c r="B483" s="43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  <c r="AA483" s="42"/>
      <c r="AB483" s="42"/>
      <c r="AC483" s="42"/>
      <c r="AD483" s="42"/>
      <c r="AE483" s="42"/>
      <c r="AF483" s="42"/>
      <c r="AG483" s="42"/>
      <c r="AH483" s="42"/>
      <c r="AI483" s="42"/>
      <c r="AJ483" s="42"/>
      <c r="AK483" s="42"/>
      <c r="AL483" s="42"/>
      <c r="AM483" s="42"/>
      <c r="AN483" s="42"/>
      <c r="AO483" s="42"/>
      <c r="AP483" s="42"/>
      <c r="AQ483" s="42"/>
      <c r="AR483" s="42"/>
      <c r="AS483" s="42"/>
      <c r="AT483" s="42"/>
      <c r="AU483" s="42"/>
      <c r="AV483" s="42"/>
      <c r="AW483" s="42"/>
      <c r="AX483" s="42"/>
      <c r="AY483" s="42"/>
      <c r="AZ483" s="42"/>
      <c r="BA483" s="42"/>
      <c r="BB483" s="42"/>
    </row>
    <row r="484" spans="1:54" x14ac:dyDescent="0.25">
      <c r="A484" s="42"/>
      <c r="B484" s="43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2"/>
      <c r="AM484" s="42"/>
      <c r="AN484" s="42"/>
      <c r="AO484" s="42"/>
      <c r="AP484" s="42"/>
      <c r="AQ484" s="42"/>
      <c r="AR484" s="42"/>
      <c r="AS484" s="42"/>
      <c r="AT484" s="42"/>
      <c r="AU484" s="42"/>
      <c r="AV484" s="42"/>
      <c r="AW484" s="42"/>
      <c r="AX484" s="42"/>
      <c r="AY484" s="42"/>
      <c r="AZ484" s="42"/>
      <c r="BA484" s="42"/>
      <c r="BB484" s="42"/>
    </row>
    <row r="485" spans="1:54" x14ac:dyDescent="0.25">
      <c r="A485" s="42"/>
      <c r="B485" s="43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  <c r="AA485" s="42"/>
      <c r="AB485" s="42"/>
      <c r="AC485" s="42"/>
      <c r="AD485" s="42"/>
      <c r="AE485" s="42"/>
      <c r="AF485" s="42"/>
      <c r="AG485" s="42"/>
      <c r="AH485" s="42"/>
      <c r="AI485" s="42"/>
      <c r="AJ485" s="42"/>
      <c r="AK485" s="42"/>
      <c r="AL485" s="42"/>
      <c r="AM485" s="42"/>
      <c r="AN485" s="42"/>
      <c r="AO485" s="42"/>
      <c r="AP485" s="42"/>
      <c r="AQ485" s="42"/>
      <c r="AR485" s="42"/>
      <c r="AS485" s="42"/>
      <c r="AT485" s="42"/>
      <c r="AU485" s="42"/>
      <c r="AV485" s="42"/>
      <c r="AW485" s="42"/>
      <c r="AX485" s="42"/>
      <c r="AY485" s="42"/>
      <c r="AZ485" s="42"/>
      <c r="BA485" s="42"/>
      <c r="BB485" s="42"/>
    </row>
    <row r="486" spans="1:54" x14ac:dyDescent="0.25">
      <c r="A486" s="42"/>
      <c r="B486" s="43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  <c r="AA486" s="42"/>
      <c r="AB486" s="42"/>
      <c r="AC486" s="42"/>
      <c r="AD486" s="42"/>
      <c r="AE486" s="42"/>
      <c r="AF486" s="42"/>
      <c r="AG486" s="42"/>
      <c r="AH486" s="42"/>
      <c r="AI486" s="42"/>
      <c r="AJ486" s="42"/>
      <c r="AK486" s="42"/>
      <c r="AL486" s="42"/>
      <c r="AM486" s="42"/>
      <c r="AN486" s="42"/>
      <c r="AO486" s="42"/>
      <c r="AP486" s="42"/>
      <c r="AQ486" s="42"/>
      <c r="AR486" s="42"/>
      <c r="AS486" s="42"/>
      <c r="AT486" s="42"/>
      <c r="AU486" s="42"/>
      <c r="AV486" s="42"/>
      <c r="AW486" s="42"/>
      <c r="AX486" s="42"/>
      <c r="AY486" s="42"/>
      <c r="AZ486" s="42"/>
      <c r="BA486" s="42"/>
      <c r="BB486" s="42"/>
    </row>
    <row r="487" spans="1:54" x14ac:dyDescent="0.25">
      <c r="A487" s="42"/>
      <c r="B487" s="43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  <c r="AA487" s="42"/>
      <c r="AB487" s="42"/>
      <c r="AC487" s="42"/>
      <c r="AD487" s="42"/>
      <c r="AE487" s="42"/>
      <c r="AF487" s="42"/>
      <c r="AG487" s="42"/>
      <c r="AH487" s="42"/>
      <c r="AI487" s="42"/>
      <c r="AJ487" s="42"/>
      <c r="AK487" s="42"/>
      <c r="AL487" s="42"/>
      <c r="AM487" s="42"/>
      <c r="AN487" s="42"/>
      <c r="AO487" s="42"/>
      <c r="AP487" s="42"/>
      <c r="AQ487" s="42"/>
      <c r="AR487" s="42"/>
      <c r="AS487" s="42"/>
      <c r="AT487" s="42"/>
      <c r="AU487" s="42"/>
      <c r="AV487" s="42"/>
      <c r="AW487" s="42"/>
      <c r="AX487" s="42"/>
      <c r="AY487" s="42"/>
      <c r="AZ487" s="42"/>
      <c r="BA487" s="42"/>
      <c r="BB487" s="42"/>
    </row>
    <row r="488" spans="1:54" x14ac:dyDescent="0.25">
      <c r="A488" s="42"/>
      <c r="B488" s="43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  <c r="AA488" s="42"/>
      <c r="AB488" s="42"/>
      <c r="AC488" s="42"/>
      <c r="AD488" s="42"/>
      <c r="AE488" s="42"/>
      <c r="AF488" s="42"/>
      <c r="AG488" s="42"/>
      <c r="AH488" s="42"/>
      <c r="AI488" s="42"/>
      <c r="AJ488" s="42"/>
      <c r="AK488" s="42"/>
      <c r="AL488" s="42"/>
      <c r="AM488" s="42"/>
      <c r="AN488" s="42"/>
      <c r="AO488" s="42"/>
      <c r="AP488" s="42"/>
      <c r="AQ488" s="42"/>
      <c r="AR488" s="42"/>
      <c r="AS488" s="42"/>
      <c r="AT488" s="42"/>
      <c r="AU488" s="42"/>
      <c r="AV488" s="42"/>
      <c r="AW488" s="42"/>
      <c r="AX488" s="42"/>
      <c r="AY488" s="42"/>
      <c r="AZ488" s="42"/>
      <c r="BA488" s="42"/>
      <c r="BB488" s="42"/>
    </row>
    <row r="489" spans="1:54" x14ac:dyDescent="0.25">
      <c r="A489" s="42"/>
      <c r="B489" s="43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  <c r="AA489" s="42"/>
      <c r="AB489" s="42"/>
      <c r="AC489" s="42"/>
      <c r="AD489" s="42"/>
      <c r="AE489" s="42"/>
      <c r="AF489" s="42"/>
      <c r="AG489" s="42"/>
      <c r="AH489" s="42"/>
      <c r="AI489" s="42"/>
      <c r="AJ489" s="42"/>
      <c r="AK489" s="42"/>
      <c r="AL489" s="42"/>
      <c r="AM489" s="42"/>
      <c r="AN489" s="42"/>
      <c r="AO489" s="42"/>
      <c r="AP489" s="42"/>
      <c r="AQ489" s="42"/>
      <c r="AR489" s="42"/>
      <c r="AS489" s="42"/>
      <c r="AT489" s="42"/>
      <c r="AU489" s="42"/>
      <c r="AV489" s="42"/>
      <c r="AW489" s="42"/>
      <c r="AX489" s="42"/>
      <c r="AY489" s="42"/>
      <c r="AZ489" s="42"/>
      <c r="BA489" s="42"/>
      <c r="BB489" s="42"/>
    </row>
    <row r="490" spans="1:54" x14ac:dyDescent="0.25">
      <c r="A490" s="42"/>
      <c r="B490" s="43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  <c r="AA490" s="42"/>
      <c r="AB490" s="42"/>
      <c r="AC490" s="42"/>
      <c r="AD490" s="42"/>
      <c r="AE490" s="42"/>
      <c r="AF490" s="42"/>
      <c r="AG490" s="42"/>
      <c r="AH490" s="42"/>
      <c r="AI490" s="42"/>
      <c r="AJ490" s="42"/>
      <c r="AK490" s="42"/>
      <c r="AL490" s="42"/>
      <c r="AM490" s="42"/>
      <c r="AN490" s="42"/>
      <c r="AO490" s="42"/>
      <c r="AP490" s="42"/>
      <c r="AQ490" s="42"/>
      <c r="AR490" s="42"/>
      <c r="AS490" s="42"/>
      <c r="AT490" s="42"/>
      <c r="AU490" s="42"/>
      <c r="AV490" s="42"/>
      <c r="AW490" s="42"/>
      <c r="AX490" s="42"/>
      <c r="AY490" s="42"/>
      <c r="AZ490" s="42"/>
      <c r="BA490" s="42"/>
      <c r="BB490" s="42"/>
    </row>
    <row r="491" spans="1:54" x14ac:dyDescent="0.25">
      <c r="A491" s="42"/>
      <c r="B491" s="43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  <c r="AA491" s="42"/>
      <c r="AB491" s="42"/>
      <c r="AC491" s="42"/>
      <c r="AD491" s="42"/>
      <c r="AE491" s="42"/>
      <c r="AF491" s="42"/>
      <c r="AG491" s="42"/>
      <c r="AH491" s="42"/>
      <c r="AI491" s="42"/>
      <c r="AJ491" s="42"/>
      <c r="AK491" s="42"/>
      <c r="AL491" s="42"/>
      <c r="AM491" s="42"/>
      <c r="AN491" s="42"/>
      <c r="AO491" s="42"/>
      <c r="AP491" s="42"/>
      <c r="AQ491" s="42"/>
      <c r="AR491" s="42"/>
      <c r="AS491" s="42"/>
      <c r="AT491" s="42"/>
      <c r="AU491" s="42"/>
      <c r="AV491" s="42"/>
      <c r="AW491" s="42"/>
      <c r="AX491" s="42"/>
      <c r="AY491" s="42"/>
      <c r="AZ491" s="42"/>
      <c r="BA491" s="42"/>
      <c r="BB491" s="42"/>
    </row>
    <row r="492" spans="1:54" x14ac:dyDescent="0.25">
      <c r="A492" s="42"/>
      <c r="B492" s="43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  <c r="AA492" s="42"/>
      <c r="AB492" s="42"/>
      <c r="AC492" s="42"/>
      <c r="AD492" s="42"/>
      <c r="AE492" s="42"/>
      <c r="AF492" s="42"/>
      <c r="AG492" s="42"/>
      <c r="AH492" s="42"/>
      <c r="AI492" s="42"/>
      <c r="AJ492" s="42"/>
      <c r="AK492" s="42"/>
      <c r="AL492" s="42"/>
      <c r="AM492" s="42"/>
      <c r="AN492" s="42"/>
      <c r="AO492" s="42"/>
      <c r="AP492" s="42"/>
      <c r="AQ492" s="42"/>
      <c r="AR492" s="42"/>
      <c r="AS492" s="42"/>
      <c r="AT492" s="42"/>
      <c r="AU492" s="42"/>
      <c r="AV492" s="42"/>
      <c r="AW492" s="42"/>
      <c r="AX492" s="42"/>
      <c r="AY492" s="42"/>
      <c r="AZ492" s="42"/>
      <c r="BA492" s="42"/>
      <c r="BB492" s="42"/>
    </row>
    <row r="493" spans="1:54" x14ac:dyDescent="0.25">
      <c r="A493" s="42"/>
      <c r="B493" s="43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  <c r="AA493" s="42"/>
      <c r="AB493" s="42"/>
      <c r="AC493" s="42"/>
      <c r="AD493" s="42"/>
      <c r="AE493" s="42"/>
      <c r="AF493" s="42"/>
      <c r="AG493" s="42"/>
      <c r="AH493" s="42"/>
      <c r="AI493" s="42"/>
      <c r="AJ493" s="42"/>
      <c r="AK493" s="42"/>
      <c r="AL493" s="42"/>
      <c r="AM493" s="42"/>
      <c r="AN493" s="42"/>
      <c r="AO493" s="42"/>
      <c r="AP493" s="42"/>
      <c r="AQ493" s="42"/>
      <c r="AR493" s="42"/>
      <c r="AS493" s="42"/>
      <c r="AT493" s="42"/>
      <c r="AU493" s="42"/>
      <c r="AV493" s="42"/>
      <c r="AW493" s="42"/>
      <c r="AX493" s="42"/>
      <c r="AY493" s="42"/>
      <c r="AZ493" s="42"/>
      <c r="BA493" s="42"/>
      <c r="BB493" s="42"/>
    </row>
    <row r="494" spans="1:54" x14ac:dyDescent="0.25">
      <c r="A494" s="42"/>
      <c r="B494" s="43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  <c r="AA494" s="42"/>
      <c r="AB494" s="42"/>
      <c r="AC494" s="42"/>
      <c r="AD494" s="42"/>
      <c r="AE494" s="42"/>
      <c r="AF494" s="42"/>
      <c r="AG494" s="42"/>
      <c r="AH494" s="42"/>
      <c r="AI494" s="42"/>
      <c r="AJ494" s="42"/>
      <c r="AK494" s="42"/>
      <c r="AL494" s="42"/>
      <c r="AM494" s="42"/>
      <c r="AN494" s="42"/>
      <c r="AO494" s="42"/>
      <c r="AP494" s="42"/>
      <c r="AQ494" s="42"/>
      <c r="AR494" s="42"/>
      <c r="AS494" s="42"/>
      <c r="AT494" s="42"/>
      <c r="AU494" s="42"/>
      <c r="AV494" s="42"/>
      <c r="AW494" s="42"/>
      <c r="AX494" s="42"/>
      <c r="AY494" s="42"/>
      <c r="AZ494" s="42"/>
      <c r="BA494" s="42"/>
      <c r="BB494" s="42"/>
    </row>
    <row r="495" spans="1:54" x14ac:dyDescent="0.25">
      <c r="A495" s="42"/>
      <c r="B495" s="43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  <c r="AA495" s="42"/>
      <c r="AB495" s="42"/>
      <c r="AC495" s="42"/>
      <c r="AD495" s="42"/>
      <c r="AE495" s="42"/>
      <c r="AF495" s="42"/>
      <c r="AG495" s="42"/>
      <c r="AH495" s="42"/>
      <c r="AI495" s="42"/>
      <c r="AJ495" s="42"/>
      <c r="AK495" s="42"/>
      <c r="AL495" s="42"/>
      <c r="AM495" s="42"/>
      <c r="AN495" s="42"/>
      <c r="AO495" s="42"/>
      <c r="AP495" s="42"/>
      <c r="AQ495" s="42"/>
      <c r="AR495" s="42"/>
      <c r="AS495" s="42"/>
      <c r="AT495" s="42"/>
      <c r="AU495" s="42"/>
      <c r="AV495" s="42"/>
      <c r="AW495" s="42"/>
      <c r="AX495" s="42"/>
      <c r="AY495" s="42"/>
      <c r="AZ495" s="42"/>
      <c r="BA495" s="42"/>
      <c r="BB495" s="42"/>
    </row>
    <row r="496" spans="1:54" x14ac:dyDescent="0.25">
      <c r="A496" s="42"/>
      <c r="B496" s="43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  <c r="AA496" s="42"/>
      <c r="AB496" s="42"/>
      <c r="AC496" s="42"/>
      <c r="AD496" s="42"/>
      <c r="AE496" s="42"/>
      <c r="AF496" s="42"/>
      <c r="AG496" s="42"/>
      <c r="AH496" s="42"/>
      <c r="AI496" s="42"/>
      <c r="AJ496" s="42"/>
      <c r="AK496" s="42"/>
      <c r="AL496" s="42"/>
      <c r="AM496" s="42"/>
      <c r="AN496" s="42"/>
      <c r="AO496" s="42"/>
      <c r="AP496" s="42"/>
      <c r="AQ496" s="42"/>
      <c r="AR496" s="42"/>
      <c r="AS496" s="42"/>
      <c r="AT496" s="42"/>
      <c r="AU496" s="42"/>
      <c r="AV496" s="42"/>
      <c r="AW496" s="42"/>
      <c r="AX496" s="42"/>
      <c r="AY496" s="42"/>
      <c r="AZ496" s="42"/>
      <c r="BA496" s="42"/>
      <c r="BB496" s="42"/>
    </row>
    <row r="497" spans="1:54" x14ac:dyDescent="0.25">
      <c r="A497" s="42"/>
      <c r="B497" s="43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  <c r="AA497" s="42"/>
      <c r="AB497" s="42"/>
      <c r="AC497" s="42"/>
      <c r="AD497" s="42"/>
      <c r="AE497" s="42"/>
      <c r="AF497" s="42"/>
      <c r="AG497" s="42"/>
      <c r="AH497" s="42"/>
      <c r="AI497" s="42"/>
      <c r="AJ497" s="42"/>
      <c r="AK497" s="42"/>
      <c r="AL497" s="42"/>
      <c r="AM497" s="42"/>
      <c r="AN497" s="42"/>
      <c r="AO497" s="42"/>
      <c r="AP497" s="42"/>
      <c r="AQ497" s="42"/>
      <c r="AR497" s="42"/>
      <c r="AS497" s="42"/>
      <c r="AT497" s="42"/>
      <c r="AU497" s="42"/>
      <c r="AV497" s="42"/>
      <c r="AW497" s="42"/>
      <c r="AX497" s="42"/>
      <c r="AY497" s="42"/>
      <c r="AZ497" s="42"/>
      <c r="BA497" s="42"/>
      <c r="BB497" s="42"/>
    </row>
    <row r="498" spans="1:54" x14ac:dyDescent="0.25">
      <c r="A498" s="42"/>
      <c r="B498" s="43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  <c r="AA498" s="42"/>
      <c r="AB498" s="42"/>
      <c r="AC498" s="42"/>
      <c r="AD498" s="42"/>
      <c r="AE498" s="42"/>
      <c r="AF498" s="42"/>
      <c r="AG498" s="42"/>
      <c r="AH498" s="42"/>
      <c r="AI498" s="42"/>
      <c r="AJ498" s="42"/>
      <c r="AK498" s="42"/>
      <c r="AL498" s="42"/>
      <c r="AM498" s="42"/>
      <c r="AN498" s="42"/>
      <c r="AO498" s="42"/>
      <c r="AP498" s="42"/>
      <c r="AQ498" s="42"/>
      <c r="AR498" s="42"/>
      <c r="AS498" s="42"/>
      <c r="AT498" s="42"/>
      <c r="AU498" s="42"/>
      <c r="AV498" s="42"/>
      <c r="AW498" s="42"/>
      <c r="AX498" s="42"/>
      <c r="AY498" s="42"/>
      <c r="AZ498" s="42"/>
      <c r="BA498" s="42"/>
      <c r="BB498" s="42"/>
    </row>
    <row r="499" spans="1:54" x14ac:dyDescent="0.25">
      <c r="A499" s="42"/>
      <c r="B499" s="43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  <c r="AA499" s="42"/>
      <c r="AB499" s="42"/>
      <c r="AC499" s="42"/>
      <c r="AD499" s="42"/>
      <c r="AE499" s="42"/>
      <c r="AF499" s="42"/>
      <c r="AG499" s="42"/>
      <c r="AH499" s="42"/>
      <c r="AI499" s="42"/>
      <c r="AJ499" s="42"/>
      <c r="AK499" s="42"/>
      <c r="AL499" s="42"/>
      <c r="AM499" s="42"/>
      <c r="AN499" s="42"/>
      <c r="AO499" s="42"/>
      <c r="AP499" s="42"/>
      <c r="AQ499" s="42"/>
      <c r="AR499" s="42"/>
      <c r="AS499" s="42"/>
      <c r="AT499" s="42"/>
      <c r="AU499" s="42"/>
      <c r="AV499" s="42"/>
      <c r="AW499" s="42"/>
      <c r="AX499" s="42"/>
      <c r="AY499" s="42"/>
      <c r="AZ499" s="42"/>
      <c r="BA499" s="42"/>
      <c r="BB499" s="42"/>
    </row>
    <row r="500" spans="1:54" x14ac:dyDescent="0.25">
      <c r="A500" s="42"/>
      <c r="B500" s="43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  <c r="AA500" s="42"/>
      <c r="AB500" s="42"/>
      <c r="AC500" s="42"/>
      <c r="AD500" s="42"/>
      <c r="AE500" s="42"/>
      <c r="AF500" s="42"/>
      <c r="AG500" s="42"/>
      <c r="AH500" s="42"/>
      <c r="AI500" s="42"/>
      <c r="AJ500" s="42"/>
      <c r="AK500" s="42"/>
      <c r="AL500" s="42"/>
      <c r="AM500" s="42"/>
      <c r="AN500" s="42"/>
      <c r="AO500" s="42"/>
      <c r="AP500" s="42"/>
      <c r="AQ500" s="42"/>
      <c r="AR500" s="42"/>
      <c r="AS500" s="42"/>
      <c r="AT500" s="42"/>
      <c r="AU500" s="42"/>
      <c r="AV500" s="42"/>
      <c r="AW500" s="42"/>
      <c r="AX500" s="42"/>
      <c r="AY500" s="42"/>
      <c r="AZ500" s="42"/>
      <c r="BA500" s="42"/>
      <c r="BB500" s="42"/>
    </row>
    <row r="501" spans="1:54" x14ac:dyDescent="0.25">
      <c r="A501" s="42"/>
      <c r="B501" s="43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  <c r="AA501" s="42"/>
      <c r="AB501" s="42"/>
      <c r="AC501" s="42"/>
      <c r="AD501" s="42"/>
      <c r="AE501" s="42"/>
      <c r="AF501" s="42"/>
      <c r="AG501" s="42"/>
      <c r="AH501" s="42"/>
      <c r="AI501" s="42"/>
      <c r="AJ501" s="42"/>
      <c r="AK501" s="42"/>
      <c r="AL501" s="42"/>
      <c r="AM501" s="42"/>
      <c r="AN501" s="42"/>
      <c r="AO501" s="42"/>
      <c r="AP501" s="42"/>
      <c r="AQ501" s="42"/>
      <c r="AR501" s="42"/>
      <c r="AS501" s="42"/>
      <c r="AT501" s="42"/>
      <c r="AU501" s="42"/>
      <c r="AV501" s="42"/>
      <c r="AW501" s="42"/>
      <c r="AX501" s="42"/>
      <c r="AY501" s="42"/>
      <c r="AZ501" s="42"/>
      <c r="BA501" s="42"/>
      <c r="BB501" s="42"/>
    </row>
    <row r="502" spans="1:54" x14ac:dyDescent="0.25">
      <c r="A502" s="42"/>
      <c r="B502" s="43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  <c r="AA502" s="42"/>
      <c r="AB502" s="42"/>
      <c r="AC502" s="42"/>
      <c r="AD502" s="42"/>
      <c r="AE502" s="42"/>
      <c r="AF502" s="42"/>
      <c r="AG502" s="42"/>
      <c r="AH502" s="42"/>
      <c r="AI502" s="42"/>
      <c r="AJ502" s="42"/>
      <c r="AK502" s="42"/>
      <c r="AL502" s="42"/>
      <c r="AM502" s="42"/>
      <c r="AN502" s="42"/>
      <c r="AO502" s="42"/>
      <c r="AP502" s="42"/>
      <c r="AQ502" s="42"/>
      <c r="AR502" s="42"/>
      <c r="AS502" s="42"/>
      <c r="AT502" s="42"/>
      <c r="AU502" s="42"/>
      <c r="AV502" s="42"/>
      <c r="AW502" s="42"/>
      <c r="AX502" s="42"/>
      <c r="AY502" s="42"/>
      <c r="AZ502" s="42"/>
      <c r="BA502" s="42"/>
      <c r="BB502" s="42"/>
    </row>
    <row r="503" spans="1:54" x14ac:dyDescent="0.25">
      <c r="A503" s="42"/>
      <c r="B503" s="43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  <c r="AA503" s="42"/>
      <c r="AB503" s="42"/>
      <c r="AC503" s="42"/>
      <c r="AD503" s="42"/>
      <c r="AE503" s="42"/>
      <c r="AF503" s="42"/>
      <c r="AG503" s="42"/>
      <c r="AH503" s="42"/>
      <c r="AI503" s="42"/>
      <c r="AJ503" s="42"/>
      <c r="AK503" s="42"/>
      <c r="AL503" s="42"/>
      <c r="AM503" s="42"/>
      <c r="AN503" s="42"/>
      <c r="AO503" s="42"/>
      <c r="AP503" s="42"/>
      <c r="AQ503" s="42"/>
      <c r="AR503" s="42"/>
      <c r="AS503" s="42"/>
      <c r="AT503" s="42"/>
      <c r="AU503" s="42"/>
      <c r="AV503" s="42"/>
      <c r="AW503" s="42"/>
      <c r="AX503" s="42"/>
      <c r="AY503" s="42"/>
      <c r="AZ503" s="42"/>
      <c r="BA503" s="42"/>
      <c r="BB503" s="42"/>
    </row>
    <row r="504" spans="1:54" x14ac:dyDescent="0.25">
      <c r="A504" s="42"/>
      <c r="B504" s="43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  <c r="AA504" s="42"/>
      <c r="AB504" s="42"/>
      <c r="AC504" s="42"/>
      <c r="AD504" s="42"/>
      <c r="AE504" s="42"/>
      <c r="AF504" s="42"/>
      <c r="AG504" s="42"/>
      <c r="AH504" s="42"/>
      <c r="AI504" s="42"/>
      <c r="AJ504" s="42"/>
      <c r="AK504" s="42"/>
      <c r="AL504" s="42"/>
      <c r="AM504" s="42"/>
      <c r="AN504" s="42"/>
      <c r="AO504" s="42"/>
      <c r="AP504" s="42"/>
      <c r="AQ504" s="42"/>
      <c r="AR504" s="42"/>
      <c r="AS504" s="42"/>
      <c r="AT504" s="42"/>
      <c r="AU504" s="42"/>
      <c r="AV504" s="42"/>
      <c r="AW504" s="42"/>
      <c r="AX504" s="42"/>
      <c r="AY504" s="42"/>
      <c r="AZ504" s="42"/>
      <c r="BA504" s="42"/>
      <c r="BB504" s="42"/>
    </row>
    <row r="505" spans="1:54" x14ac:dyDescent="0.25">
      <c r="A505" s="42"/>
      <c r="B505" s="43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  <c r="AA505" s="42"/>
      <c r="AB505" s="42"/>
      <c r="AC505" s="42"/>
      <c r="AD505" s="42"/>
      <c r="AE505" s="42"/>
      <c r="AF505" s="42"/>
      <c r="AG505" s="42"/>
      <c r="AH505" s="42"/>
      <c r="AI505" s="42"/>
      <c r="AJ505" s="42"/>
      <c r="AK505" s="42"/>
      <c r="AL505" s="42"/>
      <c r="AM505" s="42"/>
      <c r="AN505" s="42"/>
      <c r="AO505" s="42"/>
      <c r="AP505" s="42"/>
      <c r="AQ505" s="42"/>
      <c r="AR505" s="42"/>
      <c r="AS505" s="42"/>
      <c r="AT505" s="42"/>
      <c r="AU505" s="42"/>
      <c r="AV505" s="42"/>
      <c r="AW505" s="42"/>
      <c r="AX505" s="42"/>
      <c r="AY505" s="42"/>
      <c r="AZ505" s="42"/>
      <c r="BA505" s="42"/>
      <c r="BB505" s="42"/>
    </row>
    <row r="506" spans="1:54" x14ac:dyDescent="0.25">
      <c r="A506" s="42"/>
      <c r="B506" s="43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  <c r="AA506" s="42"/>
      <c r="AB506" s="42"/>
      <c r="AC506" s="42"/>
      <c r="AD506" s="42"/>
      <c r="AE506" s="42"/>
      <c r="AF506" s="42"/>
      <c r="AG506" s="42"/>
      <c r="AH506" s="42"/>
      <c r="AI506" s="42"/>
      <c r="AJ506" s="42"/>
      <c r="AK506" s="42"/>
      <c r="AL506" s="42"/>
      <c r="AM506" s="42"/>
      <c r="AN506" s="42"/>
      <c r="AO506" s="42"/>
      <c r="AP506" s="42"/>
      <c r="AQ506" s="42"/>
      <c r="AR506" s="42"/>
      <c r="AS506" s="42"/>
      <c r="AT506" s="42"/>
      <c r="AU506" s="42"/>
      <c r="AV506" s="42"/>
      <c r="AW506" s="42"/>
      <c r="AX506" s="42"/>
      <c r="AY506" s="42"/>
      <c r="AZ506" s="42"/>
      <c r="BA506" s="42"/>
      <c r="BB506" s="42"/>
    </row>
    <row r="507" spans="1:54" x14ac:dyDescent="0.25">
      <c r="A507" s="42"/>
      <c r="B507" s="43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  <c r="AA507" s="42"/>
      <c r="AB507" s="42"/>
      <c r="AC507" s="42"/>
      <c r="AD507" s="42"/>
      <c r="AE507" s="42"/>
      <c r="AF507" s="42"/>
      <c r="AG507" s="42"/>
      <c r="AH507" s="42"/>
      <c r="AI507" s="42"/>
      <c r="AJ507" s="42"/>
      <c r="AK507" s="42"/>
      <c r="AL507" s="42"/>
      <c r="AM507" s="42"/>
      <c r="AN507" s="42"/>
      <c r="AO507" s="42"/>
      <c r="AP507" s="42"/>
      <c r="AQ507" s="42"/>
      <c r="AR507" s="42"/>
      <c r="AS507" s="42"/>
      <c r="AT507" s="42"/>
      <c r="AU507" s="42"/>
      <c r="AV507" s="42"/>
      <c r="AW507" s="42"/>
      <c r="AX507" s="42"/>
      <c r="AY507" s="42"/>
      <c r="AZ507" s="42"/>
      <c r="BA507" s="42"/>
      <c r="BB507" s="42"/>
    </row>
    <row r="508" spans="1:54" x14ac:dyDescent="0.25">
      <c r="A508" s="42"/>
      <c r="B508" s="43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  <c r="AA508" s="42"/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/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/>
      <c r="BB508" s="42"/>
    </row>
    <row r="509" spans="1:54" x14ac:dyDescent="0.25">
      <c r="A509" s="42"/>
      <c r="B509" s="43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  <c r="AA509" s="42"/>
      <c r="AB509" s="42"/>
      <c r="AC509" s="42"/>
      <c r="AD509" s="42"/>
      <c r="AE509" s="42"/>
      <c r="AF509" s="42"/>
      <c r="AG509" s="42"/>
      <c r="AH509" s="42"/>
      <c r="AI509" s="42"/>
      <c r="AJ509" s="42"/>
      <c r="AK509" s="42"/>
      <c r="AL509" s="42"/>
      <c r="AM509" s="42"/>
      <c r="AN509" s="42"/>
      <c r="AO509" s="42"/>
      <c r="AP509" s="42"/>
      <c r="AQ509" s="42"/>
      <c r="AR509" s="42"/>
      <c r="AS509" s="42"/>
      <c r="AT509" s="42"/>
      <c r="AU509" s="42"/>
      <c r="AV509" s="42"/>
      <c r="AW509" s="42"/>
      <c r="AX509" s="42"/>
      <c r="AY509" s="42"/>
      <c r="AZ509" s="42"/>
      <c r="BA509" s="42"/>
      <c r="BB509" s="42"/>
    </row>
    <row r="510" spans="1:54" x14ac:dyDescent="0.25">
      <c r="A510" s="42"/>
      <c r="B510" s="43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  <c r="AA510" s="42"/>
      <c r="AB510" s="42"/>
      <c r="AC510" s="42"/>
      <c r="AD510" s="42"/>
      <c r="AE510" s="42"/>
      <c r="AF510" s="42"/>
      <c r="AG510" s="42"/>
      <c r="AH510" s="42"/>
      <c r="AI510" s="42"/>
      <c r="AJ510" s="42"/>
      <c r="AK510" s="42"/>
      <c r="AL510" s="42"/>
      <c r="AM510" s="42"/>
      <c r="AN510" s="42"/>
      <c r="AO510" s="42"/>
      <c r="AP510" s="42"/>
      <c r="AQ510" s="42"/>
      <c r="AR510" s="42"/>
      <c r="AS510" s="42"/>
      <c r="AT510" s="42"/>
      <c r="AU510" s="42"/>
      <c r="AV510" s="42"/>
      <c r="AW510" s="42"/>
      <c r="AX510" s="42"/>
      <c r="AY510" s="42"/>
      <c r="AZ510" s="42"/>
      <c r="BA510" s="42"/>
      <c r="BB510" s="42"/>
    </row>
    <row r="511" spans="1:54" x14ac:dyDescent="0.25">
      <c r="A511" s="42"/>
      <c r="B511" s="43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  <c r="AA511" s="42"/>
      <c r="AB511" s="42"/>
      <c r="AC511" s="42"/>
      <c r="AD511" s="42"/>
      <c r="AE511" s="42"/>
      <c r="AF511" s="42"/>
      <c r="AG511" s="42"/>
      <c r="AH511" s="42"/>
      <c r="AI511" s="42"/>
      <c r="AJ511" s="42"/>
      <c r="AK511" s="42"/>
      <c r="AL511" s="42"/>
      <c r="AM511" s="42"/>
      <c r="AN511" s="42"/>
      <c r="AO511" s="42"/>
      <c r="AP511" s="42"/>
      <c r="AQ511" s="42"/>
      <c r="AR511" s="42"/>
      <c r="AS511" s="42"/>
      <c r="AT511" s="42"/>
      <c r="AU511" s="42"/>
      <c r="AV511" s="42"/>
      <c r="AW511" s="42"/>
      <c r="AX511" s="42"/>
      <c r="AY511" s="42"/>
      <c r="AZ511" s="42"/>
      <c r="BA511" s="42"/>
      <c r="BB511" s="42"/>
    </row>
    <row r="512" spans="1:54" x14ac:dyDescent="0.25">
      <c r="A512" s="42"/>
      <c r="B512" s="43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  <c r="AA512" s="42"/>
      <c r="AB512" s="42"/>
      <c r="AC512" s="42"/>
      <c r="AD512" s="42"/>
      <c r="AE512" s="42"/>
      <c r="AF512" s="42"/>
      <c r="AG512" s="42"/>
      <c r="AH512" s="42"/>
      <c r="AI512" s="42"/>
      <c r="AJ512" s="42"/>
      <c r="AK512" s="42"/>
      <c r="AL512" s="42"/>
      <c r="AM512" s="42"/>
      <c r="AN512" s="42"/>
      <c r="AO512" s="42"/>
      <c r="AP512" s="42"/>
      <c r="AQ512" s="42"/>
      <c r="AR512" s="42"/>
      <c r="AS512" s="42"/>
      <c r="AT512" s="42"/>
      <c r="AU512" s="42"/>
      <c r="AV512" s="42"/>
      <c r="AW512" s="42"/>
      <c r="AX512" s="42"/>
      <c r="AY512" s="42"/>
      <c r="AZ512" s="42"/>
      <c r="BA512" s="42"/>
      <c r="BB512" s="42"/>
    </row>
    <row r="513" spans="1:54" x14ac:dyDescent="0.25">
      <c r="A513" s="42"/>
      <c r="B513" s="43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  <c r="AA513" s="42"/>
      <c r="AB513" s="42"/>
      <c r="AC513" s="42"/>
      <c r="AD513" s="42"/>
      <c r="AE513" s="42"/>
      <c r="AF513" s="42"/>
      <c r="AG513" s="42"/>
      <c r="AH513" s="42"/>
      <c r="AI513" s="42"/>
      <c r="AJ513" s="42"/>
      <c r="AK513" s="42"/>
      <c r="AL513" s="42"/>
      <c r="AM513" s="42"/>
      <c r="AN513" s="42"/>
      <c r="AO513" s="42"/>
      <c r="AP513" s="42"/>
      <c r="AQ513" s="42"/>
      <c r="AR513" s="42"/>
      <c r="AS513" s="42"/>
      <c r="AT513" s="42"/>
      <c r="AU513" s="42"/>
      <c r="AV513" s="42"/>
      <c r="AW513" s="42"/>
      <c r="AX513" s="42"/>
      <c r="AY513" s="42"/>
      <c r="AZ513" s="42"/>
      <c r="BA513" s="42"/>
      <c r="BB513" s="42"/>
    </row>
    <row r="514" spans="1:54" x14ac:dyDescent="0.25">
      <c r="A514" s="42"/>
      <c r="B514" s="43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  <c r="AA514" s="42"/>
      <c r="AB514" s="42"/>
      <c r="AC514" s="42"/>
      <c r="AD514" s="42"/>
      <c r="AE514" s="42"/>
      <c r="AF514" s="42"/>
      <c r="AG514" s="42"/>
      <c r="AH514" s="42"/>
      <c r="AI514" s="42"/>
      <c r="AJ514" s="42"/>
      <c r="AK514" s="42"/>
      <c r="AL514" s="42"/>
      <c r="AM514" s="42"/>
      <c r="AN514" s="42"/>
      <c r="AO514" s="42"/>
      <c r="AP514" s="42"/>
      <c r="AQ514" s="42"/>
      <c r="AR514" s="42"/>
      <c r="AS514" s="42"/>
      <c r="AT514" s="42"/>
      <c r="AU514" s="42"/>
      <c r="AV514" s="42"/>
      <c r="AW514" s="42"/>
      <c r="AX514" s="42"/>
      <c r="AY514" s="42"/>
      <c r="AZ514" s="42"/>
      <c r="BA514" s="42"/>
      <c r="BB514" s="42"/>
    </row>
    <row r="515" spans="1:54" x14ac:dyDescent="0.25">
      <c r="A515" s="42"/>
      <c r="B515" s="43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  <c r="AA515" s="42"/>
      <c r="AB515" s="42"/>
      <c r="AC515" s="42"/>
      <c r="AD515" s="42"/>
      <c r="AE515" s="42"/>
      <c r="AF515" s="42"/>
      <c r="AG515" s="42"/>
      <c r="AH515" s="42"/>
      <c r="AI515" s="42"/>
      <c r="AJ515" s="42"/>
      <c r="AK515" s="42"/>
      <c r="AL515" s="42"/>
      <c r="AM515" s="42"/>
      <c r="AN515" s="42"/>
      <c r="AO515" s="42"/>
      <c r="AP515" s="42"/>
      <c r="AQ515" s="42"/>
      <c r="AR515" s="42"/>
      <c r="AS515" s="42"/>
      <c r="AT515" s="42"/>
      <c r="AU515" s="42"/>
      <c r="AV515" s="42"/>
      <c r="AW515" s="42"/>
      <c r="AX515" s="42"/>
      <c r="AY515" s="42"/>
      <c r="AZ515" s="42"/>
      <c r="BA515" s="42"/>
      <c r="BB515" s="42"/>
    </row>
    <row r="516" spans="1:54" x14ac:dyDescent="0.25">
      <c r="A516" s="42"/>
      <c r="B516" s="43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  <c r="AA516" s="42"/>
      <c r="AB516" s="42"/>
      <c r="AC516" s="42"/>
      <c r="AD516" s="42"/>
      <c r="AE516" s="42"/>
      <c r="AF516" s="42"/>
      <c r="AG516" s="42"/>
      <c r="AH516" s="42"/>
      <c r="AI516" s="42"/>
      <c r="AJ516" s="42"/>
      <c r="AK516" s="42"/>
      <c r="AL516" s="42"/>
      <c r="AM516" s="42"/>
      <c r="AN516" s="42"/>
      <c r="AO516" s="42"/>
      <c r="AP516" s="42"/>
      <c r="AQ516" s="42"/>
      <c r="AR516" s="42"/>
      <c r="AS516" s="42"/>
      <c r="AT516" s="42"/>
      <c r="AU516" s="42"/>
      <c r="AV516" s="42"/>
      <c r="AW516" s="42"/>
      <c r="AX516" s="42"/>
      <c r="AY516" s="42"/>
      <c r="AZ516" s="42"/>
      <c r="BA516" s="42"/>
      <c r="BB516" s="42"/>
    </row>
    <row r="517" spans="1:54" x14ac:dyDescent="0.25">
      <c r="A517" s="42"/>
      <c r="B517" s="43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  <c r="AA517" s="42"/>
      <c r="AB517" s="42"/>
      <c r="AC517" s="42"/>
      <c r="AD517" s="42"/>
      <c r="AE517" s="42"/>
      <c r="AF517" s="42"/>
      <c r="AG517" s="42"/>
      <c r="AH517" s="42"/>
      <c r="AI517" s="42"/>
      <c r="AJ517" s="42"/>
      <c r="AK517" s="42"/>
      <c r="AL517" s="42"/>
      <c r="AM517" s="42"/>
      <c r="AN517" s="42"/>
      <c r="AO517" s="42"/>
      <c r="AP517" s="42"/>
      <c r="AQ517" s="42"/>
      <c r="AR517" s="42"/>
      <c r="AS517" s="42"/>
      <c r="AT517" s="42"/>
      <c r="AU517" s="42"/>
      <c r="AV517" s="42"/>
      <c r="AW517" s="42"/>
      <c r="AX517" s="42"/>
      <c r="AY517" s="42"/>
      <c r="AZ517" s="42"/>
      <c r="BA517" s="42"/>
      <c r="BB517" s="42"/>
    </row>
    <row r="518" spans="1:54" x14ac:dyDescent="0.25">
      <c r="A518" s="42"/>
      <c r="B518" s="43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  <c r="AA518" s="42"/>
      <c r="AB518" s="42"/>
      <c r="AC518" s="42"/>
      <c r="AD518" s="42"/>
      <c r="AE518" s="42"/>
      <c r="AF518" s="42"/>
      <c r="AG518" s="42"/>
      <c r="AH518" s="42"/>
      <c r="AI518" s="42"/>
      <c r="AJ518" s="42"/>
      <c r="AK518" s="42"/>
      <c r="AL518" s="42"/>
      <c r="AM518" s="42"/>
      <c r="AN518" s="42"/>
      <c r="AO518" s="42"/>
      <c r="AP518" s="42"/>
      <c r="AQ518" s="42"/>
      <c r="AR518" s="42"/>
      <c r="AS518" s="42"/>
      <c r="AT518" s="42"/>
      <c r="AU518" s="42"/>
      <c r="AV518" s="42"/>
      <c r="AW518" s="42"/>
      <c r="AX518" s="42"/>
      <c r="AY518" s="42"/>
      <c r="AZ518" s="42"/>
      <c r="BA518" s="42"/>
      <c r="BB518" s="42"/>
    </row>
    <row r="519" spans="1:54" x14ac:dyDescent="0.25">
      <c r="A519" s="42"/>
      <c r="B519" s="43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2"/>
      <c r="AM519" s="42"/>
      <c r="AN519" s="42"/>
      <c r="AO519" s="42"/>
      <c r="AP519" s="42"/>
      <c r="AQ519" s="42"/>
      <c r="AR519" s="42"/>
      <c r="AS519" s="42"/>
      <c r="AT519" s="42"/>
      <c r="AU519" s="42"/>
      <c r="AV519" s="42"/>
      <c r="AW519" s="42"/>
      <c r="AX519" s="42"/>
      <c r="AY519" s="42"/>
      <c r="AZ519" s="42"/>
      <c r="BA519" s="42"/>
      <c r="BB519" s="42"/>
    </row>
    <row r="520" spans="1:54" x14ac:dyDescent="0.25">
      <c r="A520" s="42"/>
      <c r="B520" s="43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  <c r="AA520" s="42"/>
      <c r="AB520" s="42"/>
      <c r="AC520" s="42"/>
      <c r="AD520" s="42"/>
      <c r="AE520" s="42"/>
      <c r="AF520" s="42"/>
      <c r="AG520" s="42"/>
      <c r="AH520" s="42"/>
      <c r="AI520" s="42"/>
      <c r="AJ520" s="42"/>
      <c r="AK520" s="42"/>
      <c r="AL520" s="42"/>
      <c r="AM520" s="42"/>
      <c r="AN520" s="42"/>
      <c r="AO520" s="42"/>
      <c r="AP520" s="42"/>
      <c r="AQ520" s="42"/>
      <c r="AR520" s="42"/>
      <c r="AS520" s="42"/>
      <c r="AT520" s="42"/>
      <c r="AU520" s="42"/>
      <c r="AV520" s="42"/>
      <c r="AW520" s="42"/>
      <c r="AX520" s="42"/>
      <c r="AY520" s="42"/>
      <c r="AZ520" s="42"/>
      <c r="BA520" s="42"/>
      <c r="BB520" s="42"/>
    </row>
    <row r="521" spans="1:54" x14ac:dyDescent="0.25">
      <c r="A521" s="42"/>
      <c r="B521" s="43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  <c r="AA521" s="42"/>
      <c r="AB521" s="42"/>
      <c r="AC521" s="42"/>
      <c r="AD521" s="42"/>
      <c r="AE521" s="42"/>
      <c r="AF521" s="42"/>
      <c r="AG521" s="42"/>
      <c r="AH521" s="42"/>
      <c r="AI521" s="42"/>
      <c r="AJ521" s="42"/>
      <c r="AK521" s="42"/>
      <c r="AL521" s="42"/>
      <c r="AM521" s="42"/>
      <c r="AN521" s="42"/>
      <c r="AO521" s="42"/>
      <c r="AP521" s="42"/>
      <c r="AQ521" s="42"/>
      <c r="AR521" s="42"/>
      <c r="AS521" s="42"/>
      <c r="AT521" s="42"/>
      <c r="AU521" s="42"/>
      <c r="AV521" s="42"/>
      <c r="AW521" s="42"/>
      <c r="AX521" s="42"/>
      <c r="AY521" s="42"/>
      <c r="AZ521" s="42"/>
      <c r="BA521" s="42"/>
      <c r="BB521" s="42"/>
    </row>
    <row r="522" spans="1:54" x14ac:dyDescent="0.25">
      <c r="A522" s="42"/>
      <c r="B522" s="43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2"/>
      <c r="AM522" s="42"/>
      <c r="AN522" s="42"/>
      <c r="AO522" s="42"/>
      <c r="AP522" s="42"/>
      <c r="AQ522" s="42"/>
      <c r="AR522" s="42"/>
      <c r="AS522" s="42"/>
      <c r="AT522" s="42"/>
      <c r="AU522" s="42"/>
      <c r="AV522" s="42"/>
      <c r="AW522" s="42"/>
      <c r="AX522" s="42"/>
      <c r="AY522" s="42"/>
      <c r="AZ522" s="42"/>
      <c r="BA522" s="42"/>
      <c r="BB522" s="42"/>
    </row>
    <row r="523" spans="1:54" x14ac:dyDescent="0.25">
      <c r="A523" s="42"/>
      <c r="B523" s="43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  <c r="AA523" s="42"/>
      <c r="AB523" s="42"/>
      <c r="AC523" s="42"/>
      <c r="AD523" s="42"/>
      <c r="AE523" s="42"/>
      <c r="AF523" s="42"/>
      <c r="AG523" s="42"/>
      <c r="AH523" s="42"/>
      <c r="AI523" s="42"/>
      <c r="AJ523" s="42"/>
      <c r="AK523" s="42"/>
      <c r="AL523" s="42"/>
      <c r="AM523" s="42"/>
      <c r="AN523" s="42"/>
      <c r="AO523" s="42"/>
      <c r="AP523" s="42"/>
      <c r="AQ523" s="42"/>
      <c r="AR523" s="42"/>
      <c r="AS523" s="42"/>
      <c r="AT523" s="42"/>
      <c r="AU523" s="42"/>
      <c r="AV523" s="42"/>
      <c r="AW523" s="42"/>
      <c r="AX523" s="42"/>
      <c r="AY523" s="42"/>
      <c r="AZ523" s="42"/>
      <c r="BA523" s="42"/>
      <c r="BB523" s="42"/>
    </row>
    <row r="524" spans="1:54" x14ac:dyDescent="0.25">
      <c r="A524" s="42"/>
      <c r="B524" s="43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  <c r="AA524" s="42"/>
      <c r="AB524" s="42"/>
      <c r="AC524" s="42"/>
      <c r="AD524" s="42"/>
      <c r="AE524" s="42"/>
      <c r="AF524" s="42"/>
      <c r="AG524" s="42"/>
      <c r="AH524" s="42"/>
      <c r="AI524" s="42"/>
      <c r="AJ524" s="42"/>
      <c r="AK524" s="42"/>
      <c r="AL524" s="42"/>
      <c r="AM524" s="42"/>
      <c r="AN524" s="42"/>
      <c r="AO524" s="42"/>
      <c r="AP524" s="42"/>
      <c r="AQ524" s="42"/>
      <c r="AR524" s="42"/>
      <c r="AS524" s="42"/>
      <c r="AT524" s="42"/>
      <c r="AU524" s="42"/>
      <c r="AV524" s="42"/>
      <c r="AW524" s="42"/>
      <c r="AX524" s="42"/>
      <c r="AY524" s="42"/>
      <c r="AZ524" s="42"/>
      <c r="BA524" s="42"/>
      <c r="BB524" s="42"/>
    </row>
    <row r="525" spans="1:54" x14ac:dyDescent="0.25">
      <c r="A525" s="42"/>
      <c r="B525" s="43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  <c r="AA525" s="42"/>
      <c r="AB525" s="42"/>
      <c r="AC525" s="42"/>
      <c r="AD525" s="42"/>
      <c r="AE525" s="42"/>
      <c r="AF525" s="42"/>
      <c r="AG525" s="42"/>
      <c r="AH525" s="42"/>
      <c r="AI525" s="42"/>
      <c r="AJ525" s="42"/>
      <c r="AK525" s="42"/>
      <c r="AL525" s="42"/>
      <c r="AM525" s="42"/>
      <c r="AN525" s="42"/>
      <c r="AO525" s="42"/>
      <c r="AP525" s="42"/>
      <c r="AQ525" s="42"/>
      <c r="AR525" s="42"/>
      <c r="AS525" s="42"/>
      <c r="AT525" s="42"/>
      <c r="AU525" s="42"/>
      <c r="AV525" s="42"/>
      <c r="AW525" s="42"/>
      <c r="AX525" s="42"/>
      <c r="AY525" s="42"/>
      <c r="AZ525" s="42"/>
      <c r="BA525" s="42"/>
      <c r="BB525" s="42"/>
    </row>
    <row r="526" spans="1:54" x14ac:dyDescent="0.25">
      <c r="A526" s="42"/>
      <c r="B526" s="43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  <c r="AA526" s="42"/>
      <c r="AB526" s="42"/>
      <c r="AC526" s="42"/>
      <c r="AD526" s="42"/>
      <c r="AE526" s="42"/>
      <c r="AF526" s="42"/>
      <c r="AG526" s="42"/>
      <c r="AH526" s="42"/>
      <c r="AI526" s="42"/>
      <c r="AJ526" s="42"/>
      <c r="AK526" s="42"/>
      <c r="AL526" s="42"/>
      <c r="AM526" s="42"/>
      <c r="AN526" s="42"/>
      <c r="AO526" s="42"/>
      <c r="AP526" s="42"/>
      <c r="AQ526" s="42"/>
      <c r="AR526" s="42"/>
      <c r="AS526" s="42"/>
      <c r="AT526" s="42"/>
      <c r="AU526" s="42"/>
      <c r="AV526" s="42"/>
      <c r="AW526" s="42"/>
      <c r="AX526" s="42"/>
      <c r="AY526" s="42"/>
      <c r="AZ526" s="42"/>
      <c r="BA526" s="42"/>
      <c r="BB526" s="42"/>
    </row>
    <row r="527" spans="1:54" x14ac:dyDescent="0.25">
      <c r="A527" s="42"/>
      <c r="B527" s="43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  <c r="AA527" s="42"/>
      <c r="AB527" s="42"/>
      <c r="AC527" s="42"/>
      <c r="AD527" s="42"/>
      <c r="AE527" s="42"/>
      <c r="AF527" s="42"/>
      <c r="AG527" s="42"/>
      <c r="AH527" s="42"/>
      <c r="AI527" s="42"/>
      <c r="AJ527" s="42"/>
      <c r="AK527" s="42"/>
      <c r="AL527" s="42"/>
      <c r="AM527" s="42"/>
      <c r="AN527" s="42"/>
      <c r="AO527" s="42"/>
      <c r="AP527" s="42"/>
      <c r="AQ527" s="42"/>
      <c r="AR527" s="42"/>
      <c r="AS527" s="42"/>
      <c r="AT527" s="42"/>
      <c r="AU527" s="42"/>
      <c r="AV527" s="42"/>
      <c r="AW527" s="42"/>
      <c r="AX527" s="42"/>
      <c r="AY527" s="42"/>
      <c r="AZ527" s="42"/>
      <c r="BA527" s="42"/>
      <c r="BB527" s="42"/>
    </row>
    <row r="528" spans="1:54" x14ac:dyDescent="0.25">
      <c r="A528" s="42"/>
      <c r="B528" s="43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  <c r="AA528" s="42"/>
      <c r="AB528" s="42"/>
      <c r="AC528" s="42"/>
      <c r="AD528" s="42"/>
      <c r="AE528" s="42"/>
      <c r="AF528" s="42"/>
      <c r="AG528" s="42"/>
      <c r="AH528" s="42"/>
      <c r="AI528" s="42"/>
      <c r="AJ528" s="42"/>
      <c r="AK528" s="42"/>
      <c r="AL528" s="42"/>
      <c r="AM528" s="42"/>
      <c r="AN528" s="42"/>
      <c r="AO528" s="42"/>
      <c r="AP528" s="42"/>
      <c r="AQ528" s="42"/>
      <c r="AR528" s="42"/>
      <c r="AS528" s="42"/>
      <c r="AT528" s="42"/>
      <c r="AU528" s="42"/>
      <c r="AV528" s="42"/>
      <c r="AW528" s="42"/>
      <c r="AX528" s="42"/>
      <c r="AY528" s="42"/>
      <c r="AZ528" s="42"/>
      <c r="BA528" s="42"/>
      <c r="BB528" s="42"/>
    </row>
    <row r="529" spans="1:54" x14ac:dyDescent="0.25">
      <c r="A529" s="42"/>
      <c r="B529" s="43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  <c r="AA529" s="42"/>
      <c r="AB529" s="42"/>
      <c r="AC529" s="42"/>
      <c r="AD529" s="42"/>
      <c r="AE529" s="42"/>
      <c r="AF529" s="42"/>
      <c r="AG529" s="42"/>
      <c r="AH529" s="42"/>
      <c r="AI529" s="42"/>
      <c r="AJ529" s="42"/>
      <c r="AK529" s="42"/>
      <c r="AL529" s="42"/>
      <c r="AM529" s="42"/>
      <c r="AN529" s="42"/>
      <c r="AO529" s="42"/>
      <c r="AP529" s="42"/>
      <c r="AQ529" s="42"/>
      <c r="AR529" s="42"/>
      <c r="AS529" s="42"/>
      <c r="AT529" s="42"/>
      <c r="AU529" s="42"/>
      <c r="AV529" s="42"/>
      <c r="AW529" s="42"/>
      <c r="AX529" s="42"/>
      <c r="AY529" s="42"/>
      <c r="AZ529" s="42"/>
      <c r="BA529" s="42"/>
      <c r="BB529" s="42"/>
    </row>
    <row r="530" spans="1:54" x14ac:dyDescent="0.25">
      <c r="A530" s="42"/>
      <c r="B530" s="43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  <c r="AA530" s="42"/>
      <c r="AB530" s="42"/>
      <c r="AC530" s="42"/>
      <c r="AD530" s="42"/>
      <c r="AE530" s="42"/>
      <c r="AF530" s="42"/>
      <c r="AG530" s="42"/>
      <c r="AH530" s="42"/>
      <c r="AI530" s="42"/>
      <c r="AJ530" s="42"/>
      <c r="AK530" s="42"/>
      <c r="AL530" s="42"/>
      <c r="AM530" s="42"/>
      <c r="AN530" s="42"/>
      <c r="AO530" s="42"/>
      <c r="AP530" s="42"/>
      <c r="AQ530" s="42"/>
      <c r="AR530" s="42"/>
      <c r="AS530" s="42"/>
      <c r="AT530" s="42"/>
      <c r="AU530" s="42"/>
      <c r="AV530" s="42"/>
      <c r="AW530" s="42"/>
      <c r="AX530" s="42"/>
      <c r="AY530" s="42"/>
      <c r="AZ530" s="42"/>
      <c r="BA530" s="42"/>
      <c r="BB530" s="42"/>
    </row>
    <row r="531" spans="1:54" x14ac:dyDescent="0.25">
      <c r="A531" s="42"/>
      <c r="B531" s="43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  <c r="AA531" s="42"/>
      <c r="AB531" s="42"/>
      <c r="AC531" s="42"/>
      <c r="AD531" s="42"/>
      <c r="AE531" s="42"/>
      <c r="AF531" s="42"/>
      <c r="AG531" s="42"/>
      <c r="AH531" s="42"/>
      <c r="AI531" s="42"/>
      <c r="AJ531" s="42"/>
      <c r="AK531" s="42"/>
      <c r="AL531" s="42"/>
      <c r="AM531" s="42"/>
      <c r="AN531" s="42"/>
      <c r="AO531" s="42"/>
      <c r="AP531" s="42"/>
      <c r="AQ531" s="42"/>
      <c r="AR531" s="42"/>
      <c r="AS531" s="42"/>
      <c r="AT531" s="42"/>
      <c r="AU531" s="42"/>
      <c r="AV531" s="42"/>
      <c r="AW531" s="42"/>
      <c r="AX531" s="42"/>
      <c r="AY531" s="42"/>
      <c r="AZ531" s="42"/>
      <c r="BA531" s="42"/>
      <c r="BB531" s="42"/>
    </row>
    <row r="532" spans="1:54" x14ac:dyDescent="0.25">
      <c r="A532" s="42"/>
      <c r="B532" s="43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  <c r="AA532" s="42"/>
      <c r="AB532" s="42"/>
      <c r="AC532" s="42"/>
      <c r="AD532" s="42"/>
      <c r="AE532" s="42"/>
      <c r="AF532" s="42"/>
      <c r="AG532" s="42"/>
      <c r="AH532" s="42"/>
      <c r="AI532" s="42"/>
      <c r="AJ532" s="42"/>
      <c r="AK532" s="42"/>
      <c r="AL532" s="42"/>
      <c r="AM532" s="42"/>
      <c r="AN532" s="42"/>
      <c r="AO532" s="42"/>
      <c r="AP532" s="42"/>
      <c r="AQ532" s="42"/>
      <c r="AR532" s="42"/>
      <c r="AS532" s="42"/>
      <c r="AT532" s="42"/>
      <c r="AU532" s="42"/>
      <c r="AV532" s="42"/>
      <c r="AW532" s="42"/>
      <c r="AX532" s="42"/>
      <c r="AY532" s="42"/>
      <c r="AZ532" s="42"/>
      <c r="BA532" s="42"/>
      <c r="BB532" s="42"/>
    </row>
    <row r="533" spans="1:54" x14ac:dyDescent="0.25">
      <c r="A533" s="42"/>
      <c r="B533" s="43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  <c r="AA533" s="42"/>
      <c r="AB533" s="42"/>
      <c r="AC533" s="42"/>
      <c r="AD533" s="42"/>
      <c r="AE533" s="42"/>
      <c r="AF533" s="42"/>
      <c r="AG533" s="42"/>
      <c r="AH533" s="42"/>
      <c r="AI533" s="42"/>
      <c r="AJ533" s="42"/>
      <c r="AK533" s="42"/>
      <c r="AL533" s="42"/>
      <c r="AM533" s="42"/>
      <c r="AN533" s="42"/>
      <c r="AO533" s="42"/>
      <c r="AP533" s="42"/>
      <c r="AQ533" s="42"/>
      <c r="AR533" s="42"/>
      <c r="AS533" s="42"/>
      <c r="AT533" s="42"/>
      <c r="AU533" s="42"/>
      <c r="AV533" s="42"/>
      <c r="AW533" s="42"/>
      <c r="AX533" s="42"/>
      <c r="AY533" s="42"/>
      <c r="AZ533" s="42"/>
      <c r="BA533" s="42"/>
      <c r="BB533" s="42"/>
    </row>
    <row r="534" spans="1:54" x14ac:dyDescent="0.25">
      <c r="A534" s="42"/>
      <c r="B534" s="43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  <c r="AA534" s="42"/>
      <c r="AB534" s="42"/>
      <c r="AC534" s="42"/>
      <c r="AD534" s="42"/>
      <c r="AE534" s="42"/>
      <c r="AF534" s="42"/>
      <c r="AG534" s="42"/>
      <c r="AH534" s="42"/>
      <c r="AI534" s="42"/>
      <c r="AJ534" s="42"/>
      <c r="AK534" s="42"/>
      <c r="AL534" s="42"/>
      <c r="AM534" s="42"/>
      <c r="AN534" s="42"/>
      <c r="AO534" s="42"/>
      <c r="AP534" s="42"/>
      <c r="AQ534" s="42"/>
      <c r="AR534" s="42"/>
      <c r="AS534" s="42"/>
      <c r="AT534" s="42"/>
      <c r="AU534" s="42"/>
      <c r="AV534" s="42"/>
      <c r="AW534" s="42"/>
      <c r="AX534" s="42"/>
      <c r="AY534" s="42"/>
      <c r="AZ534" s="42"/>
      <c r="BA534" s="42"/>
      <c r="BB534" s="42"/>
    </row>
    <row r="535" spans="1:54" x14ac:dyDescent="0.25">
      <c r="A535" s="42"/>
      <c r="B535" s="43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  <c r="AA535" s="42"/>
      <c r="AB535" s="42"/>
      <c r="AC535" s="42"/>
      <c r="AD535" s="42"/>
      <c r="AE535" s="42"/>
      <c r="AF535" s="42"/>
      <c r="AG535" s="42"/>
      <c r="AH535" s="42"/>
      <c r="AI535" s="42"/>
      <c r="AJ535" s="42"/>
      <c r="AK535" s="42"/>
      <c r="AL535" s="42"/>
      <c r="AM535" s="42"/>
      <c r="AN535" s="42"/>
      <c r="AO535" s="42"/>
      <c r="AP535" s="42"/>
      <c r="AQ535" s="42"/>
      <c r="AR535" s="42"/>
      <c r="AS535" s="42"/>
      <c r="AT535" s="42"/>
      <c r="AU535" s="42"/>
      <c r="AV535" s="42"/>
      <c r="AW535" s="42"/>
      <c r="AX535" s="42"/>
      <c r="AY535" s="42"/>
      <c r="AZ535" s="42"/>
      <c r="BA535" s="42"/>
      <c r="BB535" s="42"/>
    </row>
    <row r="536" spans="1:54" x14ac:dyDescent="0.25">
      <c r="A536" s="42"/>
      <c r="B536" s="43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  <c r="AA536" s="42"/>
      <c r="AB536" s="42"/>
      <c r="AC536" s="42"/>
      <c r="AD536" s="42"/>
      <c r="AE536" s="42"/>
      <c r="AF536" s="42"/>
      <c r="AG536" s="42"/>
      <c r="AH536" s="42"/>
      <c r="AI536" s="42"/>
      <c r="AJ536" s="42"/>
      <c r="AK536" s="42"/>
      <c r="AL536" s="42"/>
      <c r="AM536" s="42"/>
      <c r="AN536" s="42"/>
      <c r="AO536" s="42"/>
      <c r="AP536" s="42"/>
      <c r="AQ536" s="42"/>
      <c r="AR536" s="42"/>
      <c r="AS536" s="42"/>
      <c r="AT536" s="42"/>
      <c r="AU536" s="42"/>
      <c r="AV536" s="42"/>
      <c r="AW536" s="42"/>
      <c r="AX536" s="42"/>
      <c r="AY536" s="42"/>
      <c r="AZ536" s="42"/>
      <c r="BA536" s="42"/>
      <c r="BB536" s="42"/>
    </row>
    <row r="537" spans="1:54" x14ac:dyDescent="0.25">
      <c r="A537" s="42"/>
      <c r="B537" s="43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  <c r="AA537" s="42"/>
      <c r="AB537" s="42"/>
      <c r="AC537" s="42"/>
      <c r="AD537" s="42"/>
      <c r="AE537" s="42"/>
      <c r="AF537" s="42"/>
      <c r="AG537" s="42"/>
      <c r="AH537" s="42"/>
      <c r="AI537" s="42"/>
      <c r="AJ537" s="42"/>
      <c r="AK537" s="42"/>
      <c r="AL537" s="42"/>
      <c r="AM537" s="42"/>
      <c r="AN537" s="42"/>
      <c r="AO537" s="42"/>
      <c r="AP537" s="42"/>
      <c r="AQ537" s="42"/>
      <c r="AR537" s="42"/>
      <c r="AS537" s="42"/>
      <c r="AT537" s="42"/>
      <c r="AU537" s="42"/>
      <c r="AV537" s="42"/>
      <c r="AW537" s="42"/>
      <c r="AX537" s="42"/>
      <c r="AY537" s="42"/>
      <c r="AZ537" s="42"/>
      <c r="BA537" s="42"/>
      <c r="BB537" s="42"/>
    </row>
    <row r="538" spans="1:54" x14ac:dyDescent="0.25">
      <c r="A538" s="42"/>
      <c r="B538" s="43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  <c r="AA538" s="42"/>
      <c r="AB538" s="42"/>
      <c r="AC538" s="42"/>
      <c r="AD538" s="42"/>
      <c r="AE538" s="42"/>
      <c r="AF538" s="42"/>
      <c r="AG538" s="42"/>
      <c r="AH538" s="42"/>
      <c r="AI538" s="42"/>
      <c r="AJ538" s="42"/>
      <c r="AK538" s="42"/>
      <c r="AL538" s="42"/>
      <c r="AM538" s="42"/>
      <c r="AN538" s="42"/>
      <c r="AO538" s="42"/>
      <c r="AP538" s="42"/>
      <c r="AQ538" s="42"/>
      <c r="AR538" s="42"/>
      <c r="AS538" s="42"/>
      <c r="AT538" s="42"/>
      <c r="AU538" s="42"/>
      <c r="AV538" s="42"/>
      <c r="AW538" s="42"/>
      <c r="AX538" s="42"/>
      <c r="AY538" s="42"/>
      <c r="AZ538" s="42"/>
      <c r="BA538" s="42"/>
      <c r="BB538" s="42"/>
    </row>
    <row r="539" spans="1:54" x14ac:dyDescent="0.25">
      <c r="A539" s="42"/>
      <c r="B539" s="43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  <c r="AA539" s="42"/>
      <c r="AB539" s="42"/>
      <c r="AC539" s="42"/>
      <c r="AD539" s="42"/>
      <c r="AE539" s="42"/>
      <c r="AF539" s="42"/>
      <c r="AG539" s="42"/>
      <c r="AH539" s="42"/>
      <c r="AI539" s="42"/>
      <c r="AJ539" s="42"/>
      <c r="AK539" s="42"/>
      <c r="AL539" s="42"/>
      <c r="AM539" s="42"/>
      <c r="AN539" s="42"/>
      <c r="AO539" s="42"/>
      <c r="AP539" s="42"/>
      <c r="AQ539" s="42"/>
      <c r="AR539" s="42"/>
      <c r="AS539" s="42"/>
      <c r="AT539" s="42"/>
      <c r="AU539" s="42"/>
      <c r="AV539" s="42"/>
      <c r="AW539" s="42"/>
      <c r="AX539" s="42"/>
      <c r="AY539" s="42"/>
      <c r="AZ539" s="42"/>
      <c r="BA539" s="42"/>
      <c r="BB539" s="42"/>
    </row>
    <row r="540" spans="1:54" x14ac:dyDescent="0.25">
      <c r="A540" s="42"/>
      <c r="B540" s="43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  <c r="AA540" s="42"/>
      <c r="AB540" s="42"/>
      <c r="AC540" s="42"/>
      <c r="AD540" s="42"/>
      <c r="AE540" s="42"/>
      <c r="AF540" s="42"/>
      <c r="AG540" s="42"/>
      <c r="AH540" s="42"/>
      <c r="AI540" s="42"/>
      <c r="AJ540" s="42"/>
      <c r="AK540" s="42"/>
      <c r="AL540" s="42"/>
      <c r="AM540" s="42"/>
      <c r="AN540" s="42"/>
      <c r="AO540" s="42"/>
      <c r="AP540" s="42"/>
      <c r="AQ540" s="42"/>
      <c r="AR540" s="42"/>
      <c r="AS540" s="42"/>
      <c r="AT540" s="42"/>
      <c r="AU540" s="42"/>
      <c r="AV540" s="42"/>
      <c r="AW540" s="42"/>
      <c r="AX540" s="42"/>
      <c r="AY540" s="42"/>
      <c r="AZ540" s="42"/>
      <c r="BA540" s="42"/>
      <c r="BB540" s="42"/>
    </row>
    <row r="541" spans="1:54" x14ac:dyDescent="0.25">
      <c r="A541" s="42"/>
      <c r="B541" s="43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  <c r="AA541" s="42"/>
      <c r="AB541" s="42"/>
      <c r="AC541" s="42"/>
      <c r="AD541" s="42"/>
      <c r="AE541" s="42"/>
      <c r="AF541" s="42"/>
      <c r="AG541" s="42"/>
      <c r="AH541" s="42"/>
      <c r="AI541" s="42"/>
      <c r="AJ541" s="42"/>
      <c r="AK541" s="42"/>
      <c r="AL541" s="42"/>
      <c r="AM541" s="42"/>
      <c r="AN541" s="42"/>
      <c r="AO541" s="42"/>
      <c r="AP541" s="42"/>
      <c r="AQ541" s="42"/>
      <c r="AR541" s="42"/>
      <c r="AS541" s="42"/>
      <c r="AT541" s="42"/>
      <c r="AU541" s="42"/>
      <c r="AV541" s="42"/>
      <c r="AW541" s="42"/>
      <c r="AX541" s="42"/>
      <c r="AY541" s="42"/>
      <c r="AZ541" s="42"/>
      <c r="BA541" s="42"/>
      <c r="BB541" s="42"/>
    </row>
    <row r="542" spans="1:54" x14ac:dyDescent="0.25">
      <c r="A542" s="42"/>
      <c r="B542" s="43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  <c r="AA542" s="42"/>
      <c r="AB542" s="42"/>
      <c r="AC542" s="42"/>
      <c r="AD542" s="42"/>
      <c r="AE542" s="42"/>
      <c r="AF542" s="42"/>
      <c r="AG542" s="42"/>
      <c r="AH542" s="42"/>
      <c r="AI542" s="42"/>
      <c r="AJ542" s="42"/>
      <c r="AK542" s="42"/>
      <c r="AL542" s="42"/>
      <c r="AM542" s="42"/>
      <c r="AN542" s="42"/>
      <c r="AO542" s="42"/>
      <c r="AP542" s="42"/>
      <c r="AQ542" s="42"/>
      <c r="AR542" s="42"/>
      <c r="AS542" s="42"/>
      <c r="AT542" s="42"/>
      <c r="AU542" s="42"/>
      <c r="AV542" s="42"/>
      <c r="AW542" s="42"/>
      <c r="AX542" s="42"/>
      <c r="AY542" s="42"/>
      <c r="AZ542" s="42"/>
      <c r="BA542" s="42"/>
      <c r="BB542" s="42"/>
    </row>
    <row r="543" spans="1:54" x14ac:dyDescent="0.25">
      <c r="A543" s="42"/>
      <c r="B543" s="43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  <c r="AA543" s="42"/>
      <c r="AB543" s="42"/>
      <c r="AC543" s="42"/>
      <c r="AD543" s="42"/>
      <c r="AE543" s="42"/>
      <c r="AF543" s="42"/>
      <c r="AG543" s="42"/>
      <c r="AH543" s="42"/>
      <c r="AI543" s="42"/>
      <c r="AJ543" s="42"/>
      <c r="AK543" s="42"/>
      <c r="AL543" s="42"/>
      <c r="AM543" s="42"/>
      <c r="AN543" s="42"/>
      <c r="AO543" s="42"/>
      <c r="AP543" s="42"/>
      <c r="AQ543" s="42"/>
      <c r="AR543" s="42"/>
      <c r="AS543" s="42"/>
      <c r="AT543" s="42"/>
      <c r="AU543" s="42"/>
      <c r="AV543" s="42"/>
      <c r="AW543" s="42"/>
      <c r="AX543" s="42"/>
      <c r="AY543" s="42"/>
      <c r="AZ543" s="42"/>
      <c r="BA543" s="42"/>
      <c r="BB543" s="42"/>
    </row>
    <row r="544" spans="1:54" x14ac:dyDescent="0.25">
      <c r="A544" s="42"/>
      <c r="B544" s="43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  <c r="AA544" s="42"/>
      <c r="AB544" s="42"/>
      <c r="AC544" s="42"/>
      <c r="AD544" s="42"/>
      <c r="AE544" s="42"/>
      <c r="AF544" s="42"/>
      <c r="AG544" s="42"/>
      <c r="AH544" s="42"/>
      <c r="AI544" s="42"/>
      <c r="AJ544" s="42"/>
      <c r="AK544" s="42"/>
      <c r="AL544" s="42"/>
      <c r="AM544" s="42"/>
      <c r="AN544" s="42"/>
      <c r="AO544" s="42"/>
      <c r="AP544" s="42"/>
      <c r="AQ544" s="42"/>
      <c r="AR544" s="42"/>
      <c r="AS544" s="42"/>
      <c r="AT544" s="42"/>
      <c r="AU544" s="42"/>
      <c r="AV544" s="42"/>
      <c r="AW544" s="42"/>
      <c r="AX544" s="42"/>
      <c r="AY544" s="42"/>
      <c r="AZ544" s="42"/>
      <c r="BA544" s="42"/>
      <c r="BB544" s="42"/>
    </row>
    <row r="545" spans="1:54" x14ac:dyDescent="0.25">
      <c r="A545" s="42"/>
      <c r="B545" s="43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  <c r="AA545" s="42"/>
      <c r="AB545" s="42"/>
      <c r="AC545" s="42"/>
      <c r="AD545" s="42"/>
      <c r="AE545" s="42"/>
      <c r="AF545" s="42"/>
      <c r="AG545" s="42"/>
      <c r="AH545" s="42"/>
      <c r="AI545" s="42"/>
      <c r="AJ545" s="42"/>
      <c r="AK545" s="42"/>
      <c r="AL545" s="42"/>
      <c r="AM545" s="42"/>
      <c r="AN545" s="42"/>
      <c r="AO545" s="42"/>
      <c r="AP545" s="42"/>
      <c r="AQ545" s="42"/>
      <c r="AR545" s="42"/>
      <c r="AS545" s="42"/>
      <c r="AT545" s="42"/>
      <c r="AU545" s="42"/>
      <c r="AV545" s="42"/>
      <c r="AW545" s="42"/>
      <c r="AX545" s="42"/>
      <c r="AY545" s="42"/>
      <c r="AZ545" s="42"/>
      <c r="BA545" s="42"/>
      <c r="BB545" s="42"/>
    </row>
    <row r="546" spans="1:54" x14ac:dyDescent="0.25">
      <c r="A546" s="42"/>
      <c r="B546" s="43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  <c r="AA546" s="42"/>
      <c r="AB546" s="42"/>
      <c r="AC546" s="42"/>
      <c r="AD546" s="42"/>
      <c r="AE546" s="42"/>
      <c r="AF546" s="42"/>
      <c r="AG546" s="42"/>
      <c r="AH546" s="42"/>
      <c r="AI546" s="42"/>
      <c r="AJ546" s="42"/>
      <c r="AK546" s="42"/>
      <c r="AL546" s="42"/>
      <c r="AM546" s="42"/>
      <c r="AN546" s="42"/>
      <c r="AO546" s="42"/>
      <c r="AP546" s="42"/>
      <c r="AQ546" s="42"/>
      <c r="AR546" s="42"/>
      <c r="AS546" s="42"/>
      <c r="AT546" s="42"/>
      <c r="AU546" s="42"/>
      <c r="AV546" s="42"/>
      <c r="AW546" s="42"/>
      <c r="AX546" s="42"/>
      <c r="AY546" s="42"/>
      <c r="AZ546" s="42"/>
      <c r="BA546" s="42"/>
      <c r="BB546" s="42"/>
    </row>
    <row r="547" spans="1:54" x14ac:dyDescent="0.25">
      <c r="A547" s="42"/>
      <c r="B547" s="43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  <c r="AA547" s="42"/>
      <c r="AB547" s="42"/>
      <c r="AC547" s="42"/>
      <c r="AD547" s="42"/>
      <c r="AE547" s="42"/>
      <c r="AF547" s="42"/>
      <c r="AG547" s="42"/>
      <c r="AH547" s="42"/>
      <c r="AI547" s="42"/>
      <c r="AJ547" s="42"/>
      <c r="AK547" s="42"/>
      <c r="AL547" s="42"/>
      <c r="AM547" s="42"/>
      <c r="AN547" s="42"/>
      <c r="AO547" s="42"/>
      <c r="AP547" s="42"/>
      <c r="AQ547" s="42"/>
      <c r="AR547" s="42"/>
      <c r="AS547" s="42"/>
      <c r="AT547" s="42"/>
      <c r="AU547" s="42"/>
      <c r="AV547" s="42"/>
      <c r="AW547" s="42"/>
      <c r="AX547" s="42"/>
      <c r="AY547" s="42"/>
      <c r="AZ547" s="42"/>
      <c r="BA547" s="42"/>
      <c r="BB547" s="42"/>
    </row>
    <row r="548" spans="1:54" x14ac:dyDescent="0.25">
      <c r="A548" s="42"/>
      <c r="B548" s="43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  <c r="AA548" s="42"/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/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/>
      <c r="BB548" s="42"/>
    </row>
    <row r="549" spans="1:54" x14ac:dyDescent="0.25">
      <c r="A549" s="42"/>
      <c r="B549" s="43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  <c r="AA549" s="42"/>
      <c r="AB549" s="42"/>
      <c r="AC549" s="42"/>
      <c r="AD549" s="42"/>
      <c r="AE549" s="42"/>
      <c r="AF549" s="42"/>
      <c r="AG549" s="42"/>
      <c r="AH549" s="42"/>
      <c r="AI549" s="42"/>
      <c r="AJ549" s="42"/>
      <c r="AK549" s="42"/>
      <c r="AL549" s="42"/>
      <c r="AM549" s="42"/>
      <c r="AN549" s="42"/>
      <c r="AO549" s="42"/>
      <c r="AP549" s="42"/>
      <c r="AQ549" s="42"/>
      <c r="AR549" s="42"/>
      <c r="AS549" s="42"/>
      <c r="AT549" s="42"/>
      <c r="AU549" s="42"/>
      <c r="AV549" s="42"/>
      <c r="AW549" s="42"/>
      <c r="AX549" s="42"/>
      <c r="AY549" s="42"/>
      <c r="AZ549" s="42"/>
      <c r="BA549" s="42"/>
      <c r="BB549" s="42"/>
    </row>
    <row r="550" spans="1:54" x14ac:dyDescent="0.25">
      <c r="A550" s="42"/>
      <c r="B550" s="43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  <c r="AA550" s="42"/>
      <c r="AB550" s="42"/>
      <c r="AC550" s="42"/>
      <c r="AD550" s="42"/>
      <c r="AE550" s="42"/>
      <c r="AF550" s="42"/>
      <c r="AG550" s="42"/>
      <c r="AH550" s="42"/>
      <c r="AI550" s="42"/>
      <c r="AJ550" s="42"/>
      <c r="AK550" s="42"/>
      <c r="AL550" s="42"/>
      <c r="AM550" s="42"/>
      <c r="AN550" s="42"/>
      <c r="AO550" s="42"/>
      <c r="AP550" s="42"/>
      <c r="AQ550" s="42"/>
      <c r="AR550" s="42"/>
      <c r="AS550" s="42"/>
      <c r="AT550" s="42"/>
      <c r="AU550" s="42"/>
      <c r="AV550" s="42"/>
      <c r="AW550" s="42"/>
      <c r="AX550" s="42"/>
      <c r="AY550" s="42"/>
      <c r="AZ550" s="42"/>
      <c r="BA550" s="42"/>
      <c r="BB550" s="42"/>
    </row>
    <row r="551" spans="1:54" x14ac:dyDescent="0.25">
      <c r="A551" s="42"/>
      <c r="B551" s="43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  <c r="AA551" s="42"/>
      <c r="AB551" s="42"/>
      <c r="AC551" s="42"/>
      <c r="AD551" s="42"/>
      <c r="AE551" s="42"/>
      <c r="AF551" s="42"/>
      <c r="AG551" s="42"/>
      <c r="AH551" s="42"/>
      <c r="AI551" s="42"/>
      <c r="AJ551" s="42"/>
      <c r="AK551" s="42"/>
      <c r="AL551" s="42"/>
      <c r="AM551" s="42"/>
      <c r="AN551" s="42"/>
      <c r="AO551" s="42"/>
      <c r="AP551" s="42"/>
      <c r="AQ551" s="42"/>
      <c r="AR551" s="42"/>
      <c r="AS551" s="42"/>
      <c r="AT551" s="42"/>
      <c r="AU551" s="42"/>
      <c r="AV551" s="42"/>
      <c r="AW551" s="42"/>
      <c r="AX551" s="42"/>
      <c r="AY551" s="42"/>
      <c r="AZ551" s="42"/>
      <c r="BA551" s="42"/>
      <c r="BB551" s="42"/>
    </row>
    <row r="552" spans="1:54" x14ac:dyDescent="0.25">
      <c r="A552" s="42"/>
      <c r="B552" s="43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  <c r="AA552" s="42"/>
      <c r="AB552" s="42"/>
      <c r="AC552" s="42"/>
      <c r="AD552" s="42"/>
      <c r="AE552" s="42"/>
      <c r="AF552" s="42"/>
      <c r="AG552" s="42"/>
      <c r="AH552" s="42"/>
      <c r="AI552" s="42"/>
      <c r="AJ552" s="42"/>
      <c r="AK552" s="42"/>
      <c r="AL552" s="42"/>
      <c r="AM552" s="42"/>
      <c r="AN552" s="42"/>
      <c r="AO552" s="42"/>
      <c r="AP552" s="42"/>
      <c r="AQ552" s="42"/>
      <c r="AR552" s="42"/>
      <c r="AS552" s="42"/>
      <c r="AT552" s="42"/>
      <c r="AU552" s="42"/>
      <c r="AV552" s="42"/>
      <c r="AW552" s="42"/>
      <c r="AX552" s="42"/>
      <c r="AY552" s="42"/>
      <c r="AZ552" s="42"/>
      <c r="BA552" s="42"/>
      <c r="BB552" s="42"/>
    </row>
    <row r="553" spans="1:54" x14ac:dyDescent="0.25">
      <c r="A553" s="42"/>
      <c r="B553" s="43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  <c r="AA553" s="42"/>
      <c r="AB553" s="42"/>
      <c r="AC553" s="42"/>
      <c r="AD553" s="42"/>
      <c r="AE553" s="42"/>
      <c r="AF553" s="42"/>
      <c r="AG553" s="42"/>
      <c r="AH553" s="42"/>
      <c r="AI553" s="42"/>
      <c r="AJ553" s="42"/>
      <c r="AK553" s="42"/>
      <c r="AL553" s="42"/>
      <c r="AM553" s="42"/>
      <c r="AN553" s="42"/>
      <c r="AO553" s="42"/>
      <c r="AP553" s="42"/>
      <c r="AQ553" s="42"/>
      <c r="AR553" s="42"/>
      <c r="AS553" s="42"/>
      <c r="AT553" s="42"/>
      <c r="AU553" s="42"/>
      <c r="AV553" s="42"/>
      <c r="AW553" s="42"/>
      <c r="AX553" s="42"/>
      <c r="AY553" s="42"/>
      <c r="AZ553" s="42"/>
      <c r="BA553" s="42"/>
      <c r="BB553" s="42"/>
    </row>
    <row r="554" spans="1:54" x14ac:dyDescent="0.25">
      <c r="A554" s="42"/>
      <c r="B554" s="43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  <c r="AA554" s="42"/>
      <c r="AB554" s="42"/>
      <c r="AC554" s="42"/>
      <c r="AD554" s="42"/>
      <c r="AE554" s="42"/>
      <c r="AF554" s="42"/>
      <c r="AG554" s="42"/>
      <c r="AH554" s="42"/>
      <c r="AI554" s="42"/>
      <c r="AJ554" s="42"/>
      <c r="AK554" s="42"/>
      <c r="AL554" s="42"/>
      <c r="AM554" s="42"/>
      <c r="AN554" s="42"/>
      <c r="AO554" s="42"/>
      <c r="AP554" s="42"/>
      <c r="AQ554" s="42"/>
      <c r="AR554" s="42"/>
      <c r="AS554" s="42"/>
      <c r="AT554" s="42"/>
      <c r="AU554" s="42"/>
      <c r="AV554" s="42"/>
      <c r="AW554" s="42"/>
      <c r="AX554" s="42"/>
      <c r="AY554" s="42"/>
      <c r="AZ554" s="42"/>
      <c r="BA554" s="42"/>
      <c r="BB554" s="42"/>
    </row>
    <row r="555" spans="1:54" x14ac:dyDescent="0.25">
      <c r="A555" s="42"/>
      <c r="B555" s="43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  <c r="AA555" s="42"/>
      <c r="AB555" s="42"/>
      <c r="AC555" s="42"/>
      <c r="AD555" s="42"/>
      <c r="AE555" s="42"/>
      <c r="AF555" s="42"/>
      <c r="AG555" s="42"/>
      <c r="AH555" s="42"/>
      <c r="AI555" s="42"/>
      <c r="AJ555" s="42"/>
      <c r="AK555" s="42"/>
      <c r="AL555" s="42"/>
      <c r="AM555" s="42"/>
      <c r="AN555" s="42"/>
      <c r="AO555" s="42"/>
      <c r="AP555" s="42"/>
      <c r="AQ555" s="42"/>
      <c r="AR555" s="42"/>
      <c r="AS555" s="42"/>
      <c r="AT555" s="42"/>
      <c r="AU555" s="42"/>
      <c r="AV555" s="42"/>
      <c r="AW555" s="42"/>
      <c r="AX555" s="42"/>
      <c r="AY555" s="42"/>
      <c r="AZ555" s="42"/>
      <c r="BA555" s="42"/>
      <c r="BB555" s="42"/>
    </row>
    <row r="556" spans="1:54" x14ac:dyDescent="0.25">
      <c r="A556" s="42"/>
      <c r="B556" s="43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  <c r="AA556" s="42"/>
      <c r="AB556" s="42"/>
      <c r="AC556" s="42"/>
      <c r="AD556" s="42"/>
      <c r="AE556" s="42"/>
      <c r="AF556" s="42"/>
      <c r="AG556" s="42"/>
      <c r="AH556" s="42"/>
      <c r="AI556" s="42"/>
      <c r="AJ556" s="42"/>
      <c r="AK556" s="42"/>
      <c r="AL556" s="42"/>
      <c r="AM556" s="42"/>
      <c r="AN556" s="42"/>
      <c r="AO556" s="42"/>
      <c r="AP556" s="42"/>
      <c r="AQ556" s="42"/>
      <c r="AR556" s="42"/>
      <c r="AS556" s="42"/>
      <c r="AT556" s="42"/>
      <c r="AU556" s="42"/>
      <c r="AV556" s="42"/>
      <c r="AW556" s="42"/>
      <c r="AX556" s="42"/>
      <c r="AY556" s="42"/>
      <c r="AZ556" s="42"/>
      <c r="BA556" s="42"/>
      <c r="BB556" s="42"/>
    </row>
    <row r="557" spans="1:54" x14ac:dyDescent="0.25">
      <c r="A557" s="42"/>
      <c r="B557" s="43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2"/>
      <c r="AM557" s="42"/>
      <c r="AN557" s="42"/>
      <c r="AO557" s="42"/>
      <c r="AP557" s="42"/>
      <c r="AQ557" s="42"/>
      <c r="AR557" s="42"/>
      <c r="AS557" s="42"/>
      <c r="AT557" s="42"/>
      <c r="AU557" s="42"/>
      <c r="AV557" s="42"/>
      <c r="AW557" s="42"/>
      <c r="AX557" s="42"/>
      <c r="AY557" s="42"/>
      <c r="AZ557" s="42"/>
      <c r="BA557" s="42"/>
      <c r="BB557" s="42"/>
    </row>
    <row r="558" spans="1:54" x14ac:dyDescent="0.25">
      <c r="A558" s="42"/>
      <c r="B558" s="43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  <c r="AA558" s="42"/>
      <c r="AB558" s="42"/>
      <c r="AC558" s="42"/>
      <c r="AD558" s="42"/>
      <c r="AE558" s="42"/>
      <c r="AF558" s="42"/>
      <c r="AG558" s="42"/>
      <c r="AH558" s="42"/>
      <c r="AI558" s="42"/>
      <c r="AJ558" s="42"/>
      <c r="AK558" s="42"/>
      <c r="AL558" s="42"/>
      <c r="AM558" s="42"/>
      <c r="AN558" s="42"/>
      <c r="AO558" s="42"/>
      <c r="AP558" s="42"/>
      <c r="AQ558" s="42"/>
      <c r="AR558" s="42"/>
      <c r="AS558" s="42"/>
      <c r="AT558" s="42"/>
      <c r="AU558" s="42"/>
      <c r="AV558" s="42"/>
      <c r="AW558" s="42"/>
      <c r="AX558" s="42"/>
      <c r="AY558" s="42"/>
      <c r="AZ558" s="42"/>
      <c r="BA558" s="42"/>
      <c r="BB558" s="42"/>
    </row>
    <row r="559" spans="1:54" x14ac:dyDescent="0.25">
      <c r="A559" s="42"/>
      <c r="B559" s="43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  <c r="AA559" s="42"/>
      <c r="AB559" s="42"/>
      <c r="AC559" s="42"/>
      <c r="AD559" s="42"/>
      <c r="AE559" s="42"/>
      <c r="AF559" s="42"/>
      <c r="AG559" s="42"/>
      <c r="AH559" s="42"/>
      <c r="AI559" s="42"/>
      <c r="AJ559" s="42"/>
      <c r="AK559" s="42"/>
      <c r="AL559" s="42"/>
      <c r="AM559" s="42"/>
      <c r="AN559" s="42"/>
      <c r="AO559" s="42"/>
      <c r="AP559" s="42"/>
      <c r="AQ559" s="42"/>
      <c r="AR559" s="42"/>
      <c r="AS559" s="42"/>
      <c r="AT559" s="42"/>
      <c r="AU559" s="42"/>
      <c r="AV559" s="42"/>
      <c r="AW559" s="42"/>
      <c r="AX559" s="42"/>
      <c r="AY559" s="42"/>
      <c r="AZ559" s="42"/>
      <c r="BA559" s="42"/>
      <c r="BB559" s="42"/>
    </row>
    <row r="560" spans="1:54" x14ac:dyDescent="0.25">
      <c r="A560" s="42"/>
      <c r="B560" s="43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2"/>
      <c r="AM560" s="42"/>
      <c r="AN560" s="42"/>
      <c r="AO560" s="42"/>
      <c r="AP560" s="42"/>
      <c r="AQ560" s="42"/>
      <c r="AR560" s="42"/>
      <c r="AS560" s="42"/>
      <c r="AT560" s="42"/>
      <c r="AU560" s="42"/>
      <c r="AV560" s="42"/>
      <c r="AW560" s="42"/>
      <c r="AX560" s="42"/>
      <c r="AY560" s="42"/>
      <c r="AZ560" s="42"/>
      <c r="BA560" s="42"/>
      <c r="BB560" s="42"/>
    </row>
    <row r="561" spans="1:54" x14ac:dyDescent="0.25">
      <c r="A561" s="42"/>
      <c r="B561" s="43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  <c r="AA561" s="42"/>
      <c r="AB561" s="42"/>
      <c r="AC561" s="42"/>
      <c r="AD561" s="42"/>
      <c r="AE561" s="42"/>
      <c r="AF561" s="42"/>
      <c r="AG561" s="42"/>
      <c r="AH561" s="42"/>
      <c r="AI561" s="42"/>
      <c r="AJ561" s="42"/>
      <c r="AK561" s="42"/>
      <c r="AL561" s="42"/>
      <c r="AM561" s="42"/>
      <c r="AN561" s="42"/>
      <c r="AO561" s="42"/>
      <c r="AP561" s="42"/>
      <c r="AQ561" s="42"/>
      <c r="AR561" s="42"/>
      <c r="AS561" s="42"/>
      <c r="AT561" s="42"/>
      <c r="AU561" s="42"/>
      <c r="AV561" s="42"/>
      <c r="AW561" s="42"/>
      <c r="AX561" s="42"/>
      <c r="AY561" s="42"/>
      <c r="AZ561" s="42"/>
      <c r="BA561" s="42"/>
      <c r="BB561" s="42"/>
    </row>
    <row r="562" spans="1:54" x14ac:dyDescent="0.25">
      <c r="A562" s="42"/>
      <c r="B562" s="43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  <c r="AA562" s="42"/>
      <c r="AB562" s="42"/>
      <c r="AC562" s="42"/>
      <c r="AD562" s="42"/>
      <c r="AE562" s="42"/>
      <c r="AF562" s="42"/>
      <c r="AG562" s="42"/>
      <c r="AH562" s="42"/>
      <c r="AI562" s="42"/>
      <c r="AJ562" s="42"/>
      <c r="AK562" s="42"/>
      <c r="AL562" s="42"/>
      <c r="AM562" s="42"/>
      <c r="AN562" s="42"/>
      <c r="AO562" s="42"/>
      <c r="AP562" s="42"/>
      <c r="AQ562" s="42"/>
      <c r="AR562" s="42"/>
      <c r="AS562" s="42"/>
      <c r="AT562" s="42"/>
      <c r="AU562" s="42"/>
      <c r="AV562" s="42"/>
      <c r="AW562" s="42"/>
      <c r="AX562" s="42"/>
      <c r="AY562" s="42"/>
      <c r="AZ562" s="42"/>
      <c r="BA562" s="42"/>
      <c r="BB562" s="42"/>
    </row>
    <row r="563" spans="1:54" x14ac:dyDescent="0.25">
      <c r="A563" s="42"/>
      <c r="B563" s="43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  <c r="AA563" s="42"/>
      <c r="AB563" s="42"/>
      <c r="AC563" s="42"/>
      <c r="AD563" s="42"/>
      <c r="AE563" s="42"/>
      <c r="AF563" s="42"/>
      <c r="AG563" s="42"/>
      <c r="AH563" s="42"/>
      <c r="AI563" s="42"/>
      <c r="AJ563" s="42"/>
      <c r="AK563" s="42"/>
      <c r="AL563" s="42"/>
      <c r="AM563" s="42"/>
      <c r="AN563" s="42"/>
      <c r="AO563" s="42"/>
      <c r="AP563" s="42"/>
      <c r="AQ563" s="42"/>
      <c r="AR563" s="42"/>
      <c r="AS563" s="42"/>
      <c r="AT563" s="42"/>
      <c r="AU563" s="42"/>
      <c r="AV563" s="42"/>
      <c r="AW563" s="42"/>
      <c r="AX563" s="42"/>
      <c r="AY563" s="42"/>
      <c r="AZ563" s="42"/>
      <c r="BA563" s="42"/>
      <c r="BB563" s="42"/>
    </row>
    <row r="564" spans="1:54" x14ac:dyDescent="0.25">
      <c r="A564" s="42"/>
      <c r="B564" s="43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  <c r="AA564" s="42"/>
      <c r="AB564" s="42"/>
      <c r="AC564" s="42"/>
      <c r="AD564" s="42"/>
      <c r="AE564" s="42"/>
      <c r="AF564" s="42"/>
      <c r="AG564" s="42"/>
      <c r="AH564" s="42"/>
      <c r="AI564" s="42"/>
      <c r="AJ564" s="42"/>
      <c r="AK564" s="42"/>
      <c r="AL564" s="42"/>
      <c r="AM564" s="42"/>
      <c r="AN564" s="42"/>
      <c r="AO564" s="42"/>
      <c r="AP564" s="42"/>
      <c r="AQ564" s="42"/>
      <c r="AR564" s="42"/>
      <c r="AS564" s="42"/>
      <c r="AT564" s="42"/>
      <c r="AU564" s="42"/>
      <c r="AV564" s="42"/>
      <c r="AW564" s="42"/>
      <c r="AX564" s="42"/>
      <c r="AY564" s="42"/>
      <c r="AZ564" s="42"/>
      <c r="BA564" s="42"/>
      <c r="BB564" s="42"/>
    </row>
    <row r="565" spans="1:54" x14ac:dyDescent="0.25">
      <c r="A565" s="42"/>
      <c r="B565" s="43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  <c r="AA565" s="42"/>
      <c r="AB565" s="42"/>
      <c r="AC565" s="42"/>
      <c r="AD565" s="42"/>
      <c r="AE565" s="42"/>
      <c r="AF565" s="42"/>
      <c r="AG565" s="42"/>
      <c r="AH565" s="42"/>
      <c r="AI565" s="42"/>
      <c r="AJ565" s="42"/>
      <c r="AK565" s="42"/>
      <c r="AL565" s="42"/>
      <c r="AM565" s="42"/>
      <c r="AN565" s="42"/>
      <c r="AO565" s="42"/>
      <c r="AP565" s="42"/>
      <c r="AQ565" s="42"/>
      <c r="AR565" s="42"/>
      <c r="AS565" s="42"/>
      <c r="AT565" s="42"/>
      <c r="AU565" s="42"/>
      <c r="AV565" s="42"/>
      <c r="AW565" s="42"/>
      <c r="AX565" s="42"/>
      <c r="AY565" s="42"/>
      <c r="AZ565" s="42"/>
      <c r="BA565" s="42"/>
      <c r="BB565" s="42"/>
    </row>
    <row r="566" spans="1:54" x14ac:dyDescent="0.25">
      <c r="A566" s="42"/>
      <c r="B566" s="43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  <c r="AA566" s="42"/>
      <c r="AB566" s="42"/>
      <c r="AC566" s="42"/>
      <c r="AD566" s="42"/>
      <c r="AE566" s="42"/>
      <c r="AF566" s="42"/>
      <c r="AG566" s="42"/>
      <c r="AH566" s="42"/>
      <c r="AI566" s="42"/>
      <c r="AJ566" s="42"/>
      <c r="AK566" s="42"/>
      <c r="AL566" s="42"/>
      <c r="AM566" s="42"/>
      <c r="AN566" s="42"/>
      <c r="AO566" s="42"/>
      <c r="AP566" s="42"/>
      <c r="AQ566" s="42"/>
      <c r="AR566" s="42"/>
      <c r="AS566" s="42"/>
      <c r="AT566" s="42"/>
      <c r="AU566" s="42"/>
      <c r="AV566" s="42"/>
      <c r="AW566" s="42"/>
      <c r="AX566" s="42"/>
      <c r="AY566" s="42"/>
      <c r="AZ566" s="42"/>
      <c r="BA566" s="42"/>
      <c r="BB566" s="42"/>
    </row>
    <row r="567" spans="1:54" x14ac:dyDescent="0.25">
      <c r="A567" s="42"/>
      <c r="B567" s="43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  <c r="AA567" s="42"/>
      <c r="AB567" s="42"/>
      <c r="AC567" s="42"/>
      <c r="AD567" s="42"/>
      <c r="AE567" s="42"/>
      <c r="AF567" s="42"/>
      <c r="AG567" s="42"/>
      <c r="AH567" s="42"/>
      <c r="AI567" s="42"/>
      <c r="AJ567" s="42"/>
      <c r="AK567" s="42"/>
      <c r="AL567" s="42"/>
      <c r="AM567" s="42"/>
      <c r="AN567" s="42"/>
      <c r="AO567" s="42"/>
      <c r="AP567" s="42"/>
      <c r="AQ567" s="42"/>
      <c r="AR567" s="42"/>
      <c r="AS567" s="42"/>
      <c r="AT567" s="42"/>
      <c r="AU567" s="42"/>
      <c r="AV567" s="42"/>
      <c r="AW567" s="42"/>
      <c r="AX567" s="42"/>
      <c r="AY567" s="42"/>
      <c r="AZ567" s="42"/>
      <c r="BA567" s="42"/>
      <c r="BB567" s="42"/>
    </row>
    <row r="568" spans="1:54" x14ac:dyDescent="0.25">
      <c r="A568" s="42"/>
      <c r="B568" s="43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  <c r="AA568" s="42"/>
      <c r="AB568" s="42"/>
      <c r="AC568" s="42"/>
      <c r="AD568" s="42"/>
      <c r="AE568" s="42"/>
      <c r="AF568" s="42"/>
      <c r="AG568" s="42"/>
      <c r="AH568" s="42"/>
      <c r="AI568" s="42"/>
      <c r="AJ568" s="42"/>
      <c r="AK568" s="42"/>
      <c r="AL568" s="42"/>
      <c r="AM568" s="42"/>
      <c r="AN568" s="42"/>
      <c r="AO568" s="42"/>
      <c r="AP568" s="42"/>
      <c r="AQ568" s="42"/>
      <c r="AR568" s="42"/>
      <c r="AS568" s="42"/>
      <c r="AT568" s="42"/>
      <c r="AU568" s="42"/>
      <c r="AV568" s="42"/>
      <c r="AW568" s="42"/>
      <c r="AX568" s="42"/>
      <c r="AY568" s="42"/>
      <c r="AZ568" s="42"/>
      <c r="BA568" s="42"/>
      <c r="BB568" s="42"/>
    </row>
    <row r="569" spans="1:54" x14ac:dyDescent="0.25">
      <c r="A569" s="42"/>
      <c r="B569" s="43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  <c r="AA569" s="42"/>
      <c r="AB569" s="42"/>
      <c r="AC569" s="42"/>
      <c r="AD569" s="42"/>
      <c r="AE569" s="42"/>
      <c r="AF569" s="42"/>
      <c r="AG569" s="42"/>
      <c r="AH569" s="42"/>
      <c r="AI569" s="42"/>
      <c r="AJ569" s="42"/>
      <c r="AK569" s="42"/>
      <c r="AL569" s="42"/>
      <c r="AM569" s="42"/>
      <c r="AN569" s="42"/>
      <c r="AO569" s="42"/>
      <c r="AP569" s="42"/>
      <c r="AQ569" s="42"/>
      <c r="AR569" s="42"/>
      <c r="AS569" s="42"/>
      <c r="AT569" s="42"/>
      <c r="AU569" s="42"/>
      <c r="AV569" s="42"/>
      <c r="AW569" s="42"/>
      <c r="AX569" s="42"/>
      <c r="AY569" s="42"/>
      <c r="AZ569" s="42"/>
      <c r="BA569" s="42"/>
      <c r="BB569" s="42"/>
    </row>
    <row r="570" spans="1:54" x14ac:dyDescent="0.25">
      <c r="A570" s="42"/>
      <c r="B570" s="43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  <c r="AA570" s="42"/>
      <c r="AB570" s="42"/>
      <c r="AC570" s="42"/>
      <c r="AD570" s="42"/>
      <c r="AE570" s="42"/>
      <c r="AF570" s="42"/>
      <c r="AG570" s="42"/>
      <c r="AH570" s="42"/>
      <c r="AI570" s="42"/>
      <c r="AJ570" s="42"/>
      <c r="AK570" s="42"/>
      <c r="AL570" s="42"/>
      <c r="AM570" s="42"/>
      <c r="AN570" s="42"/>
      <c r="AO570" s="42"/>
      <c r="AP570" s="42"/>
      <c r="AQ570" s="42"/>
      <c r="AR570" s="42"/>
      <c r="AS570" s="42"/>
      <c r="AT570" s="42"/>
      <c r="AU570" s="42"/>
      <c r="AV570" s="42"/>
      <c r="AW570" s="42"/>
      <c r="AX570" s="42"/>
      <c r="AY570" s="42"/>
      <c r="AZ570" s="42"/>
      <c r="BA570" s="42"/>
      <c r="BB570" s="42"/>
    </row>
    <row r="571" spans="1:54" x14ac:dyDescent="0.25">
      <c r="A571" s="42"/>
      <c r="B571" s="43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  <c r="AA571" s="42"/>
      <c r="AB571" s="42"/>
      <c r="AC571" s="42"/>
      <c r="AD571" s="42"/>
      <c r="AE571" s="42"/>
      <c r="AF571" s="42"/>
      <c r="AG571" s="42"/>
      <c r="AH571" s="42"/>
      <c r="AI571" s="42"/>
      <c r="AJ571" s="42"/>
      <c r="AK571" s="42"/>
      <c r="AL571" s="42"/>
      <c r="AM571" s="42"/>
      <c r="AN571" s="42"/>
      <c r="AO571" s="42"/>
      <c r="AP571" s="42"/>
      <c r="AQ571" s="42"/>
      <c r="AR571" s="42"/>
      <c r="AS571" s="42"/>
      <c r="AT571" s="42"/>
      <c r="AU571" s="42"/>
      <c r="AV571" s="42"/>
      <c r="AW571" s="42"/>
      <c r="AX571" s="42"/>
      <c r="AY571" s="42"/>
      <c r="AZ571" s="42"/>
      <c r="BA571" s="42"/>
      <c r="BB571" s="42"/>
    </row>
    <row r="572" spans="1:54" x14ac:dyDescent="0.25">
      <c r="A572" s="42"/>
      <c r="B572" s="43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  <c r="AA572" s="42"/>
      <c r="AB572" s="42"/>
      <c r="AC572" s="42"/>
      <c r="AD572" s="42"/>
      <c r="AE572" s="42"/>
      <c r="AF572" s="42"/>
      <c r="AG572" s="42"/>
      <c r="AH572" s="42"/>
      <c r="AI572" s="42"/>
      <c r="AJ572" s="42"/>
      <c r="AK572" s="42"/>
      <c r="AL572" s="42"/>
      <c r="AM572" s="42"/>
      <c r="AN572" s="42"/>
      <c r="AO572" s="42"/>
      <c r="AP572" s="42"/>
      <c r="AQ572" s="42"/>
      <c r="AR572" s="42"/>
      <c r="AS572" s="42"/>
      <c r="AT572" s="42"/>
      <c r="AU572" s="42"/>
      <c r="AV572" s="42"/>
      <c r="AW572" s="42"/>
      <c r="AX572" s="42"/>
      <c r="AY572" s="42"/>
      <c r="AZ572" s="42"/>
      <c r="BA572" s="42"/>
      <c r="BB572" s="42"/>
    </row>
    <row r="573" spans="1:54" x14ac:dyDescent="0.25">
      <c r="A573" s="42"/>
      <c r="B573" s="43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  <c r="AA573" s="42"/>
      <c r="AB573" s="42"/>
      <c r="AC573" s="42"/>
      <c r="AD573" s="42"/>
      <c r="AE573" s="42"/>
      <c r="AF573" s="42"/>
      <c r="AG573" s="42"/>
      <c r="AH573" s="42"/>
      <c r="AI573" s="42"/>
      <c r="AJ573" s="42"/>
      <c r="AK573" s="42"/>
      <c r="AL573" s="42"/>
      <c r="AM573" s="42"/>
      <c r="AN573" s="42"/>
      <c r="AO573" s="42"/>
      <c r="AP573" s="42"/>
      <c r="AQ573" s="42"/>
      <c r="AR573" s="42"/>
      <c r="AS573" s="42"/>
      <c r="AT573" s="42"/>
      <c r="AU573" s="42"/>
      <c r="AV573" s="42"/>
      <c r="AW573" s="42"/>
      <c r="AX573" s="42"/>
      <c r="AY573" s="42"/>
      <c r="AZ573" s="42"/>
      <c r="BA573" s="42"/>
      <c r="BB573" s="42"/>
    </row>
    <row r="574" spans="1:54" x14ac:dyDescent="0.25">
      <c r="A574" s="42"/>
      <c r="B574" s="43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  <c r="AA574" s="42"/>
      <c r="AB574" s="42"/>
      <c r="AC574" s="42"/>
      <c r="AD574" s="42"/>
      <c r="AE574" s="42"/>
      <c r="AF574" s="42"/>
      <c r="AG574" s="42"/>
      <c r="AH574" s="42"/>
      <c r="AI574" s="42"/>
      <c r="AJ574" s="42"/>
      <c r="AK574" s="42"/>
      <c r="AL574" s="42"/>
      <c r="AM574" s="42"/>
      <c r="AN574" s="42"/>
      <c r="AO574" s="42"/>
      <c r="AP574" s="42"/>
      <c r="AQ574" s="42"/>
      <c r="AR574" s="42"/>
      <c r="AS574" s="42"/>
      <c r="AT574" s="42"/>
      <c r="AU574" s="42"/>
      <c r="AV574" s="42"/>
      <c r="AW574" s="42"/>
      <c r="AX574" s="42"/>
      <c r="AY574" s="42"/>
      <c r="AZ574" s="42"/>
      <c r="BA574" s="42"/>
      <c r="BB574" s="42"/>
    </row>
    <row r="575" spans="1:54" x14ac:dyDescent="0.25">
      <c r="A575" s="42"/>
      <c r="B575" s="43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  <c r="AA575" s="42"/>
      <c r="AB575" s="42"/>
      <c r="AC575" s="42"/>
      <c r="AD575" s="42"/>
      <c r="AE575" s="42"/>
      <c r="AF575" s="42"/>
      <c r="AG575" s="42"/>
      <c r="AH575" s="42"/>
      <c r="AI575" s="42"/>
      <c r="AJ575" s="42"/>
      <c r="AK575" s="42"/>
      <c r="AL575" s="42"/>
      <c r="AM575" s="42"/>
      <c r="AN575" s="42"/>
      <c r="AO575" s="42"/>
      <c r="AP575" s="42"/>
      <c r="AQ575" s="42"/>
      <c r="AR575" s="42"/>
      <c r="AS575" s="42"/>
      <c r="AT575" s="42"/>
      <c r="AU575" s="42"/>
      <c r="AV575" s="42"/>
      <c r="AW575" s="42"/>
      <c r="AX575" s="42"/>
      <c r="AY575" s="42"/>
      <c r="AZ575" s="42"/>
      <c r="BA575" s="42"/>
      <c r="BB575" s="42"/>
    </row>
    <row r="576" spans="1:54" x14ac:dyDescent="0.25">
      <c r="A576" s="42"/>
      <c r="B576" s="43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  <c r="AA576" s="42"/>
      <c r="AB576" s="42"/>
      <c r="AC576" s="42"/>
      <c r="AD576" s="42"/>
      <c r="AE576" s="42"/>
      <c r="AF576" s="42"/>
      <c r="AG576" s="42"/>
      <c r="AH576" s="42"/>
      <c r="AI576" s="42"/>
      <c r="AJ576" s="42"/>
      <c r="AK576" s="42"/>
      <c r="AL576" s="42"/>
      <c r="AM576" s="42"/>
      <c r="AN576" s="42"/>
      <c r="AO576" s="42"/>
      <c r="AP576" s="42"/>
      <c r="AQ576" s="42"/>
      <c r="AR576" s="42"/>
      <c r="AS576" s="42"/>
      <c r="AT576" s="42"/>
      <c r="AU576" s="42"/>
      <c r="AV576" s="42"/>
      <c r="AW576" s="42"/>
      <c r="AX576" s="42"/>
      <c r="AY576" s="42"/>
      <c r="AZ576" s="42"/>
      <c r="BA576" s="42"/>
      <c r="BB576" s="42"/>
    </row>
    <row r="577" spans="1:54" x14ac:dyDescent="0.25">
      <c r="A577" s="42"/>
      <c r="B577" s="43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  <c r="AA577" s="42"/>
      <c r="AB577" s="42"/>
      <c r="AC577" s="42"/>
      <c r="AD577" s="42"/>
      <c r="AE577" s="42"/>
      <c r="AF577" s="42"/>
      <c r="AG577" s="42"/>
      <c r="AH577" s="42"/>
      <c r="AI577" s="42"/>
      <c r="AJ577" s="42"/>
      <c r="AK577" s="42"/>
      <c r="AL577" s="42"/>
      <c r="AM577" s="42"/>
      <c r="AN577" s="42"/>
      <c r="AO577" s="42"/>
      <c r="AP577" s="42"/>
      <c r="AQ577" s="42"/>
      <c r="AR577" s="42"/>
      <c r="AS577" s="42"/>
      <c r="AT577" s="42"/>
      <c r="AU577" s="42"/>
      <c r="AV577" s="42"/>
      <c r="AW577" s="42"/>
      <c r="AX577" s="42"/>
      <c r="AY577" s="42"/>
      <c r="AZ577" s="42"/>
      <c r="BA577" s="42"/>
      <c r="BB577" s="42"/>
    </row>
    <row r="578" spans="1:54" x14ac:dyDescent="0.25">
      <c r="A578" s="42"/>
      <c r="B578" s="43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  <c r="AA578" s="42"/>
      <c r="AB578" s="42"/>
      <c r="AC578" s="42"/>
      <c r="AD578" s="42"/>
      <c r="AE578" s="42"/>
      <c r="AF578" s="42"/>
      <c r="AG578" s="42"/>
      <c r="AH578" s="42"/>
      <c r="AI578" s="42"/>
      <c r="AJ578" s="42"/>
      <c r="AK578" s="42"/>
      <c r="AL578" s="42"/>
      <c r="AM578" s="42"/>
      <c r="AN578" s="42"/>
      <c r="AO578" s="42"/>
      <c r="AP578" s="42"/>
      <c r="AQ578" s="42"/>
      <c r="AR578" s="42"/>
      <c r="AS578" s="42"/>
      <c r="AT578" s="42"/>
      <c r="AU578" s="42"/>
      <c r="AV578" s="42"/>
      <c r="AW578" s="42"/>
      <c r="AX578" s="42"/>
      <c r="AY578" s="42"/>
      <c r="AZ578" s="42"/>
      <c r="BA578" s="42"/>
      <c r="BB578" s="42"/>
    </row>
    <row r="579" spans="1:54" x14ac:dyDescent="0.25">
      <c r="A579" s="42"/>
      <c r="B579" s="43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  <c r="AA579" s="42"/>
      <c r="AB579" s="42"/>
      <c r="AC579" s="42"/>
      <c r="AD579" s="42"/>
      <c r="AE579" s="42"/>
      <c r="AF579" s="42"/>
      <c r="AG579" s="42"/>
      <c r="AH579" s="42"/>
      <c r="AI579" s="42"/>
      <c r="AJ579" s="42"/>
      <c r="AK579" s="42"/>
      <c r="AL579" s="42"/>
      <c r="AM579" s="42"/>
      <c r="AN579" s="42"/>
      <c r="AO579" s="42"/>
      <c r="AP579" s="42"/>
      <c r="AQ579" s="42"/>
      <c r="AR579" s="42"/>
      <c r="AS579" s="42"/>
      <c r="AT579" s="42"/>
      <c r="AU579" s="42"/>
      <c r="AV579" s="42"/>
      <c r="AW579" s="42"/>
      <c r="AX579" s="42"/>
      <c r="AY579" s="42"/>
      <c r="AZ579" s="42"/>
      <c r="BA579" s="42"/>
      <c r="BB579" s="42"/>
    </row>
    <row r="580" spans="1:54" x14ac:dyDescent="0.25">
      <c r="A580" s="42"/>
      <c r="B580" s="43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  <c r="AA580" s="42"/>
      <c r="AB580" s="42"/>
      <c r="AC580" s="42"/>
      <c r="AD580" s="42"/>
      <c r="AE580" s="42"/>
      <c r="AF580" s="42"/>
      <c r="AG580" s="42"/>
      <c r="AH580" s="42"/>
      <c r="AI580" s="42"/>
      <c r="AJ580" s="42"/>
      <c r="AK580" s="42"/>
      <c r="AL580" s="42"/>
      <c r="AM580" s="42"/>
      <c r="AN580" s="42"/>
      <c r="AO580" s="42"/>
      <c r="AP580" s="42"/>
      <c r="AQ580" s="42"/>
      <c r="AR580" s="42"/>
      <c r="AS580" s="42"/>
      <c r="AT580" s="42"/>
      <c r="AU580" s="42"/>
      <c r="AV580" s="42"/>
      <c r="AW580" s="42"/>
      <c r="AX580" s="42"/>
      <c r="AY580" s="42"/>
      <c r="AZ580" s="42"/>
      <c r="BA580" s="42"/>
      <c r="BB580" s="42"/>
    </row>
    <row r="581" spans="1:54" x14ac:dyDescent="0.25">
      <c r="A581" s="42"/>
      <c r="B581" s="43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  <c r="AA581" s="42"/>
      <c r="AB581" s="42"/>
      <c r="AC581" s="42"/>
      <c r="AD581" s="42"/>
      <c r="AE581" s="42"/>
      <c r="AF581" s="42"/>
      <c r="AG581" s="42"/>
      <c r="AH581" s="42"/>
      <c r="AI581" s="42"/>
      <c r="AJ581" s="42"/>
      <c r="AK581" s="42"/>
      <c r="AL581" s="42"/>
      <c r="AM581" s="42"/>
      <c r="AN581" s="42"/>
      <c r="AO581" s="42"/>
      <c r="AP581" s="42"/>
      <c r="AQ581" s="42"/>
      <c r="AR581" s="42"/>
      <c r="AS581" s="42"/>
      <c r="AT581" s="42"/>
      <c r="AU581" s="42"/>
      <c r="AV581" s="42"/>
      <c r="AW581" s="42"/>
      <c r="AX581" s="42"/>
      <c r="AY581" s="42"/>
      <c r="AZ581" s="42"/>
      <c r="BA581" s="42"/>
      <c r="BB581" s="42"/>
    </row>
    <row r="582" spans="1:54" x14ac:dyDescent="0.25">
      <c r="A582" s="42"/>
      <c r="B582" s="43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  <c r="AA582" s="42"/>
      <c r="AB582" s="42"/>
      <c r="AC582" s="42"/>
      <c r="AD582" s="42"/>
      <c r="AE582" s="42"/>
      <c r="AF582" s="42"/>
      <c r="AG582" s="42"/>
      <c r="AH582" s="42"/>
      <c r="AI582" s="42"/>
      <c r="AJ582" s="42"/>
      <c r="AK582" s="42"/>
      <c r="AL582" s="42"/>
      <c r="AM582" s="42"/>
      <c r="AN582" s="42"/>
      <c r="AO582" s="42"/>
      <c r="AP582" s="42"/>
      <c r="AQ582" s="42"/>
      <c r="AR582" s="42"/>
      <c r="AS582" s="42"/>
      <c r="AT582" s="42"/>
      <c r="AU582" s="42"/>
      <c r="AV582" s="42"/>
      <c r="AW582" s="42"/>
      <c r="AX582" s="42"/>
      <c r="AY582" s="42"/>
      <c r="AZ582" s="42"/>
      <c r="BA582" s="42"/>
      <c r="BB582" s="42"/>
    </row>
    <row r="583" spans="1:54" x14ac:dyDescent="0.25">
      <c r="A583" s="42"/>
      <c r="B583" s="43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  <c r="AA583" s="42"/>
      <c r="AB583" s="42"/>
      <c r="AC583" s="42"/>
      <c r="AD583" s="42"/>
      <c r="AE583" s="42"/>
      <c r="AF583" s="42"/>
      <c r="AG583" s="42"/>
      <c r="AH583" s="42"/>
      <c r="AI583" s="42"/>
      <c r="AJ583" s="42"/>
      <c r="AK583" s="42"/>
      <c r="AL583" s="42"/>
      <c r="AM583" s="42"/>
      <c r="AN583" s="42"/>
      <c r="AO583" s="42"/>
      <c r="AP583" s="42"/>
      <c r="AQ583" s="42"/>
      <c r="AR583" s="42"/>
      <c r="AS583" s="42"/>
      <c r="AT583" s="42"/>
      <c r="AU583" s="42"/>
      <c r="AV583" s="42"/>
      <c r="AW583" s="42"/>
      <c r="AX583" s="42"/>
      <c r="AY583" s="42"/>
      <c r="AZ583" s="42"/>
      <c r="BA583" s="42"/>
      <c r="BB583" s="42"/>
    </row>
    <row r="584" spans="1:54" x14ac:dyDescent="0.25">
      <c r="A584" s="42"/>
      <c r="B584" s="43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  <c r="AA584" s="42"/>
      <c r="AB584" s="42"/>
      <c r="AC584" s="42"/>
      <c r="AD584" s="42"/>
      <c r="AE584" s="42"/>
      <c r="AF584" s="42"/>
      <c r="AG584" s="42"/>
      <c r="AH584" s="42"/>
      <c r="AI584" s="42"/>
      <c r="AJ584" s="42"/>
      <c r="AK584" s="42"/>
      <c r="AL584" s="42"/>
      <c r="AM584" s="42"/>
      <c r="AN584" s="42"/>
      <c r="AO584" s="42"/>
      <c r="AP584" s="42"/>
      <c r="AQ584" s="42"/>
      <c r="AR584" s="42"/>
      <c r="AS584" s="42"/>
      <c r="AT584" s="42"/>
      <c r="AU584" s="42"/>
      <c r="AV584" s="42"/>
      <c r="AW584" s="42"/>
      <c r="AX584" s="42"/>
      <c r="AY584" s="42"/>
      <c r="AZ584" s="42"/>
      <c r="BA584" s="42"/>
      <c r="BB584" s="42"/>
    </row>
    <row r="585" spans="1:54" x14ac:dyDescent="0.25">
      <c r="A585" s="42"/>
      <c r="B585" s="43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  <c r="AA585" s="42"/>
      <c r="AB585" s="42"/>
      <c r="AC585" s="42"/>
      <c r="AD585" s="42"/>
      <c r="AE585" s="42"/>
      <c r="AF585" s="42"/>
      <c r="AG585" s="42"/>
      <c r="AH585" s="42"/>
      <c r="AI585" s="42"/>
      <c r="AJ585" s="42"/>
      <c r="AK585" s="42"/>
      <c r="AL585" s="42"/>
      <c r="AM585" s="42"/>
      <c r="AN585" s="42"/>
      <c r="AO585" s="42"/>
      <c r="AP585" s="42"/>
      <c r="AQ585" s="42"/>
      <c r="AR585" s="42"/>
      <c r="AS585" s="42"/>
      <c r="AT585" s="42"/>
      <c r="AU585" s="42"/>
      <c r="AV585" s="42"/>
      <c r="AW585" s="42"/>
      <c r="AX585" s="42"/>
      <c r="AY585" s="42"/>
      <c r="AZ585" s="42"/>
      <c r="BA585" s="42"/>
      <c r="BB585" s="42"/>
    </row>
    <row r="586" spans="1:54" x14ac:dyDescent="0.25">
      <c r="A586" s="42"/>
      <c r="B586" s="43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  <c r="AA586" s="42"/>
      <c r="AB586" s="42"/>
      <c r="AC586" s="42"/>
      <c r="AD586" s="42"/>
      <c r="AE586" s="42"/>
      <c r="AF586" s="42"/>
      <c r="AG586" s="42"/>
      <c r="AH586" s="42"/>
      <c r="AI586" s="42"/>
      <c r="AJ586" s="42"/>
      <c r="AK586" s="42"/>
      <c r="AL586" s="42"/>
      <c r="AM586" s="42"/>
      <c r="AN586" s="42"/>
      <c r="AO586" s="42"/>
      <c r="AP586" s="42"/>
      <c r="AQ586" s="42"/>
      <c r="AR586" s="42"/>
      <c r="AS586" s="42"/>
      <c r="AT586" s="42"/>
      <c r="AU586" s="42"/>
      <c r="AV586" s="42"/>
      <c r="AW586" s="42"/>
      <c r="AX586" s="42"/>
      <c r="AY586" s="42"/>
      <c r="AZ586" s="42"/>
      <c r="BA586" s="42"/>
      <c r="BB586" s="42"/>
    </row>
    <row r="587" spans="1:54" x14ac:dyDescent="0.25">
      <c r="A587" s="42"/>
      <c r="B587" s="43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  <c r="AA587" s="42"/>
      <c r="AB587" s="42"/>
      <c r="AC587" s="42"/>
      <c r="AD587" s="42"/>
      <c r="AE587" s="42"/>
      <c r="AF587" s="42"/>
      <c r="AG587" s="42"/>
      <c r="AH587" s="42"/>
      <c r="AI587" s="42"/>
      <c r="AJ587" s="42"/>
      <c r="AK587" s="42"/>
      <c r="AL587" s="42"/>
      <c r="AM587" s="42"/>
      <c r="AN587" s="42"/>
      <c r="AO587" s="42"/>
      <c r="AP587" s="42"/>
      <c r="AQ587" s="42"/>
      <c r="AR587" s="42"/>
      <c r="AS587" s="42"/>
      <c r="AT587" s="42"/>
      <c r="AU587" s="42"/>
      <c r="AV587" s="42"/>
      <c r="AW587" s="42"/>
      <c r="AX587" s="42"/>
      <c r="AY587" s="42"/>
      <c r="AZ587" s="42"/>
      <c r="BA587" s="42"/>
      <c r="BB587" s="42"/>
    </row>
    <row r="588" spans="1:54" x14ac:dyDescent="0.25">
      <c r="A588" s="42"/>
      <c r="B588" s="43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  <c r="AA588" s="42"/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/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/>
      <c r="BB588" s="42"/>
    </row>
    <row r="589" spans="1:54" x14ac:dyDescent="0.25">
      <c r="A589" s="42"/>
      <c r="B589" s="43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  <c r="AA589" s="42"/>
      <c r="AB589" s="42"/>
      <c r="AC589" s="42"/>
      <c r="AD589" s="42"/>
      <c r="AE589" s="42"/>
      <c r="AF589" s="42"/>
      <c r="AG589" s="42"/>
      <c r="AH589" s="42"/>
      <c r="AI589" s="42"/>
      <c r="AJ589" s="42"/>
      <c r="AK589" s="42"/>
      <c r="AL589" s="42"/>
      <c r="AM589" s="42"/>
      <c r="AN589" s="42"/>
      <c r="AO589" s="42"/>
      <c r="AP589" s="42"/>
      <c r="AQ589" s="42"/>
      <c r="AR589" s="42"/>
      <c r="AS589" s="42"/>
      <c r="AT589" s="42"/>
      <c r="AU589" s="42"/>
      <c r="AV589" s="42"/>
      <c r="AW589" s="42"/>
      <c r="AX589" s="42"/>
      <c r="AY589" s="42"/>
      <c r="AZ589" s="42"/>
      <c r="BA589" s="42"/>
      <c r="BB589" s="42"/>
    </row>
    <row r="590" spans="1:54" x14ac:dyDescent="0.25">
      <c r="A590" s="42"/>
      <c r="B590" s="43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  <c r="AA590" s="42"/>
      <c r="AB590" s="42"/>
      <c r="AC590" s="42"/>
      <c r="AD590" s="42"/>
      <c r="AE590" s="42"/>
      <c r="AF590" s="42"/>
      <c r="AG590" s="42"/>
      <c r="AH590" s="42"/>
      <c r="AI590" s="42"/>
      <c r="AJ590" s="42"/>
      <c r="AK590" s="42"/>
      <c r="AL590" s="42"/>
      <c r="AM590" s="42"/>
      <c r="AN590" s="42"/>
      <c r="AO590" s="42"/>
      <c r="AP590" s="42"/>
      <c r="AQ590" s="42"/>
      <c r="AR590" s="42"/>
      <c r="AS590" s="42"/>
      <c r="AT590" s="42"/>
      <c r="AU590" s="42"/>
      <c r="AV590" s="42"/>
      <c r="AW590" s="42"/>
      <c r="AX590" s="42"/>
      <c r="AY590" s="42"/>
      <c r="AZ590" s="42"/>
      <c r="BA590" s="42"/>
      <c r="BB590" s="42"/>
    </row>
    <row r="591" spans="1:54" x14ac:dyDescent="0.25">
      <c r="A591" s="42"/>
      <c r="B591" s="43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  <c r="AA591" s="42"/>
      <c r="AB591" s="42"/>
      <c r="AC591" s="42"/>
      <c r="AD591" s="42"/>
      <c r="AE591" s="42"/>
      <c r="AF591" s="42"/>
      <c r="AG591" s="42"/>
      <c r="AH591" s="42"/>
      <c r="AI591" s="42"/>
      <c r="AJ591" s="42"/>
      <c r="AK591" s="42"/>
      <c r="AL591" s="42"/>
      <c r="AM591" s="42"/>
      <c r="AN591" s="42"/>
      <c r="AO591" s="42"/>
      <c r="AP591" s="42"/>
      <c r="AQ591" s="42"/>
      <c r="AR591" s="42"/>
      <c r="AS591" s="42"/>
      <c r="AT591" s="42"/>
      <c r="AU591" s="42"/>
      <c r="AV591" s="42"/>
      <c r="AW591" s="42"/>
      <c r="AX591" s="42"/>
      <c r="AY591" s="42"/>
      <c r="AZ591" s="42"/>
      <c r="BA591" s="42"/>
      <c r="BB591" s="42"/>
    </row>
    <row r="592" spans="1:54" x14ac:dyDescent="0.25">
      <c r="A592" s="42"/>
      <c r="B592" s="43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  <c r="AA592" s="42"/>
      <c r="AB592" s="42"/>
      <c r="AC592" s="42"/>
      <c r="AD592" s="42"/>
      <c r="AE592" s="42"/>
      <c r="AF592" s="42"/>
      <c r="AG592" s="42"/>
      <c r="AH592" s="42"/>
      <c r="AI592" s="42"/>
      <c r="AJ592" s="42"/>
      <c r="AK592" s="42"/>
      <c r="AL592" s="42"/>
      <c r="AM592" s="42"/>
      <c r="AN592" s="42"/>
      <c r="AO592" s="42"/>
      <c r="AP592" s="42"/>
      <c r="AQ592" s="42"/>
      <c r="AR592" s="42"/>
      <c r="AS592" s="42"/>
      <c r="AT592" s="42"/>
      <c r="AU592" s="42"/>
      <c r="AV592" s="42"/>
      <c r="AW592" s="42"/>
      <c r="AX592" s="42"/>
      <c r="AY592" s="42"/>
      <c r="AZ592" s="42"/>
      <c r="BA592" s="42"/>
      <c r="BB592" s="42"/>
    </row>
    <row r="593" spans="1:54" x14ac:dyDescent="0.25">
      <c r="A593" s="42"/>
      <c r="B593" s="43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  <c r="AA593" s="42"/>
      <c r="AB593" s="42"/>
      <c r="AC593" s="42"/>
      <c r="AD593" s="42"/>
      <c r="AE593" s="42"/>
      <c r="AF593" s="42"/>
      <c r="AG593" s="42"/>
      <c r="AH593" s="42"/>
      <c r="AI593" s="42"/>
      <c r="AJ593" s="42"/>
      <c r="AK593" s="42"/>
      <c r="AL593" s="42"/>
      <c r="AM593" s="42"/>
      <c r="AN593" s="42"/>
      <c r="AO593" s="42"/>
      <c r="AP593" s="42"/>
      <c r="AQ593" s="42"/>
      <c r="AR593" s="42"/>
      <c r="AS593" s="42"/>
      <c r="AT593" s="42"/>
      <c r="AU593" s="42"/>
      <c r="AV593" s="42"/>
      <c r="AW593" s="42"/>
      <c r="AX593" s="42"/>
      <c r="AY593" s="42"/>
      <c r="AZ593" s="42"/>
      <c r="BA593" s="42"/>
      <c r="BB593" s="42"/>
    </row>
    <row r="594" spans="1:54" x14ac:dyDescent="0.25">
      <c r="A594" s="42"/>
      <c r="B594" s="43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  <c r="AA594" s="42"/>
      <c r="AB594" s="42"/>
      <c r="AC594" s="42"/>
      <c r="AD594" s="42"/>
      <c r="AE594" s="42"/>
      <c r="AF594" s="42"/>
      <c r="AG594" s="42"/>
      <c r="AH594" s="42"/>
      <c r="AI594" s="42"/>
      <c r="AJ594" s="42"/>
      <c r="AK594" s="42"/>
      <c r="AL594" s="42"/>
      <c r="AM594" s="42"/>
      <c r="AN594" s="42"/>
      <c r="AO594" s="42"/>
      <c r="AP594" s="42"/>
      <c r="AQ594" s="42"/>
      <c r="AR594" s="42"/>
      <c r="AS594" s="42"/>
      <c r="AT594" s="42"/>
      <c r="AU594" s="42"/>
      <c r="AV594" s="42"/>
      <c r="AW594" s="42"/>
      <c r="AX594" s="42"/>
      <c r="AY594" s="42"/>
      <c r="AZ594" s="42"/>
      <c r="BA594" s="42"/>
      <c r="BB594" s="42"/>
    </row>
    <row r="595" spans="1:54" x14ac:dyDescent="0.25">
      <c r="A595" s="42"/>
      <c r="B595" s="43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2"/>
      <c r="AM595" s="42"/>
      <c r="AN595" s="42"/>
      <c r="AO595" s="42"/>
      <c r="AP595" s="42"/>
      <c r="AQ595" s="42"/>
      <c r="AR595" s="42"/>
      <c r="AS595" s="42"/>
      <c r="AT595" s="42"/>
      <c r="AU595" s="42"/>
      <c r="AV595" s="42"/>
      <c r="AW595" s="42"/>
      <c r="AX595" s="42"/>
      <c r="AY595" s="42"/>
      <c r="AZ595" s="42"/>
      <c r="BA595" s="42"/>
      <c r="BB595" s="42"/>
    </row>
    <row r="596" spans="1:54" x14ac:dyDescent="0.25">
      <c r="A596" s="42"/>
      <c r="B596" s="43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  <c r="AA596" s="42"/>
      <c r="AB596" s="42"/>
      <c r="AC596" s="42"/>
      <c r="AD596" s="42"/>
      <c r="AE596" s="42"/>
      <c r="AF596" s="42"/>
      <c r="AG596" s="42"/>
      <c r="AH596" s="42"/>
      <c r="AI596" s="42"/>
      <c r="AJ596" s="42"/>
      <c r="AK596" s="42"/>
      <c r="AL596" s="42"/>
      <c r="AM596" s="42"/>
      <c r="AN596" s="42"/>
      <c r="AO596" s="42"/>
      <c r="AP596" s="42"/>
      <c r="AQ596" s="42"/>
      <c r="AR596" s="42"/>
      <c r="AS596" s="42"/>
      <c r="AT596" s="42"/>
      <c r="AU596" s="42"/>
      <c r="AV596" s="42"/>
      <c r="AW596" s="42"/>
      <c r="AX596" s="42"/>
      <c r="AY596" s="42"/>
      <c r="AZ596" s="42"/>
      <c r="BA596" s="42"/>
      <c r="BB596" s="42"/>
    </row>
    <row r="597" spans="1:54" x14ac:dyDescent="0.25">
      <c r="A597" s="42"/>
      <c r="B597" s="43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  <c r="AA597" s="42"/>
      <c r="AB597" s="42"/>
      <c r="AC597" s="42"/>
      <c r="AD597" s="42"/>
      <c r="AE597" s="42"/>
      <c r="AF597" s="42"/>
      <c r="AG597" s="42"/>
      <c r="AH597" s="42"/>
      <c r="AI597" s="42"/>
      <c r="AJ597" s="42"/>
      <c r="AK597" s="42"/>
      <c r="AL597" s="42"/>
      <c r="AM597" s="42"/>
      <c r="AN597" s="42"/>
      <c r="AO597" s="42"/>
      <c r="AP597" s="42"/>
      <c r="AQ597" s="42"/>
      <c r="AR597" s="42"/>
      <c r="AS597" s="42"/>
      <c r="AT597" s="42"/>
      <c r="AU597" s="42"/>
      <c r="AV597" s="42"/>
      <c r="AW597" s="42"/>
      <c r="AX597" s="42"/>
      <c r="AY597" s="42"/>
      <c r="AZ597" s="42"/>
      <c r="BA597" s="42"/>
      <c r="BB597" s="42"/>
    </row>
    <row r="598" spans="1:54" x14ac:dyDescent="0.25">
      <c r="A598" s="42"/>
      <c r="B598" s="43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2"/>
      <c r="AM598" s="42"/>
      <c r="AN598" s="42"/>
      <c r="AO598" s="42"/>
      <c r="AP598" s="42"/>
      <c r="AQ598" s="42"/>
      <c r="AR598" s="42"/>
      <c r="AS598" s="42"/>
      <c r="AT598" s="42"/>
      <c r="AU598" s="42"/>
      <c r="AV598" s="42"/>
      <c r="AW598" s="42"/>
      <c r="AX598" s="42"/>
      <c r="AY598" s="42"/>
      <c r="AZ598" s="42"/>
      <c r="BA598" s="42"/>
      <c r="BB598" s="42"/>
    </row>
    <row r="599" spans="1:54" x14ac:dyDescent="0.25">
      <c r="A599" s="42"/>
      <c r="B599" s="43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  <c r="AA599" s="42"/>
      <c r="AB599" s="42"/>
      <c r="AC599" s="42"/>
      <c r="AD599" s="42"/>
      <c r="AE599" s="42"/>
      <c r="AF599" s="42"/>
      <c r="AG599" s="42"/>
      <c r="AH599" s="42"/>
      <c r="AI599" s="42"/>
      <c r="AJ599" s="42"/>
      <c r="AK599" s="42"/>
      <c r="AL599" s="42"/>
      <c r="AM599" s="42"/>
      <c r="AN599" s="42"/>
      <c r="AO599" s="42"/>
      <c r="AP599" s="42"/>
      <c r="AQ599" s="42"/>
      <c r="AR599" s="42"/>
      <c r="AS599" s="42"/>
      <c r="AT599" s="42"/>
      <c r="AU599" s="42"/>
      <c r="AV599" s="42"/>
      <c r="AW599" s="42"/>
      <c r="AX599" s="42"/>
      <c r="AY599" s="42"/>
      <c r="AZ599" s="42"/>
      <c r="BA599" s="42"/>
      <c r="BB599" s="42"/>
    </row>
    <row r="600" spans="1:54" x14ac:dyDescent="0.25">
      <c r="A600" s="42"/>
      <c r="B600" s="43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  <c r="AA600" s="42"/>
      <c r="AB600" s="42"/>
      <c r="AC600" s="42"/>
      <c r="AD600" s="42"/>
      <c r="AE600" s="42"/>
      <c r="AF600" s="42"/>
      <c r="AG600" s="42"/>
      <c r="AH600" s="42"/>
      <c r="AI600" s="42"/>
      <c r="AJ600" s="42"/>
      <c r="AK600" s="42"/>
      <c r="AL600" s="42"/>
      <c r="AM600" s="42"/>
      <c r="AN600" s="42"/>
      <c r="AO600" s="42"/>
      <c r="AP600" s="42"/>
      <c r="AQ600" s="42"/>
      <c r="AR600" s="42"/>
      <c r="AS600" s="42"/>
      <c r="AT600" s="42"/>
      <c r="AU600" s="42"/>
      <c r="AV600" s="42"/>
      <c r="AW600" s="42"/>
      <c r="AX600" s="42"/>
      <c r="AY600" s="42"/>
      <c r="AZ600" s="42"/>
      <c r="BA600" s="42"/>
      <c r="BB600" s="42"/>
    </row>
    <row r="601" spans="1:54" x14ac:dyDescent="0.25">
      <c r="A601" s="42"/>
      <c r="B601" s="43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  <c r="AA601" s="42"/>
      <c r="AB601" s="42"/>
      <c r="AC601" s="42"/>
      <c r="AD601" s="42"/>
      <c r="AE601" s="42"/>
      <c r="AF601" s="42"/>
      <c r="AG601" s="42"/>
      <c r="AH601" s="42"/>
      <c r="AI601" s="42"/>
      <c r="AJ601" s="42"/>
      <c r="AK601" s="42"/>
      <c r="AL601" s="42"/>
      <c r="AM601" s="42"/>
      <c r="AN601" s="42"/>
      <c r="AO601" s="42"/>
      <c r="AP601" s="42"/>
      <c r="AQ601" s="42"/>
      <c r="AR601" s="42"/>
      <c r="AS601" s="42"/>
      <c r="AT601" s="42"/>
      <c r="AU601" s="42"/>
      <c r="AV601" s="42"/>
      <c r="AW601" s="42"/>
      <c r="AX601" s="42"/>
      <c r="AY601" s="42"/>
      <c r="AZ601" s="42"/>
      <c r="BA601" s="42"/>
      <c r="BB601" s="42"/>
    </row>
    <row r="602" spans="1:54" x14ac:dyDescent="0.25">
      <c r="A602" s="42"/>
      <c r="B602" s="43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  <c r="AA602" s="42"/>
      <c r="AB602" s="42"/>
      <c r="AC602" s="42"/>
      <c r="AD602" s="42"/>
      <c r="AE602" s="42"/>
      <c r="AF602" s="42"/>
      <c r="AG602" s="42"/>
      <c r="AH602" s="42"/>
      <c r="AI602" s="42"/>
      <c r="AJ602" s="42"/>
      <c r="AK602" s="42"/>
      <c r="AL602" s="42"/>
      <c r="AM602" s="42"/>
      <c r="AN602" s="42"/>
      <c r="AO602" s="42"/>
      <c r="AP602" s="42"/>
      <c r="AQ602" s="42"/>
      <c r="AR602" s="42"/>
      <c r="AS602" s="42"/>
      <c r="AT602" s="42"/>
      <c r="AU602" s="42"/>
      <c r="AV602" s="42"/>
      <c r="AW602" s="42"/>
      <c r="AX602" s="42"/>
      <c r="AY602" s="42"/>
      <c r="AZ602" s="42"/>
      <c r="BA602" s="42"/>
      <c r="BB602" s="42"/>
    </row>
    <row r="603" spans="1:54" x14ac:dyDescent="0.25">
      <c r="A603" s="42"/>
      <c r="B603" s="43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  <c r="AA603" s="42"/>
      <c r="AB603" s="42"/>
      <c r="AC603" s="42"/>
      <c r="AD603" s="42"/>
      <c r="AE603" s="42"/>
      <c r="AF603" s="42"/>
      <c r="AG603" s="42"/>
      <c r="AH603" s="42"/>
      <c r="AI603" s="42"/>
      <c r="AJ603" s="42"/>
      <c r="AK603" s="42"/>
      <c r="AL603" s="42"/>
      <c r="AM603" s="42"/>
      <c r="AN603" s="42"/>
      <c r="AO603" s="42"/>
      <c r="AP603" s="42"/>
      <c r="AQ603" s="42"/>
      <c r="AR603" s="42"/>
      <c r="AS603" s="42"/>
      <c r="AT603" s="42"/>
      <c r="AU603" s="42"/>
      <c r="AV603" s="42"/>
      <c r="AW603" s="42"/>
      <c r="AX603" s="42"/>
      <c r="AY603" s="42"/>
      <c r="AZ603" s="42"/>
      <c r="BA603" s="42"/>
      <c r="BB603" s="42"/>
    </row>
    <row r="604" spans="1:54" x14ac:dyDescent="0.25">
      <c r="A604" s="42"/>
      <c r="B604" s="43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  <c r="AA604" s="42"/>
      <c r="AB604" s="42"/>
      <c r="AC604" s="42"/>
      <c r="AD604" s="42"/>
      <c r="AE604" s="42"/>
      <c r="AF604" s="42"/>
      <c r="AG604" s="42"/>
      <c r="AH604" s="42"/>
      <c r="AI604" s="42"/>
      <c r="AJ604" s="42"/>
      <c r="AK604" s="42"/>
      <c r="AL604" s="42"/>
      <c r="AM604" s="42"/>
      <c r="AN604" s="42"/>
      <c r="AO604" s="42"/>
      <c r="AP604" s="42"/>
      <c r="AQ604" s="42"/>
      <c r="AR604" s="42"/>
      <c r="AS604" s="42"/>
      <c r="AT604" s="42"/>
      <c r="AU604" s="42"/>
      <c r="AV604" s="42"/>
      <c r="AW604" s="42"/>
      <c r="AX604" s="42"/>
      <c r="AY604" s="42"/>
      <c r="AZ604" s="42"/>
      <c r="BA604" s="42"/>
      <c r="BB604" s="42"/>
    </row>
    <row r="605" spans="1:54" x14ac:dyDescent="0.25">
      <c r="A605" s="42"/>
      <c r="B605" s="43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  <c r="AA605" s="42"/>
      <c r="AB605" s="42"/>
      <c r="AC605" s="42"/>
      <c r="AD605" s="42"/>
      <c r="AE605" s="42"/>
      <c r="AF605" s="42"/>
      <c r="AG605" s="42"/>
      <c r="AH605" s="42"/>
      <c r="AI605" s="42"/>
      <c r="AJ605" s="42"/>
      <c r="AK605" s="42"/>
      <c r="AL605" s="42"/>
      <c r="AM605" s="42"/>
      <c r="AN605" s="42"/>
      <c r="AO605" s="42"/>
      <c r="AP605" s="42"/>
      <c r="AQ605" s="42"/>
      <c r="AR605" s="42"/>
      <c r="AS605" s="42"/>
      <c r="AT605" s="42"/>
      <c r="AU605" s="42"/>
      <c r="AV605" s="42"/>
      <c r="AW605" s="42"/>
      <c r="AX605" s="42"/>
      <c r="AY605" s="42"/>
      <c r="AZ605" s="42"/>
      <c r="BA605" s="42"/>
      <c r="BB605" s="42"/>
    </row>
    <row r="606" spans="1:54" x14ac:dyDescent="0.25">
      <c r="A606" s="42"/>
      <c r="B606" s="43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  <c r="AA606" s="42"/>
      <c r="AB606" s="42"/>
      <c r="AC606" s="42"/>
      <c r="AD606" s="42"/>
      <c r="AE606" s="42"/>
      <c r="AF606" s="42"/>
      <c r="AG606" s="42"/>
      <c r="AH606" s="42"/>
      <c r="AI606" s="42"/>
      <c r="AJ606" s="42"/>
      <c r="AK606" s="42"/>
      <c r="AL606" s="42"/>
      <c r="AM606" s="42"/>
      <c r="AN606" s="42"/>
      <c r="AO606" s="42"/>
      <c r="AP606" s="42"/>
      <c r="AQ606" s="42"/>
      <c r="AR606" s="42"/>
      <c r="AS606" s="42"/>
      <c r="AT606" s="42"/>
      <c r="AU606" s="42"/>
      <c r="AV606" s="42"/>
      <c r="AW606" s="42"/>
      <c r="AX606" s="42"/>
      <c r="AY606" s="42"/>
      <c r="AZ606" s="42"/>
      <c r="BA606" s="42"/>
      <c r="BB606" s="42"/>
    </row>
    <row r="607" spans="1:54" x14ac:dyDescent="0.25">
      <c r="A607" s="42"/>
      <c r="B607" s="43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  <c r="AA607" s="42"/>
      <c r="AB607" s="42"/>
      <c r="AC607" s="42"/>
      <c r="AD607" s="42"/>
      <c r="AE607" s="42"/>
      <c r="AF607" s="42"/>
      <c r="AG607" s="42"/>
      <c r="AH607" s="42"/>
      <c r="AI607" s="42"/>
      <c r="AJ607" s="42"/>
      <c r="AK607" s="42"/>
      <c r="AL607" s="42"/>
      <c r="AM607" s="42"/>
      <c r="AN607" s="42"/>
      <c r="AO607" s="42"/>
      <c r="AP607" s="42"/>
      <c r="AQ607" s="42"/>
      <c r="AR607" s="42"/>
      <c r="AS607" s="42"/>
      <c r="AT607" s="42"/>
      <c r="AU607" s="42"/>
      <c r="AV607" s="42"/>
      <c r="AW607" s="42"/>
      <c r="AX607" s="42"/>
      <c r="AY607" s="42"/>
      <c r="AZ607" s="42"/>
      <c r="BA607" s="42"/>
      <c r="BB607" s="42"/>
    </row>
    <row r="608" spans="1:54" x14ac:dyDescent="0.25">
      <c r="A608" s="42"/>
      <c r="B608" s="43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  <c r="AA608" s="42"/>
      <c r="AB608" s="42"/>
      <c r="AC608" s="42"/>
      <c r="AD608" s="42"/>
      <c r="AE608" s="42"/>
      <c r="AF608" s="42"/>
      <c r="AG608" s="42"/>
      <c r="AH608" s="42"/>
      <c r="AI608" s="42"/>
      <c r="AJ608" s="42"/>
      <c r="AK608" s="42"/>
      <c r="AL608" s="42"/>
      <c r="AM608" s="42"/>
      <c r="AN608" s="42"/>
      <c r="AO608" s="42"/>
      <c r="AP608" s="42"/>
      <c r="AQ608" s="42"/>
      <c r="AR608" s="42"/>
      <c r="AS608" s="42"/>
      <c r="AT608" s="42"/>
      <c r="AU608" s="42"/>
      <c r="AV608" s="42"/>
      <c r="AW608" s="42"/>
      <c r="AX608" s="42"/>
      <c r="AY608" s="42"/>
      <c r="AZ608" s="42"/>
      <c r="BA608" s="42"/>
      <c r="BB608" s="42"/>
    </row>
    <row r="609" spans="1:54" x14ac:dyDescent="0.25">
      <c r="A609" s="42"/>
      <c r="B609" s="43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  <c r="AA609" s="42"/>
      <c r="AB609" s="42"/>
      <c r="AC609" s="42"/>
      <c r="AD609" s="42"/>
      <c r="AE609" s="42"/>
      <c r="AF609" s="42"/>
      <c r="AG609" s="42"/>
      <c r="AH609" s="42"/>
      <c r="AI609" s="42"/>
      <c r="AJ609" s="42"/>
      <c r="AK609" s="42"/>
      <c r="AL609" s="42"/>
      <c r="AM609" s="42"/>
      <c r="AN609" s="42"/>
      <c r="AO609" s="42"/>
      <c r="AP609" s="42"/>
      <c r="AQ609" s="42"/>
      <c r="AR609" s="42"/>
      <c r="AS609" s="42"/>
      <c r="AT609" s="42"/>
      <c r="AU609" s="42"/>
      <c r="AV609" s="42"/>
      <c r="AW609" s="42"/>
      <c r="AX609" s="42"/>
      <c r="AY609" s="42"/>
      <c r="AZ609" s="42"/>
      <c r="BA609" s="42"/>
      <c r="BB609" s="42"/>
    </row>
    <row r="610" spans="1:54" x14ac:dyDescent="0.25">
      <c r="A610" s="42"/>
      <c r="B610" s="43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  <c r="AA610" s="42"/>
      <c r="AB610" s="42"/>
      <c r="AC610" s="42"/>
      <c r="AD610" s="42"/>
      <c r="AE610" s="42"/>
      <c r="AF610" s="42"/>
      <c r="AG610" s="42"/>
      <c r="AH610" s="42"/>
      <c r="AI610" s="42"/>
      <c r="AJ610" s="42"/>
      <c r="AK610" s="42"/>
      <c r="AL610" s="42"/>
      <c r="AM610" s="42"/>
      <c r="AN610" s="42"/>
      <c r="AO610" s="42"/>
      <c r="AP610" s="42"/>
      <c r="AQ610" s="42"/>
      <c r="AR610" s="42"/>
      <c r="AS610" s="42"/>
      <c r="AT610" s="42"/>
      <c r="AU610" s="42"/>
      <c r="AV610" s="42"/>
      <c r="AW610" s="42"/>
      <c r="AX610" s="42"/>
      <c r="AY610" s="42"/>
      <c r="AZ610" s="42"/>
      <c r="BA610" s="42"/>
      <c r="BB610" s="42"/>
    </row>
    <row r="611" spans="1:54" x14ac:dyDescent="0.25">
      <c r="A611" s="42"/>
      <c r="B611" s="43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  <c r="AA611" s="42"/>
      <c r="AB611" s="42"/>
      <c r="AC611" s="42"/>
      <c r="AD611" s="42"/>
      <c r="AE611" s="42"/>
      <c r="AF611" s="42"/>
      <c r="AG611" s="42"/>
      <c r="AH611" s="42"/>
      <c r="AI611" s="42"/>
      <c r="AJ611" s="42"/>
      <c r="AK611" s="42"/>
      <c r="AL611" s="42"/>
      <c r="AM611" s="42"/>
      <c r="AN611" s="42"/>
      <c r="AO611" s="42"/>
      <c r="AP611" s="42"/>
      <c r="AQ611" s="42"/>
      <c r="AR611" s="42"/>
      <c r="AS611" s="42"/>
      <c r="AT611" s="42"/>
      <c r="AU611" s="42"/>
      <c r="AV611" s="42"/>
      <c r="AW611" s="42"/>
      <c r="AX611" s="42"/>
      <c r="AY611" s="42"/>
      <c r="AZ611" s="42"/>
      <c r="BA611" s="42"/>
      <c r="BB611" s="42"/>
    </row>
    <row r="612" spans="1:54" x14ac:dyDescent="0.25">
      <c r="A612" s="42"/>
      <c r="B612" s="43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  <c r="AA612" s="42"/>
      <c r="AB612" s="42"/>
      <c r="AC612" s="42"/>
      <c r="AD612" s="42"/>
      <c r="AE612" s="42"/>
      <c r="AF612" s="42"/>
      <c r="AG612" s="42"/>
      <c r="AH612" s="42"/>
      <c r="AI612" s="42"/>
      <c r="AJ612" s="42"/>
      <c r="AK612" s="42"/>
      <c r="AL612" s="42"/>
      <c r="AM612" s="42"/>
      <c r="AN612" s="42"/>
      <c r="AO612" s="42"/>
      <c r="AP612" s="42"/>
      <c r="AQ612" s="42"/>
      <c r="AR612" s="42"/>
      <c r="AS612" s="42"/>
      <c r="AT612" s="42"/>
      <c r="AU612" s="42"/>
      <c r="AV612" s="42"/>
      <c r="AW612" s="42"/>
      <c r="AX612" s="42"/>
      <c r="AY612" s="42"/>
      <c r="AZ612" s="42"/>
      <c r="BA612" s="42"/>
      <c r="BB612" s="42"/>
    </row>
    <row r="613" spans="1:54" x14ac:dyDescent="0.25">
      <c r="A613" s="42"/>
      <c r="B613" s="43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  <c r="AA613" s="42"/>
      <c r="AB613" s="42"/>
      <c r="AC613" s="42"/>
      <c r="AD613" s="42"/>
      <c r="AE613" s="42"/>
      <c r="AF613" s="42"/>
      <c r="AG613" s="42"/>
      <c r="AH613" s="42"/>
      <c r="AI613" s="42"/>
      <c r="AJ613" s="42"/>
      <c r="AK613" s="42"/>
      <c r="AL613" s="42"/>
      <c r="AM613" s="42"/>
      <c r="AN613" s="42"/>
      <c r="AO613" s="42"/>
      <c r="AP613" s="42"/>
      <c r="AQ613" s="42"/>
      <c r="AR613" s="42"/>
      <c r="AS613" s="42"/>
      <c r="AT613" s="42"/>
      <c r="AU613" s="42"/>
      <c r="AV613" s="42"/>
      <c r="AW613" s="42"/>
      <c r="AX613" s="42"/>
      <c r="AY613" s="42"/>
      <c r="AZ613" s="42"/>
      <c r="BA613" s="42"/>
      <c r="BB613" s="42"/>
    </row>
    <row r="614" spans="1:54" x14ac:dyDescent="0.25">
      <c r="A614" s="42"/>
      <c r="B614" s="43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  <c r="AA614" s="42"/>
      <c r="AB614" s="42"/>
      <c r="AC614" s="42"/>
      <c r="AD614" s="42"/>
      <c r="AE614" s="42"/>
      <c r="AF614" s="42"/>
      <c r="AG614" s="42"/>
      <c r="AH614" s="42"/>
      <c r="AI614" s="42"/>
      <c r="AJ614" s="42"/>
      <c r="AK614" s="42"/>
      <c r="AL614" s="42"/>
      <c r="AM614" s="42"/>
      <c r="AN614" s="42"/>
      <c r="AO614" s="42"/>
      <c r="AP614" s="42"/>
      <c r="AQ614" s="42"/>
      <c r="AR614" s="42"/>
      <c r="AS614" s="42"/>
      <c r="AT614" s="42"/>
      <c r="AU614" s="42"/>
      <c r="AV614" s="42"/>
      <c r="AW614" s="42"/>
      <c r="AX614" s="42"/>
      <c r="AY614" s="42"/>
      <c r="AZ614" s="42"/>
      <c r="BA614" s="42"/>
      <c r="BB614" s="42"/>
    </row>
    <row r="615" spans="1:54" x14ac:dyDescent="0.25">
      <c r="A615" s="42"/>
      <c r="B615" s="43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  <c r="AA615" s="42"/>
      <c r="AB615" s="42"/>
      <c r="AC615" s="42"/>
      <c r="AD615" s="42"/>
      <c r="AE615" s="42"/>
      <c r="AF615" s="42"/>
      <c r="AG615" s="42"/>
      <c r="AH615" s="42"/>
      <c r="AI615" s="42"/>
      <c r="AJ615" s="42"/>
      <c r="AK615" s="42"/>
      <c r="AL615" s="42"/>
      <c r="AM615" s="42"/>
      <c r="AN615" s="42"/>
      <c r="AO615" s="42"/>
      <c r="AP615" s="42"/>
      <c r="AQ615" s="42"/>
      <c r="AR615" s="42"/>
      <c r="AS615" s="42"/>
      <c r="AT615" s="42"/>
      <c r="AU615" s="42"/>
      <c r="AV615" s="42"/>
      <c r="AW615" s="42"/>
      <c r="AX615" s="42"/>
      <c r="AY615" s="42"/>
      <c r="AZ615" s="42"/>
      <c r="BA615" s="42"/>
      <c r="BB615" s="42"/>
    </row>
    <row r="616" spans="1:54" x14ac:dyDescent="0.25">
      <c r="A616" s="42"/>
      <c r="B616" s="43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  <c r="AA616" s="42"/>
      <c r="AB616" s="42"/>
      <c r="AC616" s="42"/>
      <c r="AD616" s="42"/>
      <c r="AE616" s="42"/>
      <c r="AF616" s="42"/>
      <c r="AG616" s="42"/>
      <c r="AH616" s="42"/>
      <c r="AI616" s="42"/>
      <c r="AJ616" s="42"/>
      <c r="AK616" s="42"/>
      <c r="AL616" s="42"/>
      <c r="AM616" s="42"/>
      <c r="AN616" s="42"/>
      <c r="AO616" s="42"/>
      <c r="AP616" s="42"/>
      <c r="AQ616" s="42"/>
      <c r="AR616" s="42"/>
      <c r="AS616" s="42"/>
      <c r="AT616" s="42"/>
      <c r="AU616" s="42"/>
      <c r="AV616" s="42"/>
      <c r="AW616" s="42"/>
      <c r="AX616" s="42"/>
      <c r="AY616" s="42"/>
      <c r="AZ616" s="42"/>
      <c r="BA616" s="42"/>
      <c r="BB616" s="42"/>
    </row>
    <row r="617" spans="1:54" x14ac:dyDescent="0.25">
      <c r="A617" s="42"/>
      <c r="B617" s="43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  <c r="AA617" s="42"/>
      <c r="AB617" s="42"/>
      <c r="AC617" s="42"/>
      <c r="AD617" s="42"/>
      <c r="AE617" s="42"/>
      <c r="AF617" s="42"/>
      <c r="AG617" s="42"/>
      <c r="AH617" s="42"/>
      <c r="AI617" s="42"/>
      <c r="AJ617" s="42"/>
      <c r="AK617" s="42"/>
      <c r="AL617" s="42"/>
      <c r="AM617" s="42"/>
      <c r="AN617" s="42"/>
      <c r="AO617" s="42"/>
      <c r="AP617" s="42"/>
      <c r="AQ617" s="42"/>
      <c r="AR617" s="42"/>
      <c r="AS617" s="42"/>
      <c r="AT617" s="42"/>
      <c r="AU617" s="42"/>
      <c r="AV617" s="42"/>
      <c r="AW617" s="42"/>
      <c r="AX617" s="42"/>
      <c r="AY617" s="42"/>
      <c r="AZ617" s="42"/>
      <c r="BA617" s="42"/>
      <c r="BB617" s="42"/>
    </row>
    <row r="618" spans="1:54" x14ac:dyDescent="0.25">
      <c r="A618" s="42"/>
      <c r="B618" s="43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  <c r="AA618" s="42"/>
      <c r="AB618" s="42"/>
      <c r="AC618" s="42"/>
      <c r="AD618" s="42"/>
      <c r="AE618" s="42"/>
      <c r="AF618" s="42"/>
      <c r="AG618" s="42"/>
      <c r="AH618" s="42"/>
      <c r="AI618" s="42"/>
      <c r="AJ618" s="42"/>
      <c r="AK618" s="42"/>
      <c r="AL618" s="42"/>
      <c r="AM618" s="42"/>
      <c r="AN618" s="42"/>
      <c r="AO618" s="42"/>
      <c r="AP618" s="42"/>
      <c r="AQ618" s="42"/>
      <c r="AR618" s="42"/>
      <c r="AS618" s="42"/>
      <c r="AT618" s="42"/>
      <c r="AU618" s="42"/>
      <c r="AV618" s="42"/>
      <c r="AW618" s="42"/>
      <c r="AX618" s="42"/>
      <c r="AY618" s="42"/>
      <c r="AZ618" s="42"/>
      <c r="BA618" s="42"/>
      <c r="BB618" s="42"/>
    </row>
    <row r="619" spans="1:54" x14ac:dyDescent="0.25">
      <c r="A619" s="42"/>
      <c r="B619" s="43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  <c r="AA619" s="42"/>
      <c r="AB619" s="42"/>
      <c r="AC619" s="42"/>
      <c r="AD619" s="42"/>
      <c r="AE619" s="42"/>
      <c r="AF619" s="42"/>
      <c r="AG619" s="42"/>
      <c r="AH619" s="42"/>
      <c r="AI619" s="42"/>
      <c r="AJ619" s="42"/>
      <c r="AK619" s="42"/>
      <c r="AL619" s="42"/>
      <c r="AM619" s="42"/>
      <c r="AN619" s="42"/>
      <c r="AO619" s="42"/>
      <c r="AP619" s="42"/>
      <c r="AQ619" s="42"/>
      <c r="AR619" s="42"/>
      <c r="AS619" s="42"/>
      <c r="AT619" s="42"/>
      <c r="AU619" s="42"/>
      <c r="AV619" s="42"/>
      <c r="AW619" s="42"/>
      <c r="AX619" s="42"/>
      <c r="AY619" s="42"/>
      <c r="AZ619" s="42"/>
      <c r="BA619" s="42"/>
      <c r="BB619" s="42"/>
    </row>
    <row r="620" spans="1:54" x14ac:dyDescent="0.25">
      <c r="A620" s="42"/>
      <c r="B620" s="43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  <c r="AA620" s="42"/>
      <c r="AB620" s="42"/>
      <c r="AC620" s="42"/>
      <c r="AD620" s="42"/>
      <c r="AE620" s="42"/>
      <c r="AF620" s="42"/>
      <c r="AG620" s="42"/>
      <c r="AH620" s="42"/>
      <c r="AI620" s="42"/>
      <c r="AJ620" s="42"/>
      <c r="AK620" s="42"/>
      <c r="AL620" s="42"/>
      <c r="AM620" s="42"/>
      <c r="AN620" s="42"/>
      <c r="AO620" s="42"/>
      <c r="AP620" s="42"/>
      <c r="AQ620" s="42"/>
      <c r="AR620" s="42"/>
      <c r="AS620" s="42"/>
      <c r="AT620" s="42"/>
      <c r="AU620" s="42"/>
      <c r="AV620" s="42"/>
      <c r="AW620" s="42"/>
      <c r="AX620" s="42"/>
      <c r="AY620" s="42"/>
      <c r="AZ620" s="42"/>
      <c r="BA620" s="42"/>
      <c r="BB620" s="42"/>
    </row>
    <row r="621" spans="1:54" x14ac:dyDescent="0.25">
      <c r="A621" s="42"/>
      <c r="B621" s="43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  <c r="AA621" s="42"/>
      <c r="AB621" s="42"/>
      <c r="AC621" s="42"/>
      <c r="AD621" s="42"/>
      <c r="AE621" s="42"/>
      <c r="AF621" s="42"/>
      <c r="AG621" s="42"/>
      <c r="AH621" s="42"/>
      <c r="AI621" s="42"/>
      <c r="AJ621" s="42"/>
      <c r="AK621" s="42"/>
      <c r="AL621" s="42"/>
      <c r="AM621" s="42"/>
      <c r="AN621" s="42"/>
      <c r="AO621" s="42"/>
      <c r="AP621" s="42"/>
      <c r="AQ621" s="42"/>
      <c r="AR621" s="42"/>
      <c r="AS621" s="42"/>
      <c r="AT621" s="42"/>
      <c r="AU621" s="42"/>
      <c r="AV621" s="42"/>
      <c r="AW621" s="42"/>
      <c r="AX621" s="42"/>
      <c r="AY621" s="42"/>
      <c r="AZ621" s="42"/>
      <c r="BA621" s="42"/>
      <c r="BB621" s="42"/>
    </row>
    <row r="622" spans="1:54" x14ac:dyDescent="0.25">
      <c r="A622" s="42"/>
      <c r="B622" s="43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  <c r="AA622" s="42"/>
      <c r="AB622" s="42"/>
      <c r="AC622" s="42"/>
      <c r="AD622" s="42"/>
      <c r="AE622" s="42"/>
      <c r="AF622" s="42"/>
      <c r="AG622" s="42"/>
      <c r="AH622" s="42"/>
      <c r="AI622" s="42"/>
      <c r="AJ622" s="42"/>
      <c r="AK622" s="42"/>
      <c r="AL622" s="42"/>
      <c r="AM622" s="42"/>
      <c r="AN622" s="42"/>
      <c r="AO622" s="42"/>
      <c r="AP622" s="42"/>
      <c r="AQ622" s="42"/>
      <c r="AR622" s="42"/>
      <c r="AS622" s="42"/>
      <c r="AT622" s="42"/>
      <c r="AU622" s="42"/>
      <c r="AV622" s="42"/>
      <c r="AW622" s="42"/>
      <c r="AX622" s="42"/>
      <c r="AY622" s="42"/>
      <c r="AZ622" s="42"/>
      <c r="BA622" s="42"/>
      <c r="BB622" s="42"/>
    </row>
    <row r="623" spans="1:54" x14ac:dyDescent="0.25">
      <c r="A623" s="42"/>
      <c r="B623" s="43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  <c r="AA623" s="42"/>
      <c r="AB623" s="42"/>
      <c r="AC623" s="42"/>
      <c r="AD623" s="42"/>
      <c r="AE623" s="42"/>
      <c r="AF623" s="42"/>
      <c r="AG623" s="42"/>
      <c r="AH623" s="42"/>
      <c r="AI623" s="42"/>
      <c r="AJ623" s="42"/>
      <c r="AK623" s="42"/>
      <c r="AL623" s="42"/>
      <c r="AM623" s="42"/>
      <c r="AN623" s="42"/>
      <c r="AO623" s="42"/>
      <c r="AP623" s="42"/>
      <c r="AQ623" s="42"/>
      <c r="AR623" s="42"/>
      <c r="AS623" s="42"/>
      <c r="AT623" s="42"/>
      <c r="AU623" s="42"/>
      <c r="AV623" s="42"/>
      <c r="AW623" s="42"/>
      <c r="AX623" s="42"/>
      <c r="AY623" s="42"/>
      <c r="AZ623" s="42"/>
      <c r="BA623" s="42"/>
      <c r="BB623" s="42"/>
    </row>
    <row r="624" spans="1:54" x14ac:dyDescent="0.25">
      <c r="A624" s="42"/>
      <c r="B624" s="43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  <c r="AA624" s="42"/>
      <c r="AB624" s="42"/>
      <c r="AC624" s="42"/>
      <c r="AD624" s="42"/>
      <c r="AE624" s="42"/>
      <c r="AF624" s="42"/>
      <c r="AG624" s="42"/>
      <c r="AH624" s="42"/>
      <c r="AI624" s="42"/>
      <c r="AJ624" s="42"/>
      <c r="AK624" s="42"/>
      <c r="AL624" s="42"/>
      <c r="AM624" s="42"/>
      <c r="AN624" s="42"/>
      <c r="AO624" s="42"/>
      <c r="AP624" s="42"/>
      <c r="AQ624" s="42"/>
      <c r="AR624" s="42"/>
      <c r="AS624" s="42"/>
      <c r="AT624" s="42"/>
      <c r="AU624" s="42"/>
      <c r="AV624" s="42"/>
      <c r="AW624" s="42"/>
      <c r="AX624" s="42"/>
      <c r="AY624" s="42"/>
      <c r="AZ624" s="42"/>
      <c r="BA624" s="42"/>
      <c r="BB624" s="42"/>
    </row>
    <row r="625" spans="1:54" x14ac:dyDescent="0.25">
      <c r="A625" s="42"/>
      <c r="B625" s="43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  <c r="AA625" s="42"/>
      <c r="AB625" s="42"/>
      <c r="AC625" s="42"/>
      <c r="AD625" s="42"/>
      <c r="AE625" s="42"/>
      <c r="AF625" s="42"/>
      <c r="AG625" s="42"/>
      <c r="AH625" s="42"/>
      <c r="AI625" s="42"/>
      <c r="AJ625" s="42"/>
      <c r="AK625" s="42"/>
      <c r="AL625" s="42"/>
      <c r="AM625" s="42"/>
      <c r="AN625" s="42"/>
      <c r="AO625" s="42"/>
      <c r="AP625" s="42"/>
      <c r="AQ625" s="42"/>
      <c r="AR625" s="42"/>
      <c r="AS625" s="42"/>
      <c r="AT625" s="42"/>
      <c r="AU625" s="42"/>
      <c r="AV625" s="42"/>
      <c r="AW625" s="42"/>
      <c r="AX625" s="42"/>
      <c r="AY625" s="42"/>
      <c r="AZ625" s="42"/>
      <c r="BA625" s="42"/>
      <c r="BB625" s="42"/>
    </row>
    <row r="626" spans="1:54" x14ac:dyDescent="0.25">
      <c r="A626" s="42"/>
      <c r="B626" s="43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  <c r="AA626" s="42"/>
      <c r="AB626" s="42"/>
      <c r="AC626" s="42"/>
      <c r="AD626" s="42"/>
      <c r="AE626" s="42"/>
      <c r="AF626" s="42"/>
      <c r="AG626" s="42"/>
      <c r="AH626" s="42"/>
      <c r="AI626" s="42"/>
      <c r="AJ626" s="42"/>
      <c r="AK626" s="42"/>
      <c r="AL626" s="42"/>
      <c r="AM626" s="42"/>
      <c r="AN626" s="42"/>
      <c r="AO626" s="42"/>
      <c r="AP626" s="42"/>
      <c r="AQ626" s="42"/>
      <c r="AR626" s="42"/>
      <c r="AS626" s="42"/>
      <c r="AT626" s="42"/>
      <c r="AU626" s="42"/>
      <c r="AV626" s="42"/>
      <c r="AW626" s="42"/>
      <c r="AX626" s="42"/>
      <c r="AY626" s="42"/>
      <c r="AZ626" s="42"/>
      <c r="BA626" s="42"/>
      <c r="BB626" s="42"/>
    </row>
    <row r="627" spans="1:54" x14ac:dyDescent="0.25">
      <c r="A627" s="42"/>
      <c r="B627" s="43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  <c r="AA627" s="42"/>
      <c r="AB627" s="42"/>
      <c r="AC627" s="42"/>
      <c r="AD627" s="42"/>
      <c r="AE627" s="42"/>
      <c r="AF627" s="42"/>
      <c r="AG627" s="42"/>
      <c r="AH627" s="42"/>
      <c r="AI627" s="42"/>
      <c r="AJ627" s="42"/>
      <c r="AK627" s="42"/>
      <c r="AL627" s="42"/>
      <c r="AM627" s="42"/>
      <c r="AN627" s="42"/>
      <c r="AO627" s="42"/>
      <c r="AP627" s="42"/>
      <c r="AQ627" s="42"/>
      <c r="AR627" s="42"/>
      <c r="AS627" s="42"/>
      <c r="AT627" s="42"/>
      <c r="AU627" s="42"/>
      <c r="AV627" s="42"/>
      <c r="AW627" s="42"/>
      <c r="AX627" s="42"/>
      <c r="AY627" s="42"/>
      <c r="AZ627" s="42"/>
      <c r="BA627" s="42"/>
      <c r="BB627" s="42"/>
    </row>
    <row r="628" spans="1:54" x14ac:dyDescent="0.25">
      <c r="A628" s="42"/>
      <c r="B628" s="43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  <c r="AA628" s="42"/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/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/>
      <c r="BB628" s="42"/>
    </row>
    <row r="629" spans="1:54" x14ac:dyDescent="0.25">
      <c r="A629" s="42"/>
      <c r="B629" s="43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  <c r="AA629" s="42"/>
      <c r="AB629" s="42"/>
      <c r="AC629" s="42"/>
      <c r="AD629" s="42"/>
      <c r="AE629" s="42"/>
      <c r="AF629" s="42"/>
      <c r="AG629" s="42"/>
      <c r="AH629" s="42"/>
      <c r="AI629" s="42"/>
      <c r="AJ629" s="42"/>
      <c r="AK629" s="42"/>
      <c r="AL629" s="42"/>
      <c r="AM629" s="42"/>
      <c r="AN629" s="42"/>
      <c r="AO629" s="42"/>
      <c r="AP629" s="42"/>
      <c r="AQ629" s="42"/>
      <c r="AR629" s="42"/>
      <c r="AS629" s="42"/>
      <c r="AT629" s="42"/>
      <c r="AU629" s="42"/>
      <c r="AV629" s="42"/>
      <c r="AW629" s="42"/>
      <c r="AX629" s="42"/>
      <c r="AY629" s="42"/>
      <c r="AZ629" s="42"/>
      <c r="BA629" s="42"/>
      <c r="BB629" s="42"/>
    </row>
    <row r="630" spans="1:54" x14ac:dyDescent="0.25">
      <c r="A630" s="42"/>
      <c r="B630" s="43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  <c r="AA630" s="42"/>
      <c r="AB630" s="42"/>
      <c r="AC630" s="42"/>
      <c r="AD630" s="42"/>
      <c r="AE630" s="42"/>
      <c r="AF630" s="42"/>
      <c r="AG630" s="42"/>
      <c r="AH630" s="42"/>
      <c r="AI630" s="42"/>
      <c r="AJ630" s="42"/>
      <c r="AK630" s="42"/>
      <c r="AL630" s="42"/>
      <c r="AM630" s="42"/>
      <c r="AN630" s="42"/>
      <c r="AO630" s="42"/>
      <c r="AP630" s="42"/>
      <c r="AQ630" s="42"/>
      <c r="AR630" s="42"/>
      <c r="AS630" s="42"/>
      <c r="AT630" s="42"/>
      <c r="AU630" s="42"/>
      <c r="AV630" s="42"/>
      <c r="AW630" s="42"/>
      <c r="AX630" s="42"/>
      <c r="AY630" s="42"/>
      <c r="AZ630" s="42"/>
      <c r="BA630" s="42"/>
      <c r="BB630" s="42"/>
    </row>
    <row r="631" spans="1:54" x14ac:dyDescent="0.25">
      <c r="A631" s="42"/>
      <c r="B631" s="43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  <c r="AA631" s="42"/>
      <c r="AB631" s="42"/>
      <c r="AC631" s="42"/>
      <c r="AD631" s="42"/>
      <c r="AE631" s="42"/>
      <c r="AF631" s="42"/>
      <c r="AG631" s="42"/>
      <c r="AH631" s="42"/>
      <c r="AI631" s="42"/>
      <c r="AJ631" s="42"/>
      <c r="AK631" s="42"/>
      <c r="AL631" s="42"/>
      <c r="AM631" s="42"/>
      <c r="AN631" s="42"/>
      <c r="AO631" s="42"/>
      <c r="AP631" s="42"/>
      <c r="AQ631" s="42"/>
      <c r="AR631" s="42"/>
      <c r="AS631" s="42"/>
      <c r="AT631" s="42"/>
      <c r="AU631" s="42"/>
      <c r="AV631" s="42"/>
      <c r="AW631" s="42"/>
      <c r="AX631" s="42"/>
      <c r="AY631" s="42"/>
      <c r="AZ631" s="42"/>
      <c r="BA631" s="42"/>
      <c r="BB631" s="42"/>
    </row>
    <row r="632" spans="1:54" x14ac:dyDescent="0.25">
      <c r="A632" s="42"/>
      <c r="B632" s="43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  <c r="AA632" s="42"/>
      <c r="AB632" s="42"/>
      <c r="AC632" s="42"/>
      <c r="AD632" s="42"/>
      <c r="AE632" s="42"/>
      <c r="AF632" s="42"/>
      <c r="AG632" s="42"/>
      <c r="AH632" s="42"/>
      <c r="AI632" s="42"/>
      <c r="AJ632" s="42"/>
      <c r="AK632" s="42"/>
      <c r="AL632" s="42"/>
      <c r="AM632" s="42"/>
      <c r="AN632" s="42"/>
      <c r="AO632" s="42"/>
      <c r="AP632" s="42"/>
      <c r="AQ632" s="42"/>
      <c r="AR632" s="42"/>
      <c r="AS632" s="42"/>
      <c r="AT632" s="42"/>
      <c r="AU632" s="42"/>
      <c r="AV632" s="42"/>
      <c r="AW632" s="42"/>
      <c r="AX632" s="42"/>
      <c r="AY632" s="42"/>
      <c r="AZ632" s="42"/>
      <c r="BA632" s="42"/>
      <c r="BB632" s="42"/>
    </row>
    <row r="633" spans="1:54" x14ac:dyDescent="0.25">
      <c r="A633" s="42"/>
      <c r="B633" s="43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2"/>
      <c r="AM633" s="42"/>
      <c r="AN633" s="42"/>
      <c r="AO633" s="42"/>
      <c r="AP633" s="42"/>
      <c r="AQ633" s="42"/>
      <c r="AR633" s="42"/>
      <c r="AS633" s="42"/>
      <c r="AT633" s="42"/>
      <c r="AU633" s="42"/>
      <c r="AV633" s="42"/>
      <c r="AW633" s="42"/>
      <c r="AX633" s="42"/>
      <c r="AY633" s="42"/>
      <c r="AZ633" s="42"/>
      <c r="BA633" s="42"/>
      <c r="BB633" s="42"/>
    </row>
    <row r="634" spans="1:54" x14ac:dyDescent="0.25">
      <c r="A634" s="42"/>
      <c r="B634" s="43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  <c r="AA634" s="42"/>
      <c r="AB634" s="42"/>
      <c r="AC634" s="42"/>
      <c r="AD634" s="42"/>
      <c r="AE634" s="42"/>
      <c r="AF634" s="42"/>
      <c r="AG634" s="42"/>
      <c r="AH634" s="42"/>
      <c r="AI634" s="42"/>
      <c r="AJ634" s="42"/>
      <c r="AK634" s="42"/>
      <c r="AL634" s="42"/>
      <c r="AM634" s="42"/>
      <c r="AN634" s="42"/>
      <c r="AO634" s="42"/>
      <c r="AP634" s="42"/>
      <c r="AQ634" s="42"/>
      <c r="AR634" s="42"/>
      <c r="AS634" s="42"/>
      <c r="AT634" s="42"/>
      <c r="AU634" s="42"/>
      <c r="AV634" s="42"/>
      <c r="AW634" s="42"/>
      <c r="AX634" s="42"/>
      <c r="AY634" s="42"/>
      <c r="AZ634" s="42"/>
      <c r="BA634" s="42"/>
      <c r="BB634" s="42"/>
    </row>
    <row r="635" spans="1:54" x14ac:dyDescent="0.25">
      <c r="A635" s="42"/>
      <c r="B635" s="43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  <c r="AA635" s="42"/>
      <c r="AB635" s="42"/>
      <c r="AC635" s="42"/>
      <c r="AD635" s="42"/>
      <c r="AE635" s="42"/>
      <c r="AF635" s="42"/>
      <c r="AG635" s="42"/>
      <c r="AH635" s="42"/>
      <c r="AI635" s="42"/>
      <c r="AJ635" s="42"/>
      <c r="AK635" s="42"/>
      <c r="AL635" s="42"/>
      <c r="AM635" s="42"/>
      <c r="AN635" s="42"/>
      <c r="AO635" s="42"/>
      <c r="AP635" s="42"/>
      <c r="AQ635" s="42"/>
      <c r="AR635" s="42"/>
      <c r="AS635" s="42"/>
      <c r="AT635" s="42"/>
      <c r="AU635" s="42"/>
      <c r="AV635" s="42"/>
      <c r="AW635" s="42"/>
      <c r="AX635" s="42"/>
      <c r="AY635" s="42"/>
      <c r="AZ635" s="42"/>
      <c r="BA635" s="42"/>
      <c r="BB635" s="42"/>
    </row>
    <row r="636" spans="1:54" x14ac:dyDescent="0.25">
      <c r="A636" s="42"/>
      <c r="B636" s="43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2"/>
      <c r="AM636" s="42"/>
      <c r="AN636" s="42"/>
      <c r="AO636" s="42"/>
      <c r="AP636" s="42"/>
      <c r="AQ636" s="42"/>
      <c r="AR636" s="42"/>
      <c r="AS636" s="42"/>
      <c r="AT636" s="42"/>
      <c r="AU636" s="42"/>
      <c r="AV636" s="42"/>
      <c r="AW636" s="42"/>
      <c r="AX636" s="42"/>
      <c r="AY636" s="42"/>
      <c r="AZ636" s="42"/>
      <c r="BA636" s="42"/>
      <c r="BB636" s="42"/>
    </row>
    <row r="637" spans="1:54" x14ac:dyDescent="0.25">
      <c r="A637" s="42"/>
      <c r="B637" s="43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  <c r="AA637" s="42"/>
      <c r="AB637" s="42"/>
      <c r="AC637" s="42"/>
      <c r="AD637" s="42"/>
      <c r="AE637" s="42"/>
      <c r="AF637" s="42"/>
      <c r="AG637" s="42"/>
      <c r="AH637" s="42"/>
      <c r="AI637" s="42"/>
      <c r="AJ637" s="42"/>
      <c r="AK637" s="42"/>
      <c r="AL637" s="42"/>
      <c r="AM637" s="42"/>
      <c r="AN637" s="42"/>
      <c r="AO637" s="42"/>
      <c r="AP637" s="42"/>
      <c r="AQ637" s="42"/>
      <c r="AR637" s="42"/>
      <c r="AS637" s="42"/>
      <c r="AT637" s="42"/>
      <c r="AU637" s="42"/>
      <c r="AV637" s="42"/>
      <c r="AW637" s="42"/>
      <c r="AX637" s="42"/>
      <c r="AY637" s="42"/>
      <c r="AZ637" s="42"/>
      <c r="BA637" s="42"/>
      <c r="BB637" s="42"/>
    </row>
    <row r="638" spans="1:54" x14ac:dyDescent="0.25">
      <c r="A638" s="42"/>
      <c r="B638" s="43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  <c r="AA638" s="42"/>
      <c r="AB638" s="42"/>
      <c r="AC638" s="42"/>
      <c r="AD638" s="42"/>
      <c r="AE638" s="42"/>
      <c r="AF638" s="42"/>
      <c r="AG638" s="42"/>
      <c r="AH638" s="42"/>
      <c r="AI638" s="42"/>
      <c r="AJ638" s="42"/>
      <c r="AK638" s="42"/>
      <c r="AL638" s="42"/>
      <c r="AM638" s="42"/>
      <c r="AN638" s="42"/>
      <c r="AO638" s="42"/>
      <c r="AP638" s="42"/>
      <c r="AQ638" s="42"/>
      <c r="AR638" s="42"/>
      <c r="AS638" s="42"/>
      <c r="AT638" s="42"/>
      <c r="AU638" s="42"/>
      <c r="AV638" s="42"/>
      <c r="AW638" s="42"/>
      <c r="AX638" s="42"/>
      <c r="AY638" s="42"/>
      <c r="AZ638" s="42"/>
      <c r="BA638" s="42"/>
      <c r="BB638" s="42"/>
    </row>
    <row r="639" spans="1:54" x14ac:dyDescent="0.25">
      <c r="A639" s="42"/>
      <c r="B639" s="43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  <c r="AA639" s="42"/>
      <c r="AB639" s="42"/>
      <c r="AC639" s="42"/>
      <c r="AD639" s="42"/>
      <c r="AE639" s="42"/>
      <c r="AF639" s="42"/>
      <c r="AG639" s="42"/>
      <c r="AH639" s="42"/>
      <c r="AI639" s="42"/>
      <c r="AJ639" s="42"/>
      <c r="AK639" s="42"/>
      <c r="AL639" s="42"/>
      <c r="AM639" s="42"/>
      <c r="AN639" s="42"/>
      <c r="AO639" s="42"/>
      <c r="AP639" s="42"/>
      <c r="AQ639" s="42"/>
      <c r="AR639" s="42"/>
      <c r="AS639" s="42"/>
      <c r="AT639" s="42"/>
      <c r="AU639" s="42"/>
      <c r="AV639" s="42"/>
      <c r="AW639" s="42"/>
      <c r="AX639" s="42"/>
      <c r="AY639" s="42"/>
      <c r="AZ639" s="42"/>
      <c r="BA639" s="42"/>
      <c r="BB639" s="42"/>
    </row>
    <row r="640" spans="1:54" x14ac:dyDescent="0.25">
      <c r="A640" s="42"/>
      <c r="B640" s="43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  <c r="AA640" s="42"/>
      <c r="AB640" s="42"/>
      <c r="AC640" s="42"/>
      <c r="AD640" s="42"/>
      <c r="AE640" s="42"/>
      <c r="AF640" s="42"/>
      <c r="AG640" s="42"/>
      <c r="AH640" s="42"/>
      <c r="AI640" s="42"/>
      <c r="AJ640" s="42"/>
      <c r="AK640" s="42"/>
      <c r="AL640" s="42"/>
      <c r="AM640" s="42"/>
      <c r="AN640" s="42"/>
      <c r="AO640" s="42"/>
      <c r="AP640" s="42"/>
      <c r="AQ640" s="42"/>
      <c r="AR640" s="42"/>
      <c r="AS640" s="42"/>
      <c r="AT640" s="42"/>
      <c r="AU640" s="42"/>
      <c r="AV640" s="42"/>
      <c r="AW640" s="42"/>
      <c r="AX640" s="42"/>
      <c r="AY640" s="42"/>
      <c r="AZ640" s="42"/>
      <c r="BA640" s="42"/>
      <c r="BB640" s="42"/>
    </row>
    <row r="641" spans="1:54" x14ac:dyDescent="0.25">
      <c r="A641" s="42"/>
      <c r="B641" s="43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  <c r="AA641" s="42"/>
      <c r="AB641" s="42"/>
      <c r="AC641" s="42"/>
      <c r="AD641" s="42"/>
      <c r="AE641" s="42"/>
      <c r="AF641" s="42"/>
      <c r="AG641" s="42"/>
      <c r="AH641" s="42"/>
      <c r="AI641" s="42"/>
      <c r="AJ641" s="42"/>
      <c r="AK641" s="42"/>
      <c r="AL641" s="42"/>
      <c r="AM641" s="42"/>
      <c r="AN641" s="42"/>
      <c r="AO641" s="42"/>
      <c r="AP641" s="42"/>
      <c r="AQ641" s="42"/>
      <c r="AR641" s="42"/>
      <c r="AS641" s="42"/>
      <c r="AT641" s="42"/>
      <c r="AU641" s="42"/>
      <c r="AV641" s="42"/>
      <c r="AW641" s="42"/>
      <c r="AX641" s="42"/>
      <c r="AY641" s="42"/>
      <c r="AZ641" s="42"/>
      <c r="BA641" s="42"/>
      <c r="BB641" s="42"/>
    </row>
    <row r="642" spans="1:54" x14ac:dyDescent="0.25">
      <c r="A642" s="42"/>
      <c r="B642" s="43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  <c r="AA642" s="42"/>
      <c r="AB642" s="42"/>
      <c r="AC642" s="42"/>
      <c r="AD642" s="42"/>
      <c r="AE642" s="42"/>
      <c r="AF642" s="42"/>
      <c r="AG642" s="42"/>
      <c r="AH642" s="42"/>
      <c r="AI642" s="42"/>
      <c r="AJ642" s="42"/>
      <c r="AK642" s="42"/>
      <c r="AL642" s="42"/>
      <c r="AM642" s="42"/>
      <c r="AN642" s="42"/>
      <c r="AO642" s="42"/>
      <c r="AP642" s="42"/>
      <c r="AQ642" s="42"/>
      <c r="AR642" s="42"/>
      <c r="AS642" s="42"/>
      <c r="AT642" s="42"/>
      <c r="AU642" s="42"/>
      <c r="AV642" s="42"/>
      <c r="AW642" s="42"/>
      <c r="AX642" s="42"/>
      <c r="AY642" s="42"/>
      <c r="AZ642" s="42"/>
      <c r="BA642" s="42"/>
      <c r="BB642" s="42"/>
    </row>
    <row r="643" spans="1:54" x14ac:dyDescent="0.25">
      <c r="A643" s="42"/>
      <c r="B643" s="43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  <c r="AA643" s="42"/>
      <c r="AB643" s="42"/>
      <c r="AC643" s="42"/>
      <c r="AD643" s="42"/>
      <c r="AE643" s="42"/>
      <c r="AF643" s="42"/>
      <c r="AG643" s="42"/>
      <c r="AH643" s="42"/>
      <c r="AI643" s="42"/>
      <c r="AJ643" s="42"/>
      <c r="AK643" s="42"/>
      <c r="AL643" s="42"/>
      <c r="AM643" s="42"/>
      <c r="AN643" s="42"/>
      <c r="AO643" s="42"/>
      <c r="AP643" s="42"/>
      <c r="AQ643" s="42"/>
      <c r="AR643" s="42"/>
      <c r="AS643" s="42"/>
      <c r="AT643" s="42"/>
      <c r="AU643" s="42"/>
      <c r="AV643" s="42"/>
      <c r="AW643" s="42"/>
      <c r="AX643" s="42"/>
      <c r="AY643" s="42"/>
      <c r="AZ643" s="42"/>
      <c r="BA643" s="42"/>
      <c r="BB643" s="42"/>
    </row>
    <row r="644" spans="1:54" x14ac:dyDescent="0.25">
      <c r="A644" s="42"/>
      <c r="B644" s="43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  <c r="AA644" s="42"/>
      <c r="AB644" s="42"/>
      <c r="AC644" s="42"/>
      <c r="AD644" s="42"/>
      <c r="AE644" s="42"/>
      <c r="AF644" s="42"/>
      <c r="AG644" s="42"/>
      <c r="AH644" s="42"/>
      <c r="AI644" s="42"/>
      <c r="AJ644" s="42"/>
      <c r="AK644" s="42"/>
      <c r="AL644" s="42"/>
      <c r="AM644" s="42"/>
      <c r="AN644" s="42"/>
      <c r="AO644" s="42"/>
      <c r="AP644" s="42"/>
      <c r="AQ644" s="42"/>
      <c r="AR644" s="42"/>
      <c r="AS644" s="42"/>
      <c r="AT644" s="42"/>
      <c r="AU644" s="42"/>
      <c r="AV644" s="42"/>
      <c r="AW644" s="42"/>
      <c r="AX644" s="42"/>
      <c r="AY644" s="42"/>
      <c r="AZ644" s="42"/>
      <c r="BA644" s="42"/>
      <c r="BB644" s="42"/>
    </row>
    <row r="645" spans="1:54" x14ac:dyDescent="0.25">
      <c r="A645" s="42"/>
      <c r="B645" s="43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  <c r="AA645" s="42"/>
      <c r="AB645" s="42"/>
      <c r="AC645" s="42"/>
      <c r="AD645" s="42"/>
      <c r="AE645" s="42"/>
      <c r="AF645" s="42"/>
      <c r="AG645" s="42"/>
      <c r="AH645" s="42"/>
      <c r="AI645" s="42"/>
      <c r="AJ645" s="42"/>
      <c r="AK645" s="42"/>
      <c r="AL645" s="42"/>
      <c r="AM645" s="42"/>
      <c r="AN645" s="42"/>
      <c r="AO645" s="42"/>
      <c r="AP645" s="42"/>
      <c r="AQ645" s="42"/>
      <c r="AR645" s="42"/>
      <c r="AS645" s="42"/>
      <c r="AT645" s="42"/>
      <c r="AU645" s="42"/>
      <c r="AV645" s="42"/>
      <c r="AW645" s="42"/>
      <c r="AX645" s="42"/>
      <c r="AY645" s="42"/>
      <c r="AZ645" s="42"/>
      <c r="BA645" s="42"/>
      <c r="BB645" s="42"/>
    </row>
    <row r="646" spans="1:54" x14ac:dyDescent="0.25">
      <c r="A646" s="42"/>
      <c r="B646" s="43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  <c r="AA646" s="42"/>
      <c r="AB646" s="42"/>
      <c r="AC646" s="42"/>
      <c r="AD646" s="42"/>
      <c r="AE646" s="42"/>
      <c r="AF646" s="42"/>
      <c r="AG646" s="42"/>
      <c r="AH646" s="42"/>
      <c r="AI646" s="42"/>
      <c r="AJ646" s="42"/>
      <c r="AK646" s="42"/>
      <c r="AL646" s="42"/>
      <c r="AM646" s="42"/>
      <c r="AN646" s="42"/>
      <c r="AO646" s="42"/>
      <c r="AP646" s="42"/>
      <c r="AQ646" s="42"/>
      <c r="AR646" s="42"/>
      <c r="AS646" s="42"/>
      <c r="AT646" s="42"/>
      <c r="AU646" s="42"/>
      <c r="AV646" s="42"/>
      <c r="AW646" s="42"/>
      <c r="AX646" s="42"/>
      <c r="AY646" s="42"/>
      <c r="AZ646" s="42"/>
      <c r="BA646" s="42"/>
      <c r="BB646" s="42"/>
    </row>
    <row r="647" spans="1:54" x14ac:dyDescent="0.25">
      <c r="A647" s="42"/>
      <c r="B647" s="43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  <c r="AA647" s="42"/>
      <c r="AB647" s="42"/>
      <c r="AC647" s="42"/>
      <c r="AD647" s="42"/>
      <c r="AE647" s="42"/>
      <c r="AF647" s="42"/>
      <c r="AG647" s="42"/>
      <c r="AH647" s="42"/>
      <c r="AI647" s="42"/>
      <c r="AJ647" s="42"/>
      <c r="AK647" s="42"/>
      <c r="AL647" s="42"/>
      <c r="AM647" s="42"/>
      <c r="AN647" s="42"/>
      <c r="AO647" s="42"/>
      <c r="AP647" s="42"/>
      <c r="AQ647" s="42"/>
      <c r="AR647" s="42"/>
      <c r="AS647" s="42"/>
      <c r="AT647" s="42"/>
      <c r="AU647" s="42"/>
      <c r="AV647" s="42"/>
      <c r="AW647" s="42"/>
      <c r="AX647" s="42"/>
      <c r="AY647" s="42"/>
      <c r="AZ647" s="42"/>
      <c r="BA647" s="42"/>
      <c r="BB647" s="42"/>
    </row>
    <row r="648" spans="1:54" x14ac:dyDescent="0.25">
      <c r="A648" s="42"/>
      <c r="B648" s="43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  <c r="AA648" s="42"/>
      <c r="AB648" s="42"/>
      <c r="AC648" s="42"/>
      <c r="AD648" s="42"/>
      <c r="AE648" s="42"/>
      <c r="AF648" s="42"/>
      <c r="AG648" s="42"/>
      <c r="AH648" s="42"/>
      <c r="AI648" s="42"/>
      <c r="AJ648" s="42"/>
      <c r="AK648" s="42"/>
      <c r="AL648" s="42"/>
      <c r="AM648" s="42"/>
      <c r="AN648" s="42"/>
      <c r="AO648" s="42"/>
      <c r="AP648" s="42"/>
      <c r="AQ648" s="42"/>
      <c r="AR648" s="42"/>
      <c r="AS648" s="42"/>
      <c r="AT648" s="42"/>
      <c r="AU648" s="42"/>
      <c r="AV648" s="42"/>
      <c r="AW648" s="42"/>
      <c r="AX648" s="42"/>
      <c r="AY648" s="42"/>
      <c r="AZ648" s="42"/>
      <c r="BA648" s="42"/>
      <c r="BB648" s="42"/>
    </row>
    <row r="649" spans="1:54" x14ac:dyDescent="0.25">
      <c r="A649" s="42"/>
      <c r="B649" s="43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  <c r="AA649" s="42"/>
      <c r="AB649" s="42"/>
      <c r="AC649" s="42"/>
      <c r="AD649" s="42"/>
      <c r="AE649" s="42"/>
      <c r="AF649" s="42"/>
      <c r="AG649" s="42"/>
      <c r="AH649" s="42"/>
      <c r="AI649" s="42"/>
      <c r="AJ649" s="42"/>
      <c r="AK649" s="42"/>
      <c r="AL649" s="42"/>
      <c r="AM649" s="42"/>
      <c r="AN649" s="42"/>
      <c r="AO649" s="42"/>
      <c r="AP649" s="42"/>
      <c r="AQ649" s="42"/>
      <c r="AR649" s="42"/>
      <c r="AS649" s="42"/>
      <c r="AT649" s="42"/>
      <c r="AU649" s="42"/>
      <c r="AV649" s="42"/>
      <c r="AW649" s="42"/>
      <c r="AX649" s="42"/>
      <c r="AY649" s="42"/>
      <c r="AZ649" s="42"/>
      <c r="BA649" s="42"/>
      <c r="BB649" s="42"/>
    </row>
    <row r="650" spans="1:54" x14ac:dyDescent="0.25">
      <c r="A650" s="42"/>
      <c r="B650" s="43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  <c r="AA650" s="42"/>
      <c r="AB650" s="42"/>
      <c r="AC650" s="42"/>
      <c r="AD650" s="42"/>
      <c r="AE650" s="42"/>
      <c r="AF650" s="42"/>
      <c r="AG650" s="42"/>
      <c r="AH650" s="42"/>
      <c r="AI650" s="42"/>
      <c r="AJ650" s="42"/>
      <c r="AK650" s="42"/>
      <c r="AL650" s="42"/>
      <c r="AM650" s="42"/>
      <c r="AN650" s="42"/>
      <c r="AO650" s="42"/>
      <c r="AP650" s="42"/>
      <c r="AQ650" s="42"/>
      <c r="AR650" s="42"/>
      <c r="AS650" s="42"/>
      <c r="AT650" s="42"/>
      <c r="AU650" s="42"/>
      <c r="AV650" s="42"/>
      <c r="AW650" s="42"/>
      <c r="AX650" s="42"/>
      <c r="AY650" s="42"/>
      <c r="AZ650" s="42"/>
      <c r="BA650" s="42"/>
      <c r="BB650" s="42"/>
    </row>
    <row r="651" spans="1:54" x14ac:dyDescent="0.25">
      <c r="A651" s="42"/>
      <c r="B651" s="43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  <c r="AA651" s="42"/>
      <c r="AB651" s="42"/>
      <c r="AC651" s="42"/>
      <c r="AD651" s="42"/>
      <c r="AE651" s="42"/>
      <c r="AF651" s="42"/>
      <c r="AG651" s="42"/>
      <c r="AH651" s="42"/>
      <c r="AI651" s="42"/>
      <c r="AJ651" s="42"/>
      <c r="AK651" s="42"/>
      <c r="AL651" s="42"/>
      <c r="AM651" s="42"/>
      <c r="AN651" s="42"/>
      <c r="AO651" s="42"/>
      <c r="AP651" s="42"/>
      <c r="AQ651" s="42"/>
      <c r="AR651" s="42"/>
      <c r="AS651" s="42"/>
      <c r="AT651" s="42"/>
      <c r="AU651" s="42"/>
      <c r="AV651" s="42"/>
      <c r="AW651" s="42"/>
      <c r="AX651" s="42"/>
      <c r="AY651" s="42"/>
      <c r="AZ651" s="42"/>
      <c r="BA651" s="42"/>
      <c r="BB651" s="42"/>
    </row>
    <row r="652" spans="1:54" x14ac:dyDescent="0.25">
      <c r="A652" s="42"/>
      <c r="B652" s="43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  <c r="AA652" s="42"/>
      <c r="AB652" s="42"/>
      <c r="AC652" s="42"/>
      <c r="AD652" s="42"/>
      <c r="AE652" s="42"/>
      <c r="AF652" s="42"/>
      <c r="AG652" s="42"/>
      <c r="AH652" s="42"/>
      <c r="AI652" s="42"/>
      <c r="AJ652" s="42"/>
      <c r="AK652" s="42"/>
      <c r="AL652" s="42"/>
      <c r="AM652" s="42"/>
      <c r="AN652" s="42"/>
      <c r="AO652" s="42"/>
      <c r="AP652" s="42"/>
      <c r="AQ652" s="42"/>
      <c r="AR652" s="42"/>
      <c r="AS652" s="42"/>
      <c r="AT652" s="42"/>
      <c r="AU652" s="42"/>
      <c r="AV652" s="42"/>
      <c r="AW652" s="42"/>
      <c r="AX652" s="42"/>
      <c r="AY652" s="42"/>
      <c r="AZ652" s="42"/>
      <c r="BA652" s="42"/>
      <c r="BB652" s="42"/>
    </row>
    <row r="653" spans="1:54" x14ac:dyDescent="0.25">
      <c r="A653" s="42"/>
      <c r="B653" s="43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  <c r="AA653" s="42"/>
      <c r="AB653" s="42"/>
      <c r="AC653" s="42"/>
      <c r="AD653" s="42"/>
      <c r="AE653" s="42"/>
      <c r="AF653" s="42"/>
      <c r="AG653" s="42"/>
      <c r="AH653" s="42"/>
      <c r="AI653" s="42"/>
      <c r="AJ653" s="42"/>
      <c r="AK653" s="42"/>
      <c r="AL653" s="42"/>
      <c r="AM653" s="42"/>
      <c r="AN653" s="42"/>
      <c r="AO653" s="42"/>
      <c r="AP653" s="42"/>
      <c r="AQ653" s="42"/>
      <c r="AR653" s="42"/>
      <c r="AS653" s="42"/>
      <c r="AT653" s="42"/>
      <c r="AU653" s="42"/>
      <c r="AV653" s="42"/>
      <c r="AW653" s="42"/>
      <c r="AX653" s="42"/>
      <c r="AY653" s="42"/>
      <c r="AZ653" s="42"/>
      <c r="BA653" s="42"/>
      <c r="BB653" s="42"/>
    </row>
    <row r="654" spans="1:54" x14ac:dyDescent="0.25">
      <c r="A654" s="42"/>
      <c r="B654" s="43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  <c r="AA654" s="42"/>
      <c r="AB654" s="42"/>
      <c r="AC654" s="42"/>
      <c r="AD654" s="42"/>
      <c r="AE654" s="42"/>
      <c r="AF654" s="42"/>
      <c r="AG654" s="42"/>
      <c r="AH654" s="42"/>
      <c r="AI654" s="42"/>
      <c r="AJ654" s="42"/>
      <c r="AK654" s="42"/>
      <c r="AL654" s="42"/>
      <c r="AM654" s="42"/>
      <c r="AN654" s="42"/>
      <c r="AO654" s="42"/>
      <c r="AP654" s="42"/>
      <c r="AQ654" s="42"/>
      <c r="AR654" s="42"/>
      <c r="AS654" s="42"/>
      <c r="AT654" s="42"/>
      <c r="AU654" s="42"/>
      <c r="AV654" s="42"/>
      <c r="AW654" s="42"/>
      <c r="AX654" s="42"/>
      <c r="AY654" s="42"/>
      <c r="AZ654" s="42"/>
      <c r="BA654" s="42"/>
      <c r="BB654" s="42"/>
    </row>
    <row r="655" spans="1:54" x14ac:dyDescent="0.25">
      <c r="A655" s="42"/>
      <c r="B655" s="43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  <c r="AA655" s="42"/>
      <c r="AB655" s="42"/>
      <c r="AC655" s="42"/>
      <c r="AD655" s="42"/>
      <c r="AE655" s="42"/>
      <c r="AF655" s="42"/>
      <c r="AG655" s="42"/>
      <c r="AH655" s="42"/>
      <c r="AI655" s="42"/>
      <c r="AJ655" s="42"/>
      <c r="AK655" s="42"/>
      <c r="AL655" s="42"/>
      <c r="AM655" s="42"/>
      <c r="AN655" s="42"/>
      <c r="AO655" s="42"/>
      <c r="AP655" s="42"/>
      <c r="AQ655" s="42"/>
      <c r="AR655" s="42"/>
      <c r="AS655" s="42"/>
      <c r="AT655" s="42"/>
      <c r="AU655" s="42"/>
      <c r="AV655" s="42"/>
      <c r="AW655" s="42"/>
      <c r="AX655" s="42"/>
      <c r="AY655" s="42"/>
      <c r="AZ655" s="42"/>
      <c r="BA655" s="42"/>
      <c r="BB655" s="42"/>
    </row>
    <row r="656" spans="1:54" x14ac:dyDescent="0.25">
      <c r="A656" s="42"/>
      <c r="B656" s="43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  <c r="AA656" s="42"/>
      <c r="AB656" s="42"/>
      <c r="AC656" s="42"/>
      <c r="AD656" s="42"/>
      <c r="AE656" s="42"/>
      <c r="AF656" s="42"/>
      <c r="AG656" s="42"/>
      <c r="AH656" s="42"/>
      <c r="AI656" s="42"/>
      <c r="AJ656" s="42"/>
      <c r="AK656" s="42"/>
      <c r="AL656" s="42"/>
      <c r="AM656" s="42"/>
      <c r="AN656" s="42"/>
      <c r="AO656" s="42"/>
      <c r="AP656" s="42"/>
      <c r="AQ656" s="42"/>
      <c r="AR656" s="42"/>
      <c r="AS656" s="42"/>
      <c r="AT656" s="42"/>
      <c r="AU656" s="42"/>
      <c r="AV656" s="42"/>
      <c r="AW656" s="42"/>
      <c r="AX656" s="42"/>
      <c r="AY656" s="42"/>
      <c r="AZ656" s="42"/>
      <c r="BA656" s="42"/>
      <c r="BB656" s="42"/>
    </row>
    <row r="657" spans="1:54" x14ac:dyDescent="0.25">
      <c r="A657" s="42"/>
      <c r="B657" s="43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  <c r="AA657" s="42"/>
      <c r="AB657" s="42"/>
      <c r="AC657" s="42"/>
      <c r="AD657" s="42"/>
      <c r="AE657" s="42"/>
      <c r="AF657" s="42"/>
      <c r="AG657" s="42"/>
      <c r="AH657" s="42"/>
      <c r="AI657" s="42"/>
      <c r="AJ657" s="42"/>
      <c r="AK657" s="42"/>
      <c r="AL657" s="42"/>
      <c r="AM657" s="42"/>
      <c r="AN657" s="42"/>
      <c r="AO657" s="42"/>
      <c r="AP657" s="42"/>
      <c r="AQ657" s="42"/>
      <c r="AR657" s="42"/>
      <c r="AS657" s="42"/>
      <c r="AT657" s="42"/>
      <c r="AU657" s="42"/>
      <c r="AV657" s="42"/>
      <c r="AW657" s="42"/>
      <c r="AX657" s="42"/>
      <c r="AY657" s="42"/>
      <c r="AZ657" s="42"/>
      <c r="BA657" s="42"/>
      <c r="BB657" s="42"/>
    </row>
    <row r="658" spans="1:54" x14ac:dyDescent="0.25">
      <c r="A658" s="42"/>
      <c r="B658" s="43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  <c r="AA658" s="42"/>
      <c r="AB658" s="42"/>
      <c r="AC658" s="42"/>
      <c r="AD658" s="42"/>
      <c r="AE658" s="42"/>
      <c r="AF658" s="42"/>
      <c r="AG658" s="42"/>
      <c r="AH658" s="42"/>
      <c r="AI658" s="42"/>
      <c r="AJ658" s="42"/>
      <c r="AK658" s="42"/>
      <c r="AL658" s="42"/>
      <c r="AM658" s="42"/>
      <c r="AN658" s="42"/>
      <c r="AO658" s="42"/>
      <c r="AP658" s="42"/>
      <c r="AQ658" s="42"/>
      <c r="AR658" s="42"/>
      <c r="AS658" s="42"/>
      <c r="AT658" s="42"/>
      <c r="AU658" s="42"/>
      <c r="AV658" s="42"/>
      <c r="AW658" s="42"/>
      <c r="AX658" s="42"/>
      <c r="AY658" s="42"/>
      <c r="AZ658" s="42"/>
      <c r="BA658" s="42"/>
      <c r="BB658" s="42"/>
    </row>
    <row r="659" spans="1:54" x14ac:dyDescent="0.25">
      <c r="A659" s="42"/>
      <c r="B659" s="43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  <c r="AA659" s="42"/>
      <c r="AB659" s="42"/>
      <c r="AC659" s="42"/>
      <c r="AD659" s="42"/>
      <c r="AE659" s="42"/>
      <c r="AF659" s="42"/>
      <c r="AG659" s="42"/>
      <c r="AH659" s="42"/>
      <c r="AI659" s="42"/>
      <c r="AJ659" s="42"/>
      <c r="AK659" s="42"/>
      <c r="AL659" s="42"/>
      <c r="AM659" s="42"/>
      <c r="AN659" s="42"/>
      <c r="AO659" s="42"/>
      <c r="AP659" s="42"/>
      <c r="AQ659" s="42"/>
      <c r="AR659" s="42"/>
      <c r="AS659" s="42"/>
      <c r="AT659" s="42"/>
      <c r="AU659" s="42"/>
      <c r="AV659" s="42"/>
      <c r="AW659" s="42"/>
      <c r="AX659" s="42"/>
      <c r="AY659" s="42"/>
      <c r="AZ659" s="42"/>
      <c r="BA659" s="42"/>
      <c r="BB659" s="42"/>
    </row>
    <row r="660" spans="1:54" x14ac:dyDescent="0.25">
      <c r="A660" s="42"/>
      <c r="B660" s="43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  <c r="AA660" s="42"/>
      <c r="AB660" s="42"/>
      <c r="AC660" s="42"/>
      <c r="AD660" s="42"/>
      <c r="AE660" s="42"/>
      <c r="AF660" s="42"/>
      <c r="AG660" s="42"/>
      <c r="AH660" s="42"/>
      <c r="AI660" s="42"/>
      <c r="AJ660" s="42"/>
      <c r="AK660" s="42"/>
      <c r="AL660" s="42"/>
      <c r="AM660" s="42"/>
      <c r="AN660" s="42"/>
      <c r="AO660" s="42"/>
      <c r="AP660" s="42"/>
      <c r="AQ660" s="42"/>
      <c r="AR660" s="42"/>
      <c r="AS660" s="42"/>
      <c r="AT660" s="42"/>
      <c r="AU660" s="42"/>
      <c r="AV660" s="42"/>
      <c r="AW660" s="42"/>
      <c r="AX660" s="42"/>
      <c r="AY660" s="42"/>
      <c r="AZ660" s="42"/>
      <c r="BA660" s="42"/>
      <c r="BB660" s="42"/>
    </row>
    <row r="661" spans="1:54" x14ac:dyDescent="0.25">
      <c r="A661" s="42"/>
      <c r="B661" s="43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  <c r="AA661" s="42"/>
      <c r="AB661" s="42"/>
      <c r="AC661" s="42"/>
      <c r="AD661" s="42"/>
      <c r="AE661" s="42"/>
      <c r="AF661" s="42"/>
      <c r="AG661" s="42"/>
      <c r="AH661" s="42"/>
      <c r="AI661" s="42"/>
      <c r="AJ661" s="42"/>
      <c r="AK661" s="42"/>
      <c r="AL661" s="42"/>
      <c r="AM661" s="42"/>
      <c r="AN661" s="42"/>
      <c r="AO661" s="42"/>
      <c r="AP661" s="42"/>
      <c r="AQ661" s="42"/>
      <c r="AR661" s="42"/>
      <c r="AS661" s="42"/>
      <c r="AT661" s="42"/>
      <c r="AU661" s="42"/>
      <c r="AV661" s="42"/>
      <c r="AW661" s="42"/>
      <c r="AX661" s="42"/>
      <c r="AY661" s="42"/>
      <c r="AZ661" s="42"/>
      <c r="BA661" s="42"/>
      <c r="BB661" s="42"/>
    </row>
    <row r="662" spans="1:54" x14ac:dyDescent="0.25">
      <c r="A662" s="42"/>
      <c r="B662" s="43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  <c r="AA662" s="42"/>
      <c r="AB662" s="42"/>
      <c r="AC662" s="42"/>
      <c r="AD662" s="42"/>
      <c r="AE662" s="42"/>
      <c r="AF662" s="42"/>
      <c r="AG662" s="42"/>
      <c r="AH662" s="42"/>
      <c r="AI662" s="42"/>
      <c r="AJ662" s="42"/>
      <c r="AK662" s="42"/>
      <c r="AL662" s="42"/>
      <c r="AM662" s="42"/>
      <c r="AN662" s="42"/>
      <c r="AO662" s="42"/>
      <c r="AP662" s="42"/>
      <c r="AQ662" s="42"/>
      <c r="AR662" s="42"/>
      <c r="AS662" s="42"/>
      <c r="AT662" s="42"/>
      <c r="AU662" s="42"/>
      <c r="AV662" s="42"/>
      <c r="AW662" s="42"/>
      <c r="AX662" s="42"/>
      <c r="AY662" s="42"/>
      <c r="AZ662" s="42"/>
      <c r="BA662" s="42"/>
      <c r="BB662" s="42"/>
    </row>
    <row r="663" spans="1:54" x14ac:dyDescent="0.25">
      <c r="A663" s="42"/>
      <c r="B663" s="43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  <c r="AA663" s="42"/>
      <c r="AB663" s="42"/>
      <c r="AC663" s="42"/>
      <c r="AD663" s="42"/>
      <c r="AE663" s="42"/>
      <c r="AF663" s="42"/>
      <c r="AG663" s="42"/>
      <c r="AH663" s="42"/>
      <c r="AI663" s="42"/>
      <c r="AJ663" s="42"/>
      <c r="AK663" s="42"/>
      <c r="AL663" s="42"/>
      <c r="AM663" s="42"/>
      <c r="AN663" s="42"/>
      <c r="AO663" s="42"/>
      <c r="AP663" s="42"/>
      <c r="AQ663" s="42"/>
      <c r="AR663" s="42"/>
      <c r="AS663" s="42"/>
      <c r="AT663" s="42"/>
      <c r="AU663" s="42"/>
      <c r="AV663" s="42"/>
      <c r="AW663" s="42"/>
      <c r="AX663" s="42"/>
      <c r="AY663" s="42"/>
      <c r="AZ663" s="42"/>
      <c r="BA663" s="42"/>
      <c r="BB663" s="42"/>
    </row>
    <row r="664" spans="1:54" x14ac:dyDescent="0.25">
      <c r="A664" s="42"/>
      <c r="B664" s="43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  <c r="AA664" s="42"/>
      <c r="AB664" s="42"/>
      <c r="AC664" s="42"/>
      <c r="AD664" s="42"/>
      <c r="AE664" s="42"/>
      <c r="AF664" s="42"/>
      <c r="AG664" s="42"/>
      <c r="AH664" s="42"/>
      <c r="AI664" s="42"/>
      <c r="AJ664" s="42"/>
      <c r="AK664" s="42"/>
      <c r="AL664" s="42"/>
      <c r="AM664" s="42"/>
      <c r="AN664" s="42"/>
      <c r="AO664" s="42"/>
      <c r="AP664" s="42"/>
      <c r="AQ664" s="42"/>
      <c r="AR664" s="42"/>
      <c r="AS664" s="42"/>
      <c r="AT664" s="42"/>
      <c r="AU664" s="42"/>
      <c r="AV664" s="42"/>
      <c r="AW664" s="42"/>
      <c r="AX664" s="42"/>
      <c r="AY664" s="42"/>
      <c r="AZ664" s="42"/>
      <c r="BA664" s="42"/>
      <c r="BB664" s="42"/>
    </row>
    <row r="665" spans="1:54" x14ac:dyDescent="0.25">
      <c r="A665" s="42"/>
      <c r="B665" s="43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  <c r="AA665" s="42"/>
      <c r="AB665" s="42"/>
      <c r="AC665" s="42"/>
      <c r="AD665" s="42"/>
      <c r="AE665" s="42"/>
      <c r="AF665" s="42"/>
      <c r="AG665" s="42"/>
      <c r="AH665" s="42"/>
      <c r="AI665" s="42"/>
      <c r="AJ665" s="42"/>
      <c r="AK665" s="42"/>
      <c r="AL665" s="42"/>
      <c r="AM665" s="42"/>
      <c r="AN665" s="42"/>
      <c r="AO665" s="42"/>
      <c r="AP665" s="42"/>
      <c r="AQ665" s="42"/>
      <c r="AR665" s="42"/>
      <c r="AS665" s="42"/>
      <c r="AT665" s="42"/>
      <c r="AU665" s="42"/>
      <c r="AV665" s="42"/>
      <c r="AW665" s="42"/>
      <c r="AX665" s="42"/>
      <c r="AY665" s="42"/>
      <c r="AZ665" s="42"/>
      <c r="BA665" s="42"/>
      <c r="BB665" s="42"/>
    </row>
    <row r="666" spans="1:54" x14ac:dyDescent="0.25">
      <c r="A666" s="42"/>
      <c r="B666" s="43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  <c r="AA666" s="42"/>
      <c r="AB666" s="42"/>
      <c r="AC666" s="42"/>
      <c r="AD666" s="42"/>
      <c r="AE666" s="42"/>
      <c r="AF666" s="42"/>
      <c r="AG666" s="42"/>
      <c r="AH666" s="42"/>
      <c r="AI666" s="42"/>
      <c r="AJ666" s="42"/>
      <c r="AK666" s="42"/>
      <c r="AL666" s="42"/>
      <c r="AM666" s="42"/>
      <c r="AN666" s="42"/>
      <c r="AO666" s="42"/>
      <c r="AP666" s="42"/>
      <c r="AQ666" s="42"/>
      <c r="AR666" s="42"/>
      <c r="AS666" s="42"/>
      <c r="AT666" s="42"/>
      <c r="AU666" s="42"/>
      <c r="AV666" s="42"/>
      <c r="AW666" s="42"/>
      <c r="AX666" s="42"/>
      <c r="AY666" s="42"/>
      <c r="AZ666" s="42"/>
      <c r="BA666" s="42"/>
      <c r="BB666" s="42"/>
    </row>
    <row r="667" spans="1:54" x14ac:dyDescent="0.25">
      <c r="A667" s="42"/>
      <c r="B667" s="43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  <c r="AA667" s="42"/>
      <c r="AB667" s="42"/>
      <c r="AC667" s="42"/>
      <c r="AD667" s="42"/>
      <c r="AE667" s="42"/>
      <c r="AF667" s="42"/>
      <c r="AG667" s="42"/>
      <c r="AH667" s="42"/>
      <c r="AI667" s="42"/>
      <c r="AJ667" s="42"/>
      <c r="AK667" s="42"/>
      <c r="AL667" s="42"/>
      <c r="AM667" s="42"/>
      <c r="AN667" s="42"/>
      <c r="AO667" s="42"/>
      <c r="AP667" s="42"/>
      <c r="AQ667" s="42"/>
      <c r="AR667" s="42"/>
      <c r="AS667" s="42"/>
      <c r="AT667" s="42"/>
      <c r="AU667" s="42"/>
      <c r="AV667" s="42"/>
      <c r="AW667" s="42"/>
      <c r="AX667" s="42"/>
      <c r="AY667" s="42"/>
      <c r="AZ667" s="42"/>
      <c r="BA667" s="42"/>
      <c r="BB667" s="42"/>
    </row>
    <row r="668" spans="1:54" x14ac:dyDescent="0.25">
      <c r="A668" s="42"/>
      <c r="B668" s="43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  <c r="AA668" s="42"/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/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/>
      <c r="BB668" s="42"/>
    </row>
    <row r="669" spans="1:54" x14ac:dyDescent="0.25">
      <c r="A669" s="42"/>
      <c r="B669" s="43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  <c r="AA669" s="42"/>
      <c r="AB669" s="42"/>
      <c r="AC669" s="42"/>
      <c r="AD669" s="42"/>
      <c r="AE669" s="42"/>
      <c r="AF669" s="42"/>
      <c r="AG669" s="42"/>
      <c r="AH669" s="42"/>
      <c r="AI669" s="42"/>
      <c r="AJ669" s="42"/>
      <c r="AK669" s="42"/>
      <c r="AL669" s="42"/>
      <c r="AM669" s="42"/>
      <c r="AN669" s="42"/>
      <c r="AO669" s="42"/>
      <c r="AP669" s="42"/>
      <c r="AQ669" s="42"/>
      <c r="AR669" s="42"/>
      <c r="AS669" s="42"/>
      <c r="AT669" s="42"/>
      <c r="AU669" s="42"/>
      <c r="AV669" s="42"/>
      <c r="AW669" s="42"/>
      <c r="AX669" s="42"/>
      <c r="AY669" s="42"/>
      <c r="AZ669" s="42"/>
      <c r="BA669" s="42"/>
      <c r="BB669" s="42"/>
    </row>
    <row r="670" spans="1:54" x14ac:dyDescent="0.25">
      <c r="A670" s="42"/>
      <c r="B670" s="43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  <c r="AA670" s="42"/>
      <c r="AB670" s="42"/>
      <c r="AC670" s="42"/>
      <c r="AD670" s="42"/>
      <c r="AE670" s="42"/>
      <c r="AF670" s="42"/>
      <c r="AG670" s="42"/>
      <c r="AH670" s="42"/>
      <c r="AI670" s="42"/>
      <c r="AJ670" s="42"/>
      <c r="AK670" s="42"/>
      <c r="AL670" s="42"/>
      <c r="AM670" s="42"/>
      <c r="AN670" s="42"/>
      <c r="AO670" s="42"/>
      <c r="AP670" s="42"/>
      <c r="AQ670" s="42"/>
      <c r="AR670" s="42"/>
      <c r="AS670" s="42"/>
      <c r="AT670" s="42"/>
      <c r="AU670" s="42"/>
      <c r="AV670" s="42"/>
      <c r="AW670" s="42"/>
      <c r="AX670" s="42"/>
      <c r="AY670" s="42"/>
      <c r="AZ670" s="42"/>
      <c r="BA670" s="42"/>
      <c r="BB670" s="42"/>
    </row>
    <row r="671" spans="1:54" x14ac:dyDescent="0.25">
      <c r="A671" s="42"/>
      <c r="B671" s="43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2"/>
      <c r="AM671" s="42"/>
      <c r="AN671" s="42"/>
      <c r="AO671" s="42"/>
      <c r="AP671" s="42"/>
      <c r="AQ671" s="42"/>
      <c r="AR671" s="42"/>
      <c r="AS671" s="42"/>
      <c r="AT671" s="42"/>
      <c r="AU671" s="42"/>
      <c r="AV671" s="42"/>
      <c r="AW671" s="42"/>
      <c r="AX671" s="42"/>
      <c r="AY671" s="42"/>
      <c r="AZ671" s="42"/>
      <c r="BA671" s="42"/>
      <c r="BB671" s="42"/>
    </row>
    <row r="672" spans="1:54" x14ac:dyDescent="0.25">
      <c r="A672" s="42"/>
      <c r="B672" s="43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  <c r="AA672" s="42"/>
      <c r="AB672" s="42"/>
      <c r="AC672" s="42"/>
      <c r="AD672" s="42"/>
      <c r="AE672" s="42"/>
      <c r="AF672" s="42"/>
      <c r="AG672" s="42"/>
      <c r="AH672" s="42"/>
      <c r="AI672" s="42"/>
      <c r="AJ672" s="42"/>
      <c r="AK672" s="42"/>
      <c r="AL672" s="42"/>
      <c r="AM672" s="42"/>
      <c r="AN672" s="42"/>
      <c r="AO672" s="42"/>
      <c r="AP672" s="42"/>
      <c r="AQ672" s="42"/>
      <c r="AR672" s="42"/>
      <c r="AS672" s="42"/>
      <c r="AT672" s="42"/>
      <c r="AU672" s="42"/>
      <c r="AV672" s="42"/>
      <c r="AW672" s="42"/>
      <c r="AX672" s="42"/>
      <c r="AY672" s="42"/>
      <c r="AZ672" s="42"/>
      <c r="BA672" s="42"/>
      <c r="BB672" s="42"/>
    </row>
    <row r="673" spans="1:54" x14ac:dyDescent="0.25">
      <c r="A673" s="42"/>
      <c r="B673" s="43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  <c r="AA673" s="42"/>
      <c r="AB673" s="42"/>
      <c r="AC673" s="42"/>
      <c r="AD673" s="42"/>
      <c r="AE673" s="42"/>
      <c r="AF673" s="42"/>
      <c r="AG673" s="42"/>
      <c r="AH673" s="42"/>
      <c r="AI673" s="42"/>
      <c r="AJ673" s="42"/>
      <c r="AK673" s="42"/>
      <c r="AL673" s="42"/>
      <c r="AM673" s="42"/>
      <c r="AN673" s="42"/>
      <c r="AO673" s="42"/>
      <c r="AP673" s="42"/>
      <c r="AQ673" s="42"/>
      <c r="AR673" s="42"/>
      <c r="AS673" s="42"/>
      <c r="AT673" s="42"/>
      <c r="AU673" s="42"/>
      <c r="AV673" s="42"/>
      <c r="AW673" s="42"/>
      <c r="AX673" s="42"/>
      <c r="AY673" s="42"/>
      <c r="AZ673" s="42"/>
      <c r="BA673" s="42"/>
      <c r="BB673" s="42"/>
    </row>
    <row r="674" spans="1:54" x14ac:dyDescent="0.25">
      <c r="A674" s="42"/>
      <c r="B674" s="43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2"/>
      <c r="AM674" s="42"/>
      <c r="AN674" s="42"/>
      <c r="AO674" s="42"/>
      <c r="AP674" s="42"/>
      <c r="AQ674" s="42"/>
      <c r="AR674" s="42"/>
      <c r="AS674" s="42"/>
      <c r="AT674" s="42"/>
      <c r="AU674" s="42"/>
      <c r="AV674" s="42"/>
      <c r="AW674" s="42"/>
      <c r="AX674" s="42"/>
      <c r="AY674" s="42"/>
      <c r="AZ674" s="42"/>
      <c r="BA674" s="42"/>
      <c r="BB674" s="42"/>
    </row>
    <row r="675" spans="1:54" x14ac:dyDescent="0.25">
      <c r="A675" s="42"/>
      <c r="B675" s="43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  <c r="AA675" s="42"/>
      <c r="AB675" s="42"/>
      <c r="AC675" s="42"/>
      <c r="AD675" s="42"/>
      <c r="AE675" s="42"/>
      <c r="AF675" s="42"/>
      <c r="AG675" s="42"/>
      <c r="AH675" s="42"/>
      <c r="AI675" s="42"/>
      <c r="AJ675" s="42"/>
      <c r="AK675" s="42"/>
      <c r="AL675" s="42"/>
      <c r="AM675" s="42"/>
      <c r="AN675" s="42"/>
      <c r="AO675" s="42"/>
      <c r="AP675" s="42"/>
      <c r="AQ675" s="42"/>
      <c r="AR675" s="42"/>
      <c r="AS675" s="42"/>
      <c r="AT675" s="42"/>
      <c r="AU675" s="42"/>
      <c r="AV675" s="42"/>
      <c r="AW675" s="42"/>
      <c r="AX675" s="42"/>
      <c r="AY675" s="42"/>
      <c r="AZ675" s="42"/>
      <c r="BA675" s="42"/>
      <c r="BB675" s="42"/>
    </row>
    <row r="676" spans="1:54" x14ac:dyDescent="0.25">
      <c r="A676" s="42"/>
      <c r="B676" s="43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  <c r="AA676" s="42"/>
      <c r="AB676" s="42"/>
      <c r="AC676" s="42"/>
      <c r="AD676" s="42"/>
      <c r="AE676" s="42"/>
      <c r="AF676" s="42"/>
      <c r="AG676" s="42"/>
      <c r="AH676" s="42"/>
      <c r="AI676" s="42"/>
      <c r="AJ676" s="42"/>
      <c r="AK676" s="42"/>
      <c r="AL676" s="42"/>
      <c r="AM676" s="42"/>
      <c r="AN676" s="42"/>
      <c r="AO676" s="42"/>
      <c r="AP676" s="42"/>
      <c r="AQ676" s="42"/>
      <c r="AR676" s="42"/>
      <c r="AS676" s="42"/>
      <c r="AT676" s="42"/>
      <c r="AU676" s="42"/>
      <c r="AV676" s="42"/>
      <c r="AW676" s="42"/>
      <c r="AX676" s="42"/>
      <c r="AY676" s="42"/>
      <c r="AZ676" s="42"/>
      <c r="BA676" s="42"/>
      <c r="BB676" s="42"/>
    </row>
    <row r="677" spans="1:54" x14ac:dyDescent="0.25">
      <c r="A677" s="42"/>
      <c r="B677" s="43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  <c r="AA677" s="42"/>
      <c r="AB677" s="42"/>
      <c r="AC677" s="42"/>
      <c r="AD677" s="42"/>
      <c r="AE677" s="42"/>
      <c r="AF677" s="42"/>
      <c r="AG677" s="42"/>
      <c r="AH677" s="42"/>
      <c r="AI677" s="42"/>
      <c r="AJ677" s="42"/>
      <c r="AK677" s="42"/>
      <c r="AL677" s="42"/>
      <c r="AM677" s="42"/>
      <c r="AN677" s="42"/>
      <c r="AO677" s="42"/>
      <c r="AP677" s="42"/>
      <c r="AQ677" s="42"/>
      <c r="AR677" s="42"/>
      <c r="AS677" s="42"/>
      <c r="AT677" s="42"/>
      <c r="AU677" s="42"/>
      <c r="AV677" s="42"/>
      <c r="AW677" s="42"/>
      <c r="AX677" s="42"/>
      <c r="AY677" s="42"/>
      <c r="AZ677" s="42"/>
      <c r="BA677" s="42"/>
      <c r="BB677" s="42"/>
    </row>
    <row r="678" spans="1:54" x14ac:dyDescent="0.25">
      <c r="A678" s="42"/>
      <c r="B678" s="43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  <c r="AA678" s="42"/>
      <c r="AB678" s="42"/>
      <c r="AC678" s="42"/>
      <c r="AD678" s="42"/>
      <c r="AE678" s="42"/>
      <c r="AF678" s="42"/>
      <c r="AG678" s="42"/>
      <c r="AH678" s="42"/>
      <c r="AI678" s="42"/>
      <c r="AJ678" s="42"/>
      <c r="AK678" s="42"/>
      <c r="AL678" s="42"/>
      <c r="AM678" s="42"/>
      <c r="AN678" s="42"/>
      <c r="AO678" s="42"/>
      <c r="AP678" s="42"/>
      <c r="AQ678" s="42"/>
      <c r="AR678" s="42"/>
      <c r="AS678" s="42"/>
      <c r="AT678" s="42"/>
      <c r="AU678" s="42"/>
      <c r="AV678" s="42"/>
      <c r="AW678" s="42"/>
      <c r="AX678" s="42"/>
      <c r="AY678" s="42"/>
      <c r="AZ678" s="42"/>
      <c r="BA678" s="42"/>
      <c r="BB678" s="42"/>
    </row>
    <row r="679" spans="1:54" x14ac:dyDescent="0.25">
      <c r="A679" s="42"/>
      <c r="B679" s="43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  <c r="AA679" s="42"/>
      <c r="AB679" s="42"/>
      <c r="AC679" s="42"/>
      <c r="AD679" s="42"/>
      <c r="AE679" s="42"/>
      <c r="AF679" s="42"/>
      <c r="AG679" s="42"/>
      <c r="AH679" s="42"/>
      <c r="AI679" s="42"/>
      <c r="AJ679" s="42"/>
      <c r="AK679" s="42"/>
      <c r="AL679" s="42"/>
      <c r="AM679" s="42"/>
      <c r="AN679" s="42"/>
      <c r="AO679" s="42"/>
      <c r="AP679" s="42"/>
      <c r="AQ679" s="42"/>
      <c r="AR679" s="42"/>
      <c r="AS679" s="42"/>
      <c r="AT679" s="42"/>
      <c r="AU679" s="42"/>
      <c r="AV679" s="42"/>
      <c r="AW679" s="42"/>
      <c r="AX679" s="42"/>
      <c r="AY679" s="42"/>
      <c r="AZ679" s="42"/>
      <c r="BA679" s="42"/>
      <c r="BB679" s="42"/>
    </row>
    <row r="680" spans="1:54" x14ac:dyDescent="0.25">
      <c r="A680" s="42"/>
      <c r="B680" s="43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  <c r="AA680" s="42"/>
      <c r="AB680" s="42"/>
      <c r="AC680" s="42"/>
      <c r="AD680" s="42"/>
      <c r="AE680" s="42"/>
      <c r="AF680" s="42"/>
      <c r="AG680" s="42"/>
      <c r="AH680" s="42"/>
      <c r="AI680" s="42"/>
      <c r="AJ680" s="42"/>
      <c r="AK680" s="42"/>
      <c r="AL680" s="42"/>
      <c r="AM680" s="42"/>
      <c r="AN680" s="42"/>
      <c r="AO680" s="42"/>
      <c r="AP680" s="42"/>
      <c r="AQ680" s="42"/>
      <c r="AR680" s="42"/>
      <c r="AS680" s="42"/>
      <c r="AT680" s="42"/>
      <c r="AU680" s="42"/>
      <c r="AV680" s="42"/>
      <c r="AW680" s="42"/>
      <c r="AX680" s="42"/>
      <c r="AY680" s="42"/>
      <c r="AZ680" s="42"/>
      <c r="BA680" s="42"/>
      <c r="BB680" s="42"/>
    </row>
    <row r="681" spans="1:54" x14ac:dyDescent="0.25">
      <c r="A681" s="42"/>
      <c r="B681" s="43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  <c r="AA681" s="42"/>
      <c r="AB681" s="42"/>
      <c r="AC681" s="42"/>
      <c r="AD681" s="42"/>
      <c r="AE681" s="42"/>
      <c r="AF681" s="42"/>
      <c r="AG681" s="42"/>
      <c r="AH681" s="42"/>
      <c r="AI681" s="42"/>
      <c r="AJ681" s="42"/>
      <c r="AK681" s="42"/>
      <c r="AL681" s="42"/>
      <c r="AM681" s="42"/>
      <c r="AN681" s="42"/>
      <c r="AO681" s="42"/>
      <c r="AP681" s="42"/>
      <c r="AQ681" s="42"/>
      <c r="AR681" s="42"/>
      <c r="AS681" s="42"/>
      <c r="AT681" s="42"/>
      <c r="AU681" s="42"/>
      <c r="AV681" s="42"/>
      <c r="AW681" s="42"/>
      <c r="AX681" s="42"/>
      <c r="AY681" s="42"/>
      <c r="AZ681" s="42"/>
      <c r="BA681" s="42"/>
      <c r="BB681" s="42"/>
    </row>
    <row r="682" spans="1:54" x14ac:dyDescent="0.25">
      <c r="A682" s="42"/>
      <c r="B682" s="43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  <c r="AA682" s="42"/>
      <c r="AB682" s="42"/>
      <c r="AC682" s="42"/>
      <c r="AD682" s="42"/>
      <c r="AE682" s="42"/>
      <c r="AF682" s="42"/>
      <c r="AG682" s="42"/>
      <c r="AH682" s="42"/>
      <c r="AI682" s="42"/>
      <c r="AJ682" s="42"/>
      <c r="AK682" s="42"/>
      <c r="AL682" s="42"/>
      <c r="AM682" s="42"/>
      <c r="AN682" s="42"/>
      <c r="AO682" s="42"/>
      <c r="AP682" s="42"/>
      <c r="AQ682" s="42"/>
      <c r="AR682" s="42"/>
      <c r="AS682" s="42"/>
      <c r="AT682" s="42"/>
      <c r="AU682" s="42"/>
      <c r="AV682" s="42"/>
      <c r="AW682" s="42"/>
      <c r="AX682" s="42"/>
      <c r="AY682" s="42"/>
      <c r="AZ682" s="42"/>
      <c r="BA682" s="42"/>
      <c r="BB682" s="42"/>
    </row>
    <row r="683" spans="1:54" x14ac:dyDescent="0.25">
      <c r="A683" s="42"/>
      <c r="B683" s="43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  <c r="AA683" s="42"/>
      <c r="AB683" s="42"/>
      <c r="AC683" s="42"/>
      <c r="AD683" s="42"/>
      <c r="AE683" s="42"/>
      <c r="AF683" s="42"/>
      <c r="AG683" s="42"/>
      <c r="AH683" s="42"/>
      <c r="AI683" s="42"/>
      <c r="AJ683" s="42"/>
      <c r="AK683" s="42"/>
      <c r="AL683" s="42"/>
      <c r="AM683" s="42"/>
      <c r="AN683" s="42"/>
      <c r="AO683" s="42"/>
      <c r="AP683" s="42"/>
      <c r="AQ683" s="42"/>
      <c r="AR683" s="42"/>
      <c r="AS683" s="42"/>
      <c r="AT683" s="42"/>
      <c r="AU683" s="42"/>
      <c r="AV683" s="42"/>
      <c r="AW683" s="42"/>
      <c r="AX683" s="42"/>
      <c r="AY683" s="42"/>
      <c r="AZ683" s="42"/>
      <c r="BA683" s="42"/>
      <c r="BB683" s="42"/>
    </row>
    <row r="684" spans="1:54" x14ac:dyDescent="0.25">
      <c r="A684" s="42"/>
      <c r="B684" s="43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  <c r="AA684" s="42"/>
      <c r="AB684" s="42"/>
      <c r="AC684" s="42"/>
      <c r="AD684" s="42"/>
      <c r="AE684" s="42"/>
      <c r="AF684" s="42"/>
      <c r="AG684" s="42"/>
      <c r="AH684" s="42"/>
      <c r="AI684" s="42"/>
      <c r="AJ684" s="42"/>
      <c r="AK684" s="42"/>
      <c r="AL684" s="42"/>
      <c r="AM684" s="42"/>
      <c r="AN684" s="42"/>
      <c r="AO684" s="42"/>
      <c r="AP684" s="42"/>
      <c r="AQ684" s="42"/>
      <c r="AR684" s="42"/>
      <c r="AS684" s="42"/>
      <c r="AT684" s="42"/>
      <c r="AU684" s="42"/>
      <c r="AV684" s="42"/>
      <c r="AW684" s="42"/>
      <c r="AX684" s="42"/>
      <c r="AY684" s="42"/>
      <c r="AZ684" s="42"/>
      <c r="BA684" s="42"/>
      <c r="BB684" s="42"/>
    </row>
    <row r="685" spans="1:54" x14ac:dyDescent="0.25">
      <c r="A685" s="42"/>
      <c r="B685" s="43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  <c r="AA685" s="42"/>
      <c r="AB685" s="42"/>
      <c r="AC685" s="42"/>
      <c r="AD685" s="42"/>
      <c r="AE685" s="42"/>
      <c r="AF685" s="42"/>
      <c r="AG685" s="42"/>
      <c r="AH685" s="42"/>
      <c r="AI685" s="42"/>
      <c r="AJ685" s="42"/>
      <c r="AK685" s="42"/>
      <c r="AL685" s="42"/>
      <c r="AM685" s="42"/>
      <c r="AN685" s="42"/>
      <c r="AO685" s="42"/>
      <c r="AP685" s="42"/>
      <c r="AQ685" s="42"/>
      <c r="AR685" s="42"/>
      <c r="AS685" s="42"/>
      <c r="AT685" s="42"/>
      <c r="AU685" s="42"/>
      <c r="AV685" s="42"/>
      <c r="AW685" s="42"/>
      <c r="AX685" s="42"/>
      <c r="AY685" s="42"/>
      <c r="AZ685" s="42"/>
      <c r="BA685" s="42"/>
      <c r="BB685" s="42"/>
    </row>
    <row r="686" spans="1:54" x14ac:dyDescent="0.25">
      <c r="A686" s="42"/>
      <c r="B686" s="43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  <c r="AA686" s="42"/>
      <c r="AB686" s="42"/>
      <c r="AC686" s="42"/>
      <c r="AD686" s="42"/>
      <c r="AE686" s="42"/>
      <c r="AF686" s="42"/>
      <c r="AG686" s="42"/>
      <c r="AH686" s="42"/>
      <c r="AI686" s="42"/>
      <c r="AJ686" s="42"/>
      <c r="AK686" s="42"/>
      <c r="AL686" s="42"/>
      <c r="AM686" s="42"/>
      <c r="AN686" s="42"/>
      <c r="AO686" s="42"/>
      <c r="AP686" s="42"/>
      <c r="AQ686" s="42"/>
      <c r="AR686" s="42"/>
      <c r="AS686" s="42"/>
      <c r="AT686" s="42"/>
      <c r="AU686" s="42"/>
      <c r="AV686" s="42"/>
      <c r="AW686" s="42"/>
      <c r="AX686" s="42"/>
      <c r="AY686" s="42"/>
      <c r="AZ686" s="42"/>
      <c r="BA686" s="42"/>
      <c r="BB686" s="42"/>
    </row>
    <row r="687" spans="1:54" x14ac:dyDescent="0.25">
      <c r="A687" s="42"/>
      <c r="B687" s="43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  <c r="AA687" s="42"/>
      <c r="AB687" s="42"/>
      <c r="AC687" s="42"/>
      <c r="AD687" s="42"/>
      <c r="AE687" s="42"/>
      <c r="AF687" s="42"/>
      <c r="AG687" s="42"/>
      <c r="AH687" s="42"/>
      <c r="AI687" s="42"/>
      <c r="AJ687" s="42"/>
      <c r="AK687" s="42"/>
      <c r="AL687" s="42"/>
      <c r="AM687" s="42"/>
      <c r="AN687" s="42"/>
      <c r="AO687" s="42"/>
      <c r="AP687" s="42"/>
      <c r="AQ687" s="42"/>
      <c r="AR687" s="42"/>
      <c r="AS687" s="42"/>
      <c r="AT687" s="42"/>
      <c r="AU687" s="42"/>
      <c r="AV687" s="42"/>
      <c r="AW687" s="42"/>
      <c r="AX687" s="42"/>
      <c r="AY687" s="42"/>
      <c r="AZ687" s="42"/>
      <c r="BA687" s="42"/>
      <c r="BB687" s="42"/>
    </row>
    <row r="688" spans="1:54" x14ac:dyDescent="0.25">
      <c r="A688" s="42"/>
      <c r="B688" s="43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  <c r="AA688" s="42"/>
      <c r="AB688" s="42"/>
      <c r="AC688" s="42"/>
      <c r="AD688" s="42"/>
      <c r="AE688" s="42"/>
      <c r="AF688" s="42"/>
      <c r="AG688" s="42"/>
      <c r="AH688" s="42"/>
      <c r="AI688" s="42"/>
      <c r="AJ688" s="42"/>
      <c r="AK688" s="42"/>
      <c r="AL688" s="42"/>
      <c r="AM688" s="42"/>
      <c r="AN688" s="42"/>
      <c r="AO688" s="42"/>
      <c r="AP688" s="42"/>
      <c r="AQ688" s="42"/>
      <c r="AR688" s="42"/>
      <c r="AS688" s="42"/>
      <c r="AT688" s="42"/>
      <c r="AU688" s="42"/>
      <c r="AV688" s="42"/>
      <c r="AW688" s="42"/>
      <c r="AX688" s="42"/>
      <c r="AY688" s="42"/>
      <c r="AZ688" s="42"/>
      <c r="BA688" s="42"/>
      <c r="BB688" s="42"/>
    </row>
    <row r="689" spans="1:54" x14ac:dyDescent="0.25">
      <c r="A689" s="42"/>
      <c r="B689" s="43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  <c r="AA689" s="42"/>
      <c r="AB689" s="42"/>
      <c r="AC689" s="42"/>
      <c r="AD689" s="42"/>
      <c r="AE689" s="42"/>
      <c r="AF689" s="42"/>
      <c r="AG689" s="42"/>
      <c r="AH689" s="42"/>
      <c r="AI689" s="42"/>
      <c r="AJ689" s="42"/>
      <c r="AK689" s="42"/>
      <c r="AL689" s="42"/>
      <c r="AM689" s="42"/>
      <c r="AN689" s="42"/>
      <c r="AO689" s="42"/>
      <c r="AP689" s="42"/>
      <c r="AQ689" s="42"/>
      <c r="AR689" s="42"/>
      <c r="AS689" s="42"/>
      <c r="AT689" s="42"/>
      <c r="AU689" s="42"/>
      <c r="AV689" s="42"/>
      <c r="AW689" s="42"/>
      <c r="AX689" s="42"/>
      <c r="AY689" s="42"/>
      <c r="AZ689" s="42"/>
      <c r="BA689" s="42"/>
      <c r="BB689" s="42"/>
    </row>
  </sheetData>
  <mergeCells count="1">
    <mergeCell ref="A5:C5"/>
  </mergeCells>
  <phoneticPr fontId="3" type="noConversion"/>
  <conditionalFormatting sqref="A9:A42">
    <cfRule type="expression" dxfId="131" priority="22" stopIfTrue="1">
      <formula>$E9&gt;0</formula>
    </cfRule>
    <cfRule type="expression" dxfId="130" priority="23" stopIfTrue="1">
      <formula>LEFT(#REF!,3)="TIR"</formula>
    </cfRule>
  </conditionalFormatting>
  <hyperlinks>
    <hyperlink ref="A10" display="א. מזומנים" xr:uid="{00000000-0004-0000-0000-000000000000}"/>
    <hyperlink ref="A12" display="1. תעודות התחייבות ממשלתיות" xr:uid="{00000000-0004-0000-0000-000001000000}"/>
    <hyperlink ref="A13" display="2. תעודות חוב מסחריות" xr:uid="{00000000-0004-0000-0000-000002000000}"/>
    <hyperlink ref="A14" display="3. אג&quot;ח קונצרני" xr:uid="{00000000-0004-0000-0000-000003000000}"/>
    <hyperlink ref="A15" display="4. מניות" xr:uid="{00000000-0004-0000-0000-000004000000}"/>
    <hyperlink ref="A17" display="6. תעודות השתתפות בקרנות נאמנות" xr:uid="{00000000-0004-0000-0000-000005000000}"/>
    <hyperlink ref="A18" display="7. כתבי אופציה" xr:uid="{00000000-0004-0000-0000-000006000000}"/>
    <hyperlink ref="A19" display="8. אופציות" xr:uid="{00000000-0004-0000-0000-000007000000}"/>
    <hyperlink ref="A20" display="9. חוזים עתידיים" xr:uid="{00000000-0004-0000-0000-000008000000}"/>
    <hyperlink ref="A21" display="10. מוצרים מובנים" xr:uid="{00000000-0004-0000-0000-000009000000}"/>
    <hyperlink ref="A23" display="1. תעודות התחייבות ממשלתיות" xr:uid="{00000000-0004-0000-0000-00000A000000}"/>
    <hyperlink ref="A24" display="2. תעודות חוב מסחריות" xr:uid="{00000000-0004-0000-0000-00000B000000}"/>
    <hyperlink ref="A25" display="3. אג&quot;ח קונצרני" xr:uid="{00000000-0004-0000-0000-00000C000000}"/>
    <hyperlink ref="A26" display="4. מניות" xr:uid="{00000000-0004-0000-0000-00000D000000}"/>
    <hyperlink ref="A27" display="5. קרנות השקעה" xr:uid="{00000000-0004-0000-0000-00000E000000}"/>
    <hyperlink ref="A28" display="6. כתבי אופציה" xr:uid="{00000000-0004-0000-0000-00000F000000}"/>
    <hyperlink ref="A29" display="7. אופציות" xr:uid="{00000000-0004-0000-0000-000010000000}"/>
    <hyperlink ref="A30" display="8. חוזים עתידיים" xr:uid="{00000000-0004-0000-0000-000011000000}"/>
    <hyperlink ref="A31" display="9. מוצרים מובנים" xr:uid="{00000000-0004-0000-0000-000012000000}"/>
    <hyperlink ref="A32" display="ד. הלוואות" xr:uid="{00000000-0004-0000-0000-000013000000}"/>
    <hyperlink ref="A33" display="ה. פקדונות מעל 3 חודשים" xr:uid="{00000000-0004-0000-0000-000014000000}"/>
    <hyperlink ref="A34" display="ו. זכויות במקרקעין" xr:uid="{00000000-0004-0000-0000-000015000000}"/>
    <hyperlink ref="A36" display="ח. השקעות אחרות" xr:uid="{00000000-0004-0000-0000-000016000000}"/>
    <hyperlink ref="A35" display="ז. השקעה בחברות מוחזקות" xr:uid="{00000000-0004-0000-0000-000017000000}"/>
    <hyperlink ref="A42" display="ט. יתרות התחייבות השקעה" xr:uid="{00000000-0004-0000-0000-000018000000}"/>
    <hyperlink ref="A38" display="א. אג&quot;ח קונצרני סחיר" xr:uid="{00000000-0004-0000-0000-000019000000}"/>
    <hyperlink ref="A39" display="ב. אג&quot;ח קונצנרני לא סחיר" xr:uid="{00000000-0004-0000-0000-00001A000000}"/>
    <hyperlink ref="A40" display="ג. מסגרות אשראי מנוצלות ללווים" xr:uid="{00000000-0004-0000-0000-00001B000000}"/>
    <hyperlink ref="A16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K133"/>
  <sheetViews>
    <sheetView rightToLeft="1" zoomScale="90" workbookViewId="0"/>
  </sheetViews>
  <sheetFormatPr defaultColWidth="9.109375" defaultRowHeight="13.2" x14ac:dyDescent="0.25"/>
  <cols>
    <col min="1" max="1" width="50.44140625" style="10" bestFit="1" customWidth="1"/>
    <col min="2" max="2" width="12.6640625" style="9" bestFit="1" customWidth="1"/>
    <col min="3" max="3" width="12.88671875" style="9" customWidth="1"/>
    <col min="4" max="4" width="7.109375" style="9" customWidth="1"/>
    <col min="5" max="5" width="10.44140625" style="60" customWidth="1"/>
    <col min="6" max="6" width="11.33203125" style="37" bestFit="1" customWidth="1"/>
    <col min="7" max="7" width="11.88671875" style="62" customWidth="1"/>
    <col min="8" max="8" width="13.6640625" style="64" customWidth="1"/>
    <col min="9" max="9" width="11.109375" style="62" bestFit="1" customWidth="1"/>
    <col min="10" max="10" width="24" style="13" customWidth="1"/>
    <col min="11" max="11" width="19.5546875" style="15" customWidth="1"/>
    <col min="12" max="12" width="15.44140625" style="15" customWidth="1"/>
    <col min="13" max="16384" width="9.109375" style="15"/>
  </cols>
  <sheetData>
    <row r="1" spans="1:11" s="7" customFormat="1" x14ac:dyDescent="0.25">
      <c r="A1" s="7" t="s">
        <v>237</v>
      </c>
      <c r="B1" s="9" t="s">
        <v>247</v>
      </c>
      <c r="C1" s="9"/>
      <c r="D1" s="9"/>
      <c r="E1" s="60"/>
      <c r="F1" s="37"/>
      <c r="G1" s="62"/>
      <c r="H1" s="63"/>
      <c r="I1" s="62"/>
      <c r="J1" s="13"/>
      <c r="K1" s="15"/>
    </row>
    <row r="2" spans="1:11" s="7" customFormat="1" ht="14.25" customHeight="1" x14ac:dyDescent="0.25">
      <c r="A2" s="10" t="s">
        <v>238</v>
      </c>
      <c r="B2" s="9" t="s">
        <v>150</v>
      </c>
      <c r="C2" s="9"/>
      <c r="D2" s="9"/>
      <c r="E2" s="60"/>
      <c r="F2" s="37"/>
      <c r="G2" s="62"/>
      <c r="H2" s="63"/>
      <c r="I2" s="62"/>
      <c r="J2" s="13"/>
      <c r="K2" s="15"/>
    </row>
    <row r="3" spans="1:11" s="7" customFormat="1" x14ac:dyDescent="0.25">
      <c r="A3" s="10" t="s">
        <v>239</v>
      </c>
      <c r="B3" s="9" t="s">
        <v>240</v>
      </c>
      <c r="C3" s="9"/>
      <c r="D3" s="9"/>
      <c r="E3" s="60"/>
      <c r="F3" s="37"/>
      <c r="G3" s="62"/>
      <c r="H3" s="63"/>
      <c r="I3" s="62"/>
      <c r="J3" s="13"/>
      <c r="K3" s="15"/>
    </row>
    <row r="4" spans="1:11" s="7" customFormat="1" ht="13.8" thickBot="1" x14ac:dyDescent="0.3">
      <c r="A4" s="10" t="s">
        <v>241</v>
      </c>
      <c r="B4" s="9" t="s">
        <v>249</v>
      </c>
      <c r="C4" s="9"/>
      <c r="D4" s="9"/>
      <c r="E4" s="60"/>
      <c r="F4" s="37"/>
      <c r="G4" s="62"/>
      <c r="H4" s="63"/>
      <c r="I4" s="62"/>
      <c r="J4" s="13"/>
      <c r="K4" s="15"/>
    </row>
    <row r="5" spans="1:11" s="7" customFormat="1" x14ac:dyDescent="0.25">
      <c r="A5" s="220" t="s">
        <v>4</v>
      </c>
      <c r="B5" s="221"/>
      <c r="C5" s="221"/>
      <c r="D5" s="221"/>
      <c r="E5" s="221"/>
      <c r="F5" s="221"/>
      <c r="G5" s="221"/>
      <c r="H5" s="221"/>
      <c r="I5" s="221"/>
      <c r="J5" s="221"/>
      <c r="K5" s="222"/>
    </row>
    <row r="6" spans="1:11" s="7" customFormat="1" x14ac:dyDescent="0.25">
      <c r="A6" s="87" t="s">
        <v>157</v>
      </c>
      <c r="B6" s="203" t="s">
        <v>69</v>
      </c>
      <c r="C6" s="203" t="s">
        <v>74</v>
      </c>
      <c r="D6" s="203" t="s">
        <v>70</v>
      </c>
      <c r="E6" s="203" t="s">
        <v>5</v>
      </c>
      <c r="F6" s="203" t="s">
        <v>6</v>
      </c>
      <c r="G6" s="204" t="s">
        <v>66</v>
      </c>
      <c r="H6" s="204" t="s">
        <v>71</v>
      </c>
      <c r="I6" s="204" t="s">
        <v>7</v>
      </c>
      <c r="J6" s="90" t="s">
        <v>75</v>
      </c>
      <c r="K6" s="91" t="s">
        <v>8</v>
      </c>
    </row>
    <row r="7" spans="1:11" s="7" customFormat="1" x14ac:dyDescent="0.25">
      <c r="A7" s="5"/>
      <c r="B7" s="3"/>
      <c r="C7" s="3"/>
      <c r="D7" s="3"/>
      <c r="E7" s="28"/>
      <c r="F7" s="30"/>
      <c r="G7" s="50" t="s">
        <v>9</v>
      </c>
      <c r="H7" s="50" t="s">
        <v>9</v>
      </c>
      <c r="I7" s="50" t="s">
        <v>10</v>
      </c>
      <c r="J7" s="49" t="s">
        <v>9</v>
      </c>
      <c r="K7" s="51" t="s">
        <v>9</v>
      </c>
    </row>
    <row r="8" spans="1:11" s="16" customFormat="1" ht="12.75" customHeight="1" x14ac:dyDescent="0.25">
      <c r="A8" s="21"/>
      <c r="B8" s="22">
        <v>1</v>
      </c>
      <c r="C8" s="22">
        <v>2</v>
      </c>
      <c r="D8" s="22">
        <v>3</v>
      </c>
      <c r="E8" s="22">
        <v>4</v>
      </c>
      <c r="F8" s="22">
        <v>5</v>
      </c>
      <c r="G8" s="22">
        <v>6</v>
      </c>
      <c r="H8" s="22">
        <v>7</v>
      </c>
      <c r="I8" s="22">
        <v>8</v>
      </c>
      <c r="J8" s="22">
        <v>9</v>
      </c>
      <c r="K8" s="23">
        <v>10</v>
      </c>
    </row>
    <row r="9" spans="1:11" s="118" customFormat="1" ht="12.75" customHeight="1" thickBot="1" x14ac:dyDescent="0.3">
      <c r="A9" s="73" t="s">
        <v>78</v>
      </c>
      <c r="B9" s="119"/>
      <c r="C9" s="119"/>
      <c r="D9" s="119"/>
      <c r="E9" s="119"/>
      <c r="F9" s="119"/>
      <c r="G9" s="119"/>
      <c r="H9" s="119"/>
      <c r="I9" s="81">
        <v>27780.438874779316</v>
      </c>
      <c r="J9" s="78">
        <v>1</v>
      </c>
      <c r="K9" s="59">
        <v>4.8225651211452301E-2</v>
      </c>
    </row>
    <row r="10" spans="1:11" s="118" customFormat="1" x14ac:dyDescent="0.25">
      <c r="A10" s="92" t="s">
        <v>250</v>
      </c>
      <c r="B10" s="120" t="s">
        <v>251</v>
      </c>
      <c r="C10" s="120" t="s">
        <v>251</v>
      </c>
      <c r="D10" s="121" t="s">
        <v>251</v>
      </c>
      <c r="E10" s="121" t="s">
        <v>251</v>
      </c>
      <c r="F10" s="121" t="s">
        <v>251</v>
      </c>
      <c r="G10" s="120" t="s">
        <v>251</v>
      </c>
      <c r="H10" s="120" t="s">
        <v>251</v>
      </c>
      <c r="I10" s="122">
        <v>27687.701898762516</v>
      </c>
      <c r="J10" s="120">
        <v>0.99666178866234567</v>
      </c>
      <c r="K10" s="120">
        <v>4.8064663795812465E-2</v>
      </c>
    </row>
    <row r="11" spans="1:11" s="118" customFormat="1" x14ac:dyDescent="0.25">
      <c r="A11" s="93" t="s">
        <v>252</v>
      </c>
      <c r="B11" s="120" t="s">
        <v>251</v>
      </c>
      <c r="C11" s="120" t="s">
        <v>251</v>
      </c>
      <c r="D11" s="121" t="s">
        <v>251</v>
      </c>
      <c r="E11" s="121" t="s">
        <v>251</v>
      </c>
      <c r="F11" s="121" t="s">
        <v>251</v>
      </c>
      <c r="G11" s="120" t="s">
        <v>251</v>
      </c>
      <c r="H11" s="120" t="s">
        <v>251</v>
      </c>
      <c r="I11" s="123">
        <v>16218.070620068742</v>
      </c>
      <c r="J11" s="120">
        <v>0.58379461509488395</v>
      </c>
      <c r="K11" s="120">
        <v>2.8153875486689919E-2</v>
      </c>
    </row>
    <row r="12" spans="1:11" x14ac:dyDescent="0.25">
      <c r="A12" s="17" t="s">
        <v>2773</v>
      </c>
      <c r="B12" s="33" t="s">
        <v>253</v>
      </c>
      <c r="C12" s="33" t="s">
        <v>254</v>
      </c>
      <c r="D12" s="67" t="s">
        <v>255</v>
      </c>
      <c r="E12" s="67" t="s">
        <v>256</v>
      </c>
      <c r="F12" s="67" t="s">
        <v>257</v>
      </c>
      <c r="G12" s="33">
        <v>0</v>
      </c>
      <c r="H12" s="33">
        <v>0</v>
      </c>
      <c r="I12" s="85">
        <v>563.88416000000007</v>
      </c>
      <c r="J12" s="33">
        <v>2.0297885232904888E-2</v>
      </c>
      <c r="K12" s="33">
        <v>9.7887873357215948E-4</v>
      </c>
    </row>
    <row r="13" spans="1:11" x14ac:dyDescent="0.25">
      <c r="A13" s="17" t="s">
        <v>2773</v>
      </c>
      <c r="B13" s="33" t="s">
        <v>273</v>
      </c>
      <c r="C13" s="33" t="s">
        <v>254</v>
      </c>
      <c r="D13" s="67" t="s">
        <v>255</v>
      </c>
      <c r="E13" s="67" t="s">
        <v>256</v>
      </c>
      <c r="F13" s="67" t="s">
        <v>257</v>
      </c>
      <c r="G13" s="33">
        <v>0</v>
      </c>
      <c r="H13" s="33">
        <v>0</v>
      </c>
      <c r="I13" s="85">
        <v>527.73854538294188</v>
      </c>
      <c r="J13" s="33">
        <v>1.8996767753084464E-2</v>
      </c>
      <c r="K13" s="33">
        <v>9.1613149580521594E-4</v>
      </c>
    </row>
    <row r="14" spans="1:11" x14ac:dyDescent="0.25">
      <c r="A14" s="17" t="s">
        <v>2774</v>
      </c>
      <c r="B14" s="33" t="s">
        <v>285</v>
      </c>
      <c r="C14" s="33" t="s">
        <v>254</v>
      </c>
      <c r="D14" s="67" t="s">
        <v>255</v>
      </c>
      <c r="E14" s="67" t="s">
        <v>256</v>
      </c>
      <c r="F14" s="67" t="s">
        <v>257</v>
      </c>
      <c r="G14" s="33">
        <v>0</v>
      </c>
      <c r="H14" s="33">
        <v>0</v>
      </c>
      <c r="I14" s="85">
        <v>-18.189526911274701</v>
      </c>
      <c r="J14" s="33">
        <v>-6.5476024310718152E-4</v>
      </c>
      <c r="K14" s="33">
        <v>-3.1576239111212652E-5</v>
      </c>
    </row>
    <row r="15" spans="1:11" x14ac:dyDescent="0.25">
      <c r="A15" s="17" t="s">
        <v>2773</v>
      </c>
      <c r="B15" s="33" t="s">
        <v>292</v>
      </c>
      <c r="C15" s="33" t="s">
        <v>254</v>
      </c>
      <c r="D15" s="67" t="s">
        <v>255</v>
      </c>
      <c r="E15" s="67" t="s">
        <v>256</v>
      </c>
      <c r="F15" s="67" t="s">
        <v>257</v>
      </c>
      <c r="G15" s="33">
        <v>0</v>
      </c>
      <c r="H15" s="33">
        <v>0</v>
      </c>
      <c r="I15" s="85">
        <v>11.54849925633887</v>
      </c>
      <c r="J15" s="33">
        <v>4.1570614879030089E-4</v>
      </c>
      <c r="K15" s="33">
        <v>2.0047699738017146E-5</v>
      </c>
    </row>
    <row r="16" spans="1:11" x14ac:dyDescent="0.25">
      <c r="A16" s="17" t="s">
        <v>2773</v>
      </c>
      <c r="B16" s="33" t="s">
        <v>294</v>
      </c>
      <c r="C16" s="33" t="s">
        <v>254</v>
      </c>
      <c r="D16" s="67" t="s">
        <v>255</v>
      </c>
      <c r="E16" s="67" t="s">
        <v>256</v>
      </c>
      <c r="F16" s="67" t="s">
        <v>257</v>
      </c>
      <c r="G16" s="33">
        <v>0</v>
      </c>
      <c r="H16" s="33">
        <v>0</v>
      </c>
      <c r="I16" s="85">
        <v>3.2584972839142687</v>
      </c>
      <c r="J16" s="33">
        <v>1.172946654515426E-4</v>
      </c>
      <c r="K16" s="33">
        <v>5.6566116250300785E-6</v>
      </c>
    </row>
    <row r="17" spans="1:11" x14ac:dyDescent="0.25">
      <c r="A17" s="17" t="s">
        <v>2764</v>
      </c>
      <c r="B17" s="33" t="s">
        <v>258</v>
      </c>
      <c r="C17" s="33" t="s">
        <v>259</v>
      </c>
      <c r="D17" s="67" t="s">
        <v>255</v>
      </c>
      <c r="E17" s="67" t="s">
        <v>256</v>
      </c>
      <c r="F17" s="67" t="s">
        <v>257</v>
      </c>
      <c r="G17" s="33">
        <v>0</v>
      </c>
      <c r="H17" s="33">
        <v>0</v>
      </c>
      <c r="I17" s="85">
        <v>9.6626700000000003</v>
      </c>
      <c r="J17" s="33">
        <v>3.4782279875255419E-4</v>
      </c>
      <c r="K17" s="33">
        <v>1.6773980976031848E-5</v>
      </c>
    </row>
    <row r="18" spans="1:11" x14ac:dyDescent="0.25">
      <c r="A18" s="17" t="s">
        <v>270</v>
      </c>
      <c r="B18" s="33" t="s">
        <v>271</v>
      </c>
      <c r="C18" s="33" t="s">
        <v>259</v>
      </c>
      <c r="D18" s="67" t="s">
        <v>255</v>
      </c>
      <c r="E18" s="67" t="s">
        <v>256</v>
      </c>
      <c r="F18" s="67" t="s">
        <v>257</v>
      </c>
      <c r="G18" s="33">
        <v>0</v>
      </c>
      <c r="H18" s="33">
        <v>0</v>
      </c>
      <c r="I18" s="85">
        <v>8.2596799999999995</v>
      </c>
      <c r="J18" s="33">
        <v>2.9731999689531954E-4</v>
      </c>
      <c r="K18" s="33">
        <v>1.4338450468463759E-5</v>
      </c>
    </row>
    <row r="19" spans="1:11" x14ac:dyDescent="0.25">
      <c r="A19" s="17" t="s">
        <v>2764</v>
      </c>
      <c r="B19" s="33" t="s">
        <v>272</v>
      </c>
      <c r="C19" s="33" t="s">
        <v>259</v>
      </c>
      <c r="D19" s="67" t="s">
        <v>255</v>
      </c>
      <c r="E19" s="67" t="s">
        <v>256</v>
      </c>
      <c r="F19" s="67" t="s">
        <v>257</v>
      </c>
      <c r="G19" s="33">
        <v>0</v>
      </c>
      <c r="H19" s="33">
        <v>0</v>
      </c>
      <c r="I19" s="85">
        <v>886.17559984812328</v>
      </c>
      <c r="J19" s="33">
        <v>3.1899265661085162E-2</v>
      </c>
      <c r="K19" s="33">
        <v>1.5383628596729506E-3</v>
      </c>
    </row>
    <row r="20" spans="1:11" x14ac:dyDescent="0.25">
      <c r="A20" s="17" t="s">
        <v>2764</v>
      </c>
      <c r="B20" s="33" t="s">
        <v>274</v>
      </c>
      <c r="C20" s="33" t="s">
        <v>259</v>
      </c>
      <c r="D20" s="67" t="s">
        <v>255</v>
      </c>
      <c r="E20" s="67" t="s">
        <v>256</v>
      </c>
      <c r="F20" s="67" t="s">
        <v>257</v>
      </c>
      <c r="G20" s="33">
        <v>0</v>
      </c>
      <c r="H20" s="33">
        <v>0</v>
      </c>
      <c r="I20" s="85">
        <v>4819.740971823303</v>
      </c>
      <c r="J20" s="33">
        <v>0.17349405434335818</v>
      </c>
      <c r="K20" s="33">
        <v>8.3668637520235428E-3</v>
      </c>
    </row>
    <row r="21" spans="1:11" x14ac:dyDescent="0.25">
      <c r="A21" s="17" t="s">
        <v>2764</v>
      </c>
      <c r="B21" s="33" t="s">
        <v>279</v>
      </c>
      <c r="C21" s="33" t="s">
        <v>259</v>
      </c>
      <c r="D21" s="67" t="s">
        <v>255</v>
      </c>
      <c r="E21" s="67" t="s">
        <v>256</v>
      </c>
      <c r="F21" s="67" t="s">
        <v>257</v>
      </c>
      <c r="G21" s="33">
        <v>0</v>
      </c>
      <c r="H21" s="33">
        <v>0</v>
      </c>
      <c r="I21" s="85">
        <v>8.3568188847360877E-2</v>
      </c>
      <c r="J21" s="33">
        <v>3.0081666176710002E-6</v>
      </c>
      <c r="K21" s="33">
        <v>1.4507079408973587E-7</v>
      </c>
    </row>
    <row r="22" spans="1:11" x14ac:dyDescent="0.25">
      <c r="A22" s="17" t="s">
        <v>2775</v>
      </c>
      <c r="B22" s="33" t="s">
        <v>284</v>
      </c>
      <c r="C22" s="33" t="s">
        <v>259</v>
      </c>
      <c r="D22" s="67" t="s">
        <v>255</v>
      </c>
      <c r="E22" s="67" t="s">
        <v>256</v>
      </c>
      <c r="F22" s="67" t="s">
        <v>257</v>
      </c>
      <c r="G22" s="33">
        <v>0</v>
      </c>
      <c r="H22" s="33">
        <v>0</v>
      </c>
      <c r="I22" s="85">
        <v>0.26972808690433192</v>
      </c>
      <c r="J22" s="33">
        <v>9.7092809843694233E-6</v>
      </c>
      <c r="K22" s="33">
        <v>4.6823639826618606E-7</v>
      </c>
    </row>
    <row r="23" spans="1:11" x14ac:dyDescent="0.25">
      <c r="A23" s="17" t="s">
        <v>2776</v>
      </c>
      <c r="B23" s="33" t="s">
        <v>286</v>
      </c>
      <c r="C23" s="33" t="s">
        <v>259</v>
      </c>
      <c r="D23" s="67" t="s">
        <v>255</v>
      </c>
      <c r="E23" s="67" t="s">
        <v>256</v>
      </c>
      <c r="F23" s="67" t="s">
        <v>257</v>
      </c>
      <c r="G23" s="33">
        <v>0</v>
      </c>
      <c r="H23" s="33">
        <v>0</v>
      </c>
      <c r="I23" s="85">
        <v>0</v>
      </c>
      <c r="J23" s="33">
        <v>0</v>
      </c>
      <c r="K23" s="33">
        <v>0</v>
      </c>
    </row>
    <row r="24" spans="1:11" x14ac:dyDescent="0.25">
      <c r="A24" s="17" t="s">
        <v>2776</v>
      </c>
      <c r="B24" s="33" t="s">
        <v>287</v>
      </c>
      <c r="C24" s="33" t="s">
        <v>259</v>
      </c>
      <c r="D24" s="67" t="s">
        <v>255</v>
      </c>
      <c r="E24" s="67" t="s">
        <v>256</v>
      </c>
      <c r="F24" s="67" t="s">
        <v>257</v>
      </c>
      <c r="G24" s="33">
        <v>0</v>
      </c>
      <c r="H24" s="33">
        <v>0</v>
      </c>
      <c r="I24" s="85">
        <v>5.1163674700310011</v>
      </c>
      <c r="J24" s="33">
        <v>1.841715853767859E-4</v>
      </c>
      <c r="K24" s="33">
        <v>8.8817946394410864E-6</v>
      </c>
    </row>
    <row r="25" spans="1:11" x14ac:dyDescent="0.25">
      <c r="A25" s="17" t="s">
        <v>288</v>
      </c>
      <c r="B25" s="33" t="s">
        <v>289</v>
      </c>
      <c r="C25" s="33" t="s">
        <v>259</v>
      </c>
      <c r="D25" s="67" t="s">
        <v>255</v>
      </c>
      <c r="E25" s="67" t="s">
        <v>256</v>
      </c>
      <c r="F25" s="67" t="s">
        <v>257</v>
      </c>
      <c r="G25" s="33">
        <v>0</v>
      </c>
      <c r="H25" s="33">
        <v>0</v>
      </c>
      <c r="I25" s="85">
        <v>1.0419727316803265E-3</v>
      </c>
      <c r="J25" s="33">
        <v>3.7507425148214248E-8</v>
      </c>
      <c r="K25" s="33">
        <v>1.8088200030374351E-9</v>
      </c>
    </row>
    <row r="26" spans="1:11" x14ac:dyDescent="0.25">
      <c r="A26" s="17" t="s">
        <v>2764</v>
      </c>
      <c r="B26" s="33" t="s">
        <v>303</v>
      </c>
      <c r="C26" s="33" t="s">
        <v>259</v>
      </c>
      <c r="D26" s="67" t="s">
        <v>255</v>
      </c>
      <c r="E26" s="67" t="s">
        <v>256</v>
      </c>
      <c r="F26" s="67" t="s">
        <v>257</v>
      </c>
      <c r="G26" s="33">
        <v>0</v>
      </c>
      <c r="H26" s="33">
        <v>0</v>
      </c>
      <c r="I26" s="85">
        <v>2414.829054053761</v>
      </c>
      <c r="J26" s="33">
        <v>8.6925518525414011E-2</v>
      </c>
      <c r="K26" s="33">
        <v>4.1920397377812517E-3</v>
      </c>
    </row>
    <row r="27" spans="1:11" x14ac:dyDescent="0.25">
      <c r="A27" s="17" t="s">
        <v>2775</v>
      </c>
      <c r="B27" s="33" t="s">
        <v>306</v>
      </c>
      <c r="C27" s="33" t="s">
        <v>259</v>
      </c>
      <c r="D27" s="67" t="s">
        <v>255</v>
      </c>
      <c r="E27" s="67" t="s">
        <v>256</v>
      </c>
      <c r="F27" s="67" t="s">
        <v>257</v>
      </c>
      <c r="G27" s="33">
        <v>0</v>
      </c>
      <c r="H27" s="33">
        <v>0</v>
      </c>
      <c r="I27" s="85">
        <v>0.7451315906831133</v>
      </c>
      <c r="J27" s="33">
        <v>2.6822167714549197E-5</v>
      </c>
      <c r="K27" s="33">
        <v>1.2935165049369264E-6</v>
      </c>
    </row>
    <row r="28" spans="1:11" x14ac:dyDescent="0.25">
      <c r="A28" s="17" t="s">
        <v>2765</v>
      </c>
      <c r="B28" s="33" t="s">
        <v>268</v>
      </c>
      <c r="C28" s="33" t="s">
        <v>269</v>
      </c>
      <c r="D28" s="67" t="s">
        <v>255</v>
      </c>
      <c r="E28" s="67" t="s">
        <v>256</v>
      </c>
      <c r="F28" s="67" t="s">
        <v>257</v>
      </c>
      <c r="G28" s="33">
        <v>0</v>
      </c>
      <c r="H28" s="33">
        <v>0</v>
      </c>
      <c r="I28" s="85">
        <v>2.03923548869934E-2</v>
      </c>
      <c r="J28" s="33">
        <v>7.3405445388793886E-7</v>
      </c>
      <c r="K28" s="33">
        <v>3.5400254063412838E-8</v>
      </c>
    </row>
    <row r="29" spans="1:11" x14ac:dyDescent="0.25">
      <c r="A29" s="17" t="s">
        <v>2765</v>
      </c>
      <c r="B29" s="33" t="s">
        <v>300</v>
      </c>
      <c r="C29" s="33" t="s">
        <v>269</v>
      </c>
      <c r="D29" s="67" t="s">
        <v>255</v>
      </c>
      <c r="E29" s="67" t="s">
        <v>256</v>
      </c>
      <c r="F29" s="67" t="s">
        <v>257</v>
      </c>
      <c r="G29" s="33">
        <v>0</v>
      </c>
      <c r="H29" s="33">
        <v>0</v>
      </c>
      <c r="I29" s="85">
        <v>6.3894403233094952E-3</v>
      </c>
      <c r="J29" s="33">
        <v>2.2999781796500692E-7</v>
      </c>
      <c r="K29" s="33">
        <v>1.1091794548575521E-8</v>
      </c>
    </row>
    <row r="30" spans="1:11" x14ac:dyDescent="0.25">
      <c r="A30" s="17" t="s">
        <v>2777</v>
      </c>
      <c r="B30" s="33" t="s">
        <v>304</v>
      </c>
      <c r="C30" s="33" t="s">
        <v>269</v>
      </c>
      <c r="D30" s="67" t="s">
        <v>255</v>
      </c>
      <c r="E30" s="67" t="s">
        <v>256</v>
      </c>
      <c r="F30" s="67" t="s">
        <v>257</v>
      </c>
      <c r="G30" s="33">
        <v>0</v>
      </c>
      <c r="H30" s="33">
        <v>0</v>
      </c>
      <c r="I30" s="85">
        <v>0.75025857175546862</v>
      </c>
      <c r="J30" s="33">
        <v>2.7006721353009171E-5</v>
      </c>
      <c r="K30" s="33">
        <v>1.3024167243351014E-6</v>
      </c>
    </row>
    <row r="31" spans="1:11" x14ac:dyDescent="0.25">
      <c r="A31" s="17" t="s">
        <v>2778</v>
      </c>
      <c r="B31" s="33" t="s">
        <v>260</v>
      </c>
      <c r="C31" s="33" t="s">
        <v>261</v>
      </c>
      <c r="D31" s="67" t="s">
        <v>255</v>
      </c>
      <c r="E31" s="67" t="s">
        <v>256</v>
      </c>
      <c r="F31" s="67" t="s">
        <v>257</v>
      </c>
      <c r="G31" s="33">
        <v>0</v>
      </c>
      <c r="H31" s="33">
        <v>0</v>
      </c>
      <c r="I31" s="85">
        <v>6664.3582980000001</v>
      </c>
      <c r="J31" s="33">
        <v>0.23989391701260301</v>
      </c>
      <c r="K31" s="33">
        <v>1.1569040369598877E-2</v>
      </c>
    </row>
    <row r="32" spans="1:11" x14ac:dyDescent="0.25">
      <c r="A32" s="17" t="s">
        <v>2779</v>
      </c>
      <c r="B32" s="33" t="s">
        <v>262</v>
      </c>
      <c r="C32" s="33" t="s">
        <v>261</v>
      </c>
      <c r="D32" s="67" t="s">
        <v>255</v>
      </c>
      <c r="E32" s="67" t="s">
        <v>256</v>
      </c>
      <c r="F32" s="67" t="s">
        <v>257</v>
      </c>
      <c r="G32" s="33">
        <v>0</v>
      </c>
      <c r="H32" s="33">
        <v>0</v>
      </c>
      <c r="I32" s="85">
        <v>47.100960000000001</v>
      </c>
      <c r="J32" s="33">
        <v>1.6954721346307082E-3</v>
      </c>
      <c r="K32" s="33">
        <v>8.1765247803437032E-5</v>
      </c>
    </row>
    <row r="33" spans="1:11" x14ac:dyDescent="0.25">
      <c r="A33" s="17" t="s">
        <v>2778</v>
      </c>
      <c r="B33" s="33" t="s">
        <v>275</v>
      </c>
      <c r="C33" s="33" t="s">
        <v>261</v>
      </c>
      <c r="D33" s="67" t="s">
        <v>255</v>
      </c>
      <c r="E33" s="67" t="s">
        <v>256</v>
      </c>
      <c r="F33" s="67" t="s">
        <v>257</v>
      </c>
      <c r="G33" s="33">
        <v>0</v>
      </c>
      <c r="H33" s="33">
        <v>0</v>
      </c>
      <c r="I33" s="85">
        <v>17.514819098340215</v>
      </c>
      <c r="J33" s="33">
        <v>6.3047308853861122E-4</v>
      </c>
      <c r="K33" s="33">
        <v>3.0404975266070145E-5</v>
      </c>
    </row>
    <row r="34" spans="1:11" x14ac:dyDescent="0.25">
      <c r="A34" s="17" t="s">
        <v>2778</v>
      </c>
      <c r="B34" s="33" t="s">
        <v>276</v>
      </c>
      <c r="C34" s="33" t="s">
        <v>261</v>
      </c>
      <c r="D34" s="67" t="s">
        <v>255</v>
      </c>
      <c r="E34" s="67" t="s">
        <v>256</v>
      </c>
      <c r="F34" s="67" t="s">
        <v>257</v>
      </c>
      <c r="G34" s="33">
        <v>0</v>
      </c>
      <c r="H34" s="33">
        <v>0</v>
      </c>
      <c r="I34" s="85">
        <v>6.0094469182694015</v>
      </c>
      <c r="J34" s="33">
        <v>2.1631936577233571E-4</v>
      </c>
      <c r="K34" s="33">
        <v>1.0432142284019235E-5</v>
      </c>
    </row>
    <row r="35" spans="1:11" x14ac:dyDescent="0.25">
      <c r="A35" s="17" t="s">
        <v>2778</v>
      </c>
      <c r="B35" s="33" t="s">
        <v>277</v>
      </c>
      <c r="C35" s="33" t="s">
        <v>261</v>
      </c>
      <c r="D35" s="67" t="s">
        <v>255</v>
      </c>
      <c r="E35" s="67" t="s">
        <v>256</v>
      </c>
      <c r="F35" s="67" t="s">
        <v>257</v>
      </c>
      <c r="G35" s="33">
        <v>0</v>
      </c>
      <c r="H35" s="33">
        <v>0</v>
      </c>
      <c r="I35" s="85">
        <v>10.872676588502731</v>
      </c>
      <c r="J35" s="33">
        <v>3.9137886328979393E-4</v>
      </c>
      <c r="K35" s="33">
        <v>1.8874500552548276E-5</v>
      </c>
    </row>
    <row r="36" spans="1:11" x14ac:dyDescent="0.25">
      <c r="A36" s="17" t="s">
        <v>2778</v>
      </c>
      <c r="B36" s="33" t="s">
        <v>278</v>
      </c>
      <c r="C36" s="33" t="s">
        <v>261</v>
      </c>
      <c r="D36" s="67" t="s">
        <v>255</v>
      </c>
      <c r="E36" s="67" t="s">
        <v>256</v>
      </c>
      <c r="F36" s="67" t="s">
        <v>257</v>
      </c>
      <c r="G36" s="33">
        <v>0</v>
      </c>
      <c r="H36" s="33">
        <v>0</v>
      </c>
      <c r="I36" s="85">
        <v>5.776676584357582</v>
      </c>
      <c r="J36" s="33">
        <v>2.0794043644868339E-4</v>
      </c>
      <c r="K36" s="33">
        <v>1.0028062960931368E-5</v>
      </c>
    </row>
    <row r="37" spans="1:11" x14ac:dyDescent="0.25">
      <c r="A37" s="17" t="s">
        <v>2779</v>
      </c>
      <c r="B37" s="33" t="s">
        <v>280</v>
      </c>
      <c r="C37" s="33" t="s">
        <v>261</v>
      </c>
      <c r="D37" s="67" t="s">
        <v>255</v>
      </c>
      <c r="E37" s="67" t="s">
        <v>256</v>
      </c>
      <c r="F37" s="67" t="s">
        <v>257</v>
      </c>
      <c r="G37" s="33">
        <v>0</v>
      </c>
      <c r="H37" s="33">
        <v>0</v>
      </c>
      <c r="I37" s="85">
        <v>1.81638898092784</v>
      </c>
      <c r="J37" s="33">
        <v>6.5383739584361371E-5</v>
      </c>
      <c r="K37" s="33">
        <v>3.1531734200958387E-6</v>
      </c>
    </row>
    <row r="38" spans="1:11" x14ac:dyDescent="0.25">
      <c r="A38" s="17" t="s">
        <v>2779</v>
      </c>
      <c r="B38" s="33" t="s">
        <v>281</v>
      </c>
      <c r="C38" s="33" t="s">
        <v>261</v>
      </c>
      <c r="D38" s="67" t="s">
        <v>255</v>
      </c>
      <c r="E38" s="67" t="s">
        <v>256</v>
      </c>
      <c r="F38" s="67" t="s">
        <v>257</v>
      </c>
      <c r="G38" s="33">
        <v>0</v>
      </c>
      <c r="H38" s="33">
        <v>0</v>
      </c>
      <c r="I38" s="85">
        <v>0.2166208393706929</v>
      </c>
      <c r="J38" s="33">
        <v>7.7976032109180881E-6</v>
      </c>
      <c r="K38" s="33">
        <v>3.7604449273503631E-7</v>
      </c>
    </row>
    <row r="39" spans="1:11" x14ac:dyDescent="0.25">
      <c r="A39" s="17" t="s">
        <v>2779</v>
      </c>
      <c r="B39" s="33" t="s">
        <v>282</v>
      </c>
      <c r="C39" s="33" t="s">
        <v>261</v>
      </c>
      <c r="D39" s="67" t="s">
        <v>255</v>
      </c>
      <c r="E39" s="67" t="s">
        <v>256</v>
      </c>
      <c r="F39" s="67" t="s">
        <v>257</v>
      </c>
      <c r="G39" s="33">
        <v>0</v>
      </c>
      <c r="H39" s="33">
        <v>0</v>
      </c>
      <c r="I39" s="85">
        <v>-1.5751848495377689E-2</v>
      </c>
      <c r="J39" s="33">
        <v>-5.6701222635032321E-7</v>
      </c>
      <c r="K39" s="33">
        <v>-2.7344533860599733E-8</v>
      </c>
    </row>
    <row r="40" spans="1:11" x14ac:dyDescent="0.25">
      <c r="A40" s="17" t="s">
        <v>2779</v>
      </c>
      <c r="B40" s="33" t="s">
        <v>283</v>
      </c>
      <c r="C40" s="33" t="s">
        <v>261</v>
      </c>
      <c r="D40" s="67" t="s">
        <v>255</v>
      </c>
      <c r="E40" s="67" t="s">
        <v>256</v>
      </c>
      <c r="F40" s="67" t="s">
        <v>257</v>
      </c>
      <c r="G40" s="33">
        <v>0</v>
      </c>
      <c r="H40" s="33">
        <v>0</v>
      </c>
      <c r="I40" s="85">
        <v>0.4349716261412499</v>
      </c>
      <c r="J40" s="33">
        <v>1.565747856259183E-5</v>
      </c>
      <c r="K40" s="33">
        <v>7.5509210001034515E-7</v>
      </c>
    </row>
    <row r="41" spans="1:11" x14ac:dyDescent="0.25">
      <c r="A41" s="17" t="s">
        <v>2778</v>
      </c>
      <c r="B41" s="33" t="s">
        <v>302</v>
      </c>
      <c r="C41" s="33" t="s">
        <v>261</v>
      </c>
      <c r="D41" s="67" t="s">
        <v>255</v>
      </c>
      <c r="E41" s="67" t="s">
        <v>256</v>
      </c>
      <c r="F41" s="67" t="s">
        <v>257</v>
      </c>
      <c r="G41" s="33">
        <v>0</v>
      </c>
      <c r="H41" s="33">
        <v>0</v>
      </c>
      <c r="I41" s="85">
        <v>1.8069194572730674</v>
      </c>
      <c r="J41" s="33">
        <v>6.5042869387981221E-5</v>
      </c>
      <c r="K41" s="33">
        <v>3.1367347328968306E-6</v>
      </c>
    </row>
    <row r="42" spans="1:11" x14ac:dyDescent="0.25">
      <c r="A42" s="17" t="s">
        <v>2779</v>
      </c>
      <c r="B42" s="33" t="s">
        <v>305</v>
      </c>
      <c r="C42" s="33" t="s">
        <v>261</v>
      </c>
      <c r="D42" s="67" t="s">
        <v>255</v>
      </c>
      <c r="E42" s="67" t="s">
        <v>256</v>
      </c>
      <c r="F42" s="67" t="s">
        <v>257</v>
      </c>
      <c r="G42" s="33">
        <v>0</v>
      </c>
      <c r="H42" s="33">
        <v>0</v>
      </c>
      <c r="I42" s="85">
        <v>0.31757705722710966</v>
      </c>
      <c r="J42" s="33">
        <v>1.143167891114292E-5</v>
      </c>
      <c r="K42" s="33">
        <v>5.5130015993009328E-7</v>
      </c>
    </row>
    <row r="43" spans="1:11" x14ac:dyDescent="0.25">
      <c r="A43" s="17" t="s">
        <v>2792</v>
      </c>
      <c r="B43" s="33" t="s">
        <v>290</v>
      </c>
      <c r="C43" s="33" t="s">
        <v>291</v>
      </c>
      <c r="D43" s="67" t="s">
        <v>255</v>
      </c>
      <c r="E43" s="67" t="s">
        <v>256</v>
      </c>
      <c r="F43" s="67" t="s">
        <v>257</v>
      </c>
      <c r="G43" s="33">
        <v>0</v>
      </c>
      <c r="H43" s="33">
        <v>0</v>
      </c>
      <c r="I43" s="85">
        <v>177.41560812000009</v>
      </c>
      <c r="J43" s="33">
        <v>6.3863500832259416E-3</v>
      </c>
      <c r="K43" s="33">
        <v>3.0798589162788365E-4</v>
      </c>
    </row>
    <row r="44" spans="1:11" x14ac:dyDescent="0.25">
      <c r="A44" s="17" t="s">
        <v>2792</v>
      </c>
      <c r="B44" s="33" t="s">
        <v>293</v>
      </c>
      <c r="C44" s="33" t="s">
        <v>291</v>
      </c>
      <c r="D44" s="67" t="s">
        <v>255</v>
      </c>
      <c r="E44" s="67" t="s">
        <v>256</v>
      </c>
      <c r="F44" s="67" t="s">
        <v>257</v>
      </c>
      <c r="G44" s="33">
        <v>0</v>
      </c>
      <c r="H44" s="33">
        <v>0</v>
      </c>
      <c r="I44" s="85">
        <v>4.4419321335177342E-3</v>
      </c>
      <c r="J44" s="33">
        <v>1.5989423901975774E-7</v>
      </c>
      <c r="K44" s="33">
        <v>7.7110038016874236E-9</v>
      </c>
    </row>
    <row r="45" spans="1:11" x14ac:dyDescent="0.25">
      <c r="A45" s="17" t="s">
        <v>2792</v>
      </c>
      <c r="B45" s="33" t="s">
        <v>295</v>
      </c>
      <c r="C45" s="33" t="s">
        <v>291</v>
      </c>
      <c r="D45" s="67" t="s">
        <v>255</v>
      </c>
      <c r="E45" s="67" t="s">
        <v>256</v>
      </c>
      <c r="F45" s="67" t="s">
        <v>257</v>
      </c>
      <c r="G45" s="33">
        <v>0</v>
      </c>
      <c r="H45" s="33">
        <v>0</v>
      </c>
      <c r="I45" s="85">
        <v>0.29831963966046926</v>
      </c>
      <c r="J45" s="33">
        <v>1.073847828701155E-5</v>
      </c>
      <c r="K45" s="33">
        <v>5.1787010841117281E-7</v>
      </c>
    </row>
    <row r="46" spans="1:11" x14ac:dyDescent="0.25">
      <c r="A46" s="17" t="s">
        <v>2759</v>
      </c>
      <c r="B46" s="33" t="s">
        <v>263</v>
      </c>
      <c r="C46" s="33" t="s">
        <v>264</v>
      </c>
      <c r="D46" s="67" t="s">
        <v>265</v>
      </c>
      <c r="E46" s="67" t="s">
        <v>266</v>
      </c>
      <c r="F46" s="67" t="s">
        <v>257</v>
      </c>
      <c r="G46" s="33">
        <v>0</v>
      </c>
      <c r="H46" s="33">
        <v>0</v>
      </c>
      <c r="I46" s="85">
        <v>44.273699999999998</v>
      </c>
      <c r="J46" s="33">
        <v>1.5937005242992837E-3</v>
      </c>
      <c r="K46" s="33">
        <v>7.685724562036591E-5</v>
      </c>
    </row>
    <row r="47" spans="1:11" x14ac:dyDescent="0.25">
      <c r="A47" s="17" t="s">
        <v>2758</v>
      </c>
      <c r="B47" s="33" t="s">
        <v>267</v>
      </c>
      <c r="C47" s="33" t="s">
        <v>264</v>
      </c>
      <c r="D47" s="67" t="s">
        <v>265</v>
      </c>
      <c r="E47" s="67" t="s">
        <v>266</v>
      </c>
      <c r="F47" s="67" t="s">
        <v>257</v>
      </c>
      <c r="G47" s="33">
        <v>0</v>
      </c>
      <c r="H47" s="33">
        <v>0</v>
      </c>
      <c r="I47" s="85">
        <v>0.69328999999999996</v>
      </c>
      <c r="J47" s="33">
        <v>2.495604922316071E-5</v>
      </c>
      <c r="K47" s="33">
        <v>1.2035217254519835E-6</v>
      </c>
    </row>
    <row r="48" spans="1:11" x14ac:dyDescent="0.25">
      <c r="A48" s="17" t="s">
        <v>2758</v>
      </c>
      <c r="B48" s="33" t="s">
        <v>296</v>
      </c>
      <c r="C48" s="33" t="s">
        <v>264</v>
      </c>
      <c r="D48" s="67" t="s">
        <v>265</v>
      </c>
      <c r="E48" s="67" t="s">
        <v>266</v>
      </c>
      <c r="F48" s="67" t="s">
        <v>257</v>
      </c>
      <c r="G48" s="33">
        <v>0</v>
      </c>
      <c r="H48" s="33">
        <v>0</v>
      </c>
      <c r="I48" s="85">
        <v>0.13265901539117905</v>
      </c>
      <c r="J48" s="33">
        <v>4.7752670859211854E-6</v>
      </c>
      <c r="K48" s="33">
        <v>2.3029036492716333E-7</v>
      </c>
    </row>
    <row r="49" spans="1:11" x14ac:dyDescent="0.25">
      <c r="A49" s="17" t="s">
        <v>2758</v>
      </c>
      <c r="B49" s="33" t="s">
        <v>297</v>
      </c>
      <c r="C49" s="33" t="s">
        <v>264</v>
      </c>
      <c r="D49" s="67" t="s">
        <v>265</v>
      </c>
      <c r="E49" s="67" t="s">
        <v>266</v>
      </c>
      <c r="F49" s="67" t="s">
        <v>257</v>
      </c>
      <c r="G49" s="33">
        <v>0</v>
      </c>
      <c r="H49" s="33">
        <v>0</v>
      </c>
      <c r="I49" s="85">
        <v>0.38493361834151985</v>
      </c>
      <c r="J49" s="33">
        <v>1.3856282835437302E-5</v>
      </c>
      <c r="K49" s="33">
        <v>6.6822826310903267E-7</v>
      </c>
    </row>
    <row r="50" spans="1:11" x14ac:dyDescent="0.25">
      <c r="A50" s="17" t="s">
        <v>2758</v>
      </c>
      <c r="B50" s="33" t="s">
        <v>298</v>
      </c>
      <c r="C50" s="33" t="s">
        <v>264</v>
      </c>
      <c r="D50" s="67" t="s">
        <v>265</v>
      </c>
      <c r="E50" s="67" t="s">
        <v>266</v>
      </c>
      <c r="F50" s="67" t="s">
        <v>257</v>
      </c>
      <c r="G50" s="33">
        <v>0</v>
      </c>
      <c r="H50" s="33">
        <v>0</v>
      </c>
      <c r="I50" s="85">
        <v>0.61625244414341707</v>
      </c>
      <c r="J50" s="33">
        <v>2.2182962872587535E-5</v>
      </c>
      <c r="K50" s="33">
        <v>1.0697878303300026E-6</v>
      </c>
    </row>
    <row r="51" spans="1:11" x14ac:dyDescent="0.25">
      <c r="A51" s="17" t="s">
        <v>2758</v>
      </c>
      <c r="B51" s="33" t="s">
        <v>299</v>
      </c>
      <c r="C51" s="33" t="s">
        <v>264</v>
      </c>
      <c r="D51" s="67" t="s">
        <v>265</v>
      </c>
      <c r="E51" s="67" t="s">
        <v>266</v>
      </c>
      <c r="F51" s="67" t="s">
        <v>257</v>
      </c>
      <c r="G51" s="33">
        <v>0</v>
      </c>
      <c r="H51" s="33">
        <v>0</v>
      </c>
      <c r="I51" s="85">
        <v>1.5328203950838678E-3</v>
      </c>
      <c r="J51" s="33">
        <v>5.5176248366452212E-8</v>
      </c>
      <c r="K51" s="33">
        <v>2.6609105088769891E-9</v>
      </c>
    </row>
    <row r="52" spans="1:11" x14ac:dyDescent="0.25">
      <c r="A52" s="17" t="s">
        <v>2759</v>
      </c>
      <c r="B52" s="33" t="s">
        <v>301</v>
      </c>
      <c r="C52" s="33" t="s">
        <v>264</v>
      </c>
      <c r="D52" s="67" t="s">
        <v>265</v>
      </c>
      <c r="E52" s="67" t="s">
        <v>266</v>
      </c>
      <c r="F52" s="67" t="s">
        <v>257</v>
      </c>
      <c r="G52" s="33">
        <v>0</v>
      </c>
      <c r="H52" s="33">
        <v>0</v>
      </c>
      <c r="I52" s="85">
        <v>4.1387567144283857</v>
      </c>
      <c r="J52" s="33">
        <v>1.4898096941822571E-4</v>
      </c>
      <c r="K52" s="33">
        <v>7.184704268307394E-6</v>
      </c>
    </row>
    <row r="53" spans="1:11" s="118" customFormat="1" x14ac:dyDescent="0.25">
      <c r="A53" s="93" t="s">
        <v>307</v>
      </c>
      <c r="B53" s="120" t="s">
        <v>251</v>
      </c>
      <c r="C53" s="120" t="s">
        <v>251</v>
      </c>
      <c r="D53" s="121" t="s">
        <v>251</v>
      </c>
      <c r="E53" s="121" t="s">
        <v>251</v>
      </c>
      <c r="F53" s="121" t="s">
        <v>251</v>
      </c>
      <c r="G53" s="120" t="s">
        <v>251</v>
      </c>
      <c r="H53" s="120" t="s">
        <v>251</v>
      </c>
      <c r="I53" s="123">
        <v>1752.9223356511375</v>
      </c>
      <c r="J53" s="120">
        <v>6.3099159216038925E-2</v>
      </c>
      <c r="K53" s="120">
        <v>3.0429980440885894E-3</v>
      </c>
    </row>
    <row r="54" spans="1:11" x14ac:dyDescent="0.25">
      <c r="A54" s="17" t="s">
        <v>2780</v>
      </c>
      <c r="B54" s="33" t="s">
        <v>308</v>
      </c>
      <c r="C54" s="33" t="s">
        <v>254</v>
      </c>
      <c r="D54" s="67" t="s">
        <v>255</v>
      </c>
      <c r="E54" s="67" t="s">
        <v>256</v>
      </c>
      <c r="F54" s="67" t="s">
        <v>125</v>
      </c>
      <c r="G54" s="33">
        <v>0</v>
      </c>
      <c r="H54" s="33">
        <v>0</v>
      </c>
      <c r="I54" s="85">
        <v>18.521939999999997</v>
      </c>
      <c r="J54" s="33">
        <v>6.667259679909263E-4</v>
      </c>
      <c r="K54" s="33">
        <v>3.2153293985948319E-5</v>
      </c>
    </row>
    <row r="55" spans="1:11" x14ac:dyDescent="0.25">
      <c r="A55" s="17" t="s">
        <v>2780</v>
      </c>
      <c r="B55" s="33" t="s">
        <v>328</v>
      </c>
      <c r="C55" s="33" t="s">
        <v>254</v>
      </c>
      <c r="D55" s="67" t="s">
        <v>255</v>
      </c>
      <c r="E55" s="67" t="s">
        <v>256</v>
      </c>
      <c r="F55" s="67" t="s">
        <v>125</v>
      </c>
      <c r="G55" s="33">
        <v>0</v>
      </c>
      <c r="H55" s="33">
        <v>0</v>
      </c>
      <c r="I55" s="85">
        <v>18.837489262911305</v>
      </c>
      <c r="J55" s="33">
        <v>6.7808465329945037E-4</v>
      </c>
      <c r="K55" s="33">
        <v>3.2701073981857848E-5</v>
      </c>
    </row>
    <row r="56" spans="1:11" x14ac:dyDescent="0.25">
      <c r="A56" s="17" t="s">
        <v>2793</v>
      </c>
      <c r="B56" s="33" t="s">
        <v>331</v>
      </c>
      <c r="C56" s="33" t="s">
        <v>254</v>
      </c>
      <c r="D56" s="67" t="s">
        <v>255</v>
      </c>
      <c r="E56" s="67" t="s">
        <v>256</v>
      </c>
      <c r="F56" s="67" t="s">
        <v>125</v>
      </c>
      <c r="G56" s="33">
        <v>0</v>
      </c>
      <c r="H56" s="33">
        <v>0</v>
      </c>
      <c r="I56" s="85">
        <v>9.4115675525937414E-2</v>
      </c>
      <c r="J56" s="33">
        <v>3.387839765605037E-6</v>
      </c>
      <c r="K56" s="33">
        <v>1.6338077889635683E-7</v>
      </c>
    </row>
    <row r="57" spans="1:11" x14ac:dyDescent="0.25">
      <c r="A57" s="17" t="s">
        <v>2781</v>
      </c>
      <c r="B57" s="33" t="s">
        <v>341</v>
      </c>
      <c r="C57" s="33" t="s">
        <v>254</v>
      </c>
      <c r="D57" s="67" t="s">
        <v>255</v>
      </c>
      <c r="E57" s="67" t="s">
        <v>256</v>
      </c>
      <c r="F57" s="67" t="s">
        <v>125</v>
      </c>
      <c r="G57" s="33">
        <v>0</v>
      </c>
      <c r="H57" s="33">
        <v>0</v>
      </c>
      <c r="I57" s="85">
        <v>-8.2812911531854319</v>
      </c>
      <c r="J57" s="33">
        <v>-2.9809792388498456E-4</v>
      </c>
      <c r="K57" s="33">
        <v>-1.4375966504135323E-5</v>
      </c>
    </row>
    <row r="58" spans="1:11" x14ac:dyDescent="0.25">
      <c r="A58" s="17" t="s">
        <v>2768</v>
      </c>
      <c r="B58" s="33" t="s">
        <v>309</v>
      </c>
      <c r="C58" s="33" t="s">
        <v>259</v>
      </c>
      <c r="D58" s="67" t="s">
        <v>255</v>
      </c>
      <c r="E58" s="67" t="s">
        <v>256</v>
      </c>
      <c r="F58" s="67" t="s">
        <v>125</v>
      </c>
      <c r="G58" s="33">
        <v>0</v>
      </c>
      <c r="H58" s="33">
        <v>0</v>
      </c>
      <c r="I58" s="85">
        <v>24.52974</v>
      </c>
      <c r="J58" s="33">
        <v>8.8298605038488116E-4</v>
      </c>
      <c r="K58" s="33">
        <v>4.2582577290439126E-5</v>
      </c>
    </row>
    <row r="59" spans="1:11" x14ac:dyDescent="0.25">
      <c r="A59" s="17" t="s">
        <v>2768</v>
      </c>
      <c r="B59" s="33" t="s">
        <v>313</v>
      </c>
      <c r="C59" s="33" t="s">
        <v>259</v>
      </c>
      <c r="D59" s="67" t="s">
        <v>255</v>
      </c>
      <c r="E59" s="67" t="s">
        <v>256</v>
      </c>
      <c r="F59" s="67" t="s">
        <v>125</v>
      </c>
      <c r="G59" s="33">
        <v>0</v>
      </c>
      <c r="H59" s="33">
        <v>0</v>
      </c>
      <c r="I59" s="85">
        <v>9.6706882518041386</v>
      </c>
      <c r="J59" s="33">
        <v>3.4811142816695189E-4</v>
      </c>
      <c r="K59" s="33">
        <v>1.6787900317499955E-5</v>
      </c>
    </row>
    <row r="60" spans="1:11" x14ac:dyDescent="0.25">
      <c r="A60" s="17" t="s">
        <v>2783</v>
      </c>
      <c r="B60" s="33" t="s">
        <v>314</v>
      </c>
      <c r="C60" s="33" t="s">
        <v>259</v>
      </c>
      <c r="D60" s="67" t="s">
        <v>255</v>
      </c>
      <c r="E60" s="67" t="s">
        <v>256</v>
      </c>
      <c r="F60" s="67" t="s">
        <v>125</v>
      </c>
      <c r="G60" s="33">
        <v>0</v>
      </c>
      <c r="H60" s="33">
        <v>0</v>
      </c>
      <c r="I60" s="85">
        <v>-9.6706882518041386</v>
      </c>
      <c r="J60" s="33">
        <v>-3.4811142816695189E-4</v>
      </c>
      <c r="K60" s="33">
        <v>-1.6787900317499955E-5</v>
      </c>
    </row>
    <row r="61" spans="1:11" x14ac:dyDescent="0.25">
      <c r="A61" s="17" t="s">
        <v>2766</v>
      </c>
      <c r="B61" s="33" t="s">
        <v>315</v>
      </c>
      <c r="C61" s="33" t="s">
        <v>259</v>
      </c>
      <c r="D61" s="67" t="s">
        <v>255</v>
      </c>
      <c r="E61" s="67" t="s">
        <v>256</v>
      </c>
      <c r="F61" s="67" t="s">
        <v>126</v>
      </c>
      <c r="G61" s="33">
        <v>0</v>
      </c>
      <c r="H61" s="33">
        <v>0</v>
      </c>
      <c r="I61" s="85">
        <v>94.716442333053038</v>
      </c>
      <c r="J61" s="33">
        <v>3.4094652989460896E-3</v>
      </c>
      <c r="K61" s="33">
        <v>1.6442368432452407E-4</v>
      </c>
    </row>
    <row r="62" spans="1:11" x14ac:dyDescent="0.25">
      <c r="A62" s="17" t="s">
        <v>2767</v>
      </c>
      <c r="B62" s="33" t="s">
        <v>317</v>
      </c>
      <c r="C62" s="33" t="s">
        <v>259</v>
      </c>
      <c r="D62" s="67" t="s">
        <v>255</v>
      </c>
      <c r="E62" s="67" t="s">
        <v>256</v>
      </c>
      <c r="F62" s="67" t="s">
        <v>126</v>
      </c>
      <c r="G62" s="33">
        <v>0</v>
      </c>
      <c r="H62" s="33">
        <v>0</v>
      </c>
      <c r="I62" s="85">
        <v>-3.9304026909862046E-2</v>
      </c>
      <c r="J62" s="33">
        <v>-1.4148094307302145E-6</v>
      </c>
      <c r="K62" s="33">
        <v>-6.8230106137068708E-8</v>
      </c>
    </row>
    <row r="63" spans="1:11" x14ac:dyDescent="0.25">
      <c r="A63" s="17" t="s">
        <v>2768</v>
      </c>
      <c r="B63" s="33" t="s">
        <v>320</v>
      </c>
      <c r="C63" s="33" t="s">
        <v>259</v>
      </c>
      <c r="D63" s="67" t="s">
        <v>255</v>
      </c>
      <c r="E63" s="67" t="s">
        <v>256</v>
      </c>
      <c r="F63" s="67" t="s">
        <v>125</v>
      </c>
      <c r="G63" s="33">
        <v>0</v>
      </c>
      <c r="H63" s="33">
        <v>0</v>
      </c>
      <c r="I63" s="85">
        <v>2.7803796763748161</v>
      </c>
      <c r="J63" s="33">
        <v>1.0008408034543344E-4</v>
      </c>
      <c r="K63" s="33">
        <v>4.8266199505578426E-6</v>
      </c>
    </row>
    <row r="64" spans="1:11" x14ac:dyDescent="0.25">
      <c r="A64" s="17" t="s">
        <v>2768</v>
      </c>
      <c r="B64" s="33" t="s">
        <v>323</v>
      </c>
      <c r="C64" s="33" t="s">
        <v>259</v>
      </c>
      <c r="D64" s="67" t="s">
        <v>255</v>
      </c>
      <c r="E64" s="67" t="s">
        <v>256</v>
      </c>
      <c r="F64" s="67" t="s">
        <v>125</v>
      </c>
      <c r="G64" s="33">
        <v>0</v>
      </c>
      <c r="H64" s="33">
        <v>0</v>
      </c>
      <c r="I64" s="85">
        <v>273.15439389911768</v>
      </c>
      <c r="J64" s="33">
        <v>9.8326162207287137E-3</v>
      </c>
      <c r="K64" s="33">
        <v>4.741843203569313E-4</v>
      </c>
    </row>
    <row r="65" spans="1:11" x14ac:dyDescent="0.25">
      <c r="A65" s="17" t="s">
        <v>2782</v>
      </c>
      <c r="B65" s="33" t="s">
        <v>329</v>
      </c>
      <c r="C65" s="33" t="s">
        <v>259</v>
      </c>
      <c r="D65" s="67" t="s">
        <v>255</v>
      </c>
      <c r="E65" s="67" t="s">
        <v>256</v>
      </c>
      <c r="F65" s="67" t="s">
        <v>125</v>
      </c>
      <c r="G65" s="33">
        <v>0</v>
      </c>
      <c r="H65" s="33">
        <v>0</v>
      </c>
      <c r="I65" s="85">
        <v>0.81866660489360121</v>
      </c>
      <c r="J65" s="33">
        <v>2.9469174644207433E-5</v>
      </c>
      <c r="K65" s="33">
        <v>1.4211701378809217E-6</v>
      </c>
    </row>
    <row r="66" spans="1:11" x14ac:dyDescent="0.25">
      <c r="A66" s="17" t="s">
        <v>2782</v>
      </c>
      <c r="B66" s="33" t="s">
        <v>330</v>
      </c>
      <c r="C66" s="33" t="s">
        <v>259</v>
      </c>
      <c r="D66" s="67" t="s">
        <v>255</v>
      </c>
      <c r="E66" s="67" t="s">
        <v>256</v>
      </c>
      <c r="F66" s="67" t="s">
        <v>125</v>
      </c>
      <c r="G66" s="33">
        <v>0</v>
      </c>
      <c r="H66" s="33">
        <v>0</v>
      </c>
      <c r="I66" s="85">
        <v>77.431681750614999</v>
      </c>
      <c r="J66" s="33">
        <v>2.7872735236343562E-3</v>
      </c>
      <c r="K66" s="33">
        <v>1.3441808078170611E-4</v>
      </c>
    </row>
    <row r="67" spans="1:11" x14ac:dyDescent="0.25">
      <c r="A67" s="17" t="s">
        <v>2794</v>
      </c>
      <c r="B67" s="33" t="s">
        <v>332</v>
      </c>
      <c r="C67" s="33" t="s">
        <v>259</v>
      </c>
      <c r="D67" s="67" t="s">
        <v>255</v>
      </c>
      <c r="E67" s="67" t="s">
        <v>256</v>
      </c>
      <c r="F67" s="67" t="s">
        <v>125</v>
      </c>
      <c r="G67" s="33">
        <v>0</v>
      </c>
      <c r="H67" s="33">
        <v>0</v>
      </c>
      <c r="I67" s="85">
        <v>0.49886573498220488</v>
      </c>
      <c r="J67" s="33">
        <v>1.7957446145140059E-5</v>
      </c>
      <c r="K67" s="33">
        <v>8.6600953444396312E-7</v>
      </c>
    </row>
    <row r="68" spans="1:11" x14ac:dyDescent="0.25">
      <c r="A68" s="17" t="s">
        <v>2783</v>
      </c>
      <c r="B68" s="33" t="s">
        <v>333</v>
      </c>
      <c r="C68" s="33" t="s">
        <v>259</v>
      </c>
      <c r="D68" s="67" t="s">
        <v>255</v>
      </c>
      <c r="E68" s="67" t="s">
        <v>256</v>
      </c>
      <c r="F68" s="67" t="s">
        <v>125</v>
      </c>
      <c r="G68" s="33">
        <v>0</v>
      </c>
      <c r="H68" s="33">
        <v>0</v>
      </c>
      <c r="I68" s="85">
        <v>-5.6403358305254316E-2</v>
      </c>
      <c r="J68" s="33">
        <v>-2.0303263947518312E-6</v>
      </c>
      <c r="K68" s="33">
        <v>-9.7913812558707239E-8</v>
      </c>
    </row>
    <row r="69" spans="1:11" x14ac:dyDescent="0.25">
      <c r="A69" s="17" t="s">
        <v>2768</v>
      </c>
      <c r="B69" s="33" t="s">
        <v>343</v>
      </c>
      <c r="C69" s="33" t="s">
        <v>259</v>
      </c>
      <c r="D69" s="67" t="s">
        <v>255</v>
      </c>
      <c r="E69" s="67" t="s">
        <v>256</v>
      </c>
      <c r="F69" s="67" t="s">
        <v>125</v>
      </c>
      <c r="G69" s="33">
        <v>0</v>
      </c>
      <c r="H69" s="33">
        <v>0</v>
      </c>
      <c r="I69" s="85">
        <v>0.80809336247225205</v>
      </c>
      <c r="J69" s="33">
        <v>2.908857437835101E-5</v>
      </c>
      <c r="K69" s="33">
        <v>1.4028154422087439E-6</v>
      </c>
    </row>
    <row r="70" spans="1:11" x14ac:dyDescent="0.25">
      <c r="A70" s="17" t="s">
        <v>2783</v>
      </c>
      <c r="B70" s="33" t="s">
        <v>345</v>
      </c>
      <c r="C70" s="33" t="s">
        <v>259</v>
      </c>
      <c r="D70" s="67" t="s">
        <v>255</v>
      </c>
      <c r="E70" s="67" t="s">
        <v>256</v>
      </c>
      <c r="F70" s="67" t="s">
        <v>125</v>
      </c>
      <c r="G70" s="33">
        <v>0</v>
      </c>
      <c r="H70" s="33">
        <v>0</v>
      </c>
      <c r="I70" s="85">
        <v>-4.594884060169958E-3</v>
      </c>
      <c r="J70" s="33">
        <v>-1.6539998093195924E-7</v>
      </c>
      <c r="K70" s="33">
        <v>-7.9765217908055275E-9</v>
      </c>
    </row>
    <row r="71" spans="1:11" x14ac:dyDescent="0.25">
      <c r="A71" s="17" t="s">
        <v>2784</v>
      </c>
      <c r="B71" s="33" t="s">
        <v>310</v>
      </c>
      <c r="C71" s="33" t="s">
        <v>261</v>
      </c>
      <c r="D71" s="67" t="s">
        <v>255</v>
      </c>
      <c r="E71" s="67" t="s">
        <v>256</v>
      </c>
      <c r="F71" s="67" t="s">
        <v>125</v>
      </c>
      <c r="G71" s="33">
        <v>0</v>
      </c>
      <c r="H71" s="33">
        <v>0</v>
      </c>
      <c r="I71" s="85">
        <v>752.64784999999995</v>
      </c>
      <c r="J71" s="33">
        <v>2.7092727130502502E-2</v>
      </c>
      <c r="K71" s="33">
        <v>1.3065644089626646E-3</v>
      </c>
    </row>
    <row r="72" spans="1:11" x14ac:dyDescent="0.25">
      <c r="A72" s="17" t="s">
        <v>2795</v>
      </c>
      <c r="B72" s="33" t="s">
        <v>316</v>
      </c>
      <c r="C72" s="33" t="s">
        <v>261</v>
      </c>
      <c r="D72" s="67" t="s">
        <v>255</v>
      </c>
      <c r="E72" s="67" t="s">
        <v>256</v>
      </c>
      <c r="F72" s="67" t="s">
        <v>126</v>
      </c>
      <c r="G72" s="33">
        <v>0</v>
      </c>
      <c r="H72" s="33">
        <v>0</v>
      </c>
      <c r="I72" s="85">
        <v>1.8132600000000001</v>
      </c>
      <c r="J72" s="33">
        <v>6.527110706109765E-5</v>
      </c>
      <c r="K72" s="33">
        <v>3.147741643313857E-6</v>
      </c>
    </row>
    <row r="73" spans="1:11" x14ac:dyDescent="0.25">
      <c r="A73" s="17" t="s">
        <v>2784</v>
      </c>
      <c r="B73" s="33" t="s">
        <v>321</v>
      </c>
      <c r="C73" s="33" t="s">
        <v>261</v>
      </c>
      <c r="D73" s="67" t="s">
        <v>255</v>
      </c>
      <c r="E73" s="67" t="s">
        <v>256</v>
      </c>
      <c r="F73" s="67" t="s">
        <v>125</v>
      </c>
      <c r="G73" s="33">
        <v>0</v>
      </c>
      <c r="H73" s="33">
        <v>0</v>
      </c>
      <c r="I73" s="85">
        <v>2.0155695705194505</v>
      </c>
      <c r="J73" s="33">
        <v>7.2553553945085462E-5</v>
      </c>
      <c r="K73" s="33">
        <v>3.4989423867069806E-6</v>
      </c>
    </row>
    <row r="74" spans="1:11" x14ac:dyDescent="0.25">
      <c r="A74" s="17" t="s">
        <v>2784</v>
      </c>
      <c r="B74" s="33" t="s">
        <v>322</v>
      </c>
      <c r="C74" s="33" t="s">
        <v>261</v>
      </c>
      <c r="D74" s="67" t="s">
        <v>255</v>
      </c>
      <c r="E74" s="67" t="s">
        <v>256</v>
      </c>
      <c r="F74" s="67" t="s">
        <v>125</v>
      </c>
      <c r="G74" s="33">
        <v>0</v>
      </c>
      <c r="H74" s="33">
        <v>0</v>
      </c>
      <c r="I74" s="85">
        <v>2.5132315303278904E-2</v>
      </c>
      <c r="J74" s="33">
        <v>9.046766833513011E-7</v>
      </c>
      <c r="K74" s="33">
        <v>4.3628622190433327E-8</v>
      </c>
    </row>
    <row r="75" spans="1:11" x14ac:dyDescent="0.25">
      <c r="A75" s="17" t="s">
        <v>2784</v>
      </c>
      <c r="B75" s="33" t="s">
        <v>324</v>
      </c>
      <c r="C75" s="33" t="s">
        <v>261</v>
      </c>
      <c r="D75" s="67" t="s">
        <v>255</v>
      </c>
      <c r="E75" s="67" t="s">
        <v>256</v>
      </c>
      <c r="F75" s="67" t="s">
        <v>125</v>
      </c>
      <c r="G75" s="33">
        <v>0</v>
      </c>
      <c r="H75" s="33">
        <v>0</v>
      </c>
      <c r="I75" s="85">
        <v>7.3339450222178328</v>
      </c>
      <c r="J75" s="33">
        <v>2.6399673004719919E-4</v>
      </c>
      <c r="K75" s="33">
        <v>1.2731414224220156E-5</v>
      </c>
    </row>
    <row r="76" spans="1:11" x14ac:dyDescent="0.25">
      <c r="A76" s="17" t="s">
        <v>2785</v>
      </c>
      <c r="B76" s="33" t="s">
        <v>325</v>
      </c>
      <c r="C76" s="33" t="s">
        <v>261</v>
      </c>
      <c r="D76" s="67" t="s">
        <v>255</v>
      </c>
      <c r="E76" s="67" t="s">
        <v>256</v>
      </c>
      <c r="F76" s="67" t="s">
        <v>125</v>
      </c>
      <c r="G76" s="33">
        <v>0</v>
      </c>
      <c r="H76" s="33">
        <v>0</v>
      </c>
      <c r="I76" s="85">
        <v>2.4382763704714865E-2</v>
      </c>
      <c r="J76" s="33">
        <v>8.776954105952207E-7</v>
      </c>
      <c r="K76" s="33">
        <v>4.2327432741257529E-8</v>
      </c>
    </row>
    <row r="77" spans="1:11" x14ac:dyDescent="0.25">
      <c r="A77" s="17" t="s">
        <v>2785</v>
      </c>
      <c r="B77" s="33" t="s">
        <v>326</v>
      </c>
      <c r="C77" s="33" t="s">
        <v>261</v>
      </c>
      <c r="D77" s="67" t="s">
        <v>255</v>
      </c>
      <c r="E77" s="67" t="s">
        <v>256</v>
      </c>
      <c r="F77" s="67" t="s">
        <v>125</v>
      </c>
      <c r="G77" s="33">
        <v>0</v>
      </c>
      <c r="H77" s="33">
        <v>0</v>
      </c>
      <c r="I77" s="85">
        <v>2.1168434736311002E-3</v>
      </c>
      <c r="J77" s="33">
        <v>7.6199065218976536E-8</v>
      </c>
      <c r="K77" s="33">
        <v>3.6747495418890687E-9</v>
      </c>
    </row>
    <row r="78" spans="1:11" x14ac:dyDescent="0.25">
      <c r="A78" s="17" t="s">
        <v>2784</v>
      </c>
      <c r="B78" s="33" t="s">
        <v>327</v>
      </c>
      <c r="C78" s="33" t="s">
        <v>261</v>
      </c>
      <c r="D78" s="67" t="s">
        <v>255</v>
      </c>
      <c r="E78" s="67" t="s">
        <v>256</v>
      </c>
      <c r="F78" s="67" t="s">
        <v>125</v>
      </c>
      <c r="G78" s="33">
        <v>0</v>
      </c>
      <c r="H78" s="33">
        <v>0</v>
      </c>
      <c r="I78" s="85">
        <v>9.6706882518041386</v>
      </c>
      <c r="J78" s="33">
        <v>3.4811142816695189E-4</v>
      </c>
      <c r="K78" s="33">
        <v>1.6787900317499955E-5</v>
      </c>
    </row>
    <row r="79" spans="1:11" x14ac:dyDescent="0.25">
      <c r="A79" s="17" t="s">
        <v>2785</v>
      </c>
      <c r="B79" s="33" t="s">
        <v>334</v>
      </c>
      <c r="C79" s="33" t="s">
        <v>261</v>
      </c>
      <c r="D79" s="67" t="s">
        <v>255</v>
      </c>
      <c r="E79" s="67" t="s">
        <v>256</v>
      </c>
      <c r="F79" s="67" t="s">
        <v>125</v>
      </c>
      <c r="G79" s="33">
        <v>0</v>
      </c>
      <c r="H79" s="33">
        <v>0</v>
      </c>
      <c r="I79" s="85">
        <v>9.8338943851173297E-2</v>
      </c>
      <c r="J79" s="33">
        <v>3.5398628615781538E-6</v>
      </c>
      <c r="K79" s="33">
        <v>1.7071219169884149E-7</v>
      </c>
    </row>
    <row r="80" spans="1:11" x14ac:dyDescent="0.25">
      <c r="A80" s="17" t="s">
        <v>2785</v>
      </c>
      <c r="B80" s="33" t="s">
        <v>335</v>
      </c>
      <c r="C80" s="33" t="s">
        <v>261</v>
      </c>
      <c r="D80" s="67" t="s">
        <v>255</v>
      </c>
      <c r="E80" s="67" t="s">
        <v>256</v>
      </c>
      <c r="F80" s="67" t="s">
        <v>125</v>
      </c>
      <c r="G80" s="33">
        <v>0</v>
      </c>
      <c r="H80" s="33">
        <v>0</v>
      </c>
      <c r="I80" s="85">
        <v>-9.6706882518041386</v>
      </c>
      <c r="J80" s="33">
        <v>-3.4811142816695189E-4</v>
      </c>
      <c r="K80" s="33">
        <v>-1.6787900317499955E-5</v>
      </c>
    </row>
    <row r="81" spans="1:11" x14ac:dyDescent="0.25">
      <c r="A81" s="17" t="s">
        <v>2784</v>
      </c>
      <c r="B81" s="33" t="s">
        <v>342</v>
      </c>
      <c r="C81" s="33" t="s">
        <v>261</v>
      </c>
      <c r="D81" s="67" t="s">
        <v>255</v>
      </c>
      <c r="E81" s="67" t="s">
        <v>256</v>
      </c>
      <c r="F81" s="67" t="s">
        <v>125</v>
      </c>
      <c r="G81" s="33">
        <v>0</v>
      </c>
      <c r="H81" s="33">
        <v>0</v>
      </c>
      <c r="I81" s="85">
        <v>19.515141924573335</v>
      </c>
      <c r="J81" s="33">
        <v>7.024778122670446E-4</v>
      </c>
      <c r="K81" s="33">
        <v>3.3877449958174569E-5</v>
      </c>
    </row>
    <row r="82" spans="1:11" x14ac:dyDescent="0.25">
      <c r="A82" s="17" t="s">
        <v>2785</v>
      </c>
      <c r="B82" s="33" t="s">
        <v>346</v>
      </c>
      <c r="C82" s="33" t="s">
        <v>261</v>
      </c>
      <c r="D82" s="67" t="s">
        <v>255</v>
      </c>
      <c r="E82" s="67" t="s">
        <v>256</v>
      </c>
      <c r="F82" s="67" t="s">
        <v>125</v>
      </c>
      <c r="G82" s="33">
        <v>0</v>
      </c>
      <c r="H82" s="33">
        <v>0</v>
      </c>
      <c r="I82" s="85">
        <v>-1.1949213848072995</v>
      </c>
      <c r="J82" s="33">
        <v>-4.3013049224795291E-5</v>
      </c>
      <c r="K82" s="33">
        <v>-2.0743323094560065E-6</v>
      </c>
    </row>
    <row r="83" spans="1:11" x14ac:dyDescent="0.25">
      <c r="A83" s="17" t="s">
        <v>2761</v>
      </c>
      <c r="B83" s="33" t="s">
        <v>311</v>
      </c>
      <c r="C83" s="33" t="s">
        <v>264</v>
      </c>
      <c r="D83" s="67" t="s">
        <v>265</v>
      </c>
      <c r="E83" s="67" t="s">
        <v>266</v>
      </c>
      <c r="F83" s="67" t="s">
        <v>125</v>
      </c>
      <c r="G83" s="33">
        <v>0</v>
      </c>
      <c r="H83" s="33">
        <v>0</v>
      </c>
      <c r="I83" s="85">
        <v>1.2071800000000001</v>
      </c>
      <c r="J83" s="33">
        <v>4.3454317098494348E-5</v>
      </c>
      <c r="K83" s="33">
        <v>2.0956127400238367E-6</v>
      </c>
    </row>
    <row r="84" spans="1:11" x14ac:dyDescent="0.25">
      <c r="A84" s="17" t="s">
        <v>2762</v>
      </c>
      <c r="B84" s="33" t="s">
        <v>312</v>
      </c>
      <c r="C84" s="33" t="s">
        <v>264</v>
      </c>
      <c r="D84" s="67" t="s">
        <v>265</v>
      </c>
      <c r="E84" s="67" t="s">
        <v>266</v>
      </c>
      <c r="F84" s="67" t="s">
        <v>125</v>
      </c>
      <c r="G84" s="33">
        <v>0</v>
      </c>
      <c r="H84" s="33">
        <v>0</v>
      </c>
      <c r="I84" s="85">
        <v>351.54758000000004</v>
      </c>
      <c r="J84" s="33">
        <v>1.2654500585271716E-2</v>
      </c>
      <c r="K84" s="33">
        <v>6.1027153148043281E-4</v>
      </c>
    </row>
    <row r="85" spans="1:11" x14ac:dyDescent="0.25">
      <c r="A85" s="17" t="s">
        <v>2769</v>
      </c>
      <c r="B85" s="33" t="s">
        <v>318</v>
      </c>
      <c r="C85" s="33" t="s">
        <v>264</v>
      </c>
      <c r="D85" s="67" t="s">
        <v>265</v>
      </c>
      <c r="E85" s="67" t="s">
        <v>266</v>
      </c>
      <c r="F85" s="67" t="s">
        <v>126</v>
      </c>
      <c r="G85" s="33">
        <v>0</v>
      </c>
      <c r="H85" s="33">
        <v>0</v>
      </c>
      <c r="I85" s="85">
        <v>48.371000000000002</v>
      </c>
      <c r="J85" s="33">
        <v>1.7411891949595504E-3</v>
      </c>
      <c r="K85" s="33">
        <v>8.396998280926871E-5</v>
      </c>
    </row>
    <row r="86" spans="1:11" x14ac:dyDescent="0.25">
      <c r="A86" s="17" t="s">
        <v>2760</v>
      </c>
      <c r="B86" s="33" t="s">
        <v>319</v>
      </c>
      <c r="C86" s="33" t="s">
        <v>264</v>
      </c>
      <c r="D86" s="67" t="s">
        <v>265</v>
      </c>
      <c r="E86" s="67" t="s">
        <v>266</v>
      </c>
      <c r="F86" s="67" t="s">
        <v>126</v>
      </c>
      <c r="G86" s="33">
        <v>0</v>
      </c>
      <c r="H86" s="33">
        <v>0</v>
      </c>
      <c r="I86" s="85">
        <v>1.1292089046545559</v>
      </c>
      <c r="J86" s="33">
        <v>4.0647626545587689E-5</v>
      </c>
      <c r="K86" s="33">
        <v>1.9602582603608817E-6</v>
      </c>
    </row>
    <row r="87" spans="1:11" x14ac:dyDescent="0.25">
      <c r="A87" s="17" t="s">
        <v>2761</v>
      </c>
      <c r="B87" s="33" t="s">
        <v>336</v>
      </c>
      <c r="C87" s="33" t="s">
        <v>264</v>
      </c>
      <c r="D87" s="67" t="s">
        <v>265</v>
      </c>
      <c r="E87" s="67" t="s">
        <v>266</v>
      </c>
      <c r="F87" s="67" t="s">
        <v>125</v>
      </c>
      <c r="G87" s="33">
        <v>0</v>
      </c>
      <c r="H87" s="33">
        <v>0</v>
      </c>
      <c r="I87" s="85">
        <v>-1.4759922974123905E-2</v>
      </c>
      <c r="J87" s="33">
        <v>-5.3130632819209392E-7</v>
      </c>
      <c r="K87" s="33">
        <v>-2.562259366982933E-8</v>
      </c>
    </row>
    <row r="88" spans="1:11" x14ac:dyDescent="0.25">
      <c r="A88" s="17" t="s">
        <v>2762</v>
      </c>
      <c r="B88" s="33" t="s">
        <v>337</v>
      </c>
      <c r="C88" s="33" t="s">
        <v>264</v>
      </c>
      <c r="D88" s="67" t="s">
        <v>265</v>
      </c>
      <c r="E88" s="67" t="s">
        <v>266</v>
      </c>
      <c r="F88" s="67" t="s">
        <v>125</v>
      </c>
      <c r="G88" s="33">
        <v>0</v>
      </c>
      <c r="H88" s="33">
        <v>0</v>
      </c>
      <c r="I88" s="85">
        <v>7.6525344104558641</v>
      </c>
      <c r="J88" s="33">
        <v>2.7546484938376103E-4</v>
      </c>
      <c r="K88" s="33">
        <v>1.3284471747396501E-5</v>
      </c>
    </row>
    <row r="89" spans="1:11" x14ac:dyDescent="0.25">
      <c r="A89" s="17" t="s">
        <v>2762</v>
      </c>
      <c r="B89" s="33" t="s">
        <v>338</v>
      </c>
      <c r="C89" s="33" t="s">
        <v>264</v>
      </c>
      <c r="D89" s="67" t="s">
        <v>265</v>
      </c>
      <c r="E89" s="67" t="s">
        <v>266</v>
      </c>
      <c r="F89" s="67" t="s">
        <v>125</v>
      </c>
      <c r="G89" s="33">
        <v>0</v>
      </c>
      <c r="H89" s="33">
        <v>0</v>
      </c>
      <c r="I89" s="85">
        <v>0.17125586087751268</v>
      </c>
      <c r="J89" s="33">
        <v>6.1646204240851147E-6</v>
      </c>
      <c r="K89" s="33">
        <v>2.9729283442292392E-7</v>
      </c>
    </row>
    <row r="90" spans="1:11" x14ac:dyDescent="0.25">
      <c r="A90" s="17" t="s">
        <v>2762</v>
      </c>
      <c r="B90" s="33" t="s">
        <v>339</v>
      </c>
      <c r="C90" s="33" t="s">
        <v>264</v>
      </c>
      <c r="D90" s="67" t="s">
        <v>265</v>
      </c>
      <c r="E90" s="67" t="s">
        <v>266</v>
      </c>
      <c r="F90" s="67" t="s">
        <v>125</v>
      </c>
      <c r="G90" s="33">
        <v>0</v>
      </c>
      <c r="H90" s="33">
        <v>0</v>
      </c>
      <c r="I90" s="85">
        <v>2.1843276012226691</v>
      </c>
      <c r="J90" s="33">
        <v>7.8628261096541841E-5</v>
      </c>
      <c r="K90" s="33">
        <v>3.7918990950048309E-6</v>
      </c>
    </row>
    <row r="91" spans="1:11" x14ac:dyDescent="0.25">
      <c r="A91" s="17" t="s">
        <v>2761</v>
      </c>
      <c r="B91" s="33" t="s">
        <v>340</v>
      </c>
      <c r="C91" s="33" t="s">
        <v>264</v>
      </c>
      <c r="D91" s="67" t="s">
        <v>265</v>
      </c>
      <c r="E91" s="67" t="s">
        <v>266</v>
      </c>
      <c r="F91" s="67" t="s">
        <v>125</v>
      </c>
      <c r="G91" s="33">
        <v>0</v>
      </c>
      <c r="H91" s="33">
        <v>0</v>
      </c>
      <c r="I91" s="85">
        <v>54.64370314067309</v>
      </c>
      <c r="J91" s="33">
        <v>1.9669848769121425E-3</v>
      </c>
      <c r="K91" s="33">
        <v>9.4859126612166411E-5</v>
      </c>
    </row>
    <row r="92" spans="1:11" x14ac:dyDescent="0.25">
      <c r="A92" s="17" t="s">
        <v>2761</v>
      </c>
      <c r="B92" s="33" t="s">
        <v>344</v>
      </c>
      <c r="C92" s="33" t="s">
        <v>264</v>
      </c>
      <c r="D92" s="67" t="s">
        <v>265</v>
      </c>
      <c r="E92" s="67" t="s">
        <v>266</v>
      </c>
      <c r="F92" s="67" t="s">
        <v>125</v>
      </c>
      <c r="G92" s="33">
        <v>0</v>
      </c>
      <c r="H92" s="33">
        <v>0</v>
      </c>
      <c r="I92" s="85">
        <v>-6.0725320093399496E-2</v>
      </c>
      <c r="J92" s="33">
        <v>-2.1859021150500773E-6</v>
      </c>
      <c r="K92" s="33">
        <v>-1.0541655298278091E-7</v>
      </c>
    </row>
    <row r="93" spans="1:11" s="118" customFormat="1" x14ac:dyDescent="0.25">
      <c r="A93" s="93" t="s">
        <v>347</v>
      </c>
      <c r="B93" s="120" t="s">
        <v>251</v>
      </c>
      <c r="C93" s="120" t="s">
        <v>251</v>
      </c>
      <c r="D93" s="121" t="s">
        <v>251</v>
      </c>
      <c r="E93" s="121" t="s">
        <v>251</v>
      </c>
      <c r="F93" s="121" t="s">
        <v>251</v>
      </c>
      <c r="G93" s="120" t="s">
        <v>251</v>
      </c>
      <c r="H93" s="120" t="s">
        <v>251</v>
      </c>
      <c r="I93" s="123">
        <v>0</v>
      </c>
      <c r="J93" s="120">
        <v>0</v>
      </c>
      <c r="K93" s="120">
        <v>0</v>
      </c>
    </row>
    <row r="94" spans="1:11" s="118" customFormat="1" x14ac:dyDescent="0.25">
      <c r="A94" s="93" t="s">
        <v>348</v>
      </c>
      <c r="B94" s="120" t="s">
        <v>251</v>
      </c>
      <c r="C94" s="120" t="s">
        <v>251</v>
      </c>
      <c r="D94" s="121" t="s">
        <v>251</v>
      </c>
      <c r="E94" s="121" t="s">
        <v>251</v>
      </c>
      <c r="F94" s="121" t="s">
        <v>251</v>
      </c>
      <c r="G94" s="120" t="s">
        <v>251</v>
      </c>
      <c r="H94" s="120" t="s">
        <v>251</v>
      </c>
      <c r="I94" s="123">
        <v>0</v>
      </c>
      <c r="J94" s="120">
        <v>0</v>
      </c>
      <c r="K94" s="120">
        <v>0</v>
      </c>
    </row>
    <row r="95" spans="1:11" s="118" customFormat="1" x14ac:dyDescent="0.25">
      <c r="A95" s="93" t="s">
        <v>349</v>
      </c>
      <c r="B95" s="120" t="s">
        <v>251</v>
      </c>
      <c r="C95" s="120" t="s">
        <v>251</v>
      </c>
      <c r="D95" s="121" t="s">
        <v>251</v>
      </c>
      <c r="E95" s="121" t="s">
        <v>251</v>
      </c>
      <c r="F95" s="121" t="s">
        <v>251</v>
      </c>
      <c r="G95" s="120" t="s">
        <v>251</v>
      </c>
      <c r="H95" s="120" t="s">
        <v>251</v>
      </c>
      <c r="I95" s="123">
        <v>0</v>
      </c>
      <c r="J95" s="120">
        <v>0</v>
      </c>
      <c r="K95" s="120">
        <v>0</v>
      </c>
    </row>
    <row r="96" spans="1:11" s="118" customFormat="1" x14ac:dyDescent="0.25">
      <c r="A96" s="93" t="s">
        <v>350</v>
      </c>
      <c r="B96" s="120" t="s">
        <v>251</v>
      </c>
      <c r="C96" s="120" t="s">
        <v>251</v>
      </c>
      <c r="D96" s="121" t="s">
        <v>251</v>
      </c>
      <c r="E96" s="121" t="s">
        <v>251</v>
      </c>
      <c r="F96" s="121" t="s">
        <v>251</v>
      </c>
      <c r="G96" s="120" t="s">
        <v>251</v>
      </c>
      <c r="H96" s="120" t="s">
        <v>251</v>
      </c>
      <c r="I96" s="123">
        <v>9051.2701295898514</v>
      </c>
      <c r="J96" s="120">
        <v>0.32581451180049992</v>
      </c>
      <c r="K96" s="120">
        <v>1.5712617005720516E-2</v>
      </c>
    </row>
    <row r="97" spans="1:11" x14ac:dyDescent="0.25">
      <c r="A97" s="17" t="s">
        <v>356</v>
      </c>
      <c r="B97" s="33" t="s">
        <v>357</v>
      </c>
      <c r="C97" s="33" t="s">
        <v>254</v>
      </c>
      <c r="D97" s="67" t="s">
        <v>255</v>
      </c>
      <c r="E97" s="67" t="s">
        <v>256</v>
      </c>
      <c r="F97" s="67" t="s">
        <v>257</v>
      </c>
      <c r="G97" s="33">
        <v>8.0000000000000004E-4</v>
      </c>
      <c r="H97" s="33">
        <v>8.0000000000000004E-4</v>
      </c>
      <c r="I97" s="85">
        <v>8.0210928428399997E-2</v>
      </c>
      <c r="J97" s="33">
        <v>2.8873168199376468E-6</v>
      </c>
      <c r="K97" s="33">
        <v>1.3924273389527259E-7</v>
      </c>
    </row>
    <row r="98" spans="1:11" x14ac:dyDescent="0.25">
      <c r="A98" s="17" t="s">
        <v>351</v>
      </c>
      <c r="B98" s="33" t="s">
        <v>352</v>
      </c>
      <c r="C98" s="33" t="s">
        <v>261</v>
      </c>
      <c r="D98" s="67" t="s">
        <v>255</v>
      </c>
      <c r="E98" s="67" t="s">
        <v>256</v>
      </c>
      <c r="F98" s="67" t="s">
        <v>257</v>
      </c>
      <c r="G98" s="33">
        <v>8.0000000000000004E-4</v>
      </c>
      <c r="H98" s="33">
        <v>8.0000000000000004E-4</v>
      </c>
      <c r="I98" s="85">
        <v>2.7899453366399998E-2</v>
      </c>
      <c r="J98" s="33">
        <v>1.0042841112826597E-6</v>
      </c>
      <c r="K98" s="33">
        <v>4.84322552679209E-8</v>
      </c>
    </row>
    <row r="99" spans="1:11" x14ac:dyDescent="0.25">
      <c r="A99" s="17" t="s">
        <v>365</v>
      </c>
      <c r="B99" s="33" t="s">
        <v>366</v>
      </c>
      <c r="C99" s="33" t="s">
        <v>261</v>
      </c>
      <c r="D99" s="67" t="s">
        <v>255</v>
      </c>
      <c r="E99" s="67" t="s">
        <v>256</v>
      </c>
      <c r="F99" s="67" t="s">
        <v>257</v>
      </c>
      <c r="G99" s="33">
        <v>0</v>
      </c>
      <c r="H99" s="33">
        <v>0</v>
      </c>
      <c r="I99" s="85">
        <v>6.265452462287885E-4</v>
      </c>
      <c r="J99" s="33">
        <v>2.2553468253433618E-8</v>
      </c>
      <c r="K99" s="33">
        <v>1.0876556935986521E-9</v>
      </c>
    </row>
    <row r="100" spans="1:11" x14ac:dyDescent="0.25">
      <c r="A100" s="17" t="s">
        <v>361</v>
      </c>
      <c r="B100" s="33" t="s">
        <v>362</v>
      </c>
      <c r="C100" s="33" t="s">
        <v>291</v>
      </c>
      <c r="D100" s="67" t="s">
        <v>255</v>
      </c>
      <c r="E100" s="67" t="s">
        <v>256</v>
      </c>
      <c r="F100" s="67" t="s">
        <v>257</v>
      </c>
      <c r="G100" s="33">
        <v>8.0000000000000004E-4</v>
      </c>
      <c r="H100" s="33">
        <v>8.0000000000000004E-4</v>
      </c>
      <c r="I100" s="85">
        <v>0.15774815924252</v>
      </c>
      <c r="J100" s="33">
        <v>5.6783897458773721E-6</v>
      </c>
      <c r="K100" s="33">
        <v>2.7384404332736942E-7</v>
      </c>
    </row>
    <row r="101" spans="1:11" x14ac:dyDescent="0.25">
      <c r="A101" s="17" t="s">
        <v>363</v>
      </c>
      <c r="B101" s="33" t="s">
        <v>364</v>
      </c>
      <c r="C101" s="33" t="s">
        <v>291</v>
      </c>
      <c r="D101" s="67" t="s">
        <v>255</v>
      </c>
      <c r="E101" s="67" t="s">
        <v>256</v>
      </c>
      <c r="F101" s="67" t="s">
        <v>257</v>
      </c>
      <c r="G101" s="33">
        <v>0</v>
      </c>
      <c r="H101" s="33">
        <v>0</v>
      </c>
      <c r="I101" s="85">
        <v>5131.7625508565015</v>
      </c>
      <c r="J101" s="33">
        <v>0.1847257551973166</v>
      </c>
      <c r="K101" s="33">
        <v>8.9085198399179132E-3</v>
      </c>
    </row>
    <row r="102" spans="1:11" x14ac:dyDescent="0.25">
      <c r="A102" s="17" t="s">
        <v>363</v>
      </c>
      <c r="B102" s="33" t="s">
        <v>367</v>
      </c>
      <c r="C102" s="33" t="s">
        <v>291</v>
      </c>
      <c r="D102" s="67" t="s">
        <v>255</v>
      </c>
      <c r="E102" s="67" t="s">
        <v>256</v>
      </c>
      <c r="F102" s="67" t="s">
        <v>257</v>
      </c>
      <c r="G102" s="33">
        <v>8.0000000000000004E-4</v>
      </c>
      <c r="H102" s="33">
        <v>8.0000000000000004E-4</v>
      </c>
      <c r="I102" s="85">
        <v>3918.9786959332191</v>
      </c>
      <c r="J102" s="33">
        <v>0.14106971864620518</v>
      </c>
      <c r="K102" s="33">
        <v>6.8031790479295999E-3</v>
      </c>
    </row>
    <row r="103" spans="1:11" x14ac:dyDescent="0.25">
      <c r="A103" s="17" t="s">
        <v>358</v>
      </c>
      <c r="B103" s="33" t="s">
        <v>359</v>
      </c>
      <c r="C103" s="33" t="s">
        <v>360</v>
      </c>
      <c r="D103" s="67" t="s">
        <v>255</v>
      </c>
      <c r="E103" s="67" t="s">
        <v>256</v>
      </c>
      <c r="F103" s="67" t="s">
        <v>257</v>
      </c>
      <c r="G103" s="33">
        <v>8.0000000000000004E-4</v>
      </c>
      <c r="H103" s="33">
        <v>8.0000000000000004E-4</v>
      </c>
      <c r="I103" s="85">
        <v>4.799101221276824E-2</v>
      </c>
      <c r="J103" s="33">
        <v>1.7275109449886065E-6</v>
      </c>
      <c r="K103" s="33">
        <v>8.3310340296986902E-8</v>
      </c>
    </row>
    <row r="104" spans="1:11" x14ac:dyDescent="0.25">
      <c r="A104" s="17" t="s">
        <v>353</v>
      </c>
      <c r="B104" s="33" t="s">
        <v>354</v>
      </c>
      <c r="C104" s="33" t="s">
        <v>355</v>
      </c>
      <c r="D104" s="67" t="s">
        <v>255</v>
      </c>
      <c r="E104" s="67" t="s">
        <v>256</v>
      </c>
      <c r="F104" s="67" t="s">
        <v>257</v>
      </c>
      <c r="G104" s="33">
        <v>8.0000000000000004E-4</v>
      </c>
      <c r="H104" s="33">
        <v>8.0000000000000004E-4</v>
      </c>
      <c r="I104" s="85">
        <v>0.21440660163444983</v>
      </c>
      <c r="J104" s="33">
        <v>7.7178982881044578E-6</v>
      </c>
      <c r="K104" s="33">
        <v>3.7220067092759039E-7</v>
      </c>
    </row>
    <row r="105" spans="1:11" s="118" customFormat="1" x14ac:dyDescent="0.25">
      <c r="A105" s="93" t="s">
        <v>368</v>
      </c>
      <c r="B105" s="120" t="s">
        <v>251</v>
      </c>
      <c r="C105" s="120" t="s">
        <v>251</v>
      </c>
      <c r="D105" s="121" t="s">
        <v>251</v>
      </c>
      <c r="E105" s="121" t="s">
        <v>251</v>
      </c>
      <c r="F105" s="121" t="s">
        <v>251</v>
      </c>
      <c r="G105" s="120" t="s">
        <v>251</v>
      </c>
      <c r="H105" s="120" t="s">
        <v>251</v>
      </c>
      <c r="I105" s="123">
        <v>665.43881315279054</v>
      </c>
      <c r="J105" s="120">
        <v>2.3953502540124166E-2</v>
      </c>
      <c r="K105" s="120">
        <v>1.1551732587926648E-3</v>
      </c>
    </row>
    <row r="106" spans="1:11" x14ac:dyDescent="0.25">
      <c r="A106" s="17" t="s">
        <v>2786</v>
      </c>
      <c r="B106" s="33" t="s">
        <v>369</v>
      </c>
      <c r="C106" s="33" t="s">
        <v>259</v>
      </c>
      <c r="D106" s="67" t="s">
        <v>255</v>
      </c>
      <c r="E106" s="67" t="s">
        <v>256</v>
      </c>
      <c r="F106" s="67" t="s">
        <v>125</v>
      </c>
      <c r="G106" s="33">
        <v>0</v>
      </c>
      <c r="H106" s="33">
        <v>0</v>
      </c>
      <c r="I106" s="85">
        <v>111</v>
      </c>
      <c r="J106" s="33">
        <v>3.9956172218996939E-3</v>
      </c>
      <c r="K106" s="33">
        <v>1.9269124251780666E-4</v>
      </c>
    </row>
    <row r="107" spans="1:11" x14ac:dyDescent="0.25">
      <c r="A107" s="17" t="s">
        <v>2786</v>
      </c>
      <c r="B107" s="33" t="s">
        <v>370</v>
      </c>
      <c r="C107" s="33" t="s">
        <v>259</v>
      </c>
      <c r="D107" s="67" t="s">
        <v>255</v>
      </c>
      <c r="E107" s="67" t="s">
        <v>256</v>
      </c>
      <c r="F107" s="67" t="s">
        <v>125</v>
      </c>
      <c r="G107" s="33">
        <v>0</v>
      </c>
      <c r="H107" s="33">
        <v>0</v>
      </c>
      <c r="I107" s="85">
        <v>-82.268805461726856</v>
      </c>
      <c r="J107" s="33">
        <v>-2.9613932966485713E-3</v>
      </c>
      <c r="K107" s="33">
        <v>-1.4281512022410692E-4</v>
      </c>
    </row>
    <row r="108" spans="1:11" x14ac:dyDescent="0.25">
      <c r="A108" s="17" t="s">
        <v>2786</v>
      </c>
      <c r="B108" s="33" t="s">
        <v>371</v>
      </c>
      <c r="C108" s="33" t="s">
        <v>259</v>
      </c>
      <c r="D108" s="67" t="s">
        <v>255</v>
      </c>
      <c r="E108" s="67" t="s">
        <v>256</v>
      </c>
      <c r="F108" s="67" t="s">
        <v>125</v>
      </c>
      <c r="G108" s="33">
        <v>0</v>
      </c>
      <c r="H108" s="33">
        <v>0</v>
      </c>
      <c r="I108" s="85">
        <v>3.4822886617360664</v>
      </c>
      <c r="J108" s="33">
        <v>1.2535038331944743E-4</v>
      </c>
      <c r="K108" s="33">
        <v>6.0451038651855204E-6</v>
      </c>
    </row>
    <row r="109" spans="1:11" x14ac:dyDescent="0.25">
      <c r="A109" s="17" t="s">
        <v>2786</v>
      </c>
      <c r="B109" s="33" t="s">
        <v>372</v>
      </c>
      <c r="C109" s="33" t="s">
        <v>259</v>
      </c>
      <c r="D109" s="67" t="s">
        <v>255</v>
      </c>
      <c r="E109" s="67" t="s">
        <v>256</v>
      </c>
      <c r="F109" s="67" t="s">
        <v>125</v>
      </c>
      <c r="G109" s="33">
        <v>0</v>
      </c>
      <c r="H109" s="33">
        <v>0</v>
      </c>
      <c r="I109" s="85">
        <v>19.837166176976591</v>
      </c>
      <c r="J109" s="33">
        <v>7.1406957486859263E-4</v>
      </c>
      <c r="K109" s="33">
        <v>3.4436470258322775E-5</v>
      </c>
    </row>
    <row r="110" spans="1:11" x14ac:dyDescent="0.25">
      <c r="A110" s="17" t="s">
        <v>2786</v>
      </c>
      <c r="B110" s="33" t="s">
        <v>373</v>
      </c>
      <c r="C110" s="33" t="s">
        <v>259</v>
      </c>
      <c r="D110" s="67" t="s">
        <v>255</v>
      </c>
      <c r="E110" s="67" t="s">
        <v>256</v>
      </c>
      <c r="F110" s="67" t="s">
        <v>125</v>
      </c>
      <c r="G110" s="33">
        <v>0</v>
      </c>
      <c r="H110" s="33">
        <v>0</v>
      </c>
      <c r="I110" s="85">
        <v>493.36081631755627</v>
      </c>
      <c r="J110" s="33">
        <v>1.7759288056656931E-2</v>
      </c>
      <c r="K110" s="33">
        <v>8.564532315840478E-4</v>
      </c>
    </row>
    <row r="111" spans="1:11" x14ac:dyDescent="0.25">
      <c r="A111" s="17" t="s">
        <v>2787</v>
      </c>
      <c r="B111" s="33" t="s">
        <v>374</v>
      </c>
      <c r="C111" s="33" t="s">
        <v>261</v>
      </c>
      <c r="D111" s="67" t="s">
        <v>255</v>
      </c>
      <c r="E111" s="67" t="s">
        <v>256</v>
      </c>
      <c r="F111" s="67" t="s">
        <v>125</v>
      </c>
      <c r="G111" s="33">
        <v>0</v>
      </c>
      <c r="H111" s="33">
        <v>0</v>
      </c>
      <c r="I111" s="85">
        <v>120.02734735824845</v>
      </c>
      <c r="J111" s="33">
        <v>4.3205705964284163E-3</v>
      </c>
      <c r="K111" s="33">
        <v>2.0836233061781326E-4</v>
      </c>
    </row>
    <row r="112" spans="1:11" s="118" customFormat="1" x14ac:dyDescent="0.25">
      <c r="A112" s="93" t="s">
        <v>375</v>
      </c>
      <c r="B112" s="120" t="s">
        <v>251</v>
      </c>
      <c r="C112" s="120" t="s">
        <v>251</v>
      </c>
      <c r="D112" s="121" t="s">
        <v>251</v>
      </c>
      <c r="E112" s="121" t="s">
        <v>251</v>
      </c>
      <c r="F112" s="121" t="s">
        <v>251</v>
      </c>
      <c r="G112" s="120" t="s">
        <v>251</v>
      </c>
      <c r="H112" s="120" t="s">
        <v>251</v>
      </c>
      <c r="I112" s="123">
        <v>92.736976016803112</v>
      </c>
      <c r="J112" s="120">
        <v>3.3382113376543908E-3</v>
      </c>
      <c r="K112" s="120">
        <v>1.6098741563983629E-4</v>
      </c>
    </row>
    <row r="113" spans="1:11" s="118" customFormat="1" x14ac:dyDescent="0.25">
      <c r="A113" s="93" t="s">
        <v>307</v>
      </c>
      <c r="B113" s="120" t="s">
        <v>251</v>
      </c>
      <c r="C113" s="120" t="s">
        <v>251</v>
      </c>
      <c r="D113" s="121" t="s">
        <v>251</v>
      </c>
      <c r="E113" s="121" t="s">
        <v>251</v>
      </c>
      <c r="F113" s="121" t="s">
        <v>251</v>
      </c>
      <c r="G113" s="120" t="s">
        <v>251</v>
      </c>
      <c r="H113" s="120" t="s">
        <v>251</v>
      </c>
      <c r="I113" s="123">
        <v>30.99092751714895</v>
      </c>
      <c r="J113" s="120">
        <v>1.1155665199114007E-3</v>
      </c>
      <c r="K113" s="120">
        <v>5.3798921892420871E-5</v>
      </c>
    </row>
    <row r="114" spans="1:11" x14ac:dyDescent="0.25">
      <c r="A114" s="17" t="s">
        <v>2788</v>
      </c>
      <c r="B114" s="33" t="s">
        <v>376</v>
      </c>
      <c r="C114" s="33" t="s">
        <v>377</v>
      </c>
      <c r="D114" s="67" t="s">
        <v>378</v>
      </c>
      <c r="E114" s="67" t="s">
        <v>266</v>
      </c>
      <c r="F114" s="67" t="s">
        <v>126</v>
      </c>
      <c r="G114" s="33">
        <v>0</v>
      </c>
      <c r="H114" s="33">
        <v>0</v>
      </c>
      <c r="I114" s="85">
        <v>1.2644486637037994E-3</v>
      </c>
      <c r="J114" s="33">
        <v>4.5515791503630231E-8</v>
      </c>
      <c r="K114" s="33">
        <v>2.1950286856672558E-9</v>
      </c>
    </row>
    <row r="115" spans="1:11" x14ac:dyDescent="0.25">
      <c r="A115" s="17" t="s">
        <v>2796</v>
      </c>
      <c r="B115" s="33" t="s">
        <v>379</v>
      </c>
      <c r="C115" s="33" t="s">
        <v>377</v>
      </c>
      <c r="D115" s="67" t="s">
        <v>378</v>
      </c>
      <c r="E115" s="67" t="s">
        <v>266</v>
      </c>
      <c r="F115" s="67" t="s">
        <v>126</v>
      </c>
      <c r="G115" s="33">
        <v>0</v>
      </c>
      <c r="H115" s="33">
        <v>0</v>
      </c>
      <c r="I115" s="85">
        <v>5.9999999999999995E-4</v>
      </c>
      <c r="J115" s="33">
        <v>2.1597930929187533E-8</v>
      </c>
      <c r="K115" s="33">
        <v>1.0415742838800358E-9</v>
      </c>
    </row>
    <row r="116" spans="1:11" x14ac:dyDescent="0.25">
      <c r="A116" s="17" t="s">
        <v>2789</v>
      </c>
      <c r="B116" s="33" t="s">
        <v>380</v>
      </c>
      <c r="C116" s="33" t="s">
        <v>377</v>
      </c>
      <c r="D116" s="67" t="s">
        <v>378</v>
      </c>
      <c r="E116" s="67" t="s">
        <v>266</v>
      </c>
      <c r="F116" s="67" t="s">
        <v>125</v>
      </c>
      <c r="G116" s="33">
        <v>0</v>
      </c>
      <c r="H116" s="33">
        <v>0</v>
      </c>
      <c r="I116" s="85">
        <v>0.14057967480358796</v>
      </c>
      <c r="J116" s="33">
        <v>5.0603835107592299E-6</v>
      </c>
      <c r="K116" s="33">
        <v>2.440402901860591E-7</v>
      </c>
    </row>
    <row r="117" spans="1:11" x14ac:dyDescent="0.25">
      <c r="A117" s="17" t="s">
        <v>2790</v>
      </c>
      <c r="B117" s="33" t="s">
        <v>381</v>
      </c>
      <c r="C117" s="33" t="s">
        <v>377</v>
      </c>
      <c r="D117" s="67" t="s">
        <v>378</v>
      </c>
      <c r="E117" s="67" t="s">
        <v>266</v>
      </c>
      <c r="F117" s="67" t="s">
        <v>125</v>
      </c>
      <c r="G117" s="33">
        <v>0</v>
      </c>
      <c r="H117" s="33">
        <v>0</v>
      </c>
      <c r="I117" s="85">
        <v>-9.3068357945450551</v>
      </c>
      <c r="J117" s="33">
        <v>-3.3501399443312384E-4</v>
      </c>
      <c r="K117" s="33">
        <v>-1.6156268046487254E-5</v>
      </c>
    </row>
    <row r="118" spans="1:11" x14ac:dyDescent="0.25">
      <c r="A118" s="17" t="s">
        <v>2791</v>
      </c>
      <c r="B118" s="33" t="s">
        <v>382</v>
      </c>
      <c r="C118" s="33" t="s">
        <v>377</v>
      </c>
      <c r="D118" s="67" t="s">
        <v>378</v>
      </c>
      <c r="E118" s="67" t="s">
        <v>266</v>
      </c>
      <c r="F118" s="67" t="s">
        <v>125</v>
      </c>
      <c r="G118" s="33">
        <v>0</v>
      </c>
      <c r="H118" s="33">
        <v>0</v>
      </c>
      <c r="I118" s="85">
        <v>46.159485999841955</v>
      </c>
      <c r="J118" s="33">
        <v>1.6615823172523093E-3</v>
      </c>
      <c r="K118" s="33">
        <v>8.0130889290926549E-5</v>
      </c>
    </row>
    <row r="119" spans="1:11" x14ac:dyDescent="0.25">
      <c r="A119" s="17" t="s">
        <v>2797</v>
      </c>
      <c r="B119" s="33" t="s">
        <v>383</v>
      </c>
      <c r="C119" s="33" t="s">
        <v>384</v>
      </c>
      <c r="D119" s="67" t="s">
        <v>385</v>
      </c>
      <c r="E119" s="67" t="s">
        <v>266</v>
      </c>
      <c r="F119" s="67" t="s">
        <v>125</v>
      </c>
      <c r="G119" s="33">
        <v>0</v>
      </c>
      <c r="H119" s="33">
        <v>0</v>
      </c>
      <c r="I119" s="85">
        <v>0.52064361959234839</v>
      </c>
      <c r="J119" s="33">
        <v>1.8741374891129552E-5</v>
      </c>
      <c r="K119" s="33">
        <v>9.0381500872268359E-7</v>
      </c>
    </row>
    <row r="120" spans="1:11" x14ac:dyDescent="0.25">
      <c r="A120" s="17" t="s">
        <v>2770</v>
      </c>
      <c r="B120" s="33" t="s">
        <v>386</v>
      </c>
      <c r="C120" s="33" t="s">
        <v>387</v>
      </c>
      <c r="D120" s="67" t="s">
        <v>388</v>
      </c>
      <c r="E120" s="67" t="s">
        <v>389</v>
      </c>
      <c r="F120" s="67" t="s">
        <v>125</v>
      </c>
      <c r="G120" s="33">
        <v>0</v>
      </c>
      <c r="H120" s="33">
        <v>0</v>
      </c>
      <c r="I120" s="85">
        <v>-6.524810531207585</v>
      </c>
      <c r="J120" s="33">
        <v>-2.3487067863176141E-4</v>
      </c>
      <c r="K120" s="33">
        <v>-1.1326791427492429E-5</v>
      </c>
    </row>
    <row r="121" spans="1:11" s="118" customFormat="1" x14ac:dyDescent="0.25">
      <c r="A121" s="93" t="s">
        <v>368</v>
      </c>
      <c r="B121" s="120" t="s">
        <v>251</v>
      </c>
      <c r="C121" s="120" t="s">
        <v>251</v>
      </c>
      <c r="D121" s="121" t="s">
        <v>251</v>
      </c>
      <c r="E121" s="121" t="s">
        <v>251</v>
      </c>
      <c r="F121" s="121" t="s">
        <v>251</v>
      </c>
      <c r="G121" s="120" t="s">
        <v>251</v>
      </c>
      <c r="H121" s="120" t="s">
        <v>251</v>
      </c>
      <c r="I121" s="123">
        <v>61.746048499654151</v>
      </c>
      <c r="J121" s="120">
        <v>2.2226448177429898E-3</v>
      </c>
      <c r="K121" s="120">
        <v>1.0718849374741541E-4</v>
      </c>
    </row>
    <row r="122" spans="1:11" x14ac:dyDescent="0.25">
      <c r="A122" s="17" t="s">
        <v>2798</v>
      </c>
      <c r="B122" s="33" t="s">
        <v>390</v>
      </c>
      <c r="C122" s="33" t="s">
        <v>384</v>
      </c>
      <c r="D122" s="67" t="s">
        <v>385</v>
      </c>
      <c r="E122" s="67" t="s">
        <v>266</v>
      </c>
      <c r="F122" s="67" t="s">
        <v>125</v>
      </c>
      <c r="G122" s="33">
        <v>0</v>
      </c>
      <c r="H122" s="33">
        <v>0</v>
      </c>
      <c r="I122" s="85">
        <v>-72.647484343590278</v>
      </c>
      <c r="J122" s="33">
        <v>-2.6150589150534926E-3</v>
      </c>
      <c r="K122" s="33">
        <v>-1.2611291913476862E-4</v>
      </c>
    </row>
    <row r="123" spans="1:11" x14ac:dyDescent="0.25">
      <c r="A123" s="17" t="s">
        <v>2763</v>
      </c>
      <c r="B123" s="33" t="s">
        <v>391</v>
      </c>
      <c r="C123" s="33" t="s">
        <v>264</v>
      </c>
      <c r="D123" s="67" t="s">
        <v>265</v>
      </c>
      <c r="E123" s="67" t="s">
        <v>266</v>
      </c>
      <c r="F123" s="67" t="s">
        <v>125</v>
      </c>
      <c r="G123" s="33">
        <v>0</v>
      </c>
      <c r="H123" s="33">
        <v>0</v>
      </c>
      <c r="I123" s="85">
        <v>-5.4474386245434395E-2</v>
      </c>
      <c r="J123" s="33">
        <v>-1.9608900525646259E-6</v>
      </c>
      <c r="K123" s="33">
        <v>-9.4565199738988026E-8</v>
      </c>
    </row>
    <row r="124" spans="1:11" x14ac:dyDescent="0.25">
      <c r="A124" s="17" t="s">
        <v>2763</v>
      </c>
      <c r="B124" s="33" t="s">
        <v>392</v>
      </c>
      <c r="C124" s="33" t="s">
        <v>264</v>
      </c>
      <c r="D124" s="67" t="s">
        <v>265</v>
      </c>
      <c r="E124" s="67" t="s">
        <v>266</v>
      </c>
      <c r="F124" s="67" t="s">
        <v>125</v>
      </c>
      <c r="G124" s="33">
        <v>0</v>
      </c>
      <c r="H124" s="33">
        <v>0</v>
      </c>
      <c r="I124" s="85">
        <v>91.350426843865549</v>
      </c>
      <c r="J124" s="33">
        <v>3.2883003488760115E-3</v>
      </c>
      <c r="K124" s="33">
        <v>1.5858042570339147E-4</v>
      </c>
    </row>
    <row r="125" spans="1:11" x14ac:dyDescent="0.25">
      <c r="A125" s="17" t="s">
        <v>2771</v>
      </c>
      <c r="B125" s="33" t="s">
        <v>393</v>
      </c>
      <c r="C125" s="33" t="s">
        <v>387</v>
      </c>
      <c r="D125" s="67" t="s">
        <v>388</v>
      </c>
      <c r="E125" s="67" t="s">
        <v>389</v>
      </c>
      <c r="F125" s="67" t="s">
        <v>125</v>
      </c>
      <c r="G125" s="33">
        <v>0</v>
      </c>
      <c r="H125" s="33">
        <v>0</v>
      </c>
      <c r="I125" s="85">
        <v>70.793734748023056</v>
      </c>
      <c r="J125" s="33">
        <v>2.5483303221783757E-3</v>
      </c>
      <c r="K125" s="33">
        <v>1.2289488928894223E-4</v>
      </c>
    </row>
    <row r="126" spans="1:11" x14ac:dyDescent="0.25">
      <c r="A126" s="17" t="s">
        <v>2770</v>
      </c>
      <c r="B126" s="33" t="s">
        <v>394</v>
      </c>
      <c r="C126" s="33" t="s">
        <v>387</v>
      </c>
      <c r="D126" s="67" t="s">
        <v>388</v>
      </c>
      <c r="E126" s="67" t="s">
        <v>389</v>
      </c>
      <c r="F126" s="67" t="s">
        <v>125</v>
      </c>
      <c r="G126" s="33">
        <v>0</v>
      </c>
      <c r="H126" s="33">
        <v>0</v>
      </c>
      <c r="I126" s="85">
        <v>-34.296038782557488</v>
      </c>
      <c r="J126" s="33">
        <v>-1.2345391279506893E-3</v>
      </c>
      <c r="K126" s="33">
        <v>-5.9536453391440433E-5</v>
      </c>
    </row>
    <row r="127" spans="1:11" x14ac:dyDescent="0.25">
      <c r="A127" s="17" t="s">
        <v>2771</v>
      </c>
      <c r="B127" s="33" t="s">
        <v>395</v>
      </c>
      <c r="C127" s="33" t="s">
        <v>387</v>
      </c>
      <c r="D127" s="67" t="s">
        <v>388</v>
      </c>
      <c r="E127" s="67" t="s">
        <v>389</v>
      </c>
      <c r="F127" s="67" t="s">
        <v>125</v>
      </c>
      <c r="G127" s="33">
        <v>0</v>
      </c>
      <c r="H127" s="33">
        <v>0</v>
      </c>
      <c r="I127" s="85">
        <v>6.5640143235828319</v>
      </c>
      <c r="J127" s="33">
        <v>2.3628187996489942E-4</v>
      </c>
      <c r="K127" s="33">
        <v>1.1394847530773479E-5</v>
      </c>
    </row>
    <row r="128" spans="1:11" x14ac:dyDescent="0.25">
      <c r="A128" s="17" t="s">
        <v>2772</v>
      </c>
      <c r="B128" s="33" t="s">
        <v>396</v>
      </c>
      <c r="C128" s="33" t="s">
        <v>387</v>
      </c>
      <c r="D128" s="67" t="s">
        <v>388</v>
      </c>
      <c r="E128" s="67" t="s">
        <v>389</v>
      </c>
      <c r="F128" s="67" t="s">
        <v>125</v>
      </c>
      <c r="G128" s="33">
        <v>0</v>
      </c>
      <c r="H128" s="33">
        <v>0</v>
      </c>
      <c r="I128" s="85">
        <v>3.5869996575912617E-2</v>
      </c>
      <c r="J128" s="33">
        <v>1.2911961807945901E-6</v>
      </c>
      <c r="K128" s="33">
        <v>6.2268776660559208E-8</v>
      </c>
    </row>
    <row r="129" spans="1:10" s="118" customFormat="1" x14ac:dyDescent="0.25">
      <c r="A129" s="79" t="s">
        <v>242</v>
      </c>
      <c r="B129" s="124"/>
      <c r="C129" s="124"/>
      <c r="D129" s="124"/>
      <c r="E129" s="125"/>
      <c r="F129" s="126"/>
      <c r="G129" s="127"/>
      <c r="H129" s="128"/>
      <c r="I129" s="127"/>
      <c r="J129" s="129"/>
    </row>
    <row r="130" spans="1:10" s="118" customFormat="1" x14ac:dyDescent="0.25">
      <c r="A130" s="79" t="s">
        <v>243</v>
      </c>
      <c r="B130" s="124"/>
      <c r="C130" s="124"/>
      <c r="D130" s="124"/>
      <c r="E130" s="125"/>
      <c r="F130" s="126"/>
      <c r="G130" s="127"/>
      <c r="H130" s="128"/>
      <c r="I130" s="127"/>
      <c r="J130" s="129"/>
    </row>
    <row r="131" spans="1:10" s="118" customFormat="1" x14ac:dyDescent="0.25">
      <c r="A131" s="79" t="s">
        <v>244</v>
      </c>
      <c r="B131" s="124"/>
      <c r="C131" s="124"/>
      <c r="D131" s="124"/>
      <c r="E131" s="125"/>
      <c r="F131" s="126"/>
      <c r="G131" s="127"/>
      <c r="H131" s="128"/>
      <c r="I131" s="127"/>
      <c r="J131" s="129"/>
    </row>
    <row r="132" spans="1:10" s="118" customFormat="1" x14ac:dyDescent="0.25">
      <c r="A132" s="79" t="s">
        <v>245</v>
      </c>
      <c r="B132" s="124"/>
      <c r="C132" s="124"/>
      <c r="D132" s="124"/>
      <c r="E132" s="125"/>
      <c r="F132" s="126"/>
      <c r="G132" s="127"/>
      <c r="H132" s="128"/>
      <c r="I132" s="127"/>
      <c r="J132" s="129"/>
    </row>
    <row r="133" spans="1:10" s="118" customFormat="1" x14ac:dyDescent="0.25">
      <c r="A133" s="79" t="s">
        <v>246</v>
      </c>
      <c r="B133" s="124"/>
      <c r="C133" s="124"/>
      <c r="D133" s="124"/>
      <c r="E133" s="125"/>
      <c r="F133" s="126"/>
      <c r="G133" s="127"/>
      <c r="H133" s="128"/>
      <c r="I133" s="127"/>
      <c r="J133" s="129"/>
    </row>
  </sheetData>
  <mergeCells count="1">
    <mergeCell ref="A5:K5"/>
  </mergeCells>
  <phoneticPr fontId="3" type="noConversion"/>
  <conditionalFormatting sqref="A10:A128 I10:K128">
    <cfRule type="expression" dxfId="129" priority="43" stopIfTrue="1">
      <formula>OR(LEFT(#REF!,3)="TIR",LEFT(#REF!,2)="IR")</formula>
    </cfRule>
  </conditionalFormatting>
  <conditionalFormatting sqref="B10:F128 J10:K128">
    <cfRule type="expression" dxfId="128" priority="39" stopIfTrue="1">
      <formula>LEFT(#REF!,3)="TIR"</formula>
    </cfRule>
  </conditionalFormatting>
  <conditionalFormatting sqref="G1:G4 G10:H128 G129:G55663">
    <cfRule type="expression" dxfId="127" priority="35" stopIfTrue="1">
      <formula>LEFT(#REF!,3)="TIR"</formula>
    </cfRule>
  </conditionalFormatting>
  <conditionalFormatting sqref="G6">
    <cfRule type="expression" dxfId="126" priority="38" stopIfTrue="1">
      <formula>LEFT(#REF!,3)="TIR"</formula>
    </cfRule>
  </conditionalFormatting>
  <conditionalFormatting sqref="I10:J128 A10:A128">
    <cfRule type="expression" dxfId="125" priority="41" stopIfTrue="1">
      <formula>#REF!&gt;0</formula>
    </cfRule>
  </conditionalFormatting>
  <pageMargins left="0" right="0" top="0" bottom="0" header="0" footer="0"/>
  <pageSetup paperSize="9" scale="96" fitToHeight="0" orientation="landscape" r:id="rId1"/>
  <headerFooter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Q58"/>
  <sheetViews>
    <sheetView rightToLeft="1" zoomScale="80" zoomScaleNormal="80" workbookViewId="0"/>
  </sheetViews>
  <sheetFormatPr defaultColWidth="9.109375" defaultRowHeight="13.2" x14ac:dyDescent="0.25"/>
  <cols>
    <col min="1" max="1" width="35.5546875" style="10" bestFit="1" customWidth="1"/>
    <col min="2" max="2" width="16" style="9" bestFit="1" customWidth="1"/>
    <col min="3" max="3" width="12.33203125" style="9" customWidth="1"/>
    <col min="4" max="4" width="7.5546875" style="9" customWidth="1"/>
    <col min="5" max="5" width="11.109375" style="60" customWidth="1"/>
    <col min="6" max="6" width="14.109375" style="60" customWidth="1"/>
    <col min="7" max="7" width="7.88671875" style="60" customWidth="1"/>
    <col min="8" max="8" width="12" style="37" bestFit="1" customWidth="1"/>
    <col min="9" max="9" width="12.5546875" style="62" customWidth="1"/>
    <col min="10" max="10" width="14.109375" style="64" customWidth="1"/>
    <col min="11" max="11" width="13.5546875" style="64" bestFit="1" customWidth="1"/>
    <col min="12" max="12" width="8.88671875" style="64" bestFit="1" customWidth="1"/>
    <col min="13" max="13" width="16.5546875" style="64" customWidth="1"/>
    <col min="14" max="14" width="12.33203125" style="62" bestFit="1" customWidth="1"/>
    <col min="15" max="15" width="22" style="62" customWidth="1"/>
    <col min="16" max="16" width="25.44140625" style="62" customWidth="1"/>
    <col min="17" max="17" width="20.6640625" style="66" customWidth="1"/>
    <col min="18" max="18" width="15.44140625" style="15" customWidth="1"/>
    <col min="19" max="16384" width="9.109375" style="15"/>
  </cols>
  <sheetData>
    <row r="1" spans="1:17" s="7" customFormat="1" x14ac:dyDescent="0.25">
      <c r="A1" s="7" t="s">
        <v>237</v>
      </c>
      <c r="B1" s="9" t="s">
        <v>247</v>
      </c>
      <c r="C1" s="9"/>
      <c r="D1" s="9"/>
      <c r="E1" s="60"/>
      <c r="F1" s="60"/>
      <c r="G1" s="60"/>
      <c r="H1" s="37"/>
      <c r="I1" s="62"/>
      <c r="J1" s="63"/>
      <c r="K1" s="63"/>
      <c r="L1" s="63"/>
      <c r="M1" s="63"/>
      <c r="N1" s="62"/>
      <c r="O1" s="62"/>
      <c r="P1" s="62"/>
      <c r="Q1" s="66"/>
    </row>
    <row r="2" spans="1:17" s="7" customFormat="1" x14ac:dyDescent="0.25">
      <c r="A2" s="10" t="s">
        <v>238</v>
      </c>
      <c r="B2" s="9" t="s">
        <v>150</v>
      </c>
      <c r="C2" s="9"/>
      <c r="D2" s="9"/>
      <c r="E2" s="60"/>
      <c r="F2" s="60"/>
      <c r="G2" s="60"/>
      <c r="H2" s="37"/>
      <c r="I2" s="62"/>
      <c r="J2" s="63"/>
      <c r="K2" s="63"/>
      <c r="L2" s="63"/>
      <c r="M2" s="63"/>
      <c r="N2" s="62"/>
      <c r="O2" s="62"/>
      <c r="P2" s="62"/>
      <c r="Q2" s="66"/>
    </row>
    <row r="3" spans="1:17" s="7" customFormat="1" x14ac:dyDescent="0.25">
      <c r="A3" s="10" t="s">
        <v>239</v>
      </c>
      <c r="B3" s="9" t="s">
        <v>240</v>
      </c>
      <c r="C3" s="9"/>
      <c r="D3" s="9"/>
      <c r="E3" s="60"/>
      <c r="F3" s="60"/>
      <c r="G3" s="60"/>
      <c r="H3" s="37"/>
      <c r="I3" s="62"/>
      <c r="J3" s="63"/>
      <c r="K3" s="63"/>
      <c r="L3" s="63"/>
      <c r="M3" s="63"/>
      <c r="N3" s="62"/>
      <c r="O3" s="62"/>
      <c r="P3" s="62"/>
      <c r="Q3" s="66"/>
    </row>
    <row r="4" spans="1:17" s="7" customFormat="1" ht="13.8" thickBot="1" x14ac:dyDescent="0.3">
      <c r="A4" s="10" t="s">
        <v>241</v>
      </c>
      <c r="B4" s="9" t="s">
        <v>249</v>
      </c>
      <c r="C4" s="9"/>
      <c r="D4" s="9"/>
      <c r="E4" s="60"/>
      <c r="F4" s="60"/>
      <c r="G4" s="60"/>
      <c r="H4" s="37"/>
      <c r="I4" s="62"/>
      <c r="J4" s="63"/>
      <c r="K4" s="63"/>
      <c r="L4" s="63"/>
      <c r="M4" s="63"/>
      <c r="N4" s="62"/>
      <c r="O4" s="62"/>
      <c r="P4" s="62"/>
      <c r="Q4" s="66"/>
    </row>
    <row r="5" spans="1:17" s="7" customFormat="1" ht="13.8" thickBot="1" x14ac:dyDescent="0.3">
      <c r="A5" s="220" t="s">
        <v>11</v>
      </c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2"/>
    </row>
    <row r="6" spans="1:17" s="7" customFormat="1" x14ac:dyDescent="0.25">
      <c r="A6" s="223" t="s">
        <v>12</v>
      </c>
      <c r="B6" s="224"/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4"/>
      <c r="Q6" s="225"/>
    </row>
    <row r="7" spans="1:17" s="7" customFormat="1" ht="28.5" customHeight="1" x14ac:dyDescent="0.25">
      <c r="A7" s="205" t="s">
        <v>157</v>
      </c>
      <c r="B7" s="203" t="s">
        <v>69</v>
      </c>
      <c r="C7" s="203" t="s">
        <v>76</v>
      </c>
      <c r="D7" s="203" t="s">
        <v>70</v>
      </c>
      <c r="E7" s="203" t="s">
        <v>5</v>
      </c>
      <c r="F7" s="203" t="s">
        <v>13</v>
      </c>
      <c r="G7" s="203" t="s">
        <v>14</v>
      </c>
      <c r="H7" s="203" t="s">
        <v>6</v>
      </c>
      <c r="I7" s="204" t="s">
        <v>66</v>
      </c>
      <c r="J7" s="204" t="s">
        <v>71</v>
      </c>
      <c r="K7" s="204" t="s">
        <v>67</v>
      </c>
      <c r="L7" s="204" t="s">
        <v>68</v>
      </c>
      <c r="M7" s="204" t="s">
        <v>134</v>
      </c>
      <c r="N7" s="204" t="s">
        <v>7</v>
      </c>
      <c r="O7" s="90" t="s">
        <v>17</v>
      </c>
      <c r="P7" s="90" t="s">
        <v>75</v>
      </c>
      <c r="Q7" s="91" t="s">
        <v>8</v>
      </c>
    </row>
    <row r="8" spans="1:17" s="7" customFormat="1" x14ac:dyDescent="0.25">
      <c r="A8" s="27"/>
      <c r="B8" s="3"/>
      <c r="C8" s="3"/>
      <c r="D8" s="3"/>
      <c r="E8" s="28"/>
      <c r="F8" s="28" t="s">
        <v>40</v>
      </c>
      <c r="G8" s="29" t="s">
        <v>16</v>
      </c>
      <c r="H8" s="30"/>
      <c r="I8" s="2" t="s">
        <v>9</v>
      </c>
      <c r="J8" s="2" t="s">
        <v>9</v>
      </c>
      <c r="K8" s="2" t="s">
        <v>133</v>
      </c>
      <c r="L8" s="2"/>
      <c r="M8" s="2" t="s">
        <v>135</v>
      </c>
      <c r="N8" s="2" t="s">
        <v>135</v>
      </c>
      <c r="O8" s="31" t="s">
        <v>9</v>
      </c>
      <c r="P8" s="31" t="s">
        <v>9</v>
      </c>
      <c r="Q8" s="6" t="s">
        <v>9</v>
      </c>
    </row>
    <row r="9" spans="1:17" s="16" customFormat="1" ht="12.75" customHeight="1" x14ac:dyDescent="0.25">
      <c r="A9" s="21"/>
      <c r="B9" s="22">
        <v>1</v>
      </c>
      <c r="C9" s="22">
        <v>2</v>
      </c>
      <c r="D9" s="22">
        <v>3</v>
      </c>
      <c r="E9" s="22">
        <v>4</v>
      </c>
      <c r="F9" s="22">
        <v>5</v>
      </c>
      <c r="G9" s="22">
        <v>6</v>
      </c>
      <c r="H9" s="22">
        <v>7</v>
      </c>
      <c r="I9" s="22">
        <v>8</v>
      </c>
      <c r="J9" s="22">
        <v>9</v>
      </c>
      <c r="K9" s="22">
        <v>10</v>
      </c>
      <c r="L9" s="22">
        <v>11</v>
      </c>
      <c r="M9" s="22">
        <v>12</v>
      </c>
      <c r="N9" s="22">
        <v>13</v>
      </c>
      <c r="O9" s="22">
        <v>14</v>
      </c>
      <c r="P9" s="22">
        <v>15</v>
      </c>
      <c r="Q9" s="23">
        <v>16</v>
      </c>
    </row>
    <row r="10" spans="1:17" s="118" customFormat="1" ht="12.75" customHeight="1" thickBot="1" x14ac:dyDescent="0.3">
      <c r="A10" s="100" t="s">
        <v>52</v>
      </c>
      <c r="B10" s="68"/>
      <c r="C10" s="68"/>
      <c r="D10" s="101"/>
      <c r="E10" s="101"/>
      <c r="F10" s="101"/>
      <c r="G10" s="101"/>
      <c r="H10" s="101"/>
      <c r="I10" s="68"/>
      <c r="J10" s="68"/>
      <c r="K10" s="104"/>
      <c r="L10" s="101"/>
      <c r="M10" s="101" t="s">
        <v>251</v>
      </c>
      <c r="N10" s="105">
        <v>198879.84043255448</v>
      </c>
      <c r="O10" s="68"/>
      <c r="P10" s="68">
        <v>1</v>
      </c>
      <c r="Q10" s="82">
        <v>0.34524687896118961</v>
      </c>
    </row>
    <row r="11" spans="1:17" s="118" customFormat="1" x14ac:dyDescent="0.25">
      <c r="A11" s="92" t="s">
        <v>137</v>
      </c>
      <c r="B11" s="130" t="s">
        <v>251</v>
      </c>
      <c r="C11" s="130" t="s">
        <v>251</v>
      </c>
      <c r="D11" s="130" t="s">
        <v>251</v>
      </c>
      <c r="E11" s="130" t="s">
        <v>251</v>
      </c>
      <c r="F11" s="130" t="s">
        <v>251</v>
      </c>
      <c r="G11" s="131" t="s">
        <v>251</v>
      </c>
      <c r="H11" s="130" t="s">
        <v>251</v>
      </c>
      <c r="I11" s="130" t="s">
        <v>251</v>
      </c>
      <c r="J11" s="130" t="s">
        <v>251</v>
      </c>
      <c r="K11" s="132" t="s">
        <v>251</v>
      </c>
      <c r="L11" s="121" t="s">
        <v>251</v>
      </c>
      <c r="M11" s="121" t="s">
        <v>251</v>
      </c>
      <c r="N11" s="133">
        <v>164084.22316403105</v>
      </c>
      <c r="O11" s="120" t="s">
        <v>251</v>
      </c>
      <c r="P11" s="120">
        <v>0.82504200932158556</v>
      </c>
      <c r="Q11" s="120">
        <v>0.28484317873014608</v>
      </c>
    </row>
    <row r="12" spans="1:17" s="118" customFormat="1" x14ac:dyDescent="0.25">
      <c r="A12" s="93" t="s">
        <v>397</v>
      </c>
      <c r="B12" s="130" t="s">
        <v>251</v>
      </c>
      <c r="C12" s="130" t="s">
        <v>251</v>
      </c>
      <c r="D12" s="130" t="s">
        <v>251</v>
      </c>
      <c r="E12" s="130" t="s">
        <v>251</v>
      </c>
      <c r="F12" s="130" t="s">
        <v>251</v>
      </c>
      <c r="G12" s="131" t="s">
        <v>251</v>
      </c>
      <c r="H12" s="130" t="s">
        <v>251</v>
      </c>
      <c r="I12" s="130" t="s">
        <v>251</v>
      </c>
      <c r="J12" s="130" t="s">
        <v>251</v>
      </c>
      <c r="K12" s="134" t="s">
        <v>251</v>
      </c>
      <c r="L12" s="135" t="s">
        <v>251</v>
      </c>
      <c r="M12" s="135" t="s">
        <v>251</v>
      </c>
      <c r="N12" s="123">
        <v>90178.770574389229</v>
      </c>
      <c r="O12" s="136"/>
      <c r="P12" s="120">
        <v>0.45343344191273771</v>
      </c>
      <c r="Q12" s="120">
        <v>0.15654648063700255</v>
      </c>
    </row>
    <row r="13" spans="1:17" x14ac:dyDescent="0.25">
      <c r="A13" s="17" t="s">
        <v>427</v>
      </c>
      <c r="B13" s="116" t="s">
        <v>428</v>
      </c>
      <c r="C13" s="116" t="s">
        <v>218</v>
      </c>
      <c r="D13" s="116" t="s">
        <v>388</v>
      </c>
      <c r="E13" s="116" t="s">
        <v>389</v>
      </c>
      <c r="F13" s="116" t="s">
        <v>429</v>
      </c>
      <c r="G13" s="117">
        <v>0</v>
      </c>
      <c r="H13" s="116" t="s">
        <v>257</v>
      </c>
      <c r="I13" s="116">
        <v>0</v>
      </c>
      <c r="J13" s="116">
        <v>0</v>
      </c>
      <c r="K13" s="70">
        <v>-2118514.696057525</v>
      </c>
      <c r="L13" s="61">
        <v>102.3296</v>
      </c>
      <c r="M13" s="61">
        <v>0</v>
      </c>
      <c r="N13" s="85">
        <v>-2167.8676144168812</v>
      </c>
      <c r="O13" s="25">
        <v>0</v>
      </c>
      <c r="P13" s="33">
        <v>-1.0900388946923273E-2</v>
      </c>
      <c r="Q13" s="33">
        <v>-3.7633252633883086E-3</v>
      </c>
    </row>
    <row r="14" spans="1:17" x14ac:dyDescent="0.25">
      <c r="A14" s="17" t="s">
        <v>430</v>
      </c>
      <c r="B14" s="116" t="s">
        <v>431</v>
      </c>
      <c r="C14" s="116" t="s">
        <v>400</v>
      </c>
      <c r="D14" s="116" t="s">
        <v>388</v>
      </c>
      <c r="E14" s="116" t="s">
        <v>389</v>
      </c>
      <c r="F14" s="116" t="s">
        <v>432</v>
      </c>
      <c r="G14" s="117">
        <v>0</v>
      </c>
      <c r="H14" s="116" t="s">
        <v>257</v>
      </c>
      <c r="I14" s="116">
        <v>0</v>
      </c>
      <c r="J14" s="116">
        <v>0</v>
      </c>
      <c r="K14" s="70">
        <v>-1694811.75684602</v>
      </c>
      <c r="L14" s="61">
        <v>104.98520000000001</v>
      </c>
      <c r="M14" s="61">
        <v>0</v>
      </c>
      <c r="N14" s="85">
        <v>-1779.301512548308</v>
      </c>
      <c r="O14" s="25">
        <v>0</v>
      </c>
      <c r="P14" s="33">
        <v>-8.9466157488783636E-3</v>
      </c>
      <c r="Q14" s="33">
        <v>-3.0887911645652811E-3</v>
      </c>
    </row>
    <row r="15" spans="1:17" x14ac:dyDescent="0.25">
      <c r="A15" s="17" t="s">
        <v>398</v>
      </c>
      <c r="B15" s="116" t="s">
        <v>399</v>
      </c>
      <c r="C15" s="116" t="s">
        <v>400</v>
      </c>
      <c r="D15" s="116" t="s">
        <v>401</v>
      </c>
      <c r="E15" s="116" t="s">
        <v>218</v>
      </c>
      <c r="F15" s="116" t="s">
        <v>402</v>
      </c>
      <c r="G15" s="117">
        <v>1.05</v>
      </c>
      <c r="H15" s="116" t="s">
        <v>257</v>
      </c>
      <c r="I15" s="116">
        <v>0.04</v>
      </c>
      <c r="J15" s="116">
        <v>1.7299999999999999E-2</v>
      </c>
      <c r="K15" s="70">
        <v>5573867.9839525605</v>
      </c>
      <c r="L15" s="61">
        <v>144.80000000000001</v>
      </c>
      <c r="M15" s="70">
        <v>0</v>
      </c>
      <c r="N15" s="85">
        <v>8070.9608407124624</v>
      </c>
      <c r="O15" s="25">
        <v>3.9526916588164524E-4</v>
      </c>
      <c r="P15" s="33">
        <v>4.058209632086638E-2</v>
      </c>
      <c r="Q15" s="33">
        <v>1.4010842096481494E-2</v>
      </c>
    </row>
    <row r="16" spans="1:17" x14ac:dyDescent="0.25">
      <c r="A16" s="17" t="s">
        <v>403</v>
      </c>
      <c r="B16" s="116" t="s">
        <v>404</v>
      </c>
      <c r="C16" s="116" t="s">
        <v>400</v>
      </c>
      <c r="D16" s="116" t="s">
        <v>401</v>
      </c>
      <c r="E16" s="116" t="s">
        <v>218</v>
      </c>
      <c r="F16" s="116" t="s">
        <v>405</v>
      </c>
      <c r="G16" s="117">
        <v>14.76</v>
      </c>
      <c r="H16" s="116" t="s">
        <v>257</v>
      </c>
      <c r="I16" s="116">
        <v>2.75E-2</v>
      </c>
      <c r="J16" s="116">
        <v>1.11E-2</v>
      </c>
      <c r="K16" s="70">
        <v>5246.6372297270082</v>
      </c>
      <c r="L16" s="61">
        <v>152.87</v>
      </c>
      <c r="M16" s="61">
        <v>0</v>
      </c>
      <c r="N16" s="85">
        <v>8.0205342763074849</v>
      </c>
      <c r="O16" s="25">
        <v>2.9252860991726661E-7</v>
      </c>
      <c r="P16" s="33">
        <v>4.0328543400191757E-5</v>
      </c>
      <c r="Q16" s="33">
        <v>1.3923303741967086E-5</v>
      </c>
    </row>
    <row r="17" spans="1:17" x14ac:dyDescent="0.25">
      <c r="A17" s="17" t="s">
        <v>406</v>
      </c>
      <c r="B17" s="116" t="s">
        <v>407</v>
      </c>
      <c r="C17" s="116" t="s">
        <v>400</v>
      </c>
      <c r="D17" s="116" t="s">
        <v>401</v>
      </c>
      <c r="E17" s="116" t="s">
        <v>218</v>
      </c>
      <c r="F17" s="116" t="s">
        <v>408</v>
      </c>
      <c r="G17" s="117">
        <v>0.25</v>
      </c>
      <c r="H17" s="116" t="s">
        <v>257</v>
      </c>
      <c r="I17" s="116">
        <v>1.7500000000000002E-2</v>
      </c>
      <c r="J17" s="116">
        <v>5.3E-3</v>
      </c>
      <c r="K17" s="70">
        <v>11027.9536725038</v>
      </c>
      <c r="L17" s="61">
        <v>114.24000000000001</v>
      </c>
      <c r="M17" s="61">
        <v>0</v>
      </c>
      <c r="N17" s="85">
        <v>12.598334214455116</v>
      </c>
      <c r="O17" s="25">
        <v>5.7088194137242497E-7</v>
      </c>
      <c r="P17" s="33">
        <v>6.3346461798512719E-5</v>
      </c>
      <c r="Q17" s="33">
        <v>2.1870168229170739E-5</v>
      </c>
    </row>
    <row r="18" spans="1:17" x14ac:dyDescent="0.25">
      <c r="A18" s="17" t="s">
        <v>409</v>
      </c>
      <c r="B18" s="116" t="s">
        <v>410</v>
      </c>
      <c r="C18" s="116" t="s">
        <v>400</v>
      </c>
      <c r="D18" s="116" t="s">
        <v>401</v>
      </c>
      <c r="E18" s="116" t="s">
        <v>218</v>
      </c>
      <c r="F18" s="116" t="s">
        <v>411</v>
      </c>
      <c r="G18" s="117">
        <v>2.3199999999999998</v>
      </c>
      <c r="H18" s="116" t="s">
        <v>257</v>
      </c>
      <c r="I18" s="116">
        <v>7.4999999999999997E-3</v>
      </c>
      <c r="J18" s="116">
        <v>1.3300000000000001E-2</v>
      </c>
      <c r="K18" s="70">
        <v>25308605.788125526</v>
      </c>
      <c r="L18" s="61">
        <v>110.07000000000001</v>
      </c>
      <c r="M18" s="61">
        <v>0</v>
      </c>
      <c r="N18" s="85">
        <v>27857.182390917736</v>
      </c>
      <c r="O18" s="25">
        <v>1.1565299944968498E-3</v>
      </c>
      <c r="P18" s="33">
        <v>0.1400704180490574</v>
      </c>
      <c r="Q18" s="33">
        <v>4.8358874666226154E-2</v>
      </c>
    </row>
    <row r="19" spans="1:17" x14ac:dyDescent="0.25">
      <c r="A19" s="17" t="s">
        <v>412</v>
      </c>
      <c r="B19" s="116" t="s">
        <v>413</v>
      </c>
      <c r="C19" s="116" t="s">
        <v>400</v>
      </c>
      <c r="D19" s="116" t="s">
        <v>401</v>
      </c>
      <c r="E19" s="116" t="s">
        <v>218</v>
      </c>
      <c r="F19" s="116" t="s">
        <v>414</v>
      </c>
      <c r="G19" s="117">
        <v>3.88</v>
      </c>
      <c r="H19" s="116" t="s">
        <v>257</v>
      </c>
      <c r="I19" s="116">
        <v>7.4999999999999997E-3</v>
      </c>
      <c r="J19" s="116">
        <v>1.1299999999999999E-2</v>
      </c>
      <c r="K19" s="70">
        <v>8908748.3491294179</v>
      </c>
      <c r="L19" s="61">
        <v>110.13999999999999</v>
      </c>
      <c r="M19" s="61">
        <v>0</v>
      </c>
      <c r="N19" s="85">
        <v>9812.095431634536</v>
      </c>
      <c r="O19" s="25">
        <v>4.4490214211977125E-4</v>
      </c>
      <c r="P19" s="33">
        <v>4.9336802615557618E-2</v>
      </c>
      <c r="Q19" s="33">
        <v>1.7033377120945523E-2</v>
      </c>
    </row>
    <row r="20" spans="1:17" x14ac:dyDescent="0.25">
      <c r="A20" s="17" t="s">
        <v>415</v>
      </c>
      <c r="B20" s="116" t="s">
        <v>416</v>
      </c>
      <c r="C20" s="116" t="s">
        <v>400</v>
      </c>
      <c r="D20" s="116" t="s">
        <v>401</v>
      </c>
      <c r="E20" s="116" t="s">
        <v>218</v>
      </c>
      <c r="F20" s="116" t="s">
        <v>417</v>
      </c>
      <c r="G20" s="117">
        <v>5.85</v>
      </c>
      <c r="H20" s="116" t="s">
        <v>257</v>
      </c>
      <c r="I20" s="116">
        <v>5.0000000000000001E-3</v>
      </c>
      <c r="J20" s="116">
        <v>1.0500000000000001E-2</v>
      </c>
      <c r="K20" s="70">
        <v>14495958.306460751</v>
      </c>
      <c r="L20" s="61">
        <v>107.14000000000001</v>
      </c>
      <c r="M20" s="61">
        <v>0</v>
      </c>
      <c r="N20" s="85">
        <v>15530.969729526796</v>
      </c>
      <c r="O20" s="25">
        <v>7.1699712994862253E-4</v>
      </c>
      <c r="P20" s="33">
        <v>7.80922274261064E-2</v>
      </c>
      <c r="Q20" s="33">
        <v>2.6961097789990649E-2</v>
      </c>
    </row>
    <row r="21" spans="1:17" x14ac:dyDescent="0.25">
      <c r="A21" s="17" t="s">
        <v>418</v>
      </c>
      <c r="B21" s="116" t="s">
        <v>419</v>
      </c>
      <c r="C21" s="116" t="s">
        <v>400</v>
      </c>
      <c r="D21" s="116" t="s">
        <v>401</v>
      </c>
      <c r="E21" s="116" t="s">
        <v>218</v>
      </c>
      <c r="F21" s="116" t="s">
        <v>420</v>
      </c>
      <c r="G21" s="117">
        <v>26.24</v>
      </c>
      <c r="H21" s="116" t="s">
        <v>257</v>
      </c>
      <c r="I21" s="116">
        <v>5.0000000000000001E-3</v>
      </c>
      <c r="J21" s="116">
        <v>1.24E-2</v>
      </c>
      <c r="K21" s="70">
        <v>627478.49521094572</v>
      </c>
      <c r="L21" s="61">
        <v>91.36</v>
      </c>
      <c r="M21" s="61">
        <v>0</v>
      </c>
      <c r="N21" s="85">
        <v>573.26435320438225</v>
      </c>
      <c r="O21" s="25">
        <v>1.0168412428915026E-4</v>
      </c>
      <c r="P21" s="33">
        <v>2.8824658746585811E-3</v>
      </c>
      <c r="Q21" s="33">
        <v>9.9516234693801083E-4</v>
      </c>
    </row>
    <row r="22" spans="1:17" x14ac:dyDescent="0.25">
      <c r="A22" s="17" t="s">
        <v>421</v>
      </c>
      <c r="B22" s="116" t="s">
        <v>422</v>
      </c>
      <c r="C22" s="116" t="s">
        <v>400</v>
      </c>
      <c r="D22" s="116" t="s">
        <v>401</v>
      </c>
      <c r="E22" s="116" t="s">
        <v>218</v>
      </c>
      <c r="F22" s="116" t="s">
        <v>423</v>
      </c>
      <c r="G22" s="117">
        <v>3.08</v>
      </c>
      <c r="H22" s="116" t="s">
        <v>257</v>
      </c>
      <c r="I22" s="116">
        <v>1E-3</v>
      </c>
      <c r="J22" s="116">
        <v>1.2E-2</v>
      </c>
      <c r="K22" s="70">
        <v>10984367.130821584</v>
      </c>
      <c r="L22" s="61">
        <v>107</v>
      </c>
      <c r="M22" s="61">
        <v>0</v>
      </c>
      <c r="N22" s="85">
        <v>11753.272829979094</v>
      </c>
      <c r="O22" s="25">
        <v>1.2729566513669263E-3</v>
      </c>
      <c r="P22" s="33">
        <v>5.9097356496346072E-2</v>
      </c>
      <c r="Q22" s="33">
        <v>2.0403177885220267E-2</v>
      </c>
    </row>
    <row r="23" spans="1:17" x14ac:dyDescent="0.25">
      <c r="A23" s="17" t="s">
        <v>424</v>
      </c>
      <c r="B23" s="116" t="s">
        <v>425</v>
      </c>
      <c r="C23" s="116" t="s">
        <v>400</v>
      </c>
      <c r="D23" s="116" t="s">
        <v>401</v>
      </c>
      <c r="E23" s="116" t="s">
        <v>218</v>
      </c>
      <c r="F23" s="116" t="s">
        <v>426</v>
      </c>
      <c r="G23" s="117">
        <v>8.39</v>
      </c>
      <c r="H23" s="116" t="s">
        <v>257</v>
      </c>
      <c r="I23" s="116">
        <v>1E-3</v>
      </c>
      <c r="J23" s="116">
        <v>1.06E-2</v>
      </c>
      <c r="K23" s="70">
        <v>20075942.493185181</v>
      </c>
      <c r="L23" s="61">
        <v>102.15</v>
      </c>
      <c r="M23" s="61">
        <v>0</v>
      </c>
      <c r="N23" s="85">
        <v>20507.575256788663</v>
      </c>
      <c r="O23" s="25">
        <v>2.8209508178806838E-3</v>
      </c>
      <c r="P23" s="33">
        <v>0.10311540482024539</v>
      </c>
      <c r="Q23" s="33">
        <v>3.5600271687009327E-2</v>
      </c>
    </row>
    <row r="24" spans="1:17" s="118" customFormat="1" x14ac:dyDescent="0.25">
      <c r="A24" s="93" t="s">
        <v>139</v>
      </c>
      <c r="B24" s="130" t="s">
        <v>251</v>
      </c>
      <c r="C24" s="130" t="s">
        <v>251</v>
      </c>
      <c r="D24" s="130" t="s">
        <v>251</v>
      </c>
      <c r="E24" s="130" t="s">
        <v>251</v>
      </c>
      <c r="F24" s="130" t="s">
        <v>251</v>
      </c>
      <c r="G24" s="131" t="s">
        <v>251</v>
      </c>
      <c r="H24" s="130" t="s">
        <v>251</v>
      </c>
      <c r="I24" s="130" t="s">
        <v>251</v>
      </c>
      <c r="J24" s="130" t="s">
        <v>251</v>
      </c>
      <c r="K24" s="134" t="s">
        <v>251</v>
      </c>
      <c r="L24" s="135" t="s">
        <v>251</v>
      </c>
      <c r="M24" s="135" t="s">
        <v>251</v>
      </c>
      <c r="N24" s="123">
        <v>73905.452589541848</v>
      </c>
      <c r="O24" s="136"/>
      <c r="P24" s="120">
        <v>0.37160856740834514</v>
      </c>
      <c r="Q24" s="120">
        <v>0.12829669809297001</v>
      </c>
    </row>
    <row r="25" spans="1:17" s="118" customFormat="1" x14ac:dyDescent="0.25">
      <c r="A25" s="93" t="s">
        <v>433</v>
      </c>
      <c r="B25" s="130" t="s">
        <v>251</v>
      </c>
      <c r="C25" s="130" t="s">
        <v>251</v>
      </c>
      <c r="D25" s="130" t="s">
        <v>251</v>
      </c>
      <c r="E25" s="130" t="s">
        <v>251</v>
      </c>
      <c r="F25" s="130" t="s">
        <v>251</v>
      </c>
      <c r="G25" s="131" t="s">
        <v>251</v>
      </c>
      <c r="H25" s="130" t="s">
        <v>251</v>
      </c>
      <c r="I25" s="130" t="s">
        <v>251</v>
      </c>
      <c r="J25" s="130" t="s">
        <v>251</v>
      </c>
      <c r="K25" s="134" t="s">
        <v>251</v>
      </c>
      <c r="L25" s="135" t="s">
        <v>251</v>
      </c>
      <c r="M25" s="135" t="s">
        <v>251</v>
      </c>
      <c r="N25" s="123">
        <v>17210.228610608658</v>
      </c>
      <c r="O25" s="136"/>
      <c r="P25" s="120">
        <v>8.6535812645350083E-2</v>
      </c>
      <c r="Q25" s="120">
        <v>2.9876219234177367E-2</v>
      </c>
    </row>
    <row r="26" spans="1:17" x14ac:dyDescent="0.25">
      <c r="A26" s="17" t="s">
        <v>434</v>
      </c>
      <c r="B26" s="116" t="s">
        <v>435</v>
      </c>
      <c r="C26" s="116" t="s">
        <v>400</v>
      </c>
      <c r="D26" s="116" t="s">
        <v>401</v>
      </c>
      <c r="E26" s="116" t="s">
        <v>218</v>
      </c>
      <c r="F26" s="116" t="s">
        <v>436</v>
      </c>
      <c r="G26" s="117">
        <v>0.44</v>
      </c>
      <c r="H26" s="116" t="s">
        <v>257</v>
      </c>
      <c r="I26" s="116">
        <v>0</v>
      </c>
      <c r="J26" s="116">
        <v>4.7699999999999992E-2</v>
      </c>
      <c r="K26" s="70">
        <v>6063922.1227868022</v>
      </c>
      <c r="L26" s="61">
        <v>97.99</v>
      </c>
      <c r="M26" s="61">
        <v>0</v>
      </c>
      <c r="N26" s="85">
        <v>5942.0372880545374</v>
      </c>
      <c r="O26" s="25">
        <v>1.7835065067020006E-4</v>
      </c>
      <c r="P26" s="33">
        <v>2.9877524414394542E-2</v>
      </c>
      <c r="Q26" s="33">
        <v>1.031512205515646E-2</v>
      </c>
    </row>
    <row r="27" spans="1:17" x14ac:dyDescent="0.25">
      <c r="A27" s="17" t="s">
        <v>437</v>
      </c>
      <c r="B27" s="116" t="s">
        <v>438</v>
      </c>
      <c r="C27" s="116" t="s">
        <v>400</v>
      </c>
      <c r="D27" s="116" t="s">
        <v>401</v>
      </c>
      <c r="E27" s="116" t="s">
        <v>218</v>
      </c>
      <c r="F27" s="116" t="s">
        <v>439</v>
      </c>
      <c r="G27" s="117">
        <v>0.51</v>
      </c>
      <c r="H27" s="116" t="s">
        <v>257</v>
      </c>
      <c r="I27" s="116">
        <v>0</v>
      </c>
      <c r="J27" s="116">
        <v>4.7899999999999998E-2</v>
      </c>
      <c r="K27" s="70">
        <v>7421801.8203872377</v>
      </c>
      <c r="L27" s="61">
        <v>97.63</v>
      </c>
      <c r="M27" s="61">
        <v>0</v>
      </c>
      <c r="N27" s="85">
        <v>7245.9051171913616</v>
      </c>
      <c r="O27" s="25">
        <v>2.1828828883491876E-4</v>
      </c>
      <c r="P27" s="33">
        <v>3.6433582717241987E-2</v>
      </c>
      <c r="Q27" s="33">
        <v>1.2578580722502135E-2</v>
      </c>
    </row>
    <row r="28" spans="1:17" x14ac:dyDescent="0.25">
      <c r="A28" s="17" t="s">
        <v>440</v>
      </c>
      <c r="B28" s="116" t="s">
        <v>441</v>
      </c>
      <c r="C28" s="116" t="s">
        <v>400</v>
      </c>
      <c r="D28" s="116" t="s">
        <v>401</v>
      </c>
      <c r="E28" s="116" t="s">
        <v>218</v>
      </c>
      <c r="F28" s="116" t="s">
        <v>442</v>
      </c>
      <c r="G28" s="117">
        <v>0.61</v>
      </c>
      <c r="H28" s="116" t="s">
        <v>257</v>
      </c>
      <c r="I28" s="116">
        <v>0</v>
      </c>
      <c r="J28" s="116">
        <v>4.8000000000000001E-2</v>
      </c>
      <c r="K28" s="70">
        <v>350290.14206390484</v>
      </c>
      <c r="L28" s="61">
        <v>97.19</v>
      </c>
      <c r="M28" s="61">
        <v>0</v>
      </c>
      <c r="N28" s="85">
        <v>340.44698904519845</v>
      </c>
      <c r="O28" s="25">
        <v>1.0946566939497027E-5</v>
      </c>
      <c r="P28" s="33">
        <v>1.7118225170773564E-3</v>
      </c>
      <c r="Q28" s="33">
        <v>5.9100138135644508E-4</v>
      </c>
    </row>
    <row r="29" spans="1:17" x14ac:dyDescent="0.25">
      <c r="A29" s="17" t="s">
        <v>443</v>
      </c>
      <c r="B29" s="116" t="s">
        <v>444</v>
      </c>
      <c r="C29" s="116" t="s">
        <v>400</v>
      </c>
      <c r="D29" s="116" t="s">
        <v>401</v>
      </c>
      <c r="E29" s="116" t="s">
        <v>218</v>
      </c>
      <c r="F29" s="116" t="s">
        <v>445</v>
      </c>
      <c r="G29" s="117">
        <v>0.68</v>
      </c>
      <c r="H29" s="116" t="s">
        <v>257</v>
      </c>
      <c r="I29" s="116">
        <v>0</v>
      </c>
      <c r="J29" s="116">
        <v>4.8499999999999995E-2</v>
      </c>
      <c r="K29" s="70">
        <v>2271583.1336482423</v>
      </c>
      <c r="L29" s="61">
        <v>96.81</v>
      </c>
      <c r="M29" s="61">
        <v>0</v>
      </c>
      <c r="N29" s="85">
        <v>2199.1196316350515</v>
      </c>
      <c r="O29" s="25">
        <v>7.3276875278975554E-5</v>
      </c>
      <c r="P29" s="33">
        <v>1.1057529143487182E-2</v>
      </c>
      <c r="Q29" s="33">
        <v>3.8175774258113458E-3</v>
      </c>
    </row>
    <row r="30" spans="1:17" x14ac:dyDescent="0.25">
      <c r="A30" s="17" t="s">
        <v>446</v>
      </c>
      <c r="B30" s="116" t="s">
        <v>447</v>
      </c>
      <c r="C30" s="116" t="s">
        <v>400</v>
      </c>
      <c r="D30" s="116" t="s">
        <v>401</v>
      </c>
      <c r="E30" s="116" t="s">
        <v>218</v>
      </c>
      <c r="F30" s="116" t="s">
        <v>448</v>
      </c>
      <c r="G30" s="117">
        <v>0.76</v>
      </c>
      <c r="H30" s="116" t="s">
        <v>257</v>
      </c>
      <c r="I30" s="116">
        <v>0</v>
      </c>
      <c r="J30" s="116">
        <v>4.82E-2</v>
      </c>
      <c r="K30" s="70">
        <v>710405.71051461122</v>
      </c>
      <c r="L30" s="61">
        <v>96.48</v>
      </c>
      <c r="M30" s="61">
        <v>0</v>
      </c>
      <c r="N30" s="85">
        <v>685.39942943808126</v>
      </c>
      <c r="O30" s="25">
        <v>3.552028552573056E-5</v>
      </c>
      <c r="P30" s="33">
        <v>3.4462991721401679E-3</v>
      </c>
      <c r="Q30" s="33">
        <v>1.1898240331479246E-3</v>
      </c>
    </row>
    <row r="31" spans="1:17" x14ac:dyDescent="0.25">
      <c r="A31" s="17" t="s">
        <v>449</v>
      </c>
      <c r="B31" s="116" t="s">
        <v>450</v>
      </c>
      <c r="C31" s="116" t="s">
        <v>400</v>
      </c>
      <c r="D31" s="116" t="s">
        <v>401</v>
      </c>
      <c r="E31" s="116" t="s">
        <v>218</v>
      </c>
      <c r="F31" s="116" t="s">
        <v>451</v>
      </c>
      <c r="G31" s="117">
        <v>0.86</v>
      </c>
      <c r="H31" s="116" t="s">
        <v>257</v>
      </c>
      <c r="I31" s="116">
        <v>0</v>
      </c>
      <c r="J31" s="116">
        <v>4.82E-2</v>
      </c>
      <c r="K31" s="70">
        <v>830195.91331156448</v>
      </c>
      <c r="L31" s="61">
        <v>96.04</v>
      </c>
      <c r="M31" s="61">
        <v>0</v>
      </c>
      <c r="N31" s="85">
        <v>797.32015514442651</v>
      </c>
      <c r="O31" s="25">
        <v>4.6121995183975803E-5</v>
      </c>
      <c r="P31" s="33">
        <v>4.0090546805060375E-3</v>
      </c>
      <c r="Q31" s="33">
        <v>1.3841136160294587E-3</v>
      </c>
    </row>
    <row r="32" spans="1:17" s="118" customFormat="1" x14ac:dyDescent="0.25">
      <c r="A32" s="93" t="s">
        <v>452</v>
      </c>
      <c r="B32" s="130" t="s">
        <v>251</v>
      </c>
      <c r="C32" s="130" t="s">
        <v>251</v>
      </c>
      <c r="D32" s="130" t="s">
        <v>251</v>
      </c>
      <c r="E32" s="130" t="s">
        <v>251</v>
      </c>
      <c r="F32" s="130" t="s">
        <v>251</v>
      </c>
      <c r="G32" s="131" t="s">
        <v>251</v>
      </c>
      <c r="H32" s="130" t="s">
        <v>251</v>
      </c>
      <c r="I32" s="130" t="s">
        <v>251</v>
      </c>
      <c r="J32" s="130" t="s">
        <v>251</v>
      </c>
      <c r="K32" s="134" t="s">
        <v>251</v>
      </c>
      <c r="L32" s="135" t="s">
        <v>251</v>
      </c>
      <c r="M32" s="135" t="s">
        <v>251</v>
      </c>
      <c r="N32" s="123">
        <v>47911.662525806467</v>
      </c>
      <c r="O32" s="136"/>
      <c r="P32" s="120">
        <v>0.24090758732308315</v>
      </c>
      <c r="Q32" s="120">
        <v>8.3172592641364715E-2</v>
      </c>
    </row>
    <row r="33" spans="1:17" x14ac:dyDescent="0.25">
      <c r="A33" s="17" t="s">
        <v>468</v>
      </c>
      <c r="B33" s="116" t="s">
        <v>469</v>
      </c>
      <c r="C33" s="116" t="s">
        <v>400</v>
      </c>
      <c r="D33" s="116" t="s">
        <v>388</v>
      </c>
      <c r="E33" s="116" t="s">
        <v>389</v>
      </c>
      <c r="F33" s="116" t="s">
        <v>470</v>
      </c>
      <c r="G33" s="117">
        <v>0</v>
      </c>
      <c r="H33" s="116" t="s">
        <v>257</v>
      </c>
      <c r="I33" s="116">
        <v>0</v>
      </c>
      <c r="J33" s="116">
        <v>0</v>
      </c>
      <c r="K33" s="70">
        <v>-1804773.7245903574</v>
      </c>
      <c r="L33" s="61">
        <v>93.275300000000001</v>
      </c>
      <c r="M33" s="61">
        <v>0</v>
      </c>
      <c r="N33" s="85">
        <v>-1683.4081059328296</v>
      </c>
      <c r="O33" s="25">
        <v>0</v>
      </c>
      <c r="P33" s="33">
        <v>-8.4644481927956833E-3</v>
      </c>
      <c r="Q33" s="33">
        <v>-2.9223243206913914E-3</v>
      </c>
    </row>
    <row r="34" spans="1:17" x14ac:dyDescent="0.25">
      <c r="A34" s="17" t="s">
        <v>471</v>
      </c>
      <c r="B34" s="116" t="s">
        <v>472</v>
      </c>
      <c r="C34" s="116" t="s">
        <v>400</v>
      </c>
      <c r="D34" s="116" t="s">
        <v>388</v>
      </c>
      <c r="E34" s="116" t="s">
        <v>389</v>
      </c>
      <c r="F34" s="116" t="s">
        <v>473</v>
      </c>
      <c r="G34" s="117">
        <v>0</v>
      </c>
      <c r="H34" s="116" t="s">
        <v>257</v>
      </c>
      <c r="I34" s="116">
        <v>0</v>
      </c>
      <c r="J34" s="116">
        <v>0</v>
      </c>
      <c r="K34" s="70">
        <v>-1804773.7245903574</v>
      </c>
      <c r="L34" s="61">
        <v>96.342200000000005</v>
      </c>
      <c r="M34" s="61">
        <v>0</v>
      </c>
      <c r="N34" s="85">
        <v>-1738.7587112922913</v>
      </c>
      <c r="O34" s="25">
        <v>0</v>
      </c>
      <c r="P34" s="33">
        <v>-8.7427599876919206E-3</v>
      </c>
      <c r="Q34" s="33">
        <v>-3.0184105992574046E-3</v>
      </c>
    </row>
    <row r="35" spans="1:17" x14ac:dyDescent="0.25">
      <c r="A35" s="17" t="s">
        <v>474</v>
      </c>
      <c r="B35" s="116" t="s">
        <v>475</v>
      </c>
      <c r="C35" s="116" t="s">
        <v>400</v>
      </c>
      <c r="D35" s="116" t="s">
        <v>388</v>
      </c>
      <c r="E35" s="116" t="s">
        <v>389</v>
      </c>
      <c r="F35" s="116" t="s">
        <v>476</v>
      </c>
      <c r="G35" s="117">
        <v>0</v>
      </c>
      <c r="H35" s="116" t="s">
        <v>257</v>
      </c>
      <c r="I35" s="116">
        <v>0</v>
      </c>
      <c r="J35" s="116">
        <v>0</v>
      </c>
      <c r="K35" s="70">
        <v>-1804773.7245903574</v>
      </c>
      <c r="L35" s="61">
        <v>95.540800000000004</v>
      </c>
      <c r="M35" s="61">
        <v>0</v>
      </c>
      <c r="N35" s="85">
        <v>-1724.2952546634244</v>
      </c>
      <c r="O35" s="25">
        <v>0</v>
      </c>
      <c r="P35" s="33">
        <v>-8.6700353887712387E-3</v>
      </c>
      <c r="Q35" s="33">
        <v>-2.9933026584563344E-3</v>
      </c>
    </row>
    <row r="36" spans="1:17" x14ac:dyDescent="0.25">
      <c r="A36" s="17" t="s">
        <v>477</v>
      </c>
      <c r="B36" s="116" t="s">
        <v>478</v>
      </c>
      <c r="C36" s="116" t="s">
        <v>400</v>
      </c>
      <c r="D36" s="116" t="s">
        <v>388</v>
      </c>
      <c r="E36" s="116" t="s">
        <v>389</v>
      </c>
      <c r="F36" s="116" t="s">
        <v>479</v>
      </c>
      <c r="G36" s="117">
        <v>0</v>
      </c>
      <c r="H36" s="116" t="s">
        <v>257</v>
      </c>
      <c r="I36" s="116">
        <v>0</v>
      </c>
      <c r="J36" s="116">
        <v>0</v>
      </c>
      <c r="K36" s="70">
        <v>-1804773.7245903574</v>
      </c>
      <c r="L36" s="61">
        <v>90.075599999999994</v>
      </c>
      <c r="M36" s="61">
        <v>0</v>
      </c>
      <c r="N36" s="85">
        <v>-1625.6607610671119</v>
      </c>
      <c r="O36" s="25">
        <v>0</v>
      </c>
      <c r="P36" s="33">
        <v>-8.1740852040678175E-3</v>
      </c>
      <c r="Q36" s="33">
        <v>-2.8220774050672524E-3</v>
      </c>
    </row>
    <row r="37" spans="1:17" x14ac:dyDescent="0.25">
      <c r="A37" s="17" t="s">
        <v>453</v>
      </c>
      <c r="B37" s="116" t="s">
        <v>454</v>
      </c>
      <c r="C37" s="116" t="s">
        <v>400</v>
      </c>
      <c r="D37" s="116" t="s">
        <v>401</v>
      </c>
      <c r="E37" s="116" t="s">
        <v>218</v>
      </c>
      <c r="F37" s="116" t="s">
        <v>455</v>
      </c>
      <c r="G37" s="117">
        <v>12.46</v>
      </c>
      <c r="H37" s="116" t="s">
        <v>257</v>
      </c>
      <c r="I37" s="116">
        <v>5.5E-2</v>
      </c>
      <c r="J37" s="116">
        <v>3.9900000000000005E-2</v>
      </c>
      <c r="K37" s="70">
        <v>2589836.9105852214</v>
      </c>
      <c r="L37" s="61">
        <v>121.8</v>
      </c>
      <c r="M37" s="61">
        <v>0</v>
      </c>
      <c r="N37" s="85">
        <v>3154.4213570350471</v>
      </c>
      <c r="O37" s="25">
        <v>1.3106710170451716E-4</v>
      </c>
      <c r="P37" s="33">
        <v>1.5860940707586681E-2</v>
      </c>
      <c r="Q37" s="33">
        <v>5.4759402766827846E-3</v>
      </c>
    </row>
    <row r="38" spans="1:17" x14ac:dyDescent="0.25">
      <c r="A38" s="17" t="s">
        <v>456</v>
      </c>
      <c r="B38" s="116" t="s">
        <v>457</v>
      </c>
      <c r="C38" s="116" t="s">
        <v>400</v>
      </c>
      <c r="D38" s="116" t="s">
        <v>401</v>
      </c>
      <c r="E38" s="116" t="s">
        <v>218</v>
      </c>
      <c r="F38" s="116" t="s">
        <v>458</v>
      </c>
      <c r="G38" s="117">
        <v>15.78</v>
      </c>
      <c r="H38" s="116" t="s">
        <v>257</v>
      </c>
      <c r="I38" s="116">
        <v>3.7499999999999999E-2</v>
      </c>
      <c r="J38" s="116">
        <v>4.0599999999999997E-2</v>
      </c>
      <c r="K38" s="70">
        <v>14223996.154096765</v>
      </c>
      <c r="L38" s="61">
        <v>96.3</v>
      </c>
      <c r="M38" s="61">
        <v>0</v>
      </c>
      <c r="N38" s="85">
        <v>13697.708296373528</v>
      </c>
      <c r="O38" s="25">
        <v>5.7222721779932732E-4</v>
      </c>
      <c r="P38" s="33">
        <v>6.887429247017518E-2</v>
      </c>
      <c r="Q38" s="33">
        <v>2.3778634515988144E-2</v>
      </c>
    </row>
    <row r="39" spans="1:17" x14ac:dyDescent="0.25">
      <c r="A39" s="17" t="s">
        <v>459</v>
      </c>
      <c r="B39" s="116" t="s">
        <v>460</v>
      </c>
      <c r="C39" s="116" t="s">
        <v>400</v>
      </c>
      <c r="D39" s="116" t="s">
        <v>401</v>
      </c>
      <c r="E39" s="116" t="s">
        <v>218</v>
      </c>
      <c r="F39" s="116" t="s">
        <v>461</v>
      </c>
      <c r="G39" s="117">
        <v>12.4</v>
      </c>
      <c r="H39" s="116" t="s">
        <v>257</v>
      </c>
      <c r="I39" s="116">
        <v>1.4999999999999999E-2</v>
      </c>
      <c r="J39" s="116">
        <v>3.9100000000000003E-2</v>
      </c>
      <c r="K39" s="70">
        <v>20740941.337099481</v>
      </c>
      <c r="L39" s="61">
        <v>74.599999999999994</v>
      </c>
      <c r="M39" s="61">
        <v>0</v>
      </c>
      <c r="N39" s="85">
        <v>15472.742237476214</v>
      </c>
      <c r="O39" s="25">
        <v>1.1659252361664095E-3</v>
      </c>
      <c r="P39" s="33">
        <v>7.779945017968494E-2</v>
      </c>
      <c r="Q39" s="33">
        <v>2.6860017359432789E-2</v>
      </c>
    </row>
    <row r="40" spans="1:17" x14ac:dyDescent="0.25">
      <c r="A40" s="17" t="s">
        <v>462</v>
      </c>
      <c r="B40" s="116" t="s">
        <v>463</v>
      </c>
      <c r="C40" s="116" t="s">
        <v>400</v>
      </c>
      <c r="D40" s="116" t="s">
        <v>401</v>
      </c>
      <c r="E40" s="116" t="s">
        <v>218</v>
      </c>
      <c r="F40" s="116" t="s">
        <v>464</v>
      </c>
      <c r="G40" s="117">
        <v>8.33</v>
      </c>
      <c r="H40" s="116" t="s">
        <v>257</v>
      </c>
      <c r="I40" s="116">
        <v>1.3000000000000001E-2</v>
      </c>
      <c r="J40" s="116">
        <v>3.7699999999999997E-2</v>
      </c>
      <c r="K40" s="70">
        <v>17970709.149602409</v>
      </c>
      <c r="L40" s="61">
        <v>81.93</v>
      </c>
      <c r="M40" s="61">
        <v>0</v>
      </c>
      <c r="N40" s="85">
        <v>14723.402006238211</v>
      </c>
      <c r="O40" s="25">
        <v>3.1428444522331694E-3</v>
      </c>
      <c r="P40" s="33">
        <v>7.403164631576277E-2</v>
      </c>
      <c r="Q40" s="33">
        <v>2.5559194834875752E-2</v>
      </c>
    </row>
    <row r="41" spans="1:17" x14ac:dyDescent="0.25">
      <c r="A41" s="17" t="s">
        <v>465</v>
      </c>
      <c r="B41" s="116" t="s">
        <v>466</v>
      </c>
      <c r="C41" s="116" t="s">
        <v>400</v>
      </c>
      <c r="D41" s="116" t="s">
        <v>401</v>
      </c>
      <c r="E41" s="116" t="s">
        <v>218</v>
      </c>
      <c r="F41" s="116" t="s">
        <v>467</v>
      </c>
      <c r="G41" s="117">
        <v>18.649999999999999</v>
      </c>
      <c r="H41" s="116" t="s">
        <v>257</v>
      </c>
      <c r="I41" s="116">
        <v>2.7999999999999997E-2</v>
      </c>
      <c r="J41" s="116">
        <v>4.1399999999999999E-2</v>
      </c>
      <c r="K41" s="70">
        <v>9666427.9801745154</v>
      </c>
      <c r="L41" s="61">
        <v>78.989999999999995</v>
      </c>
      <c r="M41" s="61">
        <v>0</v>
      </c>
      <c r="N41" s="85">
        <v>7635.5114615391285</v>
      </c>
      <c r="O41" s="25">
        <v>1.5672512463886018E-3</v>
      </c>
      <c r="P41" s="33">
        <v>3.839258642269746E-2</v>
      </c>
      <c r="Q41" s="33">
        <v>1.3254920637684041E-2</v>
      </c>
    </row>
    <row r="42" spans="1:17" s="118" customFormat="1" x14ac:dyDescent="0.25">
      <c r="A42" s="93" t="s">
        <v>480</v>
      </c>
      <c r="B42" s="130" t="s">
        <v>251</v>
      </c>
      <c r="C42" s="130" t="s">
        <v>251</v>
      </c>
      <c r="D42" s="130" t="s">
        <v>251</v>
      </c>
      <c r="E42" s="130" t="s">
        <v>251</v>
      </c>
      <c r="F42" s="130" t="s">
        <v>251</v>
      </c>
      <c r="G42" s="131" t="s">
        <v>251</v>
      </c>
      <c r="H42" s="130" t="s">
        <v>251</v>
      </c>
      <c r="I42" s="130" t="s">
        <v>251</v>
      </c>
      <c r="J42" s="130" t="s">
        <v>251</v>
      </c>
      <c r="K42" s="134" t="s">
        <v>251</v>
      </c>
      <c r="L42" s="135" t="s">
        <v>251</v>
      </c>
      <c r="M42" s="135" t="s">
        <v>251</v>
      </c>
      <c r="N42" s="123">
        <v>8783.5614531267256</v>
      </c>
      <c r="O42" s="136"/>
      <c r="P42" s="120">
        <v>4.4165167439911876E-2</v>
      </c>
      <c r="Q42" s="120">
        <v>1.524788621742793E-2</v>
      </c>
    </row>
    <row r="43" spans="1:17" x14ac:dyDescent="0.25">
      <c r="A43" s="17" t="s">
        <v>481</v>
      </c>
      <c r="B43" s="116" t="s">
        <v>482</v>
      </c>
      <c r="C43" s="116" t="s">
        <v>400</v>
      </c>
      <c r="D43" s="116" t="s">
        <v>401</v>
      </c>
      <c r="E43" s="116" t="s">
        <v>218</v>
      </c>
      <c r="F43" s="116" t="s">
        <v>483</v>
      </c>
      <c r="G43" s="117">
        <v>2.73</v>
      </c>
      <c r="H43" s="116" t="s">
        <v>257</v>
      </c>
      <c r="I43" s="116">
        <v>1.4000000000000002E-3</v>
      </c>
      <c r="J43" s="116">
        <v>5.1399999999999994E-2</v>
      </c>
      <c r="K43" s="70">
        <v>5847466.8676727582</v>
      </c>
      <c r="L43" s="61">
        <v>99.8</v>
      </c>
      <c r="M43" s="61">
        <v>0</v>
      </c>
      <c r="N43" s="85">
        <v>5835.7719339374125</v>
      </c>
      <c r="O43" s="25">
        <v>2.7683782739532396E-4</v>
      </c>
      <c r="P43" s="33">
        <v>2.9343205028950534E-2</v>
      </c>
      <c r="Q43" s="33">
        <v>1.0130649954963456E-2</v>
      </c>
    </row>
    <row r="44" spans="1:17" x14ac:dyDescent="0.25">
      <c r="A44" s="17" t="s">
        <v>484</v>
      </c>
      <c r="B44" s="116" t="s">
        <v>485</v>
      </c>
      <c r="C44" s="116" t="s">
        <v>400</v>
      </c>
      <c r="D44" s="116" t="s">
        <v>401</v>
      </c>
      <c r="E44" s="116" t="s">
        <v>218</v>
      </c>
      <c r="F44" s="116" t="s">
        <v>486</v>
      </c>
      <c r="G44" s="117">
        <v>6.24</v>
      </c>
      <c r="H44" s="116" t="s">
        <v>257</v>
      </c>
      <c r="I44" s="116">
        <v>2.2200000000000001E-2</v>
      </c>
      <c r="J44" s="116">
        <v>5.2300000000000006E-2</v>
      </c>
      <c r="K44" s="70">
        <v>2989644.5427015731</v>
      </c>
      <c r="L44" s="61">
        <v>98.6</v>
      </c>
      <c r="M44" s="61">
        <v>0</v>
      </c>
      <c r="N44" s="85">
        <v>2947.7895190893128</v>
      </c>
      <c r="O44" s="25">
        <v>1.7988533038825272E-4</v>
      </c>
      <c r="P44" s="33">
        <v>1.4821962410458529E-2</v>
      </c>
      <c r="Q44" s="33">
        <v>5.1172362622908781E-3</v>
      </c>
    </row>
    <row r="45" spans="1:17" s="118" customFormat="1" x14ac:dyDescent="0.25">
      <c r="A45" s="93" t="s">
        <v>487</v>
      </c>
      <c r="B45" s="130" t="s">
        <v>251</v>
      </c>
      <c r="C45" s="130" t="s">
        <v>251</v>
      </c>
      <c r="D45" s="130" t="s">
        <v>251</v>
      </c>
      <c r="E45" s="130" t="s">
        <v>251</v>
      </c>
      <c r="F45" s="130" t="s">
        <v>251</v>
      </c>
      <c r="G45" s="131" t="s">
        <v>251</v>
      </c>
      <c r="H45" s="130" t="s">
        <v>251</v>
      </c>
      <c r="I45" s="130" t="s">
        <v>251</v>
      </c>
      <c r="J45" s="130" t="s">
        <v>251</v>
      </c>
      <c r="K45" s="134" t="s">
        <v>251</v>
      </c>
      <c r="L45" s="135" t="s">
        <v>251</v>
      </c>
      <c r="M45" s="135" t="s">
        <v>251</v>
      </c>
      <c r="N45" s="123">
        <v>0</v>
      </c>
      <c r="O45" s="136"/>
      <c r="P45" s="120">
        <v>0</v>
      </c>
      <c r="Q45" s="120">
        <v>0</v>
      </c>
    </row>
    <row r="46" spans="1:17" s="118" customFormat="1" x14ac:dyDescent="0.25">
      <c r="A46" s="93" t="s">
        <v>488</v>
      </c>
      <c r="B46" s="130" t="s">
        <v>251</v>
      </c>
      <c r="C46" s="130" t="s">
        <v>251</v>
      </c>
      <c r="D46" s="130" t="s">
        <v>251</v>
      </c>
      <c r="E46" s="130" t="s">
        <v>251</v>
      </c>
      <c r="F46" s="130" t="s">
        <v>251</v>
      </c>
      <c r="G46" s="131" t="s">
        <v>251</v>
      </c>
      <c r="H46" s="130" t="s">
        <v>251</v>
      </c>
      <c r="I46" s="130" t="s">
        <v>251</v>
      </c>
      <c r="J46" s="130" t="s">
        <v>251</v>
      </c>
      <c r="K46" s="134" t="s">
        <v>251</v>
      </c>
      <c r="L46" s="135" t="s">
        <v>251</v>
      </c>
      <c r="M46" s="135" t="s">
        <v>251</v>
      </c>
      <c r="N46" s="123">
        <v>34795.61726852342</v>
      </c>
      <c r="O46" s="136"/>
      <c r="P46" s="120">
        <v>0.17495799067841444</v>
      </c>
      <c r="Q46" s="120">
        <v>6.0403700231043495E-2</v>
      </c>
    </row>
    <row r="47" spans="1:17" s="118" customFormat="1" x14ac:dyDescent="0.25">
      <c r="A47" s="93" t="s">
        <v>489</v>
      </c>
      <c r="B47" s="130" t="s">
        <v>251</v>
      </c>
      <c r="C47" s="130" t="s">
        <v>251</v>
      </c>
      <c r="D47" s="130" t="s">
        <v>251</v>
      </c>
      <c r="E47" s="130" t="s">
        <v>251</v>
      </c>
      <c r="F47" s="130" t="s">
        <v>251</v>
      </c>
      <c r="G47" s="131" t="s">
        <v>251</v>
      </c>
      <c r="H47" s="130" t="s">
        <v>251</v>
      </c>
      <c r="I47" s="130" t="s">
        <v>251</v>
      </c>
      <c r="J47" s="130" t="s">
        <v>251</v>
      </c>
      <c r="K47" s="134" t="s">
        <v>251</v>
      </c>
      <c r="L47" s="135" t="s">
        <v>251</v>
      </c>
      <c r="M47" s="135" t="s">
        <v>251</v>
      </c>
      <c r="N47" s="123">
        <v>305.56147010000001</v>
      </c>
      <c r="O47" s="136"/>
      <c r="P47" s="120">
        <v>1.5364124862299665E-3</v>
      </c>
      <c r="Q47" s="120">
        <v>5.3044161566789762E-4</v>
      </c>
    </row>
    <row r="48" spans="1:17" x14ac:dyDescent="0.25">
      <c r="A48" s="17" t="s">
        <v>490</v>
      </c>
      <c r="B48" s="116" t="s">
        <v>491</v>
      </c>
      <c r="C48" s="116" t="s">
        <v>218</v>
      </c>
      <c r="D48" s="116" t="s">
        <v>378</v>
      </c>
      <c r="E48" s="116" t="s">
        <v>266</v>
      </c>
      <c r="F48" s="116" t="s">
        <v>492</v>
      </c>
      <c r="G48" s="117">
        <v>14.202999999999999</v>
      </c>
      <c r="H48" s="116" t="s">
        <v>125</v>
      </c>
      <c r="I48" s="116">
        <v>4.1299999999999996E-2</v>
      </c>
      <c r="J48" s="116">
        <v>5.1119999999999999E-2</v>
      </c>
      <c r="K48" s="70">
        <v>61000</v>
      </c>
      <c r="L48" s="61">
        <v>87.578000000000003</v>
      </c>
      <c r="M48" s="61">
        <v>0</v>
      </c>
      <c r="N48" s="85">
        <v>197.66354000000001</v>
      </c>
      <c r="O48" s="25">
        <v>6.0999999999999999E-5</v>
      </c>
      <c r="P48" s="33">
        <v>9.9388424472832896E-4</v>
      </c>
      <c r="Q48" s="33">
        <v>3.431354335411548E-4</v>
      </c>
    </row>
    <row r="49" spans="1:17" x14ac:dyDescent="0.25">
      <c r="A49" s="17" t="s">
        <v>493</v>
      </c>
      <c r="B49" s="116" t="s">
        <v>494</v>
      </c>
      <c r="C49" s="116" t="s">
        <v>218</v>
      </c>
      <c r="D49" s="116" t="s">
        <v>378</v>
      </c>
      <c r="E49" s="116" t="s">
        <v>266</v>
      </c>
      <c r="F49" s="116" t="s">
        <v>495</v>
      </c>
      <c r="G49" s="117">
        <v>5.2069999999999999</v>
      </c>
      <c r="H49" s="116" t="s">
        <v>126</v>
      </c>
      <c r="I49" s="116">
        <v>1.4999999999999999E-2</v>
      </c>
      <c r="J49" s="116">
        <v>3.6729999999999999E-2</v>
      </c>
      <c r="K49" s="70">
        <v>30000</v>
      </c>
      <c r="L49" s="61">
        <v>89.501000000000005</v>
      </c>
      <c r="M49" s="61">
        <v>0</v>
      </c>
      <c r="N49" s="85">
        <v>107.89792999999999</v>
      </c>
      <c r="O49" s="25">
        <v>1.8181818181818182E-5</v>
      </c>
      <c r="P49" s="33">
        <v>5.4252824099882107E-4</v>
      </c>
      <c r="Q49" s="33">
        <v>1.8730618195314706E-4</v>
      </c>
    </row>
    <row r="50" spans="1:17" s="118" customFormat="1" x14ac:dyDescent="0.25">
      <c r="A50" s="93" t="s">
        <v>496</v>
      </c>
      <c r="B50" s="130" t="s">
        <v>251</v>
      </c>
      <c r="C50" s="130" t="s">
        <v>251</v>
      </c>
      <c r="D50" s="130" t="s">
        <v>251</v>
      </c>
      <c r="E50" s="130" t="s">
        <v>251</v>
      </c>
      <c r="F50" s="130" t="s">
        <v>251</v>
      </c>
      <c r="G50" s="131" t="s">
        <v>251</v>
      </c>
      <c r="H50" s="130" t="s">
        <v>251</v>
      </c>
      <c r="I50" s="130" t="s">
        <v>251</v>
      </c>
      <c r="J50" s="130" t="s">
        <v>251</v>
      </c>
      <c r="K50" s="134" t="s">
        <v>251</v>
      </c>
      <c r="L50" s="135" t="s">
        <v>251</v>
      </c>
      <c r="M50" s="135" t="s">
        <v>251</v>
      </c>
      <c r="N50" s="123">
        <v>34490.055798423418</v>
      </c>
      <c r="O50" s="136"/>
      <c r="P50" s="120">
        <v>0.17342157819218446</v>
      </c>
      <c r="Q50" s="120">
        <v>5.9873258615375589E-2</v>
      </c>
    </row>
    <row r="51" spans="1:17" x14ac:dyDescent="0.25">
      <c r="A51" s="17" t="s">
        <v>497</v>
      </c>
      <c r="B51" s="116" t="s">
        <v>498</v>
      </c>
      <c r="C51" s="116" t="s">
        <v>218</v>
      </c>
      <c r="D51" s="116" t="s">
        <v>499</v>
      </c>
      <c r="E51" s="116" t="s">
        <v>499</v>
      </c>
      <c r="F51" s="116" t="s">
        <v>500</v>
      </c>
      <c r="G51" s="117">
        <v>7.6619999999999999</v>
      </c>
      <c r="H51" s="116" t="s">
        <v>125</v>
      </c>
      <c r="I51" s="116">
        <v>2.8799999999999999E-2</v>
      </c>
      <c r="J51" s="116">
        <v>3.8795299999999998E-2</v>
      </c>
      <c r="K51" s="70">
        <v>8614132.4409707896</v>
      </c>
      <c r="L51" s="61">
        <v>92.882800000000003</v>
      </c>
      <c r="M51" s="61">
        <v>0</v>
      </c>
      <c r="N51" s="85">
        <v>29603.879547630288</v>
      </c>
      <c r="O51" s="25">
        <v>6.4602278676257041E-5</v>
      </c>
      <c r="P51" s="33">
        <v>0.14885309382410614</v>
      </c>
      <c r="Q51" s="33">
        <v>5.1391066066489771E-2</v>
      </c>
    </row>
    <row r="52" spans="1:17" x14ac:dyDescent="0.25">
      <c r="A52" s="17" t="s">
        <v>501</v>
      </c>
      <c r="B52" s="116" t="s">
        <v>502</v>
      </c>
      <c r="C52" s="116" t="s">
        <v>218</v>
      </c>
      <c r="D52" s="116" t="s">
        <v>499</v>
      </c>
      <c r="E52" s="116" t="s">
        <v>499</v>
      </c>
      <c r="F52" s="116" t="s">
        <v>503</v>
      </c>
      <c r="G52" s="117">
        <v>7.6909999999999998</v>
      </c>
      <c r="H52" s="116" t="s">
        <v>125</v>
      </c>
      <c r="I52" s="116">
        <v>4.1299999999999996E-2</v>
      </c>
      <c r="J52" s="116">
        <v>3.8721040000000005E-2</v>
      </c>
      <c r="K52" s="70">
        <v>952920.52658370871</v>
      </c>
      <c r="L52" s="61">
        <v>102.50230000000001</v>
      </c>
      <c r="M52" s="61">
        <v>0</v>
      </c>
      <c r="N52" s="85">
        <v>3614.0349407197291</v>
      </c>
      <c r="O52" s="25">
        <v>8.5651928145585244E-6</v>
      </c>
      <c r="P52" s="33">
        <v>1.817195213380788E-2</v>
      </c>
      <c r="Q52" s="33">
        <v>6.2738097588293006E-3</v>
      </c>
    </row>
    <row r="53" spans="1:17" x14ac:dyDescent="0.25">
      <c r="A53" s="17" t="s">
        <v>504</v>
      </c>
      <c r="B53" s="116" t="s">
        <v>505</v>
      </c>
      <c r="C53" s="116" t="s">
        <v>218</v>
      </c>
      <c r="D53" s="116" t="s">
        <v>506</v>
      </c>
      <c r="E53" s="116" t="s">
        <v>266</v>
      </c>
      <c r="F53" s="116" t="s">
        <v>507</v>
      </c>
      <c r="G53" s="117">
        <v>3.3250000000000002</v>
      </c>
      <c r="H53" s="116" t="s">
        <v>130</v>
      </c>
      <c r="I53" s="116">
        <v>7.5800000000000006E-2</v>
      </c>
      <c r="J53" s="116">
        <v>8.9709999999999998E-2</v>
      </c>
      <c r="K53" s="70">
        <v>61517.875387981323</v>
      </c>
      <c r="L53" s="61">
        <v>9551.6</v>
      </c>
      <c r="M53" s="61">
        <v>0</v>
      </c>
      <c r="N53" s="85">
        <v>1272.1413099733986</v>
      </c>
      <c r="O53" s="25">
        <v>1.7179128589319564E-7</v>
      </c>
      <c r="P53" s="33">
        <v>6.3965322337676354E-3</v>
      </c>
      <c r="Q53" s="33">
        <v>2.2083827898829226E-3</v>
      </c>
    </row>
    <row r="54" spans="1:17" s="118" customFormat="1" x14ac:dyDescent="0.25">
      <c r="A54" s="79" t="s">
        <v>242</v>
      </c>
      <c r="B54" s="124"/>
      <c r="C54" s="124"/>
      <c r="D54" s="124"/>
      <c r="E54" s="125"/>
      <c r="F54" s="125"/>
      <c r="G54" s="125"/>
      <c r="H54" s="126"/>
      <c r="I54" s="127"/>
      <c r="J54" s="128"/>
      <c r="K54" s="128"/>
      <c r="L54" s="128"/>
      <c r="M54" s="128"/>
      <c r="N54" s="127"/>
      <c r="O54" s="127"/>
      <c r="P54" s="127"/>
      <c r="Q54" s="137"/>
    </row>
    <row r="55" spans="1:17" s="118" customFormat="1" x14ac:dyDescent="0.25">
      <c r="A55" s="79" t="s">
        <v>243</v>
      </c>
      <c r="B55" s="124"/>
      <c r="C55" s="124"/>
      <c r="D55" s="124"/>
      <c r="E55" s="125"/>
      <c r="F55" s="125"/>
      <c r="G55" s="125"/>
      <c r="H55" s="126"/>
      <c r="I55" s="127"/>
      <c r="J55" s="128"/>
      <c r="K55" s="128"/>
      <c r="L55" s="128"/>
      <c r="M55" s="128"/>
      <c r="N55" s="127"/>
      <c r="O55" s="127"/>
      <c r="P55" s="127"/>
      <c r="Q55" s="137"/>
    </row>
    <row r="56" spans="1:17" s="118" customFormat="1" x14ac:dyDescent="0.25">
      <c r="A56" s="79" t="s">
        <v>244</v>
      </c>
      <c r="B56" s="124"/>
      <c r="C56" s="124"/>
      <c r="D56" s="124"/>
      <c r="E56" s="125"/>
      <c r="F56" s="125"/>
      <c r="G56" s="125"/>
      <c r="H56" s="126"/>
      <c r="I56" s="127"/>
      <c r="J56" s="128"/>
      <c r="K56" s="128"/>
      <c r="L56" s="128"/>
      <c r="M56" s="128"/>
      <c r="N56" s="127"/>
      <c r="O56" s="127"/>
      <c r="P56" s="127"/>
      <c r="Q56" s="137"/>
    </row>
    <row r="57" spans="1:17" s="118" customFormat="1" x14ac:dyDescent="0.25">
      <c r="A57" s="79" t="s">
        <v>245</v>
      </c>
      <c r="B57" s="124"/>
      <c r="C57" s="124"/>
      <c r="D57" s="124"/>
      <c r="E57" s="125"/>
      <c r="F57" s="125"/>
      <c r="G57" s="125"/>
      <c r="H57" s="126"/>
      <c r="I57" s="127"/>
      <c r="J57" s="128"/>
      <c r="K57" s="128"/>
      <c r="L57" s="128"/>
      <c r="M57" s="128"/>
      <c r="N57" s="127"/>
      <c r="O57" s="127"/>
      <c r="P57" s="127"/>
      <c r="Q57" s="137"/>
    </row>
    <row r="58" spans="1:17" s="118" customFormat="1" x14ac:dyDescent="0.25">
      <c r="A58" s="79" t="s">
        <v>246</v>
      </c>
      <c r="B58" s="124"/>
      <c r="C58" s="124"/>
      <c r="D58" s="124"/>
      <c r="E58" s="125"/>
      <c r="F58" s="125"/>
      <c r="G58" s="125"/>
      <c r="H58" s="126"/>
      <c r="I58" s="127"/>
      <c r="J58" s="128"/>
      <c r="K58" s="128"/>
      <c r="L58" s="128"/>
      <c r="M58" s="128"/>
      <c r="N58" s="127"/>
      <c r="O58" s="127"/>
      <c r="P58" s="127"/>
      <c r="Q58" s="137"/>
    </row>
  </sheetData>
  <mergeCells count="2">
    <mergeCell ref="A6:Q6"/>
    <mergeCell ref="A5:Q5"/>
  </mergeCells>
  <phoneticPr fontId="3" type="noConversion"/>
  <conditionalFormatting sqref="A10:A53 N10:N53">
    <cfRule type="expression" dxfId="124" priority="69" stopIfTrue="1">
      <formula>#REF!&gt;0</formula>
    </cfRule>
    <cfRule type="expression" dxfId="123" priority="70" stopIfTrue="1">
      <formula>LEFT(#REF!,3)="TIR"</formula>
    </cfRule>
  </conditionalFormatting>
  <conditionalFormatting sqref="B10:F10 H10 P10:Q53">
    <cfRule type="expression" dxfId="122" priority="66" stopIfTrue="1">
      <formula>OR(LEFT(#REF!,3)="TIR",LEFT(#REF!,2)="IR")</formula>
    </cfRule>
  </conditionalFormatting>
  <conditionalFormatting sqref="B11:J53">
    <cfRule type="expression" dxfId="121" priority="73" stopIfTrue="1">
      <formula>LEFT(#REF!,3)="TIR"</formula>
    </cfRule>
  </conditionalFormatting>
  <conditionalFormatting sqref="I1:I4 G10 I10:M10 O10:O53 K11:M53 I54:I55588">
    <cfRule type="expression" dxfId="120" priority="59" stopIfTrue="1">
      <formula>LEFT(#REF!,3)="TIR"</formula>
    </cfRule>
  </conditionalFormatting>
  <conditionalFormatting sqref="I7">
    <cfRule type="expression" dxfId="119" priority="6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T22"/>
  <sheetViews>
    <sheetView rightToLeft="1" zoomScale="80" workbookViewId="0"/>
  </sheetViews>
  <sheetFormatPr defaultColWidth="9.109375" defaultRowHeight="13.2" x14ac:dyDescent="0.25"/>
  <cols>
    <col min="1" max="1" width="25" style="10" bestFit="1" customWidth="1"/>
    <col min="2" max="2" width="13.5546875" style="9" bestFit="1" customWidth="1"/>
    <col min="3" max="3" width="12.33203125" style="9" customWidth="1"/>
    <col min="4" max="4" width="11.33203125" style="9" customWidth="1"/>
    <col min="5" max="5" width="13.33203125" style="9" customWidth="1"/>
    <col min="6" max="6" width="11.5546875" style="10" customWidth="1"/>
    <col min="7" max="7" width="7.5546875" style="11" customWidth="1"/>
    <col min="8" max="8" width="11.109375" style="11" customWidth="1"/>
    <col min="9" max="9" width="14.109375" style="11" customWidth="1"/>
    <col min="10" max="10" width="7.88671875" style="12" customWidth="1"/>
    <col min="11" max="11" width="11.33203125" style="13" customWidth="1"/>
    <col min="12" max="12" width="12.5546875" style="20" customWidth="1"/>
    <col min="13" max="13" width="14.109375" style="20" customWidth="1"/>
    <col min="14" max="14" width="10.5546875" style="20" customWidth="1"/>
    <col min="15" max="15" width="8.88671875" style="13" bestFit="1" customWidth="1"/>
    <col min="16" max="16" width="16.5546875" style="13" bestFit="1" customWidth="1"/>
    <col min="17" max="17" width="10.44140625" style="13" customWidth="1"/>
    <col min="18" max="18" width="22.88671875" style="15" bestFit="1" customWidth="1"/>
    <col min="19" max="19" width="26.44140625" style="15" bestFit="1" customWidth="1"/>
    <col min="20" max="20" width="20.6640625" style="15" customWidth="1"/>
    <col min="21" max="16384" width="9.109375" style="15"/>
  </cols>
  <sheetData>
    <row r="1" spans="1:20" s="7" customFormat="1" x14ac:dyDescent="0.25">
      <c r="A1" s="7" t="s">
        <v>237</v>
      </c>
      <c r="B1" s="9" t="s">
        <v>247</v>
      </c>
      <c r="C1" s="9"/>
      <c r="D1" s="9"/>
      <c r="E1" s="9"/>
      <c r="F1" s="10"/>
      <c r="G1" s="11"/>
      <c r="H1" s="11"/>
      <c r="I1" s="11"/>
      <c r="J1" s="12"/>
      <c r="K1" s="13"/>
      <c r="L1" s="14"/>
      <c r="M1" s="14"/>
      <c r="N1" s="14"/>
      <c r="O1" s="13"/>
      <c r="P1" s="13"/>
      <c r="Q1" s="13"/>
      <c r="R1" s="15"/>
      <c r="S1" s="15"/>
    </row>
    <row r="2" spans="1:20" s="7" customFormat="1" x14ac:dyDescent="0.25">
      <c r="A2" s="10" t="s">
        <v>238</v>
      </c>
      <c r="B2" s="9" t="s">
        <v>150</v>
      </c>
      <c r="C2" s="9"/>
      <c r="D2" s="9"/>
      <c r="E2" s="9"/>
      <c r="F2" s="10"/>
      <c r="G2" s="11"/>
      <c r="H2" s="11"/>
      <c r="I2" s="11"/>
      <c r="J2" s="12"/>
      <c r="K2" s="13"/>
      <c r="L2" s="14"/>
      <c r="M2" s="14"/>
      <c r="N2" s="14"/>
      <c r="O2" s="13"/>
      <c r="P2" s="13"/>
      <c r="Q2" s="13"/>
      <c r="R2" s="15"/>
      <c r="S2" s="15"/>
    </row>
    <row r="3" spans="1:20" s="7" customFormat="1" x14ac:dyDescent="0.25">
      <c r="A3" s="10" t="s">
        <v>239</v>
      </c>
      <c r="B3" s="9" t="s">
        <v>240</v>
      </c>
      <c r="C3" s="9"/>
      <c r="D3" s="9"/>
      <c r="E3" s="9"/>
      <c r="F3" s="10"/>
      <c r="G3" s="11"/>
      <c r="H3" s="11"/>
      <c r="I3" s="11"/>
      <c r="J3" s="12"/>
      <c r="K3" s="13"/>
      <c r="L3" s="14"/>
      <c r="M3" s="14"/>
      <c r="N3" s="14"/>
      <c r="O3" s="13"/>
      <c r="P3" s="13"/>
      <c r="Q3" s="13"/>
      <c r="R3" s="15"/>
      <c r="S3" s="15"/>
    </row>
    <row r="4" spans="1:20" s="7" customFormat="1" ht="13.8" thickBot="1" x14ac:dyDescent="0.3">
      <c r="A4" s="10" t="s">
        <v>241</v>
      </c>
      <c r="B4" s="9" t="s">
        <v>249</v>
      </c>
      <c r="C4" s="9"/>
      <c r="D4" s="9"/>
      <c r="E4" s="9"/>
      <c r="F4" s="10"/>
      <c r="G4" s="11"/>
      <c r="H4" s="11"/>
      <c r="I4" s="11"/>
      <c r="J4" s="12"/>
      <c r="K4" s="13"/>
      <c r="L4" s="14"/>
      <c r="M4" s="14"/>
      <c r="N4" s="14"/>
      <c r="O4" s="13"/>
      <c r="P4" s="13"/>
      <c r="Q4" s="13"/>
      <c r="R4" s="15"/>
      <c r="S4" s="15"/>
    </row>
    <row r="5" spans="1:20" s="7" customFormat="1" ht="13.8" thickBot="1" x14ac:dyDescent="0.3">
      <c r="A5" s="220" t="s">
        <v>11</v>
      </c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  <c r="T5" s="222"/>
    </row>
    <row r="6" spans="1:20" s="7" customFormat="1" x14ac:dyDescent="0.25">
      <c r="A6" s="223" t="s">
        <v>18</v>
      </c>
      <c r="B6" s="224"/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4"/>
      <c r="Q6" s="224"/>
      <c r="R6" s="224"/>
      <c r="S6" s="224"/>
      <c r="T6" s="225"/>
    </row>
    <row r="7" spans="1:20" s="7" customFormat="1" x14ac:dyDescent="0.25">
      <c r="A7" s="87" t="s">
        <v>157</v>
      </c>
      <c r="B7" s="203" t="s">
        <v>69</v>
      </c>
      <c r="C7" s="203" t="s">
        <v>76</v>
      </c>
      <c r="D7" s="203" t="s">
        <v>77</v>
      </c>
      <c r="E7" s="203" t="s">
        <v>74</v>
      </c>
      <c r="F7" s="203" t="s">
        <v>19</v>
      </c>
      <c r="G7" s="203" t="s">
        <v>70</v>
      </c>
      <c r="H7" s="203" t="s">
        <v>5</v>
      </c>
      <c r="I7" s="203" t="s">
        <v>13</v>
      </c>
      <c r="J7" s="203" t="s">
        <v>14</v>
      </c>
      <c r="K7" s="203" t="s">
        <v>6</v>
      </c>
      <c r="L7" s="204" t="s">
        <v>66</v>
      </c>
      <c r="M7" s="204" t="s">
        <v>71</v>
      </c>
      <c r="N7" s="204" t="s">
        <v>67</v>
      </c>
      <c r="O7" s="204" t="s">
        <v>68</v>
      </c>
      <c r="P7" s="204" t="s">
        <v>134</v>
      </c>
      <c r="Q7" s="204" t="s">
        <v>7</v>
      </c>
      <c r="R7" s="90" t="s">
        <v>17</v>
      </c>
      <c r="S7" s="90" t="s">
        <v>75</v>
      </c>
      <c r="T7" s="91" t="s">
        <v>8</v>
      </c>
    </row>
    <row r="8" spans="1:20" s="7" customFormat="1" x14ac:dyDescent="0.25">
      <c r="A8" s="27"/>
      <c r="B8" s="3"/>
      <c r="C8" s="3"/>
      <c r="D8" s="3"/>
      <c r="E8" s="3"/>
      <c r="F8" s="3"/>
      <c r="G8" s="3"/>
      <c r="H8" s="28"/>
      <c r="I8" s="28" t="s">
        <v>40</v>
      </c>
      <c r="J8" s="29" t="s">
        <v>16</v>
      </c>
      <c r="K8" s="30"/>
      <c r="L8" s="2" t="s">
        <v>9</v>
      </c>
      <c r="M8" s="2" t="s">
        <v>9</v>
      </c>
      <c r="N8" s="2" t="s">
        <v>133</v>
      </c>
      <c r="O8" s="2"/>
      <c r="P8" s="2" t="s">
        <v>135</v>
      </c>
      <c r="Q8" s="2" t="s">
        <v>135</v>
      </c>
      <c r="R8" s="31" t="s">
        <v>9</v>
      </c>
      <c r="S8" s="31" t="s">
        <v>9</v>
      </c>
      <c r="T8" s="6" t="s">
        <v>9</v>
      </c>
    </row>
    <row r="9" spans="1:20" s="16" customFormat="1" ht="12.75" customHeight="1" x14ac:dyDescent="0.25">
      <c r="A9" s="21"/>
      <c r="B9" s="22">
        <v>1</v>
      </c>
      <c r="C9" s="22">
        <v>2</v>
      </c>
      <c r="D9" s="22">
        <v>3</v>
      </c>
      <c r="E9" s="22">
        <v>4</v>
      </c>
      <c r="F9" s="22">
        <v>5</v>
      </c>
      <c r="G9" s="22">
        <v>6</v>
      </c>
      <c r="H9" s="22">
        <v>7</v>
      </c>
      <c r="I9" s="22">
        <v>8</v>
      </c>
      <c r="J9" s="22">
        <v>9</v>
      </c>
      <c r="K9" s="22">
        <v>10</v>
      </c>
      <c r="L9" s="22">
        <v>11</v>
      </c>
      <c r="M9" s="22">
        <v>12</v>
      </c>
      <c r="N9" s="22">
        <v>13</v>
      </c>
      <c r="O9" s="22">
        <v>14</v>
      </c>
      <c r="P9" s="22">
        <v>15</v>
      </c>
      <c r="Q9" s="22">
        <v>16</v>
      </c>
      <c r="R9" s="22">
        <v>17</v>
      </c>
      <c r="S9" s="22">
        <v>18</v>
      </c>
      <c r="T9" s="23">
        <v>19</v>
      </c>
    </row>
    <row r="10" spans="1:20" s="118" customFormat="1" ht="12.75" customHeight="1" thickBot="1" x14ac:dyDescent="0.3">
      <c r="A10" s="100" t="s">
        <v>61</v>
      </c>
      <c r="B10" s="68" t="s">
        <v>251</v>
      </c>
      <c r="C10" s="68" t="s">
        <v>251</v>
      </c>
      <c r="D10" s="68" t="s">
        <v>251</v>
      </c>
      <c r="E10" s="68" t="s">
        <v>251</v>
      </c>
      <c r="F10" s="68" t="s">
        <v>251</v>
      </c>
      <c r="G10" s="138"/>
      <c r="H10" s="138" t="s">
        <v>251</v>
      </c>
      <c r="I10" s="138" t="s">
        <v>251</v>
      </c>
      <c r="J10" s="138" t="s">
        <v>251</v>
      </c>
      <c r="K10" s="138" t="s">
        <v>251</v>
      </c>
      <c r="L10" s="139" t="s">
        <v>251</v>
      </c>
      <c r="M10" s="139" t="s">
        <v>251</v>
      </c>
      <c r="N10" s="140" t="s">
        <v>251</v>
      </c>
      <c r="O10" s="138"/>
      <c r="P10" s="138" t="s">
        <v>251</v>
      </c>
      <c r="Q10" s="103">
        <v>4.9999999999999998E-7</v>
      </c>
      <c r="R10" s="68" t="s">
        <v>251</v>
      </c>
      <c r="S10" s="68">
        <v>1</v>
      </c>
      <c r="T10" s="82">
        <v>0</v>
      </c>
    </row>
    <row r="11" spans="1:20" s="118" customFormat="1" x14ac:dyDescent="0.25">
      <c r="A11" s="92" t="s">
        <v>137</v>
      </c>
      <c r="B11" s="130" t="s">
        <v>251</v>
      </c>
      <c r="C11" s="130" t="s">
        <v>251</v>
      </c>
      <c r="D11" s="130" t="s">
        <v>251</v>
      </c>
      <c r="E11" s="130" t="s">
        <v>251</v>
      </c>
      <c r="F11" s="130" t="s">
        <v>251</v>
      </c>
      <c r="G11" s="130" t="s">
        <v>251</v>
      </c>
      <c r="H11" s="130" t="s">
        <v>251</v>
      </c>
      <c r="I11" s="130" t="s">
        <v>251</v>
      </c>
      <c r="J11" s="131" t="s">
        <v>251</v>
      </c>
      <c r="K11" s="130" t="s">
        <v>251</v>
      </c>
      <c r="L11" s="130" t="s">
        <v>251</v>
      </c>
      <c r="M11" s="130" t="s">
        <v>251</v>
      </c>
      <c r="N11" s="141" t="s">
        <v>251</v>
      </c>
      <c r="O11" s="142" t="s">
        <v>251</v>
      </c>
      <c r="P11" s="142" t="s">
        <v>251</v>
      </c>
      <c r="Q11" s="122">
        <v>0</v>
      </c>
      <c r="R11" s="120" t="s">
        <v>251</v>
      </c>
      <c r="S11" s="120">
        <v>0</v>
      </c>
      <c r="T11" s="120">
        <v>0</v>
      </c>
    </row>
    <row r="12" spans="1:20" s="118" customFormat="1" x14ac:dyDescent="0.25">
      <c r="A12" s="93" t="s">
        <v>138</v>
      </c>
      <c r="B12" s="130" t="s">
        <v>251</v>
      </c>
      <c r="C12" s="130" t="s">
        <v>251</v>
      </c>
      <c r="D12" s="130" t="s">
        <v>251</v>
      </c>
      <c r="E12" s="130" t="s">
        <v>251</v>
      </c>
      <c r="F12" s="130" t="s">
        <v>251</v>
      </c>
      <c r="G12" s="130" t="s">
        <v>251</v>
      </c>
      <c r="H12" s="130" t="s">
        <v>251</v>
      </c>
      <c r="I12" s="130" t="s">
        <v>251</v>
      </c>
      <c r="J12" s="131" t="s">
        <v>251</v>
      </c>
      <c r="K12" s="130" t="s">
        <v>251</v>
      </c>
      <c r="L12" s="130" t="s">
        <v>251</v>
      </c>
      <c r="M12" s="130" t="s">
        <v>251</v>
      </c>
      <c r="N12" s="143" t="s">
        <v>251</v>
      </c>
      <c r="O12" s="144" t="s">
        <v>251</v>
      </c>
      <c r="P12" s="144" t="s">
        <v>251</v>
      </c>
      <c r="Q12" s="123">
        <v>0</v>
      </c>
      <c r="R12" s="136"/>
      <c r="S12" s="136">
        <v>0</v>
      </c>
      <c r="T12" s="120">
        <v>0</v>
      </c>
    </row>
    <row r="13" spans="1:20" s="118" customFormat="1" x14ac:dyDescent="0.25">
      <c r="A13" s="93" t="s">
        <v>139</v>
      </c>
      <c r="B13" s="130" t="s">
        <v>251</v>
      </c>
      <c r="C13" s="130" t="s">
        <v>251</v>
      </c>
      <c r="D13" s="130" t="s">
        <v>251</v>
      </c>
      <c r="E13" s="130" t="s">
        <v>251</v>
      </c>
      <c r="F13" s="130" t="s">
        <v>251</v>
      </c>
      <c r="G13" s="130" t="s">
        <v>251</v>
      </c>
      <c r="H13" s="130" t="s">
        <v>251</v>
      </c>
      <c r="I13" s="130" t="s">
        <v>251</v>
      </c>
      <c r="J13" s="131" t="s">
        <v>251</v>
      </c>
      <c r="K13" s="130" t="s">
        <v>251</v>
      </c>
      <c r="L13" s="130" t="s">
        <v>251</v>
      </c>
      <c r="M13" s="130" t="s">
        <v>251</v>
      </c>
      <c r="N13" s="143" t="s">
        <v>251</v>
      </c>
      <c r="O13" s="144" t="s">
        <v>251</v>
      </c>
      <c r="P13" s="144" t="s">
        <v>251</v>
      </c>
      <c r="Q13" s="123">
        <v>0</v>
      </c>
      <c r="R13" s="136"/>
      <c r="S13" s="136">
        <v>0</v>
      </c>
      <c r="T13" s="120">
        <v>0</v>
      </c>
    </row>
    <row r="14" spans="1:20" s="118" customFormat="1" x14ac:dyDescent="0.25">
      <c r="A14" s="93" t="s">
        <v>508</v>
      </c>
      <c r="B14" s="130" t="s">
        <v>251</v>
      </c>
      <c r="C14" s="130" t="s">
        <v>251</v>
      </c>
      <c r="D14" s="130" t="s">
        <v>251</v>
      </c>
      <c r="E14" s="130" t="s">
        <v>251</v>
      </c>
      <c r="F14" s="130" t="s">
        <v>251</v>
      </c>
      <c r="G14" s="130" t="s">
        <v>251</v>
      </c>
      <c r="H14" s="130" t="s">
        <v>251</v>
      </c>
      <c r="I14" s="130" t="s">
        <v>251</v>
      </c>
      <c r="J14" s="131" t="s">
        <v>251</v>
      </c>
      <c r="K14" s="130" t="s">
        <v>251</v>
      </c>
      <c r="L14" s="130" t="s">
        <v>251</v>
      </c>
      <c r="M14" s="130" t="s">
        <v>251</v>
      </c>
      <c r="N14" s="143" t="s">
        <v>251</v>
      </c>
      <c r="O14" s="144" t="s">
        <v>251</v>
      </c>
      <c r="P14" s="144" t="s">
        <v>251</v>
      </c>
      <c r="Q14" s="123">
        <v>0</v>
      </c>
      <c r="R14" s="136"/>
      <c r="S14" s="136">
        <v>0</v>
      </c>
      <c r="T14" s="120">
        <v>0</v>
      </c>
    </row>
    <row r="15" spans="1:20" s="118" customFormat="1" x14ac:dyDescent="0.25">
      <c r="A15" s="93" t="s">
        <v>509</v>
      </c>
      <c r="B15" s="130" t="s">
        <v>251</v>
      </c>
      <c r="C15" s="130" t="s">
        <v>251</v>
      </c>
      <c r="D15" s="130" t="s">
        <v>251</v>
      </c>
      <c r="E15" s="130" t="s">
        <v>251</v>
      </c>
      <c r="F15" s="130" t="s">
        <v>251</v>
      </c>
      <c r="G15" s="130" t="s">
        <v>251</v>
      </c>
      <c r="H15" s="130" t="s">
        <v>251</v>
      </c>
      <c r="I15" s="130" t="s">
        <v>251</v>
      </c>
      <c r="J15" s="131" t="s">
        <v>251</v>
      </c>
      <c r="K15" s="130" t="s">
        <v>251</v>
      </c>
      <c r="L15" s="130" t="s">
        <v>251</v>
      </c>
      <c r="M15" s="130" t="s">
        <v>251</v>
      </c>
      <c r="N15" s="143" t="s">
        <v>251</v>
      </c>
      <c r="O15" s="144" t="s">
        <v>251</v>
      </c>
      <c r="P15" s="144" t="s">
        <v>251</v>
      </c>
      <c r="Q15" s="123">
        <v>0</v>
      </c>
      <c r="R15" s="136"/>
      <c r="S15" s="136">
        <v>0</v>
      </c>
      <c r="T15" s="120">
        <v>0</v>
      </c>
    </row>
    <row r="16" spans="1:20" s="118" customFormat="1" x14ac:dyDescent="0.25">
      <c r="A16" s="93" t="s">
        <v>143</v>
      </c>
      <c r="B16" s="130" t="s">
        <v>251</v>
      </c>
      <c r="C16" s="130" t="s">
        <v>251</v>
      </c>
      <c r="D16" s="130" t="s">
        <v>251</v>
      </c>
      <c r="E16" s="130" t="s">
        <v>251</v>
      </c>
      <c r="F16" s="130" t="s">
        <v>251</v>
      </c>
      <c r="G16" s="130" t="s">
        <v>251</v>
      </c>
      <c r="H16" s="130" t="s">
        <v>251</v>
      </c>
      <c r="I16" s="130" t="s">
        <v>251</v>
      </c>
      <c r="J16" s="131" t="s">
        <v>251</v>
      </c>
      <c r="K16" s="130" t="s">
        <v>251</v>
      </c>
      <c r="L16" s="130" t="s">
        <v>251</v>
      </c>
      <c r="M16" s="130" t="s">
        <v>251</v>
      </c>
      <c r="N16" s="143" t="s">
        <v>251</v>
      </c>
      <c r="O16" s="144" t="s">
        <v>251</v>
      </c>
      <c r="P16" s="144" t="s">
        <v>251</v>
      </c>
      <c r="Q16" s="123">
        <v>0</v>
      </c>
      <c r="R16" s="136"/>
      <c r="S16" s="136">
        <v>0</v>
      </c>
      <c r="T16" s="120">
        <v>0</v>
      </c>
    </row>
    <row r="17" spans="1:20" s="118" customFormat="1" x14ac:dyDescent="0.25">
      <c r="A17" s="93" t="s">
        <v>144</v>
      </c>
      <c r="B17" s="130" t="s">
        <v>251</v>
      </c>
      <c r="C17" s="130" t="s">
        <v>251</v>
      </c>
      <c r="D17" s="130" t="s">
        <v>251</v>
      </c>
      <c r="E17" s="130" t="s">
        <v>251</v>
      </c>
      <c r="F17" s="130" t="s">
        <v>251</v>
      </c>
      <c r="G17" s="130" t="s">
        <v>251</v>
      </c>
      <c r="H17" s="130" t="s">
        <v>251</v>
      </c>
      <c r="I17" s="130" t="s">
        <v>251</v>
      </c>
      <c r="J17" s="131" t="s">
        <v>251</v>
      </c>
      <c r="K17" s="130" t="s">
        <v>251</v>
      </c>
      <c r="L17" s="130" t="s">
        <v>251</v>
      </c>
      <c r="M17" s="130" t="s">
        <v>251</v>
      </c>
      <c r="N17" s="143" t="s">
        <v>251</v>
      </c>
      <c r="O17" s="144" t="s">
        <v>251</v>
      </c>
      <c r="P17" s="144" t="s">
        <v>251</v>
      </c>
      <c r="Q17" s="123">
        <v>0</v>
      </c>
      <c r="R17" s="136"/>
      <c r="S17" s="136">
        <v>0</v>
      </c>
      <c r="T17" s="120">
        <v>0</v>
      </c>
    </row>
    <row r="18" spans="1:20" s="118" customFormat="1" x14ac:dyDescent="0.25">
      <c r="A18" s="79" t="s">
        <v>242</v>
      </c>
      <c r="B18" s="124"/>
      <c r="C18" s="124"/>
      <c r="D18" s="124"/>
      <c r="E18" s="124"/>
      <c r="F18" s="79"/>
      <c r="G18" s="145"/>
      <c r="H18" s="145"/>
      <c r="I18" s="145"/>
      <c r="J18" s="146"/>
      <c r="K18" s="129"/>
      <c r="L18" s="147"/>
      <c r="M18" s="147"/>
      <c r="N18" s="147"/>
      <c r="O18" s="129"/>
      <c r="P18" s="129"/>
      <c r="Q18" s="129"/>
    </row>
    <row r="19" spans="1:20" s="118" customFormat="1" x14ac:dyDescent="0.25">
      <c r="A19" s="79" t="s">
        <v>243</v>
      </c>
      <c r="B19" s="124"/>
      <c r="C19" s="124"/>
      <c r="D19" s="124"/>
      <c r="E19" s="124"/>
      <c r="F19" s="79"/>
      <c r="G19" s="145"/>
      <c r="H19" s="145"/>
      <c r="I19" s="145"/>
      <c r="J19" s="146"/>
      <c r="K19" s="129"/>
      <c r="L19" s="147"/>
      <c r="M19" s="147"/>
      <c r="N19" s="147"/>
      <c r="O19" s="129"/>
      <c r="P19" s="129"/>
      <c r="Q19" s="129"/>
    </row>
    <row r="20" spans="1:20" s="118" customFormat="1" x14ac:dyDescent="0.25">
      <c r="A20" s="79" t="s">
        <v>244</v>
      </c>
      <c r="B20" s="124"/>
      <c r="C20" s="124"/>
      <c r="D20" s="124"/>
      <c r="E20" s="124"/>
      <c r="F20" s="79"/>
      <c r="G20" s="145"/>
      <c r="H20" s="145"/>
      <c r="I20" s="145"/>
      <c r="J20" s="146"/>
      <c r="K20" s="129"/>
      <c r="L20" s="147"/>
      <c r="M20" s="147"/>
      <c r="N20" s="147"/>
      <c r="O20" s="129"/>
      <c r="P20" s="129"/>
      <c r="Q20" s="129"/>
    </row>
    <row r="21" spans="1:20" s="118" customFormat="1" x14ac:dyDescent="0.25">
      <c r="A21" s="79" t="s">
        <v>245</v>
      </c>
      <c r="B21" s="124"/>
      <c r="C21" s="124"/>
      <c r="D21" s="124"/>
      <c r="E21" s="124"/>
      <c r="F21" s="79"/>
      <c r="G21" s="145"/>
      <c r="H21" s="145"/>
      <c r="I21" s="145"/>
      <c r="J21" s="146"/>
      <c r="K21" s="129"/>
      <c r="L21" s="147"/>
      <c r="M21" s="147"/>
      <c r="N21" s="147"/>
      <c r="O21" s="129"/>
      <c r="P21" s="129"/>
      <c r="Q21" s="129"/>
    </row>
    <row r="22" spans="1:20" s="118" customFormat="1" x14ac:dyDescent="0.25">
      <c r="A22" s="79" t="s">
        <v>246</v>
      </c>
      <c r="B22" s="124"/>
      <c r="C22" s="124"/>
      <c r="D22" s="124"/>
      <c r="E22" s="124"/>
      <c r="F22" s="79"/>
      <c r="G22" s="145"/>
      <c r="H22" s="145"/>
      <c r="I22" s="145"/>
      <c r="J22" s="146"/>
      <c r="K22" s="129"/>
      <c r="L22" s="147"/>
      <c r="M22" s="147"/>
      <c r="N22" s="147"/>
      <c r="O22" s="129"/>
      <c r="P22" s="129"/>
      <c r="Q22" s="129"/>
    </row>
  </sheetData>
  <mergeCells count="2">
    <mergeCell ref="A6:T6"/>
    <mergeCell ref="A5:T5"/>
  </mergeCells>
  <phoneticPr fontId="3" type="noConversion"/>
  <conditionalFormatting sqref="A10:A17 Q10:Q17">
    <cfRule type="expression" dxfId="118" priority="99" stopIfTrue="1">
      <formula>#REF!&gt;0</formula>
    </cfRule>
    <cfRule type="expression" dxfId="117" priority="100" stopIfTrue="1">
      <formula>LEFT(#REF!,3)="TIR"</formula>
    </cfRule>
  </conditionalFormatting>
  <conditionalFormatting sqref="B10:I10 K10 B11:M17">
    <cfRule type="expression" dxfId="116" priority="96" stopIfTrue="1">
      <formula>LEFT(#REF!,3)="TIR"</formula>
    </cfRule>
  </conditionalFormatting>
  <conditionalFormatting sqref="K1:K4 J10 L10:P10 R10:R17 N11:P17 K18:K55552">
    <cfRule type="expression" dxfId="115" priority="89" stopIfTrue="1">
      <formula>LEFT(#REF!,3)="TIR"</formula>
    </cfRule>
  </conditionalFormatting>
  <conditionalFormatting sqref="L7">
    <cfRule type="expression" dxfId="114" priority="95" stopIfTrue="1">
      <formula>LEFT(#REF!,3)="TIR"</formula>
    </cfRule>
  </conditionalFormatting>
  <conditionalFormatting sqref="S10:T17">
    <cfRule type="expression" dxfId="113" priority="103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T408"/>
  <sheetViews>
    <sheetView rightToLeft="1" zoomScale="80" zoomScaleNormal="80" workbookViewId="0"/>
  </sheetViews>
  <sheetFormatPr defaultColWidth="9.109375" defaultRowHeight="13.2" x14ac:dyDescent="0.25"/>
  <cols>
    <col min="1" max="1" width="41.33203125" style="10" bestFit="1" customWidth="1"/>
    <col min="2" max="2" width="16.33203125" style="9" bestFit="1" customWidth="1"/>
    <col min="3" max="3" width="12.33203125" style="9" customWidth="1"/>
    <col min="4" max="4" width="11.33203125" style="9" customWidth="1"/>
    <col min="5" max="5" width="13.33203125" style="9" customWidth="1"/>
    <col min="6" max="6" width="40.6640625" style="9" bestFit="1" customWidth="1"/>
    <col min="7" max="7" width="7.5546875" style="60" customWidth="1"/>
    <col min="8" max="8" width="11.109375" style="60" customWidth="1"/>
    <col min="9" max="9" width="14.109375" style="60" customWidth="1"/>
    <col min="10" max="10" width="7.88671875" style="37" customWidth="1"/>
    <col min="11" max="11" width="12.6640625" style="62" bestFit="1" customWidth="1"/>
    <col min="12" max="12" width="12.5546875" style="64" customWidth="1"/>
    <col min="13" max="13" width="14.109375" style="64" customWidth="1"/>
    <col min="14" max="14" width="12.44140625" style="64" bestFit="1" customWidth="1"/>
    <col min="15" max="15" width="11.44140625" style="62" bestFit="1" customWidth="1"/>
    <col min="16" max="16" width="16.5546875" style="62" bestFit="1" customWidth="1"/>
    <col min="17" max="17" width="12.33203125" style="62" bestFit="1" customWidth="1"/>
    <col min="18" max="18" width="22.88671875" style="66" bestFit="1" customWidth="1"/>
    <col min="19" max="19" width="26.44140625" style="66" bestFit="1" customWidth="1"/>
    <col min="20" max="20" width="20.6640625" style="66" customWidth="1"/>
    <col min="21" max="16384" width="9.109375" style="15"/>
  </cols>
  <sheetData>
    <row r="1" spans="1:20" s="7" customFormat="1" x14ac:dyDescent="0.25">
      <c r="A1" s="7" t="s">
        <v>237</v>
      </c>
      <c r="B1" s="9" t="s">
        <v>247</v>
      </c>
      <c r="C1" s="9"/>
      <c r="D1" s="9"/>
      <c r="E1" s="9"/>
      <c r="F1" s="9"/>
      <c r="G1" s="60"/>
      <c r="H1" s="60"/>
      <c r="I1" s="60"/>
      <c r="J1" s="37"/>
      <c r="K1" s="62"/>
      <c r="L1" s="63"/>
      <c r="M1" s="63"/>
      <c r="N1" s="63"/>
      <c r="O1" s="62"/>
      <c r="P1" s="62"/>
      <c r="Q1" s="62"/>
      <c r="R1" s="66"/>
      <c r="S1" s="66"/>
      <c r="T1" s="44"/>
    </row>
    <row r="2" spans="1:20" s="7" customFormat="1" x14ac:dyDescent="0.25">
      <c r="A2" s="10" t="s">
        <v>238</v>
      </c>
      <c r="B2" s="9" t="s">
        <v>150</v>
      </c>
      <c r="C2" s="9"/>
      <c r="D2" s="9"/>
      <c r="E2" s="9"/>
      <c r="F2" s="9"/>
      <c r="G2" s="60"/>
      <c r="H2" s="60"/>
      <c r="I2" s="60"/>
      <c r="J2" s="37"/>
      <c r="K2" s="62"/>
      <c r="L2" s="63"/>
      <c r="M2" s="63"/>
      <c r="N2" s="63"/>
      <c r="O2" s="62"/>
      <c r="P2" s="62"/>
      <c r="Q2" s="62"/>
      <c r="R2" s="66"/>
      <c r="S2" s="66"/>
      <c r="T2" s="44"/>
    </row>
    <row r="3" spans="1:20" s="7" customFormat="1" x14ac:dyDescent="0.25">
      <c r="A3" s="10" t="s">
        <v>239</v>
      </c>
      <c r="B3" s="9" t="s">
        <v>240</v>
      </c>
      <c r="C3" s="9"/>
      <c r="D3" s="9"/>
      <c r="E3" s="9"/>
      <c r="F3" s="9"/>
      <c r="G3" s="60"/>
      <c r="H3" s="60"/>
      <c r="I3" s="60"/>
      <c r="J3" s="37"/>
      <c r="K3" s="62"/>
      <c r="L3" s="63"/>
      <c r="M3" s="63"/>
      <c r="N3" s="63"/>
      <c r="O3" s="62"/>
      <c r="P3" s="62"/>
      <c r="Q3" s="62"/>
      <c r="R3" s="66"/>
      <c r="S3" s="66"/>
      <c r="T3" s="44"/>
    </row>
    <row r="4" spans="1:20" s="7" customFormat="1" ht="13.8" thickBot="1" x14ac:dyDescent="0.3">
      <c r="A4" s="10" t="s">
        <v>241</v>
      </c>
      <c r="B4" s="9" t="s">
        <v>249</v>
      </c>
      <c r="C4" s="9"/>
      <c r="D4" s="9"/>
      <c r="E4" s="9"/>
      <c r="F4" s="9"/>
      <c r="G4" s="60"/>
      <c r="H4" s="60"/>
      <c r="I4" s="60"/>
      <c r="J4" s="37"/>
      <c r="K4" s="62"/>
      <c r="L4" s="63"/>
      <c r="M4" s="63"/>
      <c r="N4" s="63"/>
      <c r="O4" s="62"/>
      <c r="P4" s="62"/>
      <c r="Q4" s="62"/>
      <c r="R4" s="66"/>
      <c r="S4" s="66"/>
      <c r="T4" s="44"/>
    </row>
    <row r="5" spans="1:20" s="7" customFormat="1" ht="13.8" thickBot="1" x14ac:dyDescent="0.3">
      <c r="A5" s="220" t="s">
        <v>11</v>
      </c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  <c r="T5" s="222"/>
    </row>
    <row r="6" spans="1:20" s="7" customFormat="1" x14ac:dyDescent="0.25">
      <c r="A6" s="223" t="s">
        <v>88</v>
      </c>
      <c r="B6" s="224"/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4"/>
      <c r="Q6" s="224"/>
      <c r="R6" s="224"/>
      <c r="S6" s="224"/>
      <c r="T6" s="225"/>
    </row>
    <row r="7" spans="1:20" s="7" customFormat="1" x14ac:dyDescent="0.25">
      <c r="A7" s="87" t="s">
        <v>157</v>
      </c>
      <c r="B7" s="203" t="s">
        <v>69</v>
      </c>
      <c r="C7" s="203" t="s">
        <v>76</v>
      </c>
      <c r="D7" s="203" t="s">
        <v>77</v>
      </c>
      <c r="E7" s="203" t="s">
        <v>74</v>
      </c>
      <c r="F7" s="203" t="s">
        <v>19</v>
      </c>
      <c r="G7" s="203" t="s">
        <v>70</v>
      </c>
      <c r="H7" s="203" t="s">
        <v>5</v>
      </c>
      <c r="I7" s="203" t="s">
        <v>13</v>
      </c>
      <c r="J7" s="203" t="s">
        <v>14</v>
      </c>
      <c r="K7" s="203" t="s">
        <v>6</v>
      </c>
      <c r="L7" s="204" t="s">
        <v>66</v>
      </c>
      <c r="M7" s="204" t="s">
        <v>71</v>
      </c>
      <c r="N7" s="204" t="s">
        <v>67</v>
      </c>
      <c r="O7" s="204" t="s">
        <v>68</v>
      </c>
      <c r="P7" s="204" t="s">
        <v>134</v>
      </c>
      <c r="Q7" s="204" t="s">
        <v>7</v>
      </c>
      <c r="R7" s="90" t="s">
        <v>17</v>
      </c>
      <c r="S7" s="90" t="s">
        <v>75</v>
      </c>
      <c r="T7" s="91" t="s">
        <v>8</v>
      </c>
    </row>
    <row r="8" spans="1:20" s="7" customFormat="1" x14ac:dyDescent="0.25">
      <c r="A8" s="27"/>
      <c r="B8" s="3"/>
      <c r="C8" s="3"/>
      <c r="D8" s="3"/>
      <c r="E8" s="3"/>
      <c r="F8" s="3"/>
      <c r="G8" s="3"/>
      <c r="H8" s="52"/>
      <c r="I8" s="53" t="s">
        <v>40</v>
      </c>
      <c r="J8" s="52" t="s">
        <v>16</v>
      </c>
      <c r="K8" s="30"/>
      <c r="L8" s="50" t="s">
        <v>9</v>
      </c>
      <c r="M8" s="50" t="s">
        <v>9</v>
      </c>
      <c r="N8" s="2" t="s">
        <v>133</v>
      </c>
      <c r="O8" s="50"/>
      <c r="P8" s="2" t="s">
        <v>135</v>
      </c>
      <c r="Q8" s="2" t="s">
        <v>135</v>
      </c>
      <c r="R8" s="54" t="s">
        <v>9</v>
      </c>
      <c r="S8" s="54" t="s">
        <v>9</v>
      </c>
      <c r="T8" s="51" t="s">
        <v>9</v>
      </c>
    </row>
    <row r="9" spans="1:20" s="16" customFormat="1" ht="12.75" customHeight="1" x14ac:dyDescent="0.25">
      <c r="A9" s="21"/>
      <c r="B9" s="22">
        <v>1</v>
      </c>
      <c r="C9" s="22">
        <v>2</v>
      </c>
      <c r="D9" s="22">
        <v>3</v>
      </c>
      <c r="E9" s="22">
        <v>4</v>
      </c>
      <c r="F9" s="22">
        <v>5</v>
      </c>
      <c r="G9" s="22">
        <v>6</v>
      </c>
      <c r="H9" s="22">
        <v>7</v>
      </c>
      <c r="I9" s="22">
        <v>8</v>
      </c>
      <c r="J9" s="22">
        <v>9</v>
      </c>
      <c r="K9" s="22">
        <v>10</v>
      </c>
      <c r="L9" s="22">
        <v>11</v>
      </c>
      <c r="M9" s="22">
        <v>12</v>
      </c>
      <c r="N9" s="22">
        <v>13</v>
      </c>
      <c r="O9" s="22">
        <v>14</v>
      </c>
      <c r="P9" s="22">
        <v>15</v>
      </c>
      <c r="Q9" s="22">
        <v>16</v>
      </c>
      <c r="R9" s="22">
        <v>17</v>
      </c>
      <c r="S9" s="22">
        <v>18</v>
      </c>
      <c r="T9" s="23">
        <v>19</v>
      </c>
    </row>
    <row r="10" spans="1:20" s="118" customFormat="1" ht="12.75" customHeight="1" thickBot="1" x14ac:dyDescent="0.3">
      <c r="A10" s="100" t="s">
        <v>53</v>
      </c>
      <c r="B10" s="68"/>
      <c r="C10" s="68"/>
      <c r="D10" s="68"/>
      <c r="E10" s="68"/>
      <c r="F10" s="68"/>
      <c r="G10" s="101"/>
      <c r="H10" s="101"/>
      <c r="I10" s="101"/>
      <c r="J10" s="101"/>
      <c r="K10" s="101"/>
      <c r="L10" s="68"/>
      <c r="M10" s="68"/>
      <c r="N10" s="104"/>
      <c r="O10" s="101"/>
      <c r="P10" s="103" t="s">
        <v>251</v>
      </c>
      <c r="Q10" s="105">
        <v>209637.61231231794</v>
      </c>
      <c r="R10" s="68" t="s">
        <v>251</v>
      </c>
      <c r="S10" s="68">
        <v>1</v>
      </c>
      <c r="T10" s="82">
        <v>0.36392190986420531</v>
      </c>
    </row>
    <row r="11" spans="1:20" s="118" customFormat="1" x14ac:dyDescent="0.25">
      <c r="A11" s="92" t="s">
        <v>137</v>
      </c>
      <c r="B11" s="130" t="s">
        <v>251</v>
      </c>
      <c r="C11" s="130" t="s">
        <v>251</v>
      </c>
      <c r="D11" s="130" t="s">
        <v>251</v>
      </c>
      <c r="E11" s="130" t="s">
        <v>251</v>
      </c>
      <c r="F11" s="130" t="s">
        <v>251</v>
      </c>
      <c r="G11" s="130" t="s">
        <v>251</v>
      </c>
      <c r="H11" s="130" t="s">
        <v>251</v>
      </c>
      <c r="I11" s="130" t="s">
        <v>251</v>
      </c>
      <c r="J11" s="131" t="s">
        <v>251</v>
      </c>
      <c r="K11" s="131" t="s">
        <v>251</v>
      </c>
      <c r="L11" s="130" t="s">
        <v>251</v>
      </c>
      <c r="M11" s="130" t="s">
        <v>251</v>
      </c>
      <c r="N11" s="132" t="s">
        <v>251</v>
      </c>
      <c r="O11" s="121" t="s">
        <v>251</v>
      </c>
      <c r="P11" s="122" t="s">
        <v>251</v>
      </c>
      <c r="Q11" s="133">
        <v>170791.75665957606</v>
      </c>
      <c r="R11" s="120" t="s">
        <v>251</v>
      </c>
      <c r="S11" s="120">
        <v>0.81469997094381441</v>
      </c>
      <c r="T11" s="120">
        <v>0.2964871693921855</v>
      </c>
    </row>
    <row r="12" spans="1:20" s="118" customFormat="1" x14ac:dyDescent="0.25">
      <c r="A12" s="93" t="s">
        <v>138</v>
      </c>
      <c r="B12" s="130" t="s">
        <v>251</v>
      </c>
      <c r="C12" s="130" t="s">
        <v>251</v>
      </c>
      <c r="D12" s="130" t="s">
        <v>251</v>
      </c>
      <c r="E12" s="130" t="s">
        <v>251</v>
      </c>
      <c r="F12" s="130" t="s">
        <v>251</v>
      </c>
      <c r="G12" s="130" t="s">
        <v>251</v>
      </c>
      <c r="H12" s="130" t="s">
        <v>251</v>
      </c>
      <c r="I12" s="130" t="s">
        <v>251</v>
      </c>
      <c r="J12" s="131" t="s">
        <v>251</v>
      </c>
      <c r="K12" s="131" t="s">
        <v>251</v>
      </c>
      <c r="L12" s="130" t="s">
        <v>251</v>
      </c>
      <c r="M12" s="130" t="s">
        <v>251</v>
      </c>
      <c r="N12" s="134" t="s">
        <v>251</v>
      </c>
      <c r="O12" s="135" t="s">
        <v>251</v>
      </c>
      <c r="P12" s="123" t="s">
        <v>251</v>
      </c>
      <c r="Q12" s="123">
        <v>132384.48352485453</v>
      </c>
      <c r="R12" s="136"/>
      <c r="S12" s="136">
        <v>0.63149204031015305</v>
      </c>
      <c r="T12" s="136">
        <v>0.22981378937371463</v>
      </c>
    </row>
    <row r="13" spans="1:20" x14ac:dyDescent="0.25">
      <c r="A13" s="17" t="s">
        <v>819</v>
      </c>
      <c r="B13" s="116" t="s">
        <v>820</v>
      </c>
      <c r="C13" s="116" t="s">
        <v>400</v>
      </c>
      <c r="D13" s="116" t="s">
        <v>251</v>
      </c>
      <c r="E13" s="116" t="s">
        <v>821</v>
      </c>
      <c r="F13" s="116" t="s">
        <v>200</v>
      </c>
      <c r="G13" s="116" t="s">
        <v>536</v>
      </c>
      <c r="H13" s="116" t="s">
        <v>521</v>
      </c>
      <c r="I13" s="116" t="s">
        <v>822</v>
      </c>
      <c r="J13" s="117">
        <v>0.98</v>
      </c>
      <c r="K13" s="117" t="s">
        <v>257</v>
      </c>
      <c r="L13" s="116">
        <v>5.0000000000000001E-3</v>
      </c>
      <c r="M13" s="116">
        <v>2.4900000000000002E-2</v>
      </c>
      <c r="N13" s="70">
        <v>16351.558542569022</v>
      </c>
      <c r="O13" s="61">
        <v>108.47</v>
      </c>
      <c r="P13" s="85">
        <v>0</v>
      </c>
      <c r="Q13" s="85">
        <v>17.736535501331421</v>
      </c>
      <c r="R13" s="25">
        <v>1.4467555809421102E-4</v>
      </c>
      <c r="S13" s="25">
        <v>8.4605693156376664E-5</v>
      </c>
      <c r="T13" s="25">
        <v>3.0789865438853515E-5</v>
      </c>
    </row>
    <row r="14" spans="1:20" x14ac:dyDescent="0.25">
      <c r="A14" s="17" t="s">
        <v>910</v>
      </c>
      <c r="B14" s="116" t="s">
        <v>911</v>
      </c>
      <c r="C14" s="116" t="s">
        <v>400</v>
      </c>
      <c r="D14" s="116" t="s">
        <v>251</v>
      </c>
      <c r="E14" s="116" t="s">
        <v>821</v>
      </c>
      <c r="F14" s="116" t="s">
        <v>200</v>
      </c>
      <c r="G14" s="116" t="s">
        <v>536</v>
      </c>
      <c r="H14" s="116" t="s">
        <v>521</v>
      </c>
      <c r="I14" s="116" t="s">
        <v>912</v>
      </c>
      <c r="J14" s="117">
        <v>3.42</v>
      </c>
      <c r="K14" s="117" t="s">
        <v>257</v>
      </c>
      <c r="L14" s="116">
        <v>1E-3</v>
      </c>
      <c r="M14" s="116">
        <v>1.8799999999999997E-2</v>
      </c>
      <c r="N14" s="70">
        <v>715672.45095707441</v>
      </c>
      <c r="O14" s="61">
        <v>101.51</v>
      </c>
      <c r="P14" s="85">
        <v>0</v>
      </c>
      <c r="Q14" s="85">
        <v>726.47910496652628</v>
      </c>
      <c r="R14" s="25">
        <v>1.5329717297673452E-3</v>
      </c>
      <c r="S14" s="25">
        <v>3.4654044040733412E-3</v>
      </c>
      <c r="T14" s="25">
        <v>1.2611365891821986E-3</v>
      </c>
    </row>
    <row r="15" spans="1:20" x14ac:dyDescent="0.25">
      <c r="A15" s="17" t="s">
        <v>906</v>
      </c>
      <c r="B15" s="116" t="s">
        <v>907</v>
      </c>
      <c r="C15" s="116" t="s">
        <v>400</v>
      </c>
      <c r="D15" s="116" t="s">
        <v>251</v>
      </c>
      <c r="E15" s="116" t="s">
        <v>908</v>
      </c>
      <c r="F15" s="116" t="s">
        <v>200</v>
      </c>
      <c r="G15" s="116" t="s">
        <v>536</v>
      </c>
      <c r="H15" s="116" t="s">
        <v>521</v>
      </c>
      <c r="I15" s="116" t="s">
        <v>909</v>
      </c>
      <c r="J15" s="117">
        <v>4.47</v>
      </c>
      <c r="K15" s="117" t="s">
        <v>257</v>
      </c>
      <c r="L15" s="116">
        <v>2E-3</v>
      </c>
      <c r="M15" s="116">
        <v>2.0099999999999996E-2</v>
      </c>
      <c r="N15" s="70">
        <v>5070729.5315159224</v>
      </c>
      <c r="O15" s="61">
        <v>99.45</v>
      </c>
      <c r="P15" s="85">
        <v>0</v>
      </c>
      <c r="Q15" s="85">
        <v>5042.8405190560725</v>
      </c>
      <c r="R15" s="25">
        <v>1.1744001734610295E-3</v>
      </c>
      <c r="S15" s="25">
        <v>2.4055036991850742E-2</v>
      </c>
      <c r="T15" s="25">
        <v>8.7541550039284301E-3</v>
      </c>
    </row>
    <row r="16" spans="1:20" x14ac:dyDescent="0.25">
      <c r="A16" s="17" t="s">
        <v>1109</v>
      </c>
      <c r="B16" s="116" t="s">
        <v>1110</v>
      </c>
      <c r="C16" s="116" t="s">
        <v>400</v>
      </c>
      <c r="D16" s="116" t="s">
        <v>251</v>
      </c>
      <c r="E16" s="116" t="s">
        <v>908</v>
      </c>
      <c r="F16" s="116" t="s">
        <v>200</v>
      </c>
      <c r="G16" s="116" t="s">
        <v>255</v>
      </c>
      <c r="H16" s="116" t="s">
        <v>256</v>
      </c>
      <c r="I16" s="116" t="s">
        <v>1111</v>
      </c>
      <c r="J16" s="117">
        <v>4.97</v>
      </c>
      <c r="K16" s="117" t="s">
        <v>257</v>
      </c>
      <c r="L16" s="116">
        <v>3.1699999999999999E-2</v>
      </c>
      <c r="M16" s="116">
        <v>3.6499999999999998E-2</v>
      </c>
      <c r="N16" s="70">
        <v>0.23417592877449847</v>
      </c>
      <c r="O16" s="61">
        <v>5103222</v>
      </c>
      <c r="P16" s="85">
        <v>0</v>
      </c>
      <c r="Q16" s="85">
        <v>11.950517515924535</v>
      </c>
      <c r="R16" s="25">
        <v>1.3864767837448103E-5</v>
      </c>
      <c r="S16" s="25">
        <v>5.7005598299415206E-5</v>
      </c>
      <c r="T16" s="25">
        <v>2.0745586206074875E-5</v>
      </c>
    </row>
    <row r="17" spans="1:20" x14ac:dyDescent="0.25">
      <c r="A17" s="17" t="s">
        <v>733</v>
      </c>
      <c r="B17" s="116" t="s">
        <v>734</v>
      </c>
      <c r="C17" s="116" t="s">
        <v>400</v>
      </c>
      <c r="D17" s="116" t="s">
        <v>251</v>
      </c>
      <c r="E17" s="116" t="s">
        <v>735</v>
      </c>
      <c r="F17" s="116" t="s">
        <v>200</v>
      </c>
      <c r="G17" s="116" t="s">
        <v>536</v>
      </c>
      <c r="H17" s="116" t="s">
        <v>521</v>
      </c>
      <c r="I17" s="116" t="s">
        <v>736</v>
      </c>
      <c r="J17" s="117">
        <v>1.98</v>
      </c>
      <c r="K17" s="117" t="s">
        <v>257</v>
      </c>
      <c r="L17" s="116">
        <v>8.3000000000000001E-3</v>
      </c>
      <c r="M17" s="116">
        <v>2.1700000000000001E-2</v>
      </c>
      <c r="N17" s="70">
        <v>1125940.4142247199</v>
      </c>
      <c r="O17" s="61">
        <v>107.60000000000001</v>
      </c>
      <c r="P17" s="85">
        <v>0</v>
      </c>
      <c r="Q17" s="85">
        <v>1211.5118856811484</v>
      </c>
      <c r="R17" s="25">
        <v>3.701442831131373E-4</v>
      </c>
      <c r="S17" s="25">
        <v>5.7790769142907379E-3</v>
      </c>
      <c r="T17" s="25">
        <v>2.1031327079008236E-3</v>
      </c>
    </row>
    <row r="18" spans="1:20" x14ac:dyDescent="0.25">
      <c r="A18" s="17" t="s">
        <v>789</v>
      </c>
      <c r="B18" s="116" t="s">
        <v>790</v>
      </c>
      <c r="C18" s="116" t="s">
        <v>400</v>
      </c>
      <c r="D18" s="116" t="s">
        <v>251</v>
      </c>
      <c r="E18" s="116" t="s">
        <v>735</v>
      </c>
      <c r="F18" s="116" t="s">
        <v>200</v>
      </c>
      <c r="G18" s="116" t="s">
        <v>536</v>
      </c>
      <c r="H18" s="116" t="s">
        <v>521</v>
      </c>
      <c r="I18" s="116" t="s">
        <v>791</v>
      </c>
      <c r="J18" s="117">
        <v>0.18</v>
      </c>
      <c r="K18" s="117" t="s">
        <v>257</v>
      </c>
      <c r="L18" s="116">
        <v>0.01</v>
      </c>
      <c r="M18" s="116">
        <v>2.8399999999999998E-2</v>
      </c>
      <c r="N18" s="70">
        <v>354437.87056268618</v>
      </c>
      <c r="O18" s="61">
        <v>110.77</v>
      </c>
      <c r="P18" s="85">
        <v>0</v>
      </c>
      <c r="Q18" s="85">
        <v>392.61082918223104</v>
      </c>
      <c r="R18" s="25">
        <v>1.5289079852866361E-4</v>
      </c>
      <c r="S18" s="25">
        <v>1.8728071973903222E-3</v>
      </c>
      <c r="T18" s="25">
        <v>6.8155557208171569E-4</v>
      </c>
    </row>
    <row r="19" spans="1:20" x14ac:dyDescent="0.25">
      <c r="A19" s="17" t="s">
        <v>901</v>
      </c>
      <c r="B19" s="116" t="s">
        <v>902</v>
      </c>
      <c r="C19" s="116" t="s">
        <v>400</v>
      </c>
      <c r="D19" s="116" t="s">
        <v>251</v>
      </c>
      <c r="E19" s="116" t="s">
        <v>735</v>
      </c>
      <c r="F19" s="116" t="s">
        <v>200</v>
      </c>
      <c r="G19" s="116" t="s">
        <v>536</v>
      </c>
      <c r="H19" s="116" t="s">
        <v>521</v>
      </c>
      <c r="I19" s="116" t="s">
        <v>903</v>
      </c>
      <c r="J19" s="117">
        <v>4.4000000000000004</v>
      </c>
      <c r="K19" s="117" t="s">
        <v>257</v>
      </c>
      <c r="L19" s="116">
        <v>1E-3</v>
      </c>
      <c r="M19" s="116">
        <v>1.9699999999999999E-2</v>
      </c>
      <c r="N19" s="70">
        <v>2228448.7721271259</v>
      </c>
      <c r="O19" s="61">
        <v>99.41</v>
      </c>
      <c r="P19" s="85">
        <v>0</v>
      </c>
      <c r="Q19" s="85">
        <v>2215.3009243647966</v>
      </c>
      <c r="R19" s="25">
        <v>7.1031802391808316E-4</v>
      </c>
      <c r="S19" s="25">
        <v>1.0567287520258737E-2</v>
      </c>
      <c r="T19" s="25">
        <v>3.8456674564567414E-3</v>
      </c>
    </row>
    <row r="20" spans="1:20" x14ac:dyDescent="0.25">
      <c r="A20" s="17" t="s">
        <v>904</v>
      </c>
      <c r="B20" s="116" t="s">
        <v>905</v>
      </c>
      <c r="C20" s="116" t="s">
        <v>400</v>
      </c>
      <c r="D20" s="116" t="s">
        <v>251</v>
      </c>
      <c r="E20" s="116" t="s">
        <v>735</v>
      </c>
      <c r="F20" s="116" t="s">
        <v>200</v>
      </c>
      <c r="G20" s="116" t="s">
        <v>536</v>
      </c>
      <c r="H20" s="116" t="s">
        <v>521</v>
      </c>
      <c r="I20" s="116" t="s">
        <v>903</v>
      </c>
      <c r="J20" s="117">
        <v>6.39</v>
      </c>
      <c r="K20" s="117" t="s">
        <v>257</v>
      </c>
      <c r="L20" s="116">
        <v>1E-3</v>
      </c>
      <c r="M20" s="116">
        <v>1.9199999999999998E-2</v>
      </c>
      <c r="N20" s="70">
        <v>2867812.5809834488</v>
      </c>
      <c r="O20" s="61">
        <v>96.07</v>
      </c>
      <c r="P20" s="85">
        <v>0</v>
      </c>
      <c r="Q20" s="85">
        <v>2755.1075465181375</v>
      </c>
      <c r="R20" s="25">
        <v>1.1531996267472333E-3</v>
      </c>
      <c r="S20" s="25">
        <v>1.3142238723905998E-2</v>
      </c>
      <c r="T20" s="25">
        <v>4.7827486162951866E-3</v>
      </c>
    </row>
    <row r="21" spans="1:20" x14ac:dyDescent="0.25">
      <c r="A21" s="17" t="s">
        <v>891</v>
      </c>
      <c r="B21" s="116" t="s">
        <v>892</v>
      </c>
      <c r="C21" s="116" t="s">
        <v>400</v>
      </c>
      <c r="D21" s="116" t="s">
        <v>251</v>
      </c>
      <c r="E21" s="116" t="s">
        <v>660</v>
      </c>
      <c r="F21" s="116" t="s">
        <v>200</v>
      </c>
      <c r="G21" s="116" t="s">
        <v>536</v>
      </c>
      <c r="H21" s="116" t="s">
        <v>521</v>
      </c>
      <c r="I21" s="116" t="s">
        <v>890</v>
      </c>
      <c r="J21" s="117">
        <v>5.3</v>
      </c>
      <c r="K21" s="117" t="s">
        <v>257</v>
      </c>
      <c r="L21" s="116">
        <v>1E-3</v>
      </c>
      <c r="M21" s="116">
        <v>1.9799999999999998E-2</v>
      </c>
      <c r="N21" s="70">
        <v>3318423.066805183</v>
      </c>
      <c r="O21" s="61">
        <v>97.8</v>
      </c>
      <c r="P21" s="85">
        <v>0</v>
      </c>
      <c r="Q21" s="85">
        <v>3245.4177592861688</v>
      </c>
      <c r="R21" s="25">
        <v>9.8262214343186431E-4</v>
      </c>
      <c r="S21" s="25">
        <v>1.5481085304726465E-2</v>
      </c>
      <c r="T21" s="25">
        <v>5.6339061308667369E-3</v>
      </c>
    </row>
    <row r="22" spans="1:20" x14ac:dyDescent="0.25">
      <c r="A22" s="17" t="s">
        <v>952</v>
      </c>
      <c r="B22" s="116" t="s">
        <v>953</v>
      </c>
      <c r="C22" s="116" t="s">
        <v>400</v>
      </c>
      <c r="D22" s="116" t="s">
        <v>251</v>
      </c>
      <c r="E22" s="116" t="s">
        <v>660</v>
      </c>
      <c r="F22" s="116" t="s">
        <v>200</v>
      </c>
      <c r="G22" s="116" t="s">
        <v>536</v>
      </c>
      <c r="H22" s="116" t="s">
        <v>521</v>
      </c>
      <c r="I22" s="116" t="s">
        <v>954</v>
      </c>
      <c r="J22" s="117">
        <v>4.18</v>
      </c>
      <c r="K22" s="117" t="s">
        <v>257</v>
      </c>
      <c r="L22" s="116">
        <v>1E-3</v>
      </c>
      <c r="M22" s="116">
        <v>2.0199999999999999E-2</v>
      </c>
      <c r="N22" s="70">
        <v>890842.44065526268</v>
      </c>
      <c r="O22" s="61">
        <v>98.39</v>
      </c>
      <c r="P22" s="85">
        <v>0</v>
      </c>
      <c r="Q22" s="85">
        <v>876.49987734402487</v>
      </c>
      <c r="R22" s="25">
        <v>8.5686810114775878E-4</v>
      </c>
      <c r="S22" s="25">
        <v>4.1810239473545237E-3</v>
      </c>
      <c r="T22" s="25">
        <v>1.5215662201092368E-3</v>
      </c>
    </row>
    <row r="23" spans="1:20" x14ac:dyDescent="0.25">
      <c r="A23" s="17" t="s">
        <v>860</v>
      </c>
      <c r="B23" s="116" t="s">
        <v>861</v>
      </c>
      <c r="C23" s="116" t="s">
        <v>400</v>
      </c>
      <c r="D23" s="116" t="s">
        <v>251</v>
      </c>
      <c r="E23" s="116" t="s">
        <v>660</v>
      </c>
      <c r="F23" s="116" t="s">
        <v>200</v>
      </c>
      <c r="G23" s="116" t="s">
        <v>536</v>
      </c>
      <c r="H23" s="116" t="s">
        <v>521</v>
      </c>
      <c r="I23" s="116" t="s">
        <v>862</v>
      </c>
      <c r="J23" s="117">
        <v>1.1599999999999999</v>
      </c>
      <c r="K23" s="117" t="s">
        <v>257</v>
      </c>
      <c r="L23" s="116">
        <v>9.4999999999999998E-3</v>
      </c>
      <c r="M23" s="116">
        <v>2.2700000000000001E-2</v>
      </c>
      <c r="N23" s="70">
        <v>545.82360218777569</v>
      </c>
      <c r="O23" s="61">
        <v>110.00000000000001</v>
      </c>
      <c r="P23" s="85">
        <v>0</v>
      </c>
      <c r="Q23" s="85">
        <v>0.60040594391897995</v>
      </c>
      <c r="R23" s="25">
        <v>1.6980746669065553E-6</v>
      </c>
      <c r="S23" s="25">
        <v>2.8640182326847707E-6</v>
      </c>
      <c r="T23" s="25">
        <v>1.0422789851245476E-6</v>
      </c>
    </row>
    <row r="24" spans="1:20" x14ac:dyDescent="0.25">
      <c r="A24" s="17" t="s">
        <v>1042</v>
      </c>
      <c r="B24" s="116" t="s">
        <v>1043</v>
      </c>
      <c r="C24" s="116" t="s">
        <v>400</v>
      </c>
      <c r="D24" s="116" t="s">
        <v>251</v>
      </c>
      <c r="E24" s="116" t="s">
        <v>660</v>
      </c>
      <c r="F24" s="116" t="s">
        <v>200</v>
      </c>
      <c r="G24" s="116" t="s">
        <v>536</v>
      </c>
      <c r="H24" s="116" t="s">
        <v>521</v>
      </c>
      <c r="I24" s="116" t="s">
        <v>1044</v>
      </c>
      <c r="J24" s="117">
        <v>6.7</v>
      </c>
      <c r="K24" s="117" t="s">
        <v>257</v>
      </c>
      <c r="L24" s="116">
        <v>4.6999999999999993E-3</v>
      </c>
      <c r="M24" s="116">
        <v>2.2700000000000001E-2</v>
      </c>
      <c r="N24" s="70">
        <v>61.625244414341701</v>
      </c>
      <c r="O24" s="61">
        <v>106.38000000000001</v>
      </c>
      <c r="P24" s="85">
        <v>0</v>
      </c>
      <c r="Q24" s="85">
        <v>6.5556935007976699E-2</v>
      </c>
      <c r="R24" s="25">
        <v>8.7794378068291575E-8</v>
      </c>
      <c r="S24" s="25">
        <v>3.1271552029656795E-7</v>
      </c>
      <c r="T24" s="25">
        <v>1.1380402939050566E-7</v>
      </c>
    </row>
    <row r="25" spans="1:20" x14ac:dyDescent="0.25">
      <c r="A25" s="17" t="s">
        <v>658</v>
      </c>
      <c r="B25" s="116" t="s">
        <v>659</v>
      </c>
      <c r="C25" s="116" t="s">
        <v>400</v>
      </c>
      <c r="D25" s="116" t="s">
        <v>251</v>
      </c>
      <c r="E25" s="116" t="s">
        <v>660</v>
      </c>
      <c r="F25" s="116" t="s">
        <v>200</v>
      </c>
      <c r="G25" s="116" t="s">
        <v>536</v>
      </c>
      <c r="H25" s="116" t="s">
        <v>521</v>
      </c>
      <c r="I25" s="116" t="s">
        <v>661</v>
      </c>
      <c r="J25" s="117">
        <v>4.13</v>
      </c>
      <c r="K25" s="117" t="s">
        <v>257</v>
      </c>
      <c r="L25" s="116">
        <v>1.2199999999999999E-2</v>
      </c>
      <c r="M25" s="116">
        <v>1.9799999999999998E-2</v>
      </c>
      <c r="N25" s="70">
        <v>724739.39165532985</v>
      </c>
      <c r="O25" s="61">
        <v>109.16</v>
      </c>
      <c r="P25" s="85">
        <v>0</v>
      </c>
      <c r="Q25" s="85">
        <v>791.12551990137797</v>
      </c>
      <c r="R25" s="25">
        <v>2.4032912445478061E-4</v>
      </c>
      <c r="S25" s="25">
        <v>3.7737766194491846E-3</v>
      </c>
      <c r="T25" s="25">
        <v>1.3733599947508316E-3</v>
      </c>
    </row>
    <row r="26" spans="1:20" x14ac:dyDescent="0.25">
      <c r="A26" s="17" t="s">
        <v>740</v>
      </c>
      <c r="B26" s="116" t="s">
        <v>741</v>
      </c>
      <c r="C26" s="116" t="s">
        <v>400</v>
      </c>
      <c r="D26" s="116" t="s">
        <v>251</v>
      </c>
      <c r="E26" s="116" t="s">
        <v>660</v>
      </c>
      <c r="F26" s="116" t="s">
        <v>200</v>
      </c>
      <c r="G26" s="116" t="s">
        <v>536</v>
      </c>
      <c r="H26" s="116" t="s">
        <v>521</v>
      </c>
      <c r="I26" s="116" t="s">
        <v>742</v>
      </c>
      <c r="J26" s="117">
        <v>2.97</v>
      </c>
      <c r="K26" s="117" t="s">
        <v>257</v>
      </c>
      <c r="L26" s="116">
        <v>3.8E-3</v>
      </c>
      <c r="M26" s="116">
        <v>1.9900000000000001E-2</v>
      </c>
      <c r="N26" s="70">
        <v>642353.98896579584</v>
      </c>
      <c r="O26" s="61">
        <v>103.8</v>
      </c>
      <c r="P26" s="85">
        <v>0</v>
      </c>
      <c r="Q26" s="85">
        <v>666.76344052184595</v>
      </c>
      <c r="R26" s="25">
        <v>2.1411799632193194E-4</v>
      </c>
      <c r="S26" s="25">
        <v>3.1805525409653221E-3</v>
      </c>
      <c r="T26" s="25">
        <v>1.1574727551315511E-3</v>
      </c>
    </row>
    <row r="27" spans="1:20" x14ac:dyDescent="0.25">
      <c r="A27" s="17" t="s">
        <v>798</v>
      </c>
      <c r="B27" s="116" t="s">
        <v>799</v>
      </c>
      <c r="C27" s="116" t="s">
        <v>400</v>
      </c>
      <c r="D27" s="116" t="s">
        <v>251</v>
      </c>
      <c r="E27" s="116" t="s">
        <v>660</v>
      </c>
      <c r="F27" s="116" t="s">
        <v>200</v>
      </c>
      <c r="G27" s="116" t="s">
        <v>536</v>
      </c>
      <c r="H27" s="116" t="s">
        <v>521</v>
      </c>
      <c r="I27" s="116" t="s">
        <v>800</v>
      </c>
      <c r="J27" s="117">
        <v>6.96</v>
      </c>
      <c r="K27" s="117" t="s">
        <v>257</v>
      </c>
      <c r="L27" s="116">
        <v>2E-3</v>
      </c>
      <c r="M27" s="116">
        <v>2.0099999999999996E-2</v>
      </c>
      <c r="N27" s="70">
        <v>117087.96438724923</v>
      </c>
      <c r="O27" s="61">
        <v>97.6</v>
      </c>
      <c r="P27" s="85">
        <v>0.2589243188</v>
      </c>
      <c r="Q27" s="85">
        <v>114.53677756076033</v>
      </c>
      <c r="R27" s="25">
        <v>1.2216871698940459E-4</v>
      </c>
      <c r="S27" s="25">
        <v>5.4635604888555751E-4</v>
      </c>
      <c r="T27" s="25">
        <v>1.9883093677629319E-4</v>
      </c>
    </row>
    <row r="28" spans="1:20" x14ac:dyDescent="0.25">
      <c r="A28" s="17" t="s">
        <v>989</v>
      </c>
      <c r="B28" s="116" t="s">
        <v>990</v>
      </c>
      <c r="C28" s="116" t="s">
        <v>400</v>
      </c>
      <c r="D28" s="116" t="s">
        <v>251</v>
      </c>
      <c r="E28" s="116" t="s">
        <v>660</v>
      </c>
      <c r="F28" s="116" t="s">
        <v>200</v>
      </c>
      <c r="G28" s="116" t="s">
        <v>536</v>
      </c>
      <c r="H28" s="116" t="s">
        <v>521</v>
      </c>
      <c r="I28" s="116" t="s">
        <v>991</v>
      </c>
      <c r="J28" s="117">
        <v>4.21</v>
      </c>
      <c r="K28" s="117" t="s">
        <v>257</v>
      </c>
      <c r="L28" s="116">
        <v>1.6399999999999998E-2</v>
      </c>
      <c r="M28" s="116">
        <v>2.0099999999999996E-2</v>
      </c>
      <c r="N28" s="70">
        <v>1354430.4343606092</v>
      </c>
      <c r="O28" s="61">
        <v>101.9</v>
      </c>
      <c r="P28" s="85">
        <v>0</v>
      </c>
      <c r="Q28" s="85">
        <v>1380.1646126134606</v>
      </c>
      <c r="R28" s="25">
        <v>1.1193639953393465E-3</v>
      </c>
      <c r="S28" s="25">
        <v>6.5835734217259282E-3</v>
      </c>
      <c r="T28" s="25">
        <v>2.3959066133657208E-3</v>
      </c>
    </row>
    <row r="29" spans="1:20" x14ac:dyDescent="0.25">
      <c r="A29" s="17" t="s">
        <v>1036</v>
      </c>
      <c r="B29" s="116" t="s">
        <v>1037</v>
      </c>
      <c r="C29" s="116" t="s">
        <v>400</v>
      </c>
      <c r="D29" s="116" t="s">
        <v>251</v>
      </c>
      <c r="E29" s="116" t="s">
        <v>660</v>
      </c>
      <c r="F29" s="116" t="s">
        <v>200</v>
      </c>
      <c r="G29" s="116" t="s">
        <v>255</v>
      </c>
      <c r="H29" s="116" t="s">
        <v>256</v>
      </c>
      <c r="I29" s="116" t="s">
        <v>479</v>
      </c>
      <c r="J29" s="117">
        <v>5.14</v>
      </c>
      <c r="K29" s="117" t="s">
        <v>257</v>
      </c>
      <c r="L29" s="116">
        <v>2.06E-2</v>
      </c>
      <c r="M29" s="116">
        <v>2.0299999999999999E-2</v>
      </c>
      <c r="N29" s="70">
        <v>2626375.4790726216</v>
      </c>
      <c r="O29" s="61">
        <v>100.42</v>
      </c>
      <c r="P29" s="85">
        <v>0</v>
      </c>
      <c r="Q29" s="85">
        <v>2637.4062560847265</v>
      </c>
      <c r="R29" s="25">
        <v>1.3131240530197394E-3</v>
      </c>
      <c r="S29" s="25">
        <v>1.2580787517058347E-2</v>
      </c>
      <c r="T29" s="25">
        <v>4.5784242208036265E-3</v>
      </c>
    </row>
    <row r="30" spans="1:20" x14ac:dyDescent="0.25">
      <c r="A30" s="17" t="s">
        <v>743</v>
      </c>
      <c r="B30" s="116" t="s">
        <v>744</v>
      </c>
      <c r="C30" s="116" t="s">
        <v>400</v>
      </c>
      <c r="D30" s="116" t="s">
        <v>251</v>
      </c>
      <c r="E30" s="116" t="s">
        <v>745</v>
      </c>
      <c r="F30" s="116" t="s">
        <v>204</v>
      </c>
      <c r="G30" s="116" t="s">
        <v>255</v>
      </c>
      <c r="H30" s="116" t="s">
        <v>256</v>
      </c>
      <c r="I30" s="116" t="s">
        <v>746</v>
      </c>
      <c r="J30" s="117">
        <v>2.46</v>
      </c>
      <c r="K30" s="117" t="s">
        <v>257</v>
      </c>
      <c r="L30" s="116">
        <v>1E-3</v>
      </c>
      <c r="M30" s="116">
        <v>2.0099999999999996E-2</v>
      </c>
      <c r="N30" s="70">
        <v>454186.85758112516</v>
      </c>
      <c r="O30" s="61">
        <v>103.83</v>
      </c>
      <c r="P30" s="85">
        <v>0</v>
      </c>
      <c r="Q30" s="85">
        <v>471.58221422216849</v>
      </c>
      <c r="R30" s="25">
        <v>4.2427425012459111E-4</v>
      </c>
      <c r="S30" s="25">
        <v>2.2495114737311819E-3</v>
      </c>
      <c r="T30" s="25">
        <v>8.1864651178169484E-4</v>
      </c>
    </row>
    <row r="31" spans="1:20" x14ac:dyDescent="0.25">
      <c r="A31" s="17" t="s">
        <v>747</v>
      </c>
      <c r="B31" s="116" t="s">
        <v>748</v>
      </c>
      <c r="C31" s="116" t="s">
        <v>400</v>
      </c>
      <c r="D31" s="116" t="s">
        <v>251</v>
      </c>
      <c r="E31" s="116" t="s">
        <v>745</v>
      </c>
      <c r="F31" s="116" t="s">
        <v>204</v>
      </c>
      <c r="G31" s="116" t="s">
        <v>255</v>
      </c>
      <c r="H31" s="116" t="s">
        <v>256</v>
      </c>
      <c r="I31" s="116" t="s">
        <v>749</v>
      </c>
      <c r="J31" s="117">
        <v>12.64</v>
      </c>
      <c r="K31" s="117" t="s">
        <v>257</v>
      </c>
      <c r="L31" s="116">
        <v>2.07E-2</v>
      </c>
      <c r="M31" s="116">
        <v>2.3599999999999999E-2</v>
      </c>
      <c r="N31" s="70">
        <v>707005.76190752303</v>
      </c>
      <c r="O31" s="61">
        <v>105.04</v>
      </c>
      <c r="P31" s="85">
        <v>0</v>
      </c>
      <c r="Q31" s="85">
        <v>742.63885222434499</v>
      </c>
      <c r="R31" s="25">
        <v>2.5198409102586395E-4</v>
      </c>
      <c r="S31" s="25">
        <v>3.5424886022741102E-3</v>
      </c>
      <c r="T31" s="25">
        <v>1.2891892178117734E-3</v>
      </c>
    </row>
    <row r="32" spans="1:20" x14ac:dyDescent="0.25">
      <c r="A32" s="17" t="s">
        <v>837</v>
      </c>
      <c r="B32" s="116" t="s">
        <v>838</v>
      </c>
      <c r="C32" s="116" t="s">
        <v>400</v>
      </c>
      <c r="D32" s="116" t="s">
        <v>251</v>
      </c>
      <c r="E32" s="116" t="s">
        <v>839</v>
      </c>
      <c r="F32" s="116" t="s">
        <v>200</v>
      </c>
      <c r="G32" s="116" t="s">
        <v>255</v>
      </c>
      <c r="H32" s="116" t="s">
        <v>256</v>
      </c>
      <c r="I32" s="116" t="s">
        <v>840</v>
      </c>
      <c r="J32" s="117">
        <v>0.09</v>
      </c>
      <c r="K32" s="117" t="s">
        <v>257</v>
      </c>
      <c r="L32" s="116">
        <v>3.5499999999999997E-2</v>
      </c>
      <c r="M32" s="116">
        <v>3.04E-2</v>
      </c>
      <c r="N32" s="70">
        <v>32139.160994284284</v>
      </c>
      <c r="O32" s="61">
        <v>123.1</v>
      </c>
      <c r="P32" s="85">
        <v>0</v>
      </c>
      <c r="Q32" s="85">
        <v>39.563307142736669</v>
      </c>
      <c r="R32" s="25">
        <v>4.509280077488162E-4</v>
      </c>
      <c r="S32" s="25">
        <v>1.8872237050570527E-4</v>
      </c>
      <c r="T32" s="25">
        <v>6.868020550853643E-5</v>
      </c>
    </row>
    <row r="33" spans="1:20" x14ac:dyDescent="0.25">
      <c r="A33" s="17" t="s">
        <v>841</v>
      </c>
      <c r="B33" s="116" t="s">
        <v>842</v>
      </c>
      <c r="C33" s="116" t="s">
        <v>400</v>
      </c>
      <c r="D33" s="116" t="s">
        <v>251</v>
      </c>
      <c r="E33" s="116" t="s">
        <v>839</v>
      </c>
      <c r="F33" s="116" t="s">
        <v>200</v>
      </c>
      <c r="G33" s="116" t="s">
        <v>255</v>
      </c>
      <c r="H33" s="116" t="s">
        <v>256</v>
      </c>
      <c r="I33" s="116" t="s">
        <v>840</v>
      </c>
      <c r="J33" s="117">
        <v>3.46</v>
      </c>
      <c r="K33" s="117" t="s">
        <v>257</v>
      </c>
      <c r="L33" s="116">
        <v>1.4999999999999999E-2</v>
      </c>
      <c r="M33" s="116">
        <v>1.9299999999999998E-2</v>
      </c>
      <c r="N33" s="70">
        <v>20017.262749264799</v>
      </c>
      <c r="O33" s="61">
        <v>109.51000000000002</v>
      </c>
      <c r="P33" s="85">
        <v>0</v>
      </c>
      <c r="Q33" s="85">
        <v>21.920904387123883</v>
      </c>
      <c r="R33" s="25">
        <v>6.1488032599923051E-5</v>
      </c>
      <c r="S33" s="25">
        <v>1.0456570338373315E-4</v>
      </c>
      <c r="T33" s="25">
        <v>3.8053750481702163E-5</v>
      </c>
    </row>
    <row r="34" spans="1:20" x14ac:dyDescent="0.25">
      <c r="A34" s="17" t="s">
        <v>683</v>
      </c>
      <c r="B34" s="116" t="s">
        <v>684</v>
      </c>
      <c r="C34" s="116" t="s">
        <v>400</v>
      </c>
      <c r="D34" s="116" t="s">
        <v>251</v>
      </c>
      <c r="E34" s="116" t="s">
        <v>685</v>
      </c>
      <c r="F34" s="116" t="s">
        <v>223</v>
      </c>
      <c r="G34" s="116" t="s">
        <v>536</v>
      </c>
      <c r="H34" s="116" t="s">
        <v>521</v>
      </c>
      <c r="I34" s="116" t="s">
        <v>686</v>
      </c>
      <c r="J34" s="117">
        <v>2.39</v>
      </c>
      <c r="K34" s="117" t="s">
        <v>257</v>
      </c>
      <c r="L34" s="116">
        <v>8.3000000000000001E-3</v>
      </c>
      <c r="M34" s="116">
        <v>2.0400000000000001E-2</v>
      </c>
      <c r="N34" s="70">
        <v>766712.38937986153</v>
      </c>
      <c r="O34" s="61">
        <v>108.31</v>
      </c>
      <c r="P34" s="85">
        <v>0</v>
      </c>
      <c r="Q34" s="85">
        <v>830.42618887995502</v>
      </c>
      <c r="R34" s="25">
        <v>5.5628210569425853E-4</v>
      </c>
      <c r="S34" s="25">
        <v>3.9612461700946431E-3</v>
      </c>
      <c r="T34" s="25">
        <v>1.4415842716631112E-3</v>
      </c>
    </row>
    <row r="35" spans="1:20" x14ac:dyDescent="0.25">
      <c r="A35" s="17" t="s">
        <v>687</v>
      </c>
      <c r="B35" s="116" t="s">
        <v>688</v>
      </c>
      <c r="C35" s="116" t="s">
        <v>400</v>
      </c>
      <c r="D35" s="116" t="s">
        <v>251</v>
      </c>
      <c r="E35" s="116" t="s">
        <v>685</v>
      </c>
      <c r="F35" s="116" t="s">
        <v>223</v>
      </c>
      <c r="G35" s="116" t="s">
        <v>536</v>
      </c>
      <c r="H35" s="116" t="s">
        <v>521</v>
      </c>
      <c r="I35" s="116" t="s">
        <v>686</v>
      </c>
      <c r="J35" s="117">
        <v>6.17</v>
      </c>
      <c r="K35" s="117" t="s">
        <v>257</v>
      </c>
      <c r="L35" s="116">
        <v>1.6500000000000001E-2</v>
      </c>
      <c r="M35" s="116">
        <v>2.2599999999999999E-2</v>
      </c>
      <c r="N35" s="70">
        <v>1135564.2869068454</v>
      </c>
      <c r="O35" s="61">
        <v>107.44</v>
      </c>
      <c r="P35" s="85">
        <v>0</v>
      </c>
      <c r="Q35" s="85">
        <v>1220.0502698009493</v>
      </c>
      <c r="R35" s="25">
        <v>5.3675146760806525E-4</v>
      </c>
      <c r="S35" s="25">
        <v>5.8198061709619142E-3</v>
      </c>
      <c r="T35" s="25">
        <v>2.1179549767759475E-3</v>
      </c>
    </row>
    <row r="36" spans="1:20" x14ac:dyDescent="0.25">
      <c r="A36" s="17" t="s">
        <v>614</v>
      </c>
      <c r="B36" s="116" t="s">
        <v>615</v>
      </c>
      <c r="C36" s="116" t="s">
        <v>400</v>
      </c>
      <c r="D36" s="116" t="s">
        <v>251</v>
      </c>
      <c r="E36" s="116" t="s">
        <v>581</v>
      </c>
      <c r="F36" s="116" t="s">
        <v>223</v>
      </c>
      <c r="G36" s="116" t="s">
        <v>536</v>
      </c>
      <c r="H36" s="116" t="s">
        <v>521</v>
      </c>
      <c r="I36" s="116" t="s">
        <v>616</v>
      </c>
      <c r="J36" s="117">
        <v>3.61</v>
      </c>
      <c r="K36" s="117" t="s">
        <v>257</v>
      </c>
      <c r="L36" s="116">
        <v>1.34E-2</v>
      </c>
      <c r="M36" s="116">
        <v>2.6200000000000001E-2</v>
      </c>
      <c r="N36" s="70">
        <v>2070438.9752885383</v>
      </c>
      <c r="O36" s="61">
        <v>106.90000000000002</v>
      </c>
      <c r="P36" s="85">
        <v>169.97559496000002</v>
      </c>
      <c r="Q36" s="85">
        <v>2235.7215766585859</v>
      </c>
      <c r="R36" s="25">
        <v>6.695158513773796E-4</v>
      </c>
      <c r="S36" s="25">
        <v>1.0664696816560808E-2</v>
      </c>
      <c r="T36" s="25">
        <v>3.8811168336055197E-3</v>
      </c>
    </row>
    <row r="37" spans="1:20" x14ac:dyDescent="0.25">
      <c r="A37" s="17" t="s">
        <v>728</v>
      </c>
      <c r="B37" s="116" t="s">
        <v>729</v>
      </c>
      <c r="C37" s="116" t="s">
        <v>400</v>
      </c>
      <c r="D37" s="116" t="s">
        <v>251</v>
      </c>
      <c r="E37" s="116" t="s">
        <v>581</v>
      </c>
      <c r="F37" s="116" t="s">
        <v>223</v>
      </c>
      <c r="G37" s="116" t="s">
        <v>536</v>
      </c>
      <c r="H37" s="116" t="s">
        <v>521</v>
      </c>
      <c r="I37" s="116" t="s">
        <v>730</v>
      </c>
      <c r="J37" s="117">
        <v>3.59</v>
      </c>
      <c r="K37" s="117" t="s">
        <v>257</v>
      </c>
      <c r="L37" s="116">
        <v>1.77E-2</v>
      </c>
      <c r="M37" s="116">
        <v>2.5499999999999998E-2</v>
      </c>
      <c r="N37" s="70">
        <v>1725840.3779735365</v>
      </c>
      <c r="O37" s="61">
        <v>107.51000000000002</v>
      </c>
      <c r="P37" s="85">
        <v>0</v>
      </c>
      <c r="Q37" s="85">
        <v>1855.4509903097346</v>
      </c>
      <c r="R37" s="25">
        <v>6.2601161706212687E-4</v>
      </c>
      <c r="S37" s="25">
        <v>8.8507542603828426E-3</v>
      </c>
      <c r="T37" s="25">
        <v>3.2209833941772756E-3</v>
      </c>
    </row>
    <row r="38" spans="1:20" x14ac:dyDescent="0.25">
      <c r="A38" s="17" t="s">
        <v>731</v>
      </c>
      <c r="B38" s="116" t="s">
        <v>732</v>
      </c>
      <c r="C38" s="116" t="s">
        <v>400</v>
      </c>
      <c r="D38" s="116" t="s">
        <v>251</v>
      </c>
      <c r="E38" s="116" t="s">
        <v>581</v>
      </c>
      <c r="F38" s="116" t="s">
        <v>223</v>
      </c>
      <c r="G38" s="116" t="s">
        <v>536</v>
      </c>
      <c r="H38" s="116" t="s">
        <v>521</v>
      </c>
      <c r="I38" s="116" t="s">
        <v>730</v>
      </c>
      <c r="J38" s="117">
        <v>6.59</v>
      </c>
      <c r="K38" s="117" t="s">
        <v>257</v>
      </c>
      <c r="L38" s="116">
        <v>2.4799999999999999E-2</v>
      </c>
      <c r="M38" s="116">
        <v>2.81E-2</v>
      </c>
      <c r="N38" s="70">
        <v>3096404.578573795</v>
      </c>
      <c r="O38" s="61">
        <v>108.2</v>
      </c>
      <c r="P38" s="85">
        <v>0</v>
      </c>
      <c r="Q38" s="85">
        <v>3350.3097539798709</v>
      </c>
      <c r="R38" s="25">
        <v>9.3987372205524831E-4</v>
      </c>
      <c r="S38" s="25">
        <v>1.5981434424031611E-2</v>
      </c>
      <c r="T38" s="25">
        <v>5.8159941379631397E-3</v>
      </c>
    </row>
    <row r="39" spans="1:20" x14ac:dyDescent="0.25">
      <c r="A39" s="17" t="s">
        <v>986</v>
      </c>
      <c r="B39" s="116" t="s">
        <v>987</v>
      </c>
      <c r="C39" s="116" t="s">
        <v>400</v>
      </c>
      <c r="D39" s="116" t="s">
        <v>251</v>
      </c>
      <c r="E39" s="116" t="s">
        <v>915</v>
      </c>
      <c r="F39" s="116" t="s">
        <v>200</v>
      </c>
      <c r="G39" s="116" t="s">
        <v>255</v>
      </c>
      <c r="H39" s="116" t="s">
        <v>256</v>
      </c>
      <c r="I39" s="116" t="s">
        <v>988</v>
      </c>
      <c r="J39" s="117">
        <v>4.6500000000000004</v>
      </c>
      <c r="K39" s="117" t="s">
        <v>257</v>
      </c>
      <c r="L39" s="116">
        <v>1.3899999999999999E-2</v>
      </c>
      <c r="M39" s="116">
        <v>1.9699999999999999E-2</v>
      </c>
      <c r="N39" s="70">
        <v>1855221.8637069864</v>
      </c>
      <c r="O39" s="61">
        <v>100.65000000000002</v>
      </c>
      <c r="P39" s="85">
        <v>0</v>
      </c>
      <c r="Q39" s="85">
        <v>1867.280805787188</v>
      </c>
      <c r="R39" s="25">
        <v>9.2761093185349318E-4</v>
      </c>
      <c r="S39" s="25">
        <v>8.9071840934980447E-3</v>
      </c>
      <c r="T39" s="25">
        <v>3.2415194468178783E-3</v>
      </c>
    </row>
    <row r="40" spans="1:20" x14ac:dyDescent="0.25">
      <c r="A40" s="17" t="s">
        <v>913</v>
      </c>
      <c r="B40" s="116" t="s">
        <v>914</v>
      </c>
      <c r="C40" s="116" t="s">
        <v>400</v>
      </c>
      <c r="D40" s="116" t="s">
        <v>251</v>
      </c>
      <c r="E40" s="116" t="s">
        <v>915</v>
      </c>
      <c r="F40" s="116" t="s">
        <v>200</v>
      </c>
      <c r="G40" s="116" t="s">
        <v>536</v>
      </c>
      <c r="H40" s="116" t="s">
        <v>521</v>
      </c>
      <c r="I40" s="116" t="s">
        <v>916</v>
      </c>
      <c r="J40" s="117">
        <v>4.3099999999999996</v>
      </c>
      <c r="K40" s="117" t="s">
        <v>257</v>
      </c>
      <c r="L40" s="116">
        <v>1E-3</v>
      </c>
      <c r="M40" s="116">
        <v>0.02</v>
      </c>
      <c r="N40" s="70">
        <v>3074612.2529173824</v>
      </c>
      <c r="O40" s="61">
        <v>99.3</v>
      </c>
      <c r="P40" s="85">
        <v>0</v>
      </c>
      <c r="Q40" s="85">
        <v>3053.0899671099855</v>
      </c>
      <c r="R40" s="25">
        <v>1.0359613386798315E-3</v>
      </c>
      <c r="S40" s="25">
        <v>1.4563655507397666E-2</v>
      </c>
      <c r="T40" s="25">
        <v>5.3000333268565097E-3</v>
      </c>
    </row>
    <row r="41" spans="1:20" x14ac:dyDescent="0.25">
      <c r="A41" s="17" t="s">
        <v>533</v>
      </c>
      <c r="B41" s="116" t="s">
        <v>534</v>
      </c>
      <c r="C41" s="116" t="s">
        <v>400</v>
      </c>
      <c r="D41" s="116" t="s">
        <v>251</v>
      </c>
      <c r="E41" s="116" t="s">
        <v>535</v>
      </c>
      <c r="F41" s="116" t="s">
        <v>200</v>
      </c>
      <c r="G41" s="116" t="s">
        <v>536</v>
      </c>
      <c r="H41" s="116" t="s">
        <v>521</v>
      </c>
      <c r="I41" s="116" t="s">
        <v>537</v>
      </c>
      <c r="J41" s="117">
        <v>0.11</v>
      </c>
      <c r="K41" s="117" t="s">
        <v>257</v>
      </c>
      <c r="L41" s="116">
        <v>0.05</v>
      </c>
      <c r="M41" s="116">
        <v>4.2599999999999999E-2</v>
      </c>
      <c r="N41" s="70">
        <v>415116.38181502669</v>
      </c>
      <c r="O41" s="61">
        <v>116.40000000000002</v>
      </c>
      <c r="P41" s="85">
        <v>0</v>
      </c>
      <c r="Q41" s="85">
        <v>483.19546842258455</v>
      </c>
      <c r="R41" s="25">
        <v>3.9514655717753618E-4</v>
      </c>
      <c r="S41" s="25">
        <v>2.3049082800214319E-3</v>
      </c>
      <c r="T41" s="25">
        <v>8.3880662332722013E-4</v>
      </c>
    </row>
    <row r="42" spans="1:20" x14ac:dyDescent="0.25">
      <c r="A42" s="17" t="s">
        <v>722</v>
      </c>
      <c r="B42" s="116" t="s">
        <v>723</v>
      </c>
      <c r="C42" s="116" t="s">
        <v>400</v>
      </c>
      <c r="D42" s="116" t="s">
        <v>251</v>
      </c>
      <c r="E42" s="116" t="s">
        <v>535</v>
      </c>
      <c r="F42" s="116" t="s">
        <v>200</v>
      </c>
      <c r="G42" s="116" t="s">
        <v>536</v>
      </c>
      <c r="H42" s="116" t="s">
        <v>521</v>
      </c>
      <c r="I42" s="116" t="s">
        <v>724</v>
      </c>
      <c r="J42" s="117">
        <v>3.74</v>
      </c>
      <c r="K42" s="117" t="s">
        <v>257</v>
      </c>
      <c r="L42" s="116">
        <v>1.7500000000000002E-2</v>
      </c>
      <c r="M42" s="116">
        <v>2.0199999999999999E-2</v>
      </c>
      <c r="N42" s="70">
        <v>690646.21026262734</v>
      </c>
      <c r="O42" s="61">
        <v>109.82000000000001</v>
      </c>
      <c r="P42" s="85">
        <v>0</v>
      </c>
      <c r="Q42" s="85">
        <v>758.46766809889334</v>
      </c>
      <c r="R42" s="25">
        <v>2.0916404058764554E-4</v>
      </c>
      <c r="S42" s="25">
        <v>3.6179942126460061E-3</v>
      </c>
      <c r="T42" s="25">
        <v>1.3166673637437761E-3</v>
      </c>
    </row>
    <row r="43" spans="1:20" x14ac:dyDescent="0.25">
      <c r="A43" s="17" t="s">
        <v>596</v>
      </c>
      <c r="B43" s="116" t="s">
        <v>597</v>
      </c>
      <c r="C43" s="116" t="s">
        <v>400</v>
      </c>
      <c r="D43" s="116" t="s">
        <v>251</v>
      </c>
      <c r="E43" s="116" t="s">
        <v>598</v>
      </c>
      <c r="F43" s="116" t="s">
        <v>225</v>
      </c>
      <c r="G43" s="116" t="s">
        <v>599</v>
      </c>
      <c r="H43" s="116" t="s">
        <v>521</v>
      </c>
      <c r="I43" s="116" t="s">
        <v>600</v>
      </c>
      <c r="J43" s="117">
        <v>4.45</v>
      </c>
      <c r="K43" s="117" t="s">
        <v>257</v>
      </c>
      <c r="L43" s="116">
        <v>3.85E-2</v>
      </c>
      <c r="M43" s="116">
        <v>2.2099999999999998E-2</v>
      </c>
      <c r="N43" s="70">
        <v>863736.69614446245</v>
      </c>
      <c r="O43" s="61">
        <v>120.55</v>
      </c>
      <c r="P43" s="85">
        <v>0</v>
      </c>
      <c r="Q43" s="85">
        <v>1041.2345871535579</v>
      </c>
      <c r="R43" s="25">
        <v>3.3444056224292195E-4</v>
      </c>
      <c r="S43" s="25">
        <v>4.9668309787955778E-3</v>
      </c>
      <c r="T43" s="25">
        <v>1.8075386157759867E-3</v>
      </c>
    </row>
    <row r="44" spans="1:20" x14ac:dyDescent="0.25">
      <c r="A44" s="17" t="s">
        <v>633</v>
      </c>
      <c r="B44" s="116" t="s">
        <v>634</v>
      </c>
      <c r="C44" s="116" t="s">
        <v>400</v>
      </c>
      <c r="D44" s="116" t="s">
        <v>251</v>
      </c>
      <c r="E44" s="116" t="s">
        <v>598</v>
      </c>
      <c r="F44" s="116" t="s">
        <v>225</v>
      </c>
      <c r="G44" s="116" t="s">
        <v>599</v>
      </c>
      <c r="H44" s="116" t="s">
        <v>521</v>
      </c>
      <c r="I44" s="116" t="s">
        <v>635</v>
      </c>
      <c r="J44" s="117">
        <v>2.0699999999999998</v>
      </c>
      <c r="K44" s="117" t="s">
        <v>257</v>
      </c>
      <c r="L44" s="116">
        <v>4.4999999999999998E-2</v>
      </c>
      <c r="M44" s="116">
        <v>2.2099999999999998E-2</v>
      </c>
      <c r="N44" s="70">
        <v>1856595.360991969</v>
      </c>
      <c r="O44" s="61">
        <v>119.10000000000001</v>
      </c>
      <c r="P44" s="85">
        <v>0</v>
      </c>
      <c r="Q44" s="85">
        <v>2211.2050749044602</v>
      </c>
      <c r="R44" s="25">
        <v>6.2816101662270388E-4</v>
      </c>
      <c r="S44" s="25">
        <v>1.0547749759762616E-2</v>
      </c>
      <c r="T44" s="25">
        <v>3.8385572373425244E-3</v>
      </c>
    </row>
    <row r="45" spans="1:20" x14ac:dyDescent="0.25">
      <c r="A45" s="17" t="s">
        <v>715</v>
      </c>
      <c r="B45" s="116" t="s">
        <v>716</v>
      </c>
      <c r="C45" s="116" t="s">
        <v>400</v>
      </c>
      <c r="D45" s="116" t="s">
        <v>251</v>
      </c>
      <c r="E45" s="116" t="s">
        <v>598</v>
      </c>
      <c r="F45" s="116" t="s">
        <v>225</v>
      </c>
      <c r="G45" s="116" t="s">
        <v>599</v>
      </c>
      <c r="H45" s="116" t="s">
        <v>521</v>
      </c>
      <c r="I45" s="116" t="s">
        <v>717</v>
      </c>
      <c r="J45" s="117">
        <v>6.84</v>
      </c>
      <c r="K45" s="117" t="s">
        <v>257</v>
      </c>
      <c r="L45" s="116">
        <v>2.3900000000000001E-2</v>
      </c>
      <c r="M45" s="116">
        <v>2.41E-2</v>
      </c>
      <c r="N45" s="70">
        <v>2082344.888021179</v>
      </c>
      <c r="O45" s="61">
        <v>110.80000000000001</v>
      </c>
      <c r="P45" s="85">
        <v>0</v>
      </c>
      <c r="Q45" s="85">
        <v>2307.2381359151414</v>
      </c>
      <c r="R45" s="25">
        <v>5.3542443949707724E-4</v>
      </c>
      <c r="S45" s="25">
        <v>1.1005840557265173E-2</v>
      </c>
      <c r="T45" s="25">
        <v>4.0052665152608708E-3</v>
      </c>
    </row>
    <row r="46" spans="1:20" x14ac:dyDescent="0.25">
      <c r="A46" s="17" t="s">
        <v>880</v>
      </c>
      <c r="B46" s="116" t="s">
        <v>881</v>
      </c>
      <c r="C46" s="116" t="s">
        <v>400</v>
      </c>
      <c r="D46" s="116" t="s">
        <v>251</v>
      </c>
      <c r="E46" s="116" t="s">
        <v>598</v>
      </c>
      <c r="F46" s="116" t="s">
        <v>225</v>
      </c>
      <c r="G46" s="116" t="s">
        <v>599</v>
      </c>
      <c r="H46" s="116" t="s">
        <v>521</v>
      </c>
      <c r="I46" s="116" t="s">
        <v>882</v>
      </c>
      <c r="J46" s="117">
        <v>3.96</v>
      </c>
      <c r="K46" s="117" t="s">
        <v>257</v>
      </c>
      <c r="L46" s="116">
        <v>0.01</v>
      </c>
      <c r="M46" s="116">
        <v>2.06E-2</v>
      </c>
      <c r="N46" s="70">
        <v>752878.79087262438</v>
      </c>
      <c r="O46" s="61">
        <v>105.39</v>
      </c>
      <c r="P46" s="85">
        <v>0</v>
      </c>
      <c r="Q46" s="85">
        <v>793.45895768586877</v>
      </c>
      <c r="R46" s="25">
        <v>6.2649005973219223E-4</v>
      </c>
      <c r="S46" s="25">
        <v>3.7849074359031253E-3</v>
      </c>
      <c r="T46" s="25">
        <v>1.3774107427330976E-3</v>
      </c>
    </row>
    <row r="47" spans="1:20" x14ac:dyDescent="0.25">
      <c r="A47" s="17" t="s">
        <v>883</v>
      </c>
      <c r="B47" s="116" t="s">
        <v>884</v>
      </c>
      <c r="C47" s="116" t="s">
        <v>400</v>
      </c>
      <c r="D47" s="116" t="s">
        <v>251</v>
      </c>
      <c r="E47" s="116" t="s">
        <v>598</v>
      </c>
      <c r="F47" s="116" t="s">
        <v>200</v>
      </c>
      <c r="G47" s="116" t="s">
        <v>599</v>
      </c>
      <c r="H47" s="116" t="s">
        <v>521</v>
      </c>
      <c r="I47" s="116" t="s">
        <v>882</v>
      </c>
      <c r="J47" s="117">
        <v>11.91</v>
      </c>
      <c r="K47" s="117" t="s">
        <v>257</v>
      </c>
      <c r="L47" s="116">
        <v>1.2500000000000001E-2</v>
      </c>
      <c r="M47" s="116">
        <v>2.5600000000000001E-2</v>
      </c>
      <c r="N47" s="70">
        <v>3185303.2211332498</v>
      </c>
      <c r="O47" s="61">
        <v>93.45</v>
      </c>
      <c r="P47" s="85">
        <v>0</v>
      </c>
      <c r="Q47" s="85">
        <v>2976.6658601305339</v>
      </c>
      <c r="R47" s="25">
        <v>7.4217158565027255E-4</v>
      </c>
      <c r="S47" s="25">
        <v>1.419910209478965E-2</v>
      </c>
      <c r="T47" s="25">
        <v>5.1673643526926874E-3</v>
      </c>
    </row>
    <row r="48" spans="1:20" x14ac:dyDescent="0.25">
      <c r="A48" s="17" t="s">
        <v>1032</v>
      </c>
      <c r="B48" s="116" t="s">
        <v>1033</v>
      </c>
      <c r="C48" s="116" t="s">
        <v>400</v>
      </c>
      <c r="D48" s="116" t="s">
        <v>251</v>
      </c>
      <c r="E48" s="116" t="s">
        <v>598</v>
      </c>
      <c r="F48" s="116" t="s">
        <v>225</v>
      </c>
      <c r="G48" s="116" t="s">
        <v>599</v>
      </c>
      <c r="H48" s="116" t="s">
        <v>521</v>
      </c>
      <c r="I48" s="116" t="s">
        <v>479</v>
      </c>
      <c r="J48" s="117">
        <v>8.7100000000000009</v>
      </c>
      <c r="K48" s="117" t="s">
        <v>257</v>
      </c>
      <c r="L48" s="116">
        <v>1.4999999999999999E-2</v>
      </c>
      <c r="M48" s="116">
        <v>2.4500000000000001E-2</v>
      </c>
      <c r="N48" s="70">
        <v>1574708.9091658606</v>
      </c>
      <c r="O48" s="61">
        <v>105.31000000000002</v>
      </c>
      <c r="P48" s="85">
        <v>0</v>
      </c>
      <c r="Q48" s="85">
        <v>1658.3259522031276</v>
      </c>
      <c r="R48" s="25">
        <v>1.4140197093907014E-3</v>
      </c>
      <c r="S48" s="25">
        <v>7.9104409457428602E-3</v>
      </c>
      <c r="T48" s="25">
        <v>2.8787827768427523E-3</v>
      </c>
    </row>
    <row r="49" spans="1:20" x14ac:dyDescent="0.25">
      <c r="A49" s="17" t="s">
        <v>1034</v>
      </c>
      <c r="B49" s="116" t="s">
        <v>1035</v>
      </c>
      <c r="C49" s="116" t="s">
        <v>400</v>
      </c>
      <c r="D49" s="116" t="s">
        <v>251</v>
      </c>
      <c r="E49" s="116" t="s">
        <v>598</v>
      </c>
      <c r="F49" s="116" t="s">
        <v>225</v>
      </c>
      <c r="G49" s="116" t="s">
        <v>599</v>
      </c>
      <c r="H49" s="116" t="s">
        <v>521</v>
      </c>
      <c r="I49" s="116" t="s">
        <v>479</v>
      </c>
      <c r="J49" s="117">
        <v>11.46</v>
      </c>
      <c r="K49" s="117" t="s">
        <v>257</v>
      </c>
      <c r="L49" s="116">
        <v>1.6E-2</v>
      </c>
      <c r="M49" s="116">
        <v>2.58E-2</v>
      </c>
      <c r="N49" s="70">
        <v>1925647.8339262381</v>
      </c>
      <c r="O49" s="61">
        <v>107.79</v>
      </c>
      <c r="P49" s="85">
        <v>0</v>
      </c>
      <c r="Q49" s="85">
        <v>2075.6558001465705</v>
      </c>
      <c r="R49" s="25">
        <v>1.4121607619775026E-3</v>
      </c>
      <c r="S49" s="25">
        <v>9.9011612336733744E-3</v>
      </c>
      <c r="T49" s="25">
        <v>3.6032495060318455E-3</v>
      </c>
    </row>
    <row r="50" spans="1:20" x14ac:dyDescent="0.25">
      <c r="A50" s="17" t="s">
        <v>3001</v>
      </c>
      <c r="B50" s="116" t="s">
        <v>695</v>
      </c>
      <c r="C50" s="116" t="s">
        <v>400</v>
      </c>
      <c r="D50" s="116" t="s">
        <v>251</v>
      </c>
      <c r="E50" s="116" t="s">
        <v>696</v>
      </c>
      <c r="F50" s="116" t="s">
        <v>204</v>
      </c>
      <c r="G50" s="116" t="s">
        <v>599</v>
      </c>
      <c r="H50" s="116" t="s">
        <v>521</v>
      </c>
      <c r="I50" s="116" t="s">
        <v>697</v>
      </c>
      <c r="J50" s="117">
        <v>6.51</v>
      </c>
      <c r="K50" s="117" t="s">
        <v>257</v>
      </c>
      <c r="L50" s="116">
        <v>2.6499999999999999E-2</v>
      </c>
      <c r="M50" s="116">
        <v>2.3099999999999999E-2</v>
      </c>
      <c r="N50" s="70">
        <v>890771.44726444292</v>
      </c>
      <c r="O50" s="61">
        <v>113.62</v>
      </c>
      <c r="P50" s="85">
        <v>0</v>
      </c>
      <c r="Q50" s="85">
        <v>1012.0945183267178</v>
      </c>
      <c r="R50" s="25">
        <v>5.9564097385250833E-4</v>
      </c>
      <c r="S50" s="25">
        <v>4.8278288765228839E-3</v>
      </c>
      <c r="T50" s="25">
        <v>1.7569527052417684E-3</v>
      </c>
    </row>
    <row r="51" spans="1:20" x14ac:dyDescent="0.25">
      <c r="A51" s="17" t="s">
        <v>874</v>
      </c>
      <c r="B51" s="116" t="s">
        <v>875</v>
      </c>
      <c r="C51" s="116" t="s">
        <v>400</v>
      </c>
      <c r="D51" s="116" t="s">
        <v>251</v>
      </c>
      <c r="E51" s="116" t="s">
        <v>581</v>
      </c>
      <c r="F51" s="116" t="s">
        <v>223</v>
      </c>
      <c r="G51" s="116" t="s">
        <v>582</v>
      </c>
      <c r="H51" s="116" t="s">
        <v>256</v>
      </c>
      <c r="I51" s="116" t="s">
        <v>876</v>
      </c>
      <c r="J51" s="117">
        <v>7.97</v>
      </c>
      <c r="K51" s="117" t="s">
        <v>257</v>
      </c>
      <c r="L51" s="116">
        <v>9.0000000000000011E-3</v>
      </c>
      <c r="M51" s="116">
        <v>2.8900000000000002E-2</v>
      </c>
      <c r="N51" s="70">
        <v>1751135.3099101507</v>
      </c>
      <c r="O51" s="61">
        <v>92.96</v>
      </c>
      <c r="P51" s="85">
        <v>8.5754701920000009</v>
      </c>
      <c r="Q51" s="85">
        <v>1636.4308542498557</v>
      </c>
      <c r="R51" s="25">
        <v>9.1990911407155234E-4</v>
      </c>
      <c r="S51" s="25">
        <v>7.8059983425679477E-3</v>
      </c>
      <c r="T51" s="25">
        <v>2.8407738252241481E-3</v>
      </c>
    </row>
    <row r="52" spans="1:20" x14ac:dyDescent="0.25">
      <c r="A52" s="17" t="s">
        <v>579</v>
      </c>
      <c r="B52" s="116" t="s">
        <v>580</v>
      </c>
      <c r="C52" s="116" t="s">
        <v>400</v>
      </c>
      <c r="D52" s="116" t="s">
        <v>251</v>
      </c>
      <c r="E52" s="116" t="s">
        <v>581</v>
      </c>
      <c r="F52" s="116" t="s">
        <v>223</v>
      </c>
      <c r="G52" s="116" t="s">
        <v>582</v>
      </c>
      <c r="H52" s="116" t="s">
        <v>256</v>
      </c>
      <c r="I52" s="116" t="s">
        <v>583</v>
      </c>
      <c r="J52" s="117">
        <v>1.25</v>
      </c>
      <c r="K52" s="117" t="s">
        <v>257</v>
      </c>
      <c r="L52" s="116">
        <v>6.5000000000000006E-3</v>
      </c>
      <c r="M52" s="116">
        <v>2.6499999999999999E-2</v>
      </c>
      <c r="N52" s="70">
        <v>155002.58844157809</v>
      </c>
      <c r="O52" s="61">
        <v>107.94</v>
      </c>
      <c r="P52" s="85">
        <v>0</v>
      </c>
      <c r="Q52" s="85">
        <v>167.30979391980199</v>
      </c>
      <c r="R52" s="25">
        <v>5.1337718861983695E-4</v>
      </c>
      <c r="S52" s="25">
        <v>7.9809053382340572E-4</v>
      </c>
      <c r="T52" s="25">
        <v>2.9044263131355695E-4</v>
      </c>
    </row>
    <row r="53" spans="1:20" x14ac:dyDescent="0.25">
      <c r="A53" s="17" t="s">
        <v>877</v>
      </c>
      <c r="B53" s="116" t="s">
        <v>878</v>
      </c>
      <c r="C53" s="116" t="s">
        <v>400</v>
      </c>
      <c r="D53" s="116" t="s">
        <v>251</v>
      </c>
      <c r="E53" s="116" t="s">
        <v>581</v>
      </c>
      <c r="F53" s="116" t="s">
        <v>223</v>
      </c>
      <c r="G53" s="116" t="s">
        <v>582</v>
      </c>
      <c r="H53" s="116" t="s">
        <v>256</v>
      </c>
      <c r="I53" s="116" t="s">
        <v>879</v>
      </c>
      <c r="J53" s="117">
        <v>11.47</v>
      </c>
      <c r="K53" s="117" t="s">
        <v>257</v>
      </c>
      <c r="L53" s="116">
        <v>1.6899999999999998E-2</v>
      </c>
      <c r="M53" s="116">
        <v>3.0499999999999999E-2</v>
      </c>
      <c r="N53" s="70">
        <v>1967158.2657874189</v>
      </c>
      <c r="O53" s="61">
        <v>93.4</v>
      </c>
      <c r="P53" s="85">
        <v>18.08929886</v>
      </c>
      <c r="Q53" s="85">
        <v>1855.4151190560892</v>
      </c>
      <c r="R53" s="25">
        <v>7.3458714661337344E-4</v>
      </c>
      <c r="S53" s="25">
        <v>8.8505831496110219E-3</v>
      </c>
      <c r="T53" s="25">
        <v>3.2209211232183967E-3</v>
      </c>
    </row>
    <row r="54" spans="1:20" x14ac:dyDescent="0.25">
      <c r="A54" s="17" t="s">
        <v>555</v>
      </c>
      <c r="B54" s="116" t="s">
        <v>556</v>
      </c>
      <c r="C54" s="116" t="s">
        <v>400</v>
      </c>
      <c r="D54" s="116" t="s">
        <v>251</v>
      </c>
      <c r="E54" s="116" t="s">
        <v>557</v>
      </c>
      <c r="F54" s="116" t="s">
        <v>223</v>
      </c>
      <c r="G54" s="116" t="s">
        <v>545</v>
      </c>
      <c r="H54" s="116" t="s">
        <v>256</v>
      </c>
      <c r="I54" s="116" t="s">
        <v>558</v>
      </c>
      <c r="J54" s="117">
        <v>2.78</v>
      </c>
      <c r="K54" s="117" t="s">
        <v>257</v>
      </c>
      <c r="L54" s="116">
        <v>3.2000000000000001E-2</v>
      </c>
      <c r="M54" s="116">
        <v>2.6200000000000001E-2</v>
      </c>
      <c r="N54" s="70">
        <v>1001395.7151505175</v>
      </c>
      <c r="O54" s="61">
        <v>111.95000000000002</v>
      </c>
      <c r="P54" s="85">
        <v>256.09466656000001</v>
      </c>
      <c r="Q54" s="85">
        <v>1152.9446690448729</v>
      </c>
      <c r="R54" s="25">
        <v>7.1383173968005999E-4</v>
      </c>
      <c r="S54" s="25">
        <v>5.4997033038480551E-3</v>
      </c>
      <c r="T54" s="25">
        <v>2.0014625300228644E-3</v>
      </c>
    </row>
    <row r="55" spans="1:20" x14ac:dyDescent="0.25">
      <c r="A55" s="17" t="s">
        <v>750</v>
      </c>
      <c r="B55" s="116" t="s">
        <v>751</v>
      </c>
      <c r="C55" s="116" t="s">
        <v>400</v>
      </c>
      <c r="D55" s="116" t="s">
        <v>251</v>
      </c>
      <c r="E55" s="116" t="s">
        <v>557</v>
      </c>
      <c r="F55" s="116" t="s">
        <v>223</v>
      </c>
      <c r="G55" s="116" t="s">
        <v>545</v>
      </c>
      <c r="H55" s="116" t="s">
        <v>256</v>
      </c>
      <c r="I55" s="116" t="s">
        <v>752</v>
      </c>
      <c r="J55" s="117">
        <v>4.5</v>
      </c>
      <c r="K55" s="117" t="s">
        <v>257</v>
      </c>
      <c r="L55" s="116">
        <v>1.1399999999999999E-2</v>
      </c>
      <c r="M55" s="116">
        <v>2.7900000000000001E-2</v>
      </c>
      <c r="N55" s="70">
        <v>798465.862064827</v>
      </c>
      <c r="O55" s="61">
        <v>102</v>
      </c>
      <c r="P55" s="85">
        <v>0</v>
      </c>
      <c r="Q55" s="85">
        <v>814.43517930612347</v>
      </c>
      <c r="R55" s="25">
        <v>3.3790588508881653E-4</v>
      </c>
      <c r="S55" s="25">
        <v>3.8849668736580471E-3</v>
      </c>
      <c r="T55" s="25">
        <v>1.4138245644208071E-3</v>
      </c>
    </row>
    <row r="56" spans="1:20" x14ac:dyDescent="0.25">
      <c r="A56" s="17" t="s">
        <v>847</v>
      </c>
      <c r="B56" s="116" t="s">
        <v>848</v>
      </c>
      <c r="C56" s="116" t="s">
        <v>400</v>
      </c>
      <c r="D56" s="116" t="s">
        <v>251</v>
      </c>
      <c r="E56" s="116" t="s">
        <v>557</v>
      </c>
      <c r="F56" s="116" t="s">
        <v>223</v>
      </c>
      <c r="G56" s="116" t="s">
        <v>520</v>
      </c>
      <c r="H56" s="116" t="s">
        <v>521</v>
      </c>
      <c r="I56" s="116" t="s">
        <v>849</v>
      </c>
      <c r="J56" s="117">
        <v>6.76</v>
      </c>
      <c r="K56" s="117" t="s">
        <v>257</v>
      </c>
      <c r="L56" s="116">
        <v>9.1999999999999998E-3</v>
      </c>
      <c r="M56" s="116">
        <v>2.9300000000000003E-2</v>
      </c>
      <c r="N56" s="70">
        <v>1584323.1005220886</v>
      </c>
      <c r="O56" s="61">
        <v>97.25</v>
      </c>
      <c r="P56" s="85">
        <v>0</v>
      </c>
      <c r="Q56" s="85">
        <v>1540.7542152269186</v>
      </c>
      <c r="R56" s="25">
        <v>7.9156312853587119E-4</v>
      </c>
      <c r="S56" s="25">
        <v>7.3496077265538797E-3</v>
      </c>
      <c r="T56" s="25">
        <v>2.6746832806002077E-3</v>
      </c>
    </row>
    <row r="57" spans="1:20" x14ac:dyDescent="0.25">
      <c r="A57" s="17" t="s">
        <v>888</v>
      </c>
      <c r="B57" s="116" t="s">
        <v>889</v>
      </c>
      <c r="C57" s="116" t="s">
        <v>400</v>
      </c>
      <c r="D57" s="116" t="s">
        <v>251</v>
      </c>
      <c r="E57" s="116" t="s">
        <v>557</v>
      </c>
      <c r="F57" s="116" t="s">
        <v>223</v>
      </c>
      <c r="G57" s="116" t="s">
        <v>520</v>
      </c>
      <c r="H57" s="116" t="s">
        <v>521</v>
      </c>
      <c r="I57" s="116" t="s">
        <v>890</v>
      </c>
      <c r="J57" s="117">
        <v>8.2799999999999994</v>
      </c>
      <c r="K57" s="117" t="s">
        <v>257</v>
      </c>
      <c r="L57" s="116">
        <v>9.1999999999999998E-3</v>
      </c>
      <c r="M57" s="116">
        <v>2.9300000000000003E-2</v>
      </c>
      <c r="N57" s="70">
        <v>616252.44414341694</v>
      </c>
      <c r="O57" s="61">
        <v>97.0518</v>
      </c>
      <c r="P57" s="85">
        <v>0</v>
      </c>
      <c r="Q57" s="85">
        <v>598.08447788584579</v>
      </c>
      <c r="R57" s="25">
        <v>3.0789345462001573E-4</v>
      </c>
      <c r="S57" s="25">
        <v>2.8529445231174457E-3</v>
      </c>
      <c r="T57" s="25">
        <v>1.0382490195895251E-3</v>
      </c>
    </row>
    <row r="58" spans="1:20" x14ac:dyDescent="0.25">
      <c r="A58" s="17" t="s">
        <v>559</v>
      </c>
      <c r="B58" s="116" t="s">
        <v>560</v>
      </c>
      <c r="C58" s="116" t="s">
        <v>400</v>
      </c>
      <c r="D58" s="116" t="s">
        <v>251</v>
      </c>
      <c r="E58" s="116" t="s">
        <v>561</v>
      </c>
      <c r="F58" s="116" t="s">
        <v>223</v>
      </c>
      <c r="G58" s="116" t="s">
        <v>545</v>
      </c>
      <c r="H58" s="116" t="s">
        <v>256</v>
      </c>
      <c r="I58" s="116" t="s">
        <v>562</v>
      </c>
      <c r="J58" s="117">
        <v>2.87</v>
      </c>
      <c r="K58" s="117" t="s">
        <v>257</v>
      </c>
      <c r="L58" s="116">
        <v>2.3399999999999997E-2</v>
      </c>
      <c r="M58" s="116">
        <v>2.7300000000000001E-2</v>
      </c>
      <c r="N58" s="70">
        <v>1219847.0711570352</v>
      </c>
      <c r="O58" s="61">
        <v>109.87</v>
      </c>
      <c r="P58" s="85">
        <v>0</v>
      </c>
      <c r="Q58" s="85">
        <v>1340.2459770229416</v>
      </c>
      <c r="R58" s="25">
        <v>4.7116499067835965E-4</v>
      </c>
      <c r="S58" s="25">
        <v>6.3931560860664852E-3</v>
      </c>
      <c r="T58" s="25">
        <v>2.3266095729012827E-3</v>
      </c>
    </row>
    <row r="59" spans="1:20" x14ac:dyDescent="0.25">
      <c r="A59" s="17" t="s">
        <v>759</v>
      </c>
      <c r="B59" s="116" t="s">
        <v>760</v>
      </c>
      <c r="C59" s="116" t="s">
        <v>400</v>
      </c>
      <c r="D59" s="116" t="s">
        <v>251</v>
      </c>
      <c r="E59" s="116" t="s">
        <v>561</v>
      </c>
      <c r="F59" s="116" t="s">
        <v>223</v>
      </c>
      <c r="G59" s="116" t="s">
        <v>545</v>
      </c>
      <c r="H59" s="116" t="s">
        <v>256</v>
      </c>
      <c r="I59" s="116" t="s">
        <v>761</v>
      </c>
      <c r="J59" s="117">
        <v>5.7</v>
      </c>
      <c r="K59" s="117" t="s">
        <v>257</v>
      </c>
      <c r="L59" s="116">
        <v>6.5000000000000006E-3</v>
      </c>
      <c r="M59" s="116">
        <v>2.8199999999999999E-2</v>
      </c>
      <c r="N59" s="70">
        <v>2236406.4622466881</v>
      </c>
      <c r="O59" s="61">
        <v>97.17</v>
      </c>
      <c r="P59" s="85">
        <v>0</v>
      </c>
      <c r="Q59" s="85">
        <v>2173.1161593142415</v>
      </c>
      <c r="R59" s="25">
        <v>9.7702070936709013E-4</v>
      </c>
      <c r="S59" s="25">
        <v>1.0366060438032154E-2</v>
      </c>
      <c r="T59" s="25">
        <v>3.7724365123764422E-3</v>
      </c>
    </row>
    <row r="60" spans="1:20" x14ac:dyDescent="0.25">
      <c r="A60" s="17" t="s">
        <v>1023</v>
      </c>
      <c r="B60" s="116" t="s">
        <v>1024</v>
      </c>
      <c r="C60" s="116" t="s">
        <v>400</v>
      </c>
      <c r="D60" s="116" t="s">
        <v>251</v>
      </c>
      <c r="E60" s="116" t="s">
        <v>561</v>
      </c>
      <c r="F60" s="116" t="s">
        <v>223</v>
      </c>
      <c r="G60" s="116" t="s">
        <v>545</v>
      </c>
      <c r="H60" s="116" t="s">
        <v>256</v>
      </c>
      <c r="I60" s="116" t="s">
        <v>1025</v>
      </c>
      <c r="J60" s="117">
        <v>9.1</v>
      </c>
      <c r="K60" s="117" t="s">
        <v>257</v>
      </c>
      <c r="L60" s="116">
        <v>2.6600000000000002E-2</v>
      </c>
      <c r="M60" s="116">
        <v>2.7900000000000001E-2</v>
      </c>
      <c r="N60" s="70">
        <v>208139.26300943911</v>
      </c>
      <c r="O60" s="61">
        <v>100.11000000000001</v>
      </c>
      <c r="P60" s="85">
        <v>0</v>
      </c>
      <c r="Q60" s="85">
        <v>208.36821619874945</v>
      </c>
      <c r="R60" s="25">
        <v>6.9379754336479707E-4</v>
      </c>
      <c r="S60" s="25">
        <v>9.9394480742474151E-4</v>
      </c>
      <c r="T60" s="25">
        <v>3.6171829261762162E-4</v>
      </c>
    </row>
    <row r="61" spans="1:20" x14ac:dyDescent="0.25">
      <c r="A61" s="17" t="s">
        <v>617</v>
      </c>
      <c r="B61" s="116" t="s">
        <v>618</v>
      </c>
      <c r="C61" s="116" t="s">
        <v>400</v>
      </c>
      <c r="D61" s="116" t="s">
        <v>251</v>
      </c>
      <c r="E61" s="116" t="s">
        <v>586</v>
      </c>
      <c r="F61" s="116" t="s">
        <v>223</v>
      </c>
      <c r="G61" s="116" t="s">
        <v>520</v>
      </c>
      <c r="H61" s="116" t="s">
        <v>521</v>
      </c>
      <c r="I61" s="116" t="s">
        <v>619</v>
      </c>
      <c r="J61" s="117">
        <v>2.5099999999999998</v>
      </c>
      <c r="K61" s="117" t="s">
        <v>257</v>
      </c>
      <c r="L61" s="116">
        <v>1.34E-2</v>
      </c>
      <c r="M61" s="116">
        <v>2.4799999999999999E-2</v>
      </c>
      <c r="N61" s="70">
        <v>288332.40722054435</v>
      </c>
      <c r="O61" s="61">
        <v>108.78000000000002</v>
      </c>
      <c r="P61" s="85">
        <v>0</v>
      </c>
      <c r="Q61" s="85">
        <v>313.64799254969779</v>
      </c>
      <c r="R61" s="25">
        <v>5.407758032111963E-4</v>
      </c>
      <c r="S61" s="25">
        <v>1.496143698118567E-3</v>
      </c>
      <c r="T61" s="25">
        <v>5.4447947205060396E-4</v>
      </c>
    </row>
    <row r="62" spans="1:20" x14ac:dyDescent="0.25">
      <c r="A62" s="17" t="s">
        <v>843</v>
      </c>
      <c r="B62" s="116" t="s">
        <v>844</v>
      </c>
      <c r="C62" s="116" t="s">
        <v>400</v>
      </c>
      <c r="D62" s="116" t="s">
        <v>251</v>
      </c>
      <c r="E62" s="116" t="s">
        <v>586</v>
      </c>
      <c r="F62" s="116" t="s">
        <v>223</v>
      </c>
      <c r="G62" s="116" t="s">
        <v>545</v>
      </c>
      <c r="H62" s="116" t="s">
        <v>256</v>
      </c>
      <c r="I62" s="116" t="s">
        <v>420</v>
      </c>
      <c r="J62" s="117">
        <v>4.3899999999999997</v>
      </c>
      <c r="K62" s="117" t="s">
        <v>257</v>
      </c>
      <c r="L62" s="116">
        <v>6.8999999999999999E-3</v>
      </c>
      <c r="M62" s="116">
        <v>2.69E-2</v>
      </c>
      <c r="N62" s="70">
        <v>161076.80347638979</v>
      </c>
      <c r="O62" s="61">
        <v>101.49</v>
      </c>
      <c r="P62" s="85">
        <v>0</v>
      </c>
      <c r="Q62" s="85">
        <v>163.47684779705136</v>
      </c>
      <c r="R62" s="25">
        <v>8.932830716303782E-4</v>
      </c>
      <c r="S62" s="25">
        <v>7.7980685810093891E-4</v>
      </c>
      <c r="T62" s="25">
        <v>2.8378880112529901E-4</v>
      </c>
    </row>
    <row r="63" spans="1:20" x14ac:dyDescent="0.25">
      <c r="A63" s="17" t="s">
        <v>698</v>
      </c>
      <c r="B63" s="116" t="s">
        <v>699</v>
      </c>
      <c r="C63" s="116" t="s">
        <v>400</v>
      </c>
      <c r="D63" s="116" t="s">
        <v>251</v>
      </c>
      <c r="E63" s="116" t="s">
        <v>586</v>
      </c>
      <c r="F63" s="116" t="s">
        <v>223</v>
      </c>
      <c r="G63" s="116" t="s">
        <v>545</v>
      </c>
      <c r="H63" s="116" t="s">
        <v>256</v>
      </c>
      <c r="I63" s="116" t="s">
        <v>700</v>
      </c>
      <c r="J63" s="117">
        <v>3.84</v>
      </c>
      <c r="K63" s="117" t="s">
        <v>257</v>
      </c>
      <c r="L63" s="116">
        <v>1.8200000000000001E-2</v>
      </c>
      <c r="M63" s="116">
        <v>2.52E-2</v>
      </c>
      <c r="N63" s="70">
        <v>385994.8561474813</v>
      </c>
      <c r="O63" s="61">
        <v>107.89</v>
      </c>
      <c r="P63" s="85">
        <v>0</v>
      </c>
      <c r="Q63" s="85">
        <v>416.44985023762405</v>
      </c>
      <c r="R63" s="25">
        <v>1.020070972905606E-3</v>
      </c>
      <c r="S63" s="25">
        <v>1.9865225788643186E-3</v>
      </c>
      <c r="T63" s="25">
        <v>7.2293909088866923E-4</v>
      </c>
    </row>
    <row r="64" spans="1:20" x14ac:dyDescent="0.25">
      <c r="A64" s="17" t="s">
        <v>753</v>
      </c>
      <c r="B64" s="116" t="s">
        <v>754</v>
      </c>
      <c r="C64" s="116" t="s">
        <v>400</v>
      </c>
      <c r="D64" s="116" t="s">
        <v>251</v>
      </c>
      <c r="E64" s="116" t="s">
        <v>586</v>
      </c>
      <c r="F64" s="116" t="s">
        <v>223</v>
      </c>
      <c r="G64" s="116" t="s">
        <v>545</v>
      </c>
      <c r="H64" s="116" t="s">
        <v>256</v>
      </c>
      <c r="I64" s="116" t="s">
        <v>755</v>
      </c>
      <c r="J64" s="117">
        <v>4.88</v>
      </c>
      <c r="K64" s="117" t="s">
        <v>257</v>
      </c>
      <c r="L64" s="116">
        <v>7.8000000000000005E-3</v>
      </c>
      <c r="M64" s="116">
        <v>2.63E-2</v>
      </c>
      <c r="N64" s="70">
        <v>304740.76229987637</v>
      </c>
      <c r="O64" s="61">
        <v>100.36</v>
      </c>
      <c r="P64" s="85">
        <v>0</v>
      </c>
      <c r="Q64" s="85">
        <v>305.83782901312145</v>
      </c>
      <c r="R64" s="25">
        <v>7.7423974161553951E-4</v>
      </c>
      <c r="S64" s="25">
        <v>1.4588881529402486E-3</v>
      </c>
      <c r="T64" s="25">
        <v>5.3092136289627809E-4</v>
      </c>
    </row>
    <row r="65" spans="1:20" x14ac:dyDescent="0.25">
      <c r="A65" s="17" t="s">
        <v>845</v>
      </c>
      <c r="B65" s="116" t="s">
        <v>846</v>
      </c>
      <c r="C65" s="116" t="s">
        <v>400</v>
      </c>
      <c r="D65" s="116" t="s">
        <v>251</v>
      </c>
      <c r="E65" s="116" t="s">
        <v>586</v>
      </c>
      <c r="F65" s="116" t="s">
        <v>223</v>
      </c>
      <c r="G65" s="116" t="s">
        <v>545</v>
      </c>
      <c r="H65" s="116" t="s">
        <v>256</v>
      </c>
      <c r="I65" s="116" t="s">
        <v>420</v>
      </c>
      <c r="J65" s="117">
        <v>4.3899999999999997</v>
      </c>
      <c r="K65" s="117" t="s">
        <v>257</v>
      </c>
      <c r="L65" s="116">
        <v>6.8999999999999999E-3</v>
      </c>
      <c r="M65" s="116">
        <v>2.69E-2</v>
      </c>
      <c r="N65" s="70">
        <v>189613.2733705221</v>
      </c>
      <c r="O65" s="61">
        <v>101.49</v>
      </c>
      <c r="P65" s="85">
        <v>0</v>
      </c>
      <c r="Q65" s="85">
        <v>192.43851110993526</v>
      </c>
      <c r="R65" s="25">
        <v>9.3682447317451633E-4</v>
      </c>
      <c r="S65" s="25">
        <v>9.1795794174205983E-4</v>
      </c>
      <c r="T65" s="25">
        <v>3.3406500733378531E-4</v>
      </c>
    </row>
    <row r="66" spans="1:20" x14ac:dyDescent="0.25">
      <c r="A66" s="17" t="s">
        <v>517</v>
      </c>
      <c r="B66" s="116" t="s">
        <v>518</v>
      </c>
      <c r="C66" s="116" t="s">
        <v>400</v>
      </c>
      <c r="D66" s="116" t="s">
        <v>251</v>
      </c>
      <c r="E66" s="116" t="s">
        <v>519</v>
      </c>
      <c r="F66" s="116" t="s">
        <v>223</v>
      </c>
      <c r="G66" s="116" t="s">
        <v>520</v>
      </c>
      <c r="H66" s="116" t="s">
        <v>521</v>
      </c>
      <c r="I66" s="116" t="s">
        <v>522</v>
      </c>
      <c r="J66" s="117">
        <v>1.68</v>
      </c>
      <c r="K66" s="117" t="s">
        <v>257</v>
      </c>
      <c r="L66" s="116">
        <v>4.7500000000000001E-2</v>
      </c>
      <c r="M66" s="116">
        <v>2.8500000000000001E-2</v>
      </c>
      <c r="N66" s="70">
        <v>944009.00334341417</v>
      </c>
      <c r="O66" s="61">
        <v>139.94</v>
      </c>
      <c r="P66" s="85">
        <v>0</v>
      </c>
      <c r="Q66" s="85">
        <v>1321.0461992699366</v>
      </c>
      <c r="R66" s="25">
        <v>7.313960835896912E-4</v>
      </c>
      <c r="S66" s="25">
        <v>6.3015705278203753E-3</v>
      </c>
      <c r="T66" s="25">
        <v>2.2932795816283792E-3</v>
      </c>
    </row>
    <row r="67" spans="1:20" x14ac:dyDescent="0.25">
      <c r="A67" s="17" t="s">
        <v>770</v>
      </c>
      <c r="B67" s="116" t="s">
        <v>771</v>
      </c>
      <c r="C67" s="116" t="s">
        <v>400</v>
      </c>
      <c r="D67" s="116" t="s">
        <v>251</v>
      </c>
      <c r="E67" s="116" t="s">
        <v>519</v>
      </c>
      <c r="F67" s="116" t="s">
        <v>223</v>
      </c>
      <c r="G67" s="116" t="s">
        <v>520</v>
      </c>
      <c r="H67" s="116" t="s">
        <v>521</v>
      </c>
      <c r="I67" s="116" t="s">
        <v>772</v>
      </c>
      <c r="J67" s="117">
        <v>4.5599999999999996</v>
      </c>
      <c r="K67" s="117" t="s">
        <v>257</v>
      </c>
      <c r="L67" s="116">
        <v>5.0000000000000001E-3</v>
      </c>
      <c r="M67" s="116">
        <v>2.8300000000000002E-2</v>
      </c>
      <c r="N67" s="70">
        <v>1134816.888547559</v>
      </c>
      <c r="O67" s="61">
        <v>99.1</v>
      </c>
      <c r="P67" s="85">
        <v>0</v>
      </c>
      <c r="Q67" s="85">
        <v>1124.6035365087257</v>
      </c>
      <c r="R67" s="25">
        <v>6.357991817851099E-4</v>
      </c>
      <c r="S67" s="25">
        <v>5.3645122366366791E-3</v>
      </c>
      <c r="T67" s="25">
        <v>1.9522635386467198E-3</v>
      </c>
    </row>
    <row r="68" spans="1:20" x14ac:dyDescent="0.25">
      <c r="A68" s="17" t="s">
        <v>942</v>
      </c>
      <c r="B68" s="116" t="s">
        <v>943</v>
      </c>
      <c r="C68" s="116" t="s">
        <v>400</v>
      </c>
      <c r="D68" s="116" t="s">
        <v>251</v>
      </c>
      <c r="E68" s="116" t="s">
        <v>519</v>
      </c>
      <c r="F68" s="116" t="s">
        <v>223</v>
      </c>
      <c r="G68" s="116" t="s">
        <v>520</v>
      </c>
      <c r="H68" s="116" t="s">
        <v>521</v>
      </c>
      <c r="I68" s="116" t="s">
        <v>944</v>
      </c>
      <c r="J68" s="117">
        <v>6.38</v>
      </c>
      <c r="K68" s="117" t="s">
        <v>257</v>
      </c>
      <c r="L68" s="116">
        <v>5.8999999999999999E-3</v>
      </c>
      <c r="M68" s="116">
        <v>3.0600000000000002E-2</v>
      </c>
      <c r="N68" s="70">
        <v>1377865.2453313482</v>
      </c>
      <c r="O68" s="61">
        <v>91.73</v>
      </c>
      <c r="P68" s="85">
        <v>0</v>
      </c>
      <c r="Q68" s="85">
        <v>1263.9157895042381</v>
      </c>
      <c r="R68" s="25">
        <v>1.2532940802271687E-3</v>
      </c>
      <c r="S68" s="25">
        <v>6.0290506820944775E-3</v>
      </c>
      <c r="T68" s="25">
        <v>2.1941036388959121E-3</v>
      </c>
    </row>
    <row r="69" spans="1:20" x14ac:dyDescent="0.25">
      <c r="A69" s="17" t="s">
        <v>756</v>
      </c>
      <c r="B69" s="116" t="s">
        <v>757</v>
      </c>
      <c r="C69" s="116" t="s">
        <v>400</v>
      </c>
      <c r="D69" s="116" t="s">
        <v>251</v>
      </c>
      <c r="E69" s="116" t="s">
        <v>641</v>
      </c>
      <c r="F69" s="116" t="s">
        <v>223</v>
      </c>
      <c r="G69" s="116" t="s">
        <v>520</v>
      </c>
      <c r="H69" s="116" t="s">
        <v>521</v>
      </c>
      <c r="I69" s="116" t="s">
        <v>758</v>
      </c>
      <c r="J69" s="117">
        <v>5.75</v>
      </c>
      <c r="K69" s="117" t="s">
        <v>257</v>
      </c>
      <c r="L69" s="116">
        <v>8.3999999999999995E-3</v>
      </c>
      <c r="M69" s="116">
        <v>2.6699999999999998E-2</v>
      </c>
      <c r="N69" s="70">
        <v>455482.89871265559</v>
      </c>
      <c r="O69" s="61">
        <v>98.94</v>
      </c>
      <c r="P69" s="85">
        <v>0</v>
      </c>
      <c r="Q69" s="85">
        <v>450.65477995216105</v>
      </c>
      <c r="R69" s="25">
        <v>1.02149113862448E-3</v>
      </c>
      <c r="S69" s="25">
        <v>2.1496847582903014E-3</v>
      </c>
      <c r="T69" s="25">
        <v>7.8231738284297893E-4</v>
      </c>
    </row>
    <row r="70" spans="1:20" x14ac:dyDescent="0.25">
      <c r="A70" s="17" t="s">
        <v>1057</v>
      </c>
      <c r="B70" s="116" t="s">
        <v>1058</v>
      </c>
      <c r="C70" s="116" t="s">
        <v>400</v>
      </c>
      <c r="D70" s="116" t="s">
        <v>251</v>
      </c>
      <c r="E70" s="116" t="s">
        <v>735</v>
      </c>
      <c r="F70" s="116" t="s">
        <v>200</v>
      </c>
      <c r="G70" s="116" t="s">
        <v>545</v>
      </c>
      <c r="H70" s="116" t="s">
        <v>256</v>
      </c>
      <c r="I70" s="116" t="s">
        <v>1059</v>
      </c>
      <c r="J70" s="117">
        <v>0.08</v>
      </c>
      <c r="K70" s="117" t="s">
        <v>257</v>
      </c>
      <c r="L70" s="116">
        <v>1.6399999999999998E-2</v>
      </c>
      <c r="M70" s="116">
        <v>6.5199999999999994E-2</v>
      </c>
      <c r="N70" s="70">
        <v>6.6616889211903381</v>
      </c>
      <c r="O70" s="61">
        <v>5516000</v>
      </c>
      <c r="P70" s="85">
        <v>0</v>
      </c>
      <c r="Q70" s="85">
        <v>367.458760892859</v>
      </c>
      <c r="R70" s="25">
        <v>5.4265957324782814E-4</v>
      </c>
      <c r="S70" s="25">
        <v>1.7528284015437996E-3</v>
      </c>
      <c r="T70" s="25">
        <v>6.3789265955404163E-4</v>
      </c>
    </row>
    <row r="71" spans="1:20" x14ac:dyDescent="0.25">
      <c r="A71" s="17" t="s">
        <v>1063</v>
      </c>
      <c r="B71" s="116" t="s">
        <v>1064</v>
      </c>
      <c r="C71" s="116" t="s">
        <v>400</v>
      </c>
      <c r="D71" s="116" t="s">
        <v>251</v>
      </c>
      <c r="E71" s="116" t="s">
        <v>735</v>
      </c>
      <c r="F71" s="116" t="s">
        <v>200</v>
      </c>
      <c r="G71" s="116" t="s">
        <v>545</v>
      </c>
      <c r="H71" s="116" t="s">
        <v>256</v>
      </c>
      <c r="I71" s="116" t="s">
        <v>1065</v>
      </c>
      <c r="J71" s="117">
        <v>1.64</v>
      </c>
      <c r="K71" s="117" t="s">
        <v>257</v>
      </c>
      <c r="L71" s="116">
        <v>2.4199999999999999E-2</v>
      </c>
      <c r="M71" s="116">
        <v>3.49E-2</v>
      </c>
      <c r="N71" s="70">
        <v>31.595262811232988</v>
      </c>
      <c r="O71" s="61">
        <v>5473000</v>
      </c>
      <c r="P71" s="85">
        <v>0</v>
      </c>
      <c r="Q71" s="85">
        <v>1729.2087336587815</v>
      </c>
      <c r="R71" s="25">
        <v>1.0961823131260796E-3</v>
      </c>
      <c r="S71" s="25">
        <v>8.2485614799056566E-3</v>
      </c>
      <c r="T71" s="25">
        <v>3.001832247399582E-3</v>
      </c>
    </row>
    <row r="72" spans="1:20" x14ac:dyDescent="0.25">
      <c r="A72" s="17" t="s">
        <v>1069</v>
      </c>
      <c r="B72" s="116" t="s">
        <v>1070</v>
      </c>
      <c r="C72" s="116" t="s">
        <v>400</v>
      </c>
      <c r="D72" s="116" t="s">
        <v>251</v>
      </c>
      <c r="E72" s="116" t="s">
        <v>735</v>
      </c>
      <c r="F72" s="116" t="s">
        <v>200</v>
      </c>
      <c r="G72" s="116" t="s">
        <v>545</v>
      </c>
      <c r="H72" s="116" t="s">
        <v>256</v>
      </c>
      <c r="I72" s="116" t="s">
        <v>1071</v>
      </c>
      <c r="J72" s="117">
        <v>1.24</v>
      </c>
      <c r="K72" s="117" t="s">
        <v>257</v>
      </c>
      <c r="L72" s="116">
        <v>1.95E-2</v>
      </c>
      <c r="M72" s="116">
        <v>3.1699999999999999E-2</v>
      </c>
      <c r="N72" s="70">
        <v>14.525070108460339</v>
      </c>
      <c r="O72" s="61">
        <v>5440000</v>
      </c>
      <c r="P72" s="85">
        <v>0</v>
      </c>
      <c r="Q72" s="85">
        <v>790.16381390024242</v>
      </c>
      <c r="R72" s="25">
        <v>5.8523994151498207E-4</v>
      </c>
      <c r="S72" s="25">
        <v>3.7691891506713838E-3</v>
      </c>
      <c r="T72" s="25">
        <v>1.3716905143517717E-3</v>
      </c>
    </row>
    <row r="73" spans="1:20" x14ac:dyDescent="0.25">
      <c r="A73" s="17" t="s">
        <v>1094</v>
      </c>
      <c r="B73" s="116" t="s">
        <v>1095</v>
      </c>
      <c r="C73" s="116" t="s">
        <v>400</v>
      </c>
      <c r="D73" s="116" t="s">
        <v>251</v>
      </c>
      <c r="E73" s="116" t="s">
        <v>735</v>
      </c>
      <c r="F73" s="116" t="s">
        <v>200</v>
      </c>
      <c r="G73" s="116" t="s">
        <v>520</v>
      </c>
      <c r="H73" s="116" t="s">
        <v>521</v>
      </c>
      <c r="I73" s="116" t="s">
        <v>1096</v>
      </c>
      <c r="J73" s="117">
        <v>4.59</v>
      </c>
      <c r="K73" s="117" t="s">
        <v>257</v>
      </c>
      <c r="L73" s="116">
        <v>1.4999999999999999E-2</v>
      </c>
      <c r="M73" s="116">
        <v>3.3799999999999997E-2</v>
      </c>
      <c r="N73" s="70">
        <v>5.8543982193624613</v>
      </c>
      <c r="O73" s="61">
        <v>4917657</v>
      </c>
      <c r="P73" s="85">
        <v>0</v>
      </c>
      <c r="Q73" s="85">
        <v>287.89922384235342</v>
      </c>
      <c r="R73" s="25">
        <v>2.0850481584737022E-4</v>
      </c>
      <c r="S73" s="25">
        <v>1.3733185599034653E-3</v>
      </c>
      <c r="T73" s="25">
        <v>4.9978071317202904E-4</v>
      </c>
    </row>
    <row r="74" spans="1:20" x14ac:dyDescent="0.25">
      <c r="A74" s="17" t="s">
        <v>893</v>
      </c>
      <c r="B74" s="116" t="s">
        <v>894</v>
      </c>
      <c r="C74" s="116" t="s">
        <v>400</v>
      </c>
      <c r="D74" s="116" t="s">
        <v>251</v>
      </c>
      <c r="E74" s="116" t="s">
        <v>631</v>
      </c>
      <c r="F74" s="116" t="s">
        <v>223</v>
      </c>
      <c r="G74" s="116" t="s">
        <v>520</v>
      </c>
      <c r="H74" s="116" t="s">
        <v>521</v>
      </c>
      <c r="I74" s="116" t="s">
        <v>895</v>
      </c>
      <c r="J74" s="117">
        <v>6.67</v>
      </c>
      <c r="K74" s="117" t="s">
        <v>257</v>
      </c>
      <c r="L74" s="116">
        <v>3.4999999999999996E-3</v>
      </c>
      <c r="M74" s="116">
        <v>2.9900000000000003E-2</v>
      </c>
      <c r="N74" s="70">
        <v>4233443.304915973</v>
      </c>
      <c r="O74" s="61">
        <v>90.55</v>
      </c>
      <c r="P74" s="85">
        <v>0</v>
      </c>
      <c r="Q74" s="85">
        <v>3833.3829125613574</v>
      </c>
      <c r="R74" s="25">
        <v>1.380949171816051E-3</v>
      </c>
      <c r="S74" s="25">
        <v>1.8285759269431035E-2</v>
      </c>
      <c r="T74" s="25">
        <v>6.6545884366484374E-3</v>
      </c>
    </row>
    <row r="75" spans="1:20" x14ac:dyDescent="0.25">
      <c r="A75" s="17" t="s">
        <v>629</v>
      </c>
      <c r="B75" s="116" t="s">
        <v>630</v>
      </c>
      <c r="C75" s="116" t="s">
        <v>400</v>
      </c>
      <c r="D75" s="116" t="s">
        <v>251</v>
      </c>
      <c r="E75" s="116" t="s">
        <v>631</v>
      </c>
      <c r="F75" s="116" t="s">
        <v>223</v>
      </c>
      <c r="G75" s="116" t="s">
        <v>520</v>
      </c>
      <c r="H75" s="116" t="s">
        <v>521</v>
      </c>
      <c r="I75" s="116" t="s">
        <v>632</v>
      </c>
      <c r="J75" s="117">
        <v>2.86</v>
      </c>
      <c r="K75" s="117" t="s">
        <v>257</v>
      </c>
      <c r="L75" s="116">
        <v>3.7000000000000005E-2</v>
      </c>
      <c r="M75" s="116">
        <v>2.6499999999999999E-2</v>
      </c>
      <c r="N75" s="70">
        <v>92763.279833896886</v>
      </c>
      <c r="O75" s="61">
        <v>113.91</v>
      </c>
      <c r="P75" s="85">
        <v>0</v>
      </c>
      <c r="Q75" s="85">
        <v>105.6666520554765</v>
      </c>
      <c r="R75" s="25">
        <v>2.4675616844242688E-4</v>
      </c>
      <c r="S75" s="25">
        <v>5.0404434056448995E-4</v>
      </c>
      <c r="T75" s="25">
        <v>1.8343277907447312E-4</v>
      </c>
    </row>
    <row r="76" spans="1:20" x14ac:dyDescent="0.25">
      <c r="A76" s="17" t="s">
        <v>689</v>
      </c>
      <c r="B76" s="116" t="s">
        <v>690</v>
      </c>
      <c r="C76" s="116" t="s">
        <v>400</v>
      </c>
      <c r="D76" s="116" t="s">
        <v>251</v>
      </c>
      <c r="E76" s="116" t="s">
        <v>631</v>
      </c>
      <c r="F76" s="116" t="s">
        <v>223</v>
      </c>
      <c r="G76" s="116" t="s">
        <v>545</v>
      </c>
      <c r="H76" s="116" t="s">
        <v>256</v>
      </c>
      <c r="I76" s="116" t="s">
        <v>691</v>
      </c>
      <c r="J76" s="117">
        <v>3.4</v>
      </c>
      <c r="K76" s="117" t="s">
        <v>257</v>
      </c>
      <c r="L76" s="116">
        <v>2.6000000000000002E-2</v>
      </c>
      <c r="M76" s="116">
        <v>2.46E-2</v>
      </c>
      <c r="N76" s="70">
        <v>450716.42614915851</v>
      </c>
      <c r="O76" s="61">
        <v>112.76000000000002</v>
      </c>
      <c r="P76" s="85">
        <v>0</v>
      </c>
      <c r="Q76" s="85">
        <v>508.22784212298103</v>
      </c>
      <c r="R76" s="25">
        <v>1.2495205791690203E-3</v>
      </c>
      <c r="S76" s="25">
        <v>2.4243161163552255E-3</v>
      </c>
      <c r="T76" s="25">
        <v>8.8226175117856658E-4</v>
      </c>
    </row>
    <row r="77" spans="1:20" x14ac:dyDescent="0.25">
      <c r="A77" s="17" t="s">
        <v>652</v>
      </c>
      <c r="B77" s="116" t="s">
        <v>653</v>
      </c>
      <c r="C77" s="116" t="s">
        <v>400</v>
      </c>
      <c r="D77" s="116" t="s">
        <v>251</v>
      </c>
      <c r="E77" s="116" t="s">
        <v>631</v>
      </c>
      <c r="F77" s="116" t="s">
        <v>223</v>
      </c>
      <c r="G77" s="116" t="s">
        <v>520</v>
      </c>
      <c r="H77" s="116" t="s">
        <v>521</v>
      </c>
      <c r="I77" s="116" t="s">
        <v>654</v>
      </c>
      <c r="J77" s="117">
        <v>4.34</v>
      </c>
      <c r="K77" s="117" t="s">
        <v>257</v>
      </c>
      <c r="L77" s="116">
        <v>2.81E-2</v>
      </c>
      <c r="M77" s="116">
        <v>2.7400000000000001E-2</v>
      </c>
      <c r="N77" s="70">
        <v>752464.42618019599</v>
      </c>
      <c r="O77" s="61">
        <v>112.17000000000002</v>
      </c>
      <c r="P77" s="85">
        <v>0</v>
      </c>
      <c r="Q77" s="85">
        <v>844.03934680101895</v>
      </c>
      <c r="R77" s="25">
        <v>5.6365102694970752E-4</v>
      </c>
      <c r="S77" s="25">
        <v>4.0261827898686892E-3</v>
      </c>
      <c r="T77" s="25">
        <v>1.4652161303514077E-3</v>
      </c>
    </row>
    <row r="78" spans="1:20" x14ac:dyDescent="0.25">
      <c r="A78" s="17" t="s">
        <v>762</v>
      </c>
      <c r="B78" s="116" t="s">
        <v>763</v>
      </c>
      <c r="C78" s="116" t="s">
        <v>400</v>
      </c>
      <c r="D78" s="116" t="s">
        <v>251</v>
      </c>
      <c r="E78" s="116" t="s">
        <v>631</v>
      </c>
      <c r="F78" s="116" t="s">
        <v>223</v>
      </c>
      <c r="G78" s="116" t="s">
        <v>545</v>
      </c>
      <c r="H78" s="116" t="s">
        <v>256</v>
      </c>
      <c r="I78" s="116" t="s">
        <v>764</v>
      </c>
      <c r="J78" s="117">
        <v>2.77</v>
      </c>
      <c r="K78" s="117" t="s">
        <v>257</v>
      </c>
      <c r="L78" s="116">
        <v>2.4E-2</v>
      </c>
      <c r="M78" s="116">
        <v>2.53E-2</v>
      </c>
      <c r="N78" s="70">
        <v>612979.12795773707</v>
      </c>
      <c r="O78" s="61">
        <v>111.43</v>
      </c>
      <c r="P78" s="85">
        <v>0</v>
      </c>
      <c r="Q78" s="85">
        <v>683.04264227668773</v>
      </c>
      <c r="R78" s="25">
        <v>9.9424889979407723E-4</v>
      </c>
      <c r="S78" s="25">
        <v>3.2582065534074649E-3</v>
      </c>
      <c r="T78" s="25">
        <v>1.1857327516481143E-3</v>
      </c>
    </row>
    <row r="79" spans="1:20" x14ac:dyDescent="0.25">
      <c r="A79" s="17" t="s">
        <v>765</v>
      </c>
      <c r="B79" s="116" t="s">
        <v>766</v>
      </c>
      <c r="C79" s="116" t="s">
        <v>400</v>
      </c>
      <c r="D79" s="116" t="s">
        <v>251</v>
      </c>
      <c r="E79" s="116" t="s">
        <v>631</v>
      </c>
      <c r="F79" s="116" t="s">
        <v>223</v>
      </c>
      <c r="G79" s="116" t="s">
        <v>520</v>
      </c>
      <c r="H79" s="116" t="s">
        <v>521</v>
      </c>
      <c r="I79" s="116" t="s">
        <v>764</v>
      </c>
      <c r="J79" s="117">
        <v>4.13</v>
      </c>
      <c r="K79" s="117" t="s">
        <v>257</v>
      </c>
      <c r="L79" s="116">
        <v>2.6000000000000002E-2</v>
      </c>
      <c r="M79" s="116">
        <v>2.6099999999999998E-2</v>
      </c>
      <c r="N79" s="70">
        <v>365905.60864208988</v>
      </c>
      <c r="O79" s="61">
        <v>111.02000000000001</v>
      </c>
      <c r="P79" s="85">
        <v>0</v>
      </c>
      <c r="Q79" s="85">
        <v>406.22840668094875</v>
      </c>
      <c r="R79" s="25">
        <v>7.4636838629038745E-4</v>
      </c>
      <c r="S79" s="25">
        <v>1.9377648991524955E-3</v>
      </c>
      <c r="T79" s="25">
        <v>7.0519510296739539E-4</v>
      </c>
    </row>
    <row r="80" spans="1:20" x14ac:dyDescent="0.25">
      <c r="A80" s="17" t="s">
        <v>636</v>
      </c>
      <c r="B80" s="116" t="s">
        <v>637</v>
      </c>
      <c r="C80" s="116" t="s">
        <v>400</v>
      </c>
      <c r="D80" s="116" t="s">
        <v>251</v>
      </c>
      <c r="E80" s="116" t="s">
        <v>570</v>
      </c>
      <c r="F80" s="116" t="s">
        <v>223</v>
      </c>
      <c r="G80" s="116" t="s">
        <v>545</v>
      </c>
      <c r="H80" s="116" t="s">
        <v>256</v>
      </c>
      <c r="I80" s="116" t="s">
        <v>638</v>
      </c>
      <c r="J80" s="117">
        <v>3.44</v>
      </c>
      <c r="K80" s="117" t="s">
        <v>257</v>
      </c>
      <c r="L80" s="116">
        <v>2.35E-2</v>
      </c>
      <c r="M80" s="116">
        <v>2.4700000000000003E-2</v>
      </c>
      <c r="N80" s="70">
        <v>377816.17149242363</v>
      </c>
      <c r="O80" s="61">
        <v>112.01</v>
      </c>
      <c r="P80" s="85">
        <v>0</v>
      </c>
      <c r="Q80" s="85">
        <v>423.1918936707616</v>
      </c>
      <c r="R80" s="25">
        <v>5.1457935192207995E-4</v>
      </c>
      <c r="S80" s="25">
        <v>2.0186830454846563E-3</v>
      </c>
      <c r="T80" s="25">
        <v>7.3464298932326641E-4</v>
      </c>
    </row>
    <row r="81" spans="1:20" x14ac:dyDescent="0.25">
      <c r="A81" s="17" t="s">
        <v>568</v>
      </c>
      <c r="B81" s="116" t="s">
        <v>569</v>
      </c>
      <c r="C81" s="116" t="s">
        <v>400</v>
      </c>
      <c r="D81" s="116" t="s">
        <v>251</v>
      </c>
      <c r="E81" s="116" t="s">
        <v>570</v>
      </c>
      <c r="F81" s="116" t="s">
        <v>223</v>
      </c>
      <c r="G81" s="116" t="s">
        <v>545</v>
      </c>
      <c r="H81" s="116" t="s">
        <v>256</v>
      </c>
      <c r="I81" s="116" t="s">
        <v>571</v>
      </c>
      <c r="J81" s="117">
        <v>1.97</v>
      </c>
      <c r="K81" s="117" t="s">
        <v>257</v>
      </c>
      <c r="L81" s="116">
        <v>1.7600000000000001E-2</v>
      </c>
      <c r="M81" s="116">
        <v>2.4799999999999999E-2</v>
      </c>
      <c r="N81" s="70">
        <v>1702663.7306812108</v>
      </c>
      <c r="O81" s="61">
        <v>110.64</v>
      </c>
      <c r="P81" s="85">
        <v>39.300443060000006</v>
      </c>
      <c r="Q81" s="85">
        <v>1900.9649239223634</v>
      </c>
      <c r="R81" s="25">
        <v>1.2748389828090316E-3</v>
      </c>
      <c r="S81" s="25">
        <v>9.0678619306649392E-3</v>
      </c>
      <c r="T81" s="25">
        <v>3.2999936321925047E-3</v>
      </c>
    </row>
    <row r="82" spans="1:20" x14ac:dyDescent="0.25">
      <c r="A82" s="17" t="s">
        <v>608</v>
      </c>
      <c r="B82" s="116" t="s">
        <v>609</v>
      </c>
      <c r="C82" s="116" t="s">
        <v>400</v>
      </c>
      <c r="D82" s="116" t="s">
        <v>251</v>
      </c>
      <c r="E82" s="116" t="s">
        <v>570</v>
      </c>
      <c r="F82" s="116" t="s">
        <v>223</v>
      </c>
      <c r="G82" s="116" t="s">
        <v>545</v>
      </c>
      <c r="H82" s="116" t="s">
        <v>256</v>
      </c>
      <c r="I82" s="116" t="s">
        <v>610</v>
      </c>
      <c r="J82" s="117">
        <v>2.66</v>
      </c>
      <c r="K82" s="117" t="s">
        <v>257</v>
      </c>
      <c r="L82" s="116">
        <v>2.1499999999999998E-2</v>
      </c>
      <c r="M82" s="116">
        <v>2.4900000000000002E-2</v>
      </c>
      <c r="N82" s="70">
        <v>112837.68958268968</v>
      </c>
      <c r="O82" s="61">
        <v>111.92</v>
      </c>
      <c r="P82" s="85">
        <v>0</v>
      </c>
      <c r="Q82" s="85">
        <v>126.28794215614829</v>
      </c>
      <c r="R82" s="25">
        <v>9.2391958720079687E-5</v>
      </c>
      <c r="S82" s="25">
        <v>6.0241070656731491E-4</v>
      </c>
      <c r="T82" s="25">
        <v>2.1923045485662261E-4</v>
      </c>
    </row>
    <row r="83" spans="1:20" x14ac:dyDescent="0.25">
      <c r="A83" s="17" t="s">
        <v>779</v>
      </c>
      <c r="B83" s="116" t="s">
        <v>780</v>
      </c>
      <c r="C83" s="116" t="s">
        <v>400</v>
      </c>
      <c r="D83" s="116" t="s">
        <v>251</v>
      </c>
      <c r="E83" s="116" t="s">
        <v>570</v>
      </c>
      <c r="F83" s="116" t="s">
        <v>223</v>
      </c>
      <c r="G83" s="116" t="s">
        <v>545</v>
      </c>
      <c r="H83" s="116" t="s">
        <v>256</v>
      </c>
      <c r="I83" s="116" t="s">
        <v>781</v>
      </c>
      <c r="J83" s="117">
        <v>4.68</v>
      </c>
      <c r="K83" s="117" t="s">
        <v>257</v>
      </c>
      <c r="L83" s="116">
        <v>6.5000000000000006E-3</v>
      </c>
      <c r="M83" s="116">
        <v>2.4799999999999999E-2</v>
      </c>
      <c r="N83" s="70">
        <v>344895.25095019658</v>
      </c>
      <c r="O83" s="61">
        <v>101.31000000000002</v>
      </c>
      <c r="P83" s="85">
        <v>5.2804033760000006</v>
      </c>
      <c r="Q83" s="85">
        <v>350.97661882712748</v>
      </c>
      <c r="R83" s="25">
        <v>6.848461319782723E-4</v>
      </c>
      <c r="S83" s="25">
        <v>1.6742063361427854E-3</v>
      </c>
      <c r="T83" s="25">
        <v>6.0928036735583609E-4</v>
      </c>
    </row>
    <row r="84" spans="1:20" x14ac:dyDescent="0.25">
      <c r="A84" s="17" t="s">
        <v>805</v>
      </c>
      <c r="B84" s="116" t="s">
        <v>806</v>
      </c>
      <c r="C84" s="116" t="s">
        <v>400</v>
      </c>
      <c r="D84" s="116" t="s">
        <v>251</v>
      </c>
      <c r="E84" s="116" t="s">
        <v>570</v>
      </c>
      <c r="F84" s="116" t="s">
        <v>223</v>
      </c>
      <c r="G84" s="116" t="s">
        <v>545</v>
      </c>
      <c r="H84" s="116" t="s">
        <v>256</v>
      </c>
      <c r="I84" s="116" t="s">
        <v>807</v>
      </c>
      <c r="J84" s="117">
        <v>5.42</v>
      </c>
      <c r="K84" s="117" t="s">
        <v>257</v>
      </c>
      <c r="L84" s="116">
        <v>1.43E-2</v>
      </c>
      <c r="M84" s="116">
        <v>2.81E-2</v>
      </c>
      <c r="N84" s="70">
        <v>794933.60923529312</v>
      </c>
      <c r="O84" s="61">
        <v>102.63</v>
      </c>
      <c r="P84" s="85">
        <v>15.520992602</v>
      </c>
      <c r="Q84" s="85">
        <v>822.77356307057028</v>
      </c>
      <c r="R84" s="25">
        <v>1.9758739541541389E-3</v>
      </c>
      <c r="S84" s="25">
        <v>3.9247421013591912E-3</v>
      </c>
      <c r="T84" s="25">
        <v>1.4282996412510916E-3</v>
      </c>
    </row>
    <row r="85" spans="1:20" x14ac:dyDescent="0.25">
      <c r="A85" s="17" t="s">
        <v>885</v>
      </c>
      <c r="B85" s="116" t="s">
        <v>886</v>
      </c>
      <c r="C85" s="116" t="s">
        <v>400</v>
      </c>
      <c r="D85" s="116" t="s">
        <v>251</v>
      </c>
      <c r="E85" s="116" t="s">
        <v>570</v>
      </c>
      <c r="F85" s="116" t="s">
        <v>223</v>
      </c>
      <c r="G85" s="116" t="s">
        <v>545</v>
      </c>
      <c r="H85" s="116" t="s">
        <v>256</v>
      </c>
      <c r="I85" s="116" t="s">
        <v>887</v>
      </c>
      <c r="J85" s="117">
        <v>6.26</v>
      </c>
      <c r="K85" s="117" t="s">
        <v>257</v>
      </c>
      <c r="L85" s="116">
        <v>2.5000000000000001E-3</v>
      </c>
      <c r="M85" s="116">
        <v>2.7200000000000002E-2</v>
      </c>
      <c r="N85" s="70">
        <v>942468.62064441585</v>
      </c>
      <c r="O85" s="61">
        <v>92.99</v>
      </c>
      <c r="P85" s="85">
        <v>23.013270937999998</v>
      </c>
      <c r="Q85" s="85">
        <v>880.76799999024638</v>
      </c>
      <c r="R85" s="25">
        <v>7.263073303081808E-4</v>
      </c>
      <c r="S85" s="25">
        <v>4.2013834744410224E-3</v>
      </c>
      <c r="T85" s="25">
        <v>1.5289754980904874E-3</v>
      </c>
    </row>
    <row r="86" spans="1:20" x14ac:dyDescent="0.25">
      <c r="A86" s="17" t="s">
        <v>1017</v>
      </c>
      <c r="B86" s="116" t="s">
        <v>1018</v>
      </c>
      <c r="C86" s="116" t="s">
        <v>400</v>
      </c>
      <c r="D86" s="116" t="s">
        <v>251</v>
      </c>
      <c r="E86" s="116" t="s">
        <v>570</v>
      </c>
      <c r="F86" s="116" t="s">
        <v>223</v>
      </c>
      <c r="G86" s="116" t="s">
        <v>545</v>
      </c>
      <c r="H86" s="116" t="s">
        <v>256</v>
      </c>
      <c r="I86" s="116" t="s">
        <v>1019</v>
      </c>
      <c r="J86" s="117">
        <v>7.01</v>
      </c>
      <c r="K86" s="117" t="s">
        <v>257</v>
      </c>
      <c r="L86" s="116">
        <v>3.61E-2</v>
      </c>
      <c r="M86" s="116">
        <v>3.15E-2</v>
      </c>
      <c r="N86" s="70">
        <v>500138.15861791436</v>
      </c>
      <c r="O86" s="61">
        <v>104.74</v>
      </c>
      <c r="P86" s="85">
        <v>4.8133830550000001</v>
      </c>
      <c r="Q86" s="85">
        <v>528.65809039170426</v>
      </c>
      <c r="R86" s="25">
        <v>1.0885986827631328E-3</v>
      </c>
      <c r="S86" s="25">
        <v>2.5217711867663796E-3</v>
      </c>
      <c r="T86" s="25">
        <v>9.1772778652854457E-4</v>
      </c>
    </row>
    <row r="87" spans="1:20" x14ac:dyDescent="0.25">
      <c r="A87" s="17" t="s">
        <v>1054</v>
      </c>
      <c r="B87" s="116" t="s">
        <v>1055</v>
      </c>
      <c r="C87" s="116" t="s">
        <v>400</v>
      </c>
      <c r="D87" s="116" t="s">
        <v>251</v>
      </c>
      <c r="E87" s="116" t="s">
        <v>535</v>
      </c>
      <c r="F87" s="116" t="s">
        <v>200</v>
      </c>
      <c r="G87" s="116" t="s">
        <v>520</v>
      </c>
      <c r="H87" s="116" t="s">
        <v>521</v>
      </c>
      <c r="I87" s="116" t="s">
        <v>1056</v>
      </c>
      <c r="J87" s="117">
        <v>0.5</v>
      </c>
      <c r="K87" s="117" t="s">
        <v>257</v>
      </c>
      <c r="L87" s="116">
        <v>1.5900000000000001E-2</v>
      </c>
      <c r="M87" s="116">
        <v>3.2000000000000001E-2</v>
      </c>
      <c r="N87" s="70">
        <v>9.3177369554484653</v>
      </c>
      <c r="O87" s="61">
        <v>5522000</v>
      </c>
      <c r="P87" s="85">
        <v>0</v>
      </c>
      <c r="Q87" s="85">
        <v>514.52543467986425</v>
      </c>
      <c r="R87" s="25">
        <v>6.2242731833323081E-4</v>
      </c>
      <c r="S87" s="25">
        <v>2.454356491683967E-3</v>
      </c>
      <c r="T87" s="25">
        <v>8.9319410194123978E-4</v>
      </c>
    </row>
    <row r="88" spans="1:20" x14ac:dyDescent="0.25">
      <c r="A88" s="17" t="s">
        <v>1066</v>
      </c>
      <c r="B88" s="116" t="s">
        <v>1067</v>
      </c>
      <c r="C88" s="116" t="s">
        <v>400</v>
      </c>
      <c r="D88" s="116" t="s">
        <v>251</v>
      </c>
      <c r="E88" s="116" t="s">
        <v>535</v>
      </c>
      <c r="F88" s="116" t="s">
        <v>200</v>
      </c>
      <c r="G88" s="116" t="s">
        <v>520</v>
      </c>
      <c r="H88" s="116" t="s">
        <v>521</v>
      </c>
      <c r="I88" s="116" t="s">
        <v>1068</v>
      </c>
      <c r="J88" s="117">
        <v>1.74</v>
      </c>
      <c r="K88" s="117" t="s">
        <v>257</v>
      </c>
      <c r="L88" s="116">
        <v>2.0199999999999999E-2</v>
      </c>
      <c r="M88" s="116">
        <v>3.2400000000000005E-2</v>
      </c>
      <c r="N88" s="70">
        <v>16.971592311709703</v>
      </c>
      <c r="O88" s="61">
        <v>5436000</v>
      </c>
      <c r="P88" s="85">
        <v>0</v>
      </c>
      <c r="Q88" s="85">
        <v>922.57575806453951</v>
      </c>
      <c r="R88" s="25">
        <v>8.064429703829747E-4</v>
      </c>
      <c r="S88" s="25">
        <v>4.4008121819766148E-3</v>
      </c>
      <c r="T88" s="25">
        <v>1.6015519742185902E-3</v>
      </c>
    </row>
    <row r="89" spans="1:20" x14ac:dyDescent="0.25">
      <c r="A89" s="17" t="s">
        <v>1075</v>
      </c>
      <c r="B89" s="116" t="s">
        <v>1076</v>
      </c>
      <c r="C89" s="116" t="s">
        <v>400</v>
      </c>
      <c r="D89" s="116" t="s">
        <v>251</v>
      </c>
      <c r="E89" s="116" t="s">
        <v>535</v>
      </c>
      <c r="F89" s="116" t="s">
        <v>200</v>
      </c>
      <c r="G89" s="116" t="s">
        <v>520</v>
      </c>
      <c r="H89" s="116" t="s">
        <v>521</v>
      </c>
      <c r="I89" s="116" t="s">
        <v>1077</v>
      </c>
      <c r="J89" s="117">
        <v>2.81</v>
      </c>
      <c r="K89" s="117" t="s">
        <v>257</v>
      </c>
      <c r="L89" s="116">
        <v>2.5899999999999999E-2</v>
      </c>
      <c r="M89" s="116">
        <v>3.15E-2</v>
      </c>
      <c r="N89" s="70">
        <v>8.8801977201066382</v>
      </c>
      <c r="O89" s="61">
        <v>5445000</v>
      </c>
      <c r="P89" s="85">
        <v>0</v>
      </c>
      <c r="Q89" s="85">
        <v>483.52676585980652</v>
      </c>
      <c r="R89" s="25">
        <v>4.2040419069765838E-4</v>
      </c>
      <c r="S89" s="25">
        <v>2.3064886139775756E-3</v>
      </c>
      <c r="T89" s="25">
        <v>8.3938174147876298E-4</v>
      </c>
    </row>
    <row r="90" spans="1:20" x14ac:dyDescent="0.25">
      <c r="A90" s="17" t="s">
        <v>1084</v>
      </c>
      <c r="B90" s="116" t="s">
        <v>1085</v>
      </c>
      <c r="C90" s="116" t="s">
        <v>400</v>
      </c>
      <c r="D90" s="116" t="s">
        <v>251</v>
      </c>
      <c r="E90" s="116" t="s">
        <v>915</v>
      </c>
      <c r="F90" s="116" t="s">
        <v>200</v>
      </c>
      <c r="G90" s="116" t="s">
        <v>520</v>
      </c>
      <c r="H90" s="116" t="s">
        <v>521</v>
      </c>
      <c r="I90" s="116" t="s">
        <v>1086</v>
      </c>
      <c r="J90" s="117">
        <v>2.96</v>
      </c>
      <c r="K90" s="117" t="s">
        <v>257</v>
      </c>
      <c r="L90" s="116">
        <v>2.9700000000000001E-2</v>
      </c>
      <c r="M90" s="116">
        <v>2.8399999999999998E-2</v>
      </c>
      <c r="N90" s="70">
        <v>19.65229044373357</v>
      </c>
      <c r="O90" s="61">
        <v>5686000</v>
      </c>
      <c r="P90" s="85">
        <v>0</v>
      </c>
      <c r="Q90" s="85">
        <v>1117.4292346306906</v>
      </c>
      <c r="R90" s="25">
        <v>1.4037350316952551E-3</v>
      </c>
      <c r="S90" s="25">
        <v>5.330289838285057E-3</v>
      </c>
      <c r="T90" s="25">
        <v>1.939809258078464E-3</v>
      </c>
    </row>
    <row r="91" spans="1:20" x14ac:dyDescent="0.25">
      <c r="A91" s="17" t="s">
        <v>1103</v>
      </c>
      <c r="B91" s="116" t="s">
        <v>1104</v>
      </c>
      <c r="C91" s="116" t="s">
        <v>400</v>
      </c>
      <c r="D91" s="116" t="s">
        <v>251</v>
      </c>
      <c r="E91" s="116" t="s">
        <v>915</v>
      </c>
      <c r="F91" s="116" t="s">
        <v>200</v>
      </c>
      <c r="G91" s="116" t="s">
        <v>545</v>
      </c>
      <c r="H91" s="116" t="s">
        <v>256</v>
      </c>
      <c r="I91" s="116" t="s">
        <v>1105</v>
      </c>
      <c r="J91" s="117">
        <v>4.99</v>
      </c>
      <c r="K91" s="117" t="s">
        <v>257</v>
      </c>
      <c r="L91" s="116">
        <v>3.0899999999999997E-2</v>
      </c>
      <c r="M91" s="116">
        <v>3.3399999999999999E-2</v>
      </c>
      <c r="N91" s="70">
        <v>12.244936065129696</v>
      </c>
      <c r="O91" s="61">
        <v>5155000</v>
      </c>
      <c r="P91" s="85">
        <v>0</v>
      </c>
      <c r="Q91" s="85">
        <v>631.2264541574358</v>
      </c>
      <c r="R91" s="25">
        <v>6.4447031921735249E-4</v>
      </c>
      <c r="S91" s="25">
        <v>3.011036269660595E-3</v>
      </c>
      <c r="T91" s="25">
        <v>1.0957820699252759E-3</v>
      </c>
    </row>
    <row r="92" spans="1:20" x14ac:dyDescent="0.25">
      <c r="A92" s="17" t="s">
        <v>708</v>
      </c>
      <c r="B92" s="116" t="s">
        <v>709</v>
      </c>
      <c r="C92" s="116" t="s">
        <v>400</v>
      </c>
      <c r="D92" s="116" t="s">
        <v>251</v>
      </c>
      <c r="E92" s="116" t="s">
        <v>673</v>
      </c>
      <c r="F92" s="116" t="s">
        <v>223</v>
      </c>
      <c r="G92" s="116" t="s">
        <v>545</v>
      </c>
      <c r="H92" s="116" t="s">
        <v>256</v>
      </c>
      <c r="I92" s="116" t="s">
        <v>710</v>
      </c>
      <c r="J92" s="117">
        <v>2.39</v>
      </c>
      <c r="K92" s="117" t="s">
        <v>257</v>
      </c>
      <c r="L92" s="116">
        <v>1.6E-2</v>
      </c>
      <c r="M92" s="116">
        <v>2.5399999999999999E-2</v>
      </c>
      <c r="N92" s="70">
        <v>327813.57536913123</v>
      </c>
      <c r="O92" s="61">
        <v>109.72</v>
      </c>
      <c r="P92" s="85">
        <v>0</v>
      </c>
      <c r="Q92" s="85">
        <v>359.67705484652407</v>
      </c>
      <c r="R92" s="25">
        <v>8.455352311805644E-4</v>
      </c>
      <c r="S92" s="25">
        <v>1.7157086024748151E-3</v>
      </c>
      <c r="T92" s="25">
        <v>6.243839513830812E-4</v>
      </c>
    </row>
    <row r="93" spans="1:20" x14ac:dyDescent="0.25">
      <c r="A93" s="17" t="s">
        <v>737</v>
      </c>
      <c r="B93" s="116" t="s">
        <v>738</v>
      </c>
      <c r="C93" s="116" t="s">
        <v>400</v>
      </c>
      <c r="D93" s="116" t="s">
        <v>251</v>
      </c>
      <c r="E93" s="116" t="s">
        <v>673</v>
      </c>
      <c r="F93" s="116" t="s">
        <v>223</v>
      </c>
      <c r="G93" s="116" t="s">
        <v>545</v>
      </c>
      <c r="H93" s="116" t="s">
        <v>256</v>
      </c>
      <c r="I93" s="116" t="s">
        <v>739</v>
      </c>
      <c r="J93" s="117">
        <v>3.23</v>
      </c>
      <c r="K93" s="117" t="s">
        <v>257</v>
      </c>
      <c r="L93" s="116">
        <v>1.4199999999999999E-2</v>
      </c>
      <c r="M93" s="116">
        <v>2.6800000000000001E-2</v>
      </c>
      <c r="N93" s="70">
        <v>476083.44433867693</v>
      </c>
      <c r="O93" s="61">
        <v>106.38000000000001</v>
      </c>
      <c r="P93" s="85">
        <v>0</v>
      </c>
      <c r="Q93" s="85">
        <v>506.45756805195134</v>
      </c>
      <c r="R93" s="25">
        <v>4.9447856774471205E-4</v>
      </c>
      <c r="S93" s="25">
        <v>2.4158716676157869E-3</v>
      </c>
      <c r="T93" s="25">
        <v>8.7918863126555972E-4</v>
      </c>
    </row>
    <row r="94" spans="1:20" x14ac:dyDescent="0.25">
      <c r="A94" s="17" t="s">
        <v>896</v>
      </c>
      <c r="B94" s="116" t="s">
        <v>897</v>
      </c>
      <c r="C94" s="116" t="s">
        <v>400</v>
      </c>
      <c r="D94" s="116" t="s">
        <v>251</v>
      </c>
      <c r="E94" s="116" t="s">
        <v>673</v>
      </c>
      <c r="F94" s="116" t="s">
        <v>223</v>
      </c>
      <c r="G94" s="116" t="s">
        <v>545</v>
      </c>
      <c r="H94" s="116" t="s">
        <v>256</v>
      </c>
      <c r="I94" s="116" t="s">
        <v>898</v>
      </c>
      <c r="J94" s="117">
        <v>4.59</v>
      </c>
      <c r="K94" s="117" t="s">
        <v>257</v>
      </c>
      <c r="L94" s="116">
        <v>1.4199999999999999E-2</v>
      </c>
      <c r="M94" s="116">
        <v>2.6800000000000001E-2</v>
      </c>
      <c r="N94" s="70">
        <v>266979.96058675344</v>
      </c>
      <c r="O94" s="61">
        <v>105.99810000000001</v>
      </c>
      <c r="P94" s="85">
        <v>0</v>
      </c>
      <c r="Q94" s="85">
        <v>282.9938208628389</v>
      </c>
      <c r="R94" s="25">
        <v>2.7729565078840227E-4</v>
      </c>
      <c r="S94" s="25">
        <v>1.3499191187182334E-3</v>
      </c>
      <c r="T94" s="25">
        <v>4.9126514384614437E-4</v>
      </c>
    </row>
    <row r="95" spans="1:20" x14ac:dyDescent="0.25">
      <c r="A95" s="17" t="s">
        <v>547</v>
      </c>
      <c r="B95" s="116" t="s">
        <v>548</v>
      </c>
      <c r="C95" s="116" t="s">
        <v>400</v>
      </c>
      <c r="D95" s="116" t="s">
        <v>251</v>
      </c>
      <c r="E95" s="116" t="s">
        <v>549</v>
      </c>
      <c r="F95" s="116" t="s">
        <v>223</v>
      </c>
      <c r="G95" s="116" t="s">
        <v>545</v>
      </c>
      <c r="H95" s="116" t="s">
        <v>256</v>
      </c>
      <c r="I95" s="116" t="s">
        <v>550</v>
      </c>
      <c r="J95" s="117">
        <v>0.71</v>
      </c>
      <c r="K95" s="117" t="s">
        <v>257</v>
      </c>
      <c r="L95" s="116">
        <v>0.04</v>
      </c>
      <c r="M95" s="116">
        <v>2.8399999999999998E-2</v>
      </c>
      <c r="N95" s="70">
        <v>146253.41800801901</v>
      </c>
      <c r="O95" s="61">
        <v>112.36</v>
      </c>
      <c r="P95" s="85">
        <v>0</v>
      </c>
      <c r="Q95" s="85">
        <v>164.33034042362254</v>
      </c>
      <c r="R95" s="25">
        <v>8.9824208341414153E-4</v>
      </c>
      <c r="S95" s="25">
        <v>7.8387813432449966E-4</v>
      </c>
      <c r="T95" s="25">
        <v>2.8527042774416199E-4</v>
      </c>
    </row>
    <row r="96" spans="1:20" x14ac:dyDescent="0.25">
      <c r="A96" s="17" t="s">
        <v>593</v>
      </c>
      <c r="B96" s="116" t="s">
        <v>594</v>
      </c>
      <c r="C96" s="116" t="s">
        <v>400</v>
      </c>
      <c r="D96" s="116" t="s">
        <v>251</v>
      </c>
      <c r="E96" s="116" t="s">
        <v>549</v>
      </c>
      <c r="F96" s="116" t="s">
        <v>223</v>
      </c>
      <c r="G96" s="116" t="s">
        <v>545</v>
      </c>
      <c r="H96" s="116" t="s">
        <v>256</v>
      </c>
      <c r="I96" s="116" t="s">
        <v>595</v>
      </c>
      <c r="J96" s="117">
        <v>3.05</v>
      </c>
      <c r="K96" s="117" t="s">
        <v>257</v>
      </c>
      <c r="L96" s="116">
        <v>0.04</v>
      </c>
      <c r="M96" s="116">
        <v>2.53E-2</v>
      </c>
      <c r="N96" s="70">
        <v>1025892.1866049507</v>
      </c>
      <c r="O96" s="61">
        <v>117.41</v>
      </c>
      <c r="P96" s="85">
        <v>0</v>
      </c>
      <c r="Q96" s="85">
        <v>1204.5000162385929</v>
      </c>
      <c r="R96" s="25">
        <v>1.1022365866890115E-3</v>
      </c>
      <c r="S96" s="25">
        <v>5.7456293408080315E-3</v>
      </c>
      <c r="T96" s="25">
        <v>2.0909604030786735E-3</v>
      </c>
    </row>
    <row r="97" spans="1:20" x14ac:dyDescent="0.25">
      <c r="A97" s="17" t="s">
        <v>611</v>
      </c>
      <c r="B97" s="116" t="s">
        <v>612</v>
      </c>
      <c r="C97" s="116" t="s">
        <v>400</v>
      </c>
      <c r="D97" s="116" t="s">
        <v>251</v>
      </c>
      <c r="E97" s="116" t="s">
        <v>549</v>
      </c>
      <c r="F97" s="116" t="s">
        <v>223</v>
      </c>
      <c r="G97" s="116" t="s">
        <v>545</v>
      </c>
      <c r="H97" s="116" t="s">
        <v>256</v>
      </c>
      <c r="I97" s="116" t="s">
        <v>613</v>
      </c>
      <c r="J97" s="117">
        <v>4.42</v>
      </c>
      <c r="K97" s="117" t="s">
        <v>257</v>
      </c>
      <c r="L97" s="116">
        <v>3.5000000000000003E-2</v>
      </c>
      <c r="M97" s="116">
        <v>2.69E-2</v>
      </c>
      <c r="N97" s="70">
        <v>645106.04857622425</v>
      </c>
      <c r="O97" s="61">
        <v>117.45000000000002</v>
      </c>
      <c r="P97" s="85">
        <v>0</v>
      </c>
      <c r="Q97" s="85">
        <v>757.67705405095739</v>
      </c>
      <c r="R97" s="25">
        <v>7.2332383696066733E-4</v>
      </c>
      <c r="S97" s="25">
        <v>3.6142228758175837E-3</v>
      </c>
      <c r="T97" s="25">
        <v>1.3152948916424355E-3</v>
      </c>
    </row>
    <row r="98" spans="1:20" x14ac:dyDescent="0.25">
      <c r="A98" s="17" t="s">
        <v>834</v>
      </c>
      <c r="B98" s="116" t="s">
        <v>835</v>
      </c>
      <c r="C98" s="116" t="s">
        <v>400</v>
      </c>
      <c r="D98" s="116" t="s">
        <v>251</v>
      </c>
      <c r="E98" s="116" t="s">
        <v>549</v>
      </c>
      <c r="F98" s="116" t="s">
        <v>223</v>
      </c>
      <c r="G98" s="116" t="s">
        <v>545</v>
      </c>
      <c r="H98" s="116" t="s">
        <v>256</v>
      </c>
      <c r="I98" s="116" t="s">
        <v>836</v>
      </c>
      <c r="J98" s="117">
        <v>6.7</v>
      </c>
      <c r="K98" s="117" t="s">
        <v>257</v>
      </c>
      <c r="L98" s="116">
        <v>2.5000000000000001E-2</v>
      </c>
      <c r="M98" s="116">
        <v>2.7999999999999997E-2</v>
      </c>
      <c r="N98" s="70">
        <v>238161.77846768603</v>
      </c>
      <c r="O98" s="61">
        <v>109.15000000000002</v>
      </c>
      <c r="P98" s="85">
        <v>0</v>
      </c>
      <c r="Q98" s="85">
        <v>259.9535811722746</v>
      </c>
      <c r="R98" s="25">
        <v>3.8368757445299165E-4</v>
      </c>
      <c r="S98" s="25">
        <v>1.2400140332880531E-3</v>
      </c>
      <c r="T98" s="25">
        <v>4.5126827525260457E-4</v>
      </c>
    </row>
    <row r="99" spans="1:20" x14ac:dyDescent="0.25">
      <c r="A99" s="17" t="s">
        <v>542</v>
      </c>
      <c r="B99" s="116" t="s">
        <v>543</v>
      </c>
      <c r="C99" s="116" t="s">
        <v>400</v>
      </c>
      <c r="D99" s="116" t="s">
        <v>251</v>
      </c>
      <c r="E99" s="116" t="s">
        <v>544</v>
      </c>
      <c r="F99" s="116" t="s">
        <v>235</v>
      </c>
      <c r="G99" s="116" t="s">
        <v>545</v>
      </c>
      <c r="H99" s="116" t="s">
        <v>256</v>
      </c>
      <c r="I99" s="116" t="s">
        <v>546</v>
      </c>
      <c r="J99" s="117">
        <v>3.09</v>
      </c>
      <c r="K99" s="117" t="s">
        <v>257</v>
      </c>
      <c r="L99" s="116">
        <v>2.9900000000000003E-2</v>
      </c>
      <c r="M99" s="116">
        <v>2.1499999999999998E-2</v>
      </c>
      <c r="N99" s="70">
        <v>15642.359268910475</v>
      </c>
      <c r="O99" s="61">
        <v>115.48</v>
      </c>
      <c r="P99" s="85">
        <v>0</v>
      </c>
      <c r="Q99" s="85">
        <v>18.063796423419028</v>
      </c>
      <c r="R99" s="25">
        <v>7.5687065071432084E-5</v>
      </c>
      <c r="S99" s="25">
        <v>8.6166772384850483E-5</v>
      </c>
      <c r="T99" s="25">
        <v>3.1357976373129046E-5</v>
      </c>
    </row>
    <row r="100" spans="1:20" x14ac:dyDescent="0.25">
      <c r="A100" s="17" t="s">
        <v>605</v>
      </c>
      <c r="B100" s="116" t="s">
        <v>606</v>
      </c>
      <c r="C100" s="116" t="s">
        <v>400</v>
      </c>
      <c r="D100" s="116" t="s">
        <v>251</v>
      </c>
      <c r="E100" s="116" t="s">
        <v>544</v>
      </c>
      <c r="F100" s="116" t="s">
        <v>235</v>
      </c>
      <c r="G100" s="116" t="s">
        <v>545</v>
      </c>
      <c r="H100" s="116" t="s">
        <v>256</v>
      </c>
      <c r="I100" s="116" t="s">
        <v>607</v>
      </c>
      <c r="J100" s="117">
        <v>2.6</v>
      </c>
      <c r="K100" s="117" t="s">
        <v>257</v>
      </c>
      <c r="L100" s="116">
        <v>4.2999999999999997E-2</v>
      </c>
      <c r="M100" s="116">
        <v>2.2599999999999999E-2</v>
      </c>
      <c r="N100" s="70">
        <v>56715.734975040345</v>
      </c>
      <c r="O100" s="61">
        <v>119.80999999999999</v>
      </c>
      <c r="P100" s="85">
        <v>0</v>
      </c>
      <c r="Q100" s="85">
        <v>67.951122034032437</v>
      </c>
      <c r="R100" s="25">
        <v>9.2689483964854093E-5</v>
      </c>
      <c r="S100" s="25">
        <v>3.241361189174341E-4</v>
      </c>
      <c r="T100" s="25">
        <v>1.1796023545240379E-4</v>
      </c>
    </row>
    <row r="101" spans="1:20" x14ac:dyDescent="0.25">
      <c r="A101" s="17" t="s">
        <v>1012</v>
      </c>
      <c r="B101" s="116" t="s">
        <v>1013</v>
      </c>
      <c r="C101" s="116" t="s">
        <v>400</v>
      </c>
      <c r="D101" s="116" t="s">
        <v>251</v>
      </c>
      <c r="E101" s="116" t="s">
        <v>651</v>
      </c>
      <c r="F101" s="116" t="s">
        <v>204</v>
      </c>
      <c r="G101" s="116" t="s">
        <v>545</v>
      </c>
      <c r="H101" s="116" t="s">
        <v>256</v>
      </c>
      <c r="I101" s="116" t="s">
        <v>1014</v>
      </c>
      <c r="J101" s="117">
        <v>4.0599999999999996</v>
      </c>
      <c r="K101" s="117" t="s">
        <v>257</v>
      </c>
      <c r="L101" s="116">
        <v>2.2000000000000002E-2</v>
      </c>
      <c r="M101" s="116">
        <v>2.8900000000000002E-2</v>
      </c>
      <c r="N101" s="70">
        <v>17649.644091582933</v>
      </c>
      <c r="O101" s="61">
        <v>99.54</v>
      </c>
      <c r="P101" s="85">
        <v>0</v>
      </c>
      <c r="Q101" s="85">
        <v>17.568455728453525</v>
      </c>
      <c r="R101" s="25">
        <v>6.2593718576239515E-5</v>
      </c>
      <c r="S101" s="25">
        <v>8.3803929717917491E-5</v>
      </c>
      <c r="T101" s="25">
        <v>3.0498086157070161E-5</v>
      </c>
    </row>
    <row r="102" spans="1:20" x14ac:dyDescent="0.25">
      <c r="A102" s="17" t="s">
        <v>649</v>
      </c>
      <c r="B102" s="116" t="s">
        <v>650</v>
      </c>
      <c r="C102" s="116" t="s">
        <v>400</v>
      </c>
      <c r="D102" s="116" t="s">
        <v>251</v>
      </c>
      <c r="E102" s="116" t="s">
        <v>651</v>
      </c>
      <c r="F102" s="116" t="s">
        <v>204</v>
      </c>
      <c r="G102" s="116" t="s">
        <v>545</v>
      </c>
      <c r="H102" s="116" t="s">
        <v>256</v>
      </c>
      <c r="I102" s="116" t="s">
        <v>458</v>
      </c>
      <c r="J102" s="117">
        <v>1.57</v>
      </c>
      <c r="K102" s="117" t="s">
        <v>257</v>
      </c>
      <c r="L102" s="116">
        <v>1.8000000000000002E-2</v>
      </c>
      <c r="M102" s="116">
        <v>2.87E-2</v>
      </c>
      <c r="N102" s="70">
        <v>333725.06685080857</v>
      </c>
      <c r="O102" s="61">
        <v>109.27</v>
      </c>
      <c r="P102" s="85">
        <v>0</v>
      </c>
      <c r="Q102" s="85">
        <v>364.66138053705714</v>
      </c>
      <c r="R102" s="25">
        <v>3.4238623616532999E-4</v>
      </c>
      <c r="S102" s="25">
        <v>1.7394845157546676E-3</v>
      </c>
      <c r="T102" s="25">
        <v>6.3303652715265097E-4</v>
      </c>
    </row>
    <row r="103" spans="1:20" x14ac:dyDescent="0.25">
      <c r="A103" s="17" t="s">
        <v>3002</v>
      </c>
      <c r="B103" s="116" t="s">
        <v>526</v>
      </c>
      <c r="C103" s="116" t="s">
        <v>400</v>
      </c>
      <c r="D103" s="116" t="s">
        <v>251</v>
      </c>
      <c r="E103" s="116" t="s">
        <v>527</v>
      </c>
      <c r="F103" s="116" t="s">
        <v>212</v>
      </c>
      <c r="G103" s="116" t="s">
        <v>528</v>
      </c>
      <c r="H103" s="116" t="s">
        <v>256</v>
      </c>
      <c r="I103" s="116" t="s">
        <v>529</v>
      </c>
      <c r="J103" s="117">
        <v>5.92</v>
      </c>
      <c r="K103" s="117" t="s">
        <v>257</v>
      </c>
      <c r="L103" s="116">
        <v>5.1500000000000004E-2</v>
      </c>
      <c r="M103" s="116">
        <v>2.92E-2</v>
      </c>
      <c r="N103" s="70">
        <v>1496092.7422028927</v>
      </c>
      <c r="O103" s="61">
        <v>151.80000000000001</v>
      </c>
      <c r="P103" s="85">
        <v>0</v>
      </c>
      <c r="Q103" s="85">
        <v>2271.0687826598009</v>
      </c>
      <c r="R103" s="25">
        <v>4.7838683157941202E-4</v>
      </c>
      <c r="S103" s="25">
        <v>1.0833307809651849E-2</v>
      </c>
      <c r="T103" s="25">
        <v>3.9424780682353125E-3</v>
      </c>
    </row>
    <row r="104" spans="1:20" x14ac:dyDescent="0.25">
      <c r="A104" s="17" t="s">
        <v>1038</v>
      </c>
      <c r="B104" s="116" t="s">
        <v>1039</v>
      </c>
      <c r="C104" s="116" t="s">
        <v>400</v>
      </c>
      <c r="D104" s="116" t="s">
        <v>251</v>
      </c>
      <c r="E104" s="116" t="s">
        <v>1040</v>
      </c>
      <c r="F104" s="116" t="s">
        <v>223</v>
      </c>
      <c r="G104" s="116" t="s">
        <v>591</v>
      </c>
      <c r="H104" s="116" t="s">
        <v>521</v>
      </c>
      <c r="I104" s="116" t="s">
        <v>1041</v>
      </c>
      <c r="J104" s="117">
        <v>7.99</v>
      </c>
      <c r="K104" s="117" t="s">
        <v>257</v>
      </c>
      <c r="L104" s="116">
        <v>2.5600000000000001E-2</v>
      </c>
      <c r="M104" s="116">
        <v>3.95E-2</v>
      </c>
      <c r="N104" s="70">
        <v>482120.5207481145</v>
      </c>
      <c r="O104" s="61">
        <v>93.17</v>
      </c>
      <c r="P104" s="85">
        <v>0</v>
      </c>
      <c r="Q104" s="85">
        <v>449.19168918101826</v>
      </c>
      <c r="R104" s="25">
        <v>7.2138417383723014E-4</v>
      </c>
      <c r="S104" s="25">
        <v>2.1427056157833587E-3</v>
      </c>
      <c r="T104" s="25">
        <v>7.7977751997263802E-4</v>
      </c>
    </row>
    <row r="105" spans="1:20" x14ac:dyDescent="0.25">
      <c r="A105" s="17" t="s">
        <v>588</v>
      </c>
      <c r="B105" s="116" t="s">
        <v>589</v>
      </c>
      <c r="C105" s="116" t="s">
        <v>400</v>
      </c>
      <c r="D105" s="116" t="s">
        <v>251</v>
      </c>
      <c r="E105" s="116" t="s">
        <v>590</v>
      </c>
      <c r="F105" s="116" t="s">
        <v>206</v>
      </c>
      <c r="G105" s="116" t="s">
        <v>591</v>
      </c>
      <c r="H105" s="116" t="s">
        <v>521</v>
      </c>
      <c r="I105" s="116" t="s">
        <v>592</v>
      </c>
      <c r="J105" s="117">
        <v>1.4</v>
      </c>
      <c r="K105" s="117" t="s">
        <v>257</v>
      </c>
      <c r="L105" s="116">
        <v>2.2000000000000002E-2</v>
      </c>
      <c r="M105" s="116">
        <v>2.4399999999999998E-2</v>
      </c>
      <c r="N105" s="70">
        <v>301903.63058016502</v>
      </c>
      <c r="O105" s="61">
        <v>110.50999999999999</v>
      </c>
      <c r="P105" s="85">
        <v>0</v>
      </c>
      <c r="Q105" s="85">
        <v>333.63370212619333</v>
      </c>
      <c r="R105" s="25">
        <v>3.8046346713327986E-4</v>
      </c>
      <c r="S105" s="25">
        <v>1.5914782583439566E-3</v>
      </c>
      <c r="T105" s="25">
        <v>5.7917380728389175E-4</v>
      </c>
    </row>
    <row r="106" spans="1:20" x14ac:dyDescent="0.25">
      <c r="A106" s="17" t="s">
        <v>787</v>
      </c>
      <c r="B106" s="116" t="s">
        <v>788</v>
      </c>
      <c r="C106" s="116" t="s">
        <v>400</v>
      </c>
      <c r="D106" s="116" t="s">
        <v>251</v>
      </c>
      <c r="E106" s="116" t="s">
        <v>590</v>
      </c>
      <c r="F106" s="116" t="s">
        <v>206</v>
      </c>
      <c r="G106" s="116" t="s">
        <v>591</v>
      </c>
      <c r="H106" s="116" t="s">
        <v>521</v>
      </c>
      <c r="I106" s="116" t="s">
        <v>786</v>
      </c>
      <c r="J106" s="117">
        <v>4.71</v>
      </c>
      <c r="K106" s="117" t="s">
        <v>257</v>
      </c>
      <c r="L106" s="116">
        <v>2.1000000000000001E-2</v>
      </c>
      <c r="M106" s="116">
        <v>2.29E-2</v>
      </c>
      <c r="N106" s="70">
        <v>1125388.2088970961</v>
      </c>
      <c r="O106" s="61">
        <v>106.05</v>
      </c>
      <c r="P106" s="85">
        <v>0</v>
      </c>
      <c r="Q106" s="85">
        <v>1193.4741954983954</v>
      </c>
      <c r="R106" s="25">
        <v>8.8666304946038272E-4</v>
      </c>
      <c r="S106" s="25">
        <v>5.6930346722340961E-3</v>
      </c>
      <c r="T106" s="25">
        <v>2.0718200508425722E-3</v>
      </c>
    </row>
    <row r="107" spans="1:20" x14ac:dyDescent="0.25">
      <c r="A107" s="17" t="s">
        <v>917</v>
      </c>
      <c r="B107" s="116" t="s">
        <v>918</v>
      </c>
      <c r="C107" s="116" t="s">
        <v>400</v>
      </c>
      <c r="D107" s="116" t="s">
        <v>251</v>
      </c>
      <c r="E107" s="116" t="s">
        <v>590</v>
      </c>
      <c r="F107" s="116" t="s">
        <v>206</v>
      </c>
      <c r="G107" s="116" t="s">
        <v>591</v>
      </c>
      <c r="H107" s="116" t="s">
        <v>521</v>
      </c>
      <c r="I107" s="116" t="s">
        <v>919</v>
      </c>
      <c r="J107" s="117">
        <v>9.58</v>
      </c>
      <c r="K107" s="117" t="s">
        <v>257</v>
      </c>
      <c r="L107" s="116">
        <v>5.7999999999999996E-3</v>
      </c>
      <c r="M107" s="116">
        <v>2.5099999999999997E-2</v>
      </c>
      <c r="N107" s="70">
        <v>468749.67315178923</v>
      </c>
      <c r="O107" s="61">
        <v>89.93</v>
      </c>
      <c r="P107" s="85">
        <v>0</v>
      </c>
      <c r="Q107" s="85">
        <v>421.54658105184649</v>
      </c>
      <c r="R107" s="25">
        <v>9.799036989729332E-4</v>
      </c>
      <c r="S107" s="25">
        <v>2.0108346799133868E-3</v>
      </c>
      <c r="T107" s="25">
        <v>7.3178679713525765E-4</v>
      </c>
    </row>
    <row r="108" spans="1:20" x14ac:dyDescent="0.25">
      <c r="A108" s="17" t="s">
        <v>584</v>
      </c>
      <c r="B108" s="116" t="s">
        <v>585</v>
      </c>
      <c r="C108" s="116" t="s">
        <v>400</v>
      </c>
      <c r="D108" s="116" t="s">
        <v>251</v>
      </c>
      <c r="E108" s="116" t="s">
        <v>586</v>
      </c>
      <c r="F108" s="116" t="s">
        <v>223</v>
      </c>
      <c r="G108" s="116" t="s">
        <v>528</v>
      </c>
      <c r="H108" s="116" t="s">
        <v>256</v>
      </c>
      <c r="I108" s="116" t="s">
        <v>587</v>
      </c>
      <c r="J108" s="117">
        <v>1.34</v>
      </c>
      <c r="K108" s="117" t="s">
        <v>257</v>
      </c>
      <c r="L108" s="116">
        <v>2.5000000000000001E-2</v>
      </c>
      <c r="M108" s="116">
        <v>2.75E-2</v>
      </c>
      <c r="N108" s="70">
        <v>1537.646907897778</v>
      </c>
      <c r="O108" s="61">
        <v>110.7</v>
      </c>
      <c r="P108" s="85">
        <v>0</v>
      </c>
      <c r="Q108" s="85">
        <v>1.7021750946895871</v>
      </c>
      <c r="R108" s="25">
        <v>3.2652357048420215E-6</v>
      </c>
      <c r="S108" s="25">
        <v>8.1196073353177095E-6</v>
      </c>
      <c r="T108" s="25">
        <v>2.9549030088162321E-6</v>
      </c>
    </row>
    <row r="109" spans="1:20" x14ac:dyDescent="0.25">
      <c r="A109" s="17" t="s">
        <v>646</v>
      </c>
      <c r="B109" s="116" t="s">
        <v>647</v>
      </c>
      <c r="C109" s="116" t="s">
        <v>400</v>
      </c>
      <c r="D109" s="116" t="s">
        <v>251</v>
      </c>
      <c r="E109" s="116" t="s">
        <v>586</v>
      </c>
      <c r="F109" s="116" t="s">
        <v>223</v>
      </c>
      <c r="G109" s="116" t="s">
        <v>528</v>
      </c>
      <c r="H109" s="116" t="s">
        <v>256</v>
      </c>
      <c r="I109" s="116" t="s">
        <v>648</v>
      </c>
      <c r="J109" s="117">
        <v>2.19</v>
      </c>
      <c r="K109" s="117" t="s">
        <v>257</v>
      </c>
      <c r="L109" s="116">
        <v>1.95E-2</v>
      </c>
      <c r="M109" s="116">
        <v>2.9300000000000003E-2</v>
      </c>
      <c r="N109" s="70">
        <v>59471.034409443411</v>
      </c>
      <c r="O109" s="61">
        <v>109.19000000000001</v>
      </c>
      <c r="P109" s="85">
        <v>0</v>
      </c>
      <c r="Q109" s="85">
        <v>64.936422410686916</v>
      </c>
      <c r="R109" s="25">
        <v>1.045042616498056E-4</v>
      </c>
      <c r="S109" s="25">
        <v>3.0975559058526525E-4</v>
      </c>
      <c r="T109" s="25">
        <v>1.1272684611690457E-4</v>
      </c>
    </row>
    <row r="110" spans="1:20" x14ac:dyDescent="0.25">
      <c r="A110" s="17" t="s">
        <v>725</v>
      </c>
      <c r="B110" s="116" t="s">
        <v>726</v>
      </c>
      <c r="C110" s="116" t="s">
        <v>400</v>
      </c>
      <c r="D110" s="116" t="s">
        <v>251</v>
      </c>
      <c r="E110" s="116" t="s">
        <v>586</v>
      </c>
      <c r="F110" s="116" t="s">
        <v>223</v>
      </c>
      <c r="G110" s="116" t="s">
        <v>528</v>
      </c>
      <c r="H110" s="116" t="s">
        <v>256</v>
      </c>
      <c r="I110" s="116" t="s">
        <v>727</v>
      </c>
      <c r="J110" s="117">
        <v>3.7</v>
      </c>
      <c r="K110" s="117" t="s">
        <v>257</v>
      </c>
      <c r="L110" s="116">
        <v>3.3500000000000002E-2</v>
      </c>
      <c r="M110" s="116">
        <v>3.1E-2</v>
      </c>
      <c r="N110" s="70">
        <v>157220.14882798286</v>
      </c>
      <c r="O110" s="61">
        <v>112.51</v>
      </c>
      <c r="P110" s="85">
        <v>0</v>
      </c>
      <c r="Q110" s="85">
        <v>176.88838942560196</v>
      </c>
      <c r="R110" s="25">
        <v>3.7798425966552312E-4</v>
      </c>
      <c r="S110" s="25">
        <v>8.4378174066433167E-4</v>
      </c>
      <c r="T110" s="25">
        <v>3.0707066257110714E-4</v>
      </c>
    </row>
    <row r="111" spans="1:20" x14ac:dyDescent="0.25">
      <c r="A111" s="17" t="s">
        <v>850</v>
      </c>
      <c r="B111" s="116" t="s">
        <v>851</v>
      </c>
      <c r="C111" s="116" t="s">
        <v>400</v>
      </c>
      <c r="D111" s="116" t="s">
        <v>251</v>
      </c>
      <c r="E111" s="116" t="s">
        <v>586</v>
      </c>
      <c r="F111" s="116" t="s">
        <v>223</v>
      </c>
      <c r="G111" s="116" t="s">
        <v>591</v>
      </c>
      <c r="H111" s="116" t="s">
        <v>521</v>
      </c>
      <c r="I111" s="116" t="s">
        <v>852</v>
      </c>
      <c r="J111" s="117">
        <v>5.38</v>
      </c>
      <c r="K111" s="117" t="s">
        <v>257</v>
      </c>
      <c r="L111" s="116">
        <v>1.3300000000000001E-2</v>
      </c>
      <c r="M111" s="116">
        <v>3.6900000000000002E-2</v>
      </c>
      <c r="N111" s="70">
        <v>63093.372808394328</v>
      </c>
      <c r="O111" s="61">
        <v>97.7</v>
      </c>
      <c r="P111" s="85">
        <v>0</v>
      </c>
      <c r="Q111" s="85">
        <v>61.642225188814827</v>
      </c>
      <c r="R111" s="25">
        <v>5.3131261312332067E-5</v>
      </c>
      <c r="S111" s="25">
        <v>2.9404182059171848E-4</v>
      </c>
      <c r="T111" s="25">
        <v>1.070082609296862E-4</v>
      </c>
    </row>
    <row r="112" spans="1:20" x14ac:dyDescent="0.25">
      <c r="A112" s="17" t="s">
        <v>958</v>
      </c>
      <c r="B112" s="116" t="s">
        <v>959</v>
      </c>
      <c r="C112" s="116" t="s">
        <v>400</v>
      </c>
      <c r="D112" s="116" t="s">
        <v>251</v>
      </c>
      <c r="E112" s="116" t="s">
        <v>586</v>
      </c>
      <c r="F112" s="116" t="s">
        <v>223</v>
      </c>
      <c r="G112" s="116" t="s">
        <v>528</v>
      </c>
      <c r="H112" s="116" t="s">
        <v>256</v>
      </c>
      <c r="I112" s="116" t="s">
        <v>960</v>
      </c>
      <c r="J112" s="117">
        <v>6.02</v>
      </c>
      <c r="K112" s="117" t="s">
        <v>257</v>
      </c>
      <c r="L112" s="116">
        <v>1.8700000000000001E-2</v>
      </c>
      <c r="M112" s="116">
        <v>3.7499999999999999E-2</v>
      </c>
      <c r="N112" s="70">
        <v>182314.16952650499</v>
      </c>
      <c r="O112" s="61">
        <v>95.12</v>
      </c>
      <c r="P112" s="85">
        <v>0</v>
      </c>
      <c r="Q112" s="85">
        <v>173.41723802590485</v>
      </c>
      <c r="R112" s="25">
        <v>3.2605889730283685E-4</v>
      </c>
      <c r="S112" s="25">
        <v>8.272238751104834E-4</v>
      </c>
      <c r="T112" s="25">
        <v>3.0104489251547601E-4</v>
      </c>
    </row>
    <row r="113" spans="1:20" x14ac:dyDescent="0.25">
      <c r="A113" s="17" t="s">
        <v>1092</v>
      </c>
      <c r="B113" s="116" t="s">
        <v>1093</v>
      </c>
      <c r="C113" s="116" t="s">
        <v>400</v>
      </c>
      <c r="D113" s="116" t="s">
        <v>251</v>
      </c>
      <c r="E113" s="116" t="s">
        <v>821</v>
      </c>
      <c r="F113" s="116" t="s">
        <v>200</v>
      </c>
      <c r="G113" s="116" t="s">
        <v>591</v>
      </c>
      <c r="H113" s="116" t="s">
        <v>521</v>
      </c>
      <c r="I113" s="116" t="s">
        <v>467</v>
      </c>
      <c r="J113" s="117">
        <v>4.6399999999999997</v>
      </c>
      <c r="K113" s="117" t="s">
        <v>257</v>
      </c>
      <c r="L113" s="116">
        <v>1.09E-2</v>
      </c>
      <c r="M113" s="116">
        <v>3.4599999999999999E-2</v>
      </c>
      <c r="N113" s="70">
        <v>10.192815426132118</v>
      </c>
      <c r="O113" s="61">
        <v>4800000</v>
      </c>
      <c r="P113" s="85">
        <v>0</v>
      </c>
      <c r="Q113" s="85">
        <v>489.25514045434159</v>
      </c>
      <c r="R113" s="25">
        <v>5.613092915982222E-4</v>
      </c>
      <c r="S113" s="25">
        <v>2.3338137419989771E-3</v>
      </c>
      <c r="T113" s="25">
        <v>8.493259542555955E-4</v>
      </c>
    </row>
    <row r="114" spans="1:20" x14ac:dyDescent="0.25">
      <c r="A114" s="17" t="s">
        <v>1097</v>
      </c>
      <c r="B114" s="116" t="s">
        <v>1098</v>
      </c>
      <c r="C114" s="116" t="s">
        <v>400</v>
      </c>
      <c r="D114" s="116" t="s">
        <v>251</v>
      </c>
      <c r="E114" s="116" t="s">
        <v>821</v>
      </c>
      <c r="F114" s="116" t="s">
        <v>200</v>
      </c>
      <c r="G114" s="116" t="s">
        <v>591</v>
      </c>
      <c r="H114" s="116" t="s">
        <v>521</v>
      </c>
      <c r="I114" s="116" t="s">
        <v>1099</v>
      </c>
      <c r="J114" s="117">
        <v>5.28</v>
      </c>
      <c r="K114" s="117" t="s">
        <v>257</v>
      </c>
      <c r="L114" s="116">
        <v>2.9900000000000003E-2</v>
      </c>
      <c r="M114" s="116">
        <v>3.5499999999999997E-2</v>
      </c>
      <c r="N114" s="70">
        <v>5.5894096683807923</v>
      </c>
      <c r="O114" s="61">
        <v>5048968</v>
      </c>
      <c r="P114" s="85">
        <v>0</v>
      </c>
      <c r="Q114" s="85">
        <v>282.20750554545231</v>
      </c>
      <c r="R114" s="25">
        <v>3.4933810427379954E-4</v>
      </c>
      <c r="S114" s="25">
        <v>1.3461682874207697E-3</v>
      </c>
      <c r="T114" s="25">
        <v>4.8990013415679292E-4</v>
      </c>
    </row>
    <row r="115" spans="1:20" x14ac:dyDescent="0.25">
      <c r="A115" s="17" t="s">
        <v>1081</v>
      </c>
      <c r="B115" s="116" t="s">
        <v>1082</v>
      </c>
      <c r="C115" s="116" t="s">
        <v>400</v>
      </c>
      <c r="D115" s="116" t="s">
        <v>251</v>
      </c>
      <c r="E115" s="116" t="s">
        <v>821</v>
      </c>
      <c r="F115" s="116" t="s">
        <v>200</v>
      </c>
      <c r="G115" s="116" t="s">
        <v>591</v>
      </c>
      <c r="H115" s="116" t="s">
        <v>521</v>
      </c>
      <c r="I115" s="116" t="s">
        <v>1083</v>
      </c>
      <c r="J115" s="117">
        <v>2.92</v>
      </c>
      <c r="K115" s="117" t="s">
        <v>257</v>
      </c>
      <c r="L115" s="116">
        <v>2.3199999999999998E-2</v>
      </c>
      <c r="M115" s="116">
        <v>3.15E-2</v>
      </c>
      <c r="N115" s="70">
        <v>0.80112817738644215</v>
      </c>
      <c r="O115" s="61">
        <v>5402000</v>
      </c>
      <c r="P115" s="85">
        <v>0</v>
      </c>
      <c r="Q115" s="85">
        <v>43.276944142415601</v>
      </c>
      <c r="R115" s="25">
        <v>1.3352136289774037E-4</v>
      </c>
      <c r="S115" s="25">
        <v>2.0643692544037207E-4</v>
      </c>
      <c r="T115" s="25">
        <v>7.512692017275475E-5</v>
      </c>
    </row>
    <row r="116" spans="1:20" x14ac:dyDescent="0.25">
      <c r="A116" s="17" t="s">
        <v>1060</v>
      </c>
      <c r="B116" s="116" t="s">
        <v>1061</v>
      </c>
      <c r="C116" s="116" t="s">
        <v>400</v>
      </c>
      <c r="D116" s="116" t="s">
        <v>251</v>
      </c>
      <c r="E116" s="116" t="s">
        <v>821</v>
      </c>
      <c r="F116" s="116" t="s">
        <v>200</v>
      </c>
      <c r="G116" s="116" t="s">
        <v>528</v>
      </c>
      <c r="H116" s="116" t="s">
        <v>256</v>
      </c>
      <c r="I116" s="116" t="s">
        <v>1062</v>
      </c>
      <c r="J116" s="117">
        <v>1.01</v>
      </c>
      <c r="K116" s="117" t="s">
        <v>257</v>
      </c>
      <c r="L116" s="116">
        <v>2.2000000000000002E-2</v>
      </c>
      <c r="M116" s="116">
        <v>2.6499999999999999E-2</v>
      </c>
      <c r="N116" s="70">
        <v>4.1165663268780257</v>
      </c>
      <c r="O116" s="61">
        <v>5615000</v>
      </c>
      <c r="P116" s="85">
        <v>0</v>
      </c>
      <c r="Q116" s="85">
        <v>231.14519925420115</v>
      </c>
      <c r="R116" s="25">
        <v>8.1775254804887282E-4</v>
      </c>
      <c r="S116" s="25">
        <v>1.102594122803885E-3</v>
      </c>
      <c r="T116" s="25">
        <v>4.0125815897583801E-4</v>
      </c>
    </row>
    <row r="117" spans="1:20" x14ac:dyDescent="0.25">
      <c r="A117" s="17" t="s">
        <v>1100</v>
      </c>
      <c r="B117" s="116" t="s">
        <v>1101</v>
      </c>
      <c r="C117" s="116" t="s">
        <v>400</v>
      </c>
      <c r="D117" s="116" t="s">
        <v>251</v>
      </c>
      <c r="E117" s="116" t="s">
        <v>908</v>
      </c>
      <c r="F117" s="116" t="s">
        <v>200</v>
      </c>
      <c r="G117" s="116" t="s">
        <v>528</v>
      </c>
      <c r="H117" s="116" t="s">
        <v>256</v>
      </c>
      <c r="I117" s="116" t="s">
        <v>1102</v>
      </c>
      <c r="J117" s="117">
        <v>4.32</v>
      </c>
      <c r="K117" s="117" t="s">
        <v>257</v>
      </c>
      <c r="L117" s="116">
        <v>2E-3</v>
      </c>
      <c r="M117" s="116">
        <v>3.4500000000000003E-2</v>
      </c>
      <c r="N117" s="70">
        <v>6.1625244414341704E-3</v>
      </c>
      <c r="O117" s="61">
        <v>4700000</v>
      </c>
      <c r="P117" s="85">
        <v>0</v>
      </c>
      <c r="Q117" s="85">
        <v>0.28963864874740597</v>
      </c>
      <c r="R117" s="25">
        <v>5.3764826744321847E-7</v>
      </c>
      <c r="S117" s="25">
        <v>1.3816158539141466E-6</v>
      </c>
      <c r="T117" s="25">
        <v>5.0280028025510106E-7</v>
      </c>
    </row>
    <row r="118" spans="1:20" x14ac:dyDescent="0.25">
      <c r="A118" s="17" t="s">
        <v>1072</v>
      </c>
      <c r="B118" s="116" t="s">
        <v>1073</v>
      </c>
      <c r="C118" s="116" t="s">
        <v>400</v>
      </c>
      <c r="D118" s="116" t="s">
        <v>251</v>
      </c>
      <c r="E118" s="116" t="s">
        <v>908</v>
      </c>
      <c r="F118" s="116" t="s">
        <v>200</v>
      </c>
      <c r="G118" s="116" t="s">
        <v>591</v>
      </c>
      <c r="H118" s="116" t="s">
        <v>521</v>
      </c>
      <c r="I118" s="116" t="s">
        <v>1074</v>
      </c>
      <c r="J118" s="117">
        <v>2.29</v>
      </c>
      <c r="K118" s="117" t="s">
        <v>257</v>
      </c>
      <c r="L118" s="116">
        <v>1.46E-2</v>
      </c>
      <c r="M118" s="116">
        <v>3.0200000000000001E-2</v>
      </c>
      <c r="N118" s="70">
        <v>18.216422248879407</v>
      </c>
      <c r="O118" s="61">
        <v>5353000</v>
      </c>
      <c r="P118" s="85">
        <v>0</v>
      </c>
      <c r="Q118" s="85">
        <v>975.12508298251464</v>
      </c>
      <c r="R118" s="25">
        <v>6.839793582727972E-4</v>
      </c>
      <c r="S118" s="25">
        <v>4.6514796282347186E-3</v>
      </c>
      <c r="T118" s="25">
        <v>1.6927753500016224E-3</v>
      </c>
    </row>
    <row r="119" spans="1:20" x14ac:dyDescent="0.25">
      <c r="A119" s="17" t="s">
        <v>1078</v>
      </c>
      <c r="B119" s="116" t="s">
        <v>1079</v>
      </c>
      <c r="C119" s="116" t="s">
        <v>400</v>
      </c>
      <c r="D119" s="116" t="s">
        <v>251</v>
      </c>
      <c r="E119" s="116" t="s">
        <v>908</v>
      </c>
      <c r="F119" s="116" t="s">
        <v>200</v>
      </c>
      <c r="G119" s="116" t="s">
        <v>591</v>
      </c>
      <c r="H119" s="116" t="s">
        <v>521</v>
      </c>
      <c r="I119" s="116" t="s">
        <v>1080</v>
      </c>
      <c r="J119" s="117">
        <v>2.93</v>
      </c>
      <c r="K119" s="117" t="s">
        <v>257</v>
      </c>
      <c r="L119" s="116">
        <v>2.4199999999999999E-2</v>
      </c>
      <c r="M119" s="116">
        <v>3.27E-2</v>
      </c>
      <c r="N119" s="70">
        <v>23.590143561810002</v>
      </c>
      <c r="O119" s="61">
        <v>5396000</v>
      </c>
      <c r="P119" s="85">
        <v>46.285716099999995</v>
      </c>
      <c r="Q119" s="85">
        <v>1319.2098626903937</v>
      </c>
      <c r="R119" s="25">
        <v>7.7896392688581433E-4</v>
      </c>
      <c r="S119" s="25">
        <v>6.2928109519060733E-3</v>
      </c>
      <c r="T119" s="25">
        <v>2.2900917800320456E-3</v>
      </c>
    </row>
    <row r="120" spans="1:20" x14ac:dyDescent="0.25">
      <c r="A120" s="17" t="s">
        <v>1089</v>
      </c>
      <c r="B120" s="116" t="s">
        <v>1090</v>
      </c>
      <c r="C120" s="116" t="s">
        <v>400</v>
      </c>
      <c r="D120" s="116" t="s">
        <v>251</v>
      </c>
      <c r="E120" s="116" t="s">
        <v>908</v>
      </c>
      <c r="F120" s="116" t="s">
        <v>200</v>
      </c>
      <c r="G120" s="116" t="s">
        <v>591</v>
      </c>
      <c r="H120" s="116" t="s">
        <v>521</v>
      </c>
      <c r="I120" s="116" t="s">
        <v>1091</v>
      </c>
      <c r="J120" s="117">
        <v>4.78</v>
      </c>
      <c r="K120" s="117" t="s">
        <v>257</v>
      </c>
      <c r="L120" s="116">
        <v>2.4199999999999999E-2</v>
      </c>
      <c r="M120" s="116">
        <v>3.2599999999999997E-2</v>
      </c>
      <c r="N120" s="70">
        <v>11.006268652401427</v>
      </c>
      <c r="O120" s="61">
        <v>5396000</v>
      </c>
      <c r="P120" s="85">
        <v>0</v>
      </c>
      <c r="Q120" s="85">
        <v>593.89825648358101</v>
      </c>
      <c r="R120" s="25">
        <v>3.6343510277378905E-4</v>
      </c>
      <c r="S120" s="25">
        <v>2.8329756761338795E-3</v>
      </c>
      <c r="T120" s="25">
        <v>1.0309819186574798E-3</v>
      </c>
    </row>
    <row r="121" spans="1:20" x14ac:dyDescent="0.25">
      <c r="A121" s="17" t="s">
        <v>776</v>
      </c>
      <c r="B121" s="116" t="s">
        <v>777</v>
      </c>
      <c r="C121" s="116" t="s">
        <v>400</v>
      </c>
      <c r="D121" s="116" t="s">
        <v>251</v>
      </c>
      <c r="E121" s="116" t="s">
        <v>778</v>
      </c>
      <c r="F121" s="116" t="s">
        <v>201</v>
      </c>
      <c r="G121" s="116" t="s">
        <v>528</v>
      </c>
      <c r="H121" s="116" t="s">
        <v>256</v>
      </c>
      <c r="I121" s="116" t="s">
        <v>775</v>
      </c>
      <c r="J121" s="117">
        <v>5.53</v>
      </c>
      <c r="K121" s="117" t="s">
        <v>257</v>
      </c>
      <c r="L121" s="116">
        <v>4.4000000000000003E-3</v>
      </c>
      <c r="M121" s="116">
        <v>2.58E-2</v>
      </c>
      <c r="N121" s="70">
        <v>806851.45508026227</v>
      </c>
      <c r="O121" s="61">
        <v>98.15</v>
      </c>
      <c r="P121" s="85">
        <v>0</v>
      </c>
      <c r="Q121" s="85">
        <v>791.92470312442549</v>
      </c>
      <c r="R121" s="25">
        <v>1.0661261769454983E-3</v>
      </c>
      <c r="S121" s="25">
        <v>3.7775888324115079E-3</v>
      </c>
      <c r="T121" s="25">
        <v>1.3747473425728893E-3</v>
      </c>
    </row>
    <row r="122" spans="1:20" x14ac:dyDescent="0.25">
      <c r="A122" s="17" t="s">
        <v>1051</v>
      </c>
      <c r="B122" s="116" t="s">
        <v>1052</v>
      </c>
      <c r="C122" s="116" t="s">
        <v>400</v>
      </c>
      <c r="D122" s="116" t="s">
        <v>251</v>
      </c>
      <c r="E122" s="116" t="s">
        <v>1047</v>
      </c>
      <c r="F122" s="116" t="s">
        <v>201</v>
      </c>
      <c r="G122" s="116" t="s">
        <v>528</v>
      </c>
      <c r="H122" s="116" t="s">
        <v>256</v>
      </c>
      <c r="I122" s="116" t="s">
        <v>1053</v>
      </c>
      <c r="J122" s="117">
        <v>0.91</v>
      </c>
      <c r="K122" s="117" t="s">
        <v>257</v>
      </c>
      <c r="L122" s="116">
        <v>3.85E-2</v>
      </c>
      <c r="M122" s="116">
        <v>2.4300000000000002E-2</v>
      </c>
      <c r="N122" s="70">
        <v>263767.55152651464</v>
      </c>
      <c r="O122" s="61">
        <v>115.9</v>
      </c>
      <c r="P122" s="85">
        <v>0</v>
      </c>
      <c r="Q122" s="85">
        <v>305.70659220074288</v>
      </c>
      <c r="R122" s="25">
        <v>1.0550702061060586E-3</v>
      </c>
      <c r="S122" s="25">
        <v>1.4582621354478195E-3</v>
      </c>
      <c r="T122" s="25">
        <v>5.3069354141482492E-4</v>
      </c>
    </row>
    <row r="123" spans="1:20" x14ac:dyDescent="0.25">
      <c r="A123" s="17" t="s">
        <v>1045</v>
      </c>
      <c r="B123" s="116" t="s">
        <v>1046</v>
      </c>
      <c r="C123" s="116" t="s">
        <v>400</v>
      </c>
      <c r="D123" s="116" t="s">
        <v>251</v>
      </c>
      <c r="E123" s="116" t="s">
        <v>1047</v>
      </c>
      <c r="F123" s="116" t="s">
        <v>201</v>
      </c>
      <c r="G123" s="116" t="s">
        <v>591</v>
      </c>
      <c r="H123" s="116" t="s">
        <v>521</v>
      </c>
      <c r="I123" s="116" t="s">
        <v>1048</v>
      </c>
      <c r="J123" s="117">
        <v>2.4500000000000002</v>
      </c>
      <c r="K123" s="117" t="s">
        <v>257</v>
      </c>
      <c r="L123" s="116">
        <v>2.4E-2</v>
      </c>
      <c r="M123" s="116">
        <v>0.02</v>
      </c>
      <c r="N123" s="70">
        <v>233468.11822572278</v>
      </c>
      <c r="O123" s="61">
        <v>111.53</v>
      </c>
      <c r="P123" s="85">
        <v>0</v>
      </c>
      <c r="Q123" s="85">
        <v>260.38699225574356</v>
      </c>
      <c r="R123" s="25">
        <v>7.9090352268775964E-4</v>
      </c>
      <c r="S123" s="25">
        <v>1.2420814632625144E-3</v>
      </c>
      <c r="T123" s="25">
        <v>4.52020658317421E-4</v>
      </c>
    </row>
    <row r="124" spans="1:20" x14ac:dyDescent="0.25">
      <c r="A124" s="17" t="s">
        <v>1049</v>
      </c>
      <c r="B124" s="116" t="s">
        <v>1050</v>
      </c>
      <c r="C124" s="116" t="s">
        <v>400</v>
      </c>
      <c r="D124" s="116" t="s">
        <v>251</v>
      </c>
      <c r="E124" s="116" t="s">
        <v>1047</v>
      </c>
      <c r="F124" s="116" t="s">
        <v>201</v>
      </c>
      <c r="G124" s="116" t="s">
        <v>591</v>
      </c>
      <c r="H124" s="116" t="s">
        <v>521</v>
      </c>
      <c r="I124" s="116" t="s">
        <v>1048</v>
      </c>
      <c r="J124" s="117">
        <v>3.39</v>
      </c>
      <c r="K124" s="117" t="s">
        <v>257</v>
      </c>
      <c r="L124" s="116">
        <v>2.4E-2</v>
      </c>
      <c r="M124" s="116">
        <v>2.1000000000000001E-2</v>
      </c>
      <c r="N124" s="70">
        <v>235172.7008338359</v>
      </c>
      <c r="O124" s="61">
        <v>111.6</v>
      </c>
      <c r="P124" s="85">
        <v>0</v>
      </c>
      <c r="Q124" s="85">
        <v>262.4527341073898</v>
      </c>
      <c r="R124" s="25">
        <v>7.966780172941946E-4</v>
      </c>
      <c r="S124" s="25">
        <v>1.2519353336098292E-3</v>
      </c>
      <c r="T124" s="25">
        <v>4.5560669763377004E-4</v>
      </c>
    </row>
    <row r="125" spans="1:20" x14ac:dyDescent="0.25">
      <c r="A125" s="17" t="s">
        <v>830</v>
      </c>
      <c r="B125" s="116" t="s">
        <v>831</v>
      </c>
      <c r="C125" s="116" t="s">
        <v>400</v>
      </c>
      <c r="D125" s="116" t="s">
        <v>251</v>
      </c>
      <c r="E125" s="116" t="s">
        <v>832</v>
      </c>
      <c r="F125" s="116" t="s">
        <v>200</v>
      </c>
      <c r="G125" s="116" t="s">
        <v>528</v>
      </c>
      <c r="H125" s="116" t="s">
        <v>256</v>
      </c>
      <c r="I125" s="116" t="s">
        <v>833</v>
      </c>
      <c r="J125" s="117">
        <v>1.98</v>
      </c>
      <c r="K125" s="117" t="s">
        <v>257</v>
      </c>
      <c r="L125" s="116">
        <v>2E-3</v>
      </c>
      <c r="M125" s="116">
        <v>2.1400000000000002E-2</v>
      </c>
      <c r="N125" s="70">
        <v>769495.74839030288</v>
      </c>
      <c r="O125" s="61">
        <v>105.38000000000001</v>
      </c>
      <c r="P125" s="85">
        <v>0</v>
      </c>
      <c r="Q125" s="85">
        <v>810.89461964014356</v>
      </c>
      <c r="R125" s="25">
        <v>1.379946296910335E-3</v>
      </c>
      <c r="S125" s="25">
        <v>3.8680779212084972E-3</v>
      </c>
      <c r="T125" s="25">
        <v>1.4076783045897613E-3</v>
      </c>
    </row>
    <row r="126" spans="1:20" x14ac:dyDescent="0.25">
      <c r="A126" s="17" t="s">
        <v>899</v>
      </c>
      <c r="B126" s="116" t="s">
        <v>900</v>
      </c>
      <c r="C126" s="116" t="s">
        <v>400</v>
      </c>
      <c r="D126" s="116" t="s">
        <v>251</v>
      </c>
      <c r="E126" s="116" t="s">
        <v>832</v>
      </c>
      <c r="F126" s="116" t="s">
        <v>200</v>
      </c>
      <c r="G126" s="116" t="s">
        <v>528</v>
      </c>
      <c r="H126" s="116" t="s">
        <v>256</v>
      </c>
      <c r="I126" s="116" t="s">
        <v>464</v>
      </c>
      <c r="J126" s="117">
        <v>4.1900000000000004</v>
      </c>
      <c r="K126" s="117" t="s">
        <v>257</v>
      </c>
      <c r="L126" s="116">
        <v>2E-3</v>
      </c>
      <c r="M126" s="116">
        <v>2.23E-2</v>
      </c>
      <c r="N126" s="70">
        <v>974818.92876826413</v>
      </c>
      <c r="O126" s="61">
        <v>99.16</v>
      </c>
      <c r="P126" s="85">
        <v>0</v>
      </c>
      <c r="Q126" s="85">
        <v>966.6304497666107</v>
      </c>
      <c r="R126" s="25">
        <v>1.2111191810670813E-3</v>
      </c>
      <c r="S126" s="25">
        <v>4.6109590693416483E-3</v>
      </c>
      <c r="T126" s="25">
        <v>1.6780290308204911E-3</v>
      </c>
    </row>
    <row r="127" spans="1:20" x14ac:dyDescent="0.25">
      <c r="A127" s="17" t="s">
        <v>639</v>
      </c>
      <c r="B127" s="116" t="s">
        <v>640</v>
      </c>
      <c r="C127" s="116" t="s">
        <v>400</v>
      </c>
      <c r="D127" s="116" t="s">
        <v>251</v>
      </c>
      <c r="E127" s="116" t="s">
        <v>641</v>
      </c>
      <c r="F127" s="116" t="s">
        <v>223</v>
      </c>
      <c r="G127" s="116" t="s">
        <v>591</v>
      </c>
      <c r="H127" s="116" t="s">
        <v>521</v>
      </c>
      <c r="I127" s="116" t="s">
        <v>642</v>
      </c>
      <c r="J127" s="117">
        <v>4.34</v>
      </c>
      <c r="K127" s="117" t="s">
        <v>257</v>
      </c>
      <c r="L127" s="116">
        <v>2.4E-2</v>
      </c>
      <c r="M127" s="116">
        <v>2.81E-2</v>
      </c>
      <c r="N127" s="70">
        <v>1184283.1859896907</v>
      </c>
      <c r="O127" s="61">
        <v>110.68</v>
      </c>
      <c r="P127" s="85">
        <v>0</v>
      </c>
      <c r="Q127" s="85">
        <v>1310.7646301807952</v>
      </c>
      <c r="R127" s="25">
        <v>1.0988470498779674E-3</v>
      </c>
      <c r="S127" s="25">
        <v>6.2525260411190869E-3</v>
      </c>
      <c r="T127" s="25">
        <v>2.2754312183597366E-3</v>
      </c>
    </row>
    <row r="128" spans="1:20" x14ac:dyDescent="0.25">
      <c r="A128" s="17" t="s">
        <v>949</v>
      </c>
      <c r="B128" s="116" t="s">
        <v>950</v>
      </c>
      <c r="C128" s="116" t="s">
        <v>400</v>
      </c>
      <c r="D128" s="116" t="s">
        <v>251</v>
      </c>
      <c r="E128" s="116" t="s">
        <v>641</v>
      </c>
      <c r="F128" s="116" t="s">
        <v>223</v>
      </c>
      <c r="G128" s="116" t="s">
        <v>591</v>
      </c>
      <c r="H128" s="116" t="s">
        <v>521</v>
      </c>
      <c r="I128" s="116" t="s">
        <v>951</v>
      </c>
      <c r="J128" s="117">
        <v>6.52</v>
      </c>
      <c r="K128" s="117" t="s">
        <v>257</v>
      </c>
      <c r="L128" s="116">
        <v>1.4999999999999999E-2</v>
      </c>
      <c r="M128" s="116">
        <v>0.03</v>
      </c>
      <c r="N128" s="70">
        <v>295386.17375639436</v>
      </c>
      <c r="O128" s="61">
        <v>97.16</v>
      </c>
      <c r="P128" s="85">
        <v>0</v>
      </c>
      <c r="Q128" s="85">
        <v>286.99720638907604</v>
      </c>
      <c r="R128" s="25">
        <v>1.1283933080027395E-3</v>
      </c>
      <c r="S128" s="25">
        <v>1.3690158136389562E-3</v>
      </c>
      <c r="T128" s="25">
        <v>4.982148495337879E-4</v>
      </c>
    </row>
    <row r="129" spans="1:20" x14ac:dyDescent="0.25">
      <c r="A129" s="17" t="s">
        <v>692</v>
      </c>
      <c r="B129" s="116" t="s">
        <v>693</v>
      </c>
      <c r="C129" s="116" t="s">
        <v>400</v>
      </c>
      <c r="D129" s="116" t="s">
        <v>251</v>
      </c>
      <c r="E129" s="116" t="s">
        <v>627</v>
      </c>
      <c r="F129" s="116" t="s">
        <v>223</v>
      </c>
      <c r="G129" s="116" t="s">
        <v>528</v>
      </c>
      <c r="H129" s="116" t="s">
        <v>256</v>
      </c>
      <c r="I129" s="116" t="s">
        <v>694</v>
      </c>
      <c r="J129" s="117">
        <v>2.48</v>
      </c>
      <c r="K129" s="117" t="s">
        <v>257</v>
      </c>
      <c r="L129" s="116">
        <v>1.3999999999999999E-2</v>
      </c>
      <c r="M129" s="116">
        <v>2.9600000000000001E-2</v>
      </c>
      <c r="N129" s="70">
        <v>505258.86516485299</v>
      </c>
      <c r="O129" s="61">
        <v>107.24000000000001</v>
      </c>
      <c r="P129" s="85">
        <v>0</v>
      </c>
      <c r="Q129" s="85">
        <v>541.83960698306828</v>
      </c>
      <c r="R129" s="25">
        <v>5.6860101864151808E-4</v>
      </c>
      <c r="S129" s="25">
        <v>2.5846488185327929E-3</v>
      </c>
      <c r="T129" s="25">
        <v>9.406103343687158E-4</v>
      </c>
    </row>
    <row r="130" spans="1:20" x14ac:dyDescent="0.25">
      <c r="A130" s="17" t="s">
        <v>1106</v>
      </c>
      <c r="B130" s="116" t="s">
        <v>1107</v>
      </c>
      <c r="C130" s="116" t="s">
        <v>400</v>
      </c>
      <c r="D130" s="116" t="s">
        <v>251</v>
      </c>
      <c r="E130" s="116" t="s">
        <v>660</v>
      </c>
      <c r="F130" s="116" t="s">
        <v>200</v>
      </c>
      <c r="G130" s="116" t="s">
        <v>591</v>
      </c>
      <c r="H130" s="116" t="s">
        <v>521</v>
      </c>
      <c r="I130" s="116" t="s">
        <v>1108</v>
      </c>
      <c r="J130" s="117">
        <v>4.63</v>
      </c>
      <c r="K130" s="117" t="s">
        <v>257</v>
      </c>
      <c r="L130" s="116">
        <v>3.3099999999999997E-2</v>
      </c>
      <c r="M130" s="116">
        <v>3.5299999999999998E-2</v>
      </c>
      <c r="N130" s="70">
        <v>17.057867653889783</v>
      </c>
      <c r="O130" s="61">
        <v>5086667</v>
      </c>
      <c r="P130" s="85">
        <v>0</v>
      </c>
      <c r="Q130" s="85">
        <v>867.67692485408577</v>
      </c>
      <c r="R130" s="25">
        <v>1.2159004671672808E-3</v>
      </c>
      <c r="S130" s="25">
        <v>4.1389372607498571E-3</v>
      </c>
      <c r="T130" s="25">
        <v>1.5062499527402104E-3</v>
      </c>
    </row>
    <row r="131" spans="1:20" x14ac:dyDescent="0.25">
      <c r="A131" s="17" t="s">
        <v>1087</v>
      </c>
      <c r="B131" s="116" t="s">
        <v>1088</v>
      </c>
      <c r="C131" s="116" t="s">
        <v>400</v>
      </c>
      <c r="D131" s="116" t="s">
        <v>251</v>
      </c>
      <c r="E131" s="116" t="s">
        <v>660</v>
      </c>
      <c r="F131" s="116" t="s">
        <v>200</v>
      </c>
      <c r="G131" s="116" t="s">
        <v>591</v>
      </c>
      <c r="H131" s="116" t="s">
        <v>521</v>
      </c>
      <c r="I131" s="116" t="s">
        <v>829</v>
      </c>
      <c r="J131" s="117">
        <v>2.93</v>
      </c>
      <c r="K131" s="117" t="s">
        <v>257</v>
      </c>
      <c r="L131" s="116">
        <v>1.89E-2</v>
      </c>
      <c r="M131" s="116">
        <v>3.3399999999999999E-2</v>
      </c>
      <c r="N131" s="70">
        <v>5.0347824686517173</v>
      </c>
      <c r="O131" s="61">
        <v>5300000</v>
      </c>
      <c r="P131" s="85">
        <v>0</v>
      </c>
      <c r="Q131" s="85">
        <v>266.84347083854101</v>
      </c>
      <c r="R131" s="25">
        <v>6.2934780858146463E-4</v>
      </c>
      <c r="S131" s="25">
        <v>1.2728797466029036E-3</v>
      </c>
      <c r="T131" s="25">
        <v>4.632288284111944E-4</v>
      </c>
    </row>
    <row r="132" spans="1:20" x14ac:dyDescent="0.25">
      <c r="A132" s="17" t="s">
        <v>601</v>
      </c>
      <c r="B132" s="116" t="s">
        <v>602</v>
      </c>
      <c r="C132" s="116" t="s">
        <v>400</v>
      </c>
      <c r="D132" s="116" t="s">
        <v>251</v>
      </c>
      <c r="E132" s="116" t="s">
        <v>603</v>
      </c>
      <c r="F132" s="116" t="s">
        <v>223</v>
      </c>
      <c r="G132" s="116" t="s">
        <v>591</v>
      </c>
      <c r="H132" s="116" t="s">
        <v>521</v>
      </c>
      <c r="I132" s="116" t="s">
        <v>604</v>
      </c>
      <c r="J132" s="117">
        <v>1.03</v>
      </c>
      <c r="K132" s="117" t="s">
        <v>257</v>
      </c>
      <c r="L132" s="116">
        <v>2.75E-2</v>
      </c>
      <c r="M132" s="116">
        <v>2.6000000000000002E-2</v>
      </c>
      <c r="N132" s="70">
        <v>2755.7518253223129</v>
      </c>
      <c r="O132" s="61">
        <v>111.78000000000002</v>
      </c>
      <c r="P132" s="85">
        <v>0</v>
      </c>
      <c r="Q132" s="85">
        <v>3.0803793774656052</v>
      </c>
      <c r="R132" s="25">
        <v>9.9671844132440168E-6</v>
      </c>
      <c r="S132" s="25">
        <v>1.4693829716379608E-5</v>
      </c>
      <c r="T132" s="25">
        <v>5.3474065736042816E-6</v>
      </c>
    </row>
    <row r="133" spans="1:20" x14ac:dyDescent="0.25">
      <c r="A133" s="17" t="s">
        <v>643</v>
      </c>
      <c r="B133" s="116" t="s">
        <v>644</v>
      </c>
      <c r="C133" s="116" t="s">
        <v>400</v>
      </c>
      <c r="D133" s="116" t="s">
        <v>251</v>
      </c>
      <c r="E133" s="116" t="s">
        <v>603</v>
      </c>
      <c r="F133" s="116" t="s">
        <v>223</v>
      </c>
      <c r="G133" s="116" t="s">
        <v>591</v>
      </c>
      <c r="H133" s="116" t="s">
        <v>521</v>
      </c>
      <c r="I133" s="116" t="s">
        <v>645</v>
      </c>
      <c r="J133" s="117">
        <v>4.09</v>
      </c>
      <c r="K133" s="117" t="s">
        <v>257</v>
      </c>
      <c r="L133" s="116">
        <v>1.9599999999999999E-2</v>
      </c>
      <c r="M133" s="116">
        <v>2.8500000000000001E-2</v>
      </c>
      <c r="N133" s="70">
        <v>928969.32386669109</v>
      </c>
      <c r="O133" s="61">
        <v>107.72</v>
      </c>
      <c r="P133" s="85">
        <v>0</v>
      </c>
      <c r="Q133" s="85">
        <v>1000.6857556678439</v>
      </c>
      <c r="R133" s="25">
        <v>8.8385594386361152E-4</v>
      </c>
      <c r="S133" s="25">
        <v>4.773407522773266E-3</v>
      </c>
      <c r="T133" s="25">
        <v>1.7371475822478119E-3</v>
      </c>
    </row>
    <row r="134" spans="1:20" x14ac:dyDescent="0.25">
      <c r="A134" s="17" t="s">
        <v>792</v>
      </c>
      <c r="B134" s="116" t="s">
        <v>793</v>
      </c>
      <c r="C134" s="116" t="s">
        <v>400</v>
      </c>
      <c r="D134" s="116" t="s">
        <v>251</v>
      </c>
      <c r="E134" s="116" t="s">
        <v>603</v>
      </c>
      <c r="F134" s="116" t="s">
        <v>223</v>
      </c>
      <c r="G134" s="116" t="s">
        <v>591</v>
      </c>
      <c r="H134" s="116" t="s">
        <v>521</v>
      </c>
      <c r="I134" s="116" t="s">
        <v>794</v>
      </c>
      <c r="J134" s="117">
        <v>6.29</v>
      </c>
      <c r="K134" s="117" t="s">
        <v>257</v>
      </c>
      <c r="L134" s="116">
        <v>1.5800000000000002E-2</v>
      </c>
      <c r="M134" s="116">
        <v>2.98E-2</v>
      </c>
      <c r="N134" s="70">
        <v>730414.12356986059</v>
      </c>
      <c r="O134" s="61">
        <v>101.77000000000001</v>
      </c>
      <c r="P134" s="85">
        <v>0</v>
      </c>
      <c r="Q134" s="85">
        <v>743.34245352242613</v>
      </c>
      <c r="R134" s="25">
        <v>6.1516338205350565E-4</v>
      </c>
      <c r="S134" s="25">
        <v>3.5458448764193857E-3</v>
      </c>
      <c r="T134" s="25">
        <v>1.2904106395087499E-3</v>
      </c>
    </row>
    <row r="135" spans="1:20" x14ac:dyDescent="0.25">
      <c r="A135" s="17" t="s">
        <v>572</v>
      </c>
      <c r="B135" s="116" t="s">
        <v>573</v>
      </c>
      <c r="C135" s="116" t="s">
        <v>400</v>
      </c>
      <c r="D135" s="116" t="s">
        <v>251</v>
      </c>
      <c r="E135" s="116" t="s">
        <v>574</v>
      </c>
      <c r="F135" s="116" t="s">
        <v>201</v>
      </c>
      <c r="G135" s="116" t="s">
        <v>528</v>
      </c>
      <c r="H135" s="116" t="s">
        <v>256</v>
      </c>
      <c r="I135" s="116" t="s">
        <v>575</v>
      </c>
      <c r="J135" s="117">
        <v>3.23</v>
      </c>
      <c r="K135" s="117" t="s">
        <v>257</v>
      </c>
      <c r="L135" s="116">
        <v>2.2499999999999999E-2</v>
      </c>
      <c r="M135" s="116">
        <v>2.1400000000000002E-2</v>
      </c>
      <c r="N135" s="70">
        <v>212100.81146536954</v>
      </c>
      <c r="O135" s="61">
        <v>112.72</v>
      </c>
      <c r="P135" s="85">
        <v>0</v>
      </c>
      <c r="Q135" s="85">
        <v>239.0800346658686</v>
      </c>
      <c r="R135" s="25">
        <v>5.1843668171476433E-4</v>
      </c>
      <c r="S135" s="25">
        <v>1.1404443698284797E-3</v>
      </c>
      <c r="T135" s="25">
        <v>4.1503269316186045E-4</v>
      </c>
    </row>
    <row r="136" spans="1:20" x14ac:dyDescent="0.25">
      <c r="A136" s="17" t="s">
        <v>853</v>
      </c>
      <c r="B136" s="116" t="s">
        <v>854</v>
      </c>
      <c r="C136" s="116" t="s">
        <v>400</v>
      </c>
      <c r="D136" s="116" t="s">
        <v>251</v>
      </c>
      <c r="E136" s="116" t="s">
        <v>673</v>
      </c>
      <c r="F136" s="116" t="s">
        <v>223</v>
      </c>
      <c r="G136" s="116" t="s">
        <v>528</v>
      </c>
      <c r="H136" s="116" t="s">
        <v>256</v>
      </c>
      <c r="I136" s="116" t="s">
        <v>855</v>
      </c>
      <c r="J136" s="117">
        <v>7.46</v>
      </c>
      <c r="K136" s="117" t="s">
        <v>257</v>
      </c>
      <c r="L136" s="116">
        <v>1.15E-2</v>
      </c>
      <c r="M136" s="116">
        <v>3.5200000000000002E-2</v>
      </c>
      <c r="N136" s="70">
        <v>161258.88746281035</v>
      </c>
      <c r="O136" s="61">
        <v>92.66</v>
      </c>
      <c r="P136" s="85">
        <v>0</v>
      </c>
      <c r="Q136" s="85">
        <v>149.42248510948255</v>
      </c>
      <c r="R136" s="25">
        <v>3.5074421365183364E-4</v>
      </c>
      <c r="S136" s="25">
        <v>7.1276563142148863E-4</v>
      </c>
      <c r="T136" s="25">
        <v>2.5939102987247438E-4</v>
      </c>
    </row>
    <row r="137" spans="1:20" x14ac:dyDescent="0.25">
      <c r="A137" s="17" t="s">
        <v>992</v>
      </c>
      <c r="B137" s="116" t="s">
        <v>993</v>
      </c>
      <c r="C137" s="116" t="s">
        <v>400</v>
      </c>
      <c r="D137" s="116" t="s">
        <v>251</v>
      </c>
      <c r="E137" s="116" t="s">
        <v>994</v>
      </c>
      <c r="F137" s="116" t="s">
        <v>204</v>
      </c>
      <c r="G137" s="116" t="s">
        <v>623</v>
      </c>
      <c r="H137" s="116" t="s">
        <v>256</v>
      </c>
      <c r="I137" s="116" t="s">
        <v>995</v>
      </c>
      <c r="J137" s="117">
        <v>2.37</v>
      </c>
      <c r="K137" s="117" t="s">
        <v>257</v>
      </c>
      <c r="L137" s="116">
        <v>3.2000000000000001E-2</v>
      </c>
      <c r="M137" s="116">
        <v>3.7900000000000003E-2</v>
      </c>
      <c r="N137" s="70">
        <v>324275.81373574864</v>
      </c>
      <c r="O137" s="61">
        <v>101.66</v>
      </c>
      <c r="P137" s="85">
        <v>0</v>
      </c>
      <c r="Q137" s="85">
        <v>329.65879220801941</v>
      </c>
      <c r="R137" s="25">
        <v>8.9192862315817616E-4</v>
      </c>
      <c r="S137" s="25">
        <v>1.572517395957048E-3</v>
      </c>
      <c r="T137" s="25">
        <v>5.7227353403137564E-4</v>
      </c>
    </row>
    <row r="138" spans="1:20" x14ac:dyDescent="0.25">
      <c r="A138" s="17" t="s">
        <v>711</v>
      </c>
      <c r="B138" s="116" t="s">
        <v>712</v>
      </c>
      <c r="C138" s="116" t="s">
        <v>400</v>
      </c>
      <c r="D138" s="116" t="s">
        <v>251</v>
      </c>
      <c r="E138" s="116" t="s">
        <v>713</v>
      </c>
      <c r="F138" s="116" t="s">
        <v>204</v>
      </c>
      <c r="G138" s="116" t="s">
        <v>623</v>
      </c>
      <c r="H138" s="116" t="s">
        <v>256</v>
      </c>
      <c r="I138" s="116" t="s">
        <v>714</v>
      </c>
      <c r="J138" s="117">
        <v>0.75</v>
      </c>
      <c r="K138" s="117" t="s">
        <v>257</v>
      </c>
      <c r="L138" s="116">
        <v>3.15E-2</v>
      </c>
      <c r="M138" s="116">
        <v>2.9700000000000001E-2</v>
      </c>
      <c r="N138" s="70">
        <v>51734.006788559338</v>
      </c>
      <c r="O138" s="61">
        <v>111.26</v>
      </c>
      <c r="P138" s="85">
        <v>0</v>
      </c>
      <c r="Q138" s="85">
        <v>57.559255897562345</v>
      </c>
      <c r="R138" s="25">
        <v>3.8153900448201217E-4</v>
      </c>
      <c r="S138" s="25">
        <v>2.7456550025865882E-4</v>
      </c>
      <c r="T138" s="25">
        <v>9.9920401236952062E-5</v>
      </c>
    </row>
    <row r="139" spans="1:20" x14ac:dyDescent="0.25">
      <c r="A139" s="17" t="s">
        <v>936</v>
      </c>
      <c r="B139" s="116" t="s">
        <v>937</v>
      </c>
      <c r="C139" s="116" t="s">
        <v>400</v>
      </c>
      <c r="D139" s="116" t="s">
        <v>251</v>
      </c>
      <c r="E139" s="116" t="s">
        <v>713</v>
      </c>
      <c r="F139" s="116" t="s">
        <v>204</v>
      </c>
      <c r="G139" s="116" t="s">
        <v>623</v>
      </c>
      <c r="H139" s="116" t="s">
        <v>256</v>
      </c>
      <c r="I139" s="116" t="s">
        <v>938</v>
      </c>
      <c r="J139" s="117">
        <v>3.08</v>
      </c>
      <c r="K139" s="117" t="s">
        <v>257</v>
      </c>
      <c r="L139" s="116">
        <v>0.01</v>
      </c>
      <c r="M139" s="116">
        <v>3.5099999999999999E-2</v>
      </c>
      <c r="N139" s="70">
        <v>160808.08770737547</v>
      </c>
      <c r="O139" s="61">
        <v>99.47</v>
      </c>
      <c r="P139" s="85">
        <v>0</v>
      </c>
      <c r="Q139" s="85">
        <v>159.95580478435213</v>
      </c>
      <c r="R139" s="25">
        <v>4.3547327635828188E-4</v>
      </c>
      <c r="S139" s="25">
        <v>7.63011002749116E-4</v>
      </c>
      <c r="T139" s="25">
        <v>2.7767642136786066E-4</v>
      </c>
    </row>
    <row r="140" spans="1:20" x14ac:dyDescent="0.25">
      <c r="A140" s="17" t="s">
        <v>999</v>
      </c>
      <c r="B140" s="116" t="s">
        <v>1000</v>
      </c>
      <c r="C140" s="116" t="s">
        <v>400</v>
      </c>
      <c r="D140" s="116" t="s">
        <v>251</v>
      </c>
      <c r="E140" s="116" t="s">
        <v>713</v>
      </c>
      <c r="F140" s="116" t="s">
        <v>204</v>
      </c>
      <c r="G140" s="116" t="s">
        <v>623</v>
      </c>
      <c r="H140" s="116" t="s">
        <v>256</v>
      </c>
      <c r="I140" s="116" t="s">
        <v>1001</v>
      </c>
      <c r="J140" s="117">
        <v>3.45</v>
      </c>
      <c r="K140" s="117" t="s">
        <v>257</v>
      </c>
      <c r="L140" s="116">
        <v>3.2300000000000002E-2</v>
      </c>
      <c r="M140" s="116">
        <v>3.85E-2</v>
      </c>
      <c r="N140" s="70">
        <v>9243.7866621512549</v>
      </c>
      <c r="O140" s="61">
        <v>101.9</v>
      </c>
      <c r="P140" s="85">
        <v>0</v>
      </c>
      <c r="Q140" s="85">
        <v>9.4194186087321281</v>
      </c>
      <c r="R140" s="25">
        <v>1.9670979447887415E-5</v>
      </c>
      <c r="S140" s="25">
        <v>4.4931911334207941E-5</v>
      </c>
      <c r="T140" s="25">
        <v>1.6351706986594085E-5</v>
      </c>
    </row>
    <row r="141" spans="1:20" x14ac:dyDescent="0.25">
      <c r="A141" s="17" t="s">
        <v>983</v>
      </c>
      <c r="B141" s="116" t="s">
        <v>984</v>
      </c>
      <c r="C141" s="116" t="s">
        <v>400</v>
      </c>
      <c r="D141" s="116" t="s">
        <v>251</v>
      </c>
      <c r="E141" s="116" t="s">
        <v>706</v>
      </c>
      <c r="F141" s="116" t="s">
        <v>223</v>
      </c>
      <c r="G141" s="116" t="s">
        <v>623</v>
      </c>
      <c r="H141" s="116" t="s">
        <v>256</v>
      </c>
      <c r="I141" s="116" t="s">
        <v>985</v>
      </c>
      <c r="J141" s="117">
        <v>4.84</v>
      </c>
      <c r="K141" s="117" t="s">
        <v>257</v>
      </c>
      <c r="L141" s="116">
        <v>1.5300000000000001E-2</v>
      </c>
      <c r="M141" s="116">
        <v>2.7699999999999999E-2</v>
      </c>
      <c r="N141" s="70">
        <v>44020.203565411466</v>
      </c>
      <c r="O141" s="61">
        <v>104.25</v>
      </c>
      <c r="P141" s="85">
        <v>1.6398536077999999</v>
      </c>
      <c r="Q141" s="85">
        <v>46.335836091284058</v>
      </c>
      <c r="R141" s="25">
        <v>1.1152141334596338E-4</v>
      </c>
      <c r="S141" s="25">
        <v>2.2102825719200124E-4</v>
      </c>
      <c r="T141" s="25">
        <v>8.0437025491269864E-5</v>
      </c>
    </row>
    <row r="142" spans="1:20" x14ac:dyDescent="0.25">
      <c r="A142" s="17" t="s">
        <v>704</v>
      </c>
      <c r="B142" s="116" t="s">
        <v>705</v>
      </c>
      <c r="C142" s="116" t="s">
        <v>400</v>
      </c>
      <c r="D142" s="116" t="s">
        <v>251</v>
      </c>
      <c r="E142" s="116" t="s">
        <v>706</v>
      </c>
      <c r="F142" s="116" t="s">
        <v>223</v>
      </c>
      <c r="G142" s="116" t="s">
        <v>623</v>
      </c>
      <c r="H142" s="116" t="s">
        <v>256</v>
      </c>
      <c r="I142" s="116" t="s">
        <v>707</v>
      </c>
      <c r="J142" s="117">
        <v>4.37</v>
      </c>
      <c r="K142" s="117" t="s">
        <v>257</v>
      </c>
      <c r="L142" s="116">
        <v>1.83E-2</v>
      </c>
      <c r="M142" s="116">
        <v>2.81E-2</v>
      </c>
      <c r="N142" s="70">
        <v>115036.39122692303</v>
      </c>
      <c r="O142" s="61">
        <v>106.18</v>
      </c>
      <c r="P142" s="85">
        <v>0</v>
      </c>
      <c r="Q142" s="85">
        <v>122.14564020282415</v>
      </c>
      <c r="R142" s="25">
        <v>5.5305957320636069E-4</v>
      </c>
      <c r="S142" s="25">
        <v>5.8265136134469841E-4</v>
      </c>
      <c r="T142" s="25">
        <v>2.1203959620554185E-4</v>
      </c>
    </row>
    <row r="143" spans="1:20" x14ac:dyDescent="0.25">
      <c r="A143" s="17" t="s">
        <v>933</v>
      </c>
      <c r="B143" s="116" t="s">
        <v>934</v>
      </c>
      <c r="C143" s="116" t="s">
        <v>400</v>
      </c>
      <c r="D143" s="116" t="s">
        <v>251</v>
      </c>
      <c r="E143" s="116" t="s">
        <v>935</v>
      </c>
      <c r="F143" s="116" t="s">
        <v>228</v>
      </c>
      <c r="G143" s="116" t="s">
        <v>623</v>
      </c>
      <c r="H143" s="116" t="s">
        <v>256</v>
      </c>
      <c r="I143" s="116" t="s">
        <v>932</v>
      </c>
      <c r="J143" s="117">
        <v>5.32</v>
      </c>
      <c r="K143" s="117" t="s">
        <v>257</v>
      </c>
      <c r="L143" s="116">
        <v>7.4999999999999997E-3</v>
      </c>
      <c r="M143" s="116">
        <v>4.3099999999999999E-2</v>
      </c>
      <c r="N143" s="70">
        <v>294599.4809227605</v>
      </c>
      <c r="O143" s="61">
        <v>88.98</v>
      </c>
      <c r="P143" s="85">
        <v>0</v>
      </c>
      <c r="Q143" s="85">
        <v>262.13461812507228</v>
      </c>
      <c r="R143" s="25">
        <v>3.3949458423682209E-4</v>
      </c>
      <c r="S143" s="25">
        <v>1.2504178769911973E-3</v>
      </c>
      <c r="T143" s="25">
        <v>4.5505446192298146E-4</v>
      </c>
    </row>
    <row r="144" spans="1:20" x14ac:dyDescent="0.25">
      <c r="A144" s="17" t="s">
        <v>1020</v>
      </c>
      <c r="B144" s="116" t="s">
        <v>1021</v>
      </c>
      <c r="C144" s="116" t="s">
        <v>400</v>
      </c>
      <c r="D144" s="116" t="s">
        <v>251</v>
      </c>
      <c r="E144" s="116" t="s">
        <v>668</v>
      </c>
      <c r="F144" s="116" t="s">
        <v>223</v>
      </c>
      <c r="G144" s="116" t="s">
        <v>669</v>
      </c>
      <c r="H144" s="116" t="s">
        <v>521</v>
      </c>
      <c r="I144" s="116" t="s">
        <v>1022</v>
      </c>
      <c r="J144" s="117">
        <v>2.2400000000000002</v>
      </c>
      <c r="K144" s="117" t="s">
        <v>257</v>
      </c>
      <c r="L144" s="116">
        <v>2.5000000000000001E-2</v>
      </c>
      <c r="M144" s="116">
        <v>3.15E-2</v>
      </c>
      <c r="N144" s="70">
        <v>10479.810351894148</v>
      </c>
      <c r="O144" s="61">
        <v>110.23</v>
      </c>
      <c r="P144" s="85">
        <v>0</v>
      </c>
      <c r="Q144" s="85">
        <v>11.551894930556589</v>
      </c>
      <c r="R144" s="25">
        <v>2.9464650622878237E-5</v>
      </c>
      <c r="S144" s="25">
        <v>5.5104114205167465E-5</v>
      </c>
      <c r="T144" s="25">
        <v>2.005359448291983E-5</v>
      </c>
    </row>
    <row r="145" spans="1:20" x14ac:dyDescent="0.25">
      <c r="A145" s="17" t="s">
        <v>666</v>
      </c>
      <c r="B145" s="116" t="s">
        <v>667</v>
      </c>
      <c r="C145" s="116" t="s">
        <v>400</v>
      </c>
      <c r="D145" s="116" t="s">
        <v>251</v>
      </c>
      <c r="E145" s="116" t="s">
        <v>668</v>
      </c>
      <c r="F145" s="116" t="s">
        <v>223</v>
      </c>
      <c r="G145" s="116" t="s">
        <v>669</v>
      </c>
      <c r="H145" s="116" t="s">
        <v>521</v>
      </c>
      <c r="I145" s="116" t="s">
        <v>670</v>
      </c>
      <c r="J145" s="117">
        <v>5.25</v>
      </c>
      <c r="K145" s="117" t="s">
        <v>257</v>
      </c>
      <c r="L145" s="116">
        <v>1.9E-2</v>
      </c>
      <c r="M145" s="116">
        <v>3.56E-2</v>
      </c>
      <c r="N145" s="70">
        <v>278292.7193726126</v>
      </c>
      <c r="O145" s="61">
        <v>101.98</v>
      </c>
      <c r="P145" s="85">
        <v>0</v>
      </c>
      <c r="Q145" s="85">
        <v>283.80291521232027</v>
      </c>
      <c r="R145" s="25">
        <v>9.2597812507813073E-4</v>
      </c>
      <c r="S145" s="25">
        <v>1.3537786091052733E-3</v>
      </c>
      <c r="T145" s="25">
        <v>4.9266969695889841E-4</v>
      </c>
    </row>
    <row r="146" spans="1:20" x14ac:dyDescent="0.25">
      <c r="A146" s="17" t="s">
        <v>923</v>
      </c>
      <c r="B146" s="116" t="s">
        <v>924</v>
      </c>
      <c r="C146" s="116" t="s">
        <v>400</v>
      </c>
      <c r="D146" s="116" t="s">
        <v>251</v>
      </c>
      <c r="E146" s="116" t="s">
        <v>668</v>
      </c>
      <c r="F146" s="116" t="s">
        <v>223</v>
      </c>
      <c r="G146" s="116" t="s">
        <v>669</v>
      </c>
      <c r="H146" s="116" t="s">
        <v>521</v>
      </c>
      <c r="I146" s="116" t="s">
        <v>925</v>
      </c>
      <c r="J146" s="117">
        <v>7.03</v>
      </c>
      <c r="K146" s="117" t="s">
        <v>257</v>
      </c>
      <c r="L146" s="116">
        <v>3.9000000000000003E-3</v>
      </c>
      <c r="M146" s="116">
        <v>3.8199999999999998E-2</v>
      </c>
      <c r="N146" s="70">
        <v>292804.52242870396</v>
      </c>
      <c r="O146" s="61">
        <v>84.23</v>
      </c>
      <c r="P146" s="85">
        <v>0</v>
      </c>
      <c r="Q146" s="85">
        <v>246.62924918623463</v>
      </c>
      <c r="R146" s="25">
        <v>1.2459766911859743E-3</v>
      </c>
      <c r="S146" s="25">
        <v>1.1764551526126266E-3</v>
      </c>
      <c r="T146" s="25">
        <v>4.2813780600837217E-4</v>
      </c>
    </row>
    <row r="147" spans="1:20" x14ac:dyDescent="0.25">
      <c r="A147" s="17" t="s">
        <v>625</v>
      </c>
      <c r="B147" s="116" t="s">
        <v>626</v>
      </c>
      <c r="C147" s="116" t="s">
        <v>400</v>
      </c>
      <c r="D147" s="116" t="s">
        <v>251</v>
      </c>
      <c r="E147" s="116" t="s">
        <v>627</v>
      </c>
      <c r="F147" s="116" t="s">
        <v>223</v>
      </c>
      <c r="G147" s="116" t="s">
        <v>623</v>
      </c>
      <c r="H147" s="116" t="s">
        <v>256</v>
      </c>
      <c r="I147" s="116" t="s">
        <v>628</v>
      </c>
      <c r="J147" s="117">
        <v>1.96</v>
      </c>
      <c r="K147" s="117" t="s">
        <v>257</v>
      </c>
      <c r="L147" s="116">
        <v>2.0499999999999997E-2</v>
      </c>
      <c r="M147" s="116">
        <v>3.3799999999999997E-2</v>
      </c>
      <c r="N147" s="70">
        <v>180741.06388434791</v>
      </c>
      <c r="O147" s="61">
        <v>109.1</v>
      </c>
      <c r="P147" s="85">
        <v>0</v>
      </c>
      <c r="Q147" s="85">
        <v>197.18850064605837</v>
      </c>
      <c r="R147" s="25">
        <v>4.8849385071200084E-4</v>
      </c>
      <c r="S147" s="25">
        <v>9.4061603960785012E-4</v>
      </c>
      <c r="T147" s="25">
        <v>3.4231078558299381E-4</v>
      </c>
    </row>
    <row r="148" spans="1:20" x14ac:dyDescent="0.25">
      <c r="A148" s="17" t="s">
        <v>655</v>
      </c>
      <c r="B148" s="116" t="s">
        <v>656</v>
      </c>
      <c r="C148" s="116" t="s">
        <v>400</v>
      </c>
      <c r="D148" s="116" t="s">
        <v>251</v>
      </c>
      <c r="E148" s="116" t="s">
        <v>627</v>
      </c>
      <c r="F148" s="116" t="s">
        <v>223</v>
      </c>
      <c r="G148" s="116" t="s">
        <v>623</v>
      </c>
      <c r="H148" s="116" t="s">
        <v>256</v>
      </c>
      <c r="I148" s="116" t="s">
        <v>657</v>
      </c>
      <c r="J148" s="117">
        <v>2.4300000000000002</v>
      </c>
      <c r="K148" s="117" t="s">
        <v>257</v>
      </c>
      <c r="L148" s="116">
        <v>2.0499999999999997E-2</v>
      </c>
      <c r="M148" s="116">
        <v>3.6499999999999998E-2</v>
      </c>
      <c r="N148" s="70">
        <v>516181.52567727782</v>
      </c>
      <c r="O148" s="61">
        <v>108.48</v>
      </c>
      <c r="P148" s="85">
        <v>0</v>
      </c>
      <c r="Q148" s="85">
        <v>559.95371900117095</v>
      </c>
      <c r="R148" s="25">
        <v>6.7378873756522605E-4</v>
      </c>
      <c r="S148" s="25">
        <v>2.6710556031660595E-3</v>
      </c>
      <c r="T148" s="25">
        <v>9.7205565645767922E-4</v>
      </c>
    </row>
    <row r="149" spans="1:20" x14ac:dyDescent="0.25">
      <c r="A149" s="17" t="s">
        <v>773</v>
      </c>
      <c r="B149" s="116" t="s">
        <v>774</v>
      </c>
      <c r="C149" s="116" t="s">
        <v>400</v>
      </c>
      <c r="D149" s="116" t="s">
        <v>251</v>
      </c>
      <c r="E149" s="116" t="s">
        <v>627</v>
      </c>
      <c r="F149" s="116" t="s">
        <v>223</v>
      </c>
      <c r="G149" s="116" t="s">
        <v>623</v>
      </c>
      <c r="H149" s="116" t="s">
        <v>256</v>
      </c>
      <c r="I149" s="116" t="s">
        <v>775</v>
      </c>
      <c r="J149" s="117">
        <v>5.5</v>
      </c>
      <c r="K149" s="117" t="s">
        <v>257</v>
      </c>
      <c r="L149" s="116">
        <v>8.3999999999999995E-3</v>
      </c>
      <c r="M149" s="116">
        <v>3.8300000000000001E-2</v>
      </c>
      <c r="N149" s="70">
        <v>657637.75673023215</v>
      </c>
      <c r="O149" s="61">
        <v>94.09</v>
      </c>
      <c r="P149" s="85">
        <v>0</v>
      </c>
      <c r="Q149" s="85">
        <v>618.7713652860607</v>
      </c>
      <c r="R149" s="25">
        <v>9.7104270138113175E-4</v>
      </c>
      <c r="S149" s="25">
        <v>2.9516237971849045E-3</v>
      </c>
      <c r="T149" s="25">
        <v>1.074160569472168E-3</v>
      </c>
    </row>
    <row r="150" spans="1:20" x14ac:dyDescent="0.25">
      <c r="A150" s="17" t="s">
        <v>866</v>
      </c>
      <c r="B150" s="116" t="s">
        <v>867</v>
      </c>
      <c r="C150" s="116" t="s">
        <v>400</v>
      </c>
      <c r="D150" s="116" t="s">
        <v>251</v>
      </c>
      <c r="E150" s="116" t="s">
        <v>627</v>
      </c>
      <c r="F150" s="116" t="s">
        <v>223</v>
      </c>
      <c r="G150" s="116" t="s">
        <v>623</v>
      </c>
      <c r="H150" s="116" t="s">
        <v>256</v>
      </c>
      <c r="I150" s="116" t="s">
        <v>868</v>
      </c>
      <c r="J150" s="117">
        <v>6.32</v>
      </c>
      <c r="K150" s="117" t="s">
        <v>257</v>
      </c>
      <c r="L150" s="116">
        <v>5.0000000000000001E-3</v>
      </c>
      <c r="M150" s="116">
        <v>3.4099999999999998E-2</v>
      </c>
      <c r="N150" s="70">
        <v>200336.47755525025</v>
      </c>
      <c r="O150" s="61">
        <v>90.77</v>
      </c>
      <c r="P150" s="85">
        <v>0</v>
      </c>
      <c r="Q150" s="85">
        <v>181.84542061750622</v>
      </c>
      <c r="R150" s="25">
        <v>1.1121722523591204E-3</v>
      </c>
      <c r="S150" s="25">
        <v>8.6742745546344554E-4</v>
      </c>
      <c r="T150" s="25">
        <v>3.1567585626090497E-4</v>
      </c>
    </row>
    <row r="151" spans="1:20" x14ac:dyDescent="0.25">
      <c r="A151" s="17" t="s">
        <v>869</v>
      </c>
      <c r="B151" s="116" t="s">
        <v>870</v>
      </c>
      <c r="C151" s="116" t="s">
        <v>400</v>
      </c>
      <c r="D151" s="116" t="s">
        <v>251</v>
      </c>
      <c r="E151" s="116" t="s">
        <v>627</v>
      </c>
      <c r="F151" s="116" t="s">
        <v>223</v>
      </c>
      <c r="G151" s="116" t="s">
        <v>623</v>
      </c>
      <c r="H151" s="116" t="s">
        <v>256</v>
      </c>
      <c r="I151" s="116" t="s">
        <v>868</v>
      </c>
      <c r="J151" s="117">
        <v>6.19</v>
      </c>
      <c r="K151" s="117" t="s">
        <v>257</v>
      </c>
      <c r="L151" s="116">
        <v>9.7000000000000003E-3</v>
      </c>
      <c r="M151" s="116">
        <v>3.9800000000000002E-2</v>
      </c>
      <c r="N151" s="70">
        <v>479438.64981301624</v>
      </c>
      <c r="O151" s="61">
        <v>90.71</v>
      </c>
      <c r="P151" s="85">
        <v>0</v>
      </c>
      <c r="Q151" s="85">
        <v>434.89879920048691</v>
      </c>
      <c r="R151" s="25">
        <v>1.1495820388402632E-3</v>
      </c>
      <c r="S151" s="25">
        <v>2.074526581387385E-3</v>
      </c>
      <c r="T151" s="25">
        <v>7.5496567556255785E-4</v>
      </c>
    </row>
    <row r="152" spans="1:20" x14ac:dyDescent="0.25">
      <c r="A152" s="17" t="s">
        <v>826</v>
      </c>
      <c r="B152" s="116" t="s">
        <v>827</v>
      </c>
      <c r="C152" s="116" t="s">
        <v>400</v>
      </c>
      <c r="D152" s="116" t="s">
        <v>251</v>
      </c>
      <c r="E152" s="116" t="s">
        <v>828</v>
      </c>
      <c r="F152" s="116" t="s">
        <v>234</v>
      </c>
      <c r="G152" s="116" t="s">
        <v>669</v>
      </c>
      <c r="H152" s="116" t="s">
        <v>521</v>
      </c>
      <c r="I152" s="116" t="s">
        <v>829</v>
      </c>
      <c r="J152" s="117">
        <v>1.54</v>
      </c>
      <c r="K152" s="117" t="s">
        <v>257</v>
      </c>
      <c r="L152" s="116">
        <v>1.8500000000000003E-2</v>
      </c>
      <c r="M152" s="116">
        <v>3.5099999999999999E-2</v>
      </c>
      <c r="N152" s="70">
        <v>65973.957720447128</v>
      </c>
      <c r="O152" s="61">
        <v>107.74</v>
      </c>
      <c r="P152" s="85">
        <v>0</v>
      </c>
      <c r="Q152" s="85">
        <v>71.080342005956666</v>
      </c>
      <c r="R152" s="25">
        <v>1.1180510730824147E-4</v>
      </c>
      <c r="S152" s="25">
        <v>3.3906292493000368E-4</v>
      </c>
      <c r="T152" s="25">
        <v>1.2339242720467059E-4</v>
      </c>
    </row>
    <row r="153" spans="1:20" x14ac:dyDescent="0.25">
      <c r="A153" s="17" t="s">
        <v>972</v>
      </c>
      <c r="B153" s="116" t="s">
        <v>973</v>
      </c>
      <c r="C153" s="116" t="s">
        <v>400</v>
      </c>
      <c r="D153" s="116" t="s">
        <v>251</v>
      </c>
      <c r="E153" s="116" t="s">
        <v>828</v>
      </c>
      <c r="F153" s="116" t="s">
        <v>234</v>
      </c>
      <c r="G153" s="116" t="s">
        <v>669</v>
      </c>
      <c r="H153" s="116" t="s">
        <v>521</v>
      </c>
      <c r="I153" s="116" t="s">
        <v>974</v>
      </c>
      <c r="J153" s="117">
        <v>0</v>
      </c>
      <c r="K153" s="117" t="s">
        <v>257</v>
      </c>
      <c r="L153" s="116">
        <v>0.01</v>
      </c>
      <c r="M153" s="116">
        <v>4.7E-2</v>
      </c>
      <c r="N153" s="70">
        <v>871196.08028554858</v>
      </c>
      <c r="O153" s="61">
        <v>91.198800000000006</v>
      </c>
      <c r="P153" s="85">
        <v>0</v>
      </c>
      <c r="Q153" s="85">
        <v>794.52117168750817</v>
      </c>
      <c r="R153" s="25">
        <v>7.3577145738261862E-4</v>
      </c>
      <c r="S153" s="25">
        <v>3.7899743415500801E-3</v>
      </c>
      <c r="T153" s="25">
        <v>1.3792547007132391E-3</v>
      </c>
    </row>
    <row r="154" spans="1:20" x14ac:dyDescent="0.25">
      <c r="A154" s="17" t="s">
        <v>1002</v>
      </c>
      <c r="B154" s="116" t="s">
        <v>1003</v>
      </c>
      <c r="C154" s="116" t="s">
        <v>400</v>
      </c>
      <c r="D154" s="116" t="s">
        <v>251</v>
      </c>
      <c r="E154" s="116" t="s">
        <v>828</v>
      </c>
      <c r="F154" s="116" t="s">
        <v>234</v>
      </c>
      <c r="G154" s="116" t="s">
        <v>669</v>
      </c>
      <c r="H154" s="116" t="s">
        <v>521</v>
      </c>
      <c r="I154" s="116" t="s">
        <v>1004</v>
      </c>
      <c r="J154" s="117">
        <v>0</v>
      </c>
      <c r="K154" s="117" t="s">
        <v>257</v>
      </c>
      <c r="L154" s="116">
        <v>3.5400000000000001E-2</v>
      </c>
      <c r="M154" s="116">
        <v>4.41E-2</v>
      </c>
      <c r="N154" s="70">
        <v>287888.49180603871</v>
      </c>
      <c r="O154" s="61">
        <v>99.668899999999994</v>
      </c>
      <c r="P154" s="85">
        <v>0</v>
      </c>
      <c r="Q154" s="85">
        <v>286.93534850936402</v>
      </c>
      <c r="R154" s="25">
        <v>4.1904556237323869E-4</v>
      </c>
      <c r="S154" s="25">
        <v>1.3687207431168791E-3</v>
      </c>
      <c r="T154" s="25">
        <v>4.9810746690584896E-4</v>
      </c>
    </row>
    <row r="155" spans="1:20" x14ac:dyDescent="0.25">
      <c r="A155" s="17" t="s">
        <v>620</v>
      </c>
      <c r="B155" s="116" t="s">
        <v>621</v>
      </c>
      <c r="C155" s="116" t="s">
        <v>400</v>
      </c>
      <c r="D155" s="116" t="s">
        <v>251</v>
      </c>
      <c r="E155" s="116" t="s">
        <v>622</v>
      </c>
      <c r="F155" s="116" t="s">
        <v>225</v>
      </c>
      <c r="G155" s="116" t="s">
        <v>623</v>
      </c>
      <c r="H155" s="116" t="s">
        <v>256</v>
      </c>
      <c r="I155" s="116" t="s">
        <v>624</v>
      </c>
      <c r="J155" s="117">
        <v>2.81</v>
      </c>
      <c r="K155" s="117" t="s">
        <v>257</v>
      </c>
      <c r="L155" s="116">
        <v>1.9400000000000001E-2</v>
      </c>
      <c r="M155" s="116">
        <v>2.5499999999999998E-2</v>
      </c>
      <c r="N155" s="70">
        <v>332885.86105115095</v>
      </c>
      <c r="O155" s="61">
        <v>109.66</v>
      </c>
      <c r="P155" s="85">
        <v>0</v>
      </c>
      <c r="Q155" s="85">
        <v>365.04263521816659</v>
      </c>
      <c r="R155" s="25">
        <v>9.2098233545081197E-4</v>
      </c>
      <c r="S155" s="25">
        <v>1.7413031525770593E-3</v>
      </c>
      <c r="T155" s="25">
        <v>6.3369836893840514E-4</v>
      </c>
    </row>
    <row r="156" spans="1:20" x14ac:dyDescent="0.25">
      <c r="A156" s="17" t="s">
        <v>675</v>
      </c>
      <c r="B156" s="116" t="s">
        <v>676</v>
      </c>
      <c r="C156" s="116" t="s">
        <v>400</v>
      </c>
      <c r="D156" s="116" t="s">
        <v>251</v>
      </c>
      <c r="E156" s="116" t="s">
        <v>622</v>
      </c>
      <c r="F156" s="116" t="s">
        <v>225</v>
      </c>
      <c r="G156" s="116" t="s">
        <v>623</v>
      </c>
      <c r="H156" s="116" t="s">
        <v>256</v>
      </c>
      <c r="I156" s="116" t="s">
        <v>677</v>
      </c>
      <c r="J156" s="117">
        <v>3.78</v>
      </c>
      <c r="K156" s="117" t="s">
        <v>257</v>
      </c>
      <c r="L156" s="116">
        <v>1.23E-2</v>
      </c>
      <c r="M156" s="116">
        <v>2.5399999999999999E-2</v>
      </c>
      <c r="N156" s="70">
        <v>1294463.1491745906</v>
      </c>
      <c r="O156" s="61">
        <v>105.90000000000002</v>
      </c>
      <c r="P156" s="85">
        <v>0</v>
      </c>
      <c r="Q156" s="85">
        <v>1370.8364749190114</v>
      </c>
      <c r="R156" s="25">
        <v>1.0179218625625988E-3</v>
      </c>
      <c r="S156" s="25">
        <v>6.5390769328012585E-3</v>
      </c>
      <c r="T156" s="25">
        <v>2.3797133661340036E-3</v>
      </c>
    </row>
    <row r="157" spans="1:20" x14ac:dyDescent="0.25">
      <c r="A157" s="17" t="s">
        <v>671</v>
      </c>
      <c r="B157" s="116" t="s">
        <v>672</v>
      </c>
      <c r="C157" s="116" t="s">
        <v>400</v>
      </c>
      <c r="D157" s="116" t="s">
        <v>251</v>
      </c>
      <c r="E157" s="116" t="s">
        <v>673</v>
      </c>
      <c r="F157" s="116" t="s">
        <v>223</v>
      </c>
      <c r="G157" s="116" t="s">
        <v>669</v>
      </c>
      <c r="H157" s="116" t="s">
        <v>521</v>
      </c>
      <c r="I157" s="116" t="s">
        <v>674</v>
      </c>
      <c r="J157" s="117">
        <v>2.4300000000000002</v>
      </c>
      <c r="K157" s="117" t="s">
        <v>257</v>
      </c>
      <c r="L157" s="116">
        <v>2.1499999999999998E-2</v>
      </c>
      <c r="M157" s="116">
        <v>2.9500000000000002E-2</v>
      </c>
      <c r="N157" s="70">
        <v>146562.65940051363</v>
      </c>
      <c r="O157" s="61">
        <v>110.12000000000002</v>
      </c>
      <c r="P157" s="85">
        <v>0</v>
      </c>
      <c r="Q157" s="85">
        <v>161.39480052198556</v>
      </c>
      <c r="R157" s="25">
        <v>7.4727333494305011E-5</v>
      </c>
      <c r="S157" s="25">
        <v>7.6987520866026522E-4</v>
      </c>
      <c r="T157" s="25">
        <v>2.801744562927473E-4</v>
      </c>
    </row>
    <row r="158" spans="1:20" x14ac:dyDescent="0.25">
      <c r="A158" s="17" t="s">
        <v>678</v>
      </c>
      <c r="B158" s="116" t="s">
        <v>679</v>
      </c>
      <c r="C158" s="116" t="s">
        <v>400</v>
      </c>
      <c r="D158" s="116" t="s">
        <v>251</v>
      </c>
      <c r="E158" s="116" t="s">
        <v>680</v>
      </c>
      <c r="F158" s="116" t="s">
        <v>224</v>
      </c>
      <c r="G158" s="116" t="s">
        <v>681</v>
      </c>
      <c r="H158" s="116" t="s">
        <v>521</v>
      </c>
      <c r="I158" s="116" t="s">
        <v>682</v>
      </c>
      <c r="J158" s="117">
        <v>2.04</v>
      </c>
      <c r="K158" s="117" t="s">
        <v>257</v>
      </c>
      <c r="L158" s="116">
        <v>2.8500000000000001E-2</v>
      </c>
      <c r="M158" s="116">
        <v>4.7500000000000001E-2</v>
      </c>
      <c r="N158" s="70">
        <v>363432.31532341253</v>
      </c>
      <c r="O158" s="61">
        <v>108.67999999999999</v>
      </c>
      <c r="P158" s="85">
        <v>0</v>
      </c>
      <c r="Q158" s="85">
        <v>394.97824028608972</v>
      </c>
      <c r="R158" s="25">
        <v>5.3546249196791129E-4</v>
      </c>
      <c r="S158" s="25">
        <v>1.8841000712107494E-3</v>
      </c>
      <c r="T158" s="25">
        <v>6.8566529629030112E-4</v>
      </c>
    </row>
    <row r="159" spans="1:20" x14ac:dyDescent="0.25">
      <c r="A159" s="17" t="s">
        <v>823</v>
      </c>
      <c r="B159" s="116" t="s">
        <v>824</v>
      </c>
      <c r="C159" s="116" t="s">
        <v>400</v>
      </c>
      <c r="D159" s="116" t="s">
        <v>251</v>
      </c>
      <c r="E159" s="116" t="s">
        <v>680</v>
      </c>
      <c r="F159" s="116" t="s">
        <v>224</v>
      </c>
      <c r="G159" s="116" t="s">
        <v>681</v>
      </c>
      <c r="H159" s="116" t="s">
        <v>521</v>
      </c>
      <c r="I159" s="116" t="s">
        <v>825</v>
      </c>
      <c r="J159" s="117">
        <v>4.0999999999999996</v>
      </c>
      <c r="K159" s="117" t="s">
        <v>257</v>
      </c>
      <c r="L159" s="116">
        <v>2.4500000000000001E-2</v>
      </c>
      <c r="M159" s="116">
        <v>5.2300000000000006E-2</v>
      </c>
      <c r="N159" s="70">
        <v>247174.14267860845</v>
      </c>
      <c r="O159" s="61">
        <v>99.31</v>
      </c>
      <c r="P159" s="85">
        <v>0</v>
      </c>
      <c r="Q159" s="85">
        <v>245.46864105322538</v>
      </c>
      <c r="R159" s="25">
        <v>4.8299783620636726E-4</v>
      </c>
      <c r="S159" s="25">
        <v>1.1709188935405657E-3</v>
      </c>
      <c r="T159" s="25">
        <v>4.2612304003336474E-4</v>
      </c>
    </row>
    <row r="160" spans="1:20" x14ac:dyDescent="0.25">
      <c r="A160" s="17" t="s">
        <v>926</v>
      </c>
      <c r="B160" s="116" t="s">
        <v>927</v>
      </c>
      <c r="C160" s="116" t="s">
        <v>400</v>
      </c>
      <c r="D160" s="116" t="s">
        <v>251</v>
      </c>
      <c r="E160" s="116" t="s">
        <v>680</v>
      </c>
      <c r="F160" s="116" t="s">
        <v>224</v>
      </c>
      <c r="G160" s="116" t="s">
        <v>681</v>
      </c>
      <c r="H160" s="116" t="s">
        <v>521</v>
      </c>
      <c r="I160" s="116" t="s">
        <v>928</v>
      </c>
      <c r="J160" s="117">
        <v>5.24</v>
      </c>
      <c r="K160" s="117" t="s">
        <v>257</v>
      </c>
      <c r="L160" s="116">
        <v>4.3E-3</v>
      </c>
      <c r="M160" s="116">
        <v>5.2900000000000003E-2</v>
      </c>
      <c r="N160" s="70">
        <v>153409.20556737366</v>
      </c>
      <c r="O160" s="61">
        <v>84.02</v>
      </c>
      <c r="P160" s="85">
        <v>0</v>
      </c>
      <c r="Q160" s="85">
        <v>128.89441446840718</v>
      </c>
      <c r="R160" s="25">
        <v>4.0909121484632979E-4</v>
      </c>
      <c r="S160" s="25">
        <v>6.1484393495371613E-4</v>
      </c>
      <c r="T160" s="25">
        <v>2.237551790767796E-4</v>
      </c>
    </row>
    <row r="161" spans="1:20" x14ac:dyDescent="0.25">
      <c r="A161" s="17" t="s">
        <v>929</v>
      </c>
      <c r="B161" s="116" t="s">
        <v>930</v>
      </c>
      <c r="C161" s="116" t="s">
        <v>400</v>
      </c>
      <c r="D161" s="116" t="s">
        <v>251</v>
      </c>
      <c r="E161" s="116" t="s">
        <v>931</v>
      </c>
      <c r="F161" s="116" t="s">
        <v>224</v>
      </c>
      <c r="G161" s="116" t="s">
        <v>681</v>
      </c>
      <c r="H161" s="116" t="s">
        <v>521</v>
      </c>
      <c r="I161" s="116" t="s">
        <v>932</v>
      </c>
      <c r="J161" s="117">
        <v>6.26</v>
      </c>
      <c r="K161" s="117" t="s">
        <v>257</v>
      </c>
      <c r="L161" s="116">
        <v>1.54E-2</v>
      </c>
      <c r="M161" s="116">
        <v>4.1700000000000001E-2</v>
      </c>
      <c r="N161" s="70">
        <v>27972.363992309372</v>
      </c>
      <c r="O161" s="61">
        <v>91.75</v>
      </c>
      <c r="P161" s="85">
        <v>0</v>
      </c>
      <c r="Q161" s="85">
        <v>25.664643962943849</v>
      </c>
      <c r="R161" s="25">
        <v>7.9921039978026785E-5</v>
      </c>
      <c r="S161" s="25">
        <v>1.2242385171182301E-4</v>
      </c>
      <c r="T161" s="25">
        <v>4.455272192789888E-5</v>
      </c>
    </row>
    <row r="162" spans="1:20" x14ac:dyDescent="0.25">
      <c r="A162" s="17" t="s">
        <v>920</v>
      </c>
      <c r="B162" s="116" t="s">
        <v>921</v>
      </c>
      <c r="C162" s="116" t="s">
        <v>400</v>
      </c>
      <c r="D162" s="116" t="s">
        <v>251</v>
      </c>
      <c r="E162" s="116" t="s">
        <v>553</v>
      </c>
      <c r="F162" s="116" t="s">
        <v>226</v>
      </c>
      <c r="G162" s="116" t="s">
        <v>516</v>
      </c>
      <c r="H162" s="116" t="s">
        <v>256</v>
      </c>
      <c r="I162" s="116" t="s">
        <v>922</v>
      </c>
      <c r="J162" s="117">
        <v>4.4800000000000004</v>
      </c>
      <c r="K162" s="117" t="s">
        <v>257</v>
      </c>
      <c r="L162" s="116">
        <v>7.4999999999999997E-3</v>
      </c>
      <c r="M162" s="116">
        <v>3.7900000000000003E-2</v>
      </c>
      <c r="N162" s="70">
        <v>1259699.5355321099</v>
      </c>
      <c r="O162" s="61">
        <v>94.32</v>
      </c>
      <c r="P162" s="85">
        <v>0</v>
      </c>
      <c r="Q162" s="85">
        <v>1188.1486018990961</v>
      </c>
      <c r="R162" s="25">
        <v>8.1854002317937637E-4</v>
      </c>
      <c r="S162" s="25">
        <v>5.667630864489113E-3</v>
      </c>
      <c r="T162" s="25">
        <v>2.0625750486101949E-3</v>
      </c>
    </row>
    <row r="163" spans="1:20" x14ac:dyDescent="0.25">
      <c r="A163" s="17" t="s">
        <v>551</v>
      </c>
      <c r="B163" s="116" t="s">
        <v>552</v>
      </c>
      <c r="C163" s="116" t="s">
        <v>400</v>
      </c>
      <c r="D163" s="116" t="s">
        <v>251</v>
      </c>
      <c r="E163" s="116" t="s">
        <v>553</v>
      </c>
      <c r="F163" s="116" t="s">
        <v>226</v>
      </c>
      <c r="G163" s="116" t="s">
        <v>516</v>
      </c>
      <c r="H163" s="116" t="s">
        <v>256</v>
      </c>
      <c r="I163" s="116" t="s">
        <v>554</v>
      </c>
      <c r="J163" s="117">
        <v>1.34</v>
      </c>
      <c r="K163" s="117" t="s">
        <v>257</v>
      </c>
      <c r="L163" s="116">
        <v>2.4E-2</v>
      </c>
      <c r="M163" s="116">
        <v>0.03</v>
      </c>
      <c r="N163" s="70">
        <v>38770.443033876676</v>
      </c>
      <c r="O163" s="61">
        <v>110.18</v>
      </c>
      <c r="P163" s="85">
        <v>0</v>
      </c>
      <c r="Q163" s="85">
        <v>42.717274087310855</v>
      </c>
      <c r="R163" s="25">
        <v>2.3137677432985768E-4</v>
      </c>
      <c r="S163" s="25">
        <v>2.0376722295267652E-4</v>
      </c>
      <c r="T163" s="25">
        <v>7.4155356944663372E-5</v>
      </c>
    </row>
    <row r="164" spans="1:20" x14ac:dyDescent="0.25">
      <c r="A164" s="17" t="s">
        <v>662</v>
      </c>
      <c r="B164" s="116" t="s">
        <v>663</v>
      </c>
      <c r="C164" s="116" t="s">
        <v>400</v>
      </c>
      <c r="D164" s="116" t="s">
        <v>251</v>
      </c>
      <c r="E164" s="116" t="s">
        <v>664</v>
      </c>
      <c r="F164" s="116" t="s">
        <v>223</v>
      </c>
      <c r="G164" s="116" t="s">
        <v>516</v>
      </c>
      <c r="H164" s="116" t="s">
        <v>256</v>
      </c>
      <c r="I164" s="116" t="s">
        <v>665</v>
      </c>
      <c r="J164" s="117">
        <v>3.76</v>
      </c>
      <c r="K164" s="117" t="s">
        <v>257</v>
      </c>
      <c r="L164" s="116">
        <v>1.8000000000000002E-2</v>
      </c>
      <c r="M164" s="116">
        <v>3.2899999999999999E-2</v>
      </c>
      <c r="N164" s="70">
        <v>710542.14985258249</v>
      </c>
      <c r="O164" s="61">
        <v>105.54999999999998</v>
      </c>
      <c r="P164" s="85">
        <v>0</v>
      </c>
      <c r="Q164" s="85">
        <v>749.97723914203925</v>
      </c>
      <c r="R164" s="25">
        <v>8.478840810965967E-4</v>
      </c>
      <c r="S164" s="25">
        <v>3.5774937086419578E-3</v>
      </c>
      <c r="T164" s="25">
        <v>1.30192834297616E-3</v>
      </c>
    </row>
    <row r="165" spans="1:20" x14ac:dyDescent="0.25">
      <c r="A165" s="17" t="s">
        <v>1005</v>
      </c>
      <c r="B165" s="116" t="s">
        <v>1006</v>
      </c>
      <c r="C165" s="116" t="s">
        <v>400</v>
      </c>
      <c r="D165" s="116" t="s">
        <v>251</v>
      </c>
      <c r="E165" s="116" t="s">
        <v>1007</v>
      </c>
      <c r="F165" s="116" t="s">
        <v>223</v>
      </c>
      <c r="G165" s="116" t="s">
        <v>681</v>
      </c>
      <c r="H165" s="116" t="s">
        <v>521</v>
      </c>
      <c r="I165" s="116" t="s">
        <v>1008</v>
      </c>
      <c r="J165" s="117">
        <v>4.67</v>
      </c>
      <c r="K165" s="117" t="s">
        <v>257</v>
      </c>
      <c r="L165" s="116">
        <v>2.8900000000000002E-2</v>
      </c>
      <c r="M165" s="116">
        <v>3.4000000000000002E-2</v>
      </c>
      <c r="N165" s="70">
        <v>288510.90677462355</v>
      </c>
      <c r="O165" s="61">
        <v>99.920000000000016</v>
      </c>
      <c r="P165" s="85">
        <v>0</v>
      </c>
      <c r="Q165" s="85">
        <v>288.28009804920384</v>
      </c>
      <c r="R165" s="25">
        <v>1.4425545338731178E-3</v>
      </c>
      <c r="S165" s="25">
        <v>1.3751353818117543E-3</v>
      </c>
      <c r="T165" s="25">
        <v>5.0044189447077676E-4</v>
      </c>
    </row>
    <row r="166" spans="1:20" x14ac:dyDescent="0.25">
      <c r="A166" s="17" t="s">
        <v>939</v>
      </c>
      <c r="B166" s="116" t="s">
        <v>940</v>
      </c>
      <c r="C166" s="116" t="s">
        <v>400</v>
      </c>
      <c r="D166" s="116" t="s">
        <v>251</v>
      </c>
      <c r="E166" s="116" t="s">
        <v>941</v>
      </c>
      <c r="F166" s="116" t="s">
        <v>226</v>
      </c>
      <c r="G166" s="116" t="s">
        <v>681</v>
      </c>
      <c r="H166" s="116" t="s">
        <v>521</v>
      </c>
      <c r="I166" s="116" t="s">
        <v>938</v>
      </c>
      <c r="J166" s="117">
        <v>4.3099999999999996</v>
      </c>
      <c r="K166" s="117" t="s">
        <v>257</v>
      </c>
      <c r="L166" s="116">
        <v>1.5700000000000002E-2</v>
      </c>
      <c r="M166" s="116">
        <v>5.3899999999999997E-2</v>
      </c>
      <c r="N166" s="70">
        <v>332153.69534302934</v>
      </c>
      <c r="O166" s="61">
        <v>92.53</v>
      </c>
      <c r="P166" s="85">
        <v>0</v>
      </c>
      <c r="Q166" s="85">
        <v>307.34181424051224</v>
      </c>
      <c r="R166" s="25">
        <v>7.2048260058547376E-4</v>
      </c>
      <c r="S166" s="25">
        <v>1.4660623675804641E-3</v>
      </c>
      <c r="T166" s="25">
        <v>5.3353221678992095E-4</v>
      </c>
    </row>
    <row r="167" spans="1:20" x14ac:dyDescent="0.25">
      <c r="A167" s="17" t="s">
        <v>3003</v>
      </c>
      <c r="B167" s="116" t="s">
        <v>514</v>
      </c>
      <c r="C167" s="116" t="s">
        <v>400</v>
      </c>
      <c r="D167" s="116" t="s">
        <v>251</v>
      </c>
      <c r="E167" s="116" t="s">
        <v>515</v>
      </c>
      <c r="F167" s="116" t="s">
        <v>223</v>
      </c>
      <c r="G167" s="116" t="s">
        <v>516</v>
      </c>
      <c r="H167" s="116" t="s">
        <v>256</v>
      </c>
      <c r="I167" s="116" t="s">
        <v>513</v>
      </c>
      <c r="J167" s="117">
        <v>1.45</v>
      </c>
      <c r="K167" s="117" t="s">
        <v>257</v>
      </c>
      <c r="L167" s="116">
        <v>4.9500000000000002E-2</v>
      </c>
      <c r="M167" s="116">
        <v>5.6100000000000004E-2</v>
      </c>
      <c r="N167" s="70">
        <v>839280.2223700406</v>
      </c>
      <c r="O167" s="61">
        <v>132.30000000000001</v>
      </c>
      <c r="P167" s="85">
        <v>0</v>
      </c>
      <c r="Q167" s="85">
        <v>1110.3677341882919</v>
      </c>
      <c r="R167" s="25">
        <v>1.274083278280077E-3</v>
      </c>
      <c r="S167" s="25">
        <v>5.2966055181646841E-3</v>
      </c>
      <c r="T167" s="25">
        <v>1.9275507959677805E-3</v>
      </c>
    </row>
    <row r="168" spans="1:20" x14ac:dyDescent="0.25">
      <c r="A168" s="17" t="s">
        <v>1026</v>
      </c>
      <c r="B168" s="116" t="s">
        <v>1027</v>
      </c>
      <c r="C168" s="116" t="s">
        <v>400</v>
      </c>
      <c r="D168" s="116" t="s">
        <v>251</v>
      </c>
      <c r="E168" s="116" t="s">
        <v>515</v>
      </c>
      <c r="F168" s="116" t="s">
        <v>223</v>
      </c>
      <c r="G168" s="116" t="s">
        <v>516</v>
      </c>
      <c r="H168" s="116" t="s">
        <v>256</v>
      </c>
      <c r="I168" s="116" t="s">
        <v>432</v>
      </c>
      <c r="J168" s="117">
        <v>4.01</v>
      </c>
      <c r="K168" s="117" t="s">
        <v>257</v>
      </c>
      <c r="L168" s="116">
        <v>2.8500000000000001E-2</v>
      </c>
      <c r="M168" s="116">
        <v>5.2000000000000005E-2</v>
      </c>
      <c r="N168" s="70">
        <v>786.04989745887417</v>
      </c>
      <c r="O168" s="61">
        <v>101.8</v>
      </c>
      <c r="P168" s="85">
        <v>0</v>
      </c>
      <c r="Q168" s="85">
        <v>0.80019874545018499</v>
      </c>
      <c r="R168" s="25">
        <v>1.2794405609956121E-5</v>
      </c>
      <c r="S168" s="25">
        <v>3.8170571426755689E-6</v>
      </c>
      <c r="T168" s="25">
        <v>1.3891107254232994E-6</v>
      </c>
    </row>
    <row r="169" spans="1:20" x14ac:dyDescent="0.25">
      <c r="A169" s="17" t="s">
        <v>1009</v>
      </c>
      <c r="B169" s="116" t="s">
        <v>1010</v>
      </c>
      <c r="C169" s="116" t="s">
        <v>400</v>
      </c>
      <c r="D169" s="116" t="s">
        <v>251</v>
      </c>
      <c r="E169" s="116" t="s">
        <v>515</v>
      </c>
      <c r="F169" s="116" t="s">
        <v>223</v>
      </c>
      <c r="G169" s="116" t="s">
        <v>516</v>
      </c>
      <c r="H169" s="116" t="s">
        <v>256</v>
      </c>
      <c r="I169" s="116" t="s">
        <v>1011</v>
      </c>
      <c r="J169" s="117">
        <v>5</v>
      </c>
      <c r="K169" s="117" t="s">
        <v>257</v>
      </c>
      <c r="L169" s="116">
        <v>3.6200000000000003E-2</v>
      </c>
      <c r="M169" s="116">
        <v>4.1299999999999996E-2</v>
      </c>
      <c r="N169" s="70">
        <v>2019500.1765866356</v>
      </c>
      <c r="O169" s="61">
        <v>99.51</v>
      </c>
      <c r="P169" s="85">
        <v>0</v>
      </c>
      <c r="Q169" s="85">
        <v>2009.6046256867462</v>
      </c>
      <c r="R169" s="25">
        <v>1.1363383446571886E-3</v>
      </c>
      <c r="S169" s="25">
        <v>9.586088123789728E-3</v>
      </c>
      <c r="T169" s="25">
        <v>3.4885874981361344E-3</v>
      </c>
    </row>
    <row r="170" spans="1:20" x14ac:dyDescent="0.25">
      <c r="A170" s="17" t="s">
        <v>538</v>
      </c>
      <c r="B170" s="116" t="s">
        <v>539</v>
      </c>
      <c r="C170" s="116" t="s">
        <v>400</v>
      </c>
      <c r="D170" s="116" t="s">
        <v>251</v>
      </c>
      <c r="E170" s="116" t="s">
        <v>540</v>
      </c>
      <c r="F170" s="116" t="s">
        <v>226</v>
      </c>
      <c r="G170" s="116" t="s">
        <v>516</v>
      </c>
      <c r="H170" s="116" t="s">
        <v>256</v>
      </c>
      <c r="I170" s="116" t="s">
        <v>541</v>
      </c>
      <c r="J170" s="117">
        <v>1.22</v>
      </c>
      <c r="K170" s="117" t="s">
        <v>257</v>
      </c>
      <c r="L170" s="116">
        <v>4.3400000000000001E-2</v>
      </c>
      <c r="M170" s="116">
        <v>5.2499999999999998E-2</v>
      </c>
      <c r="N170" s="70">
        <v>406.55708208727134</v>
      </c>
      <c r="O170" s="61">
        <v>110.5</v>
      </c>
      <c r="P170" s="85">
        <v>0</v>
      </c>
      <c r="Q170" s="85">
        <v>0.44924556677077443</v>
      </c>
      <c r="R170" s="25">
        <v>4.6732874532658429E-7</v>
      </c>
      <c r="S170" s="25">
        <v>2.142962619234037E-6</v>
      </c>
      <c r="T170" s="25">
        <v>7.7987104915925051E-7</v>
      </c>
    </row>
    <row r="171" spans="1:20" x14ac:dyDescent="0.25">
      <c r="A171" s="17" t="s">
        <v>576</v>
      </c>
      <c r="B171" s="116" t="s">
        <v>577</v>
      </c>
      <c r="C171" s="116" t="s">
        <v>400</v>
      </c>
      <c r="D171" s="116" t="s">
        <v>251</v>
      </c>
      <c r="E171" s="116" t="s">
        <v>540</v>
      </c>
      <c r="F171" s="116" t="s">
        <v>226</v>
      </c>
      <c r="G171" s="116" t="s">
        <v>516</v>
      </c>
      <c r="H171" s="116" t="s">
        <v>256</v>
      </c>
      <c r="I171" s="116" t="s">
        <v>578</v>
      </c>
      <c r="J171" s="117">
        <v>3.78</v>
      </c>
      <c r="K171" s="117" t="s">
        <v>257</v>
      </c>
      <c r="L171" s="116">
        <v>3.9E-2</v>
      </c>
      <c r="M171" s="116">
        <v>5.96E-2</v>
      </c>
      <c r="N171" s="70">
        <v>72797.487967772802</v>
      </c>
      <c r="O171" s="61">
        <v>103.81</v>
      </c>
      <c r="P171" s="85">
        <v>0</v>
      </c>
      <c r="Q171" s="85">
        <v>75.571072228446056</v>
      </c>
      <c r="R171" s="25">
        <v>4.9443746883580821E-5</v>
      </c>
      <c r="S171" s="25">
        <v>3.6048432051334536E-4</v>
      </c>
      <c r="T171" s="25">
        <v>1.3118814239731697E-4</v>
      </c>
    </row>
    <row r="172" spans="1:20" x14ac:dyDescent="0.25">
      <c r="A172" s="17" t="s">
        <v>795</v>
      </c>
      <c r="B172" s="116" t="s">
        <v>796</v>
      </c>
      <c r="C172" s="116" t="s">
        <v>400</v>
      </c>
      <c r="D172" s="116" t="s">
        <v>251</v>
      </c>
      <c r="E172" s="116" t="s">
        <v>540</v>
      </c>
      <c r="F172" s="116" t="s">
        <v>226</v>
      </c>
      <c r="G172" s="116" t="s">
        <v>516</v>
      </c>
      <c r="H172" s="116" t="s">
        <v>256</v>
      </c>
      <c r="I172" s="116" t="s">
        <v>797</v>
      </c>
      <c r="J172" s="117">
        <v>4.7300000000000004</v>
      </c>
      <c r="K172" s="117" t="s">
        <v>257</v>
      </c>
      <c r="L172" s="116">
        <v>3.2500000000000001E-2</v>
      </c>
      <c r="M172" s="116">
        <v>5.9699999999999996E-2</v>
      </c>
      <c r="N172" s="70">
        <v>81540.452985720345</v>
      </c>
      <c r="O172" s="61">
        <v>98.46</v>
      </c>
      <c r="P172" s="85">
        <v>0</v>
      </c>
      <c r="Q172" s="85">
        <v>80.284729985472239</v>
      </c>
      <c r="R172" s="25">
        <v>2.0621600993311345E-4</v>
      </c>
      <c r="S172" s="25">
        <v>3.8296911083810723E-4</v>
      </c>
      <c r="T172" s="25">
        <v>1.3937085023520051E-4</v>
      </c>
    </row>
    <row r="173" spans="1:20" x14ac:dyDescent="0.25">
      <c r="A173" s="17" t="s">
        <v>782</v>
      </c>
      <c r="B173" s="116" t="s">
        <v>783</v>
      </c>
      <c r="C173" s="116" t="s">
        <v>400</v>
      </c>
      <c r="D173" s="116" t="s">
        <v>251</v>
      </c>
      <c r="E173" s="116" t="s">
        <v>784</v>
      </c>
      <c r="F173" s="116" t="s">
        <v>225</v>
      </c>
      <c r="G173" s="116" t="s">
        <v>785</v>
      </c>
      <c r="H173" s="116" t="s">
        <v>256</v>
      </c>
      <c r="I173" s="116" t="s">
        <v>786</v>
      </c>
      <c r="J173" s="117">
        <v>3.72</v>
      </c>
      <c r="K173" s="117" t="s">
        <v>257</v>
      </c>
      <c r="L173" s="116">
        <v>2.75E-2</v>
      </c>
      <c r="M173" s="116">
        <v>3.5799999999999998E-2</v>
      </c>
      <c r="N173" s="70">
        <v>539988.2887519811</v>
      </c>
      <c r="O173" s="61">
        <v>107.45</v>
      </c>
      <c r="P173" s="85">
        <v>0</v>
      </c>
      <c r="Q173" s="85">
        <v>580.2174162344545</v>
      </c>
      <c r="R173" s="25">
        <v>5.9799402292230687E-4</v>
      </c>
      <c r="S173" s="25">
        <v>2.767716202424816E-3</v>
      </c>
      <c r="T173" s="25">
        <v>1.0072325663485445E-3</v>
      </c>
    </row>
    <row r="174" spans="1:20" x14ac:dyDescent="0.25">
      <c r="A174" s="17" t="s">
        <v>808</v>
      </c>
      <c r="B174" s="116" t="s">
        <v>809</v>
      </c>
      <c r="C174" s="116" t="s">
        <v>400</v>
      </c>
      <c r="D174" s="116" t="s">
        <v>251</v>
      </c>
      <c r="E174" s="116" t="s">
        <v>810</v>
      </c>
      <c r="F174" s="116" t="s">
        <v>228</v>
      </c>
      <c r="G174" s="116" t="s">
        <v>785</v>
      </c>
      <c r="H174" s="116" t="s">
        <v>256</v>
      </c>
      <c r="I174" s="116" t="s">
        <v>807</v>
      </c>
      <c r="J174" s="117">
        <v>3.38</v>
      </c>
      <c r="K174" s="117" t="s">
        <v>257</v>
      </c>
      <c r="L174" s="116">
        <v>2.8799999999999999E-2</v>
      </c>
      <c r="M174" s="116">
        <v>3.8599999999999995E-2</v>
      </c>
      <c r="N174" s="70">
        <v>333999.99382820743</v>
      </c>
      <c r="O174" s="61">
        <v>107.79</v>
      </c>
      <c r="P174" s="85">
        <v>0</v>
      </c>
      <c r="Q174" s="85">
        <v>360.0185932901133</v>
      </c>
      <c r="R174" s="25">
        <v>1.6493826855713948E-3</v>
      </c>
      <c r="S174" s="25">
        <v>1.7173377874279447E-3</v>
      </c>
      <c r="T174" s="25">
        <v>6.2497684748274616E-4</v>
      </c>
    </row>
    <row r="175" spans="1:20" x14ac:dyDescent="0.25">
      <c r="A175" s="17" t="s">
        <v>563</v>
      </c>
      <c r="B175" s="116" t="s">
        <v>564</v>
      </c>
      <c r="C175" s="116" t="s">
        <v>400</v>
      </c>
      <c r="D175" s="116" t="s">
        <v>251</v>
      </c>
      <c r="E175" s="116" t="s">
        <v>565</v>
      </c>
      <c r="F175" s="116" t="s">
        <v>224</v>
      </c>
      <c r="G175" s="116" t="s">
        <v>566</v>
      </c>
      <c r="H175" s="116" t="s">
        <v>521</v>
      </c>
      <c r="I175" s="116" t="s">
        <v>567</v>
      </c>
      <c r="J175" s="117">
        <v>2.63</v>
      </c>
      <c r="K175" s="117" t="s">
        <v>257</v>
      </c>
      <c r="L175" s="116">
        <v>0.04</v>
      </c>
      <c r="M175" s="116">
        <v>9.3299999999999994E-2</v>
      </c>
      <c r="N175" s="70">
        <v>497063.03057402628</v>
      </c>
      <c r="O175" s="61">
        <v>96.6</v>
      </c>
      <c r="P175" s="85">
        <v>0</v>
      </c>
      <c r="Q175" s="85">
        <v>480.16288749506924</v>
      </c>
      <c r="R175" s="25">
        <v>1.9150938666290246E-4</v>
      </c>
      <c r="S175" s="25">
        <v>2.2904424554298156E-3</v>
      </c>
      <c r="T175" s="25">
        <v>8.3354219281407845E-4</v>
      </c>
    </row>
    <row r="176" spans="1:20" x14ac:dyDescent="0.25">
      <c r="A176" s="17" t="s">
        <v>701</v>
      </c>
      <c r="B176" s="116" t="s">
        <v>702</v>
      </c>
      <c r="C176" s="116" t="s">
        <v>400</v>
      </c>
      <c r="D176" s="116" t="s">
        <v>251</v>
      </c>
      <c r="E176" s="116" t="s">
        <v>565</v>
      </c>
      <c r="F176" s="116" t="s">
        <v>224</v>
      </c>
      <c r="G176" s="116" t="s">
        <v>566</v>
      </c>
      <c r="H176" s="116" t="s">
        <v>521</v>
      </c>
      <c r="I176" s="116" t="s">
        <v>703</v>
      </c>
      <c r="J176" s="117">
        <v>3.3</v>
      </c>
      <c r="K176" s="117" t="s">
        <v>257</v>
      </c>
      <c r="L176" s="116">
        <v>2.7799999999999998E-2</v>
      </c>
      <c r="M176" s="116">
        <v>9.4299999999999995E-2</v>
      </c>
      <c r="N176" s="70">
        <v>92484.401076074704</v>
      </c>
      <c r="O176" s="61">
        <v>92.19</v>
      </c>
      <c r="P176" s="85">
        <v>0</v>
      </c>
      <c r="Q176" s="85">
        <v>85.261369344145251</v>
      </c>
      <c r="R176" s="25">
        <v>6.5680213477973249E-5</v>
      </c>
      <c r="S176" s="25">
        <v>4.0670835926676617E-4</v>
      </c>
      <c r="T176" s="25">
        <v>1.480100828620989E-4</v>
      </c>
    </row>
    <row r="177" spans="1:20" x14ac:dyDescent="0.25">
      <c r="A177" s="17" t="s">
        <v>767</v>
      </c>
      <c r="B177" s="116" t="s">
        <v>768</v>
      </c>
      <c r="C177" s="116" t="s">
        <v>400</v>
      </c>
      <c r="D177" s="116" t="s">
        <v>251</v>
      </c>
      <c r="E177" s="116" t="s">
        <v>565</v>
      </c>
      <c r="F177" s="116" t="s">
        <v>224</v>
      </c>
      <c r="G177" s="116" t="s">
        <v>566</v>
      </c>
      <c r="H177" s="116" t="s">
        <v>521</v>
      </c>
      <c r="I177" s="116" t="s">
        <v>769</v>
      </c>
      <c r="J177" s="117">
        <v>3.91</v>
      </c>
      <c r="K177" s="117" t="s">
        <v>257</v>
      </c>
      <c r="L177" s="116">
        <v>1.29E-2</v>
      </c>
      <c r="M177" s="116">
        <v>8.5000000000000006E-2</v>
      </c>
      <c r="N177" s="70">
        <v>154458.31989080788</v>
      </c>
      <c r="O177" s="61">
        <v>84.13</v>
      </c>
      <c r="P177" s="85">
        <v>0</v>
      </c>
      <c r="Q177" s="85">
        <v>129.94578452228791</v>
      </c>
      <c r="R177" s="25">
        <v>1.5017508294133642E-4</v>
      </c>
      <c r="S177" s="25">
        <v>6.1985911349102176E-4</v>
      </c>
      <c r="T177" s="25">
        <v>2.2558031242838583E-4</v>
      </c>
    </row>
    <row r="178" spans="1:20" x14ac:dyDescent="0.25">
      <c r="A178" s="17" t="s">
        <v>945</v>
      </c>
      <c r="B178" s="116" t="s">
        <v>946</v>
      </c>
      <c r="C178" s="116" t="s">
        <v>400</v>
      </c>
      <c r="D178" s="116" t="s">
        <v>251</v>
      </c>
      <c r="E178" s="116" t="s">
        <v>947</v>
      </c>
      <c r="F178" s="116" t="s">
        <v>225</v>
      </c>
      <c r="G178" s="116" t="s">
        <v>566</v>
      </c>
      <c r="H178" s="116" t="s">
        <v>521</v>
      </c>
      <c r="I178" s="116" t="s">
        <v>948</v>
      </c>
      <c r="J178" s="117">
        <v>4.2</v>
      </c>
      <c r="K178" s="117" t="s">
        <v>257</v>
      </c>
      <c r="L178" s="116">
        <v>1.8000000000000002E-2</v>
      </c>
      <c r="M178" s="116">
        <v>3.8399999999999997E-2</v>
      </c>
      <c r="N178" s="70">
        <v>1199780.6188295528</v>
      </c>
      <c r="O178" s="61">
        <v>102</v>
      </c>
      <c r="P178" s="85">
        <v>0</v>
      </c>
      <c r="Q178" s="85">
        <v>1223.7762311716335</v>
      </c>
      <c r="R178" s="25">
        <v>1.094979835936874E-3</v>
      </c>
      <c r="S178" s="25">
        <v>5.837579514827009E-3</v>
      </c>
      <c r="T178" s="25">
        <v>2.1244230860200061E-3</v>
      </c>
    </row>
    <row r="179" spans="1:20" x14ac:dyDescent="0.25">
      <c r="A179" s="17" t="s">
        <v>811</v>
      </c>
      <c r="B179" s="116" t="s">
        <v>812</v>
      </c>
      <c r="C179" s="116" t="s">
        <v>400</v>
      </c>
      <c r="D179" s="116" t="s">
        <v>251</v>
      </c>
      <c r="E179" s="116" t="s">
        <v>813</v>
      </c>
      <c r="F179" s="116" t="s">
        <v>223</v>
      </c>
      <c r="G179" s="116" t="s">
        <v>785</v>
      </c>
      <c r="H179" s="116" t="s">
        <v>256</v>
      </c>
      <c r="I179" s="116" t="s">
        <v>814</v>
      </c>
      <c r="J179" s="117">
        <v>2.5</v>
      </c>
      <c r="K179" s="117" t="s">
        <v>257</v>
      </c>
      <c r="L179" s="116">
        <v>1E-3</v>
      </c>
      <c r="M179" s="116">
        <v>2.75E-2</v>
      </c>
      <c r="N179" s="70">
        <v>294945.91339676018</v>
      </c>
      <c r="O179" s="61">
        <v>103.46</v>
      </c>
      <c r="P179" s="85">
        <v>0</v>
      </c>
      <c r="Q179" s="85">
        <v>305.15104197810297</v>
      </c>
      <c r="R179" s="25">
        <v>5.208205989595101E-4</v>
      </c>
      <c r="S179" s="25">
        <v>1.4556120851228224E-3</v>
      </c>
      <c r="T179" s="25">
        <v>5.2972913003931563E-4</v>
      </c>
    </row>
    <row r="180" spans="1:20" x14ac:dyDescent="0.25">
      <c r="A180" s="17" t="s">
        <v>955</v>
      </c>
      <c r="B180" s="116" t="s">
        <v>956</v>
      </c>
      <c r="C180" s="116" t="s">
        <v>400</v>
      </c>
      <c r="D180" s="116" t="s">
        <v>251</v>
      </c>
      <c r="E180" s="116" t="s">
        <v>813</v>
      </c>
      <c r="F180" s="116" t="s">
        <v>223</v>
      </c>
      <c r="G180" s="116" t="s">
        <v>785</v>
      </c>
      <c r="H180" s="116" t="s">
        <v>256</v>
      </c>
      <c r="I180" s="116" t="s">
        <v>957</v>
      </c>
      <c r="J180" s="117">
        <v>3.73</v>
      </c>
      <c r="K180" s="117" t="s">
        <v>257</v>
      </c>
      <c r="L180" s="116">
        <v>3.0000000000000001E-3</v>
      </c>
      <c r="M180" s="116">
        <v>3.6200000000000003E-2</v>
      </c>
      <c r="N180" s="70">
        <v>440762.23562469613</v>
      </c>
      <c r="O180" s="61">
        <v>94.5</v>
      </c>
      <c r="P180" s="85">
        <v>0</v>
      </c>
      <c r="Q180" s="85">
        <v>416.52031266533788</v>
      </c>
      <c r="R180" s="25">
        <v>8.6661863079963842E-4</v>
      </c>
      <c r="S180" s="25">
        <v>1.986858694253807E-3</v>
      </c>
      <c r="T180" s="25">
        <v>7.2306141064314665E-4</v>
      </c>
    </row>
    <row r="181" spans="1:20" x14ac:dyDescent="0.25">
      <c r="A181" s="17" t="s">
        <v>996</v>
      </c>
      <c r="B181" s="116" t="s">
        <v>997</v>
      </c>
      <c r="C181" s="116" t="s">
        <v>400</v>
      </c>
      <c r="D181" s="116" t="s">
        <v>251</v>
      </c>
      <c r="E181" s="116" t="s">
        <v>813</v>
      </c>
      <c r="F181" s="116" t="s">
        <v>223</v>
      </c>
      <c r="G181" s="116" t="s">
        <v>785</v>
      </c>
      <c r="H181" s="116" t="s">
        <v>256</v>
      </c>
      <c r="I181" s="116" t="s">
        <v>998</v>
      </c>
      <c r="J181" s="117">
        <v>3.24</v>
      </c>
      <c r="K181" s="117" t="s">
        <v>257</v>
      </c>
      <c r="L181" s="116">
        <v>3.0000000000000001E-3</v>
      </c>
      <c r="M181" s="116">
        <v>3.5499999999999997E-2</v>
      </c>
      <c r="N181" s="70">
        <v>286156.8224379957</v>
      </c>
      <c r="O181" s="61">
        <v>92.47</v>
      </c>
      <c r="P181" s="85">
        <v>0</v>
      </c>
      <c r="Q181" s="85">
        <v>264.60921370841464</v>
      </c>
      <c r="R181" s="25">
        <v>1.1446272897519829E-3</v>
      </c>
      <c r="S181" s="25">
        <v>1.262222035396015E-3</v>
      </c>
      <c r="T181" s="25">
        <v>4.5935025379400233E-4</v>
      </c>
    </row>
    <row r="182" spans="1:20" x14ac:dyDescent="0.25">
      <c r="A182" s="17" t="s">
        <v>975</v>
      </c>
      <c r="B182" s="116" t="s">
        <v>976</v>
      </c>
      <c r="C182" s="116" t="s">
        <v>400</v>
      </c>
      <c r="D182" s="116" t="s">
        <v>251</v>
      </c>
      <c r="E182" s="116" t="s">
        <v>977</v>
      </c>
      <c r="F182" s="116" t="s">
        <v>205</v>
      </c>
      <c r="G182" s="116" t="s">
        <v>566</v>
      </c>
      <c r="H182" s="116" t="s">
        <v>521</v>
      </c>
      <c r="I182" s="116" t="s">
        <v>978</v>
      </c>
      <c r="J182" s="117">
        <v>4.2699999999999996</v>
      </c>
      <c r="K182" s="117" t="s">
        <v>257</v>
      </c>
      <c r="L182" s="116">
        <v>3.3000000000000002E-2</v>
      </c>
      <c r="M182" s="116">
        <v>4.9400000000000006E-2</v>
      </c>
      <c r="N182" s="70">
        <v>195857.35179766078</v>
      </c>
      <c r="O182" s="61">
        <v>97.23</v>
      </c>
      <c r="P182" s="85">
        <v>0</v>
      </c>
      <c r="Q182" s="85">
        <v>190.43210315286558</v>
      </c>
      <c r="R182" s="25">
        <v>7.5329750691407993E-4</v>
      </c>
      <c r="S182" s="25">
        <v>9.0838710216351818E-4</v>
      </c>
      <c r="T182" s="25">
        <v>3.3058196911535853E-4</v>
      </c>
    </row>
    <row r="183" spans="1:20" x14ac:dyDescent="0.25">
      <c r="A183" s="17" t="s">
        <v>3004</v>
      </c>
      <c r="B183" s="116" t="s">
        <v>510</v>
      </c>
      <c r="C183" s="116" t="s">
        <v>400</v>
      </c>
      <c r="D183" s="116" t="s">
        <v>251</v>
      </c>
      <c r="E183" s="116" t="s">
        <v>511</v>
      </c>
      <c r="F183" s="116" t="s">
        <v>228</v>
      </c>
      <c r="G183" s="116" t="s">
        <v>512</v>
      </c>
      <c r="H183" s="116" t="s">
        <v>256</v>
      </c>
      <c r="I183" s="116" t="s">
        <v>513</v>
      </c>
      <c r="J183" s="117">
        <v>1.41</v>
      </c>
      <c r="K183" s="117" t="s">
        <v>257</v>
      </c>
      <c r="L183" s="116">
        <v>4.9500000000000002E-2</v>
      </c>
      <c r="M183" s="116">
        <v>9.9000000000000005E-2</v>
      </c>
      <c r="N183" s="70">
        <v>364646.76635684527</v>
      </c>
      <c r="O183" s="61">
        <v>127.96000000000001</v>
      </c>
      <c r="P183" s="85">
        <v>0</v>
      </c>
      <c r="Q183" s="85">
        <v>466.60200220157577</v>
      </c>
      <c r="R183" s="25">
        <v>6.6255685601216926E-4</v>
      </c>
      <c r="S183" s="25">
        <v>2.2257551832179454E-3</v>
      </c>
      <c r="T183" s="25">
        <v>8.1000107716682878E-4</v>
      </c>
    </row>
    <row r="184" spans="1:20" x14ac:dyDescent="0.25">
      <c r="A184" s="17" t="s">
        <v>1028</v>
      </c>
      <c r="B184" s="116" t="s">
        <v>1029</v>
      </c>
      <c r="C184" s="116" t="s">
        <v>400</v>
      </c>
      <c r="D184" s="116" t="s">
        <v>251</v>
      </c>
      <c r="E184" s="116" t="s">
        <v>1030</v>
      </c>
      <c r="F184" s="116" t="s">
        <v>217</v>
      </c>
      <c r="G184" s="116" t="s">
        <v>499</v>
      </c>
      <c r="H184" s="116" t="s">
        <v>499</v>
      </c>
      <c r="I184" s="116" t="s">
        <v>1031</v>
      </c>
      <c r="J184" s="117">
        <v>4.01</v>
      </c>
      <c r="K184" s="117" t="s">
        <v>257</v>
      </c>
      <c r="L184" s="116">
        <v>5.0000000000000001E-4</v>
      </c>
      <c r="M184" s="116">
        <v>2.1400000000000002E-2</v>
      </c>
      <c r="N184" s="70">
        <v>12325.048882868339</v>
      </c>
      <c r="O184" s="61">
        <v>100.97</v>
      </c>
      <c r="P184" s="85">
        <v>0</v>
      </c>
      <c r="Q184" s="85">
        <v>12.444601857032163</v>
      </c>
      <c r="R184" s="25">
        <v>1.0439491827600823E-5</v>
      </c>
      <c r="S184" s="25">
        <v>5.9362447987111232E-5</v>
      </c>
      <c r="T184" s="25">
        <v>2.1603295445684068E-5</v>
      </c>
    </row>
    <row r="185" spans="1:20" x14ac:dyDescent="0.25">
      <c r="A185" s="17" t="s">
        <v>965</v>
      </c>
      <c r="B185" s="116" t="s">
        <v>966</v>
      </c>
      <c r="C185" s="116" t="s">
        <v>400</v>
      </c>
      <c r="D185" s="116" t="s">
        <v>251</v>
      </c>
      <c r="E185" s="116" t="s">
        <v>967</v>
      </c>
      <c r="F185" s="116" t="s">
        <v>223</v>
      </c>
      <c r="G185" s="116" t="s">
        <v>499</v>
      </c>
      <c r="H185" s="116" t="s">
        <v>499</v>
      </c>
      <c r="I185" s="116" t="s">
        <v>968</v>
      </c>
      <c r="J185" s="117">
        <v>3.42</v>
      </c>
      <c r="K185" s="117" t="s">
        <v>257</v>
      </c>
      <c r="L185" s="116">
        <v>1.9E-2</v>
      </c>
      <c r="M185" s="116">
        <v>3.5000000000000003E-2</v>
      </c>
      <c r="N185" s="70">
        <v>706126.70059729298</v>
      </c>
      <c r="O185" s="61">
        <v>101</v>
      </c>
      <c r="P185" s="85">
        <v>0</v>
      </c>
      <c r="Q185" s="85">
        <v>713.18796760326586</v>
      </c>
      <c r="R185" s="25">
        <v>1.2984781488371751E-3</v>
      </c>
      <c r="S185" s="25">
        <v>3.4020038662754804E-3</v>
      </c>
      <c r="T185" s="25">
        <v>1.2380637443803833E-3</v>
      </c>
    </row>
    <row r="186" spans="1:20" x14ac:dyDescent="0.25">
      <c r="A186" s="17" t="s">
        <v>718</v>
      </c>
      <c r="B186" s="116" t="s">
        <v>719</v>
      </c>
      <c r="C186" s="116" t="s">
        <v>400</v>
      </c>
      <c r="D186" s="116" t="s">
        <v>251</v>
      </c>
      <c r="E186" s="116" t="s">
        <v>720</v>
      </c>
      <c r="F186" s="116" t="s">
        <v>223</v>
      </c>
      <c r="G186" s="116" t="s">
        <v>499</v>
      </c>
      <c r="H186" s="116" t="s">
        <v>499</v>
      </c>
      <c r="I186" s="116" t="s">
        <v>721</v>
      </c>
      <c r="J186" s="117">
        <v>3.75</v>
      </c>
      <c r="K186" s="117" t="s">
        <v>257</v>
      </c>
      <c r="L186" s="116">
        <v>2.75E-2</v>
      </c>
      <c r="M186" s="116">
        <v>2.86E-2</v>
      </c>
      <c r="N186" s="70">
        <v>638980.4508439966</v>
      </c>
      <c r="O186" s="61">
        <v>109.41000000000001</v>
      </c>
      <c r="P186" s="85">
        <v>0</v>
      </c>
      <c r="Q186" s="85">
        <v>699.108511239422</v>
      </c>
      <c r="R186" s="25">
        <v>1.2510076564989771E-3</v>
      </c>
      <c r="S186" s="25">
        <v>3.334842939338055E-3</v>
      </c>
      <c r="T186" s="25">
        <v>1.2136224115810652E-3</v>
      </c>
    </row>
    <row r="187" spans="1:20" x14ac:dyDescent="0.25">
      <c r="A187" s="17" t="s">
        <v>863</v>
      </c>
      <c r="B187" s="116" t="s">
        <v>864</v>
      </c>
      <c r="C187" s="116" t="s">
        <v>400</v>
      </c>
      <c r="D187" s="116" t="s">
        <v>251</v>
      </c>
      <c r="E187" s="116" t="s">
        <v>720</v>
      </c>
      <c r="F187" s="116" t="s">
        <v>223</v>
      </c>
      <c r="G187" s="116" t="s">
        <v>499</v>
      </c>
      <c r="H187" s="116" t="s">
        <v>499</v>
      </c>
      <c r="I187" s="116" t="s">
        <v>865</v>
      </c>
      <c r="J187" s="117">
        <v>5.41</v>
      </c>
      <c r="K187" s="117" t="s">
        <v>257</v>
      </c>
      <c r="L187" s="116">
        <v>8.5000000000000006E-3</v>
      </c>
      <c r="M187" s="116">
        <v>3.0200000000000001E-2</v>
      </c>
      <c r="N187" s="70">
        <v>267884.93746914336</v>
      </c>
      <c r="O187" s="61">
        <v>97.44</v>
      </c>
      <c r="P187" s="85">
        <v>0</v>
      </c>
      <c r="Q187" s="85">
        <v>261.02708306993327</v>
      </c>
      <c r="R187" s="25">
        <v>5.1804847278138122E-4</v>
      </c>
      <c r="S187" s="25">
        <v>1.2451347837384033E-3</v>
      </c>
      <c r="T187" s="25">
        <v>4.5313182853643402E-4</v>
      </c>
    </row>
    <row r="188" spans="1:20" x14ac:dyDescent="0.25">
      <c r="A188" s="17" t="s">
        <v>969</v>
      </c>
      <c r="B188" s="116" t="s">
        <v>970</v>
      </c>
      <c r="C188" s="116" t="s">
        <v>400</v>
      </c>
      <c r="D188" s="116" t="s">
        <v>251</v>
      </c>
      <c r="E188" s="116" t="s">
        <v>720</v>
      </c>
      <c r="F188" s="116" t="s">
        <v>223</v>
      </c>
      <c r="G188" s="116" t="s">
        <v>499</v>
      </c>
      <c r="H188" s="116" t="s">
        <v>499</v>
      </c>
      <c r="I188" s="116" t="s">
        <v>971</v>
      </c>
      <c r="J188" s="117">
        <v>0</v>
      </c>
      <c r="K188" s="117" t="s">
        <v>257</v>
      </c>
      <c r="L188" s="116">
        <v>8.5000000000000006E-3</v>
      </c>
      <c r="M188" s="116">
        <v>3.0200000000000001E-2</v>
      </c>
      <c r="N188" s="70">
        <v>392411.06885720365</v>
      </c>
      <c r="O188" s="61">
        <v>96.707999999999998</v>
      </c>
      <c r="P188" s="85">
        <v>0</v>
      </c>
      <c r="Q188" s="85">
        <v>379.49315905559092</v>
      </c>
      <c r="R188" s="25">
        <v>7.5886295379112064E-4</v>
      </c>
      <c r="S188" s="25">
        <v>1.8102341219676855E-3</v>
      </c>
      <c r="T188" s="25">
        <v>6.5878385896783287E-4</v>
      </c>
    </row>
    <row r="189" spans="1:20" x14ac:dyDescent="0.25">
      <c r="A189" s="17" t="s">
        <v>1015</v>
      </c>
      <c r="B189" s="116" t="s">
        <v>1016</v>
      </c>
      <c r="C189" s="116" t="s">
        <v>400</v>
      </c>
      <c r="D189" s="116" t="s">
        <v>251</v>
      </c>
      <c r="E189" s="116" t="s">
        <v>720</v>
      </c>
      <c r="F189" s="116" t="s">
        <v>223</v>
      </c>
      <c r="G189" s="116" t="s">
        <v>499</v>
      </c>
      <c r="H189" s="116" t="s">
        <v>499</v>
      </c>
      <c r="I189" s="116" t="s">
        <v>1014</v>
      </c>
      <c r="J189" s="117">
        <v>6.73</v>
      </c>
      <c r="K189" s="117" t="s">
        <v>257</v>
      </c>
      <c r="L189" s="116">
        <v>3.1800000000000002E-2</v>
      </c>
      <c r="M189" s="116">
        <v>3.61E-2</v>
      </c>
      <c r="N189" s="70">
        <v>215189.19097043978</v>
      </c>
      <c r="O189" s="61">
        <v>100.16000000000001</v>
      </c>
      <c r="P189" s="85">
        <v>0</v>
      </c>
      <c r="Q189" s="85">
        <v>215.53349367599247</v>
      </c>
      <c r="R189" s="25">
        <v>1.0986888132872448E-3</v>
      </c>
      <c r="S189" s="25">
        <v>1.0281241581538854E-3</v>
      </c>
      <c r="T189" s="25">
        <v>3.7415690721289021E-4</v>
      </c>
    </row>
    <row r="190" spans="1:20" x14ac:dyDescent="0.25">
      <c r="A190" s="17" t="s">
        <v>815</v>
      </c>
      <c r="B190" s="116" t="s">
        <v>816</v>
      </c>
      <c r="C190" s="116" t="s">
        <v>400</v>
      </c>
      <c r="D190" s="116" t="s">
        <v>251</v>
      </c>
      <c r="E190" s="116" t="s">
        <v>817</v>
      </c>
      <c r="F190" s="116" t="s">
        <v>231</v>
      </c>
      <c r="G190" s="116" t="s">
        <v>499</v>
      </c>
      <c r="H190" s="116" t="s">
        <v>499</v>
      </c>
      <c r="I190" s="116" t="s">
        <v>818</v>
      </c>
      <c r="J190" s="117">
        <v>2.5099999999999998</v>
      </c>
      <c r="K190" s="117" t="s">
        <v>257</v>
      </c>
      <c r="L190" s="116">
        <v>1.6500000000000001E-2</v>
      </c>
      <c r="M190" s="116">
        <v>2.8799999999999999E-2</v>
      </c>
      <c r="N190" s="70">
        <v>236498.21491638522</v>
      </c>
      <c r="O190" s="61">
        <v>107.69</v>
      </c>
      <c r="P190" s="85">
        <v>0</v>
      </c>
      <c r="Q190" s="85">
        <v>254.68492763493248</v>
      </c>
      <c r="R190" s="25">
        <v>9.0693352197431648E-4</v>
      </c>
      <c r="S190" s="25">
        <v>1.2148818374037914E-3</v>
      </c>
      <c r="T190" s="25">
        <v>4.4212211852732265E-4</v>
      </c>
    </row>
    <row r="191" spans="1:20" x14ac:dyDescent="0.25">
      <c r="A191" s="17" t="s">
        <v>961</v>
      </c>
      <c r="B191" s="116" t="s">
        <v>962</v>
      </c>
      <c r="C191" s="116" t="s">
        <v>400</v>
      </c>
      <c r="D191" s="116" t="s">
        <v>251</v>
      </c>
      <c r="E191" s="116" t="s">
        <v>963</v>
      </c>
      <c r="F191" s="116" t="s">
        <v>231</v>
      </c>
      <c r="G191" s="116" t="s">
        <v>499</v>
      </c>
      <c r="H191" s="116" t="s">
        <v>499</v>
      </c>
      <c r="I191" s="116" t="s">
        <v>964</v>
      </c>
      <c r="J191" s="117">
        <v>3.11</v>
      </c>
      <c r="K191" s="117" t="s">
        <v>257</v>
      </c>
      <c r="L191" s="116">
        <v>2.9500000000000002E-2</v>
      </c>
      <c r="M191" s="116">
        <v>5.8200000000000002E-2</v>
      </c>
      <c r="N191" s="70">
        <v>265771.19158573146</v>
      </c>
      <c r="O191" s="61">
        <v>97.3</v>
      </c>
      <c r="P191" s="85">
        <v>0</v>
      </c>
      <c r="Q191" s="85">
        <v>258.59536941291674</v>
      </c>
      <c r="R191" s="25">
        <v>1.4604337353115516E-3</v>
      </c>
      <c r="S191" s="25">
        <v>1.2335351779701707E-3</v>
      </c>
      <c r="T191" s="25">
        <v>4.4891047785158687E-4</v>
      </c>
    </row>
    <row r="192" spans="1:20" x14ac:dyDescent="0.25">
      <c r="A192" s="17" t="s">
        <v>801</v>
      </c>
      <c r="B192" s="116" t="s">
        <v>802</v>
      </c>
      <c r="C192" s="116" t="s">
        <v>400</v>
      </c>
      <c r="D192" s="116" t="s">
        <v>251</v>
      </c>
      <c r="E192" s="116" t="s">
        <v>803</v>
      </c>
      <c r="F192" s="116" t="s">
        <v>228</v>
      </c>
      <c r="G192" s="116" t="s">
        <v>499</v>
      </c>
      <c r="H192" s="116" t="s">
        <v>499</v>
      </c>
      <c r="I192" s="116" t="s">
        <v>804</v>
      </c>
      <c r="J192" s="117">
        <v>3.55</v>
      </c>
      <c r="K192" s="117" t="s">
        <v>257</v>
      </c>
      <c r="L192" s="116">
        <v>3.7000000000000005E-2</v>
      </c>
      <c r="M192" s="116">
        <v>7.0400000000000004E-2</v>
      </c>
      <c r="N192" s="70">
        <v>742667.71798183059</v>
      </c>
      <c r="O192" s="61">
        <v>98.69</v>
      </c>
      <c r="P192" s="85">
        <v>0</v>
      </c>
      <c r="Q192" s="85">
        <v>732.93877086859015</v>
      </c>
      <c r="R192" s="25">
        <v>8.4503912892032386E-4</v>
      </c>
      <c r="S192" s="25">
        <v>3.496217891361301E-3</v>
      </c>
      <c r="T192" s="25">
        <v>1.2723502923256092E-3</v>
      </c>
    </row>
    <row r="193" spans="1:20" x14ac:dyDescent="0.25">
      <c r="A193" s="17" t="s">
        <v>871</v>
      </c>
      <c r="B193" s="116" t="s">
        <v>872</v>
      </c>
      <c r="C193" s="116" t="s">
        <v>400</v>
      </c>
      <c r="D193" s="116" t="s">
        <v>251</v>
      </c>
      <c r="E193" s="116" t="s">
        <v>803</v>
      </c>
      <c r="F193" s="116" t="s">
        <v>228</v>
      </c>
      <c r="G193" s="116" t="s">
        <v>499</v>
      </c>
      <c r="H193" s="116" t="s">
        <v>499</v>
      </c>
      <c r="I193" s="116" t="s">
        <v>873</v>
      </c>
      <c r="J193" s="117">
        <v>5.04</v>
      </c>
      <c r="K193" s="117" t="s">
        <v>257</v>
      </c>
      <c r="L193" s="116">
        <v>2.5000000000000001E-2</v>
      </c>
      <c r="M193" s="116">
        <v>6.25E-2</v>
      </c>
      <c r="N193" s="70">
        <v>173133.91183581852</v>
      </c>
      <c r="O193" s="61">
        <v>90.71</v>
      </c>
      <c r="P193" s="85">
        <v>0</v>
      </c>
      <c r="Q193" s="85">
        <v>157.0497714194922</v>
      </c>
      <c r="R193" s="25">
        <v>1.2116587013494193E-3</v>
      </c>
      <c r="S193" s="25">
        <v>7.4914882728925375E-4</v>
      </c>
      <c r="T193" s="25">
        <v>2.7263167199963488E-4</v>
      </c>
    </row>
    <row r="194" spans="1:20" x14ac:dyDescent="0.25">
      <c r="A194" s="17" t="s">
        <v>3005</v>
      </c>
      <c r="B194" s="116" t="s">
        <v>523</v>
      </c>
      <c r="C194" s="116" t="s">
        <v>400</v>
      </c>
      <c r="D194" s="116" t="s">
        <v>251</v>
      </c>
      <c r="E194" s="116" t="s">
        <v>524</v>
      </c>
      <c r="F194" s="116" t="s">
        <v>228</v>
      </c>
      <c r="G194" s="116" t="s">
        <v>499</v>
      </c>
      <c r="H194" s="116" t="s">
        <v>499</v>
      </c>
      <c r="I194" s="116" t="s">
        <v>525</v>
      </c>
      <c r="J194" s="117">
        <v>1.51</v>
      </c>
      <c r="K194" s="117" t="s">
        <v>257</v>
      </c>
      <c r="L194" s="116">
        <v>6.3200000000000006E-2</v>
      </c>
      <c r="M194" s="116">
        <v>0.45</v>
      </c>
      <c r="N194" s="70">
        <v>573.3327415428713</v>
      </c>
      <c r="O194" s="61">
        <v>14.499999999999998</v>
      </c>
      <c r="P194" s="85">
        <v>0</v>
      </c>
      <c r="Q194" s="85">
        <v>8.313319421787993E-2</v>
      </c>
      <c r="R194" s="25">
        <v>6.6251634592392015E-6</v>
      </c>
      <c r="S194" s="25">
        <v>3.9655667368519809E-7</v>
      </c>
      <c r="T194" s="25">
        <v>1.4431566205691373E-7</v>
      </c>
    </row>
    <row r="195" spans="1:20" x14ac:dyDescent="0.25">
      <c r="A195" s="17" t="s">
        <v>530</v>
      </c>
      <c r="B195" s="116" t="s">
        <v>531</v>
      </c>
      <c r="C195" s="116" t="s">
        <v>400</v>
      </c>
      <c r="D195" s="116" t="s">
        <v>251</v>
      </c>
      <c r="E195" s="116" t="s">
        <v>524</v>
      </c>
      <c r="F195" s="116" t="s">
        <v>228</v>
      </c>
      <c r="G195" s="116" t="s">
        <v>499</v>
      </c>
      <c r="H195" s="116" t="s">
        <v>499</v>
      </c>
      <c r="I195" s="116" t="s">
        <v>532</v>
      </c>
      <c r="J195" s="117">
        <v>1.51</v>
      </c>
      <c r="K195" s="117" t="s">
        <v>257</v>
      </c>
      <c r="L195" s="116">
        <v>6.7799999999999999E-2</v>
      </c>
      <c r="M195" s="116">
        <v>0.45</v>
      </c>
      <c r="N195" s="70">
        <v>240829.43688286754</v>
      </c>
      <c r="O195" s="61">
        <v>23.05</v>
      </c>
      <c r="P195" s="85">
        <v>0</v>
      </c>
      <c r="Q195" s="85">
        <v>55.511185146377187</v>
      </c>
      <c r="R195" s="25">
        <v>5.3029162140112414E-4</v>
      </c>
      <c r="S195" s="25">
        <v>2.6479592347043463E-4</v>
      </c>
      <c r="T195" s="25">
        <v>9.6365038193616513E-5</v>
      </c>
    </row>
    <row r="196" spans="1:20" x14ac:dyDescent="0.25">
      <c r="A196" s="17" t="s">
        <v>856</v>
      </c>
      <c r="B196" s="116" t="s">
        <v>857</v>
      </c>
      <c r="C196" s="116" t="s">
        <v>400</v>
      </c>
      <c r="D196" s="116" t="s">
        <v>251</v>
      </c>
      <c r="E196" s="116" t="s">
        <v>858</v>
      </c>
      <c r="F196" s="116" t="s">
        <v>223</v>
      </c>
      <c r="G196" s="116" t="s">
        <v>499</v>
      </c>
      <c r="H196" s="116" t="s">
        <v>499</v>
      </c>
      <c r="I196" s="116" t="s">
        <v>859</v>
      </c>
      <c r="J196" s="117">
        <v>6.33</v>
      </c>
      <c r="K196" s="117" t="s">
        <v>257</v>
      </c>
      <c r="L196" s="116">
        <v>6.4000000000000003E-3</v>
      </c>
      <c r="M196" s="116">
        <v>4.0899999999999999E-2</v>
      </c>
      <c r="N196" s="70">
        <v>198100.26419336518</v>
      </c>
      <c r="O196" s="61">
        <v>88.25</v>
      </c>
      <c r="P196" s="85">
        <v>0</v>
      </c>
      <c r="Q196" s="85">
        <v>174.82348315064476</v>
      </c>
      <c r="R196" s="25">
        <v>8.8753634769380991E-4</v>
      </c>
      <c r="S196" s="25">
        <v>8.3393185613177506E-4</v>
      </c>
      <c r="T196" s="25">
        <v>3.0348607378007726E-4</v>
      </c>
    </row>
    <row r="197" spans="1:20" x14ac:dyDescent="0.25">
      <c r="A197" s="17" t="s">
        <v>979</v>
      </c>
      <c r="B197" s="116" t="s">
        <v>980</v>
      </c>
      <c r="C197" s="116" t="s">
        <v>400</v>
      </c>
      <c r="D197" s="116" t="s">
        <v>251</v>
      </c>
      <c r="E197" s="116" t="s">
        <v>981</v>
      </c>
      <c r="F197" s="116" t="s">
        <v>223</v>
      </c>
      <c r="G197" s="116" t="s">
        <v>499</v>
      </c>
      <c r="H197" s="116" t="s">
        <v>499</v>
      </c>
      <c r="I197" s="116" t="s">
        <v>982</v>
      </c>
      <c r="J197" s="117">
        <v>3.3</v>
      </c>
      <c r="K197" s="117" t="s">
        <v>257</v>
      </c>
      <c r="L197" s="116">
        <v>3.4300000000000004E-2</v>
      </c>
      <c r="M197" s="116">
        <v>4.2900000000000001E-2</v>
      </c>
      <c r="N197" s="70">
        <v>460476.15131284407</v>
      </c>
      <c r="O197" s="61">
        <v>100.88</v>
      </c>
      <c r="P197" s="85">
        <v>0</v>
      </c>
      <c r="Q197" s="85">
        <v>464.52834144439703</v>
      </c>
      <c r="R197" s="25">
        <v>7.1949398642631886E-4</v>
      </c>
      <c r="S197" s="25">
        <v>2.215863538611302E-3</v>
      </c>
      <c r="T197" s="25">
        <v>8.064012909698811E-4</v>
      </c>
    </row>
    <row r="198" spans="1:20" s="118" customFormat="1" x14ac:dyDescent="0.25">
      <c r="A198" s="93" t="s">
        <v>139</v>
      </c>
      <c r="B198" s="130" t="s">
        <v>251</v>
      </c>
      <c r="C198" s="130" t="s">
        <v>251</v>
      </c>
      <c r="D198" s="130" t="s">
        <v>251</v>
      </c>
      <c r="E198" s="130" t="s">
        <v>251</v>
      </c>
      <c r="F198" s="130" t="s">
        <v>251</v>
      </c>
      <c r="G198" s="130" t="s">
        <v>251</v>
      </c>
      <c r="H198" s="130" t="s">
        <v>251</v>
      </c>
      <c r="I198" s="130" t="s">
        <v>251</v>
      </c>
      <c r="J198" s="131" t="s">
        <v>251</v>
      </c>
      <c r="K198" s="131" t="s">
        <v>251</v>
      </c>
      <c r="L198" s="130" t="s">
        <v>251</v>
      </c>
      <c r="M198" s="130" t="s">
        <v>251</v>
      </c>
      <c r="N198" s="134" t="s">
        <v>251</v>
      </c>
      <c r="O198" s="135" t="s">
        <v>251</v>
      </c>
      <c r="P198" s="123" t="s">
        <v>251</v>
      </c>
      <c r="Q198" s="123">
        <v>37292.275428705303</v>
      </c>
      <c r="R198" s="136"/>
      <c r="S198" s="136">
        <v>0.1778892395184663</v>
      </c>
      <c r="T198" s="136">
        <v>6.4737791789851312E-2</v>
      </c>
    </row>
    <row r="199" spans="1:20" x14ac:dyDescent="0.25">
      <c r="A199" s="17" t="s">
        <v>1115</v>
      </c>
      <c r="B199" s="116" t="s">
        <v>1116</v>
      </c>
      <c r="C199" s="116" t="s">
        <v>400</v>
      </c>
      <c r="D199" s="116" t="s">
        <v>251</v>
      </c>
      <c r="E199" s="116" t="s">
        <v>1117</v>
      </c>
      <c r="F199" s="116" t="s">
        <v>213</v>
      </c>
      <c r="G199" s="116" t="s">
        <v>623</v>
      </c>
      <c r="H199" s="116" t="s">
        <v>256</v>
      </c>
      <c r="I199" s="116" t="s">
        <v>1118</v>
      </c>
      <c r="J199" s="117">
        <v>0.99</v>
      </c>
      <c r="K199" s="117" t="s">
        <v>257</v>
      </c>
      <c r="L199" s="116">
        <v>4.7500000000000001E-2</v>
      </c>
      <c r="M199" s="116">
        <v>5.5399999999999998E-2</v>
      </c>
      <c r="N199" s="70">
        <v>18324.112767604394</v>
      </c>
      <c r="O199" s="61">
        <v>99.29</v>
      </c>
      <c r="P199" s="85">
        <v>0</v>
      </c>
      <c r="Q199" s="85">
        <v>18.194011511965112</v>
      </c>
      <c r="R199" s="25">
        <v>1.0942347421479761E-4</v>
      </c>
      <c r="S199" s="25">
        <v>8.6787916115261269E-5</v>
      </c>
      <c r="T199" s="25">
        <v>3.1584024185800323E-5</v>
      </c>
    </row>
    <row r="200" spans="1:20" x14ac:dyDescent="0.25">
      <c r="A200" s="17" t="s">
        <v>1277</v>
      </c>
      <c r="B200" s="116" t="s">
        <v>1278</v>
      </c>
      <c r="C200" s="116" t="s">
        <v>400</v>
      </c>
      <c r="D200" s="116" t="s">
        <v>251</v>
      </c>
      <c r="E200" s="116" t="s">
        <v>1279</v>
      </c>
      <c r="F200" s="116" t="s">
        <v>226</v>
      </c>
      <c r="G200" s="116" t="s">
        <v>681</v>
      </c>
      <c r="H200" s="116" t="s">
        <v>521</v>
      </c>
      <c r="I200" s="116" t="s">
        <v>1280</v>
      </c>
      <c r="J200" s="117">
        <v>3.43</v>
      </c>
      <c r="K200" s="117" t="s">
        <v>257</v>
      </c>
      <c r="L200" s="116">
        <v>2.5499999999999998E-2</v>
      </c>
      <c r="M200" s="116">
        <v>0.06</v>
      </c>
      <c r="N200" s="70">
        <v>609765.37233418319</v>
      </c>
      <c r="O200" s="61">
        <v>89.23</v>
      </c>
      <c r="P200" s="85">
        <v>0</v>
      </c>
      <c r="Q200" s="85">
        <v>544.09364173379163</v>
      </c>
      <c r="R200" s="25">
        <v>1.047185032087419E-3</v>
      </c>
      <c r="S200" s="25">
        <v>2.5954008716870969E-3</v>
      </c>
      <c r="T200" s="25">
        <v>9.4452324208759147E-4</v>
      </c>
    </row>
    <row r="201" spans="1:20" x14ac:dyDescent="0.25">
      <c r="A201" s="17" t="s">
        <v>1451</v>
      </c>
      <c r="B201" s="116" t="s">
        <v>1452</v>
      </c>
      <c r="C201" s="116" t="s">
        <v>400</v>
      </c>
      <c r="D201" s="116" t="s">
        <v>251</v>
      </c>
      <c r="E201" s="116" t="s">
        <v>1453</v>
      </c>
      <c r="F201" s="116" t="s">
        <v>201</v>
      </c>
      <c r="G201" s="116" t="s">
        <v>681</v>
      </c>
      <c r="H201" s="116" t="s">
        <v>521</v>
      </c>
      <c r="I201" s="116" t="s">
        <v>1454</v>
      </c>
      <c r="J201" s="117">
        <v>2.2999999999999998</v>
      </c>
      <c r="K201" s="117" t="s">
        <v>257</v>
      </c>
      <c r="L201" s="116">
        <v>3.27E-2</v>
      </c>
      <c r="M201" s="116">
        <v>5.2400000000000002E-2</v>
      </c>
      <c r="N201" s="70">
        <v>159112.74777632192</v>
      </c>
      <c r="O201" s="61">
        <v>96.17</v>
      </c>
      <c r="P201" s="85">
        <v>0</v>
      </c>
      <c r="Q201" s="85">
        <v>153.01872951720395</v>
      </c>
      <c r="R201" s="25">
        <v>5.0417071283685613E-4</v>
      </c>
      <c r="S201" s="25">
        <v>7.2992020768313653E-4</v>
      </c>
      <c r="T201" s="25">
        <v>2.6563395602852439E-4</v>
      </c>
    </row>
    <row r="202" spans="1:20" x14ac:dyDescent="0.25">
      <c r="A202" s="17" t="s">
        <v>1146</v>
      </c>
      <c r="B202" s="116" t="s">
        <v>1147</v>
      </c>
      <c r="C202" s="116" t="s">
        <v>400</v>
      </c>
      <c r="D202" s="116" t="s">
        <v>251</v>
      </c>
      <c r="E202" s="116" t="s">
        <v>1148</v>
      </c>
      <c r="F202" s="116" t="s">
        <v>212</v>
      </c>
      <c r="G202" s="116" t="s">
        <v>545</v>
      </c>
      <c r="H202" s="116" t="s">
        <v>256</v>
      </c>
      <c r="I202" s="116" t="s">
        <v>1149</v>
      </c>
      <c r="J202" s="117">
        <v>0.75</v>
      </c>
      <c r="K202" s="117" t="s">
        <v>257</v>
      </c>
      <c r="L202" s="116">
        <v>2.4500000000000001E-2</v>
      </c>
      <c r="M202" s="116">
        <v>4.9299999999999997E-2</v>
      </c>
      <c r="N202" s="70">
        <v>6198.6924096186149</v>
      </c>
      <c r="O202" s="61">
        <v>98.83</v>
      </c>
      <c r="P202" s="85">
        <v>0</v>
      </c>
      <c r="Q202" s="85">
        <v>6.1261677084260775</v>
      </c>
      <c r="R202" s="25">
        <v>1.5806317510384301E-5</v>
      </c>
      <c r="S202" s="25">
        <v>2.9222655423585525E-5</v>
      </c>
      <c r="T202" s="25">
        <v>1.0634764573054821E-5</v>
      </c>
    </row>
    <row r="203" spans="1:20" x14ac:dyDescent="0.25">
      <c r="A203" s="17" t="s">
        <v>1228</v>
      </c>
      <c r="B203" s="116" t="s">
        <v>1229</v>
      </c>
      <c r="C203" s="116" t="s">
        <v>400</v>
      </c>
      <c r="D203" s="116" t="s">
        <v>251</v>
      </c>
      <c r="E203" s="116" t="s">
        <v>1148</v>
      </c>
      <c r="F203" s="116" t="s">
        <v>212</v>
      </c>
      <c r="G203" s="116" t="s">
        <v>545</v>
      </c>
      <c r="H203" s="116" t="s">
        <v>256</v>
      </c>
      <c r="I203" s="116" t="s">
        <v>1230</v>
      </c>
      <c r="J203" s="117">
        <v>8.4700000000000006</v>
      </c>
      <c r="K203" s="117" t="s">
        <v>257</v>
      </c>
      <c r="L203" s="116">
        <v>2.4E-2</v>
      </c>
      <c r="M203" s="116">
        <v>5.0300000000000004E-2</v>
      </c>
      <c r="N203" s="70">
        <v>283999.84243396734</v>
      </c>
      <c r="O203" s="61">
        <v>80.430000000000007</v>
      </c>
      <c r="P203" s="85">
        <v>0</v>
      </c>
      <c r="Q203" s="85">
        <v>228.42107324209019</v>
      </c>
      <c r="R203" s="25">
        <v>3.781407904611101E-4</v>
      </c>
      <c r="S203" s="25">
        <v>1.0895996702241994E-3</v>
      </c>
      <c r="T203" s="25">
        <v>3.9652919297539891E-4</v>
      </c>
    </row>
    <row r="204" spans="1:20" x14ac:dyDescent="0.25">
      <c r="A204" s="17" t="s">
        <v>1437</v>
      </c>
      <c r="B204" s="116" t="s">
        <v>1438</v>
      </c>
      <c r="C204" s="116" t="s">
        <v>400</v>
      </c>
      <c r="D204" s="116" t="s">
        <v>251</v>
      </c>
      <c r="E204" s="116" t="s">
        <v>1439</v>
      </c>
      <c r="F204" s="116" t="s">
        <v>201</v>
      </c>
      <c r="G204" s="116" t="s">
        <v>1284</v>
      </c>
      <c r="H204" s="116" t="s">
        <v>521</v>
      </c>
      <c r="I204" s="116" t="s">
        <v>1440</v>
      </c>
      <c r="J204" s="117">
        <v>1.54</v>
      </c>
      <c r="K204" s="117" t="s">
        <v>257</v>
      </c>
      <c r="L204" s="116">
        <v>3.1800000000000002E-2</v>
      </c>
      <c r="M204" s="116">
        <v>9.01E-2</v>
      </c>
      <c r="N204" s="70">
        <v>130454.9254784291</v>
      </c>
      <c r="O204" s="61">
        <v>93.11</v>
      </c>
      <c r="P204" s="85">
        <v>0</v>
      </c>
      <c r="Q204" s="85">
        <v>121.46658111296533</v>
      </c>
      <c r="R204" s="25">
        <v>1.1859538679857191E-3</v>
      </c>
      <c r="S204" s="25">
        <v>5.7941215687958003E-4</v>
      </c>
      <c r="T204" s="25">
        <v>2.1086077873015528E-4</v>
      </c>
    </row>
    <row r="205" spans="1:20" x14ac:dyDescent="0.25">
      <c r="A205" s="17" t="s">
        <v>1441</v>
      </c>
      <c r="B205" s="116" t="s">
        <v>1442</v>
      </c>
      <c r="C205" s="116" t="s">
        <v>400</v>
      </c>
      <c r="D205" s="116" t="s">
        <v>251</v>
      </c>
      <c r="E205" s="116" t="s">
        <v>1439</v>
      </c>
      <c r="F205" s="116" t="s">
        <v>201</v>
      </c>
      <c r="G205" s="116" t="s">
        <v>1284</v>
      </c>
      <c r="H205" s="116" t="s">
        <v>521</v>
      </c>
      <c r="I205" s="116" t="s">
        <v>1440</v>
      </c>
      <c r="J205" s="117">
        <v>2.91</v>
      </c>
      <c r="K205" s="117" t="s">
        <v>257</v>
      </c>
      <c r="L205" s="116">
        <v>3.2000000000000001E-2</v>
      </c>
      <c r="M205" s="116">
        <v>7.6100000000000001E-2</v>
      </c>
      <c r="N205" s="70">
        <v>93359.195124867023</v>
      </c>
      <c r="O205" s="61">
        <v>89.74</v>
      </c>
      <c r="P205" s="85">
        <v>0</v>
      </c>
      <c r="Q205" s="85">
        <v>83.780541705055668</v>
      </c>
      <c r="R205" s="25">
        <v>6.2239463416578018E-4</v>
      </c>
      <c r="S205" s="25">
        <v>3.9964460948085733E-4</v>
      </c>
      <c r="T205" s="25">
        <v>1.4543942954920808E-4</v>
      </c>
    </row>
    <row r="206" spans="1:20" x14ac:dyDescent="0.25">
      <c r="A206" s="17" t="s">
        <v>1443</v>
      </c>
      <c r="B206" s="116" t="s">
        <v>1444</v>
      </c>
      <c r="C206" s="116" t="s">
        <v>400</v>
      </c>
      <c r="D206" s="116" t="s">
        <v>251</v>
      </c>
      <c r="E206" s="116" t="s">
        <v>1439</v>
      </c>
      <c r="F206" s="116" t="s">
        <v>201</v>
      </c>
      <c r="G206" s="116" t="s">
        <v>1284</v>
      </c>
      <c r="H206" s="116" t="s">
        <v>521</v>
      </c>
      <c r="I206" s="116" t="s">
        <v>1440</v>
      </c>
      <c r="J206" s="117">
        <v>0</v>
      </c>
      <c r="K206" s="117" t="s">
        <v>257</v>
      </c>
      <c r="L206" s="116">
        <v>3.2000000000000001E-2</v>
      </c>
      <c r="M206" s="116">
        <v>7.6100000000000001E-2</v>
      </c>
      <c r="N206" s="70">
        <v>97457.219551226008</v>
      </c>
      <c r="O206" s="61">
        <v>89.614400000000003</v>
      </c>
      <c r="P206" s="85">
        <v>0</v>
      </c>
      <c r="Q206" s="85">
        <v>87.335779972294631</v>
      </c>
      <c r="R206" s="25">
        <v>6.4971479700817335E-4</v>
      </c>
      <c r="S206" s="25">
        <v>4.1660358086020302E-4</v>
      </c>
      <c r="T206" s="25">
        <v>1.5161117080291194E-4</v>
      </c>
    </row>
    <row r="207" spans="1:20" x14ac:dyDescent="0.25">
      <c r="A207" s="17" t="s">
        <v>1406</v>
      </c>
      <c r="B207" s="116" t="s">
        <v>1407</v>
      </c>
      <c r="C207" s="116" t="s">
        <v>400</v>
      </c>
      <c r="D207" s="116" t="s">
        <v>251</v>
      </c>
      <c r="E207" s="116" t="s">
        <v>994</v>
      </c>
      <c r="F207" s="116" t="s">
        <v>204</v>
      </c>
      <c r="G207" s="116" t="s">
        <v>623</v>
      </c>
      <c r="H207" s="116" t="s">
        <v>256</v>
      </c>
      <c r="I207" s="116" t="s">
        <v>1408</v>
      </c>
      <c r="J207" s="117">
        <v>2.37</v>
      </c>
      <c r="K207" s="117" t="s">
        <v>257</v>
      </c>
      <c r="L207" s="116">
        <v>5.7000000000000002E-2</v>
      </c>
      <c r="M207" s="116">
        <v>6.3899999999999998E-2</v>
      </c>
      <c r="N207" s="70">
        <v>36503.410856642957</v>
      </c>
      <c r="O207" s="61">
        <v>98.88</v>
      </c>
      <c r="P207" s="85">
        <v>0</v>
      </c>
      <c r="Q207" s="85">
        <v>36.094572655048559</v>
      </c>
      <c r="R207" s="25">
        <v>9.2055497612184882E-5</v>
      </c>
      <c r="S207" s="25">
        <v>1.721760339517457E-4</v>
      </c>
      <c r="T207" s="25">
        <v>6.2658631108563557E-5</v>
      </c>
    </row>
    <row r="208" spans="1:20" x14ac:dyDescent="0.25">
      <c r="A208" s="17" t="s">
        <v>1301</v>
      </c>
      <c r="B208" s="116" t="s">
        <v>1302</v>
      </c>
      <c r="C208" s="116" t="s">
        <v>400</v>
      </c>
      <c r="D208" s="116" t="s">
        <v>251</v>
      </c>
      <c r="E208" s="116" t="s">
        <v>713</v>
      </c>
      <c r="F208" s="116" t="s">
        <v>204</v>
      </c>
      <c r="G208" s="116" t="s">
        <v>623</v>
      </c>
      <c r="H208" s="116" t="s">
        <v>256</v>
      </c>
      <c r="I208" s="116" t="s">
        <v>1303</v>
      </c>
      <c r="J208" s="117">
        <v>1.91</v>
      </c>
      <c r="K208" s="117" t="s">
        <v>257</v>
      </c>
      <c r="L208" s="116">
        <v>2.7999999999999997E-2</v>
      </c>
      <c r="M208" s="116">
        <v>5.8400000000000001E-2</v>
      </c>
      <c r="N208" s="70">
        <v>460559.68931611633</v>
      </c>
      <c r="O208" s="61">
        <v>94.56</v>
      </c>
      <c r="P208" s="85">
        <v>0</v>
      </c>
      <c r="Q208" s="85">
        <v>435.50524219561038</v>
      </c>
      <c r="R208" s="25">
        <v>1.3246331848226569E-3</v>
      </c>
      <c r="S208" s="25">
        <v>2.0774193971776164E-3</v>
      </c>
      <c r="T208" s="25">
        <v>7.5601843460982416E-4</v>
      </c>
    </row>
    <row r="209" spans="1:20" x14ac:dyDescent="0.25">
      <c r="A209" s="17" t="s">
        <v>1401</v>
      </c>
      <c r="B209" s="116" t="s">
        <v>1402</v>
      </c>
      <c r="C209" s="116" t="s">
        <v>400</v>
      </c>
      <c r="D209" s="116" t="s">
        <v>251</v>
      </c>
      <c r="E209" s="116" t="s">
        <v>713</v>
      </c>
      <c r="F209" s="116" t="s">
        <v>204</v>
      </c>
      <c r="G209" s="116" t="s">
        <v>623</v>
      </c>
      <c r="H209" s="116" t="s">
        <v>256</v>
      </c>
      <c r="I209" s="116" t="s">
        <v>1403</v>
      </c>
      <c r="J209" s="117">
        <v>3.49</v>
      </c>
      <c r="K209" s="117" t="s">
        <v>257</v>
      </c>
      <c r="L209" s="116">
        <v>5.6500000000000002E-2</v>
      </c>
      <c r="M209" s="116">
        <v>6.25E-2</v>
      </c>
      <c r="N209" s="70">
        <v>432675.61762739002</v>
      </c>
      <c r="O209" s="61">
        <v>100.78</v>
      </c>
      <c r="P209" s="85">
        <v>0</v>
      </c>
      <c r="Q209" s="85">
        <v>436.05048744488369</v>
      </c>
      <c r="R209" s="25">
        <v>1.00416732646535E-3</v>
      </c>
      <c r="S209" s="25">
        <v>2.0800202913743172E-3</v>
      </c>
      <c r="T209" s="25">
        <v>7.569649569932423E-4</v>
      </c>
    </row>
    <row r="210" spans="1:20" x14ac:dyDescent="0.25">
      <c r="A210" s="17" t="s">
        <v>1281</v>
      </c>
      <c r="B210" s="116" t="s">
        <v>1282</v>
      </c>
      <c r="C210" s="116" t="s">
        <v>400</v>
      </c>
      <c r="D210" s="116" t="s">
        <v>251</v>
      </c>
      <c r="E210" s="116" t="s">
        <v>1283</v>
      </c>
      <c r="F210" s="116" t="s">
        <v>226</v>
      </c>
      <c r="G210" s="116" t="s">
        <v>1284</v>
      </c>
      <c r="H210" s="116" t="s">
        <v>521</v>
      </c>
      <c r="I210" s="116" t="s">
        <v>1285</v>
      </c>
      <c r="J210" s="117">
        <v>1.89</v>
      </c>
      <c r="K210" s="117" t="s">
        <v>257</v>
      </c>
      <c r="L210" s="116">
        <v>3.4700000000000002E-2</v>
      </c>
      <c r="M210" s="116">
        <v>7.0199999999999999E-2</v>
      </c>
      <c r="N210" s="70">
        <v>55102.243059903078</v>
      </c>
      <c r="O210" s="61">
        <v>93.77</v>
      </c>
      <c r="P210" s="85">
        <v>0</v>
      </c>
      <c r="Q210" s="85">
        <v>51.669373317271116</v>
      </c>
      <c r="R210" s="25">
        <v>4.5919913480656986E-4</v>
      </c>
      <c r="S210" s="25">
        <v>2.4646995711959422E-4</v>
      </c>
      <c r="T210" s="25">
        <v>8.9695817519111503E-5</v>
      </c>
    </row>
    <row r="211" spans="1:20" x14ac:dyDescent="0.25">
      <c r="A211" s="17" t="s">
        <v>1378</v>
      </c>
      <c r="B211" s="116" t="s">
        <v>1379</v>
      </c>
      <c r="C211" s="116" t="s">
        <v>400</v>
      </c>
      <c r="D211" s="116" t="s">
        <v>251</v>
      </c>
      <c r="E211" s="116" t="s">
        <v>1380</v>
      </c>
      <c r="F211" s="116" t="s">
        <v>235</v>
      </c>
      <c r="G211" s="116" t="s">
        <v>528</v>
      </c>
      <c r="H211" s="116" t="s">
        <v>256</v>
      </c>
      <c r="I211" s="116" t="s">
        <v>1381</v>
      </c>
      <c r="J211" s="117">
        <v>0</v>
      </c>
      <c r="K211" s="117" t="s">
        <v>257</v>
      </c>
      <c r="L211" s="116">
        <v>2.1000000000000001E-2</v>
      </c>
      <c r="M211" s="116">
        <v>5.2199999999999996E-2</v>
      </c>
      <c r="N211" s="70">
        <v>456790.49402006948</v>
      </c>
      <c r="O211" s="61">
        <v>88.749600000000001</v>
      </c>
      <c r="P211" s="85">
        <v>0</v>
      </c>
      <c r="Q211" s="85">
        <v>405.39975123786712</v>
      </c>
      <c r="R211" s="25">
        <v>1.3051156972001985E-3</v>
      </c>
      <c r="S211" s="25">
        <v>1.9338120996813439E-3</v>
      </c>
      <c r="T211" s="25">
        <v>7.037565926345437E-4</v>
      </c>
    </row>
    <row r="212" spans="1:20" x14ac:dyDescent="0.25">
      <c r="A212" s="17" t="s">
        <v>1250</v>
      </c>
      <c r="B212" s="116" t="s">
        <v>1251</v>
      </c>
      <c r="C212" s="116" t="s">
        <v>400</v>
      </c>
      <c r="D212" s="116" t="s">
        <v>251</v>
      </c>
      <c r="E212" s="116" t="s">
        <v>1252</v>
      </c>
      <c r="F212" s="116" t="s">
        <v>225</v>
      </c>
      <c r="G212" s="116" t="s">
        <v>669</v>
      </c>
      <c r="H212" s="116" t="s">
        <v>521</v>
      </c>
      <c r="I212" s="116" t="s">
        <v>1253</v>
      </c>
      <c r="J212" s="117">
        <v>3.79</v>
      </c>
      <c r="K212" s="117" t="s">
        <v>257</v>
      </c>
      <c r="L212" s="116">
        <v>1.7000000000000001E-2</v>
      </c>
      <c r="M212" s="116">
        <v>5.5899999999999998E-2</v>
      </c>
      <c r="N212" s="70">
        <v>275497.4409096145</v>
      </c>
      <c r="O212" s="61">
        <v>87.34</v>
      </c>
      <c r="P212" s="85">
        <v>0</v>
      </c>
      <c r="Q212" s="85">
        <v>240.61946488261941</v>
      </c>
      <c r="R212" s="25">
        <v>1.1943875873996986E-3</v>
      </c>
      <c r="S212" s="25">
        <v>1.1477876619017428E-3</v>
      </c>
      <c r="T212" s="25">
        <v>4.1770507803785297E-4</v>
      </c>
    </row>
    <row r="213" spans="1:20" x14ac:dyDescent="0.25">
      <c r="A213" s="17" t="s">
        <v>1339</v>
      </c>
      <c r="B213" s="116" t="s">
        <v>1340</v>
      </c>
      <c r="C213" s="116" t="s">
        <v>400</v>
      </c>
      <c r="D213" s="116" t="s">
        <v>251</v>
      </c>
      <c r="E213" s="116" t="s">
        <v>1252</v>
      </c>
      <c r="F213" s="116" t="s">
        <v>225</v>
      </c>
      <c r="G213" s="116" t="s">
        <v>669</v>
      </c>
      <c r="H213" s="116" t="s">
        <v>521</v>
      </c>
      <c r="I213" s="116" t="s">
        <v>1341</v>
      </c>
      <c r="J213" s="117">
        <v>4.88</v>
      </c>
      <c r="K213" s="117" t="s">
        <v>257</v>
      </c>
      <c r="L213" s="116">
        <v>1.9900000000000001E-2</v>
      </c>
      <c r="M213" s="116">
        <v>5.6399999999999999E-2</v>
      </c>
      <c r="N213" s="70">
        <v>157550.09874447313</v>
      </c>
      <c r="O213" s="61">
        <v>83.82</v>
      </c>
      <c r="P213" s="85">
        <v>0</v>
      </c>
      <c r="Q213" s="85">
        <v>132.05849276761737</v>
      </c>
      <c r="R213" s="25">
        <v>7.1613681247487788E-4</v>
      </c>
      <c r="S213" s="25">
        <v>6.2993701994123433E-4</v>
      </c>
      <c r="T213" s="25">
        <v>2.2924788339117995E-4</v>
      </c>
    </row>
    <row r="214" spans="1:20" x14ac:dyDescent="0.25">
      <c r="A214" s="17" t="s">
        <v>1135</v>
      </c>
      <c r="B214" s="116" t="s">
        <v>1136</v>
      </c>
      <c r="C214" s="116" t="s">
        <v>400</v>
      </c>
      <c r="D214" s="116" t="s">
        <v>251</v>
      </c>
      <c r="E214" s="116" t="s">
        <v>557</v>
      </c>
      <c r="F214" s="116" t="s">
        <v>223</v>
      </c>
      <c r="G214" s="116" t="s">
        <v>545</v>
      </c>
      <c r="H214" s="116" t="s">
        <v>256</v>
      </c>
      <c r="I214" s="116" t="s">
        <v>1137</v>
      </c>
      <c r="J214" s="117">
        <v>1.46</v>
      </c>
      <c r="K214" s="117" t="s">
        <v>257</v>
      </c>
      <c r="L214" s="116">
        <v>3.39E-2</v>
      </c>
      <c r="M214" s="116">
        <v>5.1100000000000007E-2</v>
      </c>
      <c r="N214" s="70">
        <v>144344.05427777485</v>
      </c>
      <c r="O214" s="61">
        <v>99.19</v>
      </c>
      <c r="P214" s="85">
        <v>0</v>
      </c>
      <c r="Q214" s="85">
        <v>143.17486738437535</v>
      </c>
      <c r="R214" s="25">
        <v>2.2168315894170759E-4</v>
      </c>
      <c r="S214" s="25">
        <v>6.8296364285562244E-4</v>
      </c>
      <c r="T214" s="25">
        <v>2.4854543327583315E-4</v>
      </c>
    </row>
    <row r="215" spans="1:20" x14ac:dyDescent="0.25">
      <c r="A215" s="17" t="s">
        <v>1234</v>
      </c>
      <c r="B215" s="116" t="s">
        <v>1235</v>
      </c>
      <c r="C215" s="116" t="s">
        <v>400</v>
      </c>
      <c r="D215" s="116" t="s">
        <v>251</v>
      </c>
      <c r="E215" s="116" t="s">
        <v>557</v>
      </c>
      <c r="F215" s="116" t="s">
        <v>223</v>
      </c>
      <c r="G215" s="116" t="s">
        <v>545</v>
      </c>
      <c r="H215" s="116" t="s">
        <v>256</v>
      </c>
      <c r="I215" s="116" t="s">
        <v>583</v>
      </c>
      <c r="J215" s="117">
        <v>6.36</v>
      </c>
      <c r="K215" s="117" t="s">
        <v>257</v>
      </c>
      <c r="L215" s="116">
        <v>2.4399999999999998E-2</v>
      </c>
      <c r="M215" s="116">
        <v>5.21E-2</v>
      </c>
      <c r="N215" s="70">
        <v>789210.29955970286</v>
      </c>
      <c r="O215" s="61">
        <v>85.25</v>
      </c>
      <c r="P215" s="85">
        <v>0</v>
      </c>
      <c r="Q215" s="85">
        <v>672.80178037464668</v>
      </c>
      <c r="R215" s="25">
        <v>7.1841875252353846E-4</v>
      </c>
      <c r="S215" s="25">
        <v>3.2093562455400757E-3</v>
      </c>
      <c r="T215" s="25">
        <v>1.1679550543115598E-3</v>
      </c>
    </row>
    <row r="216" spans="1:20" x14ac:dyDescent="0.25">
      <c r="A216" s="17" t="s">
        <v>1325</v>
      </c>
      <c r="B216" s="116" t="s">
        <v>1326</v>
      </c>
      <c r="C216" s="116" t="s">
        <v>400</v>
      </c>
      <c r="D216" s="116" t="s">
        <v>251</v>
      </c>
      <c r="E216" s="116" t="s">
        <v>1327</v>
      </c>
      <c r="F216" s="116" t="s">
        <v>231</v>
      </c>
      <c r="G216" s="116" t="s">
        <v>681</v>
      </c>
      <c r="H216" s="116" t="s">
        <v>521</v>
      </c>
      <c r="I216" s="116" t="s">
        <v>1328</v>
      </c>
      <c r="J216" s="117">
        <v>4.91</v>
      </c>
      <c r="K216" s="117" t="s">
        <v>257</v>
      </c>
      <c r="L216" s="116">
        <v>1.4999999999999999E-2</v>
      </c>
      <c r="M216" s="116">
        <v>5.5399999999999998E-2</v>
      </c>
      <c r="N216" s="70">
        <v>235286.7569391224</v>
      </c>
      <c r="O216" s="61">
        <v>82.9</v>
      </c>
      <c r="P216" s="85">
        <v>0</v>
      </c>
      <c r="Q216" s="85">
        <v>195.05272146120788</v>
      </c>
      <c r="R216" s="25">
        <v>6.095985619066829E-4</v>
      </c>
      <c r="S216" s="25">
        <v>9.3042808162982938E-4</v>
      </c>
      <c r="T216" s="25">
        <v>3.386031644580162E-4</v>
      </c>
    </row>
    <row r="217" spans="1:20" x14ac:dyDescent="0.25">
      <c r="A217" s="17" t="s">
        <v>1225</v>
      </c>
      <c r="B217" s="116" t="s">
        <v>1226</v>
      </c>
      <c r="C217" s="116" t="s">
        <v>400</v>
      </c>
      <c r="D217" s="116" t="s">
        <v>251</v>
      </c>
      <c r="E217" s="116" t="s">
        <v>931</v>
      </c>
      <c r="F217" s="116" t="s">
        <v>224</v>
      </c>
      <c r="G217" s="116" t="s">
        <v>681</v>
      </c>
      <c r="H217" s="116" t="s">
        <v>521</v>
      </c>
      <c r="I217" s="116" t="s">
        <v>1227</v>
      </c>
      <c r="J217" s="117">
        <v>3.43</v>
      </c>
      <c r="K217" s="117" t="s">
        <v>257</v>
      </c>
      <c r="L217" s="116">
        <v>3.2500000000000001E-2</v>
      </c>
      <c r="M217" s="116">
        <v>6.3500000000000001E-2</v>
      </c>
      <c r="N217" s="70">
        <v>75143.31125123713</v>
      </c>
      <c r="O217" s="61">
        <v>91.02</v>
      </c>
      <c r="P217" s="85">
        <v>0</v>
      </c>
      <c r="Q217" s="85">
        <v>68.395441899498564</v>
      </c>
      <c r="R217" s="25">
        <v>2.1891268423145668E-4</v>
      </c>
      <c r="S217" s="25">
        <v>3.2625558526970386E-4</v>
      </c>
      <c r="T217" s="25">
        <v>1.1873155569521471E-4</v>
      </c>
    </row>
    <row r="218" spans="1:20" x14ac:dyDescent="0.25">
      <c r="A218" s="17" t="s">
        <v>1306</v>
      </c>
      <c r="B218" s="116" t="s">
        <v>1307</v>
      </c>
      <c r="C218" s="116" t="s">
        <v>400</v>
      </c>
      <c r="D218" s="116" t="s">
        <v>251</v>
      </c>
      <c r="E218" s="116" t="s">
        <v>931</v>
      </c>
      <c r="F218" s="116" t="s">
        <v>224</v>
      </c>
      <c r="G218" s="116" t="s">
        <v>681</v>
      </c>
      <c r="H218" s="116" t="s">
        <v>521</v>
      </c>
      <c r="I218" s="116" t="s">
        <v>426</v>
      </c>
      <c r="J218" s="117">
        <v>3.56</v>
      </c>
      <c r="K218" s="117" t="s">
        <v>257</v>
      </c>
      <c r="L218" s="116">
        <v>2.3E-2</v>
      </c>
      <c r="M218" s="116">
        <v>5.5199999999999999E-2</v>
      </c>
      <c r="N218" s="70">
        <v>215221.7457473613</v>
      </c>
      <c r="O218" s="61">
        <v>90.11</v>
      </c>
      <c r="P218" s="85">
        <v>0</v>
      </c>
      <c r="Q218" s="85">
        <v>193.93631505618902</v>
      </c>
      <c r="R218" s="25">
        <v>3.7485703618186022E-4</v>
      </c>
      <c r="S218" s="25">
        <v>9.2510267082828086E-4</v>
      </c>
      <c r="T218" s="25">
        <v>3.366651307883052E-4</v>
      </c>
    </row>
    <row r="219" spans="1:20" x14ac:dyDescent="0.25">
      <c r="A219" s="17" t="s">
        <v>1258</v>
      </c>
      <c r="B219" s="116" t="s">
        <v>1259</v>
      </c>
      <c r="C219" s="116" t="s">
        <v>400</v>
      </c>
      <c r="D219" s="116" t="s">
        <v>251</v>
      </c>
      <c r="E219" s="116" t="s">
        <v>1260</v>
      </c>
      <c r="F219" s="116" t="s">
        <v>226</v>
      </c>
      <c r="G219" s="116" t="s">
        <v>681</v>
      </c>
      <c r="H219" s="116" t="s">
        <v>521</v>
      </c>
      <c r="I219" s="116" t="s">
        <v>1261</v>
      </c>
      <c r="J219" s="117">
        <v>2.83</v>
      </c>
      <c r="K219" s="117" t="s">
        <v>257</v>
      </c>
      <c r="L219" s="116">
        <v>2.4E-2</v>
      </c>
      <c r="M219" s="116">
        <v>5.8099999999999999E-2</v>
      </c>
      <c r="N219" s="70">
        <v>200304.81623641012</v>
      </c>
      <c r="O219" s="61">
        <v>91.67</v>
      </c>
      <c r="P219" s="85">
        <v>0</v>
      </c>
      <c r="Q219" s="85">
        <v>183.6194249890105</v>
      </c>
      <c r="R219" s="25">
        <v>7.6860696401950715E-4</v>
      </c>
      <c r="S219" s="25">
        <v>8.7588969824486669E-4</v>
      </c>
      <c r="T219" s="25">
        <v>3.1875545181565433E-4</v>
      </c>
    </row>
    <row r="220" spans="1:20" x14ac:dyDescent="0.25">
      <c r="A220" s="17" t="s">
        <v>1273</v>
      </c>
      <c r="B220" s="116" t="s">
        <v>1274</v>
      </c>
      <c r="C220" s="116" t="s">
        <v>400</v>
      </c>
      <c r="D220" s="116" t="s">
        <v>251</v>
      </c>
      <c r="E220" s="116" t="s">
        <v>1275</v>
      </c>
      <c r="F220" s="116" t="s">
        <v>226</v>
      </c>
      <c r="G220" s="116" t="s">
        <v>499</v>
      </c>
      <c r="H220" s="116" t="s">
        <v>499</v>
      </c>
      <c r="I220" s="116" t="s">
        <v>1276</v>
      </c>
      <c r="J220" s="117">
        <v>1.23</v>
      </c>
      <c r="K220" s="117" t="s">
        <v>257</v>
      </c>
      <c r="L220" s="116">
        <v>4.2000000000000003E-2</v>
      </c>
      <c r="M220" s="116">
        <v>6.3799999999999996E-2</v>
      </c>
      <c r="N220" s="70">
        <v>72593.575552644674</v>
      </c>
      <c r="O220" s="61">
        <v>97.51</v>
      </c>
      <c r="P220" s="85">
        <v>0</v>
      </c>
      <c r="Q220" s="85">
        <v>70.785995521383811</v>
      </c>
      <c r="R220" s="25">
        <v>8.4411134363540316E-4</v>
      </c>
      <c r="S220" s="25">
        <v>3.3765885205717233E-4</v>
      </c>
      <c r="T220" s="25">
        <v>1.228814543232013E-4</v>
      </c>
    </row>
    <row r="221" spans="1:20" x14ac:dyDescent="0.25">
      <c r="A221" s="17" t="s">
        <v>1315</v>
      </c>
      <c r="B221" s="116" t="s">
        <v>1316</v>
      </c>
      <c r="C221" s="116" t="s">
        <v>400</v>
      </c>
      <c r="D221" s="116" t="s">
        <v>251</v>
      </c>
      <c r="E221" s="116" t="s">
        <v>1275</v>
      </c>
      <c r="F221" s="116" t="s">
        <v>226</v>
      </c>
      <c r="G221" s="116" t="s">
        <v>499</v>
      </c>
      <c r="H221" s="116" t="s">
        <v>499</v>
      </c>
      <c r="I221" s="116" t="s">
        <v>1317</v>
      </c>
      <c r="J221" s="117">
        <v>1.29</v>
      </c>
      <c r="K221" s="117" t="s">
        <v>257</v>
      </c>
      <c r="L221" s="116">
        <v>3.0499999999999999E-2</v>
      </c>
      <c r="M221" s="116">
        <v>8.0799999999999997E-2</v>
      </c>
      <c r="N221" s="70">
        <v>105618.83122389051</v>
      </c>
      <c r="O221" s="61">
        <v>94.01</v>
      </c>
      <c r="P221" s="85">
        <v>0</v>
      </c>
      <c r="Q221" s="85">
        <v>99.292263233579476</v>
      </c>
      <c r="R221" s="25">
        <v>1.0058936307037192E-3</v>
      </c>
      <c r="S221" s="25">
        <v>4.7363763657856374E-4</v>
      </c>
      <c r="T221" s="25">
        <v>1.7236711328723927E-4</v>
      </c>
    </row>
    <row r="222" spans="1:20" x14ac:dyDescent="0.25">
      <c r="A222" s="17" t="s">
        <v>1143</v>
      </c>
      <c r="B222" s="116" t="s">
        <v>1144</v>
      </c>
      <c r="C222" s="116" t="s">
        <v>400</v>
      </c>
      <c r="D222" s="116" t="s">
        <v>251</v>
      </c>
      <c r="E222" s="116" t="s">
        <v>590</v>
      </c>
      <c r="F222" s="116" t="s">
        <v>206</v>
      </c>
      <c r="G222" s="116" t="s">
        <v>591</v>
      </c>
      <c r="H222" s="116" t="s">
        <v>521</v>
      </c>
      <c r="I222" s="116" t="s">
        <v>1145</v>
      </c>
      <c r="J222" s="117">
        <v>1.38</v>
      </c>
      <c r="K222" s="117" t="s">
        <v>257</v>
      </c>
      <c r="L222" s="116">
        <v>3.6499999999999998E-2</v>
      </c>
      <c r="M222" s="116">
        <v>5.0300000000000004E-2</v>
      </c>
      <c r="N222" s="70">
        <v>1214313.8247864887</v>
      </c>
      <c r="O222" s="61">
        <v>98.51</v>
      </c>
      <c r="P222" s="85">
        <v>0</v>
      </c>
      <c r="Q222" s="85">
        <v>1196.2205487758672</v>
      </c>
      <c r="R222" s="25">
        <v>7.6014748089600875E-4</v>
      </c>
      <c r="S222" s="25">
        <v>5.706135151900789E-3</v>
      </c>
      <c r="T222" s="25">
        <v>2.0765876024230125E-3</v>
      </c>
    </row>
    <row r="223" spans="1:20" x14ac:dyDescent="0.25">
      <c r="A223" s="17" t="s">
        <v>1240</v>
      </c>
      <c r="B223" s="116" t="s">
        <v>1241</v>
      </c>
      <c r="C223" s="116" t="s">
        <v>400</v>
      </c>
      <c r="D223" s="116" t="s">
        <v>251</v>
      </c>
      <c r="E223" s="116" t="s">
        <v>590</v>
      </c>
      <c r="F223" s="116" t="s">
        <v>206</v>
      </c>
      <c r="G223" s="116" t="s">
        <v>591</v>
      </c>
      <c r="H223" s="116" t="s">
        <v>521</v>
      </c>
      <c r="I223" s="116" t="s">
        <v>786</v>
      </c>
      <c r="J223" s="117">
        <v>4.5199999999999996</v>
      </c>
      <c r="K223" s="117" t="s">
        <v>257</v>
      </c>
      <c r="L223" s="116">
        <v>3.6000000000000004E-2</v>
      </c>
      <c r="M223" s="116">
        <v>4.7199999999999999E-2</v>
      </c>
      <c r="N223" s="70">
        <v>475645.02917266235</v>
      </c>
      <c r="O223" s="61">
        <v>93.91</v>
      </c>
      <c r="P223" s="85">
        <v>0</v>
      </c>
      <c r="Q223" s="85">
        <v>446.67824689535848</v>
      </c>
      <c r="R223" s="25">
        <v>5.6979444439838516E-4</v>
      </c>
      <c r="S223" s="25">
        <v>2.1307161533107789E-3</v>
      </c>
      <c r="T223" s="25">
        <v>7.7541429189137152E-4</v>
      </c>
    </row>
    <row r="224" spans="1:20" x14ac:dyDescent="0.25">
      <c r="A224" s="17" t="s">
        <v>1350</v>
      </c>
      <c r="B224" s="116" t="s">
        <v>1351</v>
      </c>
      <c r="C224" s="116" t="s">
        <v>400</v>
      </c>
      <c r="D224" s="116" t="s">
        <v>251</v>
      </c>
      <c r="E224" s="116" t="s">
        <v>590</v>
      </c>
      <c r="F224" s="116" t="s">
        <v>206</v>
      </c>
      <c r="G224" s="116" t="s">
        <v>591</v>
      </c>
      <c r="H224" s="116" t="s">
        <v>521</v>
      </c>
      <c r="I224" s="116" t="s">
        <v>919</v>
      </c>
      <c r="J224" s="117">
        <v>8.8699999999999992</v>
      </c>
      <c r="K224" s="117" t="s">
        <v>257</v>
      </c>
      <c r="L224" s="116">
        <v>2.7900000000000001E-2</v>
      </c>
      <c r="M224" s="116">
        <v>5.1200000000000002E-2</v>
      </c>
      <c r="N224" s="70">
        <v>641703.10185934149</v>
      </c>
      <c r="O224" s="61">
        <v>82.09</v>
      </c>
      <c r="P224" s="85">
        <v>0</v>
      </c>
      <c r="Q224" s="85">
        <v>526.77407631633332</v>
      </c>
      <c r="R224" s="25">
        <v>1.4921939862788146E-3</v>
      </c>
      <c r="S224" s="25">
        <v>2.5127841826949725E-3</v>
      </c>
      <c r="T224" s="25">
        <v>9.1445721884292049E-4</v>
      </c>
    </row>
    <row r="225" spans="1:20" x14ac:dyDescent="0.25">
      <c r="A225" s="17" t="s">
        <v>1447</v>
      </c>
      <c r="B225" s="116" t="s">
        <v>1448</v>
      </c>
      <c r="C225" s="116" t="s">
        <v>400</v>
      </c>
      <c r="D225" s="116" t="s">
        <v>251</v>
      </c>
      <c r="E225" s="116" t="s">
        <v>1449</v>
      </c>
      <c r="F225" s="116" t="s">
        <v>206</v>
      </c>
      <c r="G225" s="116" t="s">
        <v>499</v>
      </c>
      <c r="H225" s="116" t="s">
        <v>499</v>
      </c>
      <c r="I225" s="116" t="s">
        <v>1450</v>
      </c>
      <c r="J225" s="117">
        <v>3.23</v>
      </c>
      <c r="K225" s="117" t="s">
        <v>257</v>
      </c>
      <c r="L225" s="116">
        <v>3.6499999999999998E-2</v>
      </c>
      <c r="M225" s="116">
        <v>6.25E-2</v>
      </c>
      <c r="N225" s="70">
        <v>228956.27057260371</v>
      </c>
      <c r="O225" s="61">
        <v>92.65</v>
      </c>
      <c r="P225" s="85">
        <v>0</v>
      </c>
      <c r="Q225" s="85">
        <v>212.12798468551736</v>
      </c>
      <c r="R225" s="25">
        <v>1.1392181847777116E-4</v>
      </c>
      <c r="S225" s="25">
        <v>1.011879415843991E-3</v>
      </c>
      <c r="T225" s="25">
        <v>3.6824508956622164E-4</v>
      </c>
    </row>
    <row r="226" spans="1:20" x14ac:dyDescent="0.25">
      <c r="A226" s="17" t="s">
        <v>1332</v>
      </c>
      <c r="B226" s="116" t="s">
        <v>1333</v>
      </c>
      <c r="C226" s="116" t="s">
        <v>400</v>
      </c>
      <c r="D226" s="116" t="s">
        <v>251</v>
      </c>
      <c r="E226" s="116" t="s">
        <v>586</v>
      </c>
      <c r="F226" s="116" t="s">
        <v>223</v>
      </c>
      <c r="G226" s="116" t="s">
        <v>528</v>
      </c>
      <c r="H226" s="116" t="s">
        <v>256</v>
      </c>
      <c r="I226" s="116" t="s">
        <v>1334</v>
      </c>
      <c r="J226" s="117">
        <v>5.19</v>
      </c>
      <c r="K226" s="117" t="s">
        <v>257</v>
      </c>
      <c r="L226" s="116">
        <v>2.0899999999999998E-2</v>
      </c>
      <c r="M226" s="116">
        <v>5.2000000000000005E-2</v>
      </c>
      <c r="N226" s="70">
        <v>5299.4687640632746</v>
      </c>
      <c r="O226" s="61">
        <v>85.76</v>
      </c>
      <c r="P226" s="85">
        <v>0</v>
      </c>
      <c r="Q226" s="85">
        <v>4.5448243845109202</v>
      </c>
      <c r="R226" s="25">
        <v>2.6928194939345909E-5</v>
      </c>
      <c r="S226" s="25">
        <v>2.1679432113260498E-5</v>
      </c>
      <c r="T226" s="25">
        <v>7.8896203394291459E-6</v>
      </c>
    </row>
    <row r="227" spans="1:20" x14ac:dyDescent="0.25">
      <c r="A227" s="17" t="s">
        <v>1342</v>
      </c>
      <c r="B227" s="116" t="s">
        <v>1343</v>
      </c>
      <c r="C227" s="116" t="s">
        <v>400</v>
      </c>
      <c r="D227" s="116" t="s">
        <v>251</v>
      </c>
      <c r="E227" s="116" t="s">
        <v>915</v>
      </c>
      <c r="F227" s="116" t="s">
        <v>200</v>
      </c>
      <c r="G227" s="116" t="s">
        <v>536</v>
      </c>
      <c r="H227" s="116" t="s">
        <v>521</v>
      </c>
      <c r="I227" s="116" t="s">
        <v>916</v>
      </c>
      <c r="J227" s="117">
        <v>4.01</v>
      </c>
      <c r="K227" s="117" t="s">
        <v>257</v>
      </c>
      <c r="L227" s="116">
        <v>2.5000000000000001E-2</v>
      </c>
      <c r="M227" s="116">
        <v>4.4999999999999998E-2</v>
      </c>
      <c r="N227" s="70">
        <v>2479230.6415859596</v>
      </c>
      <c r="O227" s="61">
        <v>93.69</v>
      </c>
      <c r="P227" s="85">
        <v>0</v>
      </c>
      <c r="Q227" s="85">
        <v>2322.7911880440311</v>
      </c>
      <c r="R227" s="25">
        <v>8.3559946833516201E-4</v>
      </c>
      <c r="S227" s="25">
        <v>1.1080030736963073E-2</v>
      </c>
      <c r="T227" s="25">
        <v>4.0322659471497E-3</v>
      </c>
    </row>
    <row r="228" spans="1:20" x14ac:dyDescent="0.25">
      <c r="A228" s="17" t="s">
        <v>1214</v>
      </c>
      <c r="B228" s="116" t="s">
        <v>1215</v>
      </c>
      <c r="C228" s="116" t="s">
        <v>400</v>
      </c>
      <c r="D228" s="116" t="s">
        <v>251</v>
      </c>
      <c r="E228" s="116" t="s">
        <v>735</v>
      </c>
      <c r="F228" s="116" t="s">
        <v>200</v>
      </c>
      <c r="G228" s="116" t="s">
        <v>255</v>
      </c>
      <c r="H228" s="116" t="s">
        <v>256</v>
      </c>
      <c r="I228" s="116" t="s">
        <v>1065</v>
      </c>
      <c r="J228" s="117">
        <v>1.65</v>
      </c>
      <c r="K228" s="117" t="s">
        <v>257</v>
      </c>
      <c r="L228" s="116">
        <v>2.0199999999999999E-2</v>
      </c>
      <c r="M228" s="116">
        <v>4.6799999999999994E-2</v>
      </c>
      <c r="N228" s="70">
        <v>281000.41570708307</v>
      </c>
      <c r="O228" s="61">
        <v>96.49</v>
      </c>
      <c r="P228" s="85">
        <v>0</v>
      </c>
      <c r="Q228" s="85">
        <v>271.13730105549934</v>
      </c>
      <c r="R228" s="25">
        <v>3.3260844020139126E-4</v>
      </c>
      <c r="S228" s="25">
        <v>1.2933619023076796E-3</v>
      </c>
      <c r="T228" s="25">
        <v>4.7068273363341242E-4</v>
      </c>
    </row>
    <row r="229" spans="1:20" x14ac:dyDescent="0.25">
      <c r="A229" s="17" t="s">
        <v>1363</v>
      </c>
      <c r="B229" s="116" t="s">
        <v>1364</v>
      </c>
      <c r="C229" s="116" t="s">
        <v>400</v>
      </c>
      <c r="D229" s="116" t="s">
        <v>251</v>
      </c>
      <c r="E229" s="116" t="s">
        <v>735</v>
      </c>
      <c r="F229" s="116" t="s">
        <v>200</v>
      </c>
      <c r="G229" s="116" t="s">
        <v>536</v>
      </c>
      <c r="H229" s="116" t="s">
        <v>521</v>
      </c>
      <c r="I229" s="116" t="s">
        <v>1365</v>
      </c>
      <c r="J229" s="117">
        <v>4.2699999999999996</v>
      </c>
      <c r="K229" s="117" t="s">
        <v>257</v>
      </c>
      <c r="L229" s="116">
        <v>2.76E-2</v>
      </c>
      <c r="M229" s="116">
        <v>4.4299999999999999E-2</v>
      </c>
      <c r="N229" s="70">
        <v>1156826.2186142267</v>
      </c>
      <c r="O229" s="61">
        <v>93.77</v>
      </c>
      <c r="P229" s="85">
        <v>0</v>
      </c>
      <c r="Q229" s="85">
        <v>1084.7559451463483</v>
      </c>
      <c r="R229" s="25">
        <v>8.6569220027675378E-4</v>
      </c>
      <c r="S229" s="25">
        <v>5.1744337916341072E-3</v>
      </c>
      <c r="T229" s="25">
        <v>1.8830898279173656E-3</v>
      </c>
    </row>
    <row r="230" spans="1:20" x14ac:dyDescent="0.25">
      <c r="A230" s="17" t="s">
        <v>1128</v>
      </c>
      <c r="B230" s="116" t="s">
        <v>1129</v>
      </c>
      <c r="C230" s="116" t="s">
        <v>400</v>
      </c>
      <c r="D230" s="116" t="s">
        <v>251</v>
      </c>
      <c r="E230" s="116" t="s">
        <v>1130</v>
      </c>
      <c r="F230" s="116" t="s">
        <v>225</v>
      </c>
      <c r="G230" s="116" t="s">
        <v>623</v>
      </c>
      <c r="H230" s="116" t="s">
        <v>256</v>
      </c>
      <c r="I230" s="116" t="s">
        <v>1131</v>
      </c>
      <c r="J230" s="117">
        <v>0.99</v>
      </c>
      <c r="K230" s="117" t="s">
        <v>257</v>
      </c>
      <c r="L230" s="116">
        <v>5.9000000000000004E-2</v>
      </c>
      <c r="M230" s="116">
        <v>5.45E-2</v>
      </c>
      <c r="N230" s="70">
        <v>13905.638741081333</v>
      </c>
      <c r="O230" s="61">
        <v>100.49</v>
      </c>
      <c r="P230" s="85">
        <v>0</v>
      </c>
      <c r="Q230" s="85">
        <v>13.973776352158144</v>
      </c>
      <c r="R230" s="25">
        <v>5.2847687162057396E-5</v>
      </c>
      <c r="S230" s="25">
        <v>6.6656818869602572E-5</v>
      </c>
      <c r="T230" s="25">
        <v>2.4257876828498167E-5</v>
      </c>
    </row>
    <row r="231" spans="1:20" x14ac:dyDescent="0.25">
      <c r="A231" s="17" t="s">
        <v>1286</v>
      </c>
      <c r="B231" s="116" t="s">
        <v>1287</v>
      </c>
      <c r="C231" s="116" t="s">
        <v>400</v>
      </c>
      <c r="D231" s="116" t="s">
        <v>251</v>
      </c>
      <c r="E231" s="116" t="s">
        <v>1130</v>
      </c>
      <c r="F231" s="116" t="s">
        <v>225</v>
      </c>
      <c r="G231" s="116" t="s">
        <v>623</v>
      </c>
      <c r="H231" s="116" t="s">
        <v>256</v>
      </c>
      <c r="I231" s="116" t="s">
        <v>1288</v>
      </c>
      <c r="J231" s="117">
        <v>4.16</v>
      </c>
      <c r="K231" s="117" t="s">
        <v>257</v>
      </c>
      <c r="L231" s="116">
        <v>0.05</v>
      </c>
      <c r="M231" s="116">
        <v>6.1500000000000006E-2</v>
      </c>
      <c r="N231" s="70">
        <v>431427.77952071774</v>
      </c>
      <c r="O231" s="61">
        <v>97.04</v>
      </c>
      <c r="P231" s="85">
        <v>0</v>
      </c>
      <c r="Q231" s="85">
        <v>418.65751718078508</v>
      </c>
      <c r="R231" s="25">
        <v>4.1686913038732642E-4</v>
      </c>
      <c r="S231" s="25">
        <v>1.9970534512531533E-3</v>
      </c>
      <c r="T231" s="25">
        <v>7.2677150608095012E-4</v>
      </c>
    </row>
    <row r="232" spans="1:20" x14ac:dyDescent="0.25">
      <c r="A232" s="17" t="s">
        <v>1167</v>
      </c>
      <c r="B232" s="116" t="s">
        <v>1168</v>
      </c>
      <c r="C232" s="116" t="s">
        <v>400</v>
      </c>
      <c r="D232" s="116" t="s">
        <v>251</v>
      </c>
      <c r="E232" s="116" t="s">
        <v>1169</v>
      </c>
      <c r="F232" s="116" t="s">
        <v>225</v>
      </c>
      <c r="G232" s="116" t="s">
        <v>681</v>
      </c>
      <c r="H232" s="116" t="s">
        <v>521</v>
      </c>
      <c r="I232" s="116" t="s">
        <v>1170</v>
      </c>
      <c r="J232" s="117">
        <v>1.39</v>
      </c>
      <c r="K232" s="117" t="s">
        <v>257</v>
      </c>
      <c r="L232" s="116">
        <v>2.9500000000000002E-2</v>
      </c>
      <c r="M232" s="116">
        <v>5.4000000000000006E-2</v>
      </c>
      <c r="N232" s="70">
        <v>129034.60971970021</v>
      </c>
      <c r="O232" s="61">
        <v>97.03</v>
      </c>
      <c r="P232" s="85">
        <v>0</v>
      </c>
      <c r="Q232" s="85">
        <v>125.2022817745768</v>
      </c>
      <c r="R232" s="25">
        <v>1.0764373587159718E-3</v>
      </c>
      <c r="S232" s="25">
        <v>5.9723195849059065E-4</v>
      </c>
      <c r="T232" s="25">
        <v>2.1734579496583554E-4</v>
      </c>
    </row>
    <row r="233" spans="1:20" x14ac:dyDescent="0.25">
      <c r="A233" s="17" t="s">
        <v>1209</v>
      </c>
      <c r="B233" s="116" t="s">
        <v>1210</v>
      </c>
      <c r="C233" s="116" t="s">
        <v>400</v>
      </c>
      <c r="D233" s="116" t="s">
        <v>251</v>
      </c>
      <c r="E233" s="116" t="s">
        <v>908</v>
      </c>
      <c r="F233" s="116" t="s">
        <v>200</v>
      </c>
      <c r="G233" s="116" t="s">
        <v>536</v>
      </c>
      <c r="H233" s="116" t="s">
        <v>521</v>
      </c>
      <c r="I233" s="116" t="s">
        <v>1208</v>
      </c>
      <c r="J233" s="117">
        <v>3.58</v>
      </c>
      <c r="K233" s="117" t="s">
        <v>257</v>
      </c>
      <c r="L233" s="116">
        <v>2.6800000000000001E-2</v>
      </c>
      <c r="M233" s="116">
        <v>4.5700000000000005E-2</v>
      </c>
      <c r="N233" s="70">
        <v>2410007.9064941192</v>
      </c>
      <c r="O233" s="61">
        <v>95.02</v>
      </c>
      <c r="P233" s="85">
        <v>0</v>
      </c>
      <c r="Q233" s="85">
        <v>2289.9895127338104</v>
      </c>
      <c r="R233" s="25">
        <v>9.2353327472694164E-4</v>
      </c>
      <c r="S233" s="25">
        <v>1.0923562272414103E-2</v>
      </c>
      <c r="T233" s="25">
        <v>3.9753236446975187E-3</v>
      </c>
    </row>
    <row r="234" spans="1:20" x14ac:dyDescent="0.25">
      <c r="A234" s="17" t="s">
        <v>1119</v>
      </c>
      <c r="B234" s="116" t="s">
        <v>1120</v>
      </c>
      <c r="C234" s="116" t="s">
        <v>400</v>
      </c>
      <c r="D234" s="116" t="s">
        <v>251</v>
      </c>
      <c r="E234" s="116" t="s">
        <v>574</v>
      </c>
      <c r="F234" s="116" t="s">
        <v>201</v>
      </c>
      <c r="G234" s="116" t="s">
        <v>528</v>
      </c>
      <c r="H234" s="116" t="s">
        <v>256</v>
      </c>
      <c r="I234" s="116" t="s">
        <v>1121</v>
      </c>
      <c r="J234" s="117">
        <v>0.57999999999999996</v>
      </c>
      <c r="K234" s="117" t="s">
        <v>257</v>
      </c>
      <c r="L234" s="116">
        <v>3.85E-2</v>
      </c>
      <c r="M234" s="116">
        <v>5.4199999999999998E-2</v>
      </c>
      <c r="N234" s="70">
        <v>128355.97246673612</v>
      </c>
      <c r="O234" s="61">
        <v>100.72000000000001</v>
      </c>
      <c r="P234" s="85">
        <v>0</v>
      </c>
      <c r="Q234" s="85">
        <v>129.2801354492118</v>
      </c>
      <c r="R234" s="25">
        <v>3.2183048074682288E-4</v>
      </c>
      <c r="S234" s="25">
        <v>6.166838766347441E-4</v>
      </c>
      <c r="T234" s="25">
        <v>2.2442477416737805E-4</v>
      </c>
    </row>
    <row r="235" spans="1:20" x14ac:dyDescent="0.25">
      <c r="A235" s="17" t="s">
        <v>1160</v>
      </c>
      <c r="B235" s="116" t="s">
        <v>1161</v>
      </c>
      <c r="C235" s="116" t="s">
        <v>400</v>
      </c>
      <c r="D235" s="116" t="s">
        <v>251</v>
      </c>
      <c r="E235" s="116" t="s">
        <v>574</v>
      </c>
      <c r="F235" s="116" t="s">
        <v>201</v>
      </c>
      <c r="G235" s="116" t="s">
        <v>528</v>
      </c>
      <c r="H235" s="116" t="s">
        <v>256</v>
      </c>
      <c r="I235" s="116" t="s">
        <v>1162</v>
      </c>
      <c r="J235" s="117">
        <v>2</v>
      </c>
      <c r="K235" s="117" t="s">
        <v>257</v>
      </c>
      <c r="L235" s="116">
        <v>3.61E-2</v>
      </c>
      <c r="M235" s="116">
        <v>4.9400000000000006E-2</v>
      </c>
      <c r="N235" s="70">
        <v>375785.66478911694</v>
      </c>
      <c r="O235" s="61">
        <v>98.99</v>
      </c>
      <c r="P235" s="85">
        <v>0</v>
      </c>
      <c r="Q235" s="85">
        <v>371.99022953273351</v>
      </c>
      <c r="R235" s="25">
        <v>4.8962301601187879E-4</v>
      </c>
      <c r="S235" s="25">
        <v>1.7744441249337585E-3</v>
      </c>
      <c r="T235" s="25">
        <v>6.4575909489321187E-4</v>
      </c>
    </row>
    <row r="236" spans="1:20" x14ac:dyDescent="0.25">
      <c r="A236" s="17" t="s">
        <v>1202</v>
      </c>
      <c r="B236" s="116" t="s">
        <v>1203</v>
      </c>
      <c r="C236" s="116" t="s">
        <v>400</v>
      </c>
      <c r="D236" s="116" t="s">
        <v>251</v>
      </c>
      <c r="E236" s="116" t="s">
        <v>574</v>
      </c>
      <c r="F236" s="116" t="s">
        <v>201</v>
      </c>
      <c r="G236" s="116" t="s">
        <v>528</v>
      </c>
      <c r="H236" s="116" t="s">
        <v>256</v>
      </c>
      <c r="I236" s="116" t="s">
        <v>1204</v>
      </c>
      <c r="J236" s="117">
        <v>3</v>
      </c>
      <c r="K236" s="117" t="s">
        <v>257</v>
      </c>
      <c r="L236" s="116">
        <v>3.3000000000000002E-2</v>
      </c>
      <c r="M236" s="116">
        <v>4.4900000000000002E-2</v>
      </c>
      <c r="N236" s="70">
        <v>483172.31487617857</v>
      </c>
      <c r="O236" s="61">
        <v>97.75</v>
      </c>
      <c r="P236" s="85">
        <v>0</v>
      </c>
      <c r="Q236" s="85">
        <v>472.30093779146455</v>
      </c>
      <c r="R236" s="25">
        <v>1.5669860541801506E-3</v>
      </c>
      <c r="S236" s="25">
        <v>2.2529398831724482E-3</v>
      </c>
      <c r="T236" s="25">
        <v>8.1989418509335692E-4</v>
      </c>
    </row>
    <row r="237" spans="1:20" x14ac:dyDescent="0.25">
      <c r="A237" s="17" t="s">
        <v>1219</v>
      </c>
      <c r="B237" s="116" t="s">
        <v>1220</v>
      </c>
      <c r="C237" s="116" t="s">
        <v>400</v>
      </c>
      <c r="D237" s="116" t="s">
        <v>251</v>
      </c>
      <c r="E237" s="116" t="s">
        <v>574</v>
      </c>
      <c r="F237" s="116" t="s">
        <v>201</v>
      </c>
      <c r="G237" s="116" t="s">
        <v>528</v>
      </c>
      <c r="H237" s="116" t="s">
        <v>256</v>
      </c>
      <c r="I237" s="116" t="s">
        <v>1221</v>
      </c>
      <c r="J237" s="117">
        <v>5.39</v>
      </c>
      <c r="K237" s="117" t="s">
        <v>257</v>
      </c>
      <c r="L237" s="116">
        <v>2.6200000000000001E-2</v>
      </c>
      <c r="M237" s="116">
        <v>5.1100000000000007E-2</v>
      </c>
      <c r="N237" s="70">
        <v>737216.90736630384</v>
      </c>
      <c r="O237" s="61">
        <v>88.3</v>
      </c>
      <c r="P237" s="85">
        <v>0</v>
      </c>
      <c r="Q237" s="85">
        <v>650.96252916312176</v>
      </c>
      <c r="R237" s="25">
        <v>5.7000087938812425E-4</v>
      </c>
      <c r="S237" s="25">
        <v>3.1051800389393781E-3</v>
      </c>
      <c r="T237" s="25">
        <v>1.1300430502430259E-3</v>
      </c>
    </row>
    <row r="238" spans="1:20" x14ac:dyDescent="0.25">
      <c r="A238" s="17" t="s">
        <v>1458</v>
      </c>
      <c r="B238" s="116" t="s">
        <v>1459</v>
      </c>
      <c r="C238" s="116" t="s">
        <v>400</v>
      </c>
      <c r="D238" s="116" t="s">
        <v>251</v>
      </c>
      <c r="E238" s="116" t="s">
        <v>574</v>
      </c>
      <c r="F238" s="116" t="s">
        <v>201</v>
      </c>
      <c r="G238" s="116" t="s">
        <v>528</v>
      </c>
      <c r="H238" s="116" t="s">
        <v>256</v>
      </c>
      <c r="I238" s="116" t="s">
        <v>1204</v>
      </c>
      <c r="J238" s="117">
        <v>1.56</v>
      </c>
      <c r="K238" s="117" t="s">
        <v>257</v>
      </c>
      <c r="L238" s="116">
        <v>6.0900000333786009E-2</v>
      </c>
      <c r="M238" s="116">
        <v>1.15E-2</v>
      </c>
      <c r="N238" s="70">
        <v>46483.877293317812</v>
      </c>
      <c r="O238" s="61">
        <v>101.72000000000001</v>
      </c>
      <c r="P238" s="85">
        <v>0</v>
      </c>
      <c r="Q238" s="85">
        <v>47.283399930418369</v>
      </c>
      <c r="R238" s="25">
        <v>1.5845930033277022E-4</v>
      </c>
      <c r="S238" s="25">
        <v>2.2554826592842317E-4</v>
      </c>
      <c r="T238" s="25">
        <v>8.2081955703231427E-5</v>
      </c>
    </row>
    <row r="239" spans="1:20" x14ac:dyDescent="0.25">
      <c r="A239" s="17" t="s">
        <v>1132</v>
      </c>
      <c r="B239" s="116" t="s">
        <v>1133</v>
      </c>
      <c r="C239" s="116" t="s">
        <v>400</v>
      </c>
      <c r="D239" s="116" t="s">
        <v>251</v>
      </c>
      <c r="E239" s="116" t="s">
        <v>1047</v>
      </c>
      <c r="F239" s="116" t="s">
        <v>201</v>
      </c>
      <c r="G239" s="116" t="s">
        <v>591</v>
      </c>
      <c r="H239" s="116" t="s">
        <v>521</v>
      </c>
      <c r="I239" s="116" t="s">
        <v>1134</v>
      </c>
      <c r="J239" s="117">
        <v>4.1399999999999997</v>
      </c>
      <c r="K239" s="117" t="s">
        <v>257</v>
      </c>
      <c r="L239" s="116">
        <v>4.36E-2</v>
      </c>
      <c r="M239" s="116">
        <v>4.7100000000000003E-2</v>
      </c>
      <c r="N239" s="70">
        <v>148282.41306054432</v>
      </c>
      <c r="O239" s="61">
        <v>98.78</v>
      </c>
      <c r="P239" s="85">
        <v>0</v>
      </c>
      <c r="Q239" s="85">
        <v>146.47336758952346</v>
      </c>
      <c r="R239" s="25">
        <v>4.9427471020181441E-4</v>
      </c>
      <c r="S239" s="25">
        <v>6.9869793866621395E-4</v>
      </c>
      <c r="T239" s="25">
        <v>2.5427148825759194E-4</v>
      </c>
    </row>
    <row r="240" spans="1:20" x14ac:dyDescent="0.25">
      <c r="A240" s="17" t="s">
        <v>1138</v>
      </c>
      <c r="B240" s="116" t="s">
        <v>1139</v>
      </c>
      <c r="C240" s="116" t="s">
        <v>400</v>
      </c>
      <c r="D240" s="116" t="s">
        <v>251</v>
      </c>
      <c r="E240" s="116" t="s">
        <v>1047</v>
      </c>
      <c r="F240" s="116" t="s">
        <v>201</v>
      </c>
      <c r="G240" s="116" t="s">
        <v>591</v>
      </c>
      <c r="H240" s="116" t="s">
        <v>521</v>
      </c>
      <c r="I240" s="116" t="s">
        <v>1140</v>
      </c>
      <c r="J240" s="117">
        <v>4.99</v>
      </c>
      <c r="K240" s="117" t="s">
        <v>257</v>
      </c>
      <c r="L240" s="116">
        <v>3.95E-2</v>
      </c>
      <c r="M240" s="116">
        <v>4.7800000000000002E-2</v>
      </c>
      <c r="N240" s="70">
        <v>318118.42347242171</v>
      </c>
      <c r="O240" s="61">
        <v>96.27</v>
      </c>
      <c r="P240" s="85">
        <v>0</v>
      </c>
      <c r="Q240" s="85">
        <v>306.25260621215847</v>
      </c>
      <c r="R240" s="25">
        <v>1.3254383536488365E-3</v>
      </c>
      <c r="S240" s="25">
        <v>1.4608666967447787E-3</v>
      </c>
      <c r="T240" s="25">
        <v>5.3164139833637269E-4</v>
      </c>
    </row>
    <row r="241" spans="1:20" x14ac:dyDescent="0.25">
      <c r="A241" s="17" t="s">
        <v>1141</v>
      </c>
      <c r="B241" s="116" t="s">
        <v>1142</v>
      </c>
      <c r="C241" s="116" t="s">
        <v>400</v>
      </c>
      <c r="D241" s="116" t="s">
        <v>251</v>
      </c>
      <c r="E241" s="116" t="s">
        <v>1047</v>
      </c>
      <c r="F241" s="116" t="s">
        <v>201</v>
      </c>
      <c r="G241" s="116" t="s">
        <v>591</v>
      </c>
      <c r="H241" s="116" t="s">
        <v>521</v>
      </c>
      <c r="I241" s="116" t="s">
        <v>1140</v>
      </c>
      <c r="J241" s="117">
        <v>5.78</v>
      </c>
      <c r="K241" s="117" t="s">
        <v>257</v>
      </c>
      <c r="L241" s="116">
        <v>3.95E-2</v>
      </c>
      <c r="M241" s="116">
        <v>0.05</v>
      </c>
      <c r="N241" s="70">
        <v>163398.71655654052</v>
      </c>
      <c r="O241" s="61">
        <v>94.53</v>
      </c>
      <c r="P241" s="85">
        <v>0</v>
      </c>
      <c r="Q241" s="85">
        <v>154.46080674987786</v>
      </c>
      <c r="R241" s="25">
        <v>6.8079969558823507E-4</v>
      </c>
      <c r="S241" s="25">
        <v>7.367991127458669E-4</v>
      </c>
      <c r="T241" s="25">
        <v>2.6813734029672775E-4</v>
      </c>
    </row>
    <row r="242" spans="1:20" x14ac:dyDescent="0.25">
      <c r="A242" s="17" t="s">
        <v>1181</v>
      </c>
      <c r="B242" s="116" t="s">
        <v>1182</v>
      </c>
      <c r="C242" s="116" t="s">
        <v>400</v>
      </c>
      <c r="D242" s="116" t="s">
        <v>251</v>
      </c>
      <c r="E242" s="116" t="s">
        <v>1047</v>
      </c>
      <c r="F242" s="116" t="s">
        <v>201</v>
      </c>
      <c r="G242" s="116" t="s">
        <v>591</v>
      </c>
      <c r="H242" s="116" t="s">
        <v>521</v>
      </c>
      <c r="I242" s="116" t="s">
        <v>1183</v>
      </c>
      <c r="J242" s="117">
        <v>6.7</v>
      </c>
      <c r="K242" s="117" t="s">
        <v>257</v>
      </c>
      <c r="L242" s="116">
        <v>3.0499999999999999E-2</v>
      </c>
      <c r="M242" s="116">
        <v>5.1500000000000004E-2</v>
      </c>
      <c r="N242" s="70">
        <v>602942.49914865999</v>
      </c>
      <c r="O242" s="61">
        <v>87.420000000000016</v>
      </c>
      <c r="P242" s="85">
        <v>0</v>
      </c>
      <c r="Q242" s="85">
        <v>527.0923327502486</v>
      </c>
      <c r="R242" s="25">
        <v>8.2722743192546288E-4</v>
      </c>
      <c r="S242" s="25">
        <v>2.5143023092868799E-3</v>
      </c>
      <c r="T242" s="25">
        <v>9.1500969837166306E-4</v>
      </c>
    </row>
    <row r="243" spans="1:20" x14ac:dyDescent="0.25">
      <c r="A243" s="17" t="s">
        <v>1184</v>
      </c>
      <c r="B243" s="116" t="s">
        <v>1185</v>
      </c>
      <c r="C243" s="116" t="s">
        <v>400</v>
      </c>
      <c r="D243" s="116" t="s">
        <v>251</v>
      </c>
      <c r="E243" s="116" t="s">
        <v>1047</v>
      </c>
      <c r="F243" s="116" t="s">
        <v>201</v>
      </c>
      <c r="G243" s="116" t="s">
        <v>591</v>
      </c>
      <c r="H243" s="116" t="s">
        <v>521</v>
      </c>
      <c r="I243" s="116" t="s">
        <v>1183</v>
      </c>
      <c r="J243" s="117">
        <v>7.46</v>
      </c>
      <c r="K243" s="117" t="s">
        <v>257</v>
      </c>
      <c r="L243" s="116">
        <v>3.0499999999999999E-2</v>
      </c>
      <c r="M243" s="116">
        <v>5.2300000000000006E-2</v>
      </c>
      <c r="N243" s="70">
        <v>634804.39800334058</v>
      </c>
      <c r="O243" s="61">
        <v>85.55</v>
      </c>
      <c r="P243" s="85">
        <v>0</v>
      </c>
      <c r="Q243" s="85">
        <v>543.07516247808303</v>
      </c>
      <c r="R243" s="25">
        <v>9.2989356835884826E-4</v>
      </c>
      <c r="S243" s="25">
        <v>2.5905425867425455E-3</v>
      </c>
      <c r="T243" s="25">
        <v>9.4275520575190595E-4</v>
      </c>
    </row>
    <row r="244" spans="1:20" x14ac:dyDescent="0.25">
      <c r="A244" s="17" t="s">
        <v>1216</v>
      </c>
      <c r="B244" s="116" t="s">
        <v>1217</v>
      </c>
      <c r="C244" s="116" t="s">
        <v>400</v>
      </c>
      <c r="D244" s="116" t="s">
        <v>251</v>
      </c>
      <c r="E244" s="116" t="s">
        <v>1047</v>
      </c>
      <c r="F244" s="116" t="s">
        <v>201</v>
      </c>
      <c r="G244" s="116" t="s">
        <v>591</v>
      </c>
      <c r="H244" s="116" t="s">
        <v>521</v>
      </c>
      <c r="I244" s="116" t="s">
        <v>1218</v>
      </c>
      <c r="J244" s="117">
        <v>2.89</v>
      </c>
      <c r="K244" s="117" t="s">
        <v>257</v>
      </c>
      <c r="L244" s="116">
        <v>2.9100000000000001E-2</v>
      </c>
      <c r="M244" s="116">
        <v>5.04E-2</v>
      </c>
      <c r="N244" s="70">
        <v>381635.08843119757</v>
      </c>
      <c r="O244" s="61">
        <v>94.28</v>
      </c>
      <c r="P244" s="85">
        <v>0</v>
      </c>
      <c r="Q244" s="85">
        <v>359.80556131507859</v>
      </c>
      <c r="R244" s="25">
        <v>6.3605848071866258E-4</v>
      </c>
      <c r="S244" s="25">
        <v>1.7163215958548533E-3</v>
      </c>
      <c r="T244" s="25">
        <v>6.2460703310467894E-4</v>
      </c>
    </row>
    <row r="245" spans="1:20" x14ac:dyDescent="0.25">
      <c r="A245" s="17" t="s">
        <v>1344</v>
      </c>
      <c r="B245" s="116" t="s">
        <v>1345</v>
      </c>
      <c r="C245" s="116" t="s">
        <v>400</v>
      </c>
      <c r="D245" s="116" t="s">
        <v>251</v>
      </c>
      <c r="E245" s="116" t="s">
        <v>1047</v>
      </c>
      <c r="F245" s="116" t="s">
        <v>201</v>
      </c>
      <c r="G245" s="116" t="s">
        <v>591</v>
      </c>
      <c r="H245" s="116" t="s">
        <v>521</v>
      </c>
      <c r="I245" s="116" t="s">
        <v>1346</v>
      </c>
      <c r="J245" s="117">
        <v>8.33</v>
      </c>
      <c r="K245" s="117" t="s">
        <v>257</v>
      </c>
      <c r="L245" s="116">
        <v>2.63E-2</v>
      </c>
      <c r="M245" s="116">
        <v>5.28E-2</v>
      </c>
      <c r="N245" s="70">
        <v>715729.85642170603</v>
      </c>
      <c r="O245" s="61">
        <v>80.77</v>
      </c>
      <c r="P245" s="85">
        <v>0</v>
      </c>
      <c r="Q245" s="85">
        <v>578.09500501665957</v>
      </c>
      <c r="R245" s="25">
        <v>1.0317689355242759E-3</v>
      </c>
      <c r="S245" s="25">
        <v>2.7575920114727035E-3</v>
      </c>
      <c r="T245" s="25">
        <v>1.0035481514414216E-3</v>
      </c>
    </row>
    <row r="246" spans="1:20" x14ac:dyDescent="0.25">
      <c r="A246" s="17" t="s">
        <v>1404</v>
      </c>
      <c r="B246" s="116" t="s">
        <v>1405</v>
      </c>
      <c r="C246" s="116" t="s">
        <v>400</v>
      </c>
      <c r="D246" s="116" t="s">
        <v>251</v>
      </c>
      <c r="E246" s="116" t="s">
        <v>1047</v>
      </c>
      <c r="F246" s="116" t="s">
        <v>201</v>
      </c>
      <c r="G246" s="116" t="s">
        <v>528</v>
      </c>
      <c r="H246" s="116" t="s">
        <v>256</v>
      </c>
      <c r="I246" s="116" t="s">
        <v>1001</v>
      </c>
      <c r="J246" s="117">
        <v>5.72</v>
      </c>
      <c r="K246" s="117" t="s">
        <v>257</v>
      </c>
      <c r="L246" s="116">
        <v>4.3799999999999999E-2</v>
      </c>
      <c r="M246" s="116">
        <v>5.0799999999999998E-2</v>
      </c>
      <c r="N246" s="70">
        <v>684900.4117747714</v>
      </c>
      <c r="O246" s="61">
        <v>96.47</v>
      </c>
      <c r="P246" s="85">
        <v>0</v>
      </c>
      <c r="Q246" s="85">
        <v>660.72342723912197</v>
      </c>
      <c r="R246" s="25">
        <v>1.3698008235495428E-3</v>
      </c>
      <c r="S246" s="25">
        <v>3.1517408539016214E-3</v>
      </c>
      <c r="T246" s="25">
        <v>1.1469875509489192E-3</v>
      </c>
    </row>
    <row r="247" spans="1:20" x14ac:dyDescent="0.25">
      <c r="A247" s="17" t="s">
        <v>1460</v>
      </c>
      <c r="B247" s="116" t="s">
        <v>1461</v>
      </c>
      <c r="C247" s="116" t="s">
        <v>400</v>
      </c>
      <c r="D247" s="116" t="s">
        <v>251</v>
      </c>
      <c r="E247" s="116" t="s">
        <v>1047</v>
      </c>
      <c r="F247" s="116" t="s">
        <v>201</v>
      </c>
      <c r="G247" s="116" t="s">
        <v>591</v>
      </c>
      <c r="H247" s="116" t="s">
        <v>521</v>
      </c>
      <c r="I247" s="116" t="s">
        <v>1462</v>
      </c>
      <c r="J247" s="117">
        <v>4.34</v>
      </c>
      <c r="K247" s="117" t="s">
        <v>257</v>
      </c>
      <c r="L247" s="116">
        <v>1.7899999999999999E-2</v>
      </c>
      <c r="M247" s="116">
        <v>4.8000000000000001E-2</v>
      </c>
      <c r="N247" s="70">
        <v>494559.23018341587</v>
      </c>
      <c r="O247" s="61">
        <v>88.14</v>
      </c>
      <c r="P247" s="85">
        <v>0</v>
      </c>
      <c r="Q247" s="85">
        <v>435.90450548366272</v>
      </c>
      <c r="R247" s="25">
        <v>1.4130263719526169E-3</v>
      </c>
      <c r="S247" s="25">
        <v>2.0793239375110442E-3</v>
      </c>
      <c r="T247" s="25">
        <v>7.5671153856537868E-4</v>
      </c>
    </row>
    <row r="248" spans="1:20" x14ac:dyDescent="0.25">
      <c r="A248" s="17" t="s">
        <v>1321</v>
      </c>
      <c r="B248" s="116" t="s">
        <v>1322</v>
      </c>
      <c r="C248" s="116" t="s">
        <v>400</v>
      </c>
      <c r="D248" s="116" t="s">
        <v>251</v>
      </c>
      <c r="E248" s="116" t="s">
        <v>1323</v>
      </c>
      <c r="F248" s="116" t="s">
        <v>201</v>
      </c>
      <c r="G248" s="116" t="s">
        <v>520</v>
      </c>
      <c r="H248" s="116" t="s">
        <v>521</v>
      </c>
      <c r="I248" s="116" t="s">
        <v>1324</v>
      </c>
      <c r="J248" s="117">
        <v>5.63</v>
      </c>
      <c r="K248" s="117" t="s">
        <v>257</v>
      </c>
      <c r="L248" s="116">
        <v>1.95E-2</v>
      </c>
      <c r="M248" s="116">
        <v>5.2300000000000006E-2</v>
      </c>
      <c r="N248" s="70">
        <v>320152.08538146672</v>
      </c>
      <c r="O248" s="61">
        <v>83.16</v>
      </c>
      <c r="P248" s="85">
        <v>0</v>
      </c>
      <c r="Q248" s="85">
        <v>266.2384741686804</v>
      </c>
      <c r="R248" s="25">
        <v>2.8081469122433141E-4</v>
      </c>
      <c r="S248" s="25">
        <v>1.2699938299814183E-3</v>
      </c>
      <c r="T248" s="25">
        <v>4.6217858012259459E-4</v>
      </c>
    </row>
    <row r="249" spans="1:20" x14ac:dyDescent="0.25">
      <c r="A249" s="17" t="s">
        <v>1429</v>
      </c>
      <c r="B249" s="116" t="s">
        <v>1430</v>
      </c>
      <c r="C249" s="116" t="s">
        <v>400</v>
      </c>
      <c r="D249" s="116" t="s">
        <v>251</v>
      </c>
      <c r="E249" s="116" t="s">
        <v>515</v>
      </c>
      <c r="F249" s="116" t="s">
        <v>223</v>
      </c>
      <c r="G249" s="116" t="s">
        <v>516</v>
      </c>
      <c r="H249" s="116" t="s">
        <v>256</v>
      </c>
      <c r="I249" s="116" t="s">
        <v>1431</v>
      </c>
      <c r="J249" s="117">
        <v>3.88</v>
      </c>
      <c r="K249" s="117" t="s">
        <v>257</v>
      </c>
      <c r="L249" s="116">
        <v>3.95E-2</v>
      </c>
      <c r="M249" s="116">
        <v>8.2699999999999996E-2</v>
      </c>
      <c r="N249" s="70">
        <v>1492361.6642415372</v>
      </c>
      <c r="O249" s="61">
        <v>85.32</v>
      </c>
      <c r="P249" s="85">
        <v>0</v>
      </c>
      <c r="Q249" s="85">
        <v>1273.282971891153</v>
      </c>
      <c r="R249" s="25">
        <v>9.5369003665502329E-4</v>
      </c>
      <c r="S249" s="25">
        <v>6.0737334195269171E-3</v>
      </c>
      <c r="T249" s="25">
        <v>2.2103646660402861E-3</v>
      </c>
    </row>
    <row r="250" spans="1:20" x14ac:dyDescent="0.25">
      <c r="A250" s="17" t="s">
        <v>1190</v>
      </c>
      <c r="B250" s="116" t="s">
        <v>1191</v>
      </c>
      <c r="C250" s="116" t="s">
        <v>400</v>
      </c>
      <c r="D250" s="116" t="s">
        <v>251</v>
      </c>
      <c r="E250" s="116" t="s">
        <v>519</v>
      </c>
      <c r="F250" s="116" t="s">
        <v>223</v>
      </c>
      <c r="G250" s="116" t="s">
        <v>545</v>
      </c>
      <c r="H250" s="116" t="s">
        <v>256</v>
      </c>
      <c r="I250" s="116" t="s">
        <v>1192</v>
      </c>
      <c r="J250" s="117">
        <v>6.06</v>
      </c>
      <c r="K250" s="117" t="s">
        <v>257</v>
      </c>
      <c r="L250" s="116">
        <v>2.5499999999999998E-2</v>
      </c>
      <c r="M250" s="116">
        <v>5.2400000000000002E-2</v>
      </c>
      <c r="N250" s="70">
        <v>1067733.4502030134</v>
      </c>
      <c r="O250" s="61">
        <v>85.31</v>
      </c>
      <c r="P250" s="85">
        <v>0</v>
      </c>
      <c r="Q250" s="85">
        <v>910.88340636464363</v>
      </c>
      <c r="R250" s="25">
        <v>7.834423939614523E-4</v>
      </c>
      <c r="S250" s="25">
        <v>4.3450380698269462E-3</v>
      </c>
      <c r="T250" s="25">
        <v>1.5812545528041027E-3</v>
      </c>
    </row>
    <row r="251" spans="1:20" x14ac:dyDescent="0.25">
      <c r="A251" s="17" t="s">
        <v>1199</v>
      </c>
      <c r="B251" s="116" t="s">
        <v>1200</v>
      </c>
      <c r="C251" s="116" t="s">
        <v>400</v>
      </c>
      <c r="D251" s="116" t="s">
        <v>251</v>
      </c>
      <c r="E251" s="116" t="s">
        <v>511</v>
      </c>
      <c r="F251" s="116" t="s">
        <v>228</v>
      </c>
      <c r="G251" s="116" t="s">
        <v>512</v>
      </c>
      <c r="H251" s="116" t="s">
        <v>256</v>
      </c>
      <c r="I251" s="116" t="s">
        <v>1201</v>
      </c>
      <c r="J251" s="117">
        <v>1.82</v>
      </c>
      <c r="K251" s="117" t="s">
        <v>257</v>
      </c>
      <c r="L251" s="116">
        <v>4.9699999999999994E-2</v>
      </c>
      <c r="M251" s="116">
        <v>0.1258</v>
      </c>
      <c r="N251" s="70">
        <v>944172.95657952502</v>
      </c>
      <c r="O251" s="61">
        <v>88.83</v>
      </c>
      <c r="P251" s="85">
        <v>0</v>
      </c>
      <c r="Q251" s="85">
        <v>838.70883727974774</v>
      </c>
      <c r="R251" s="25">
        <v>8.3252127918768894E-4</v>
      </c>
      <c r="S251" s="25">
        <v>4.0007555325054936E-3</v>
      </c>
      <c r="T251" s="25">
        <v>1.4559625942891848E-3</v>
      </c>
    </row>
    <row r="252" spans="1:20" x14ac:dyDescent="0.25">
      <c r="A252" s="17" t="s">
        <v>1329</v>
      </c>
      <c r="B252" s="116" t="s">
        <v>1330</v>
      </c>
      <c r="C252" s="116" t="s">
        <v>400</v>
      </c>
      <c r="D252" s="116" t="s">
        <v>251</v>
      </c>
      <c r="E252" s="116" t="s">
        <v>511</v>
      </c>
      <c r="F252" s="116" t="s">
        <v>228</v>
      </c>
      <c r="G252" s="116" t="s">
        <v>512</v>
      </c>
      <c r="H252" s="116" t="s">
        <v>256</v>
      </c>
      <c r="I252" s="116" t="s">
        <v>1331</v>
      </c>
      <c r="J252" s="117">
        <v>3.1</v>
      </c>
      <c r="K252" s="117" t="s">
        <v>257</v>
      </c>
      <c r="L252" s="116">
        <v>3.4000000000000002E-2</v>
      </c>
      <c r="M252" s="116">
        <v>0.11939999999999999</v>
      </c>
      <c r="N252" s="70">
        <v>808217.19333727285</v>
      </c>
      <c r="O252" s="61">
        <v>79.569999999999993</v>
      </c>
      <c r="P252" s="85">
        <v>0</v>
      </c>
      <c r="Q252" s="85">
        <v>643.09842070218497</v>
      </c>
      <c r="R252" s="25">
        <v>1.6164343866745456E-3</v>
      </c>
      <c r="S252" s="25">
        <v>3.0676671691151373E-3</v>
      </c>
      <c r="T252" s="25">
        <v>1.1163912950121007E-3</v>
      </c>
    </row>
    <row r="253" spans="1:20" x14ac:dyDescent="0.25">
      <c r="A253" s="17" t="s">
        <v>1193</v>
      </c>
      <c r="B253" s="116" t="s">
        <v>1194</v>
      </c>
      <c r="C253" s="116" t="s">
        <v>400</v>
      </c>
      <c r="D253" s="116" t="s">
        <v>251</v>
      </c>
      <c r="E253" s="116" t="s">
        <v>685</v>
      </c>
      <c r="F253" s="116" t="s">
        <v>223</v>
      </c>
      <c r="G253" s="116" t="s">
        <v>536</v>
      </c>
      <c r="H253" s="116" t="s">
        <v>521</v>
      </c>
      <c r="I253" s="116" t="s">
        <v>1195</v>
      </c>
      <c r="J253" s="117">
        <v>0.99</v>
      </c>
      <c r="K253" s="117" t="s">
        <v>257</v>
      </c>
      <c r="L253" s="116">
        <v>2.8900000000000002E-2</v>
      </c>
      <c r="M253" s="116">
        <v>5.0900000000000001E-2</v>
      </c>
      <c r="N253" s="70">
        <v>44667.796444160769</v>
      </c>
      <c r="O253" s="61">
        <v>96.72</v>
      </c>
      <c r="P253" s="85">
        <v>0</v>
      </c>
      <c r="Q253" s="85">
        <v>43.202692653295422</v>
      </c>
      <c r="R253" s="25">
        <v>2.1442969637360117E-4</v>
      </c>
      <c r="S253" s="25">
        <v>2.0608273571124294E-4</v>
      </c>
      <c r="T253" s="25">
        <v>7.4998022770075785E-5</v>
      </c>
    </row>
    <row r="254" spans="1:20" x14ac:dyDescent="0.25">
      <c r="A254" s="17" t="s">
        <v>1177</v>
      </c>
      <c r="B254" s="116" t="s">
        <v>1178</v>
      </c>
      <c r="C254" s="116" t="s">
        <v>400</v>
      </c>
      <c r="D254" s="116" t="s">
        <v>251</v>
      </c>
      <c r="E254" s="116" t="s">
        <v>1179</v>
      </c>
      <c r="F254" s="116" t="s">
        <v>206</v>
      </c>
      <c r="G254" s="116" t="s">
        <v>623</v>
      </c>
      <c r="H254" s="116" t="s">
        <v>256</v>
      </c>
      <c r="I254" s="116" t="s">
        <v>1180</v>
      </c>
      <c r="J254" s="117">
        <v>0.98</v>
      </c>
      <c r="K254" s="117" t="s">
        <v>257</v>
      </c>
      <c r="L254" s="116">
        <v>2.1600000000000001E-2</v>
      </c>
      <c r="M254" s="116">
        <v>5.3200000000000004E-2</v>
      </c>
      <c r="N254" s="70">
        <v>41610.464218885892</v>
      </c>
      <c r="O254" s="61">
        <v>97.08</v>
      </c>
      <c r="P254" s="85">
        <v>0</v>
      </c>
      <c r="Q254" s="85">
        <v>40.395438614986482</v>
      </c>
      <c r="R254" s="25">
        <v>3.2533195740184725E-4</v>
      </c>
      <c r="S254" s="25">
        <v>1.9269175111003169E-4</v>
      </c>
      <c r="T254" s="25">
        <v>7.0124750079040825E-5</v>
      </c>
    </row>
    <row r="255" spans="1:20" x14ac:dyDescent="0.25">
      <c r="A255" s="17" t="s">
        <v>1211</v>
      </c>
      <c r="B255" s="116" t="s">
        <v>1212</v>
      </c>
      <c r="C255" s="116" t="s">
        <v>400</v>
      </c>
      <c r="D255" s="116" t="s">
        <v>251</v>
      </c>
      <c r="E255" s="116" t="s">
        <v>1179</v>
      </c>
      <c r="F255" s="116" t="s">
        <v>206</v>
      </c>
      <c r="G255" s="116" t="s">
        <v>623</v>
      </c>
      <c r="H255" s="116" t="s">
        <v>256</v>
      </c>
      <c r="I255" s="116" t="s">
        <v>1213</v>
      </c>
      <c r="J255" s="117">
        <v>2.96</v>
      </c>
      <c r="K255" s="117" t="s">
        <v>257</v>
      </c>
      <c r="L255" s="116">
        <v>0.04</v>
      </c>
      <c r="M255" s="116">
        <v>5.0499999999999996E-2</v>
      </c>
      <c r="N255" s="70">
        <v>80411.567877158974</v>
      </c>
      <c r="O255" s="61">
        <v>97.11</v>
      </c>
      <c r="P255" s="85">
        <v>0</v>
      </c>
      <c r="Q255" s="85">
        <v>78.087673547085203</v>
      </c>
      <c r="R255" s="25">
        <v>1.1813630974392522E-4</v>
      </c>
      <c r="S255" s="25">
        <v>3.7248885200404899E-4</v>
      </c>
      <c r="T255" s="25">
        <v>1.3555685442443884E-4</v>
      </c>
    </row>
    <row r="256" spans="1:20" x14ac:dyDescent="0.25">
      <c r="A256" s="17" t="s">
        <v>1293</v>
      </c>
      <c r="B256" s="116" t="s">
        <v>1294</v>
      </c>
      <c r="C256" s="116" t="s">
        <v>400</v>
      </c>
      <c r="D256" s="116" t="s">
        <v>251</v>
      </c>
      <c r="E256" s="116" t="s">
        <v>1295</v>
      </c>
      <c r="F256" s="116" t="s">
        <v>203</v>
      </c>
      <c r="G256" s="116" t="s">
        <v>528</v>
      </c>
      <c r="H256" s="116" t="s">
        <v>256</v>
      </c>
      <c r="I256" s="116" t="s">
        <v>1296</v>
      </c>
      <c r="J256" s="117">
        <v>2.67</v>
      </c>
      <c r="K256" s="117" t="s">
        <v>257</v>
      </c>
      <c r="L256" s="116">
        <v>2.18E-2</v>
      </c>
      <c r="M256" s="116">
        <v>5.3800000000000001E-2</v>
      </c>
      <c r="N256" s="70">
        <v>180227.35979214951</v>
      </c>
      <c r="O256" s="61">
        <v>92.29</v>
      </c>
      <c r="P256" s="85">
        <v>0</v>
      </c>
      <c r="Q256" s="85">
        <v>166.33183029189593</v>
      </c>
      <c r="R256" s="25">
        <v>4.1170748159511078E-4</v>
      </c>
      <c r="S256" s="25">
        <v>7.9342551394877986E-4</v>
      </c>
      <c r="T256" s="25">
        <v>2.8874492837122865E-4</v>
      </c>
    </row>
    <row r="257" spans="1:20" x14ac:dyDescent="0.25">
      <c r="A257" s="17" t="s">
        <v>1371</v>
      </c>
      <c r="B257" s="116" t="s">
        <v>1372</v>
      </c>
      <c r="C257" s="116" t="s">
        <v>400</v>
      </c>
      <c r="D257" s="116" t="s">
        <v>251</v>
      </c>
      <c r="E257" s="116" t="s">
        <v>1295</v>
      </c>
      <c r="F257" s="116" t="s">
        <v>203</v>
      </c>
      <c r="G257" s="116" t="s">
        <v>528</v>
      </c>
      <c r="H257" s="116" t="s">
        <v>256</v>
      </c>
      <c r="I257" s="116" t="s">
        <v>1373</v>
      </c>
      <c r="J257" s="117">
        <v>3.11</v>
      </c>
      <c r="K257" s="117" t="s">
        <v>257</v>
      </c>
      <c r="L257" s="116">
        <v>2.18E-2</v>
      </c>
      <c r="M257" s="116">
        <v>5.3800000000000001E-2</v>
      </c>
      <c r="N257" s="70">
        <v>176012.26135099365</v>
      </c>
      <c r="O257" s="61">
        <v>91.408500000000004</v>
      </c>
      <c r="P257" s="85">
        <v>0</v>
      </c>
      <c r="Q257" s="85">
        <v>160.89020760354646</v>
      </c>
      <c r="R257" s="25">
        <v>4.0207860190733679E-4</v>
      </c>
      <c r="S257" s="25">
        <v>7.6746823162559391E-4</v>
      </c>
      <c r="T257" s="25">
        <v>2.7929850461329037E-4</v>
      </c>
    </row>
    <row r="258" spans="1:20" x14ac:dyDescent="0.25">
      <c r="A258" s="17" t="s">
        <v>1289</v>
      </c>
      <c r="B258" s="116" t="s">
        <v>1290</v>
      </c>
      <c r="C258" s="116" t="s">
        <v>400</v>
      </c>
      <c r="D258" s="116" t="s">
        <v>251</v>
      </c>
      <c r="E258" s="116" t="s">
        <v>1291</v>
      </c>
      <c r="F258" s="116" t="s">
        <v>226</v>
      </c>
      <c r="G258" s="116" t="s">
        <v>499</v>
      </c>
      <c r="H258" s="116" t="s">
        <v>499</v>
      </c>
      <c r="I258" s="116" t="s">
        <v>1292</v>
      </c>
      <c r="J258" s="117">
        <v>2.86</v>
      </c>
      <c r="K258" s="117" t="s">
        <v>257</v>
      </c>
      <c r="L258" s="116">
        <v>3.95E-2</v>
      </c>
      <c r="M258" s="116">
        <v>8.5999999999999993E-2</v>
      </c>
      <c r="N258" s="70">
        <v>255591.84121505416</v>
      </c>
      <c r="O258" s="61">
        <v>88.26</v>
      </c>
      <c r="P258" s="85">
        <v>0</v>
      </c>
      <c r="Q258" s="85">
        <v>225.58535900957222</v>
      </c>
      <c r="R258" s="25">
        <v>3.0485013586904644E-4</v>
      </c>
      <c r="S258" s="25">
        <v>1.0760729266153601E-3</v>
      </c>
      <c r="T258" s="25">
        <v>3.9160651460702666E-4</v>
      </c>
    </row>
    <row r="259" spans="1:20" x14ac:dyDescent="0.25">
      <c r="A259" s="17" t="s">
        <v>1269</v>
      </c>
      <c r="B259" s="116" t="s">
        <v>1270</v>
      </c>
      <c r="C259" s="116" t="s">
        <v>400</v>
      </c>
      <c r="D259" s="116" t="s">
        <v>251</v>
      </c>
      <c r="E259" s="116" t="s">
        <v>1271</v>
      </c>
      <c r="F259" s="116" t="s">
        <v>215</v>
      </c>
      <c r="G259" s="116" t="s">
        <v>545</v>
      </c>
      <c r="H259" s="116" t="s">
        <v>256</v>
      </c>
      <c r="I259" s="116" t="s">
        <v>1272</v>
      </c>
      <c r="J259" s="117">
        <v>4.05</v>
      </c>
      <c r="K259" s="117" t="s">
        <v>257</v>
      </c>
      <c r="L259" s="116">
        <v>2.3E-2</v>
      </c>
      <c r="M259" s="116">
        <v>5.0199999999999995E-2</v>
      </c>
      <c r="N259" s="70">
        <v>721421.13737004786</v>
      </c>
      <c r="O259" s="61">
        <v>90.04</v>
      </c>
      <c r="P259" s="85">
        <v>0</v>
      </c>
      <c r="Q259" s="85">
        <v>649.5675920219818</v>
      </c>
      <c r="R259" s="25">
        <v>1.1236531041059609E-3</v>
      </c>
      <c r="S259" s="25">
        <v>3.0985259985419822E-3</v>
      </c>
      <c r="T259" s="25">
        <v>1.1276214991532917E-3</v>
      </c>
    </row>
    <row r="260" spans="1:20" x14ac:dyDescent="0.25">
      <c r="A260" s="17" t="s">
        <v>3006</v>
      </c>
      <c r="B260" s="116" t="s">
        <v>1416</v>
      </c>
      <c r="C260" s="116" t="s">
        <v>400</v>
      </c>
      <c r="D260" s="116" t="s">
        <v>251</v>
      </c>
      <c r="E260" s="116" t="s">
        <v>1417</v>
      </c>
      <c r="F260" s="116" t="s">
        <v>221</v>
      </c>
      <c r="G260" s="116" t="s">
        <v>623</v>
      </c>
      <c r="H260" s="116" t="s">
        <v>256</v>
      </c>
      <c r="I260" s="116" t="s">
        <v>1418</v>
      </c>
      <c r="J260" s="117">
        <v>0</v>
      </c>
      <c r="K260" s="117" t="s">
        <v>257</v>
      </c>
      <c r="L260" s="116">
        <v>1.9E-2</v>
      </c>
      <c r="M260" s="116">
        <v>5.4299999999999994E-2</v>
      </c>
      <c r="N260" s="70">
        <v>440795.9046839904</v>
      </c>
      <c r="O260" s="61">
        <v>87.540199999999999</v>
      </c>
      <c r="P260" s="85">
        <v>0</v>
      </c>
      <c r="Q260" s="85">
        <v>385.87376001746668</v>
      </c>
      <c r="R260" s="25">
        <v>1.2666548985172138E-3</v>
      </c>
      <c r="S260" s="25">
        <v>1.8406704587084891E-3</v>
      </c>
      <c r="T260" s="25">
        <v>6.6986030876381626E-4</v>
      </c>
    </row>
    <row r="261" spans="1:20" x14ac:dyDescent="0.25">
      <c r="A261" s="17" t="s">
        <v>1352</v>
      </c>
      <c r="B261" s="116" t="s">
        <v>1353</v>
      </c>
      <c r="C261" s="116" t="s">
        <v>400</v>
      </c>
      <c r="D261" s="116" t="s">
        <v>251</v>
      </c>
      <c r="E261" s="116" t="s">
        <v>1354</v>
      </c>
      <c r="F261" s="116" t="s">
        <v>201</v>
      </c>
      <c r="G261" s="116" t="s">
        <v>669</v>
      </c>
      <c r="H261" s="116" t="s">
        <v>521</v>
      </c>
      <c r="I261" s="116" t="s">
        <v>1355</v>
      </c>
      <c r="J261" s="117">
        <v>6.23</v>
      </c>
      <c r="K261" s="117" t="s">
        <v>257</v>
      </c>
      <c r="L261" s="116">
        <v>2.3799999999999998E-2</v>
      </c>
      <c r="M261" s="116">
        <v>5.45E-2</v>
      </c>
      <c r="N261" s="70">
        <v>357206.14495643077</v>
      </c>
      <c r="O261" s="61">
        <v>83.610000000000014</v>
      </c>
      <c r="P261" s="85">
        <v>0</v>
      </c>
      <c r="Q261" s="85">
        <v>298.66005778223064</v>
      </c>
      <c r="R261" s="25">
        <v>5.4940845009563842E-4</v>
      </c>
      <c r="S261" s="25">
        <v>1.4246492053023728E-3</v>
      </c>
      <c r="T261" s="25">
        <v>5.1846105968016175E-4</v>
      </c>
    </row>
    <row r="262" spans="1:20" x14ac:dyDescent="0.25">
      <c r="A262" s="17" t="s">
        <v>1366</v>
      </c>
      <c r="B262" s="116" t="s">
        <v>1367</v>
      </c>
      <c r="C262" s="116" t="s">
        <v>400</v>
      </c>
      <c r="D262" s="116" t="s">
        <v>251</v>
      </c>
      <c r="E262" s="116" t="s">
        <v>1354</v>
      </c>
      <c r="F262" s="116" t="s">
        <v>201</v>
      </c>
      <c r="G262" s="116" t="s">
        <v>669</v>
      </c>
      <c r="H262" s="116" t="s">
        <v>521</v>
      </c>
      <c r="I262" s="116" t="s">
        <v>1368</v>
      </c>
      <c r="J262" s="117">
        <v>4.43</v>
      </c>
      <c r="K262" s="117" t="s">
        <v>257</v>
      </c>
      <c r="L262" s="116">
        <v>3.2599999999999997E-2</v>
      </c>
      <c r="M262" s="116">
        <v>5.2699999999999997E-2</v>
      </c>
      <c r="N262" s="70">
        <v>334754.38462468801</v>
      </c>
      <c r="O262" s="61">
        <v>92.5</v>
      </c>
      <c r="P262" s="85">
        <v>0</v>
      </c>
      <c r="Q262" s="85">
        <v>309.6478057433992</v>
      </c>
      <c r="R262" s="25">
        <v>3.3960702946876723E-4</v>
      </c>
      <c r="S262" s="25">
        <v>1.4770622615281753E-3</v>
      </c>
      <c r="T262" s="25">
        <v>5.3753531920367587E-4</v>
      </c>
    </row>
    <row r="263" spans="1:20" x14ac:dyDescent="0.25">
      <c r="A263" s="17" t="s">
        <v>1398</v>
      </c>
      <c r="B263" s="116" t="s">
        <v>1399</v>
      </c>
      <c r="C263" s="116" t="s">
        <v>400</v>
      </c>
      <c r="D263" s="116" t="s">
        <v>251</v>
      </c>
      <c r="E263" s="116" t="s">
        <v>1354</v>
      </c>
      <c r="F263" s="116" t="s">
        <v>201</v>
      </c>
      <c r="G263" s="116" t="s">
        <v>669</v>
      </c>
      <c r="H263" s="116" t="s">
        <v>521</v>
      </c>
      <c r="I263" s="116" t="s">
        <v>1400</v>
      </c>
      <c r="J263" s="117">
        <v>5.52</v>
      </c>
      <c r="K263" s="117" t="s">
        <v>257</v>
      </c>
      <c r="L263" s="116">
        <v>5.1699999999999996E-2</v>
      </c>
      <c r="M263" s="116">
        <v>5.4000000000000006E-2</v>
      </c>
      <c r="N263" s="70">
        <v>1012112.0001900472</v>
      </c>
      <c r="O263" s="61">
        <v>99.53</v>
      </c>
      <c r="P263" s="85">
        <v>0</v>
      </c>
      <c r="Q263" s="85">
        <v>1007.3550737698691</v>
      </c>
      <c r="R263" s="25">
        <v>1.6586181244449443E-3</v>
      </c>
      <c r="S263" s="25">
        <v>4.805221079646301E-3</v>
      </c>
      <c r="T263" s="25">
        <v>1.7487252326246205E-3</v>
      </c>
    </row>
    <row r="264" spans="1:20" x14ac:dyDescent="0.25">
      <c r="A264" s="17" t="s">
        <v>1432</v>
      </c>
      <c r="B264" s="116" t="s">
        <v>1433</v>
      </c>
      <c r="C264" s="116" t="s">
        <v>400</v>
      </c>
      <c r="D264" s="116" t="s">
        <v>251</v>
      </c>
      <c r="E264" s="116" t="s">
        <v>1354</v>
      </c>
      <c r="F264" s="116" t="s">
        <v>201</v>
      </c>
      <c r="G264" s="116" t="s">
        <v>669</v>
      </c>
      <c r="H264" s="116" t="s">
        <v>521</v>
      </c>
      <c r="I264" s="116" t="s">
        <v>604</v>
      </c>
      <c r="J264" s="117">
        <v>2.4300000000000002</v>
      </c>
      <c r="K264" s="117" t="s">
        <v>257</v>
      </c>
      <c r="L264" s="116">
        <v>2.63E-2</v>
      </c>
      <c r="M264" s="116">
        <v>5.0900000000000001E-2</v>
      </c>
      <c r="N264" s="70">
        <v>6576.7713219892867</v>
      </c>
      <c r="O264" s="61">
        <v>95.63</v>
      </c>
      <c r="P264" s="85">
        <v>0</v>
      </c>
      <c r="Q264" s="85">
        <v>6.2893664000659957</v>
      </c>
      <c r="R264" s="25">
        <v>4.7687186162127022E-6</v>
      </c>
      <c r="S264" s="25">
        <v>3.000113543888347E-5</v>
      </c>
      <c r="T264" s="25">
        <v>1.0918070507013166E-5</v>
      </c>
    </row>
    <row r="265" spans="1:20" x14ac:dyDescent="0.25">
      <c r="A265" s="17" t="s">
        <v>1265</v>
      </c>
      <c r="B265" s="116" t="s">
        <v>1266</v>
      </c>
      <c r="C265" s="116" t="s">
        <v>400</v>
      </c>
      <c r="D265" s="116" t="s">
        <v>251</v>
      </c>
      <c r="E265" s="116" t="s">
        <v>1267</v>
      </c>
      <c r="F265" s="116" t="s">
        <v>223</v>
      </c>
      <c r="G265" s="116" t="s">
        <v>681</v>
      </c>
      <c r="H265" s="116" t="s">
        <v>521</v>
      </c>
      <c r="I265" s="116" t="s">
        <v>1268</v>
      </c>
      <c r="J265" s="117">
        <v>4.25</v>
      </c>
      <c r="K265" s="117" t="s">
        <v>257</v>
      </c>
      <c r="L265" s="116">
        <v>3.04E-2</v>
      </c>
      <c r="M265" s="116">
        <v>5.4000000000000006E-2</v>
      </c>
      <c r="N265" s="70">
        <v>388618.82457218633</v>
      </c>
      <c r="O265" s="61">
        <v>90.84</v>
      </c>
      <c r="P265" s="85">
        <v>0</v>
      </c>
      <c r="Q265" s="85">
        <v>353.02134021382437</v>
      </c>
      <c r="R265" s="25">
        <v>7.1700473036212455E-4</v>
      </c>
      <c r="S265" s="25">
        <v>1.6839599360056318E-3</v>
      </c>
      <c r="T265" s="25">
        <v>6.1282991604597449E-4</v>
      </c>
    </row>
    <row r="266" spans="1:20" x14ac:dyDescent="0.25">
      <c r="A266" s="17" t="s">
        <v>1122</v>
      </c>
      <c r="B266" s="116" t="s">
        <v>1123</v>
      </c>
      <c r="C266" s="116" t="s">
        <v>400</v>
      </c>
      <c r="D266" s="116" t="s">
        <v>251</v>
      </c>
      <c r="E266" s="116" t="s">
        <v>660</v>
      </c>
      <c r="F266" s="116" t="s">
        <v>200</v>
      </c>
      <c r="G266" s="116" t="s">
        <v>536</v>
      </c>
      <c r="H266" s="116" t="s">
        <v>521</v>
      </c>
      <c r="I266" s="116" t="s">
        <v>1044</v>
      </c>
      <c r="J266" s="117">
        <v>1.91</v>
      </c>
      <c r="K266" s="117" t="s">
        <v>257</v>
      </c>
      <c r="L266" s="116">
        <v>2.98E-2</v>
      </c>
      <c r="M266" s="116">
        <v>4.7300000000000002E-2</v>
      </c>
      <c r="N266" s="70">
        <v>20168.602843943958</v>
      </c>
      <c r="O266" s="61">
        <v>97</v>
      </c>
      <c r="P266" s="85">
        <v>0</v>
      </c>
      <c r="Q266" s="85">
        <v>19.563544758625643</v>
      </c>
      <c r="R266" s="25">
        <v>7.9338010196816571E-6</v>
      </c>
      <c r="S266" s="25">
        <v>9.3320776471542182E-5</v>
      </c>
      <c r="T266" s="25">
        <v>3.3961475203534226E-5</v>
      </c>
    </row>
    <row r="267" spans="1:20" x14ac:dyDescent="0.25">
      <c r="A267" s="17" t="s">
        <v>1369</v>
      </c>
      <c r="B267" s="116" t="s">
        <v>1370</v>
      </c>
      <c r="C267" s="116" t="s">
        <v>400</v>
      </c>
      <c r="D267" s="116" t="s">
        <v>251</v>
      </c>
      <c r="E267" s="116" t="s">
        <v>660</v>
      </c>
      <c r="F267" s="116" t="s">
        <v>200</v>
      </c>
      <c r="G267" s="116" t="s">
        <v>536</v>
      </c>
      <c r="H267" s="116" t="s">
        <v>521</v>
      </c>
      <c r="I267" s="116" t="s">
        <v>954</v>
      </c>
      <c r="J267" s="117">
        <v>3.93</v>
      </c>
      <c r="K267" s="117" t="s">
        <v>257</v>
      </c>
      <c r="L267" s="116">
        <v>2.7400000000000001E-2</v>
      </c>
      <c r="M267" s="116">
        <v>4.4900000000000002E-2</v>
      </c>
      <c r="N267" s="70">
        <v>887326.8700278271</v>
      </c>
      <c r="O267" s="61">
        <v>94.04</v>
      </c>
      <c r="P267" s="85">
        <v>0</v>
      </c>
      <c r="Q267" s="85">
        <v>834.44218851515711</v>
      </c>
      <c r="R267" s="25">
        <v>5.1828789038231918E-4</v>
      </c>
      <c r="S267" s="25">
        <v>3.9804030360353748E-3</v>
      </c>
      <c r="T267" s="25">
        <v>1.4485558749032746E-3</v>
      </c>
    </row>
    <row r="268" spans="1:20" x14ac:dyDescent="0.25">
      <c r="A268" s="17" t="s">
        <v>1236</v>
      </c>
      <c r="B268" s="116" t="s">
        <v>1237</v>
      </c>
      <c r="C268" s="116" t="s">
        <v>400</v>
      </c>
      <c r="D268" s="116" t="s">
        <v>251</v>
      </c>
      <c r="E268" s="116" t="s">
        <v>1238</v>
      </c>
      <c r="F268" s="116" t="s">
        <v>202</v>
      </c>
      <c r="G268" s="116" t="s">
        <v>669</v>
      </c>
      <c r="H268" s="116" t="s">
        <v>521</v>
      </c>
      <c r="I268" s="116" t="s">
        <v>1239</v>
      </c>
      <c r="J268" s="117">
        <v>4.03</v>
      </c>
      <c r="K268" s="117" t="s">
        <v>257</v>
      </c>
      <c r="L268" s="116">
        <v>2.4900000000000002E-2</v>
      </c>
      <c r="M268" s="116">
        <v>5.2600000000000001E-2</v>
      </c>
      <c r="N268" s="70">
        <v>154006.12363909118</v>
      </c>
      <c r="O268" s="61">
        <v>88.47</v>
      </c>
      <c r="P268" s="85">
        <v>0</v>
      </c>
      <c r="Q268" s="85">
        <v>136.24921753697242</v>
      </c>
      <c r="R268" s="25">
        <v>2.5704141615104419E-4</v>
      </c>
      <c r="S268" s="25">
        <v>6.4992734859996618E-4</v>
      </c>
      <c r="T268" s="25">
        <v>2.3652280197547883E-4</v>
      </c>
    </row>
    <row r="269" spans="1:20" x14ac:dyDescent="0.25">
      <c r="A269" s="17" t="s">
        <v>1347</v>
      </c>
      <c r="B269" s="116" t="s">
        <v>1348</v>
      </c>
      <c r="C269" s="116" t="s">
        <v>400</v>
      </c>
      <c r="D269" s="116" t="s">
        <v>251</v>
      </c>
      <c r="E269" s="116" t="s">
        <v>1349</v>
      </c>
      <c r="F269" s="116" t="s">
        <v>207</v>
      </c>
      <c r="G269" s="116" t="s">
        <v>499</v>
      </c>
      <c r="H269" s="116" t="s">
        <v>499</v>
      </c>
      <c r="I269" s="116" t="s">
        <v>919</v>
      </c>
      <c r="J269" s="117">
        <v>0.5</v>
      </c>
      <c r="K269" s="117" t="s">
        <v>257</v>
      </c>
      <c r="L269" s="116">
        <v>0.01</v>
      </c>
      <c r="M269" s="116">
        <v>0.45</v>
      </c>
      <c r="N269" s="70">
        <v>1703.2930235383483</v>
      </c>
      <c r="O269" s="61">
        <v>63.250000000000007</v>
      </c>
      <c r="P269" s="85">
        <v>0</v>
      </c>
      <c r="Q269" s="85">
        <v>1.0773328096660755</v>
      </c>
      <c r="R269" s="25">
        <v>2.8135933398560935E-5</v>
      </c>
      <c r="S269" s="25">
        <v>5.1390244230651991E-6</v>
      </c>
      <c r="T269" s="25">
        <v>1.8702035828806828E-6</v>
      </c>
    </row>
    <row r="270" spans="1:20" x14ac:dyDescent="0.25">
      <c r="A270" s="17" t="s">
        <v>1463</v>
      </c>
      <c r="B270" s="116" t="s">
        <v>1464</v>
      </c>
      <c r="C270" s="116" t="s">
        <v>400</v>
      </c>
      <c r="D270" s="116" t="s">
        <v>251</v>
      </c>
      <c r="E270" s="116" t="s">
        <v>1349</v>
      </c>
      <c r="F270" s="116" t="s">
        <v>226</v>
      </c>
      <c r="G270" s="116" t="s">
        <v>499</v>
      </c>
      <c r="H270" s="116" t="s">
        <v>499</v>
      </c>
      <c r="I270" s="116" t="s">
        <v>919</v>
      </c>
      <c r="J270" s="117">
        <v>3.51</v>
      </c>
      <c r="K270" s="117" t="s">
        <v>257</v>
      </c>
      <c r="L270" s="116">
        <v>0.01</v>
      </c>
      <c r="M270" s="116">
        <v>0.45</v>
      </c>
      <c r="N270" s="70">
        <v>2517.4589604694697</v>
      </c>
      <c r="O270" s="61">
        <v>3</v>
      </c>
      <c r="P270" s="85">
        <v>0</v>
      </c>
      <c r="Q270" s="85">
        <v>7.5523709037597017E-2</v>
      </c>
      <c r="R270" s="25">
        <v>2.5174589604694698E-5</v>
      </c>
      <c r="S270" s="25">
        <v>3.6025839163385366E-7</v>
      </c>
      <c r="T270" s="25">
        <v>1.3110592192799886E-7</v>
      </c>
    </row>
    <row r="271" spans="1:20" x14ac:dyDescent="0.25">
      <c r="A271" s="17" t="s">
        <v>1154</v>
      </c>
      <c r="B271" s="116" t="s">
        <v>1155</v>
      </c>
      <c r="C271" s="116" t="s">
        <v>400</v>
      </c>
      <c r="D271" s="116" t="s">
        <v>251</v>
      </c>
      <c r="E271" s="116" t="s">
        <v>570</v>
      </c>
      <c r="F271" s="116" t="s">
        <v>223</v>
      </c>
      <c r="G271" s="116" t="s">
        <v>545</v>
      </c>
      <c r="H271" s="116" t="s">
        <v>256</v>
      </c>
      <c r="I271" s="116" t="s">
        <v>1156</v>
      </c>
      <c r="J271" s="117">
        <v>1.23</v>
      </c>
      <c r="K271" s="117" t="s">
        <v>257</v>
      </c>
      <c r="L271" s="116">
        <v>3.5000000000000003E-2</v>
      </c>
      <c r="M271" s="116">
        <v>5.28E-2</v>
      </c>
      <c r="N271" s="70">
        <v>560369.95192860311</v>
      </c>
      <c r="O271" s="61">
        <v>97.94</v>
      </c>
      <c r="P271" s="85">
        <v>0</v>
      </c>
      <c r="Q271" s="85">
        <v>548.82633085340194</v>
      </c>
      <c r="R271" s="25">
        <v>6.0934211936297428E-4</v>
      </c>
      <c r="S271" s="25">
        <v>2.6179764442067813E-3</v>
      </c>
      <c r="T271" s="25">
        <v>9.5273898755523308E-4</v>
      </c>
    </row>
    <row r="272" spans="1:20" x14ac:dyDescent="0.25">
      <c r="A272" s="17" t="s">
        <v>1242</v>
      </c>
      <c r="B272" s="116" t="s">
        <v>1243</v>
      </c>
      <c r="C272" s="116" t="s">
        <v>400</v>
      </c>
      <c r="D272" s="116" t="s">
        <v>251</v>
      </c>
      <c r="E272" s="116" t="s">
        <v>1244</v>
      </c>
      <c r="F272" s="116" t="s">
        <v>204</v>
      </c>
      <c r="G272" s="116" t="s">
        <v>623</v>
      </c>
      <c r="H272" s="116" t="s">
        <v>256</v>
      </c>
      <c r="I272" s="116" t="s">
        <v>1245</v>
      </c>
      <c r="J272" s="117">
        <v>2.82</v>
      </c>
      <c r="K272" s="117" t="s">
        <v>257</v>
      </c>
      <c r="L272" s="116">
        <v>2.3900000000000001E-2</v>
      </c>
      <c r="M272" s="116">
        <v>5.2499999999999998E-2</v>
      </c>
      <c r="N272" s="70">
        <v>174727.91914472112</v>
      </c>
      <c r="O272" s="61">
        <v>92.47</v>
      </c>
      <c r="P272" s="85">
        <v>0</v>
      </c>
      <c r="Q272" s="85">
        <v>161.57090681710343</v>
      </c>
      <c r="R272" s="25">
        <v>8.5432752626404449E-4</v>
      </c>
      <c r="S272" s="25">
        <v>7.7071525970442382E-4</v>
      </c>
      <c r="T272" s="25">
        <v>2.8048016927312091E-4</v>
      </c>
    </row>
    <row r="273" spans="1:20" x14ac:dyDescent="0.25">
      <c r="A273" s="17" t="s">
        <v>1124</v>
      </c>
      <c r="B273" s="116" t="s">
        <v>1125</v>
      </c>
      <c r="C273" s="116" t="s">
        <v>400</v>
      </c>
      <c r="D273" s="116" t="s">
        <v>251</v>
      </c>
      <c r="E273" s="116" t="s">
        <v>1126</v>
      </c>
      <c r="F273" s="116" t="s">
        <v>201</v>
      </c>
      <c r="G273" s="116" t="s">
        <v>520</v>
      </c>
      <c r="H273" s="116" t="s">
        <v>521</v>
      </c>
      <c r="I273" s="116" t="s">
        <v>1127</v>
      </c>
      <c r="J273" s="117">
        <v>1</v>
      </c>
      <c r="K273" s="117" t="s">
        <v>257</v>
      </c>
      <c r="L273" s="116">
        <v>4.0999999999999995E-2</v>
      </c>
      <c r="M273" s="116">
        <v>5.5E-2</v>
      </c>
      <c r="N273" s="70">
        <v>217167.60710426263</v>
      </c>
      <c r="O273" s="61">
        <v>98.700000000000017</v>
      </c>
      <c r="P273" s="85">
        <v>4.4519359459999999</v>
      </c>
      <c r="Q273" s="85">
        <v>218.79636415754459</v>
      </c>
      <c r="R273" s="25">
        <v>7.2389202368087547E-4</v>
      </c>
      <c r="S273" s="25">
        <v>1.0436884953239304E-3</v>
      </c>
      <c r="T273" s="25">
        <v>3.798211105215835E-4</v>
      </c>
    </row>
    <row r="274" spans="1:20" x14ac:dyDescent="0.25">
      <c r="A274" s="17" t="s">
        <v>1222</v>
      </c>
      <c r="B274" s="116" t="s">
        <v>1223</v>
      </c>
      <c r="C274" s="116" t="s">
        <v>400</v>
      </c>
      <c r="D274" s="116" t="s">
        <v>251</v>
      </c>
      <c r="E274" s="116" t="s">
        <v>1126</v>
      </c>
      <c r="F274" s="116" t="s">
        <v>201</v>
      </c>
      <c r="G274" s="116" t="s">
        <v>591</v>
      </c>
      <c r="H274" s="116" t="s">
        <v>521</v>
      </c>
      <c r="I274" s="116" t="s">
        <v>1224</v>
      </c>
      <c r="J274" s="117">
        <v>3.15</v>
      </c>
      <c r="K274" s="117" t="s">
        <v>257</v>
      </c>
      <c r="L274" s="116">
        <v>1.84E-2</v>
      </c>
      <c r="M274" s="116">
        <v>4.7100000000000003E-2</v>
      </c>
      <c r="N274" s="70">
        <v>307339.28306851152</v>
      </c>
      <c r="O274" s="61">
        <v>92.04</v>
      </c>
      <c r="P274" s="85">
        <v>0</v>
      </c>
      <c r="Q274" s="85">
        <v>282.87507612799305</v>
      </c>
      <c r="R274" s="25">
        <v>1.0244642768950385E-3</v>
      </c>
      <c r="S274" s="25">
        <v>1.349352690139239E-3</v>
      </c>
      <c r="T274" s="25">
        <v>4.9105900807587511E-4</v>
      </c>
    </row>
    <row r="275" spans="1:20" x14ac:dyDescent="0.25">
      <c r="A275" s="17" t="s">
        <v>1360</v>
      </c>
      <c r="B275" s="116" t="s">
        <v>1361</v>
      </c>
      <c r="C275" s="116" t="s">
        <v>400</v>
      </c>
      <c r="D275" s="116" t="s">
        <v>251</v>
      </c>
      <c r="E275" s="116" t="s">
        <v>1126</v>
      </c>
      <c r="F275" s="116" t="s">
        <v>201</v>
      </c>
      <c r="G275" s="116" t="s">
        <v>591</v>
      </c>
      <c r="H275" s="116" t="s">
        <v>521</v>
      </c>
      <c r="I275" s="116" t="s">
        <v>1362</v>
      </c>
      <c r="J275" s="117">
        <v>6.71</v>
      </c>
      <c r="K275" s="117" t="s">
        <v>257</v>
      </c>
      <c r="L275" s="116">
        <v>2.98E-2</v>
      </c>
      <c r="M275" s="116">
        <v>5.3099999999999994E-2</v>
      </c>
      <c r="N275" s="70">
        <v>289593.32895389083</v>
      </c>
      <c r="O275" s="61">
        <v>86.08</v>
      </c>
      <c r="P275" s="85">
        <v>0</v>
      </c>
      <c r="Q275" s="85">
        <v>249.2819375139197</v>
      </c>
      <c r="R275" s="25">
        <v>7.3773813264041053E-4</v>
      </c>
      <c r="S275" s="25">
        <v>1.1891088376953067E-3</v>
      </c>
      <c r="T275" s="25">
        <v>4.3274275925048135E-4</v>
      </c>
    </row>
    <row r="276" spans="1:20" x14ac:dyDescent="0.25">
      <c r="A276" s="17" t="s">
        <v>1393</v>
      </c>
      <c r="B276" s="116" t="s">
        <v>1394</v>
      </c>
      <c r="C276" s="116" t="s">
        <v>400</v>
      </c>
      <c r="D276" s="116" t="s">
        <v>251</v>
      </c>
      <c r="E276" s="116" t="s">
        <v>1126</v>
      </c>
      <c r="F276" s="116" t="s">
        <v>201</v>
      </c>
      <c r="G276" s="116" t="s">
        <v>591</v>
      </c>
      <c r="H276" s="116" t="s">
        <v>521</v>
      </c>
      <c r="I276" s="116" t="s">
        <v>995</v>
      </c>
      <c r="J276" s="117">
        <v>0</v>
      </c>
      <c r="K276" s="117" t="s">
        <v>257</v>
      </c>
      <c r="L276" s="116">
        <v>2.98E-2</v>
      </c>
      <c r="M276" s="116">
        <v>5.3099999999999994E-2</v>
      </c>
      <c r="N276" s="70">
        <v>309934.62048093072</v>
      </c>
      <c r="O276" s="61">
        <v>84.871899999999997</v>
      </c>
      <c r="P276" s="85">
        <v>0</v>
      </c>
      <c r="Q276" s="85">
        <v>263.0474057745372</v>
      </c>
      <c r="R276" s="25">
        <v>7.8955751149441017E-4</v>
      </c>
      <c r="S276" s="25">
        <v>1.254771998560303E-3</v>
      </c>
      <c r="T276" s="25">
        <v>4.5663902216019138E-4</v>
      </c>
    </row>
    <row r="277" spans="1:20" x14ac:dyDescent="0.25">
      <c r="A277" s="17" t="s">
        <v>1150</v>
      </c>
      <c r="B277" s="116" t="s">
        <v>1151</v>
      </c>
      <c r="C277" s="116" t="s">
        <v>400</v>
      </c>
      <c r="D277" s="116" t="s">
        <v>251</v>
      </c>
      <c r="E277" s="116" t="s">
        <v>1152</v>
      </c>
      <c r="F277" s="116" t="s">
        <v>201</v>
      </c>
      <c r="G277" s="116" t="s">
        <v>520</v>
      </c>
      <c r="H277" s="116" t="s">
        <v>521</v>
      </c>
      <c r="I277" s="116" t="s">
        <v>1153</v>
      </c>
      <c r="J277" s="117">
        <v>1.67</v>
      </c>
      <c r="K277" s="117" t="s">
        <v>257</v>
      </c>
      <c r="L277" s="116">
        <v>2.9399999999999999E-2</v>
      </c>
      <c r="M277" s="116">
        <v>4.8899999999999999E-2</v>
      </c>
      <c r="N277" s="70">
        <v>33568.540962853549</v>
      </c>
      <c r="O277" s="61">
        <v>99.02</v>
      </c>
      <c r="P277" s="85">
        <v>0</v>
      </c>
      <c r="Q277" s="85">
        <v>33.239569193741637</v>
      </c>
      <c r="R277" s="25">
        <v>1.5716680683627488E-4</v>
      </c>
      <c r="S277" s="25">
        <v>1.5855727809102E-4</v>
      </c>
      <c r="T277" s="25">
        <v>5.7702467465753922E-5</v>
      </c>
    </row>
    <row r="278" spans="1:20" x14ac:dyDescent="0.25">
      <c r="A278" s="17" t="s">
        <v>1386</v>
      </c>
      <c r="B278" s="116" t="s">
        <v>1387</v>
      </c>
      <c r="C278" s="116" t="s">
        <v>400</v>
      </c>
      <c r="D278" s="116" t="s">
        <v>251</v>
      </c>
      <c r="E278" s="116" t="s">
        <v>1388</v>
      </c>
      <c r="F278" s="116" t="s">
        <v>225</v>
      </c>
      <c r="G278" s="116" t="s">
        <v>499</v>
      </c>
      <c r="H278" s="116" t="s">
        <v>499</v>
      </c>
      <c r="I278" s="116" t="s">
        <v>1389</v>
      </c>
      <c r="J278" s="117">
        <v>3.84</v>
      </c>
      <c r="K278" s="117" t="s">
        <v>257</v>
      </c>
      <c r="L278" s="116">
        <v>7.4999999999999997E-2</v>
      </c>
      <c r="M278" s="116">
        <v>7.6999999999999999E-2</v>
      </c>
      <c r="N278" s="70">
        <v>166923.43514845456</v>
      </c>
      <c r="O278" s="61">
        <v>101.39</v>
      </c>
      <c r="P278" s="85">
        <v>0</v>
      </c>
      <c r="Q278" s="85">
        <v>169.24367087251949</v>
      </c>
      <c r="R278" s="25">
        <v>5.2146408352880022E-4</v>
      </c>
      <c r="S278" s="25">
        <v>8.0731539061979212E-4</v>
      </c>
      <c r="T278" s="25">
        <v>2.9379975881712168E-4</v>
      </c>
    </row>
    <row r="279" spans="1:20" x14ac:dyDescent="0.25">
      <c r="A279" s="17" t="s">
        <v>1390</v>
      </c>
      <c r="B279" s="116" t="s">
        <v>1391</v>
      </c>
      <c r="C279" s="116" t="s">
        <v>400</v>
      </c>
      <c r="D279" s="116" t="s">
        <v>251</v>
      </c>
      <c r="E279" s="116" t="s">
        <v>1388</v>
      </c>
      <c r="F279" s="116" t="s">
        <v>225</v>
      </c>
      <c r="G279" s="116" t="s">
        <v>499</v>
      </c>
      <c r="H279" s="116" t="s">
        <v>499</v>
      </c>
      <c r="I279" s="116" t="s">
        <v>1392</v>
      </c>
      <c r="J279" s="117">
        <v>4.09</v>
      </c>
      <c r="K279" s="117" t="s">
        <v>257</v>
      </c>
      <c r="L279" s="116">
        <v>0.10539999999999999</v>
      </c>
      <c r="M279" s="116">
        <v>9.64E-2</v>
      </c>
      <c r="N279" s="70">
        <v>142214.77016875491</v>
      </c>
      <c r="O279" s="61">
        <v>103.94000000000001</v>
      </c>
      <c r="P279" s="85">
        <v>0</v>
      </c>
      <c r="Q279" s="85">
        <v>147.81803209548275</v>
      </c>
      <c r="R279" s="25">
        <v>5.8046844966838738E-4</v>
      </c>
      <c r="S279" s="25">
        <v>7.0511217173788241E-4</v>
      </c>
      <c r="T279" s="25">
        <v>2.566057682073477E-4</v>
      </c>
    </row>
    <row r="280" spans="1:20" x14ac:dyDescent="0.25">
      <c r="A280" s="17" t="s">
        <v>3007</v>
      </c>
      <c r="B280" s="116" t="s">
        <v>1423</v>
      </c>
      <c r="C280" s="116" t="s">
        <v>400</v>
      </c>
      <c r="D280" s="116" t="s">
        <v>251</v>
      </c>
      <c r="E280" s="116" t="s">
        <v>1424</v>
      </c>
      <c r="F280" s="116" t="s">
        <v>221</v>
      </c>
      <c r="G280" s="116" t="s">
        <v>623</v>
      </c>
      <c r="H280" s="116" t="s">
        <v>256</v>
      </c>
      <c r="I280" s="116" t="s">
        <v>1425</v>
      </c>
      <c r="J280" s="117">
        <v>0</v>
      </c>
      <c r="K280" s="117" t="s">
        <v>257</v>
      </c>
      <c r="L280" s="116">
        <v>0.05</v>
      </c>
      <c r="M280" s="116">
        <v>5.7699999999999994E-2</v>
      </c>
      <c r="N280" s="70">
        <v>344371.8005343675</v>
      </c>
      <c r="O280" s="61">
        <v>95.690299999999993</v>
      </c>
      <c r="P280" s="85">
        <v>0</v>
      </c>
      <c r="Q280" s="85">
        <v>329.53060072408203</v>
      </c>
      <c r="R280" s="25">
        <v>1.1660576322566874E-3</v>
      </c>
      <c r="S280" s="25">
        <v>1.5719059050965894E-3</v>
      </c>
      <c r="T280" s="25">
        <v>5.7205099910957301E-4</v>
      </c>
    </row>
    <row r="281" spans="1:20" x14ac:dyDescent="0.25">
      <c r="A281" s="17" t="s">
        <v>1173</v>
      </c>
      <c r="B281" s="116" t="s">
        <v>1174</v>
      </c>
      <c r="C281" s="116" t="s">
        <v>400</v>
      </c>
      <c r="D281" s="116" t="s">
        <v>251</v>
      </c>
      <c r="E281" s="116" t="s">
        <v>1175</v>
      </c>
      <c r="F281" s="116" t="s">
        <v>224</v>
      </c>
      <c r="G281" s="116" t="s">
        <v>512</v>
      </c>
      <c r="H281" s="116" t="s">
        <v>256</v>
      </c>
      <c r="I281" s="116" t="s">
        <v>1176</v>
      </c>
      <c r="J281" s="117">
        <v>1.54</v>
      </c>
      <c r="K281" s="117" t="s">
        <v>257</v>
      </c>
      <c r="L281" s="116">
        <v>7.0000000000000007E-2</v>
      </c>
      <c r="M281" s="116">
        <v>0.17980000000000002</v>
      </c>
      <c r="N281" s="70">
        <v>48909.724616798798</v>
      </c>
      <c r="O281" s="61">
        <v>87.71</v>
      </c>
      <c r="P281" s="85">
        <v>0</v>
      </c>
      <c r="Q281" s="85">
        <v>42.898719453053545</v>
      </c>
      <c r="R281" s="25">
        <v>2.6901511168749031E-4</v>
      </c>
      <c r="S281" s="25">
        <v>2.0463274209182972E-4</v>
      </c>
      <c r="T281" s="25">
        <v>7.4470338322808025E-5</v>
      </c>
    </row>
    <row r="282" spans="1:20" x14ac:dyDescent="0.25">
      <c r="A282" s="17" t="s">
        <v>1356</v>
      </c>
      <c r="B282" s="116" t="s">
        <v>1357</v>
      </c>
      <c r="C282" s="116" t="s">
        <v>400</v>
      </c>
      <c r="D282" s="116" t="s">
        <v>251</v>
      </c>
      <c r="E282" s="116" t="s">
        <v>1358</v>
      </c>
      <c r="F282" s="116" t="s">
        <v>224</v>
      </c>
      <c r="G282" s="116" t="s">
        <v>520</v>
      </c>
      <c r="H282" s="116" t="s">
        <v>521</v>
      </c>
      <c r="I282" s="116" t="s">
        <v>1359</v>
      </c>
      <c r="J282" s="117">
        <v>6.57</v>
      </c>
      <c r="K282" s="117" t="s">
        <v>257</v>
      </c>
      <c r="L282" s="116">
        <v>2.7999999999999997E-2</v>
      </c>
      <c r="M282" s="116">
        <v>5.5899999999999998E-2</v>
      </c>
      <c r="N282" s="70">
        <v>307550.95036921767</v>
      </c>
      <c r="O282" s="61">
        <v>84.35</v>
      </c>
      <c r="P282" s="85">
        <v>0</v>
      </c>
      <c r="Q282" s="85">
        <v>259.41922659834756</v>
      </c>
      <c r="R282" s="25">
        <v>9.299557002259574E-4</v>
      </c>
      <c r="S282" s="25">
        <v>1.2374650890979669E-3</v>
      </c>
      <c r="T282" s="25">
        <v>4.503406586148111E-4</v>
      </c>
    </row>
    <row r="283" spans="1:20" x14ac:dyDescent="0.25">
      <c r="A283" s="17" t="s">
        <v>1335</v>
      </c>
      <c r="B283" s="116" t="s">
        <v>1336</v>
      </c>
      <c r="C283" s="116" t="s">
        <v>400</v>
      </c>
      <c r="D283" s="116" t="s">
        <v>251</v>
      </c>
      <c r="E283" s="116" t="s">
        <v>1337</v>
      </c>
      <c r="F283" s="116" t="s">
        <v>224</v>
      </c>
      <c r="G283" s="116" t="s">
        <v>545</v>
      </c>
      <c r="H283" s="116" t="s">
        <v>256</v>
      </c>
      <c r="I283" s="116" t="s">
        <v>1338</v>
      </c>
      <c r="J283" s="117">
        <v>3.29</v>
      </c>
      <c r="K283" s="117" t="s">
        <v>257</v>
      </c>
      <c r="L283" s="116">
        <v>3.49E-2</v>
      </c>
      <c r="M283" s="116">
        <v>6.9000000000000006E-2</v>
      </c>
      <c r="N283" s="70">
        <v>778080.19607899606</v>
      </c>
      <c r="O283" s="61">
        <v>89.91</v>
      </c>
      <c r="P283" s="85">
        <v>0</v>
      </c>
      <c r="Q283" s="85">
        <v>699.57190426638692</v>
      </c>
      <c r="R283" s="25">
        <v>8.2292785150150092E-4</v>
      </c>
      <c r="S283" s="25">
        <v>3.3370533872717711E-3</v>
      </c>
      <c r="T283" s="25">
        <v>1.2144268420147585E-3</v>
      </c>
    </row>
    <row r="284" spans="1:20" x14ac:dyDescent="0.25">
      <c r="A284" s="17" t="s">
        <v>3008</v>
      </c>
      <c r="B284" s="116" t="s">
        <v>1445</v>
      </c>
      <c r="C284" s="116" t="s">
        <v>400</v>
      </c>
      <c r="D284" s="116" t="s">
        <v>251</v>
      </c>
      <c r="E284" s="116" t="s">
        <v>1337</v>
      </c>
      <c r="F284" s="116" t="s">
        <v>224</v>
      </c>
      <c r="G284" s="116" t="s">
        <v>545</v>
      </c>
      <c r="H284" s="116" t="s">
        <v>256</v>
      </c>
      <c r="I284" s="116" t="s">
        <v>1446</v>
      </c>
      <c r="J284" s="117">
        <v>0</v>
      </c>
      <c r="K284" s="117" t="s">
        <v>257</v>
      </c>
      <c r="L284" s="116">
        <v>3.49E-2</v>
      </c>
      <c r="M284" s="116">
        <v>5.7699999999999994E-2</v>
      </c>
      <c r="N284" s="70">
        <v>206623.0803206205</v>
      </c>
      <c r="O284" s="61">
        <v>87.263599999999997</v>
      </c>
      <c r="P284" s="85">
        <v>0</v>
      </c>
      <c r="Q284" s="85">
        <v>180.30673831866497</v>
      </c>
      <c r="R284" s="25">
        <v>2.1853259910191452E-4</v>
      </c>
      <c r="S284" s="25">
        <v>8.6008773106060836E-4</v>
      </c>
      <c r="T284" s="25">
        <v>3.1300476973834752E-4</v>
      </c>
    </row>
    <row r="285" spans="1:20" x14ac:dyDescent="0.25">
      <c r="A285" s="17" t="s">
        <v>1382</v>
      </c>
      <c r="B285" s="116" t="s">
        <v>1383</v>
      </c>
      <c r="C285" s="116" t="s">
        <v>400</v>
      </c>
      <c r="D285" s="116" t="s">
        <v>251</v>
      </c>
      <c r="E285" s="116" t="s">
        <v>1384</v>
      </c>
      <c r="F285" s="116" t="s">
        <v>206</v>
      </c>
      <c r="G285" s="116" t="s">
        <v>516</v>
      </c>
      <c r="H285" s="116" t="s">
        <v>256</v>
      </c>
      <c r="I285" s="116" t="s">
        <v>1385</v>
      </c>
      <c r="J285" s="117">
        <v>4.32</v>
      </c>
      <c r="K285" s="117" t="s">
        <v>257</v>
      </c>
      <c r="L285" s="116">
        <v>4.7300000000000002E-2</v>
      </c>
      <c r="M285" s="116">
        <v>5.79E-2</v>
      </c>
      <c r="N285" s="70">
        <v>288313.68466772116</v>
      </c>
      <c r="O285" s="61">
        <v>95.85</v>
      </c>
      <c r="P285" s="85">
        <v>6.8186186100000006</v>
      </c>
      <c r="Q285" s="85">
        <v>283.16728531203125</v>
      </c>
      <c r="R285" s="25">
        <v>7.300651650803873E-4</v>
      </c>
      <c r="S285" s="25">
        <v>1.3507465677970463E-3</v>
      </c>
      <c r="T285" s="25">
        <v>4.9156627069522137E-4</v>
      </c>
    </row>
    <row r="286" spans="1:20" x14ac:dyDescent="0.25">
      <c r="A286" s="17" t="s">
        <v>1186</v>
      </c>
      <c r="B286" s="116" t="s">
        <v>1187</v>
      </c>
      <c r="C286" s="116" t="s">
        <v>400</v>
      </c>
      <c r="D286" s="116" t="s">
        <v>251</v>
      </c>
      <c r="E286" s="116" t="s">
        <v>1188</v>
      </c>
      <c r="F286" s="116" t="s">
        <v>223</v>
      </c>
      <c r="G286" s="116" t="s">
        <v>536</v>
      </c>
      <c r="H286" s="116" t="s">
        <v>521</v>
      </c>
      <c r="I286" s="116" t="s">
        <v>1189</v>
      </c>
      <c r="J286" s="117">
        <v>2.38</v>
      </c>
      <c r="K286" s="117" t="s">
        <v>257</v>
      </c>
      <c r="L286" s="116">
        <v>1.44E-2</v>
      </c>
      <c r="M286" s="116">
        <v>4.7100000000000003E-2</v>
      </c>
      <c r="N286" s="70">
        <v>454094.42634075804</v>
      </c>
      <c r="O286" s="61">
        <v>92.96</v>
      </c>
      <c r="P286" s="85">
        <v>0</v>
      </c>
      <c r="Q286" s="85">
        <v>422.12617872438511</v>
      </c>
      <c r="R286" s="25">
        <v>9.0818885268151609E-4</v>
      </c>
      <c r="S286" s="25">
        <v>2.0135994398538647E-3</v>
      </c>
      <c r="T286" s="25">
        <v>7.327929538531125E-4</v>
      </c>
    </row>
    <row r="287" spans="1:20" x14ac:dyDescent="0.25">
      <c r="A287" s="17" t="s">
        <v>1231</v>
      </c>
      <c r="B287" s="116" t="s">
        <v>1232</v>
      </c>
      <c r="C287" s="116" t="s">
        <v>400</v>
      </c>
      <c r="D287" s="116" t="s">
        <v>251</v>
      </c>
      <c r="E287" s="116" t="s">
        <v>622</v>
      </c>
      <c r="F287" s="116" t="s">
        <v>225</v>
      </c>
      <c r="G287" s="116" t="s">
        <v>623</v>
      </c>
      <c r="H287" s="116" t="s">
        <v>256</v>
      </c>
      <c r="I287" s="116" t="s">
        <v>1233</v>
      </c>
      <c r="J287" s="117">
        <v>4.9400000000000004</v>
      </c>
      <c r="K287" s="117" t="s">
        <v>257</v>
      </c>
      <c r="L287" s="116">
        <v>2.4300000000000002E-2</v>
      </c>
      <c r="M287" s="116">
        <v>5.16E-2</v>
      </c>
      <c r="N287" s="70">
        <v>461111.4509752224</v>
      </c>
      <c r="O287" s="61">
        <v>87.92</v>
      </c>
      <c r="P287" s="85">
        <v>0</v>
      </c>
      <c r="Q287" s="85">
        <v>405.40918764507103</v>
      </c>
      <c r="R287" s="25">
        <v>3.1483458176737397E-4</v>
      </c>
      <c r="S287" s="25">
        <v>1.9338571126305939E-3</v>
      </c>
      <c r="T287" s="25">
        <v>7.0377297383300336E-4</v>
      </c>
    </row>
    <row r="288" spans="1:20" x14ac:dyDescent="0.25">
      <c r="A288" s="17" t="s">
        <v>1455</v>
      </c>
      <c r="B288" s="116" t="s">
        <v>1456</v>
      </c>
      <c r="C288" s="116" t="s">
        <v>400</v>
      </c>
      <c r="D288" s="116" t="s">
        <v>251</v>
      </c>
      <c r="E288" s="116" t="s">
        <v>622</v>
      </c>
      <c r="F288" s="116" t="s">
        <v>225</v>
      </c>
      <c r="G288" s="116" t="s">
        <v>623</v>
      </c>
      <c r="H288" s="116" t="s">
        <v>256</v>
      </c>
      <c r="I288" s="116" t="s">
        <v>1457</v>
      </c>
      <c r="J288" s="117">
        <v>0.9</v>
      </c>
      <c r="K288" s="117" t="s">
        <v>257</v>
      </c>
      <c r="L288" s="116">
        <v>6.3999999761581425E-2</v>
      </c>
      <c r="M288" s="116">
        <v>5.6399999999999999E-2</v>
      </c>
      <c r="N288" s="70">
        <v>172258.48426920033</v>
      </c>
      <c r="O288" s="61">
        <v>101.29999999999998</v>
      </c>
      <c r="P288" s="85">
        <v>0</v>
      </c>
      <c r="Q288" s="85">
        <v>174.49784455140718</v>
      </c>
      <c r="R288" s="25">
        <v>2.4799739230621406E-4</v>
      </c>
      <c r="S288" s="25">
        <v>8.3237851560453969E-4</v>
      </c>
      <c r="T288" s="25">
        <v>3.0292077912873628E-4</v>
      </c>
    </row>
    <row r="289" spans="1:20" x14ac:dyDescent="0.25">
      <c r="A289" s="17" t="s">
        <v>1262</v>
      </c>
      <c r="B289" s="116" t="s">
        <v>1263</v>
      </c>
      <c r="C289" s="116" t="s">
        <v>400</v>
      </c>
      <c r="D289" s="116" t="s">
        <v>251</v>
      </c>
      <c r="E289" s="116" t="s">
        <v>977</v>
      </c>
      <c r="F289" s="116" t="s">
        <v>205</v>
      </c>
      <c r="G289" s="116" t="s">
        <v>566</v>
      </c>
      <c r="H289" s="116" t="s">
        <v>521</v>
      </c>
      <c r="I289" s="116" t="s">
        <v>1264</v>
      </c>
      <c r="J289" s="117">
        <v>3.67</v>
      </c>
      <c r="K289" s="117" t="s">
        <v>257</v>
      </c>
      <c r="L289" s="116">
        <v>3.1600000000000003E-2</v>
      </c>
      <c r="M289" s="116">
        <v>6.9000000000000006E-2</v>
      </c>
      <c r="N289" s="70">
        <v>468706.69948668947</v>
      </c>
      <c r="O289" s="61">
        <v>86.57</v>
      </c>
      <c r="P289" s="85">
        <v>0</v>
      </c>
      <c r="Q289" s="85">
        <v>405.75938972906278</v>
      </c>
      <c r="R289" s="25">
        <v>5.6951226726918529E-4</v>
      </c>
      <c r="S289" s="25">
        <v>1.9355276243299452E-3</v>
      </c>
      <c r="T289" s="25">
        <v>7.0438090964108164E-4</v>
      </c>
    </row>
    <row r="290" spans="1:20" x14ac:dyDescent="0.25">
      <c r="A290" s="17" t="s">
        <v>3009</v>
      </c>
      <c r="B290" s="116" t="s">
        <v>1411</v>
      </c>
      <c r="C290" s="116" t="s">
        <v>400</v>
      </c>
      <c r="D290" s="116" t="s">
        <v>251</v>
      </c>
      <c r="E290" s="116" t="s">
        <v>977</v>
      </c>
      <c r="F290" s="116" t="s">
        <v>205</v>
      </c>
      <c r="G290" s="116" t="s">
        <v>1284</v>
      </c>
      <c r="H290" s="116" t="s">
        <v>521</v>
      </c>
      <c r="I290" s="116" t="s">
        <v>1412</v>
      </c>
      <c r="J290" s="117">
        <v>0</v>
      </c>
      <c r="K290" s="117" t="s">
        <v>257</v>
      </c>
      <c r="L290" s="116">
        <v>4.2500000000000003E-2</v>
      </c>
      <c r="M290" s="116">
        <v>5.8200000000000002E-2</v>
      </c>
      <c r="N290" s="70">
        <v>301346.30700826272</v>
      </c>
      <c r="O290" s="61">
        <v>94.809100000000001</v>
      </c>
      <c r="P290" s="85">
        <v>0</v>
      </c>
      <c r="Q290" s="85">
        <v>285.70379534274986</v>
      </c>
      <c r="R290" s="25">
        <v>7.1349168535175811E-4</v>
      </c>
      <c r="S290" s="25">
        <v>1.3628460665594138E-3</v>
      </c>
      <c r="T290" s="25">
        <v>4.9596954339322177E-4</v>
      </c>
    </row>
    <row r="291" spans="1:20" x14ac:dyDescent="0.25">
      <c r="A291" s="17" t="s">
        <v>1254</v>
      </c>
      <c r="B291" s="116" t="s">
        <v>1255</v>
      </c>
      <c r="C291" s="116" t="s">
        <v>400</v>
      </c>
      <c r="D291" s="116" t="s">
        <v>251</v>
      </c>
      <c r="E291" s="116" t="s">
        <v>1256</v>
      </c>
      <c r="F291" s="116" t="s">
        <v>224</v>
      </c>
      <c r="G291" s="116" t="s">
        <v>681</v>
      </c>
      <c r="H291" s="116" t="s">
        <v>521</v>
      </c>
      <c r="I291" s="116" t="s">
        <v>1257</v>
      </c>
      <c r="J291" s="117">
        <v>2.17</v>
      </c>
      <c r="K291" s="117" t="s">
        <v>257</v>
      </c>
      <c r="L291" s="116">
        <v>5.0499999999999996E-2</v>
      </c>
      <c r="M291" s="116">
        <v>5.62E-2</v>
      </c>
      <c r="N291" s="70">
        <v>65743.868158805897</v>
      </c>
      <c r="O291" s="61">
        <v>100.04000000000002</v>
      </c>
      <c r="P291" s="85">
        <v>0</v>
      </c>
      <c r="Q291" s="85">
        <v>65.770165698107547</v>
      </c>
      <c r="R291" s="25">
        <v>3.0938290898261598E-4</v>
      </c>
      <c r="S291" s="25">
        <v>3.1373265976776733E-4</v>
      </c>
      <c r="T291" s="25">
        <v>1.141741887294628E-4</v>
      </c>
    </row>
    <row r="292" spans="1:20" x14ac:dyDescent="0.25">
      <c r="A292" s="17" t="s">
        <v>1395</v>
      </c>
      <c r="B292" s="116" t="s">
        <v>1396</v>
      </c>
      <c r="C292" s="116" t="s">
        <v>400</v>
      </c>
      <c r="D292" s="116" t="s">
        <v>251</v>
      </c>
      <c r="E292" s="116" t="s">
        <v>1256</v>
      </c>
      <c r="F292" s="116" t="s">
        <v>224</v>
      </c>
      <c r="G292" s="116" t="s">
        <v>681</v>
      </c>
      <c r="H292" s="116" t="s">
        <v>521</v>
      </c>
      <c r="I292" s="116" t="s">
        <v>1397</v>
      </c>
      <c r="J292" s="117">
        <v>0</v>
      </c>
      <c r="K292" s="117" t="s">
        <v>257</v>
      </c>
      <c r="L292" s="116">
        <v>3.5000000000000003E-2</v>
      </c>
      <c r="M292" s="116">
        <v>5.9699999999999996E-2</v>
      </c>
      <c r="N292" s="70">
        <v>200883.54227637238</v>
      </c>
      <c r="O292" s="61">
        <v>97.526300000000006</v>
      </c>
      <c r="P292" s="85">
        <v>0</v>
      </c>
      <c r="Q292" s="85">
        <v>195.91438144400706</v>
      </c>
      <c r="R292" s="25">
        <v>6.9853099059869383E-4</v>
      </c>
      <c r="S292" s="25">
        <v>9.3453831725641857E-4</v>
      </c>
      <c r="T292" s="25">
        <v>3.4009896925723648E-4</v>
      </c>
    </row>
    <row r="293" spans="1:20" x14ac:dyDescent="0.25">
      <c r="A293" s="17" t="s">
        <v>1374</v>
      </c>
      <c r="B293" s="116" t="s">
        <v>1375</v>
      </c>
      <c r="C293" s="116" t="s">
        <v>400</v>
      </c>
      <c r="D293" s="116" t="s">
        <v>251</v>
      </c>
      <c r="E293" s="116" t="s">
        <v>1376</v>
      </c>
      <c r="F293" s="116" t="s">
        <v>226</v>
      </c>
      <c r="G293" s="116" t="s">
        <v>566</v>
      </c>
      <c r="H293" s="116" t="s">
        <v>521</v>
      </c>
      <c r="I293" s="116" t="s">
        <v>1377</v>
      </c>
      <c r="J293" s="117">
        <v>3.37</v>
      </c>
      <c r="K293" s="117" t="s">
        <v>257</v>
      </c>
      <c r="L293" s="116">
        <v>4.6600000000000003E-2</v>
      </c>
      <c r="M293" s="116">
        <v>6.1500000000000006E-2</v>
      </c>
      <c r="N293" s="70">
        <v>362197.8073177404</v>
      </c>
      <c r="O293" s="61">
        <v>95.06</v>
      </c>
      <c r="P293" s="85">
        <v>0</v>
      </c>
      <c r="Q293" s="85">
        <v>344.30523560042934</v>
      </c>
      <c r="R293" s="25">
        <v>5.1742543902534338E-4</v>
      </c>
      <c r="S293" s="25">
        <v>1.6423829283434296E-3</v>
      </c>
      <c r="T293" s="25">
        <v>5.9769913201110716E-4</v>
      </c>
    </row>
    <row r="294" spans="1:20" x14ac:dyDescent="0.25">
      <c r="A294" s="17" t="s">
        <v>1112</v>
      </c>
      <c r="B294" s="116" t="s">
        <v>1113</v>
      </c>
      <c r="C294" s="116" t="s">
        <v>400</v>
      </c>
      <c r="D294" s="116" t="s">
        <v>251</v>
      </c>
      <c r="E294" s="116" t="s">
        <v>553</v>
      </c>
      <c r="F294" s="116" t="s">
        <v>226</v>
      </c>
      <c r="G294" s="116" t="s">
        <v>516</v>
      </c>
      <c r="H294" s="116" t="s">
        <v>256</v>
      </c>
      <c r="I294" s="116" t="s">
        <v>1114</v>
      </c>
      <c r="J294" s="117">
        <v>1.33</v>
      </c>
      <c r="K294" s="117" t="s">
        <v>257</v>
      </c>
      <c r="L294" s="116">
        <v>4.2000000000000003E-2</v>
      </c>
      <c r="M294" s="116">
        <v>5.4699999999999999E-2</v>
      </c>
      <c r="N294" s="70">
        <v>64340.975133707092</v>
      </c>
      <c r="O294" s="61">
        <v>99.02</v>
      </c>
      <c r="P294" s="85">
        <v>0</v>
      </c>
      <c r="Q294" s="85">
        <v>63.710433535149228</v>
      </c>
      <c r="R294" s="25">
        <v>2.6651672449409434E-4</v>
      </c>
      <c r="S294" s="25">
        <v>3.0390745645506338E-4</v>
      </c>
      <c r="T294" s="25">
        <v>1.1059858197509949E-4</v>
      </c>
    </row>
    <row r="295" spans="1:20" x14ac:dyDescent="0.25">
      <c r="A295" s="17" t="s">
        <v>1426</v>
      </c>
      <c r="B295" s="116" t="s">
        <v>1427</v>
      </c>
      <c r="C295" s="116" t="s">
        <v>400</v>
      </c>
      <c r="D295" s="116" t="s">
        <v>251</v>
      </c>
      <c r="E295" s="116" t="s">
        <v>553</v>
      </c>
      <c r="F295" s="116" t="s">
        <v>226</v>
      </c>
      <c r="G295" s="116" t="s">
        <v>516</v>
      </c>
      <c r="H295" s="116" t="s">
        <v>256</v>
      </c>
      <c r="I295" s="116" t="s">
        <v>1428</v>
      </c>
      <c r="J295" s="117">
        <v>2.5099999999999998</v>
      </c>
      <c r="K295" s="117" t="s">
        <v>257</v>
      </c>
      <c r="L295" s="116">
        <v>4.2999999999999997E-2</v>
      </c>
      <c r="M295" s="116">
        <v>6.0700000000000004E-2</v>
      </c>
      <c r="N295" s="70">
        <v>509041.39243129757</v>
      </c>
      <c r="O295" s="61">
        <v>97.81</v>
      </c>
      <c r="P295" s="85">
        <v>0</v>
      </c>
      <c r="Q295" s="85">
        <v>497.89338588717334</v>
      </c>
      <c r="R295" s="25">
        <v>4.2032830127728527E-4</v>
      </c>
      <c r="S295" s="25">
        <v>2.3750193507518689E-3</v>
      </c>
      <c r="T295" s="25">
        <v>8.64321578090065E-4</v>
      </c>
    </row>
    <row r="296" spans="1:20" x14ac:dyDescent="0.25">
      <c r="A296" s="17" t="s">
        <v>1413</v>
      </c>
      <c r="B296" s="116" t="s">
        <v>1414</v>
      </c>
      <c r="C296" s="116" t="s">
        <v>400</v>
      </c>
      <c r="D296" s="116" t="s">
        <v>251</v>
      </c>
      <c r="E296" s="116" t="s">
        <v>1415</v>
      </c>
      <c r="F296" s="116" t="s">
        <v>215</v>
      </c>
      <c r="G296" s="116" t="s">
        <v>1284</v>
      </c>
      <c r="H296" s="116" t="s">
        <v>521</v>
      </c>
      <c r="I296" s="116" t="s">
        <v>448</v>
      </c>
      <c r="J296" s="117">
        <v>3.66</v>
      </c>
      <c r="K296" s="117" t="s">
        <v>257</v>
      </c>
      <c r="L296" s="116">
        <v>6.7599999999999993E-2</v>
      </c>
      <c r="M296" s="116">
        <v>6.5599999999999992E-2</v>
      </c>
      <c r="N296" s="70">
        <v>266478.68045586342</v>
      </c>
      <c r="O296" s="61">
        <v>103.71</v>
      </c>
      <c r="P296" s="85">
        <v>0</v>
      </c>
      <c r="Q296" s="85">
        <v>276.36503944636519</v>
      </c>
      <c r="R296" s="25">
        <v>1.5227353168906482E-4</v>
      </c>
      <c r="S296" s="25">
        <v>1.318298927363458E-3</v>
      </c>
      <c r="T296" s="25">
        <v>4.7975786341804288E-4</v>
      </c>
    </row>
    <row r="297" spans="1:20" x14ac:dyDescent="0.25">
      <c r="A297" s="17" t="s">
        <v>1311</v>
      </c>
      <c r="B297" s="116" t="s">
        <v>1312</v>
      </c>
      <c r="C297" s="116" t="s">
        <v>400</v>
      </c>
      <c r="D297" s="116" t="s">
        <v>251</v>
      </c>
      <c r="E297" s="116" t="s">
        <v>1313</v>
      </c>
      <c r="F297" s="116" t="s">
        <v>234</v>
      </c>
      <c r="G297" s="116" t="s">
        <v>681</v>
      </c>
      <c r="H297" s="116" t="s">
        <v>521</v>
      </c>
      <c r="I297" s="116" t="s">
        <v>1314</v>
      </c>
      <c r="J297" s="117">
        <v>0.51</v>
      </c>
      <c r="K297" s="117" t="s">
        <v>257</v>
      </c>
      <c r="L297" s="116">
        <v>0.02</v>
      </c>
      <c r="M297" s="116">
        <v>7.6100000000000001E-2</v>
      </c>
      <c r="N297" s="70">
        <v>174904.36809238148</v>
      </c>
      <c r="O297" s="61">
        <v>97.3</v>
      </c>
      <c r="P297" s="85">
        <v>44.600613916300006</v>
      </c>
      <c r="Q297" s="85">
        <v>172.2370764650945</v>
      </c>
      <c r="R297" s="25">
        <v>7.883859669124949E-4</v>
      </c>
      <c r="S297" s="25">
        <v>8.2159434352121813E-4</v>
      </c>
      <c r="T297" s="25">
        <v>2.9899618262786969E-4</v>
      </c>
    </row>
    <row r="298" spans="1:20" x14ac:dyDescent="0.25">
      <c r="A298" s="17" t="s">
        <v>1297</v>
      </c>
      <c r="B298" s="116" t="s">
        <v>1298</v>
      </c>
      <c r="C298" s="116" t="s">
        <v>400</v>
      </c>
      <c r="D298" s="116" t="s">
        <v>251</v>
      </c>
      <c r="E298" s="116" t="s">
        <v>1299</v>
      </c>
      <c r="F298" s="116" t="s">
        <v>226</v>
      </c>
      <c r="G298" s="116" t="s">
        <v>566</v>
      </c>
      <c r="H298" s="116" t="s">
        <v>521</v>
      </c>
      <c r="I298" s="116" t="s">
        <v>1300</v>
      </c>
      <c r="J298" s="117">
        <v>3.42</v>
      </c>
      <c r="K298" s="117" t="s">
        <v>257</v>
      </c>
      <c r="L298" s="116">
        <v>2.5000000000000001E-2</v>
      </c>
      <c r="M298" s="116">
        <v>6.3500000000000001E-2</v>
      </c>
      <c r="N298" s="70">
        <v>202331.51914898428</v>
      </c>
      <c r="O298" s="61">
        <v>88.04</v>
      </c>
      <c r="P298" s="85">
        <v>0</v>
      </c>
      <c r="Q298" s="85">
        <v>178.13266941460353</v>
      </c>
      <c r="R298" s="25">
        <v>9.5939139180639666E-4</v>
      </c>
      <c r="S298" s="25">
        <v>8.4971712590020166E-4</v>
      </c>
      <c r="T298" s="25">
        <v>3.0923067930192479E-4</v>
      </c>
    </row>
    <row r="299" spans="1:20" x14ac:dyDescent="0.25">
      <c r="A299" s="17" t="s">
        <v>1205</v>
      </c>
      <c r="B299" s="116" t="s">
        <v>1206</v>
      </c>
      <c r="C299" s="116" t="s">
        <v>400</v>
      </c>
      <c r="D299" s="116" t="s">
        <v>251</v>
      </c>
      <c r="E299" s="116" t="s">
        <v>1207</v>
      </c>
      <c r="F299" s="116" t="s">
        <v>203</v>
      </c>
      <c r="G299" s="116" t="s">
        <v>528</v>
      </c>
      <c r="H299" s="116" t="s">
        <v>256</v>
      </c>
      <c r="I299" s="116" t="s">
        <v>1208</v>
      </c>
      <c r="J299" s="117">
        <v>2.2999999999999998</v>
      </c>
      <c r="K299" s="117" t="s">
        <v>257</v>
      </c>
      <c r="L299" s="116">
        <v>2.4E-2</v>
      </c>
      <c r="M299" s="116">
        <v>5.8099999999999999E-2</v>
      </c>
      <c r="N299" s="70">
        <v>304503.83131617995</v>
      </c>
      <c r="O299" s="61">
        <v>93.13</v>
      </c>
      <c r="P299" s="85">
        <v>0</v>
      </c>
      <c r="Q299" s="85">
        <v>283.58441805281331</v>
      </c>
      <c r="R299" s="25">
        <v>3.0417662456683729E-4</v>
      </c>
      <c r="S299" s="25">
        <v>1.3527363478569366E-3</v>
      </c>
      <c r="T299" s="25">
        <v>4.9229039525482631E-4</v>
      </c>
    </row>
    <row r="300" spans="1:20" x14ac:dyDescent="0.25">
      <c r="A300" s="17" t="s">
        <v>1304</v>
      </c>
      <c r="B300" s="116" t="s">
        <v>1305</v>
      </c>
      <c r="C300" s="116" t="s">
        <v>400</v>
      </c>
      <c r="D300" s="116" t="s">
        <v>251</v>
      </c>
      <c r="E300" s="116" t="s">
        <v>1207</v>
      </c>
      <c r="F300" s="116" t="s">
        <v>203</v>
      </c>
      <c r="G300" s="116" t="s">
        <v>528</v>
      </c>
      <c r="H300" s="116" t="s">
        <v>256</v>
      </c>
      <c r="I300" s="116" t="s">
        <v>1264</v>
      </c>
      <c r="J300" s="117">
        <v>2.59</v>
      </c>
      <c r="K300" s="117" t="s">
        <v>257</v>
      </c>
      <c r="L300" s="116">
        <v>2.1499999999999998E-2</v>
      </c>
      <c r="M300" s="116">
        <v>5.8299999999999998E-2</v>
      </c>
      <c r="N300" s="70">
        <v>236159.6022557517</v>
      </c>
      <c r="O300" s="61">
        <v>91.16</v>
      </c>
      <c r="P300" s="85">
        <v>11.989252442</v>
      </c>
      <c r="Q300" s="85">
        <v>217.50008988162972</v>
      </c>
      <c r="R300" s="25">
        <v>2.5888559230907986E-4</v>
      </c>
      <c r="S300" s="25">
        <v>1.0375050902487778E-3</v>
      </c>
      <c r="T300" s="25">
        <v>3.7757083393716989E-4</v>
      </c>
    </row>
    <row r="301" spans="1:20" x14ac:dyDescent="0.25">
      <c r="A301" s="17" t="s">
        <v>1434</v>
      </c>
      <c r="B301" s="116" t="s">
        <v>1435</v>
      </c>
      <c r="C301" s="116" t="s">
        <v>400</v>
      </c>
      <c r="D301" s="116" t="s">
        <v>251</v>
      </c>
      <c r="E301" s="116" t="s">
        <v>1207</v>
      </c>
      <c r="F301" s="116" t="s">
        <v>203</v>
      </c>
      <c r="G301" s="116" t="s">
        <v>528</v>
      </c>
      <c r="H301" s="116" t="s">
        <v>256</v>
      </c>
      <c r="I301" s="116" t="s">
        <v>1436</v>
      </c>
      <c r="J301" s="117">
        <v>1.6</v>
      </c>
      <c r="K301" s="117" t="s">
        <v>257</v>
      </c>
      <c r="L301" s="116">
        <v>0.03</v>
      </c>
      <c r="M301" s="116">
        <v>5.5899999999999998E-2</v>
      </c>
      <c r="N301" s="70">
        <v>12313.846350245642</v>
      </c>
      <c r="O301" s="61">
        <v>96.59</v>
      </c>
      <c r="P301" s="85">
        <v>0</v>
      </c>
      <c r="Q301" s="85">
        <v>11.893944171443673</v>
      </c>
      <c r="R301" s="25">
        <v>3.9117868510971832E-5</v>
      </c>
      <c r="S301" s="25">
        <v>5.6735735731067593E-5</v>
      </c>
      <c r="T301" s="25">
        <v>2.0647377304800952E-5</v>
      </c>
    </row>
    <row r="302" spans="1:20" x14ac:dyDescent="0.25">
      <c r="A302" s="17" t="s">
        <v>1419</v>
      </c>
      <c r="B302" s="116" t="s">
        <v>1420</v>
      </c>
      <c r="C302" s="116" t="s">
        <v>400</v>
      </c>
      <c r="D302" s="116" t="s">
        <v>251</v>
      </c>
      <c r="E302" s="116" t="s">
        <v>1421</v>
      </c>
      <c r="F302" s="116" t="s">
        <v>226</v>
      </c>
      <c r="G302" s="116" t="s">
        <v>516</v>
      </c>
      <c r="H302" s="116" t="s">
        <v>256</v>
      </c>
      <c r="I302" s="116" t="s">
        <v>1422</v>
      </c>
      <c r="J302" s="117">
        <v>3.92</v>
      </c>
      <c r="K302" s="117" t="s">
        <v>257</v>
      </c>
      <c r="L302" s="116">
        <v>5.3399999999999996E-2</v>
      </c>
      <c r="M302" s="116">
        <v>6.0999999999999999E-2</v>
      </c>
      <c r="N302" s="70">
        <v>185237.59150743627</v>
      </c>
      <c r="O302" s="61">
        <v>97.88</v>
      </c>
      <c r="P302" s="85">
        <v>0</v>
      </c>
      <c r="Q302" s="85">
        <v>181.31055456747862</v>
      </c>
      <c r="R302" s="25">
        <v>4.6309397876859068E-4</v>
      </c>
      <c r="S302" s="25">
        <v>8.648760714626072E-4</v>
      </c>
      <c r="T302" s="25">
        <v>3.1474735172252289E-4</v>
      </c>
    </row>
    <row r="303" spans="1:20" x14ac:dyDescent="0.25">
      <c r="A303" s="17" t="s">
        <v>1171</v>
      </c>
      <c r="B303" s="116" t="s">
        <v>1172</v>
      </c>
      <c r="C303" s="116" t="s">
        <v>400</v>
      </c>
      <c r="D303" s="116" t="s">
        <v>251</v>
      </c>
      <c r="E303" s="116" t="s">
        <v>651</v>
      </c>
      <c r="F303" s="116" t="s">
        <v>204</v>
      </c>
      <c r="G303" s="116" t="s">
        <v>545</v>
      </c>
      <c r="H303" s="116" t="s">
        <v>256</v>
      </c>
      <c r="I303" s="116" t="s">
        <v>458</v>
      </c>
      <c r="J303" s="117">
        <v>1.54</v>
      </c>
      <c r="K303" s="117" t="s">
        <v>257</v>
      </c>
      <c r="L303" s="116">
        <v>2.7000000000000003E-2</v>
      </c>
      <c r="M303" s="116">
        <v>5.0499999999999996E-2</v>
      </c>
      <c r="N303" s="70">
        <v>74467.837879753279</v>
      </c>
      <c r="O303" s="61">
        <v>96.65</v>
      </c>
      <c r="P303" s="85">
        <v>0</v>
      </c>
      <c r="Q303" s="85">
        <v>71.973165303584167</v>
      </c>
      <c r="R303" s="25">
        <v>3.9680448752042844E-4</v>
      </c>
      <c r="S303" s="25">
        <v>3.433218138182122E-4</v>
      </c>
      <c r="T303" s="25">
        <v>1.2494233018276688E-4</v>
      </c>
    </row>
    <row r="304" spans="1:20" x14ac:dyDescent="0.25">
      <c r="A304" s="17" t="s">
        <v>1409</v>
      </c>
      <c r="B304" s="116" t="s">
        <v>1410</v>
      </c>
      <c r="C304" s="116" t="s">
        <v>400</v>
      </c>
      <c r="D304" s="116" t="s">
        <v>251</v>
      </c>
      <c r="E304" s="116" t="s">
        <v>651</v>
      </c>
      <c r="F304" s="116" t="s">
        <v>204</v>
      </c>
      <c r="G304" s="116" t="s">
        <v>545</v>
      </c>
      <c r="H304" s="116" t="s">
        <v>256</v>
      </c>
      <c r="I304" s="116" t="s">
        <v>1014</v>
      </c>
      <c r="J304" s="117">
        <v>3.82</v>
      </c>
      <c r="K304" s="117" t="s">
        <v>257</v>
      </c>
      <c r="L304" s="116">
        <v>4.5599999999999995E-2</v>
      </c>
      <c r="M304" s="116">
        <v>5.2600000000000001E-2</v>
      </c>
      <c r="N304" s="70">
        <v>32524.008740696048</v>
      </c>
      <c r="O304" s="61">
        <v>97.85</v>
      </c>
      <c r="P304" s="85">
        <v>0</v>
      </c>
      <c r="Q304" s="85">
        <v>31.824742514890186</v>
      </c>
      <c r="R304" s="25">
        <v>1.158066105065147E-4</v>
      </c>
      <c r="S304" s="25">
        <v>1.5180836188630938E-4</v>
      </c>
      <c r="T304" s="25">
        <v>5.5246388991022139E-5</v>
      </c>
    </row>
    <row r="305" spans="1:20" x14ac:dyDescent="0.25">
      <c r="A305" s="17" t="s">
        <v>1157</v>
      </c>
      <c r="B305" s="116" t="s">
        <v>1158</v>
      </c>
      <c r="C305" s="116" t="s">
        <v>400</v>
      </c>
      <c r="D305" s="116" t="s">
        <v>251</v>
      </c>
      <c r="E305" s="116" t="s">
        <v>544</v>
      </c>
      <c r="F305" s="116" t="s">
        <v>235</v>
      </c>
      <c r="G305" s="116" t="s">
        <v>545</v>
      </c>
      <c r="H305" s="116" t="s">
        <v>256</v>
      </c>
      <c r="I305" s="116" t="s">
        <v>1159</v>
      </c>
      <c r="J305" s="117">
        <v>2.93</v>
      </c>
      <c r="K305" s="117" t="s">
        <v>257</v>
      </c>
      <c r="L305" s="116">
        <v>5.0900000000000001E-2</v>
      </c>
      <c r="M305" s="116">
        <v>4.6699999999999998E-2</v>
      </c>
      <c r="N305" s="70">
        <v>253280.57127969051</v>
      </c>
      <c r="O305" s="61">
        <v>104.88</v>
      </c>
      <c r="P305" s="85">
        <v>0</v>
      </c>
      <c r="Q305" s="85">
        <v>265.64066311240686</v>
      </c>
      <c r="R305" s="25">
        <v>3.5046343867149612E-4</v>
      </c>
      <c r="S305" s="25">
        <v>1.2671421897166794E-3</v>
      </c>
      <c r="T305" s="25">
        <v>4.6114080575120509E-4</v>
      </c>
    </row>
    <row r="306" spans="1:20" x14ac:dyDescent="0.25">
      <c r="A306" s="17" t="s">
        <v>1246</v>
      </c>
      <c r="B306" s="116" t="s">
        <v>1247</v>
      </c>
      <c r="C306" s="116" t="s">
        <v>400</v>
      </c>
      <c r="D306" s="116" t="s">
        <v>251</v>
      </c>
      <c r="E306" s="116" t="s">
        <v>1248</v>
      </c>
      <c r="F306" s="116" t="s">
        <v>208</v>
      </c>
      <c r="G306" s="116" t="s">
        <v>599</v>
      </c>
      <c r="H306" s="116" t="s">
        <v>521</v>
      </c>
      <c r="I306" s="116" t="s">
        <v>1249</v>
      </c>
      <c r="J306" s="117">
        <v>7</v>
      </c>
      <c r="K306" s="117" t="s">
        <v>257</v>
      </c>
      <c r="L306" s="116">
        <v>1.9E-2</v>
      </c>
      <c r="M306" s="116">
        <v>4.8099999999999997E-2</v>
      </c>
      <c r="N306" s="70">
        <v>602945.4263089645</v>
      </c>
      <c r="O306" s="61">
        <v>81.67</v>
      </c>
      <c r="P306" s="85">
        <v>0</v>
      </c>
      <c r="Q306" s="85">
        <v>492.4255296438028</v>
      </c>
      <c r="R306" s="25">
        <v>5.608794663339205E-4</v>
      </c>
      <c r="S306" s="25">
        <v>2.3489369307936386E-3</v>
      </c>
      <c r="T306" s="25">
        <v>8.5482961400498562E-4</v>
      </c>
    </row>
    <row r="307" spans="1:20" x14ac:dyDescent="0.25">
      <c r="A307" s="17" t="s">
        <v>1308</v>
      </c>
      <c r="B307" s="116" t="s">
        <v>1309</v>
      </c>
      <c r="C307" s="116" t="s">
        <v>400</v>
      </c>
      <c r="D307" s="116" t="s">
        <v>251</v>
      </c>
      <c r="E307" s="116" t="s">
        <v>540</v>
      </c>
      <c r="F307" s="116" t="s">
        <v>226</v>
      </c>
      <c r="G307" s="116" t="s">
        <v>516</v>
      </c>
      <c r="H307" s="116" t="s">
        <v>256</v>
      </c>
      <c r="I307" s="116" t="s">
        <v>1310</v>
      </c>
      <c r="J307" s="117">
        <v>4.3899999999999997</v>
      </c>
      <c r="K307" s="117" t="s">
        <v>257</v>
      </c>
      <c r="L307" s="116">
        <v>2.7999999999999997E-2</v>
      </c>
      <c r="M307" s="116">
        <v>7.5800000000000006E-2</v>
      </c>
      <c r="N307" s="70">
        <v>22018.278884102132</v>
      </c>
      <c r="O307" s="61">
        <v>82.1</v>
      </c>
      <c r="P307" s="85">
        <v>0</v>
      </c>
      <c r="Q307" s="85">
        <v>18.077006922523235</v>
      </c>
      <c r="R307" s="25">
        <v>2.8270642435859185E-5</v>
      </c>
      <c r="S307" s="25">
        <v>8.6229788267155641E-5</v>
      </c>
      <c r="T307" s="25">
        <v>3.1380909233369321E-5</v>
      </c>
    </row>
    <row r="308" spans="1:20" x14ac:dyDescent="0.25">
      <c r="A308" s="17" t="s">
        <v>1163</v>
      </c>
      <c r="B308" s="116" t="s">
        <v>1164</v>
      </c>
      <c r="C308" s="116" t="s">
        <v>400</v>
      </c>
      <c r="D308" s="116" t="s">
        <v>251</v>
      </c>
      <c r="E308" s="116" t="s">
        <v>1165</v>
      </c>
      <c r="F308" s="116" t="s">
        <v>210</v>
      </c>
      <c r="G308" s="116" t="s">
        <v>623</v>
      </c>
      <c r="H308" s="116" t="s">
        <v>256</v>
      </c>
      <c r="I308" s="116" t="s">
        <v>1166</v>
      </c>
      <c r="J308" s="117">
        <v>1.21</v>
      </c>
      <c r="K308" s="117" t="s">
        <v>257</v>
      </c>
      <c r="L308" s="116">
        <v>3.3500000000000002E-2</v>
      </c>
      <c r="M308" s="116">
        <v>5.0700000000000002E-2</v>
      </c>
      <c r="N308" s="70">
        <v>152334.86745528216</v>
      </c>
      <c r="O308" s="61">
        <v>98.83</v>
      </c>
      <c r="P308" s="85">
        <v>0</v>
      </c>
      <c r="Q308" s="85">
        <v>150.55254943731876</v>
      </c>
      <c r="R308" s="25">
        <v>7.3894584109598059E-4</v>
      </c>
      <c r="S308" s="25">
        <v>7.1815619237747133E-4</v>
      </c>
      <c r="T308" s="25">
        <v>2.6135277311081502E-4</v>
      </c>
    </row>
    <row r="309" spans="1:20" x14ac:dyDescent="0.25">
      <c r="A309" s="17" t="s">
        <v>1196</v>
      </c>
      <c r="B309" s="116" t="s">
        <v>1197</v>
      </c>
      <c r="C309" s="116" t="s">
        <v>400</v>
      </c>
      <c r="D309" s="116" t="s">
        <v>251</v>
      </c>
      <c r="E309" s="116" t="s">
        <v>1165</v>
      </c>
      <c r="F309" s="116" t="s">
        <v>210</v>
      </c>
      <c r="G309" s="116" t="s">
        <v>623</v>
      </c>
      <c r="H309" s="116" t="s">
        <v>256</v>
      </c>
      <c r="I309" s="116" t="s">
        <v>1198</v>
      </c>
      <c r="J309" s="117">
        <v>3.71</v>
      </c>
      <c r="K309" s="117" t="s">
        <v>257</v>
      </c>
      <c r="L309" s="116">
        <v>2.6200000000000001E-2</v>
      </c>
      <c r="M309" s="116">
        <v>5.2000000000000005E-2</v>
      </c>
      <c r="N309" s="70">
        <v>443663.85073955118</v>
      </c>
      <c r="O309" s="61">
        <v>91.080000000000013</v>
      </c>
      <c r="P309" s="85">
        <v>60.937894029000006</v>
      </c>
      <c r="Q309" s="85">
        <v>414.81826171477343</v>
      </c>
      <c r="R309" s="25">
        <v>8.8613439922400011E-4</v>
      </c>
      <c r="S309" s="25">
        <v>1.9787396791028965E-3</v>
      </c>
      <c r="T309" s="25">
        <v>7.2010672314321087E-4</v>
      </c>
    </row>
    <row r="310" spans="1:20" x14ac:dyDescent="0.25">
      <c r="A310" s="17" t="s">
        <v>1318</v>
      </c>
      <c r="B310" s="116" t="s">
        <v>1319</v>
      </c>
      <c r="C310" s="116" t="s">
        <v>400</v>
      </c>
      <c r="D310" s="116" t="s">
        <v>251</v>
      </c>
      <c r="E310" s="116" t="s">
        <v>1165</v>
      </c>
      <c r="F310" s="116" t="s">
        <v>210</v>
      </c>
      <c r="G310" s="116" t="s">
        <v>623</v>
      </c>
      <c r="H310" s="116" t="s">
        <v>256</v>
      </c>
      <c r="I310" s="116" t="s">
        <v>1320</v>
      </c>
      <c r="J310" s="117">
        <v>6.14</v>
      </c>
      <c r="K310" s="117" t="s">
        <v>257</v>
      </c>
      <c r="L310" s="116">
        <v>2.3399999999999997E-2</v>
      </c>
      <c r="M310" s="116">
        <v>5.4100000000000002E-2</v>
      </c>
      <c r="N310" s="70">
        <v>293216.71130639646</v>
      </c>
      <c r="O310" s="61">
        <v>82.97</v>
      </c>
      <c r="P310" s="85">
        <v>0</v>
      </c>
      <c r="Q310" s="85">
        <v>243.28190534435231</v>
      </c>
      <c r="R310" s="25">
        <v>4.468064172287946E-4</v>
      </c>
      <c r="S310" s="25">
        <v>1.1604878659937756E-3</v>
      </c>
      <c r="T310" s="25">
        <v>4.223269605666908E-4</v>
      </c>
    </row>
    <row r="311" spans="1:20" s="118" customFormat="1" x14ac:dyDescent="0.25">
      <c r="A311" s="93" t="s">
        <v>508</v>
      </c>
      <c r="B311" s="130" t="s">
        <v>251</v>
      </c>
      <c r="C311" s="130" t="s">
        <v>251</v>
      </c>
      <c r="D311" s="130" t="s">
        <v>251</v>
      </c>
      <c r="E311" s="130" t="s">
        <v>251</v>
      </c>
      <c r="F311" s="130" t="s">
        <v>251</v>
      </c>
      <c r="G311" s="130" t="s">
        <v>251</v>
      </c>
      <c r="H311" s="130" t="s">
        <v>251</v>
      </c>
      <c r="I311" s="130" t="s">
        <v>251</v>
      </c>
      <c r="J311" s="131" t="s">
        <v>251</v>
      </c>
      <c r="K311" s="131" t="s">
        <v>251</v>
      </c>
      <c r="L311" s="130" t="s">
        <v>251</v>
      </c>
      <c r="M311" s="130" t="s">
        <v>251</v>
      </c>
      <c r="N311" s="134" t="s">
        <v>251</v>
      </c>
      <c r="O311" s="135" t="s">
        <v>251</v>
      </c>
      <c r="P311" s="123" t="s">
        <v>251</v>
      </c>
      <c r="Q311" s="123">
        <v>1114.9977059162961</v>
      </c>
      <c r="R311" s="136"/>
      <c r="S311" s="136">
        <v>5.3186911147183533E-3</v>
      </c>
      <c r="T311" s="136">
        <v>1.935588228446082E-3</v>
      </c>
    </row>
    <row r="312" spans="1:20" x14ac:dyDescent="0.25">
      <c r="A312" s="17" t="s">
        <v>1465</v>
      </c>
      <c r="B312" s="116" t="s">
        <v>1466</v>
      </c>
      <c r="C312" s="116" t="s">
        <v>400</v>
      </c>
      <c r="D312" s="116" t="s">
        <v>251</v>
      </c>
      <c r="E312" s="116" t="s">
        <v>1271</v>
      </c>
      <c r="F312" s="116" t="s">
        <v>215</v>
      </c>
      <c r="G312" s="116" t="s">
        <v>545</v>
      </c>
      <c r="H312" s="116" t="s">
        <v>256</v>
      </c>
      <c r="I312" s="116" t="s">
        <v>1467</v>
      </c>
      <c r="J312" s="117">
        <v>1.23</v>
      </c>
      <c r="K312" s="117" t="s">
        <v>257</v>
      </c>
      <c r="L312" s="116">
        <v>3.49E-2</v>
      </c>
      <c r="M312" s="116">
        <v>6.7000000000000004E-2</v>
      </c>
      <c r="N312" s="70">
        <v>418126.50653988693</v>
      </c>
      <c r="O312" s="61">
        <v>99.45</v>
      </c>
      <c r="P312" s="85">
        <v>0</v>
      </c>
      <c r="Q312" s="85">
        <v>415.82681073411618</v>
      </c>
      <c r="R312" s="25">
        <v>4.9802246285273149E-4</v>
      </c>
      <c r="S312" s="25">
        <v>1.9835505954657493E-3</v>
      </c>
      <c r="T312" s="25">
        <v>7.2185752101417723E-4</v>
      </c>
    </row>
    <row r="313" spans="1:20" x14ac:dyDescent="0.25">
      <c r="A313" s="17" t="s">
        <v>3010</v>
      </c>
      <c r="B313" s="116" t="s">
        <v>1468</v>
      </c>
      <c r="C313" s="116" t="s">
        <v>400</v>
      </c>
      <c r="D313" s="116" t="s">
        <v>251</v>
      </c>
      <c r="E313" s="116" t="s">
        <v>1469</v>
      </c>
      <c r="F313" s="116" t="s">
        <v>224</v>
      </c>
      <c r="G313" s="116" t="s">
        <v>591</v>
      </c>
      <c r="H313" s="116" t="s">
        <v>521</v>
      </c>
      <c r="I313" s="116" t="s">
        <v>1470</v>
      </c>
      <c r="J313" s="117">
        <v>3.65</v>
      </c>
      <c r="K313" s="117" t="s">
        <v>257</v>
      </c>
      <c r="L313" s="116">
        <v>4.2999999999999997E-2</v>
      </c>
      <c r="M313" s="116">
        <v>8.8499999999999995E-2</v>
      </c>
      <c r="N313" s="70">
        <v>373762.8253837729</v>
      </c>
      <c r="O313" s="61">
        <v>84.45</v>
      </c>
      <c r="P313" s="85">
        <v>0</v>
      </c>
      <c r="Q313" s="85">
        <v>315.64270601552067</v>
      </c>
      <c r="R313" s="25">
        <v>3.1064919514621226E-4</v>
      </c>
      <c r="S313" s="25">
        <v>1.5056587533790284E-3</v>
      </c>
      <c r="T313" s="25">
        <v>5.4794220913345442E-4</v>
      </c>
    </row>
    <row r="314" spans="1:20" x14ac:dyDescent="0.25">
      <c r="A314" s="17" t="s">
        <v>1471</v>
      </c>
      <c r="B314" s="116" t="s">
        <v>1472</v>
      </c>
      <c r="C314" s="116" t="s">
        <v>400</v>
      </c>
      <c r="D314" s="116" t="s">
        <v>251</v>
      </c>
      <c r="E314" s="116" t="s">
        <v>1473</v>
      </c>
      <c r="F314" s="116" t="s">
        <v>215</v>
      </c>
      <c r="G314" s="116" t="s">
        <v>499</v>
      </c>
      <c r="H314" s="116" t="s">
        <v>499</v>
      </c>
      <c r="I314" s="116" t="s">
        <v>804</v>
      </c>
      <c r="J314" s="117">
        <v>0.17</v>
      </c>
      <c r="K314" s="117" t="s">
        <v>257</v>
      </c>
      <c r="L314" s="116">
        <v>0.1</v>
      </c>
      <c r="M314" s="116">
        <v>6.4600000000000005E-2</v>
      </c>
      <c r="N314" s="70">
        <v>62453.615864903644</v>
      </c>
      <c r="O314" s="61">
        <v>115.06</v>
      </c>
      <c r="P314" s="85">
        <v>0</v>
      </c>
      <c r="Q314" s="85">
        <v>71.859130369927016</v>
      </c>
      <c r="R314" s="25">
        <v>2.9553313715093119E-4</v>
      </c>
      <c r="S314" s="25">
        <v>3.4277785163318569E-4</v>
      </c>
      <c r="T314" s="25">
        <v>1.2474437042549812E-4</v>
      </c>
    </row>
    <row r="315" spans="1:20" x14ac:dyDescent="0.25">
      <c r="A315" s="17" t="s">
        <v>1474</v>
      </c>
      <c r="B315" s="116" t="s">
        <v>1475</v>
      </c>
      <c r="C315" s="116" t="s">
        <v>400</v>
      </c>
      <c r="D315" s="116" t="s">
        <v>251</v>
      </c>
      <c r="E315" s="116" t="s">
        <v>1473</v>
      </c>
      <c r="F315" s="116" t="s">
        <v>215</v>
      </c>
      <c r="G315" s="116" t="s">
        <v>499</v>
      </c>
      <c r="H315" s="116" t="s">
        <v>499</v>
      </c>
      <c r="I315" s="116" t="s">
        <v>1476</v>
      </c>
      <c r="J315" s="117">
        <v>3.15</v>
      </c>
      <c r="K315" s="117" t="s">
        <v>257</v>
      </c>
      <c r="L315" s="116">
        <v>5.7000000000000002E-2</v>
      </c>
      <c r="M315" s="116">
        <v>8.1900000000000001E-2</v>
      </c>
      <c r="N315" s="70">
        <v>292592.05660602002</v>
      </c>
      <c r="O315" s="61">
        <v>106.52</v>
      </c>
      <c r="P315" s="85">
        <v>0</v>
      </c>
      <c r="Q315" s="85">
        <v>311.66905869673252</v>
      </c>
      <c r="R315" s="25">
        <v>9.7530685535340009E-4</v>
      </c>
      <c r="S315" s="25">
        <v>1.4867039137633766E-3</v>
      </c>
      <c r="T315" s="25">
        <v>5.410441276993568E-4</v>
      </c>
    </row>
    <row r="316" spans="1:20" s="118" customFormat="1" x14ac:dyDescent="0.25">
      <c r="A316" s="93" t="s">
        <v>1477</v>
      </c>
      <c r="B316" s="130" t="s">
        <v>251</v>
      </c>
      <c r="C316" s="130" t="s">
        <v>251</v>
      </c>
      <c r="D316" s="130" t="s">
        <v>251</v>
      </c>
      <c r="E316" s="130" t="s">
        <v>251</v>
      </c>
      <c r="F316" s="130" t="s">
        <v>251</v>
      </c>
      <c r="G316" s="130" t="s">
        <v>251</v>
      </c>
      <c r="H316" s="130" t="s">
        <v>251</v>
      </c>
      <c r="I316" s="130" t="s">
        <v>251</v>
      </c>
      <c r="J316" s="131" t="s">
        <v>251</v>
      </c>
      <c r="K316" s="131" t="s">
        <v>251</v>
      </c>
      <c r="L316" s="130" t="s">
        <v>251</v>
      </c>
      <c r="M316" s="130" t="s">
        <v>251</v>
      </c>
      <c r="N316" s="134" t="s">
        <v>251</v>
      </c>
      <c r="O316" s="135" t="s">
        <v>251</v>
      </c>
      <c r="P316" s="123" t="s">
        <v>251</v>
      </c>
      <c r="Q316" s="123">
        <v>0</v>
      </c>
      <c r="R316" s="136"/>
      <c r="S316" s="136">
        <v>0</v>
      </c>
      <c r="T316" s="136">
        <v>0</v>
      </c>
    </row>
    <row r="317" spans="1:20" s="118" customFormat="1" x14ac:dyDescent="0.25">
      <c r="A317" s="93" t="s">
        <v>488</v>
      </c>
      <c r="B317" s="130" t="s">
        <v>251</v>
      </c>
      <c r="C317" s="130" t="s">
        <v>251</v>
      </c>
      <c r="D317" s="130" t="s">
        <v>251</v>
      </c>
      <c r="E317" s="130" t="s">
        <v>251</v>
      </c>
      <c r="F317" s="130" t="s">
        <v>251</v>
      </c>
      <c r="G317" s="130" t="s">
        <v>251</v>
      </c>
      <c r="H317" s="130" t="s">
        <v>251</v>
      </c>
      <c r="I317" s="130" t="s">
        <v>251</v>
      </c>
      <c r="J317" s="131" t="s">
        <v>251</v>
      </c>
      <c r="K317" s="131" t="s">
        <v>251</v>
      </c>
      <c r="L317" s="130" t="s">
        <v>251</v>
      </c>
      <c r="M317" s="130" t="s">
        <v>251</v>
      </c>
      <c r="N317" s="134" t="s">
        <v>251</v>
      </c>
      <c r="O317" s="135" t="s">
        <v>251</v>
      </c>
      <c r="P317" s="123" t="s">
        <v>251</v>
      </c>
      <c r="Q317" s="123">
        <v>38845.855652741833</v>
      </c>
      <c r="R317" s="136"/>
      <c r="S317" s="136">
        <v>0.18530002905618537</v>
      </c>
      <c r="T317" s="136">
        <v>6.7434740472019708E-2</v>
      </c>
    </row>
    <row r="318" spans="1:20" s="118" customFormat="1" x14ac:dyDescent="0.25">
      <c r="A318" s="93" t="s">
        <v>143</v>
      </c>
      <c r="B318" s="130" t="s">
        <v>251</v>
      </c>
      <c r="C318" s="130" t="s">
        <v>251</v>
      </c>
      <c r="D318" s="130" t="s">
        <v>251</v>
      </c>
      <c r="E318" s="130" t="s">
        <v>251</v>
      </c>
      <c r="F318" s="130" t="s">
        <v>251</v>
      </c>
      <c r="G318" s="130" t="s">
        <v>251</v>
      </c>
      <c r="H318" s="130" t="s">
        <v>251</v>
      </c>
      <c r="I318" s="130" t="s">
        <v>251</v>
      </c>
      <c r="J318" s="131" t="s">
        <v>251</v>
      </c>
      <c r="K318" s="131" t="s">
        <v>251</v>
      </c>
      <c r="L318" s="130" t="s">
        <v>251</v>
      </c>
      <c r="M318" s="130" t="s">
        <v>251</v>
      </c>
      <c r="N318" s="134" t="s">
        <v>251</v>
      </c>
      <c r="O318" s="135" t="s">
        <v>251</v>
      </c>
      <c r="P318" s="123" t="s">
        <v>251</v>
      </c>
      <c r="Q318" s="123">
        <v>9067.1749299431031</v>
      </c>
      <c r="R318" s="136"/>
      <c r="S318" s="136">
        <v>4.3251660949251959E-2</v>
      </c>
      <c r="T318" s="136">
        <v>1.5740227057450838E-2</v>
      </c>
    </row>
    <row r="319" spans="1:20" x14ac:dyDescent="0.25">
      <c r="A319" s="17" t="s">
        <v>1497</v>
      </c>
      <c r="B319" s="116" t="s">
        <v>1498</v>
      </c>
      <c r="C319" s="116" t="s">
        <v>218</v>
      </c>
      <c r="D319" s="116" t="s">
        <v>1480</v>
      </c>
      <c r="E319" s="116" t="s">
        <v>735</v>
      </c>
      <c r="F319" s="116" t="s">
        <v>179</v>
      </c>
      <c r="G319" s="116" t="s">
        <v>1499</v>
      </c>
      <c r="H319" s="116" t="s">
        <v>389</v>
      </c>
      <c r="I319" s="116" t="s">
        <v>1500</v>
      </c>
      <c r="J319" s="117">
        <v>4.0259999999999998</v>
      </c>
      <c r="K319" s="117" t="s">
        <v>125</v>
      </c>
      <c r="L319" s="116">
        <v>7.1300000000000002E-2</v>
      </c>
      <c r="M319" s="116">
        <v>7.4209999999999998E-2</v>
      </c>
      <c r="N319" s="70">
        <v>151523.5922351217</v>
      </c>
      <c r="O319" s="61">
        <v>102.21100000000001</v>
      </c>
      <c r="P319" s="85">
        <v>0</v>
      </c>
      <c r="Q319" s="85">
        <v>573.03298177992895</v>
      </c>
      <c r="R319" s="25">
        <v>3.0304718447024342E-4</v>
      </c>
      <c r="S319" s="25">
        <v>2.7334454703015071E-3</v>
      </c>
      <c r="T319" s="25">
        <v>9.9476069606178538E-4</v>
      </c>
    </row>
    <row r="320" spans="1:20" x14ac:dyDescent="0.25">
      <c r="A320" s="17" t="s">
        <v>1478</v>
      </c>
      <c r="B320" s="116" t="s">
        <v>1479</v>
      </c>
      <c r="C320" s="116" t="s">
        <v>218</v>
      </c>
      <c r="D320" s="116" t="s">
        <v>1480</v>
      </c>
      <c r="E320" s="116" t="s">
        <v>1148</v>
      </c>
      <c r="F320" s="116" t="s">
        <v>165</v>
      </c>
      <c r="G320" s="116" t="s">
        <v>1481</v>
      </c>
      <c r="H320" s="116" t="s">
        <v>389</v>
      </c>
      <c r="I320" s="116" t="s">
        <v>1482</v>
      </c>
      <c r="J320" s="117">
        <v>9.3190000000000008</v>
      </c>
      <c r="K320" s="117" t="s">
        <v>125</v>
      </c>
      <c r="L320" s="116">
        <v>6.3799999999999996E-2</v>
      </c>
      <c r="M320" s="116">
        <v>6.251000000000001E-2</v>
      </c>
      <c r="N320" s="70">
        <v>340928.08252902381</v>
      </c>
      <c r="O320" s="61">
        <v>101.25600000000001</v>
      </c>
      <c r="P320" s="85">
        <v>0</v>
      </c>
      <c r="Q320" s="85">
        <v>1277.277515208677</v>
      </c>
      <c r="R320" s="25">
        <v>4.9188873543359369E-4</v>
      </c>
      <c r="S320" s="25">
        <v>6.0927879359062246E-3</v>
      </c>
      <c r="T320" s="25">
        <v>2.2172990220325826E-3</v>
      </c>
    </row>
    <row r="321" spans="1:20" x14ac:dyDescent="0.25">
      <c r="A321" s="17" t="s">
        <v>1505</v>
      </c>
      <c r="B321" s="116" t="s">
        <v>1506</v>
      </c>
      <c r="C321" s="116" t="s">
        <v>218</v>
      </c>
      <c r="D321" s="116" t="s">
        <v>1480</v>
      </c>
      <c r="E321" s="116" t="s">
        <v>660</v>
      </c>
      <c r="F321" s="116" t="s">
        <v>179</v>
      </c>
      <c r="G321" s="116" t="s">
        <v>1481</v>
      </c>
      <c r="H321" s="116" t="s">
        <v>389</v>
      </c>
      <c r="I321" s="116" t="s">
        <v>1507</v>
      </c>
      <c r="J321" s="117">
        <v>2.5270000000000001</v>
      </c>
      <c r="K321" s="117" t="s">
        <v>125</v>
      </c>
      <c r="L321" s="116">
        <v>3.0800000000000001E-2</v>
      </c>
      <c r="M321" s="116">
        <v>7.1279999999999996E-2</v>
      </c>
      <c r="N321" s="70">
        <v>66856.341355742101</v>
      </c>
      <c r="O321" s="61">
        <v>87.978999999999999</v>
      </c>
      <c r="P321" s="85">
        <v>0</v>
      </c>
      <c r="Q321" s="85">
        <v>217.63230007017546</v>
      </c>
      <c r="R321" s="25">
        <v>1.1142723559290351E-4</v>
      </c>
      <c r="S321" s="25">
        <v>1.0381357508782681E-3</v>
      </c>
      <c r="T321" s="25">
        <v>3.778003451579302E-4</v>
      </c>
    </row>
    <row r="322" spans="1:20" x14ac:dyDescent="0.25">
      <c r="A322" s="17" t="s">
        <v>1511</v>
      </c>
      <c r="B322" s="116" t="s">
        <v>1512</v>
      </c>
      <c r="C322" s="116" t="s">
        <v>218</v>
      </c>
      <c r="D322" s="116" t="s">
        <v>1480</v>
      </c>
      <c r="E322" s="116" t="s">
        <v>1513</v>
      </c>
      <c r="F322" s="116" t="s">
        <v>182</v>
      </c>
      <c r="G322" s="116" t="s">
        <v>1514</v>
      </c>
      <c r="H322" s="116" t="s">
        <v>266</v>
      </c>
      <c r="I322" s="116" t="s">
        <v>1515</v>
      </c>
      <c r="J322" s="117">
        <v>2.4209999999999998</v>
      </c>
      <c r="K322" s="117" t="s">
        <v>126</v>
      </c>
      <c r="L322" s="116">
        <v>3.6299999999999999E-2</v>
      </c>
      <c r="M322" s="116">
        <v>0.16175</v>
      </c>
      <c r="N322" s="70">
        <v>198447.6937759346</v>
      </c>
      <c r="O322" s="61">
        <v>35.276000000000003</v>
      </c>
      <c r="P322" s="85">
        <v>0</v>
      </c>
      <c r="Q322" s="85">
        <v>281.31271533534135</v>
      </c>
      <c r="R322" s="25">
        <v>5.6699341078838455E-4</v>
      </c>
      <c r="S322" s="25">
        <v>1.3419000160917779E-3</v>
      </c>
      <c r="T322" s="25">
        <v>4.8834681670292769E-4</v>
      </c>
    </row>
    <row r="323" spans="1:20" x14ac:dyDescent="0.25">
      <c r="A323" s="17" t="s">
        <v>1483</v>
      </c>
      <c r="B323" s="116" t="s">
        <v>1484</v>
      </c>
      <c r="C323" s="116" t="s">
        <v>218</v>
      </c>
      <c r="D323" s="116" t="s">
        <v>1480</v>
      </c>
      <c r="E323" s="116" t="s">
        <v>1485</v>
      </c>
      <c r="F323" s="116" t="s">
        <v>164</v>
      </c>
      <c r="G323" s="116" t="s">
        <v>1486</v>
      </c>
      <c r="H323" s="116" t="s">
        <v>266</v>
      </c>
      <c r="I323" s="116" t="s">
        <v>1487</v>
      </c>
      <c r="J323" s="117">
        <v>2.4580000000000002</v>
      </c>
      <c r="K323" s="117" t="s">
        <v>125</v>
      </c>
      <c r="L323" s="116">
        <v>4.8799999999999996E-2</v>
      </c>
      <c r="M323" s="116">
        <v>7.492E-2</v>
      </c>
      <c r="N323" s="70">
        <v>8712.6065535194975</v>
      </c>
      <c r="O323" s="61">
        <v>94.168999999999997</v>
      </c>
      <c r="P323" s="85">
        <v>0</v>
      </c>
      <c r="Q323" s="85">
        <v>30.356925487482791</v>
      </c>
      <c r="R323" s="25">
        <v>1.3940170485631196E-5</v>
      </c>
      <c r="S323" s="25">
        <v>1.4480667449244303E-4</v>
      </c>
      <c r="T323" s="25">
        <v>5.269832154237417E-5</v>
      </c>
    </row>
    <row r="324" spans="1:20" x14ac:dyDescent="0.25">
      <c r="A324" s="17" t="s">
        <v>1488</v>
      </c>
      <c r="B324" s="116" t="s">
        <v>1489</v>
      </c>
      <c r="C324" s="116" t="s">
        <v>218</v>
      </c>
      <c r="D324" s="116" t="s">
        <v>1480</v>
      </c>
      <c r="E324" s="116" t="s">
        <v>1485</v>
      </c>
      <c r="F324" s="116" t="s">
        <v>164</v>
      </c>
      <c r="G324" s="116" t="s">
        <v>1486</v>
      </c>
      <c r="H324" s="116" t="s">
        <v>266</v>
      </c>
      <c r="I324" s="116" t="s">
        <v>1487</v>
      </c>
      <c r="J324" s="117">
        <v>3.9910000000000001</v>
      </c>
      <c r="K324" s="117" t="s">
        <v>125</v>
      </c>
      <c r="L324" s="116">
        <v>5.3800000000000001E-2</v>
      </c>
      <c r="M324" s="116">
        <v>7.7409999999999993E-2</v>
      </c>
      <c r="N324" s="70">
        <v>201705.45100898974</v>
      </c>
      <c r="O324" s="61">
        <v>91.602000000000004</v>
      </c>
      <c r="P324" s="85">
        <v>0</v>
      </c>
      <c r="Q324" s="85">
        <v>683.63504073549291</v>
      </c>
      <c r="R324" s="25">
        <v>3.2272872161438358E-4</v>
      </c>
      <c r="S324" s="25">
        <v>3.2610323748441384E-3</v>
      </c>
      <c r="T324" s="25">
        <v>1.1867611299822838E-3</v>
      </c>
    </row>
    <row r="325" spans="1:20" x14ac:dyDescent="0.25">
      <c r="A325" s="17" t="s">
        <v>1490</v>
      </c>
      <c r="B325" s="116" t="s">
        <v>1491</v>
      </c>
      <c r="C325" s="116" t="s">
        <v>218</v>
      </c>
      <c r="D325" s="116" t="s">
        <v>1480</v>
      </c>
      <c r="E325" s="116" t="s">
        <v>1485</v>
      </c>
      <c r="F325" s="116" t="s">
        <v>164</v>
      </c>
      <c r="G325" s="116" t="s">
        <v>1486</v>
      </c>
      <c r="H325" s="116" t="s">
        <v>266</v>
      </c>
      <c r="I325" s="116" t="s">
        <v>1487</v>
      </c>
      <c r="J325" s="117">
        <v>5.8710000000000004</v>
      </c>
      <c r="K325" s="117" t="s">
        <v>125</v>
      </c>
      <c r="L325" s="116">
        <v>5.8799999999999998E-2</v>
      </c>
      <c r="M325" s="116">
        <v>7.9809999999999992E-2</v>
      </c>
      <c r="N325" s="70">
        <v>435237.74382336572</v>
      </c>
      <c r="O325" s="61">
        <v>88.700999999999993</v>
      </c>
      <c r="P325" s="85">
        <v>0</v>
      </c>
      <c r="Q325" s="85">
        <v>1428.4228552435382</v>
      </c>
      <c r="R325" s="25">
        <v>6.9638039011738514E-4</v>
      </c>
      <c r="S325" s="25">
        <v>6.8137718202756232E-3</v>
      </c>
      <c r="T325" s="25">
        <v>2.4796808542136076E-3</v>
      </c>
    </row>
    <row r="326" spans="1:20" x14ac:dyDescent="0.25">
      <c r="A326" s="17" t="s">
        <v>1508</v>
      </c>
      <c r="B326" s="116" t="s">
        <v>1509</v>
      </c>
      <c r="C326" s="116" t="s">
        <v>218</v>
      </c>
      <c r="D326" s="116" t="s">
        <v>1480</v>
      </c>
      <c r="E326" s="116" t="s">
        <v>915</v>
      </c>
      <c r="F326" s="116" t="s">
        <v>179</v>
      </c>
      <c r="G326" s="116" t="s">
        <v>1486</v>
      </c>
      <c r="H326" s="116" t="s">
        <v>266</v>
      </c>
      <c r="I326" s="116" t="s">
        <v>1510</v>
      </c>
      <c r="J326" s="117">
        <v>2.9580000000000002</v>
      </c>
      <c r="K326" s="117" t="s">
        <v>125</v>
      </c>
      <c r="L326" s="116">
        <v>3.2599999999999997E-2</v>
      </c>
      <c r="M326" s="116">
        <v>7.0349999999999996E-2</v>
      </c>
      <c r="N326" s="70">
        <v>48212.05207481145</v>
      </c>
      <c r="O326" s="61">
        <v>87.097999999999999</v>
      </c>
      <c r="P326" s="85">
        <v>0</v>
      </c>
      <c r="Q326" s="85">
        <v>155.36941252964132</v>
      </c>
      <c r="R326" s="25">
        <v>4.8212052074811448E-5</v>
      </c>
      <c r="S326" s="25">
        <v>7.4113328622619546E-4</v>
      </c>
      <c r="T326" s="25">
        <v>2.6971464098737174E-4</v>
      </c>
    </row>
    <row r="327" spans="1:20" x14ac:dyDescent="0.25">
      <c r="A327" s="17" t="s">
        <v>1516</v>
      </c>
      <c r="B327" s="116" t="s">
        <v>1517</v>
      </c>
      <c r="C327" s="116" t="s">
        <v>218</v>
      </c>
      <c r="D327" s="116" t="s">
        <v>1480</v>
      </c>
      <c r="E327" s="116" t="s">
        <v>1503</v>
      </c>
      <c r="F327" s="116" t="s">
        <v>178</v>
      </c>
      <c r="G327" s="116" t="s">
        <v>1504</v>
      </c>
      <c r="H327" s="116" t="s">
        <v>389</v>
      </c>
      <c r="I327" s="116" t="s">
        <v>1518</v>
      </c>
      <c r="J327" s="117">
        <v>5.6609999999999996</v>
      </c>
      <c r="K327" s="117" t="s">
        <v>126</v>
      </c>
      <c r="L327" s="116">
        <v>4.3799999999999999E-2</v>
      </c>
      <c r="M327" s="116">
        <v>7.1680000000000008E-2</v>
      </c>
      <c r="N327" s="70">
        <v>526957.72917768918</v>
      </c>
      <c r="O327" s="61">
        <v>85.771000000000001</v>
      </c>
      <c r="P327" s="85">
        <v>0</v>
      </c>
      <c r="Q327" s="85">
        <v>1816.2692284524869</v>
      </c>
      <c r="R327" s="25">
        <v>3.5130515278512613E-4</v>
      </c>
      <c r="S327" s="25">
        <v>8.6638519129220506E-3</v>
      </c>
      <c r="T327" s="25">
        <v>3.152965534931241E-3</v>
      </c>
    </row>
    <row r="328" spans="1:20" x14ac:dyDescent="0.25">
      <c r="A328" s="17" t="s">
        <v>1521</v>
      </c>
      <c r="B328" s="116" t="s">
        <v>1522</v>
      </c>
      <c r="C328" s="116" t="s">
        <v>218</v>
      </c>
      <c r="D328" s="116" t="s">
        <v>1480</v>
      </c>
      <c r="E328" s="116" t="s">
        <v>1503</v>
      </c>
      <c r="F328" s="116" t="s">
        <v>178</v>
      </c>
      <c r="G328" s="116" t="s">
        <v>1504</v>
      </c>
      <c r="H328" s="116" t="s">
        <v>389</v>
      </c>
      <c r="I328" s="116" t="s">
        <v>503</v>
      </c>
      <c r="J328" s="117">
        <v>4.6630000000000003</v>
      </c>
      <c r="K328" s="117" t="s">
        <v>126</v>
      </c>
      <c r="L328" s="116">
        <v>7.3800000000000004E-2</v>
      </c>
      <c r="M328" s="116">
        <v>7.0019999999999999E-2</v>
      </c>
      <c r="N328" s="70">
        <v>154967.31024046536</v>
      </c>
      <c r="O328" s="61">
        <v>104.095</v>
      </c>
      <c r="P328" s="85">
        <v>0</v>
      </c>
      <c r="Q328" s="85">
        <v>648.23718092709805</v>
      </c>
      <c r="R328" s="25">
        <v>1.9370913780058171E-4</v>
      </c>
      <c r="S328" s="25">
        <v>3.0921797561849484E-3</v>
      </c>
      <c r="T328" s="25">
        <v>1.1253119625142592E-3</v>
      </c>
    </row>
    <row r="329" spans="1:20" x14ac:dyDescent="0.25">
      <c r="A329" s="17" t="s">
        <v>1501</v>
      </c>
      <c r="B329" s="116" t="s">
        <v>1502</v>
      </c>
      <c r="C329" s="116" t="s">
        <v>218</v>
      </c>
      <c r="D329" s="116" t="s">
        <v>1480</v>
      </c>
      <c r="E329" s="116" t="s">
        <v>1503</v>
      </c>
      <c r="F329" s="116" t="s">
        <v>178</v>
      </c>
      <c r="G329" s="116" t="s">
        <v>1504</v>
      </c>
      <c r="H329" s="116" t="s">
        <v>389</v>
      </c>
      <c r="I329" s="116" t="s">
        <v>503</v>
      </c>
      <c r="J329" s="117">
        <v>4.6029999999999998</v>
      </c>
      <c r="K329" s="117" t="s">
        <v>125</v>
      </c>
      <c r="L329" s="116">
        <v>7.8799999999999995E-2</v>
      </c>
      <c r="M329" s="116">
        <v>7.2270000000000001E-2</v>
      </c>
      <c r="N329" s="70">
        <v>34437.18005343675</v>
      </c>
      <c r="O329" s="61">
        <v>105.77099999999999</v>
      </c>
      <c r="P329" s="85">
        <v>0</v>
      </c>
      <c r="Q329" s="85">
        <v>134.77083394298614</v>
      </c>
      <c r="R329" s="25">
        <v>5.7395300089061248E-5</v>
      </c>
      <c r="S329" s="25">
        <v>6.4287525724250605E-4</v>
      </c>
      <c r="T329" s="25">
        <v>2.3395639142013508E-4</v>
      </c>
    </row>
    <row r="330" spans="1:20" x14ac:dyDescent="0.25">
      <c r="A330" s="17" t="s">
        <v>1519</v>
      </c>
      <c r="B330" s="116" t="s">
        <v>1520</v>
      </c>
      <c r="C330" s="116" t="s">
        <v>218</v>
      </c>
      <c r="D330" s="116" t="s">
        <v>1480</v>
      </c>
      <c r="E330" s="116" t="s">
        <v>1503</v>
      </c>
      <c r="F330" s="116" t="s">
        <v>178</v>
      </c>
      <c r="G330" s="116" t="s">
        <v>1504</v>
      </c>
      <c r="H330" s="116" t="s">
        <v>389</v>
      </c>
      <c r="I330" s="116" t="s">
        <v>503</v>
      </c>
      <c r="J330" s="117">
        <v>5.7430000000000003</v>
      </c>
      <c r="K330" s="117" t="s">
        <v>126</v>
      </c>
      <c r="L330" s="116">
        <v>7.8799999999999995E-2</v>
      </c>
      <c r="M330" s="116">
        <v>7.3410000000000003E-2</v>
      </c>
      <c r="N330" s="70">
        <v>251391.41439008826</v>
      </c>
      <c r="O330" s="61">
        <v>105.68899999999999</v>
      </c>
      <c r="P330" s="85">
        <v>0</v>
      </c>
      <c r="Q330" s="85">
        <v>1067.6876096329058</v>
      </c>
      <c r="R330" s="25">
        <v>5.0278282878017655E-4</v>
      </c>
      <c r="S330" s="25">
        <v>5.0930155035455458E-3</v>
      </c>
      <c r="T330" s="25">
        <v>1.8534599290183022E-3</v>
      </c>
    </row>
    <row r="331" spans="1:20" x14ac:dyDescent="0.25">
      <c r="A331" s="17" t="s">
        <v>1492</v>
      </c>
      <c r="B331" s="116" t="s">
        <v>1493</v>
      </c>
      <c r="C331" s="116" t="s">
        <v>218</v>
      </c>
      <c r="D331" s="116" t="s">
        <v>1480</v>
      </c>
      <c r="E331" s="116" t="s">
        <v>1494</v>
      </c>
      <c r="F331" s="116" t="s">
        <v>164</v>
      </c>
      <c r="G331" s="116" t="s">
        <v>1495</v>
      </c>
      <c r="H331" s="116" t="s">
        <v>266</v>
      </c>
      <c r="I331" s="116" t="s">
        <v>1496</v>
      </c>
      <c r="J331" s="117">
        <v>3.2330000000000001</v>
      </c>
      <c r="K331" s="117" t="s">
        <v>125</v>
      </c>
      <c r="L331" s="116">
        <v>6.5000000000000002E-2</v>
      </c>
      <c r="M331" s="116">
        <v>9.2079999999999995E-2</v>
      </c>
      <c r="N331" s="70">
        <v>220397.9523419952</v>
      </c>
      <c r="O331" s="61">
        <v>92.36</v>
      </c>
      <c r="P331" s="85">
        <v>0</v>
      </c>
      <c r="Q331" s="85">
        <v>753.17033049734709</v>
      </c>
      <c r="R331" s="25">
        <v>4.8977322742665605E-4</v>
      </c>
      <c r="S331" s="25">
        <v>3.5927251898637087E-3</v>
      </c>
      <c r="T331" s="25">
        <v>1.3074714127124405E-3</v>
      </c>
    </row>
    <row r="332" spans="1:20" s="118" customFormat="1" x14ac:dyDescent="0.25">
      <c r="A332" s="93" t="s">
        <v>144</v>
      </c>
      <c r="B332" s="130" t="s">
        <v>251</v>
      </c>
      <c r="C332" s="130" t="s">
        <v>251</v>
      </c>
      <c r="D332" s="130" t="s">
        <v>251</v>
      </c>
      <c r="E332" s="130" t="s">
        <v>251</v>
      </c>
      <c r="F332" s="130" t="s">
        <v>251</v>
      </c>
      <c r="G332" s="130" t="s">
        <v>251</v>
      </c>
      <c r="H332" s="130" t="s">
        <v>251</v>
      </c>
      <c r="I332" s="130" t="s">
        <v>251</v>
      </c>
      <c r="J332" s="131" t="s">
        <v>251</v>
      </c>
      <c r="K332" s="131" t="s">
        <v>251</v>
      </c>
      <c r="L332" s="130" t="s">
        <v>251</v>
      </c>
      <c r="M332" s="130" t="s">
        <v>251</v>
      </c>
      <c r="N332" s="134" t="s">
        <v>251</v>
      </c>
      <c r="O332" s="135" t="s">
        <v>251</v>
      </c>
      <c r="P332" s="123" t="s">
        <v>251</v>
      </c>
      <c r="Q332" s="123">
        <v>29778.680722798734</v>
      </c>
      <c r="R332" s="136"/>
      <c r="S332" s="136">
        <v>0.14204836810693341</v>
      </c>
      <c r="T332" s="136">
        <v>5.1694513414568877E-2</v>
      </c>
    </row>
    <row r="333" spans="1:20" x14ac:dyDescent="0.25">
      <c r="A333" s="17" t="s">
        <v>1523</v>
      </c>
      <c r="B333" s="116" t="s">
        <v>1524</v>
      </c>
      <c r="C333" s="116" t="s">
        <v>218</v>
      </c>
      <c r="D333" s="116" t="s">
        <v>1480</v>
      </c>
      <c r="E333" s="215" t="s">
        <v>2916</v>
      </c>
      <c r="F333" s="116" t="s">
        <v>181</v>
      </c>
      <c r="G333" s="116" t="s">
        <v>1499</v>
      </c>
      <c r="H333" s="116" t="s">
        <v>389</v>
      </c>
      <c r="I333" s="116" t="s">
        <v>1525</v>
      </c>
      <c r="J333" s="117">
        <v>4.335</v>
      </c>
      <c r="K333" s="117" t="s">
        <v>125</v>
      </c>
      <c r="L333" s="116">
        <v>5.7000000000000002E-2</v>
      </c>
      <c r="M333" s="116">
        <v>6.547E-2</v>
      </c>
      <c r="N333" s="70">
        <v>128387.80593471702</v>
      </c>
      <c r="O333" s="61">
        <v>97.816000000000003</v>
      </c>
      <c r="P333" s="85">
        <v>0</v>
      </c>
      <c r="Q333" s="85">
        <v>464.66012009546841</v>
      </c>
      <c r="R333" s="25">
        <v>1.2838780593471701E-4</v>
      </c>
      <c r="S333" s="25">
        <v>2.2164921407481887E-3</v>
      </c>
      <c r="T333" s="25">
        <v>8.0663005306008174E-4</v>
      </c>
    </row>
    <row r="334" spans="1:20" x14ac:dyDescent="0.25">
      <c r="A334" s="17" t="s">
        <v>1526</v>
      </c>
      <c r="B334" s="116" t="s">
        <v>1527</v>
      </c>
      <c r="C334" s="116" t="s">
        <v>218</v>
      </c>
      <c r="D334" s="116" t="s">
        <v>1480</v>
      </c>
      <c r="E334" s="215" t="s">
        <v>2917</v>
      </c>
      <c r="F334" s="116" t="s">
        <v>177</v>
      </c>
      <c r="G334" s="116" t="s">
        <v>1528</v>
      </c>
      <c r="H334" s="116" t="s">
        <v>266</v>
      </c>
      <c r="I334" s="116" t="s">
        <v>1529</v>
      </c>
      <c r="J334" s="117">
        <v>5.4279999999999999</v>
      </c>
      <c r="K334" s="117" t="s">
        <v>125</v>
      </c>
      <c r="L334" s="116">
        <v>4.6300000000000001E-2</v>
      </c>
      <c r="M334" s="116">
        <v>6.1159999999999999E-2</v>
      </c>
      <c r="N334" s="70">
        <v>148309.34458119163</v>
      </c>
      <c r="O334" s="61">
        <v>92.396000000000001</v>
      </c>
      <c r="P334" s="85">
        <v>0</v>
      </c>
      <c r="Q334" s="85">
        <v>507.01803747117992</v>
      </c>
      <c r="R334" s="25">
        <v>4.237409845176904E-5</v>
      </c>
      <c r="S334" s="25">
        <v>2.418545183179366E-3</v>
      </c>
      <c r="T334" s="25">
        <v>8.801615821555092E-4</v>
      </c>
    </row>
    <row r="335" spans="1:20" x14ac:dyDescent="0.25">
      <c r="A335" s="17" t="s">
        <v>1530</v>
      </c>
      <c r="B335" s="116" t="s">
        <v>1531</v>
      </c>
      <c r="C335" s="116" t="s">
        <v>218</v>
      </c>
      <c r="D335" s="116" t="s">
        <v>1480</v>
      </c>
      <c r="E335" s="215" t="s">
        <v>2918</v>
      </c>
      <c r="F335" s="116" t="s">
        <v>179</v>
      </c>
      <c r="G335" s="116" t="s">
        <v>1532</v>
      </c>
      <c r="H335" s="116" t="s">
        <v>266</v>
      </c>
      <c r="I335" s="116" t="s">
        <v>1533</v>
      </c>
      <c r="J335" s="117">
        <v>5.8819999999999997</v>
      </c>
      <c r="K335" s="117" t="s">
        <v>125</v>
      </c>
      <c r="L335" s="116">
        <v>3.6200000000000003E-2</v>
      </c>
      <c r="M335" s="116">
        <v>6.5460000000000004E-2</v>
      </c>
      <c r="N335" s="70">
        <v>96798.376922988609</v>
      </c>
      <c r="O335" s="61">
        <v>84.426000000000002</v>
      </c>
      <c r="P335" s="85">
        <v>0</v>
      </c>
      <c r="Q335" s="85">
        <v>302.37509147320281</v>
      </c>
      <c r="R335" s="25">
        <v>1.2906450256398481E-4</v>
      </c>
      <c r="S335" s="25">
        <v>1.4423704226449814E-3</v>
      </c>
      <c r="T335" s="25">
        <v>5.2491019894060267E-4</v>
      </c>
    </row>
    <row r="336" spans="1:20" x14ac:dyDescent="0.25">
      <c r="A336" s="17" t="s">
        <v>1534</v>
      </c>
      <c r="B336" s="116" t="s">
        <v>1535</v>
      </c>
      <c r="C336" s="116" t="s">
        <v>218</v>
      </c>
      <c r="D336" s="116" t="s">
        <v>1480</v>
      </c>
      <c r="E336" s="215" t="s">
        <v>2919</v>
      </c>
      <c r="F336" s="116" t="s">
        <v>166</v>
      </c>
      <c r="G336" s="116" t="s">
        <v>1532</v>
      </c>
      <c r="H336" s="116" t="s">
        <v>266</v>
      </c>
      <c r="I336" s="116" t="s">
        <v>1536</v>
      </c>
      <c r="J336" s="117">
        <v>4.3810000000000002</v>
      </c>
      <c r="K336" s="117" t="s">
        <v>125</v>
      </c>
      <c r="L336" s="116">
        <v>4.4999999999999998E-2</v>
      </c>
      <c r="M336" s="116">
        <v>6.3269999999999993E-2</v>
      </c>
      <c r="N336" s="70">
        <v>90738.866197272451</v>
      </c>
      <c r="O336" s="61">
        <v>94.125</v>
      </c>
      <c r="P336" s="85">
        <v>0</v>
      </c>
      <c r="Q336" s="85">
        <v>316.00944389027597</v>
      </c>
      <c r="R336" s="25">
        <v>1.5123144366212076E-4</v>
      </c>
      <c r="S336" s="25">
        <v>1.5074081430553853E-3</v>
      </c>
      <c r="T336" s="25">
        <v>5.4857885036557101E-4</v>
      </c>
    </row>
    <row r="337" spans="1:20" x14ac:dyDescent="0.25">
      <c r="A337" s="17" t="s">
        <v>1537</v>
      </c>
      <c r="B337" s="116" t="s">
        <v>1538</v>
      </c>
      <c r="C337" s="116" t="s">
        <v>218</v>
      </c>
      <c r="D337" s="116" t="s">
        <v>1480</v>
      </c>
      <c r="E337" s="215" t="s">
        <v>2920</v>
      </c>
      <c r="F337" s="116" t="s">
        <v>182</v>
      </c>
      <c r="G337" s="116" t="s">
        <v>1486</v>
      </c>
      <c r="H337" s="116" t="s">
        <v>266</v>
      </c>
      <c r="I337" s="116" t="s">
        <v>1257</v>
      </c>
      <c r="J337" s="117">
        <v>6.0949999999999998</v>
      </c>
      <c r="K337" s="117" t="s">
        <v>125</v>
      </c>
      <c r="L337" s="116">
        <v>4.4999999999999998E-2</v>
      </c>
      <c r="M337" s="116">
        <v>6.9560000000000011E-2</v>
      </c>
      <c r="N337" s="70">
        <v>114151.544272015</v>
      </c>
      <c r="O337" s="61">
        <v>87.673000000000002</v>
      </c>
      <c r="P337" s="85">
        <v>0</v>
      </c>
      <c r="Q337" s="85">
        <v>370.29630857964833</v>
      </c>
      <c r="R337" s="25">
        <v>1.0377413115637728E-4</v>
      </c>
      <c r="S337" s="25">
        <v>1.7663638909795499E-3</v>
      </c>
      <c r="T337" s="25">
        <v>6.4281852072044677E-4</v>
      </c>
    </row>
    <row r="338" spans="1:20" x14ac:dyDescent="0.25">
      <c r="A338" s="17" t="s">
        <v>1539</v>
      </c>
      <c r="B338" s="116" t="s">
        <v>1540</v>
      </c>
      <c r="C338" s="116" t="s">
        <v>218</v>
      </c>
      <c r="D338" s="116" t="s">
        <v>1480</v>
      </c>
      <c r="E338" s="215" t="s">
        <v>2921</v>
      </c>
      <c r="F338" s="116" t="s">
        <v>177</v>
      </c>
      <c r="G338" s="116" t="s">
        <v>1495</v>
      </c>
      <c r="H338" s="116" t="s">
        <v>266</v>
      </c>
      <c r="I338" s="116" t="s">
        <v>1541</v>
      </c>
      <c r="J338" s="117">
        <v>5.6689999999999996</v>
      </c>
      <c r="K338" s="117" t="s">
        <v>125</v>
      </c>
      <c r="L338" s="116">
        <v>4.6300000000000001E-2</v>
      </c>
      <c r="M338" s="116">
        <v>7.3120000000000004E-2</v>
      </c>
      <c r="N338" s="70">
        <v>82280.158331425017</v>
      </c>
      <c r="O338" s="61">
        <v>86.305999999999997</v>
      </c>
      <c r="P338" s="85">
        <v>0</v>
      </c>
      <c r="Q338" s="85">
        <v>262.7470397632228</v>
      </c>
      <c r="R338" s="25">
        <v>2.9920057575063642E-5</v>
      </c>
      <c r="S338" s="25">
        <v>1.2533392117240034E-3</v>
      </c>
      <c r="T338" s="25">
        <v>4.5611759963829689E-4</v>
      </c>
    </row>
    <row r="339" spans="1:20" x14ac:dyDescent="0.25">
      <c r="A339" s="17" t="s">
        <v>1542</v>
      </c>
      <c r="B339" s="116" t="s">
        <v>1543</v>
      </c>
      <c r="C339" s="116" t="s">
        <v>218</v>
      </c>
      <c r="D339" s="116" t="s">
        <v>1480</v>
      </c>
      <c r="E339" s="215" t="s">
        <v>2922</v>
      </c>
      <c r="F339" s="116" t="s">
        <v>173</v>
      </c>
      <c r="G339" s="116" t="s">
        <v>1514</v>
      </c>
      <c r="H339" s="116" t="s">
        <v>266</v>
      </c>
      <c r="I339" s="116" t="s">
        <v>1544</v>
      </c>
      <c r="J339" s="117">
        <v>6.2779999999999996</v>
      </c>
      <c r="K339" s="117" t="s">
        <v>125</v>
      </c>
      <c r="L339" s="116">
        <v>3.7499999999999999E-2</v>
      </c>
      <c r="M339" s="116">
        <v>6.4240000000000005E-2</v>
      </c>
      <c r="N339" s="70">
        <v>84689.608450787622</v>
      </c>
      <c r="O339" s="61">
        <v>85.486999999999995</v>
      </c>
      <c r="P339" s="85">
        <v>0</v>
      </c>
      <c r="Q339" s="85">
        <v>267.8748406324018</v>
      </c>
      <c r="R339" s="25">
        <v>1.6937921690157525E-4</v>
      </c>
      <c r="S339" s="25">
        <v>1.2777995211723844E-3</v>
      </c>
      <c r="T339" s="25">
        <v>4.6501924216862115E-4</v>
      </c>
    </row>
    <row r="340" spans="1:20" x14ac:dyDescent="0.25">
      <c r="A340" s="17" t="s">
        <v>1545</v>
      </c>
      <c r="B340" s="116" t="s">
        <v>1546</v>
      </c>
      <c r="C340" s="116" t="s">
        <v>218</v>
      </c>
      <c r="D340" s="116" t="s">
        <v>1480</v>
      </c>
      <c r="E340" s="215" t="s">
        <v>2923</v>
      </c>
      <c r="F340" s="116" t="s">
        <v>167</v>
      </c>
      <c r="G340" s="116" t="s">
        <v>1486</v>
      </c>
      <c r="H340" s="116" t="s">
        <v>266</v>
      </c>
      <c r="I340" s="116" t="s">
        <v>1544</v>
      </c>
      <c r="J340" s="117">
        <v>4.2149999999999999</v>
      </c>
      <c r="K340" s="117" t="s">
        <v>125</v>
      </c>
      <c r="L340" s="116">
        <v>4.6300000000000001E-2</v>
      </c>
      <c r="M340" s="116">
        <v>6.8339999999999998E-2</v>
      </c>
      <c r="N340" s="70">
        <v>94414.559251704326</v>
      </c>
      <c r="O340" s="61">
        <v>92.11</v>
      </c>
      <c r="P340" s="85">
        <v>0</v>
      </c>
      <c r="Q340" s="85">
        <v>321.77142694895599</v>
      </c>
      <c r="R340" s="25">
        <v>1.7166283500309878E-4</v>
      </c>
      <c r="S340" s="25">
        <v>1.5348935880341032E-3</v>
      </c>
      <c r="T340" s="25">
        <v>5.585814059956936E-4</v>
      </c>
    </row>
    <row r="341" spans="1:20" x14ac:dyDescent="0.25">
      <c r="A341" s="17" t="s">
        <v>1547</v>
      </c>
      <c r="B341" s="116" t="s">
        <v>1548</v>
      </c>
      <c r="C341" s="116" t="s">
        <v>218</v>
      </c>
      <c r="D341" s="116" t="s">
        <v>1480</v>
      </c>
      <c r="E341" s="215" t="s">
        <v>2924</v>
      </c>
      <c r="F341" s="116" t="s">
        <v>186</v>
      </c>
      <c r="G341" s="116" t="s">
        <v>1495</v>
      </c>
      <c r="H341" s="116" t="s">
        <v>266</v>
      </c>
      <c r="I341" s="116" t="s">
        <v>1549</v>
      </c>
      <c r="J341" s="117">
        <v>6.0449999999999999</v>
      </c>
      <c r="K341" s="117" t="s">
        <v>125</v>
      </c>
      <c r="L341" s="116">
        <v>4.2500000000000003E-2</v>
      </c>
      <c r="M341" s="116">
        <v>7.6139999999999999E-2</v>
      </c>
      <c r="N341" s="70">
        <v>149365.40144201866</v>
      </c>
      <c r="O341" s="61">
        <v>82.602999999999994</v>
      </c>
      <c r="P341" s="85">
        <v>0</v>
      </c>
      <c r="Q341" s="85">
        <v>456.5071194158985</v>
      </c>
      <c r="R341" s="25">
        <v>4.9788467147339554E-5</v>
      </c>
      <c r="S341" s="25">
        <v>2.1776012156434722E-3</v>
      </c>
      <c r="T341" s="25">
        <v>7.9247679331958761E-4</v>
      </c>
    </row>
    <row r="342" spans="1:20" x14ac:dyDescent="0.25">
      <c r="A342" s="17" t="s">
        <v>1550</v>
      </c>
      <c r="B342" s="116" t="s">
        <v>1551</v>
      </c>
      <c r="C342" s="116" t="s">
        <v>218</v>
      </c>
      <c r="D342" s="116" t="s">
        <v>1480</v>
      </c>
      <c r="E342" s="215" t="s">
        <v>2925</v>
      </c>
      <c r="F342" s="116" t="s">
        <v>165</v>
      </c>
      <c r="G342" s="116" t="s">
        <v>1495</v>
      </c>
      <c r="H342" s="116" t="s">
        <v>266</v>
      </c>
      <c r="I342" s="116" t="s">
        <v>1552</v>
      </c>
      <c r="J342" s="117">
        <v>5.71</v>
      </c>
      <c r="K342" s="117" t="s">
        <v>125</v>
      </c>
      <c r="L342" s="116">
        <v>4.3799999999999999E-2</v>
      </c>
      <c r="M342" s="116">
        <v>6.8430000000000005E-2</v>
      </c>
      <c r="N342" s="70">
        <v>106728.38730853192</v>
      </c>
      <c r="O342" s="61">
        <v>88.727000000000004</v>
      </c>
      <c r="P342" s="85">
        <v>0</v>
      </c>
      <c r="Q342" s="85">
        <v>350.37851596166564</v>
      </c>
      <c r="R342" s="25">
        <v>6.6705242067832446E-5</v>
      </c>
      <c r="S342" s="25">
        <v>1.6713533039084229E-3</v>
      </c>
      <c r="T342" s="25">
        <v>6.082420864162028E-4</v>
      </c>
    </row>
    <row r="343" spans="1:20" x14ac:dyDescent="0.25">
      <c r="A343" s="17" t="s">
        <v>1553</v>
      </c>
      <c r="B343" s="116" t="s">
        <v>1554</v>
      </c>
      <c r="C343" s="116" t="s">
        <v>218</v>
      </c>
      <c r="D343" s="116" t="s">
        <v>1480</v>
      </c>
      <c r="E343" s="215" t="s">
        <v>2926</v>
      </c>
      <c r="F343" s="116" t="s">
        <v>181</v>
      </c>
      <c r="G343" s="116" t="s">
        <v>1555</v>
      </c>
      <c r="H343" s="116" t="s">
        <v>389</v>
      </c>
      <c r="I343" s="116" t="s">
        <v>1556</v>
      </c>
      <c r="J343" s="117">
        <v>2.5619999999999998</v>
      </c>
      <c r="K343" s="117" t="s">
        <v>125</v>
      </c>
      <c r="L343" s="116">
        <v>4.7E-2</v>
      </c>
      <c r="M343" s="116">
        <v>0.10044</v>
      </c>
      <c r="N343" s="70">
        <v>98438.853600001443</v>
      </c>
      <c r="O343" s="61">
        <v>72.382999999999996</v>
      </c>
      <c r="P343" s="85">
        <v>0</v>
      </c>
      <c r="Q343" s="85">
        <v>263.63608297451651</v>
      </c>
      <c r="R343" s="25">
        <v>1.3125180480000193E-4</v>
      </c>
      <c r="S343" s="25">
        <v>1.2575800690848916E-3</v>
      </c>
      <c r="T343" s="25">
        <v>4.5766094054853297E-4</v>
      </c>
    </row>
    <row r="344" spans="1:20" x14ac:dyDescent="0.25">
      <c r="A344" s="17" t="s">
        <v>1557</v>
      </c>
      <c r="B344" s="116" t="s">
        <v>1558</v>
      </c>
      <c r="C344" s="116" t="s">
        <v>218</v>
      </c>
      <c r="D344" s="116" t="s">
        <v>1480</v>
      </c>
      <c r="E344" s="215" t="s">
        <v>2927</v>
      </c>
      <c r="F344" s="116" t="s">
        <v>167</v>
      </c>
      <c r="G344" s="116" t="s">
        <v>1486</v>
      </c>
      <c r="H344" s="116" t="s">
        <v>266</v>
      </c>
      <c r="I344" s="116" t="s">
        <v>1559</v>
      </c>
      <c r="J344" s="117">
        <v>5.0990000000000002</v>
      </c>
      <c r="K344" s="117" t="s">
        <v>125</v>
      </c>
      <c r="L344" s="116">
        <v>4.1299999999999996E-2</v>
      </c>
      <c r="M344" s="116">
        <v>6.8029999999999993E-2</v>
      </c>
      <c r="N344" s="70">
        <v>104375.32857494164</v>
      </c>
      <c r="O344" s="61">
        <v>88.343000000000004</v>
      </c>
      <c r="P344" s="85">
        <v>0</v>
      </c>
      <c r="Q344" s="85">
        <v>341.17069713495454</v>
      </c>
      <c r="R344" s="25">
        <v>1.0437532857494164E-4</v>
      </c>
      <c r="S344" s="25">
        <v>1.6274307523913159E-3</v>
      </c>
      <c r="T344" s="25">
        <v>5.9225770758198823E-4</v>
      </c>
    </row>
    <row r="345" spans="1:20" x14ac:dyDescent="0.25">
      <c r="A345" s="17" t="s">
        <v>1560</v>
      </c>
      <c r="B345" s="116" t="s">
        <v>1561</v>
      </c>
      <c r="C345" s="116" t="s">
        <v>218</v>
      </c>
      <c r="D345" s="116" t="s">
        <v>1480</v>
      </c>
      <c r="E345" s="215" t="s">
        <v>2928</v>
      </c>
      <c r="F345" s="116" t="s">
        <v>181</v>
      </c>
      <c r="G345" s="116" t="s">
        <v>1562</v>
      </c>
      <c r="H345" s="116" t="s">
        <v>389</v>
      </c>
      <c r="I345" s="116" t="s">
        <v>1563</v>
      </c>
      <c r="J345" s="117">
        <v>2.8140000000000001</v>
      </c>
      <c r="K345" s="117" t="s">
        <v>125</v>
      </c>
      <c r="L345" s="116">
        <v>4.1299999999999996E-2</v>
      </c>
      <c r="M345" s="116">
        <v>8.5530000000000009E-2</v>
      </c>
      <c r="N345" s="70">
        <v>112300.8815207599</v>
      </c>
      <c r="O345" s="61">
        <v>78.352999999999994</v>
      </c>
      <c r="P345" s="85">
        <v>0</v>
      </c>
      <c r="Q345" s="85">
        <v>325.56710585169679</v>
      </c>
      <c r="R345" s="25">
        <v>2.2460176304151978E-4</v>
      </c>
      <c r="S345" s="25">
        <v>1.5529994940348165E-3</v>
      </c>
      <c r="T345" s="25">
        <v>5.6517054188729495E-4</v>
      </c>
    </row>
    <row r="346" spans="1:20" x14ac:dyDescent="0.25">
      <c r="A346" s="17" t="s">
        <v>1564</v>
      </c>
      <c r="B346" s="116" t="s">
        <v>1565</v>
      </c>
      <c r="C346" s="116" t="s">
        <v>218</v>
      </c>
      <c r="D346" s="116" t="s">
        <v>1480</v>
      </c>
      <c r="E346" s="215" t="s">
        <v>2929</v>
      </c>
      <c r="F346" s="116" t="s">
        <v>177</v>
      </c>
      <c r="G346" s="116" t="s">
        <v>1495</v>
      </c>
      <c r="H346" s="116" t="s">
        <v>266</v>
      </c>
      <c r="I346" s="116" t="s">
        <v>1566</v>
      </c>
      <c r="J346" s="117">
        <v>6.0679999999999996</v>
      </c>
      <c r="K346" s="117" t="s">
        <v>125</v>
      </c>
      <c r="L346" s="116">
        <v>5.1299999999999998E-2</v>
      </c>
      <c r="M346" s="116">
        <v>8.1679999999999989E-2</v>
      </c>
      <c r="N346" s="70">
        <v>104616.2735868779</v>
      </c>
      <c r="O346" s="61">
        <v>83.411000000000001</v>
      </c>
      <c r="P346" s="85">
        <v>0</v>
      </c>
      <c r="Q346" s="85">
        <v>322.86747581159926</v>
      </c>
      <c r="R346" s="25">
        <v>5.230813679343895E-5</v>
      </c>
      <c r="S346" s="25">
        <v>1.5401218905822663E-3</v>
      </c>
      <c r="T346" s="25">
        <v>5.6048409984436897E-4</v>
      </c>
    </row>
    <row r="347" spans="1:20" x14ac:dyDescent="0.25">
      <c r="A347" s="17" t="s">
        <v>1567</v>
      </c>
      <c r="B347" s="116" t="s">
        <v>1568</v>
      </c>
      <c r="C347" s="116" t="s">
        <v>218</v>
      </c>
      <c r="D347" s="116" t="s">
        <v>1480</v>
      </c>
      <c r="E347" s="215" t="s">
        <v>2930</v>
      </c>
      <c r="F347" s="116" t="s">
        <v>186</v>
      </c>
      <c r="G347" s="116" t="s">
        <v>506</v>
      </c>
      <c r="H347" s="116" t="s">
        <v>266</v>
      </c>
      <c r="I347" s="116" t="s">
        <v>1569</v>
      </c>
      <c r="J347" s="117">
        <v>15.907999999999999</v>
      </c>
      <c r="K347" s="117" t="s">
        <v>125</v>
      </c>
      <c r="L347" s="116">
        <v>3.5000000000000003E-2</v>
      </c>
      <c r="M347" s="116">
        <v>5.5970000000000006E-2</v>
      </c>
      <c r="N347" s="70">
        <v>159741.41642412482</v>
      </c>
      <c r="O347" s="61">
        <v>71.864999999999995</v>
      </c>
      <c r="P347" s="85">
        <v>0</v>
      </c>
      <c r="Q347" s="85">
        <v>424.75322497883002</v>
      </c>
      <c r="R347" s="25">
        <v>2.1309464795422791E-5</v>
      </c>
      <c r="S347" s="25">
        <v>2.0261308087502592E-3</v>
      </c>
      <c r="T347" s="25">
        <v>7.3735339355510121E-4</v>
      </c>
    </row>
    <row r="348" spans="1:20" x14ac:dyDescent="0.25">
      <c r="A348" s="17" t="s">
        <v>1570</v>
      </c>
      <c r="B348" s="116" t="s">
        <v>1571</v>
      </c>
      <c r="C348" s="116" t="s">
        <v>218</v>
      </c>
      <c r="D348" s="116" t="s">
        <v>1480</v>
      </c>
      <c r="E348" s="215" t="s">
        <v>2931</v>
      </c>
      <c r="F348" s="116" t="s">
        <v>186</v>
      </c>
      <c r="G348" s="116" t="s">
        <v>1486</v>
      </c>
      <c r="H348" s="116" t="s">
        <v>266</v>
      </c>
      <c r="I348" s="116" t="s">
        <v>1572</v>
      </c>
      <c r="J348" s="117">
        <v>6.5229999999999997</v>
      </c>
      <c r="K348" s="117" t="s">
        <v>125</v>
      </c>
      <c r="L348" s="116">
        <v>3.8800000000000001E-2</v>
      </c>
      <c r="M348" s="116">
        <v>7.7130000000000004E-2</v>
      </c>
      <c r="N348" s="70">
        <v>99951.16803662265</v>
      </c>
      <c r="O348" s="61">
        <v>78.680000000000007</v>
      </c>
      <c r="P348" s="85">
        <v>0</v>
      </c>
      <c r="Q348" s="85">
        <v>290.97384234149439</v>
      </c>
      <c r="R348" s="25">
        <v>6.6634112024415094E-5</v>
      </c>
      <c r="S348" s="25">
        <v>1.3879849094445983E-3</v>
      </c>
      <c r="T348" s="25">
        <v>5.0511811910777425E-4</v>
      </c>
    </row>
    <row r="349" spans="1:20" x14ac:dyDescent="0.25">
      <c r="A349" s="17" t="s">
        <v>1573</v>
      </c>
      <c r="B349" s="116" t="s">
        <v>1574</v>
      </c>
      <c r="C349" s="116" t="s">
        <v>218</v>
      </c>
      <c r="D349" s="116" t="s">
        <v>1480</v>
      </c>
      <c r="E349" s="215" t="s">
        <v>2932</v>
      </c>
      <c r="F349" s="116" t="s">
        <v>173</v>
      </c>
      <c r="G349" s="116" t="s">
        <v>1532</v>
      </c>
      <c r="H349" s="116" t="s">
        <v>266</v>
      </c>
      <c r="I349" s="116" t="s">
        <v>1575</v>
      </c>
      <c r="J349" s="117">
        <v>6.9329999999999998</v>
      </c>
      <c r="K349" s="117" t="s">
        <v>125</v>
      </c>
      <c r="L349" s="116">
        <v>3.3799999999999997E-2</v>
      </c>
      <c r="M349" s="116">
        <v>6.4960000000000004E-2</v>
      </c>
      <c r="N349" s="70">
        <v>106118.33504426778</v>
      </c>
      <c r="O349" s="61">
        <v>79.918999999999997</v>
      </c>
      <c r="P349" s="85">
        <v>0</v>
      </c>
      <c r="Q349" s="85">
        <v>313.79223508090496</v>
      </c>
      <c r="R349" s="25">
        <v>1.6325897699118118E-4</v>
      </c>
      <c r="S349" s="25">
        <v>1.4968317546634597E-3</v>
      </c>
      <c r="T349" s="25">
        <v>5.4472987090251588E-4</v>
      </c>
    </row>
    <row r="350" spans="1:20" x14ac:dyDescent="0.25">
      <c r="A350" s="17" t="s">
        <v>1576</v>
      </c>
      <c r="B350" s="116" t="s">
        <v>1577</v>
      </c>
      <c r="C350" s="116" t="s">
        <v>218</v>
      </c>
      <c r="D350" s="116" t="s">
        <v>1480</v>
      </c>
      <c r="E350" s="215" t="s">
        <v>2933</v>
      </c>
      <c r="F350" s="116" t="s">
        <v>179</v>
      </c>
      <c r="G350" s="116" t="s">
        <v>1578</v>
      </c>
      <c r="H350" s="116" t="s">
        <v>266</v>
      </c>
      <c r="I350" s="116" t="s">
        <v>1579</v>
      </c>
      <c r="J350" s="117">
        <v>7.0229999999999997</v>
      </c>
      <c r="K350" s="117" t="s">
        <v>125</v>
      </c>
      <c r="L350" s="116">
        <v>3.85E-2</v>
      </c>
      <c r="M350" s="116">
        <v>6.0570000000000006E-2</v>
      </c>
      <c r="N350" s="70">
        <v>164047.66770128353</v>
      </c>
      <c r="O350" s="61">
        <v>86.661000000000001</v>
      </c>
      <c r="P350" s="85">
        <v>0</v>
      </c>
      <c r="Q350" s="85">
        <v>526.01179243445438</v>
      </c>
      <c r="R350" s="25">
        <v>6.5619067080513409E-5</v>
      </c>
      <c r="S350" s="25">
        <v>2.5091479846221609E-3</v>
      </c>
      <c r="T350" s="25">
        <v>9.1313392669561825E-4</v>
      </c>
    </row>
    <row r="351" spans="1:20" x14ac:dyDescent="0.25">
      <c r="A351" s="17" t="s">
        <v>1580</v>
      </c>
      <c r="B351" s="116" t="s">
        <v>1581</v>
      </c>
      <c r="C351" s="116" t="s">
        <v>218</v>
      </c>
      <c r="D351" s="116" t="s">
        <v>1480</v>
      </c>
      <c r="E351" s="215" t="s">
        <v>2934</v>
      </c>
      <c r="F351" s="116" t="s">
        <v>179</v>
      </c>
      <c r="G351" s="116" t="s">
        <v>1578</v>
      </c>
      <c r="H351" s="116" t="s">
        <v>266</v>
      </c>
      <c r="I351" s="116" t="s">
        <v>1582</v>
      </c>
      <c r="J351" s="117">
        <v>6.9450000000000003</v>
      </c>
      <c r="K351" s="117" t="s">
        <v>125</v>
      </c>
      <c r="L351" s="116">
        <v>3.3500000000000002E-2</v>
      </c>
      <c r="M351" s="116">
        <v>6.3670000000000004E-2</v>
      </c>
      <c r="N351" s="70">
        <v>146617.60300802215</v>
      </c>
      <c r="O351" s="61">
        <v>80.5</v>
      </c>
      <c r="P351" s="85">
        <v>0</v>
      </c>
      <c r="Q351" s="85">
        <v>436.700530559394</v>
      </c>
      <c r="R351" s="25">
        <v>1.1729408240641773E-4</v>
      </c>
      <c r="S351" s="25">
        <v>2.0831210856799777E-3</v>
      </c>
      <c r="T351" s="25">
        <v>7.5809340397905436E-4</v>
      </c>
    </row>
    <row r="352" spans="1:20" x14ac:dyDescent="0.25">
      <c r="A352" s="17" t="s">
        <v>1583</v>
      </c>
      <c r="B352" s="116" t="s">
        <v>1584</v>
      </c>
      <c r="C352" s="116" t="s">
        <v>218</v>
      </c>
      <c r="D352" s="116" t="s">
        <v>1480</v>
      </c>
      <c r="E352" s="215" t="s">
        <v>2935</v>
      </c>
      <c r="F352" s="116" t="s">
        <v>185</v>
      </c>
      <c r="G352" s="116" t="s">
        <v>1532</v>
      </c>
      <c r="H352" s="116" t="s">
        <v>266</v>
      </c>
      <c r="I352" s="116" t="s">
        <v>1368</v>
      </c>
      <c r="J352" s="117">
        <v>7.0960000000000001</v>
      </c>
      <c r="K352" s="117" t="s">
        <v>125</v>
      </c>
      <c r="L352" s="116">
        <v>4.1500000000000002E-2</v>
      </c>
      <c r="M352" s="116">
        <v>5.5789999999999999E-2</v>
      </c>
      <c r="N352" s="70">
        <v>153794.68846995331</v>
      </c>
      <c r="O352" s="61">
        <v>91.472999999999999</v>
      </c>
      <c r="P352" s="85">
        <v>0</v>
      </c>
      <c r="Q352" s="85">
        <v>520.51827692124539</v>
      </c>
      <c r="R352" s="25">
        <v>1.2816224039162777E-4</v>
      </c>
      <c r="S352" s="25">
        <v>2.4829431664475251E-3</v>
      </c>
      <c r="T352" s="25">
        <v>9.0359741921786074E-4</v>
      </c>
    </row>
    <row r="353" spans="1:20" x14ac:dyDescent="0.25">
      <c r="A353" s="17" t="s">
        <v>1585</v>
      </c>
      <c r="B353" s="116" t="s">
        <v>1586</v>
      </c>
      <c r="C353" s="116" t="s">
        <v>218</v>
      </c>
      <c r="D353" s="116" t="s">
        <v>1480</v>
      </c>
      <c r="E353" s="215" t="s">
        <v>2936</v>
      </c>
      <c r="F353" s="116" t="s">
        <v>171</v>
      </c>
      <c r="G353" s="116" t="s">
        <v>506</v>
      </c>
      <c r="H353" s="116" t="s">
        <v>266</v>
      </c>
      <c r="I353" s="116" t="s">
        <v>1587</v>
      </c>
      <c r="J353" s="117">
        <v>7.61</v>
      </c>
      <c r="K353" s="117" t="s">
        <v>125</v>
      </c>
      <c r="L353" s="116">
        <v>3.5000000000000003E-2</v>
      </c>
      <c r="M353" s="116">
        <v>5.4179999999999999E-2</v>
      </c>
      <c r="N353" s="70">
        <v>128162.24039162775</v>
      </c>
      <c r="O353" s="61">
        <v>87.131</v>
      </c>
      <c r="P353" s="85">
        <v>0</v>
      </c>
      <c r="Q353" s="85">
        <v>413.17545419982798</v>
      </c>
      <c r="R353" s="25">
        <v>1.2816224039162774E-4</v>
      </c>
      <c r="S353" s="25">
        <v>1.9709032632191951E-3</v>
      </c>
      <c r="T353" s="25">
        <v>7.1725487970832405E-4</v>
      </c>
    </row>
    <row r="354" spans="1:20" x14ac:dyDescent="0.25">
      <c r="A354" s="17" t="s">
        <v>1588</v>
      </c>
      <c r="B354" s="116" t="s">
        <v>1589</v>
      </c>
      <c r="C354" s="116" t="s">
        <v>218</v>
      </c>
      <c r="D354" s="116" t="s">
        <v>1480</v>
      </c>
      <c r="E354" s="215" t="s">
        <v>2937</v>
      </c>
      <c r="F354" s="116" t="s">
        <v>179</v>
      </c>
      <c r="G354" s="116" t="s">
        <v>1481</v>
      </c>
      <c r="H354" s="116" t="s">
        <v>389</v>
      </c>
      <c r="I354" s="116" t="s">
        <v>1590</v>
      </c>
      <c r="J354" s="117">
        <v>6.8979999999999997</v>
      </c>
      <c r="K354" s="117" t="s">
        <v>125</v>
      </c>
      <c r="L354" s="116">
        <v>3.32E-2</v>
      </c>
      <c r="M354" s="116">
        <v>6.769E-2</v>
      </c>
      <c r="N354" s="70">
        <v>148668.1988542882</v>
      </c>
      <c r="O354" s="61">
        <v>76.938999999999993</v>
      </c>
      <c r="P354" s="85">
        <v>0</v>
      </c>
      <c r="Q354" s="85">
        <v>423.22015441105293</v>
      </c>
      <c r="R354" s="25">
        <v>1.486681988542882E-4</v>
      </c>
      <c r="S354" s="25">
        <v>2.018817853069896E-3</v>
      </c>
      <c r="T354" s="25">
        <v>7.3469204875715121E-4</v>
      </c>
    </row>
    <row r="355" spans="1:20" x14ac:dyDescent="0.25">
      <c r="A355" s="17" t="s">
        <v>1591</v>
      </c>
      <c r="B355" s="116" t="s">
        <v>1592</v>
      </c>
      <c r="C355" s="116" t="s">
        <v>218</v>
      </c>
      <c r="D355" s="116" t="s">
        <v>1480</v>
      </c>
      <c r="E355" s="215" t="s">
        <v>2938</v>
      </c>
      <c r="F355" s="116" t="s">
        <v>175</v>
      </c>
      <c r="G355" s="116" t="s">
        <v>1532</v>
      </c>
      <c r="H355" s="116" t="s">
        <v>266</v>
      </c>
      <c r="I355" s="116" t="s">
        <v>971</v>
      </c>
      <c r="J355" s="117">
        <v>7.0810000000000004</v>
      </c>
      <c r="K355" s="117" t="s">
        <v>125</v>
      </c>
      <c r="L355" s="116">
        <v>2.2499999999999999E-2</v>
      </c>
      <c r="M355" s="116">
        <v>5.0730000000000004E-2</v>
      </c>
      <c r="N355" s="70">
        <v>122717.90841979141</v>
      </c>
      <c r="O355" s="61">
        <v>82.772999999999996</v>
      </c>
      <c r="P355" s="85">
        <v>0</v>
      </c>
      <c r="Q355" s="85">
        <v>375.83598900334965</v>
      </c>
      <c r="R355" s="25">
        <v>1.227179084197914E-4</v>
      </c>
      <c r="S355" s="25">
        <v>1.7927889220729605E-3</v>
      </c>
      <c r="T355" s="25">
        <v>6.5243516850418167E-4</v>
      </c>
    </row>
    <row r="356" spans="1:20" x14ac:dyDescent="0.25">
      <c r="A356" s="17" t="s">
        <v>1593</v>
      </c>
      <c r="B356" s="116" t="s">
        <v>1594</v>
      </c>
      <c r="C356" s="116" t="s">
        <v>218</v>
      </c>
      <c r="D356" s="116" t="s">
        <v>1480</v>
      </c>
      <c r="E356" s="215" t="s">
        <v>2939</v>
      </c>
      <c r="F356" s="116" t="s">
        <v>183</v>
      </c>
      <c r="G356" s="116" t="s">
        <v>1532</v>
      </c>
      <c r="H356" s="116" t="s">
        <v>266</v>
      </c>
      <c r="I356" s="116" t="s">
        <v>1595</v>
      </c>
      <c r="J356" s="117">
        <v>6.9189999999999996</v>
      </c>
      <c r="K356" s="117" t="s">
        <v>125</v>
      </c>
      <c r="L356" s="116">
        <v>2.7000000000000003E-2</v>
      </c>
      <c r="M356" s="116">
        <v>5.321E-2</v>
      </c>
      <c r="N356" s="70">
        <v>102381.12411444791</v>
      </c>
      <c r="O356" s="61">
        <v>83.424999999999997</v>
      </c>
      <c r="P356" s="85">
        <v>0</v>
      </c>
      <c r="Q356" s="85">
        <v>316.02237530653679</v>
      </c>
      <c r="R356" s="25">
        <v>1.3650816548593054E-4</v>
      </c>
      <c r="S356" s="25">
        <v>1.5074698276744678E-3</v>
      </c>
      <c r="T356" s="25">
        <v>5.4860129874995675E-4</v>
      </c>
    </row>
    <row r="357" spans="1:20" x14ac:dyDescent="0.25">
      <c r="A357" s="17" t="s">
        <v>1596</v>
      </c>
      <c r="B357" s="116" t="s">
        <v>1597</v>
      </c>
      <c r="C357" s="116" t="s">
        <v>218</v>
      </c>
      <c r="D357" s="116" t="s">
        <v>1480</v>
      </c>
      <c r="E357" s="215" t="s">
        <v>2940</v>
      </c>
      <c r="F357" s="116" t="s">
        <v>165</v>
      </c>
      <c r="G357" s="116" t="s">
        <v>1481</v>
      </c>
      <c r="H357" s="116" t="s">
        <v>389</v>
      </c>
      <c r="I357" s="116" t="s">
        <v>1598</v>
      </c>
      <c r="J357" s="117">
        <v>3.4180000000000001</v>
      </c>
      <c r="K357" s="117" t="s">
        <v>125</v>
      </c>
      <c r="L357" s="116">
        <v>6.1600000000000002E-2</v>
      </c>
      <c r="M357" s="116">
        <v>6.318E-2</v>
      </c>
      <c r="N357" s="70">
        <v>141091.24720233516</v>
      </c>
      <c r="O357" s="61">
        <v>102.702</v>
      </c>
      <c r="P357" s="85">
        <v>0</v>
      </c>
      <c r="Q357" s="85">
        <v>536.1430709554345</v>
      </c>
      <c r="R357" s="25">
        <v>7.0545623601167581E-5</v>
      </c>
      <c r="S357" s="25">
        <v>2.5574755648174858E-3</v>
      </c>
      <c r="T357" s="25">
        <v>9.3072139197941672E-4</v>
      </c>
    </row>
    <row r="358" spans="1:20" x14ac:dyDescent="0.25">
      <c r="A358" s="17" t="s">
        <v>1599</v>
      </c>
      <c r="B358" s="116" t="s">
        <v>1600</v>
      </c>
      <c r="C358" s="116" t="s">
        <v>218</v>
      </c>
      <c r="D358" s="116" t="s">
        <v>1480</v>
      </c>
      <c r="E358" s="215" t="s">
        <v>2941</v>
      </c>
      <c r="F358" s="116" t="s">
        <v>180</v>
      </c>
      <c r="G358" s="116" t="s">
        <v>1578</v>
      </c>
      <c r="H358" s="116" t="s">
        <v>266</v>
      </c>
      <c r="I358" s="116" t="s">
        <v>1601</v>
      </c>
      <c r="J358" s="117">
        <v>6.8</v>
      </c>
      <c r="K358" s="117" t="s">
        <v>125</v>
      </c>
      <c r="L358" s="116">
        <v>5.2999999999999999E-2</v>
      </c>
      <c r="M358" s="116">
        <v>6.2110000000000005E-2</v>
      </c>
      <c r="N358" s="70">
        <v>153794.68846995331</v>
      </c>
      <c r="O358" s="61">
        <v>95.576999999999998</v>
      </c>
      <c r="P358" s="85">
        <v>0</v>
      </c>
      <c r="Q358" s="85">
        <v>543.87169277603084</v>
      </c>
      <c r="R358" s="25">
        <v>7.6897344234976657E-5</v>
      </c>
      <c r="S358" s="25">
        <v>2.5943421448903514E-3</v>
      </c>
      <c r="T358" s="25">
        <v>9.441379482096955E-4</v>
      </c>
    </row>
    <row r="359" spans="1:20" x14ac:dyDescent="0.25">
      <c r="A359" s="17" t="s">
        <v>1602</v>
      </c>
      <c r="B359" s="116" t="s">
        <v>1603</v>
      </c>
      <c r="C359" s="116" t="s">
        <v>218</v>
      </c>
      <c r="D359" s="116" t="s">
        <v>1480</v>
      </c>
      <c r="E359" s="215" t="s">
        <v>2942</v>
      </c>
      <c r="F359" s="116" t="s">
        <v>188</v>
      </c>
      <c r="G359" s="116" t="s">
        <v>1481</v>
      </c>
      <c r="H359" s="116" t="s">
        <v>389</v>
      </c>
      <c r="I359" s="116" t="s">
        <v>1604</v>
      </c>
      <c r="J359" s="117">
        <v>6.883</v>
      </c>
      <c r="K359" s="117" t="s">
        <v>125</v>
      </c>
      <c r="L359" s="116">
        <v>5.5E-2</v>
      </c>
      <c r="M359" s="116">
        <v>6.0049999999999999E-2</v>
      </c>
      <c r="N359" s="70">
        <v>102550.29827176486</v>
      </c>
      <c r="O359" s="61">
        <v>98.959000000000003</v>
      </c>
      <c r="P359" s="85">
        <v>0</v>
      </c>
      <c r="Q359" s="85">
        <v>375.48617375674343</v>
      </c>
      <c r="R359" s="25">
        <v>1.3673373102901981E-4</v>
      </c>
      <c r="S359" s="25">
        <v>1.7911202556406931E-3</v>
      </c>
      <c r="T359" s="25">
        <v>6.518279042292247E-4</v>
      </c>
    </row>
    <row r="360" spans="1:20" x14ac:dyDescent="0.25">
      <c r="A360" s="17" t="s">
        <v>1605</v>
      </c>
      <c r="B360" s="116" t="s">
        <v>1606</v>
      </c>
      <c r="C360" s="116" t="s">
        <v>218</v>
      </c>
      <c r="D360" s="116" t="s">
        <v>1480</v>
      </c>
      <c r="E360" s="116" t="s">
        <v>1607</v>
      </c>
      <c r="F360" s="116" t="s">
        <v>179</v>
      </c>
      <c r="G360" s="116" t="s">
        <v>1608</v>
      </c>
      <c r="H360" s="116" t="s">
        <v>389</v>
      </c>
      <c r="I360" s="116" t="s">
        <v>1096</v>
      </c>
      <c r="J360" s="117">
        <v>6.9790000000000001</v>
      </c>
      <c r="K360" s="117" t="s">
        <v>125</v>
      </c>
      <c r="L360" s="116">
        <v>5.7200000000000001E-2</v>
      </c>
      <c r="M360" s="116">
        <v>5.5629999999999999E-2</v>
      </c>
      <c r="N360" s="70">
        <v>58236.922033955649</v>
      </c>
      <c r="O360" s="61">
        <v>103.22799999999998</v>
      </c>
      <c r="P360" s="85">
        <v>0</v>
      </c>
      <c r="Q360" s="85">
        <v>222.43219654568344</v>
      </c>
      <c r="R360" s="25">
        <v>1.6639120581130185E-5</v>
      </c>
      <c r="S360" s="25">
        <v>1.0610319116509692E-3</v>
      </c>
      <c r="T360" s="25">
        <v>3.8613275971488944E-4</v>
      </c>
    </row>
    <row r="361" spans="1:20" x14ac:dyDescent="0.25">
      <c r="A361" s="17" t="s">
        <v>1605</v>
      </c>
      <c r="B361" s="116" t="s">
        <v>1606</v>
      </c>
      <c r="C361" s="116" t="s">
        <v>218</v>
      </c>
      <c r="D361" s="116" t="s">
        <v>1480</v>
      </c>
      <c r="E361" s="116" t="s">
        <v>1607</v>
      </c>
      <c r="F361" s="116" t="s">
        <v>179</v>
      </c>
      <c r="G361" s="116" t="s">
        <v>1608</v>
      </c>
      <c r="H361" s="116" t="s">
        <v>389</v>
      </c>
      <c r="I361" s="116" t="s">
        <v>1609</v>
      </c>
      <c r="J361" s="117">
        <v>6.9790000000000001</v>
      </c>
      <c r="K361" s="117" t="s">
        <v>125</v>
      </c>
      <c r="L361" s="116">
        <v>5.7200000000000001E-2</v>
      </c>
      <c r="M361" s="116">
        <v>5.5629999999999999E-2</v>
      </c>
      <c r="N361" s="70">
        <v>133288.73000729285</v>
      </c>
      <c r="O361" s="61">
        <v>103.22799999999998</v>
      </c>
      <c r="P361" s="85">
        <v>0</v>
      </c>
      <c r="Q361" s="85">
        <v>509.08777378413458</v>
      </c>
      <c r="R361" s="25">
        <v>3.8082494287797953E-5</v>
      </c>
      <c r="S361" s="25">
        <v>2.4284181076518656E-3</v>
      </c>
      <c r="T361" s="25">
        <v>8.8375455568548628E-4</v>
      </c>
    </row>
    <row r="362" spans="1:20" x14ac:dyDescent="0.25">
      <c r="A362" s="17" t="s">
        <v>1610</v>
      </c>
      <c r="B362" s="116" t="s">
        <v>1611</v>
      </c>
      <c r="C362" s="116" t="s">
        <v>218</v>
      </c>
      <c r="D362" s="116" t="s">
        <v>1480</v>
      </c>
      <c r="E362" s="215" t="s">
        <v>2943</v>
      </c>
      <c r="F362" s="116" t="s">
        <v>183</v>
      </c>
      <c r="G362" s="116" t="s">
        <v>1481</v>
      </c>
      <c r="H362" s="116" t="s">
        <v>389</v>
      </c>
      <c r="I362" s="116" t="s">
        <v>1612</v>
      </c>
      <c r="J362" s="117">
        <v>6.86</v>
      </c>
      <c r="K362" s="117" t="s">
        <v>125</v>
      </c>
      <c r="L362" s="116">
        <v>3.15E-2</v>
      </c>
      <c r="M362" s="116">
        <v>7.2329999999999992E-2</v>
      </c>
      <c r="N362" s="70">
        <v>90354.379476097558</v>
      </c>
      <c r="O362" s="61">
        <v>75.685000000000002</v>
      </c>
      <c r="P362" s="85">
        <v>0</v>
      </c>
      <c r="Q362" s="85">
        <v>253.02343476836</v>
      </c>
      <c r="R362" s="25">
        <v>1.3935684492902563E-4</v>
      </c>
      <c r="S362" s="25">
        <v>1.2069562898446196E-3</v>
      </c>
      <c r="T362" s="25">
        <v>4.3923783812286932E-4</v>
      </c>
    </row>
    <row r="363" spans="1:20" x14ac:dyDescent="0.25">
      <c r="A363" s="17" t="s">
        <v>1613</v>
      </c>
      <c r="B363" s="116" t="s">
        <v>1614</v>
      </c>
      <c r="C363" s="116" t="s">
        <v>218</v>
      </c>
      <c r="D363" s="116" t="s">
        <v>1480</v>
      </c>
      <c r="E363" s="215" t="s">
        <v>2926</v>
      </c>
      <c r="F363" s="116" t="s">
        <v>171</v>
      </c>
      <c r="G363" s="116" t="s">
        <v>1532</v>
      </c>
      <c r="H363" s="116" t="s">
        <v>266</v>
      </c>
      <c r="I363" s="116" t="s">
        <v>985</v>
      </c>
      <c r="J363" s="117">
        <v>5.7060000000000004</v>
      </c>
      <c r="K363" s="117" t="s">
        <v>125</v>
      </c>
      <c r="L363" s="116">
        <v>3.2500000000000001E-2</v>
      </c>
      <c r="M363" s="116">
        <v>5.67E-2</v>
      </c>
      <c r="N363" s="70">
        <v>133924.41471963533</v>
      </c>
      <c r="O363" s="61">
        <v>88.251999999999995</v>
      </c>
      <c r="P363" s="85">
        <v>0</v>
      </c>
      <c r="Q363" s="85">
        <v>437.30660553921956</v>
      </c>
      <c r="R363" s="25">
        <v>1.0717554275807498E-4</v>
      </c>
      <c r="S363" s="25">
        <v>2.0860121459870501E-3</v>
      </c>
      <c r="T363" s="25">
        <v>7.5914552416753666E-4</v>
      </c>
    </row>
    <row r="364" spans="1:20" x14ac:dyDescent="0.25">
      <c r="A364" s="17" t="s">
        <v>1615</v>
      </c>
      <c r="B364" s="116" t="s">
        <v>1616</v>
      </c>
      <c r="C364" s="116" t="s">
        <v>218</v>
      </c>
      <c r="D364" s="116" t="s">
        <v>1480</v>
      </c>
      <c r="E364" s="215" t="s">
        <v>2944</v>
      </c>
      <c r="F364" s="116" t="s">
        <v>169</v>
      </c>
      <c r="G364" s="116" t="s">
        <v>1532</v>
      </c>
      <c r="H364" s="116" t="s">
        <v>266</v>
      </c>
      <c r="I364" s="116" t="s">
        <v>985</v>
      </c>
      <c r="J364" s="117">
        <v>5.18</v>
      </c>
      <c r="K364" s="117" t="s">
        <v>125</v>
      </c>
      <c r="L364" s="116">
        <v>5.4000000000000006E-2</v>
      </c>
      <c r="M364" s="116">
        <v>5.9109999999999996E-2</v>
      </c>
      <c r="N364" s="70">
        <v>133493.78959191946</v>
      </c>
      <c r="O364" s="61">
        <v>98.691000000000003</v>
      </c>
      <c r="P364" s="85">
        <v>0</v>
      </c>
      <c r="Q364" s="85">
        <v>487.46151677879658</v>
      </c>
      <c r="R364" s="25">
        <v>1.3349378959191945E-4</v>
      </c>
      <c r="S364" s="25">
        <v>2.3252579124617046E-3</v>
      </c>
      <c r="T364" s="25">
        <v>8.4621230042991873E-4</v>
      </c>
    </row>
    <row r="365" spans="1:20" x14ac:dyDescent="0.25">
      <c r="A365" s="17" t="s">
        <v>1617</v>
      </c>
      <c r="B365" s="116" t="s">
        <v>1618</v>
      </c>
      <c r="C365" s="116" t="s">
        <v>218</v>
      </c>
      <c r="D365" s="116" t="s">
        <v>1480</v>
      </c>
      <c r="E365" s="215" t="s">
        <v>2945</v>
      </c>
      <c r="F365" s="116" t="s">
        <v>183</v>
      </c>
      <c r="G365" s="116" t="s">
        <v>506</v>
      </c>
      <c r="H365" s="116" t="s">
        <v>266</v>
      </c>
      <c r="I365" s="116" t="s">
        <v>1619</v>
      </c>
      <c r="J365" s="117">
        <v>6.8949999999999996</v>
      </c>
      <c r="K365" s="117" t="s">
        <v>125</v>
      </c>
      <c r="L365" s="116">
        <v>6.25E-2</v>
      </c>
      <c r="M365" s="116">
        <v>5.4779999999999995E-2</v>
      </c>
      <c r="N365" s="70">
        <v>164047.66770128353</v>
      </c>
      <c r="O365" s="61">
        <v>107.06700000000001</v>
      </c>
      <c r="P365" s="85">
        <v>0</v>
      </c>
      <c r="Q365" s="85">
        <v>649.87139059761296</v>
      </c>
      <c r="R365" s="25">
        <v>7.2910074533903793E-5</v>
      </c>
      <c r="S365" s="25">
        <v>3.0999751591781876E-3</v>
      </c>
      <c r="T365" s="25">
        <v>1.1281488804597197E-3</v>
      </c>
    </row>
    <row r="366" spans="1:20" x14ac:dyDescent="0.25">
      <c r="A366" s="17" t="s">
        <v>1620</v>
      </c>
      <c r="B366" s="116" t="s">
        <v>1621</v>
      </c>
      <c r="C366" s="116" t="s">
        <v>218</v>
      </c>
      <c r="D366" s="116" t="s">
        <v>1480</v>
      </c>
      <c r="E366" s="215" t="s">
        <v>2946</v>
      </c>
      <c r="F366" s="116" t="s">
        <v>169</v>
      </c>
      <c r="G366" s="116" t="s">
        <v>1562</v>
      </c>
      <c r="H366" s="116" t="s">
        <v>389</v>
      </c>
      <c r="I366" s="116" t="s">
        <v>1403</v>
      </c>
      <c r="J366" s="117">
        <v>5.1959999999999997</v>
      </c>
      <c r="K366" s="117" t="s">
        <v>125</v>
      </c>
      <c r="L366" s="116">
        <v>6.3E-2</v>
      </c>
      <c r="M366" s="116">
        <v>6.3479999999999995E-2</v>
      </c>
      <c r="N366" s="70">
        <v>137184.86211519834</v>
      </c>
      <c r="O366" s="61">
        <v>102.55000000000001</v>
      </c>
      <c r="P366" s="85">
        <v>0</v>
      </c>
      <c r="Q366" s="85">
        <v>520.52738156680289</v>
      </c>
      <c r="R366" s="25">
        <v>1.2471351101381667E-4</v>
      </c>
      <c r="S366" s="25">
        <v>2.4829865968484782E-3</v>
      </c>
      <c r="T366" s="25">
        <v>9.0361322449232159E-4</v>
      </c>
    </row>
    <row r="367" spans="1:20" x14ac:dyDescent="0.25">
      <c r="A367" s="17" t="s">
        <v>1622</v>
      </c>
      <c r="B367" s="116" t="s">
        <v>1623</v>
      </c>
      <c r="C367" s="116" t="s">
        <v>218</v>
      </c>
      <c r="D367" s="116" t="s">
        <v>1480</v>
      </c>
      <c r="E367" s="215" t="s">
        <v>2947</v>
      </c>
      <c r="F367" s="116" t="s">
        <v>175</v>
      </c>
      <c r="G367" s="116" t="s">
        <v>1481</v>
      </c>
      <c r="H367" s="116" t="s">
        <v>389</v>
      </c>
      <c r="I367" s="116" t="s">
        <v>1624</v>
      </c>
      <c r="J367" s="117">
        <v>6.3220000000000001</v>
      </c>
      <c r="K367" s="117" t="s">
        <v>125</v>
      </c>
      <c r="L367" s="116">
        <v>4.2500000000000003E-2</v>
      </c>
      <c r="M367" s="116">
        <v>6.7350000000000007E-2</v>
      </c>
      <c r="N367" s="70">
        <v>114894.88526628645</v>
      </c>
      <c r="O367" s="61">
        <v>86.744</v>
      </c>
      <c r="P367" s="85">
        <v>0</v>
      </c>
      <c r="Q367" s="85">
        <v>368.75835128817488</v>
      </c>
      <c r="R367" s="25">
        <v>1.1513574925372524E-4</v>
      </c>
      <c r="S367" s="25">
        <v>1.7590276249607297E-3</v>
      </c>
      <c r="T367" s="25">
        <v>6.4014869277960581E-4</v>
      </c>
    </row>
    <row r="368" spans="1:20" x14ac:dyDescent="0.25">
      <c r="A368" s="17" t="s">
        <v>1625</v>
      </c>
      <c r="B368" s="116" t="s">
        <v>1626</v>
      </c>
      <c r="C368" s="116" t="s">
        <v>218</v>
      </c>
      <c r="D368" s="116" t="s">
        <v>1480</v>
      </c>
      <c r="E368" s="215" t="s">
        <v>2948</v>
      </c>
      <c r="F368" s="116" t="s">
        <v>183</v>
      </c>
      <c r="G368" s="116" t="s">
        <v>1481</v>
      </c>
      <c r="H368" s="116" t="s">
        <v>389</v>
      </c>
      <c r="I368" s="116" t="s">
        <v>1412</v>
      </c>
      <c r="J368" s="117">
        <v>7.2060000000000004</v>
      </c>
      <c r="K368" s="117" t="s">
        <v>125</v>
      </c>
      <c r="L368" s="116">
        <v>5.7500000000000002E-2</v>
      </c>
      <c r="M368" s="116">
        <v>5.8710000000000005E-2</v>
      </c>
      <c r="N368" s="70">
        <v>111244.82465993288</v>
      </c>
      <c r="O368" s="61">
        <v>101.538</v>
      </c>
      <c r="P368" s="85">
        <v>0</v>
      </c>
      <c r="Q368" s="85">
        <v>417.93634923384985</v>
      </c>
      <c r="R368" s="25">
        <v>1.4832643287991052E-4</v>
      </c>
      <c r="S368" s="25">
        <v>1.9936133817971967E-3</v>
      </c>
      <c r="T368" s="25">
        <v>7.2551958943447301E-4</v>
      </c>
    </row>
    <row r="369" spans="1:20" x14ac:dyDescent="0.25">
      <c r="A369" s="17" t="s">
        <v>1627</v>
      </c>
      <c r="B369" s="116" t="s">
        <v>1628</v>
      </c>
      <c r="C369" s="116" t="s">
        <v>218</v>
      </c>
      <c r="D369" s="116" t="s">
        <v>1480</v>
      </c>
      <c r="E369" s="215" t="s">
        <v>2949</v>
      </c>
      <c r="F369" s="116" t="s">
        <v>180</v>
      </c>
      <c r="G369" s="116" t="s">
        <v>1528</v>
      </c>
      <c r="H369" s="116" t="s">
        <v>266</v>
      </c>
      <c r="I369" s="116" t="s">
        <v>1629</v>
      </c>
      <c r="J369" s="117">
        <v>6.3609999999999998</v>
      </c>
      <c r="K369" s="117" t="s">
        <v>125</v>
      </c>
      <c r="L369" s="116">
        <v>3.8800000000000001E-2</v>
      </c>
      <c r="M369" s="116">
        <v>6.1509999999999995E-2</v>
      </c>
      <c r="N369" s="70">
        <v>116883.96323716451</v>
      </c>
      <c r="O369" s="61">
        <v>87.058000000000007</v>
      </c>
      <c r="P369" s="85">
        <v>0</v>
      </c>
      <c r="Q369" s="85">
        <v>376.50031064553951</v>
      </c>
      <c r="R369" s="25">
        <v>1.1688396323716451E-4</v>
      </c>
      <c r="S369" s="25">
        <v>1.7959578269028825E-3</v>
      </c>
      <c r="T369" s="25">
        <v>6.5358840240206488E-4</v>
      </c>
    </row>
    <row r="370" spans="1:20" x14ac:dyDescent="0.25">
      <c r="A370" s="17" t="s">
        <v>1630</v>
      </c>
      <c r="B370" s="116" t="s">
        <v>1631</v>
      </c>
      <c r="C370" s="116" t="s">
        <v>218</v>
      </c>
      <c r="D370" s="116" t="s">
        <v>1480</v>
      </c>
      <c r="E370" s="215" t="s">
        <v>2950</v>
      </c>
      <c r="F370" s="116" t="s">
        <v>188</v>
      </c>
      <c r="G370" s="116" t="s">
        <v>1532</v>
      </c>
      <c r="H370" s="116" t="s">
        <v>266</v>
      </c>
      <c r="I370" s="116" t="s">
        <v>1632</v>
      </c>
      <c r="J370" s="117">
        <v>6.9409999999999998</v>
      </c>
      <c r="K370" s="117" t="s">
        <v>125</v>
      </c>
      <c r="L370" s="116">
        <v>4.2800000000000005E-2</v>
      </c>
      <c r="M370" s="116">
        <v>6.053E-2</v>
      </c>
      <c r="N370" s="70">
        <v>151744.09262368726</v>
      </c>
      <c r="O370" s="61">
        <v>89.914000000000001</v>
      </c>
      <c r="P370" s="85">
        <v>0</v>
      </c>
      <c r="Q370" s="85">
        <v>504.82497873415002</v>
      </c>
      <c r="R370" s="25">
        <v>3.0419781791701134E-5</v>
      </c>
      <c r="S370" s="25">
        <v>2.4080839939259668E-3</v>
      </c>
      <c r="T370" s="25">
        <v>8.7635452618296122E-4</v>
      </c>
    </row>
    <row r="371" spans="1:20" x14ac:dyDescent="0.25">
      <c r="A371" s="17" t="s">
        <v>1633</v>
      </c>
      <c r="B371" s="116" t="s">
        <v>1634</v>
      </c>
      <c r="C371" s="116" t="s">
        <v>218</v>
      </c>
      <c r="D371" s="116" t="s">
        <v>1480</v>
      </c>
      <c r="E371" s="215" t="s">
        <v>2951</v>
      </c>
      <c r="F371" s="116" t="s">
        <v>170</v>
      </c>
      <c r="G371" s="116" t="s">
        <v>1532</v>
      </c>
      <c r="H371" s="116" t="s">
        <v>266</v>
      </c>
      <c r="I371" s="116" t="s">
        <v>1635</v>
      </c>
      <c r="J371" s="117">
        <v>4.2249999999999996</v>
      </c>
      <c r="K371" s="117" t="s">
        <v>125</v>
      </c>
      <c r="L371" s="116">
        <v>5.7500000000000002E-2</v>
      </c>
      <c r="M371" s="116">
        <v>5.8230000000000004E-2</v>
      </c>
      <c r="N371" s="70">
        <v>119959.85700656357</v>
      </c>
      <c r="O371" s="61">
        <v>100.27599999999998</v>
      </c>
      <c r="P371" s="85">
        <v>0</v>
      </c>
      <c r="Q371" s="85">
        <v>445.07650098403627</v>
      </c>
      <c r="R371" s="25">
        <v>1.4994982125820448E-4</v>
      </c>
      <c r="S371" s="25">
        <v>2.1230756068761252E-3</v>
      </c>
      <c r="T371" s="25">
        <v>7.7263372964046621E-4</v>
      </c>
    </row>
    <row r="372" spans="1:20" x14ac:dyDescent="0.25">
      <c r="A372" s="17" t="s">
        <v>1636</v>
      </c>
      <c r="B372" s="116" t="s">
        <v>1637</v>
      </c>
      <c r="C372" s="116" t="s">
        <v>218</v>
      </c>
      <c r="D372" s="116" t="s">
        <v>1480</v>
      </c>
      <c r="E372" s="215" t="s">
        <v>2952</v>
      </c>
      <c r="F372" s="116" t="s">
        <v>170</v>
      </c>
      <c r="G372" s="116" t="s">
        <v>1532</v>
      </c>
      <c r="H372" s="116" t="s">
        <v>266</v>
      </c>
      <c r="I372" s="116" t="s">
        <v>1638</v>
      </c>
      <c r="J372" s="117">
        <v>7.5880000000000001</v>
      </c>
      <c r="K372" s="117" t="s">
        <v>125</v>
      </c>
      <c r="L372" s="116">
        <v>5.45E-2</v>
      </c>
      <c r="M372" s="116">
        <v>5.6159999999999995E-2</v>
      </c>
      <c r="N372" s="70">
        <v>137902.57066139145</v>
      </c>
      <c r="O372" s="61">
        <v>99.542000000000002</v>
      </c>
      <c r="P372" s="85">
        <v>0</v>
      </c>
      <c r="Q372" s="85">
        <v>507.90261448472046</v>
      </c>
      <c r="R372" s="25">
        <v>1.3790257066139145E-4</v>
      </c>
      <c r="S372" s="25">
        <v>2.4227647361678953E-3</v>
      </c>
      <c r="T372" s="25">
        <v>8.8169716993786789E-4</v>
      </c>
    </row>
    <row r="373" spans="1:20" x14ac:dyDescent="0.25">
      <c r="A373" s="17" t="s">
        <v>1639</v>
      </c>
      <c r="B373" s="116" t="s">
        <v>1640</v>
      </c>
      <c r="C373" s="116" t="s">
        <v>218</v>
      </c>
      <c r="D373" s="116" t="s">
        <v>1480</v>
      </c>
      <c r="E373" s="215" t="s">
        <v>2953</v>
      </c>
      <c r="F373" s="116" t="s">
        <v>172</v>
      </c>
      <c r="G373" s="116" t="s">
        <v>1486</v>
      </c>
      <c r="H373" s="116" t="s">
        <v>266</v>
      </c>
      <c r="I373" s="116" t="s">
        <v>1091</v>
      </c>
      <c r="J373" s="117">
        <v>6.1660000000000004</v>
      </c>
      <c r="K373" s="117" t="s">
        <v>2</v>
      </c>
      <c r="L373" s="116">
        <v>4.4999999999999998E-2</v>
      </c>
      <c r="M373" s="116">
        <v>8.7239999999999998E-2</v>
      </c>
      <c r="N373" s="70">
        <v>101032.85734552798</v>
      </c>
      <c r="O373" s="61">
        <v>78.113</v>
      </c>
      <c r="P373" s="85">
        <v>0</v>
      </c>
      <c r="Q373" s="85">
        <v>368.61069049579493</v>
      </c>
      <c r="R373" s="25">
        <v>1.4967830717855997E-4</v>
      </c>
      <c r="S373" s="25">
        <v>1.7583232628438786E-3</v>
      </c>
      <c r="T373" s="25">
        <v>6.3989235997280534E-4</v>
      </c>
    </row>
    <row r="374" spans="1:20" x14ac:dyDescent="0.25">
      <c r="A374" s="17" t="s">
        <v>1641</v>
      </c>
      <c r="B374" s="116" t="s">
        <v>1642</v>
      </c>
      <c r="C374" s="116" t="s">
        <v>218</v>
      </c>
      <c r="D374" s="116" t="s">
        <v>1480</v>
      </c>
      <c r="E374" s="215" t="s">
        <v>2954</v>
      </c>
      <c r="F374" s="116" t="s">
        <v>179</v>
      </c>
      <c r="G374" s="116" t="s">
        <v>1643</v>
      </c>
      <c r="H374" s="116" t="s">
        <v>266</v>
      </c>
      <c r="I374" s="116" t="s">
        <v>1644</v>
      </c>
      <c r="J374" s="117">
        <v>2.306</v>
      </c>
      <c r="K374" s="117" t="s">
        <v>163</v>
      </c>
      <c r="L374" s="116">
        <v>0.05</v>
      </c>
      <c r="M374" s="116">
        <v>9.06E-2</v>
      </c>
      <c r="N374" s="70">
        <v>584419.81618582259</v>
      </c>
      <c r="O374" s="61">
        <v>93.533000000000001</v>
      </c>
      <c r="P374" s="85">
        <v>0</v>
      </c>
      <c r="Q374" s="85">
        <v>423.2520368702111</v>
      </c>
      <c r="R374" s="25">
        <v>5.8441981618582257E-4</v>
      </c>
      <c r="S374" s="25">
        <v>2.0189699367480418E-3</v>
      </c>
      <c r="T374" s="25">
        <v>7.3474739533976126E-4</v>
      </c>
    </row>
    <row r="375" spans="1:20" x14ac:dyDescent="0.25">
      <c r="A375" s="17" t="s">
        <v>1645</v>
      </c>
      <c r="B375" s="116" t="s">
        <v>1646</v>
      </c>
      <c r="C375" s="116" t="s">
        <v>218</v>
      </c>
      <c r="D375" s="116" t="s">
        <v>1480</v>
      </c>
      <c r="E375" s="215" t="s">
        <v>2955</v>
      </c>
      <c r="F375" s="116" t="s">
        <v>179</v>
      </c>
      <c r="G375" s="116" t="s">
        <v>1647</v>
      </c>
      <c r="H375" s="116" t="s">
        <v>389</v>
      </c>
      <c r="I375" s="116" t="s">
        <v>1648</v>
      </c>
      <c r="J375" s="117">
        <v>1.4490000000000001</v>
      </c>
      <c r="K375" s="117" t="s">
        <v>163</v>
      </c>
      <c r="L375" s="116">
        <v>0.05</v>
      </c>
      <c r="M375" s="116">
        <v>9.8119999999999999E-2</v>
      </c>
      <c r="N375" s="70">
        <v>1404658.1546922401</v>
      </c>
      <c r="O375" s="61">
        <v>95.510999999999996</v>
      </c>
      <c r="P375" s="85">
        <v>0</v>
      </c>
      <c r="Q375" s="85">
        <v>1038.803241703939</v>
      </c>
      <c r="R375" s="25">
        <v>5.7686166517135118E-4</v>
      </c>
      <c r="S375" s="25">
        <v>4.955233129426845E-3</v>
      </c>
      <c r="T375" s="25">
        <v>1.8033179042834004E-3</v>
      </c>
    </row>
    <row r="376" spans="1:20" x14ac:dyDescent="0.25">
      <c r="A376" s="17" t="s">
        <v>1649</v>
      </c>
      <c r="B376" s="116" t="s">
        <v>1650</v>
      </c>
      <c r="C376" s="116" t="s">
        <v>218</v>
      </c>
      <c r="D376" s="116" t="s">
        <v>1480</v>
      </c>
      <c r="E376" s="215" t="s">
        <v>2956</v>
      </c>
      <c r="F376" s="116" t="s">
        <v>182</v>
      </c>
      <c r="G376" s="116" t="s">
        <v>1578</v>
      </c>
      <c r="H376" s="116" t="s">
        <v>266</v>
      </c>
      <c r="I376" s="116" t="s">
        <v>1612</v>
      </c>
      <c r="J376" s="117">
        <v>4.3630000000000004</v>
      </c>
      <c r="K376" s="117" t="s">
        <v>126</v>
      </c>
      <c r="L376" s="116">
        <v>1.2999999999999999E-3</v>
      </c>
      <c r="M376" s="116">
        <v>6.7839999999999998E-2</v>
      </c>
      <c r="N376" s="70">
        <v>149693.49677742121</v>
      </c>
      <c r="O376" s="61">
        <v>74.561999999999998</v>
      </c>
      <c r="P376" s="85">
        <v>0</v>
      </c>
      <c r="Q376" s="85">
        <v>448.5227278519601</v>
      </c>
      <c r="R376" s="25">
        <v>1.4969349677742121E-4</v>
      </c>
      <c r="S376" s="25">
        <v>2.139514579014339E-3</v>
      </c>
      <c r="T376" s="25">
        <v>7.7861623177720939E-4</v>
      </c>
    </row>
    <row r="377" spans="1:20" x14ac:dyDescent="0.25">
      <c r="A377" s="17" t="s">
        <v>1651</v>
      </c>
      <c r="B377" s="116" t="s">
        <v>1652</v>
      </c>
      <c r="C377" s="116" t="s">
        <v>218</v>
      </c>
      <c r="D377" s="116" t="s">
        <v>1480</v>
      </c>
      <c r="E377" s="215" t="s">
        <v>2957</v>
      </c>
      <c r="F377" s="116" t="s">
        <v>182</v>
      </c>
      <c r="G377" s="116" t="s">
        <v>1578</v>
      </c>
      <c r="H377" s="116" t="s">
        <v>266</v>
      </c>
      <c r="I377" s="116" t="s">
        <v>1653</v>
      </c>
      <c r="J377" s="117">
        <v>6.0010000000000003</v>
      </c>
      <c r="K377" s="117" t="s">
        <v>126</v>
      </c>
      <c r="L377" s="116">
        <v>0.05</v>
      </c>
      <c r="M377" s="116">
        <v>5.3739999999999996E-2</v>
      </c>
      <c r="N377" s="70">
        <v>156870.58223935237</v>
      </c>
      <c r="O377" s="61">
        <v>100.56799999999998</v>
      </c>
      <c r="P377" s="85">
        <v>0</v>
      </c>
      <c r="Q377" s="85">
        <v>633.96501827708539</v>
      </c>
      <c r="R377" s="25">
        <v>2.0916077631913648E-4</v>
      </c>
      <c r="S377" s="25">
        <v>3.0240995939822329E-3</v>
      </c>
      <c r="T377" s="25">
        <v>1.1005360998615819E-3</v>
      </c>
    </row>
    <row r="378" spans="1:20" x14ac:dyDescent="0.25">
      <c r="A378" s="17" t="s">
        <v>1654</v>
      </c>
      <c r="B378" s="116" t="s">
        <v>1655</v>
      </c>
      <c r="C378" s="116" t="s">
        <v>218</v>
      </c>
      <c r="D378" s="116" t="s">
        <v>1480</v>
      </c>
      <c r="E378" s="215" t="s">
        <v>2958</v>
      </c>
      <c r="F378" s="116" t="s">
        <v>179</v>
      </c>
      <c r="G378" s="116" t="s">
        <v>506</v>
      </c>
      <c r="H378" s="116" t="s">
        <v>266</v>
      </c>
      <c r="I378" s="116" t="s">
        <v>1656</v>
      </c>
      <c r="J378" s="117">
        <v>5.4480000000000004</v>
      </c>
      <c r="K378" s="117" t="s">
        <v>126</v>
      </c>
      <c r="L378" s="116">
        <v>5.1299999999999998E-2</v>
      </c>
      <c r="M378" s="116">
        <v>5.7190000000000005E-2</v>
      </c>
      <c r="N378" s="70">
        <v>151744.09262368726</v>
      </c>
      <c r="O378" s="61">
        <v>99.013000000000005</v>
      </c>
      <c r="P378" s="85">
        <v>0</v>
      </c>
      <c r="Q378" s="85">
        <v>603.76507167789953</v>
      </c>
      <c r="R378" s="25">
        <v>1.011627284157915E-4</v>
      </c>
      <c r="S378" s="25">
        <v>2.8800417301949178E-3</v>
      </c>
      <c r="T378" s="25">
        <v>1.0481102869411448E-3</v>
      </c>
    </row>
    <row r="379" spans="1:20" x14ac:dyDescent="0.25">
      <c r="A379" s="17" t="s">
        <v>1657</v>
      </c>
      <c r="B379" s="116" t="s">
        <v>1658</v>
      </c>
      <c r="C379" s="116" t="s">
        <v>218</v>
      </c>
      <c r="D379" s="116" t="s">
        <v>1480</v>
      </c>
      <c r="E379" s="215" t="s">
        <v>2959</v>
      </c>
      <c r="F379" s="116" t="s">
        <v>164</v>
      </c>
      <c r="G379" s="116" t="s">
        <v>1532</v>
      </c>
      <c r="H379" s="116" t="s">
        <v>266</v>
      </c>
      <c r="I379" s="116" t="s">
        <v>1659</v>
      </c>
      <c r="J379" s="117">
        <v>1.7230000000000001</v>
      </c>
      <c r="K379" s="117" t="s">
        <v>125</v>
      </c>
      <c r="L379" s="116">
        <v>5.6299999999999996E-2</v>
      </c>
      <c r="M379" s="116">
        <v>8.166000000000001E-2</v>
      </c>
      <c r="N379" s="70">
        <v>105134.04903806008</v>
      </c>
      <c r="O379" s="61">
        <v>96.382000000000005</v>
      </c>
      <c r="P379" s="85">
        <v>0</v>
      </c>
      <c r="Q379" s="85">
        <v>374.92210682204035</v>
      </c>
      <c r="R379" s="25">
        <v>1.4017873205074679E-4</v>
      </c>
      <c r="S379" s="25">
        <v>1.7884295794376903E-3</v>
      </c>
      <c r="T379" s="25">
        <v>6.5084870820660175E-4</v>
      </c>
    </row>
    <row r="380" spans="1:20" x14ac:dyDescent="0.25">
      <c r="A380" s="17" t="s">
        <v>1660</v>
      </c>
      <c r="B380" s="116" t="s">
        <v>1661</v>
      </c>
      <c r="C380" s="116" t="s">
        <v>218</v>
      </c>
      <c r="D380" s="116" t="s">
        <v>1480</v>
      </c>
      <c r="E380" s="215" t="s">
        <v>2960</v>
      </c>
      <c r="F380" s="116" t="s">
        <v>164</v>
      </c>
      <c r="G380" s="116" t="s">
        <v>1532</v>
      </c>
      <c r="H380" s="116" t="s">
        <v>266</v>
      </c>
      <c r="I380" s="116" t="s">
        <v>1662</v>
      </c>
      <c r="J380" s="117">
        <v>3.3879999999999999</v>
      </c>
      <c r="K380" s="117" t="s">
        <v>125</v>
      </c>
      <c r="L380" s="116">
        <v>5.5E-2</v>
      </c>
      <c r="M380" s="116">
        <v>8.9619999999999991E-2</v>
      </c>
      <c r="N380" s="70">
        <v>136072.41386859902</v>
      </c>
      <c r="O380" s="61">
        <v>91.334000000000003</v>
      </c>
      <c r="P380" s="85">
        <v>0</v>
      </c>
      <c r="Q380" s="85">
        <v>459.83740036565507</v>
      </c>
      <c r="R380" s="25">
        <v>1.3607241386859903E-4</v>
      </c>
      <c r="S380" s="25">
        <v>2.1934871099399361E-3</v>
      </c>
      <c r="T380" s="25">
        <v>7.982580183118576E-4</v>
      </c>
    </row>
    <row r="381" spans="1:20" x14ac:dyDescent="0.25">
      <c r="A381" s="17" t="s">
        <v>1663</v>
      </c>
      <c r="B381" s="116" t="s">
        <v>1664</v>
      </c>
      <c r="C381" s="116" t="s">
        <v>218</v>
      </c>
      <c r="D381" s="116" t="s">
        <v>1480</v>
      </c>
      <c r="E381" s="215" t="s">
        <v>2961</v>
      </c>
      <c r="F381" s="116" t="s">
        <v>164</v>
      </c>
      <c r="G381" s="116" t="s">
        <v>1481</v>
      </c>
      <c r="H381" s="116" t="s">
        <v>389</v>
      </c>
      <c r="I381" s="116" t="s">
        <v>1665</v>
      </c>
      <c r="J381" s="117">
        <v>3.488</v>
      </c>
      <c r="K381" s="117" t="s">
        <v>125</v>
      </c>
      <c r="L381" s="116">
        <v>5.2499999999999998E-2</v>
      </c>
      <c r="M381" s="116">
        <v>8.9429999999999996E-2</v>
      </c>
      <c r="N381" s="70">
        <v>125440.07440570957</v>
      </c>
      <c r="O381" s="61">
        <v>89.495999999999995</v>
      </c>
      <c r="P381" s="85">
        <v>0</v>
      </c>
      <c r="Q381" s="85">
        <v>415.37624122248326</v>
      </c>
      <c r="R381" s="25">
        <v>1.2544007440570959E-4</v>
      </c>
      <c r="S381" s="25">
        <v>1.9814013174489706E-3</v>
      </c>
      <c r="T381" s="25">
        <v>7.2107535165348178E-4</v>
      </c>
    </row>
    <row r="382" spans="1:20" x14ac:dyDescent="0.25">
      <c r="A382" s="17" t="s">
        <v>1666</v>
      </c>
      <c r="B382" s="116" t="s">
        <v>1667</v>
      </c>
      <c r="C382" s="116" t="s">
        <v>218</v>
      </c>
      <c r="D382" s="116" t="s">
        <v>1480</v>
      </c>
      <c r="E382" s="215" t="s">
        <v>2962</v>
      </c>
      <c r="F382" s="116" t="s">
        <v>187</v>
      </c>
      <c r="G382" s="116" t="s">
        <v>1514</v>
      </c>
      <c r="H382" s="116" t="s">
        <v>266</v>
      </c>
      <c r="I382" s="116" t="s">
        <v>1668</v>
      </c>
      <c r="J382" s="117">
        <v>0.88500000000000001</v>
      </c>
      <c r="K382" s="117" t="s">
        <v>125</v>
      </c>
      <c r="L382" s="116">
        <v>7.1300000000000002E-2</v>
      </c>
      <c r="M382" s="116">
        <v>9.3399999999999997E-2</v>
      </c>
      <c r="N382" s="70">
        <v>94230.005625540391</v>
      </c>
      <c r="O382" s="61">
        <v>96.582000000000008</v>
      </c>
      <c r="P382" s="85">
        <v>0</v>
      </c>
      <c r="Q382" s="85">
        <v>336.73412890255389</v>
      </c>
      <c r="R382" s="25">
        <v>1.8233360221660291E-4</v>
      </c>
      <c r="S382" s="25">
        <v>1.6062677168870235E-3</v>
      </c>
      <c r="T382" s="25">
        <v>5.8455601528274216E-4</v>
      </c>
    </row>
    <row r="383" spans="1:20" x14ac:dyDescent="0.25">
      <c r="A383" s="17" t="s">
        <v>1669</v>
      </c>
      <c r="B383" s="116" t="s">
        <v>1670</v>
      </c>
      <c r="C383" s="116" t="s">
        <v>218</v>
      </c>
      <c r="D383" s="116" t="s">
        <v>1480</v>
      </c>
      <c r="E383" s="215" t="s">
        <v>2963</v>
      </c>
      <c r="F383" s="116" t="s">
        <v>166</v>
      </c>
      <c r="G383" s="116" t="s">
        <v>1532</v>
      </c>
      <c r="H383" s="116" t="s">
        <v>266</v>
      </c>
      <c r="I383" s="116" t="s">
        <v>1671</v>
      </c>
      <c r="J383" s="117">
        <v>1.4690000000000001</v>
      </c>
      <c r="K383" s="117" t="s">
        <v>125</v>
      </c>
      <c r="L383" s="116">
        <v>0.04</v>
      </c>
      <c r="M383" s="116">
        <v>8.5630000000000012E-2</v>
      </c>
      <c r="N383" s="70">
        <v>102529.7923133022</v>
      </c>
      <c r="O383" s="61">
        <v>77.477999999999994</v>
      </c>
      <c r="P383" s="85">
        <v>0</v>
      </c>
      <c r="Q383" s="85">
        <v>293.92072020745104</v>
      </c>
      <c r="R383" s="25">
        <v>1.3670638975106961E-4</v>
      </c>
      <c r="S383" s="25">
        <v>1.402041918744849E-3</v>
      </c>
      <c r="T383" s="25">
        <v>5.1023377277930042E-4</v>
      </c>
    </row>
    <row r="384" spans="1:20" x14ac:dyDescent="0.25">
      <c r="A384" s="17" t="s">
        <v>1672</v>
      </c>
      <c r="B384" s="116" t="s">
        <v>1673</v>
      </c>
      <c r="C384" s="116" t="s">
        <v>218</v>
      </c>
      <c r="D384" s="116" t="s">
        <v>1480</v>
      </c>
      <c r="E384" s="215" t="s">
        <v>2964</v>
      </c>
      <c r="F384" s="116" t="s">
        <v>182</v>
      </c>
      <c r="G384" s="116" t="s">
        <v>1578</v>
      </c>
      <c r="H384" s="116" t="s">
        <v>266</v>
      </c>
      <c r="I384" s="116" t="s">
        <v>1674</v>
      </c>
      <c r="J384" s="117">
        <v>2.8490000000000002</v>
      </c>
      <c r="K384" s="117" t="s">
        <v>125</v>
      </c>
      <c r="L384" s="116">
        <v>4.7500000000000001E-2</v>
      </c>
      <c r="M384" s="116">
        <v>8.4580000000000002E-2</v>
      </c>
      <c r="N384" s="70">
        <v>130002.65016365153</v>
      </c>
      <c r="O384" s="61">
        <v>91.191000000000003</v>
      </c>
      <c r="P384" s="85">
        <v>0</v>
      </c>
      <c r="Q384" s="85">
        <v>438.63765181434172</v>
      </c>
      <c r="R384" s="25">
        <v>8.666843344243436E-5</v>
      </c>
      <c r="S384" s="25">
        <v>2.0923614182404432E-3</v>
      </c>
      <c r="T384" s="25">
        <v>7.6145616345223925E-4</v>
      </c>
    </row>
    <row r="385" spans="1:20" x14ac:dyDescent="0.25">
      <c r="A385" s="17" t="s">
        <v>1675</v>
      </c>
      <c r="B385" s="116" t="s">
        <v>1676</v>
      </c>
      <c r="C385" s="116" t="s">
        <v>218</v>
      </c>
      <c r="D385" s="116" t="s">
        <v>1480</v>
      </c>
      <c r="E385" s="215" t="s">
        <v>2965</v>
      </c>
      <c r="F385" s="116" t="s">
        <v>173</v>
      </c>
      <c r="G385" s="116" t="s">
        <v>1677</v>
      </c>
      <c r="H385" s="116" t="s">
        <v>389</v>
      </c>
      <c r="I385" s="116" t="s">
        <v>1678</v>
      </c>
      <c r="J385" s="117">
        <v>5.1369999999999996</v>
      </c>
      <c r="K385" s="117" t="s">
        <v>125</v>
      </c>
      <c r="L385" s="116">
        <v>6.25E-2</v>
      </c>
      <c r="M385" s="116">
        <v>0.12906000000000001</v>
      </c>
      <c r="N385" s="70">
        <v>106102.95557542078</v>
      </c>
      <c r="O385" s="61">
        <v>57.326000000000001</v>
      </c>
      <c r="P385" s="85">
        <v>0</v>
      </c>
      <c r="Q385" s="85">
        <v>225.05094713820722</v>
      </c>
      <c r="R385" s="25">
        <v>1.0610295557542079E-4</v>
      </c>
      <c r="S385" s="25">
        <v>1.0735237091086809E-3</v>
      </c>
      <c r="T385" s="25">
        <v>3.9067879850333674E-4</v>
      </c>
    </row>
    <row r="386" spans="1:20" x14ac:dyDescent="0.25">
      <c r="A386" s="17" t="s">
        <v>1679</v>
      </c>
      <c r="B386" s="116" t="s">
        <v>1680</v>
      </c>
      <c r="C386" s="116" t="s">
        <v>218</v>
      </c>
      <c r="D386" s="116" t="s">
        <v>1480</v>
      </c>
      <c r="E386" s="215" t="s">
        <v>2966</v>
      </c>
      <c r="F386" s="116" t="s">
        <v>186</v>
      </c>
      <c r="G386" s="116" t="s">
        <v>1528</v>
      </c>
      <c r="H386" s="116" t="s">
        <v>266</v>
      </c>
      <c r="I386" s="116" t="s">
        <v>1681</v>
      </c>
      <c r="J386" s="117">
        <v>6.2210000000000001</v>
      </c>
      <c r="K386" s="117" t="s">
        <v>125</v>
      </c>
      <c r="L386" s="116">
        <v>4.1299999999999996E-2</v>
      </c>
      <c r="M386" s="116">
        <v>7.2209999999999996E-2</v>
      </c>
      <c r="N386" s="70">
        <v>140183.85854036245</v>
      </c>
      <c r="O386" s="61">
        <v>79.393000000000001</v>
      </c>
      <c r="P386" s="85">
        <v>0</v>
      </c>
      <c r="Q386" s="85">
        <v>411.79583197488233</v>
      </c>
      <c r="R386" s="25">
        <v>1.4018385854036244E-4</v>
      </c>
      <c r="S386" s="25">
        <v>1.9643222770606129E-3</v>
      </c>
      <c r="T386" s="25">
        <v>7.1485991465670279E-4</v>
      </c>
    </row>
    <row r="387" spans="1:20" x14ac:dyDescent="0.25">
      <c r="A387" s="17" t="s">
        <v>1682</v>
      </c>
      <c r="B387" s="116" t="s">
        <v>1683</v>
      </c>
      <c r="C387" s="116" t="s">
        <v>218</v>
      </c>
      <c r="D387" s="116" t="s">
        <v>1480</v>
      </c>
      <c r="E387" s="215" t="s">
        <v>2967</v>
      </c>
      <c r="F387" s="116" t="s">
        <v>164</v>
      </c>
      <c r="G387" s="116" t="s">
        <v>1499</v>
      </c>
      <c r="H387" s="116" t="s">
        <v>389</v>
      </c>
      <c r="I387" s="116" t="s">
        <v>470</v>
      </c>
      <c r="J387" s="117">
        <v>5.56</v>
      </c>
      <c r="K387" s="117" t="s">
        <v>125</v>
      </c>
      <c r="L387" s="116">
        <v>4.8799999999999996E-2</v>
      </c>
      <c r="M387" s="116">
        <v>7.7460000000000001E-2</v>
      </c>
      <c r="N387" s="70">
        <v>122779.42629517938</v>
      </c>
      <c r="O387" s="61">
        <v>91.14</v>
      </c>
      <c r="P387" s="85">
        <v>0</v>
      </c>
      <c r="Q387" s="85">
        <v>414.03432576407801</v>
      </c>
      <c r="R387" s="25">
        <v>4.9111770518071748E-5</v>
      </c>
      <c r="S387" s="25">
        <v>1.9750001977090351E-3</v>
      </c>
      <c r="T387" s="25">
        <v>7.1874584393245519E-4</v>
      </c>
    </row>
    <row r="388" spans="1:20" x14ac:dyDescent="0.25">
      <c r="A388" s="17" t="s">
        <v>1684</v>
      </c>
      <c r="B388" s="116" t="s">
        <v>1685</v>
      </c>
      <c r="C388" s="116" t="s">
        <v>218</v>
      </c>
      <c r="D388" s="116" t="s">
        <v>1480</v>
      </c>
      <c r="E388" s="215" t="s">
        <v>2968</v>
      </c>
      <c r="F388" s="116" t="s">
        <v>182</v>
      </c>
      <c r="G388" s="116" t="s">
        <v>1514</v>
      </c>
      <c r="H388" s="116" t="s">
        <v>266</v>
      </c>
      <c r="I388" s="116" t="s">
        <v>1671</v>
      </c>
      <c r="J388" s="117">
        <v>1.556</v>
      </c>
      <c r="K388" s="117" t="s">
        <v>126</v>
      </c>
      <c r="L388" s="116">
        <v>4.8799999999999996E-2</v>
      </c>
      <c r="M388" s="116">
        <v>0.19620000000000001</v>
      </c>
      <c r="N388" s="70">
        <v>107640.90246012031</v>
      </c>
      <c r="O388" s="61">
        <v>37.965000000000003</v>
      </c>
      <c r="P388" s="85">
        <v>0</v>
      </c>
      <c r="Q388" s="85">
        <v>164.21949302270519</v>
      </c>
      <c r="R388" s="25">
        <v>1.9571073174567329E-4</v>
      </c>
      <c r="S388" s="25">
        <v>7.833493771053409E-4</v>
      </c>
      <c r="T388" s="25">
        <v>2.8507800140711121E-4</v>
      </c>
    </row>
    <row r="389" spans="1:20" x14ac:dyDescent="0.25">
      <c r="A389" s="17" t="s">
        <v>1686</v>
      </c>
      <c r="B389" s="116" t="s">
        <v>1687</v>
      </c>
      <c r="C389" s="116" t="s">
        <v>218</v>
      </c>
      <c r="D389" s="116" t="s">
        <v>1480</v>
      </c>
      <c r="E389" s="215" t="s">
        <v>2969</v>
      </c>
      <c r="F389" s="116" t="s">
        <v>187</v>
      </c>
      <c r="G389" s="116" t="s">
        <v>1562</v>
      </c>
      <c r="H389" s="116" t="s">
        <v>389</v>
      </c>
      <c r="I389" s="116" t="s">
        <v>1688</v>
      </c>
      <c r="J389" s="117">
        <v>5.0279999999999996</v>
      </c>
      <c r="K389" s="117" t="s">
        <v>126</v>
      </c>
      <c r="L389" s="116">
        <v>2.5000000000000001E-2</v>
      </c>
      <c r="M389" s="116">
        <v>6.1050000000000007E-2</v>
      </c>
      <c r="N389" s="70">
        <v>134314.02793042589</v>
      </c>
      <c r="O389" s="61">
        <v>82.936000000000007</v>
      </c>
      <c r="P389" s="85">
        <v>0</v>
      </c>
      <c r="Q389" s="85">
        <v>447.63953042804008</v>
      </c>
      <c r="R389" s="25">
        <v>1.1679480689602251E-4</v>
      </c>
      <c r="S389" s="25">
        <v>2.135301606856441E-3</v>
      </c>
      <c r="T389" s="25">
        <v>7.7708303890330237E-4</v>
      </c>
    </row>
    <row r="390" spans="1:20" x14ac:dyDescent="0.25">
      <c r="A390" s="17" t="s">
        <v>1689</v>
      </c>
      <c r="B390" s="116" t="s">
        <v>1690</v>
      </c>
      <c r="C390" s="116" t="s">
        <v>218</v>
      </c>
      <c r="D390" s="116" t="s">
        <v>1480</v>
      </c>
      <c r="E390" s="215" t="s">
        <v>2970</v>
      </c>
      <c r="F390" s="116" t="s">
        <v>179</v>
      </c>
      <c r="G390" s="116" t="s">
        <v>1691</v>
      </c>
      <c r="H390" s="116" t="s">
        <v>389</v>
      </c>
      <c r="I390" s="116" t="s">
        <v>1692</v>
      </c>
      <c r="J390" s="117">
        <v>0.80700000000000005</v>
      </c>
      <c r="K390" s="117" t="s">
        <v>126</v>
      </c>
      <c r="L390" s="116">
        <v>4.3799999999999999E-2</v>
      </c>
      <c r="M390" s="116">
        <v>7.7039999999999997E-2</v>
      </c>
      <c r="N390" s="70">
        <v>92276.813081971981</v>
      </c>
      <c r="O390" s="61">
        <v>99.117000000000004</v>
      </c>
      <c r="P390" s="85">
        <v>0</v>
      </c>
      <c r="Q390" s="85">
        <v>367.54008245304817</v>
      </c>
      <c r="R390" s="25">
        <v>1.8455362616394397E-4</v>
      </c>
      <c r="S390" s="25">
        <v>1.7532163164761065E-3</v>
      </c>
      <c r="T390" s="25">
        <v>6.3803383029707175E-4</v>
      </c>
    </row>
    <row r="391" spans="1:20" x14ac:dyDescent="0.25">
      <c r="A391" s="17" t="s">
        <v>1693</v>
      </c>
      <c r="B391" s="116" t="s">
        <v>1694</v>
      </c>
      <c r="C391" s="116" t="s">
        <v>218</v>
      </c>
      <c r="D391" s="116" t="s">
        <v>1480</v>
      </c>
      <c r="E391" s="215" t="s">
        <v>2971</v>
      </c>
      <c r="F391" s="116" t="s">
        <v>178</v>
      </c>
      <c r="G391" s="116" t="s">
        <v>1528</v>
      </c>
      <c r="H391" s="116" t="s">
        <v>266</v>
      </c>
      <c r="I391" s="116" t="s">
        <v>1695</v>
      </c>
      <c r="J391" s="117">
        <v>5.6890000000000001</v>
      </c>
      <c r="K391" s="117" t="s">
        <v>126</v>
      </c>
      <c r="L391" s="116">
        <v>5.3800000000000001E-2</v>
      </c>
      <c r="M391" s="116">
        <v>7.2980000000000003E-2</v>
      </c>
      <c r="N391" s="70">
        <v>117909.26116029752</v>
      </c>
      <c r="O391" s="61">
        <v>96.527000000000001</v>
      </c>
      <c r="P391" s="85">
        <v>0</v>
      </c>
      <c r="Q391" s="85">
        <v>457.36265409679288</v>
      </c>
      <c r="R391" s="25">
        <v>1.4738657645037189E-4</v>
      </c>
      <c r="S391" s="25">
        <v>2.181682232744639E-3</v>
      </c>
      <c r="T391" s="25">
        <v>7.9396196485723278E-4</v>
      </c>
    </row>
    <row r="392" spans="1:20" x14ac:dyDescent="0.25">
      <c r="A392" s="17" t="s">
        <v>1696</v>
      </c>
      <c r="B392" s="116" t="s">
        <v>1697</v>
      </c>
      <c r="C392" s="116" t="s">
        <v>218</v>
      </c>
      <c r="D392" s="116" t="s">
        <v>1480</v>
      </c>
      <c r="E392" s="215" t="s">
        <v>2972</v>
      </c>
      <c r="F392" s="116" t="s">
        <v>186</v>
      </c>
      <c r="G392" s="116" t="s">
        <v>1514</v>
      </c>
      <c r="H392" s="116" t="s">
        <v>266</v>
      </c>
      <c r="I392" s="116" t="s">
        <v>1698</v>
      </c>
      <c r="J392" s="117">
        <v>4.1740000000000004</v>
      </c>
      <c r="K392" s="117" t="s">
        <v>126</v>
      </c>
      <c r="L392" s="116">
        <v>7.1300000000000002E-2</v>
      </c>
      <c r="M392" s="116">
        <v>7.2110000000000007E-2</v>
      </c>
      <c r="N392" s="70">
        <v>104067.73919800173</v>
      </c>
      <c r="O392" s="61">
        <v>106.19100000000002</v>
      </c>
      <c r="P392" s="85">
        <v>0</v>
      </c>
      <c r="Q392" s="85">
        <v>444.08673732367419</v>
      </c>
      <c r="R392" s="25">
        <v>1.3875698559733565E-4</v>
      </c>
      <c r="S392" s="25">
        <v>2.118354299237458E-3</v>
      </c>
      <c r="T392" s="25">
        <v>7.7091554234754605E-4</v>
      </c>
    </row>
    <row r="393" spans="1:20" x14ac:dyDescent="0.25">
      <c r="A393" s="17" t="s">
        <v>1699</v>
      </c>
      <c r="B393" s="116" t="s">
        <v>1700</v>
      </c>
      <c r="C393" s="116" t="s">
        <v>218</v>
      </c>
      <c r="D393" s="116" t="s">
        <v>1480</v>
      </c>
      <c r="E393" s="215" t="s">
        <v>2973</v>
      </c>
      <c r="F393" s="116" t="s">
        <v>187</v>
      </c>
      <c r="G393" s="116" t="s">
        <v>1528</v>
      </c>
      <c r="H393" s="116" t="s">
        <v>266</v>
      </c>
      <c r="I393" s="116" t="s">
        <v>1701</v>
      </c>
      <c r="J393" s="117">
        <v>1.62</v>
      </c>
      <c r="K393" s="117" t="s">
        <v>2</v>
      </c>
      <c r="L393" s="116">
        <v>5.2499999999999998E-2</v>
      </c>
      <c r="M393" s="116">
        <v>5.237E-2</v>
      </c>
      <c r="N393" s="70">
        <v>79634.889689741816</v>
      </c>
      <c r="O393" s="61">
        <v>95.623000000000005</v>
      </c>
      <c r="P393" s="85">
        <v>0</v>
      </c>
      <c r="Q393" s="85">
        <v>355.67039802578802</v>
      </c>
      <c r="R393" s="25">
        <v>1.769664215327596E-4</v>
      </c>
      <c r="S393" s="25">
        <v>1.6965963030332104E-3</v>
      </c>
      <c r="T393" s="25">
        <v>6.1742856686839592E-4</v>
      </c>
    </row>
    <row r="394" spans="1:20" x14ac:dyDescent="0.25">
      <c r="A394" s="17" t="s">
        <v>1702</v>
      </c>
      <c r="B394" s="116" t="s">
        <v>1703</v>
      </c>
      <c r="C394" s="116" t="s">
        <v>218</v>
      </c>
      <c r="D394" s="116" t="s">
        <v>1480</v>
      </c>
      <c r="E394" s="215" t="s">
        <v>2974</v>
      </c>
      <c r="F394" s="116" t="s">
        <v>179</v>
      </c>
      <c r="G394" s="116" t="s">
        <v>1562</v>
      </c>
      <c r="H394" s="116" t="s">
        <v>389</v>
      </c>
      <c r="I394" s="116" t="s">
        <v>1704</v>
      </c>
      <c r="J394" s="117">
        <v>2.5609999999999999</v>
      </c>
      <c r="K394" s="117" t="s">
        <v>125</v>
      </c>
      <c r="L394" s="116">
        <v>4.3799999999999999E-2</v>
      </c>
      <c r="M394" s="116">
        <v>7.9979999999999996E-2</v>
      </c>
      <c r="N394" s="70">
        <v>102083.78771673933</v>
      </c>
      <c r="O394" s="61">
        <v>85.283000000000001</v>
      </c>
      <c r="P394" s="85">
        <v>0</v>
      </c>
      <c r="Q394" s="85">
        <v>322.12243169494769</v>
      </c>
      <c r="R394" s="25">
        <v>1.3611171695565244E-4</v>
      </c>
      <c r="S394" s="25">
        <v>1.5365679285406571E-3</v>
      </c>
      <c r="T394" s="25">
        <v>5.5919073519060164E-4</v>
      </c>
    </row>
    <row r="395" spans="1:20" x14ac:dyDescent="0.25">
      <c r="A395" s="17" t="s">
        <v>1705</v>
      </c>
      <c r="B395" s="116" t="s">
        <v>1706</v>
      </c>
      <c r="C395" s="116" t="s">
        <v>218</v>
      </c>
      <c r="D395" s="116" t="s">
        <v>1480</v>
      </c>
      <c r="E395" s="215" t="s">
        <v>2975</v>
      </c>
      <c r="F395" s="116" t="s">
        <v>179</v>
      </c>
      <c r="G395" s="116" t="s">
        <v>1514</v>
      </c>
      <c r="H395" s="116" t="s">
        <v>266</v>
      </c>
      <c r="I395" s="116" t="s">
        <v>1331</v>
      </c>
      <c r="J395" s="117">
        <v>5.6040000000000001</v>
      </c>
      <c r="K395" s="117" t="s">
        <v>125</v>
      </c>
      <c r="L395" s="116">
        <v>5.3800000000000001E-2</v>
      </c>
      <c r="M395" s="116">
        <v>9.493E-2</v>
      </c>
      <c r="N395" s="70">
        <v>133842.3908857847</v>
      </c>
      <c r="O395" s="61">
        <v>74.855000000000004</v>
      </c>
      <c r="P395" s="85">
        <v>0</v>
      </c>
      <c r="Q395" s="85">
        <v>370.6945702809503</v>
      </c>
      <c r="R395" s="25">
        <v>8.9228260590523125E-5</v>
      </c>
      <c r="S395" s="25">
        <v>1.7682636536075875E-3</v>
      </c>
      <c r="T395" s="25">
        <v>6.4350988596433077E-4</v>
      </c>
    </row>
    <row r="396" spans="1:20" x14ac:dyDescent="0.25">
      <c r="A396" s="17" t="s">
        <v>1707</v>
      </c>
      <c r="B396" s="116" t="s">
        <v>1708</v>
      </c>
      <c r="C396" s="116" t="s">
        <v>218</v>
      </c>
      <c r="D396" s="116" t="s">
        <v>1480</v>
      </c>
      <c r="E396" s="215" t="s">
        <v>2976</v>
      </c>
      <c r="F396" s="116" t="s">
        <v>179</v>
      </c>
      <c r="G396" s="116" t="s">
        <v>1528</v>
      </c>
      <c r="H396" s="116" t="s">
        <v>266</v>
      </c>
      <c r="I396" s="116" t="s">
        <v>1709</v>
      </c>
      <c r="J396" s="117">
        <v>2.92</v>
      </c>
      <c r="K396" s="117" t="s">
        <v>125</v>
      </c>
      <c r="L396" s="116">
        <v>5.7500000000000002E-2</v>
      </c>
      <c r="M396" s="116">
        <v>8.811999999999999E-2</v>
      </c>
      <c r="N396" s="70">
        <v>145643.56998104579</v>
      </c>
      <c r="O396" s="61">
        <v>89.284000000000006</v>
      </c>
      <c r="P396" s="85">
        <v>0</v>
      </c>
      <c r="Q396" s="85">
        <v>481.13469858094459</v>
      </c>
      <c r="R396" s="25">
        <v>9.7095713320697192E-5</v>
      </c>
      <c r="S396" s="25">
        <v>2.2950781268399035E-3</v>
      </c>
      <c r="T396" s="25">
        <v>8.3522921520714057E-4</v>
      </c>
    </row>
    <row r="397" spans="1:20" x14ac:dyDescent="0.25">
      <c r="A397" s="17" t="s">
        <v>1710</v>
      </c>
      <c r="B397" s="116" t="s">
        <v>1711</v>
      </c>
      <c r="C397" s="116" t="s">
        <v>218</v>
      </c>
      <c r="D397" s="116" t="s">
        <v>1480</v>
      </c>
      <c r="E397" s="215" t="s">
        <v>2977</v>
      </c>
      <c r="F397" s="116" t="s">
        <v>179</v>
      </c>
      <c r="G397" s="116" t="s">
        <v>1528</v>
      </c>
      <c r="H397" s="116" t="s">
        <v>266</v>
      </c>
      <c r="I397" s="116" t="s">
        <v>1712</v>
      </c>
      <c r="J397" s="117">
        <v>4.6150000000000002</v>
      </c>
      <c r="K397" s="117" t="s">
        <v>125</v>
      </c>
      <c r="L397" s="116">
        <v>7.7499999999999999E-2</v>
      </c>
      <c r="M397" s="116">
        <v>8.8379999999999986E-2</v>
      </c>
      <c r="N397" s="70">
        <v>147037.9751565067</v>
      </c>
      <c r="O397" s="61">
        <v>99.176000000000002</v>
      </c>
      <c r="P397" s="85">
        <v>0</v>
      </c>
      <c r="Q397" s="85">
        <v>539.55761427199729</v>
      </c>
      <c r="R397" s="25">
        <v>7.3518987578253343E-5</v>
      </c>
      <c r="S397" s="25">
        <v>2.5737634020948719E-3</v>
      </c>
      <c r="T397" s="25">
        <v>9.366488928289605E-4</v>
      </c>
    </row>
    <row r="398" spans="1:20" x14ac:dyDescent="0.25">
      <c r="A398" s="17" t="s">
        <v>1713</v>
      </c>
      <c r="B398" s="116" t="s">
        <v>1714</v>
      </c>
      <c r="C398" s="116" t="s">
        <v>218</v>
      </c>
      <c r="D398" s="116" t="s">
        <v>1480</v>
      </c>
      <c r="E398" s="215" t="s">
        <v>2978</v>
      </c>
      <c r="F398" s="116" t="s">
        <v>179</v>
      </c>
      <c r="G398" s="116" t="s">
        <v>1528</v>
      </c>
      <c r="H398" s="116" t="s">
        <v>266</v>
      </c>
      <c r="I398" s="116" t="s">
        <v>1541</v>
      </c>
      <c r="J398" s="117">
        <v>2.2330000000000001</v>
      </c>
      <c r="K398" s="117" t="s">
        <v>126</v>
      </c>
      <c r="L398" s="116">
        <v>4.3799999999999999E-2</v>
      </c>
      <c r="M398" s="116">
        <v>8.5089999999999999E-2</v>
      </c>
      <c r="N398" s="70">
        <v>142516.41131549006</v>
      </c>
      <c r="O398" s="61">
        <v>84.516999999999996</v>
      </c>
      <c r="P398" s="85">
        <v>0</v>
      </c>
      <c r="Q398" s="85">
        <v>484.03071741492744</v>
      </c>
      <c r="R398" s="25">
        <v>9.5010940876993368E-5</v>
      </c>
      <c r="S398" s="25">
        <v>2.3088925316217535E-3</v>
      </c>
      <c r="T398" s="25">
        <v>8.4025657977898854E-4</v>
      </c>
    </row>
    <row r="399" spans="1:20" x14ac:dyDescent="0.25">
      <c r="A399" s="17" t="s">
        <v>1715</v>
      </c>
      <c r="B399" s="116" t="s">
        <v>1716</v>
      </c>
      <c r="C399" s="116" t="s">
        <v>218</v>
      </c>
      <c r="D399" s="116" t="s">
        <v>1480</v>
      </c>
      <c r="E399" s="215" t="s">
        <v>2979</v>
      </c>
      <c r="F399" s="116" t="s">
        <v>179</v>
      </c>
      <c r="G399" s="116" t="s">
        <v>1532</v>
      </c>
      <c r="H399" s="116" t="s">
        <v>266</v>
      </c>
      <c r="I399" s="116" t="s">
        <v>436</v>
      </c>
      <c r="J399" s="117">
        <v>5.3259999999999996</v>
      </c>
      <c r="K399" s="117" t="s">
        <v>126</v>
      </c>
      <c r="L399" s="116">
        <v>4.8799999999999996E-2</v>
      </c>
      <c r="M399" s="116">
        <v>7.3789999999999994E-2</v>
      </c>
      <c r="N399" s="70">
        <v>136364.62377669194</v>
      </c>
      <c r="O399" s="61">
        <v>83.869</v>
      </c>
      <c r="P399" s="85">
        <v>0</v>
      </c>
      <c r="Q399" s="85">
        <v>459.58638667178917</v>
      </c>
      <c r="R399" s="25">
        <v>1.3636462377669193E-4</v>
      </c>
      <c r="S399" s="25">
        <v>2.1922897403882742E-3</v>
      </c>
      <c r="T399" s="25">
        <v>7.9782226929780357E-4</v>
      </c>
    </row>
    <row r="400" spans="1:20" x14ac:dyDescent="0.25">
      <c r="A400" s="17" t="s">
        <v>1717</v>
      </c>
      <c r="B400" s="116" t="s">
        <v>1718</v>
      </c>
      <c r="C400" s="116" t="s">
        <v>218</v>
      </c>
      <c r="D400" s="116" t="s">
        <v>1480</v>
      </c>
      <c r="E400" s="215" t="s">
        <v>2980</v>
      </c>
      <c r="F400" s="116" t="s">
        <v>179</v>
      </c>
      <c r="G400" s="116" t="s">
        <v>1532</v>
      </c>
      <c r="H400" s="116" t="s">
        <v>266</v>
      </c>
      <c r="I400" s="116" t="s">
        <v>1719</v>
      </c>
      <c r="J400" s="117">
        <v>4.226</v>
      </c>
      <c r="K400" s="117" t="s">
        <v>126</v>
      </c>
      <c r="L400" s="116">
        <v>7.2499999999999995E-2</v>
      </c>
      <c r="M400" s="116">
        <v>7.553E-2</v>
      </c>
      <c r="N400" s="70">
        <v>144567.0071617561</v>
      </c>
      <c r="O400" s="61">
        <v>99.534000000000006</v>
      </c>
      <c r="P400" s="85">
        <v>0</v>
      </c>
      <c r="Q400" s="85">
        <v>578.23532610332245</v>
      </c>
      <c r="R400" s="25">
        <v>1.1565360572940488E-4</v>
      </c>
      <c r="S400" s="25">
        <v>2.758261362192334E-3</v>
      </c>
      <c r="T400" s="25">
        <v>1.0037917428336787E-3</v>
      </c>
    </row>
    <row r="401" spans="1:20" x14ac:dyDescent="0.25">
      <c r="A401" s="17" t="s">
        <v>1720</v>
      </c>
      <c r="B401" s="116" t="s">
        <v>1721</v>
      </c>
      <c r="C401" s="116" t="s">
        <v>218</v>
      </c>
      <c r="D401" s="116" t="s">
        <v>1480</v>
      </c>
      <c r="E401" s="215" t="s">
        <v>2981</v>
      </c>
      <c r="F401" s="116" t="s">
        <v>179</v>
      </c>
      <c r="G401" s="116" t="s">
        <v>1691</v>
      </c>
      <c r="H401" s="116" t="s">
        <v>389</v>
      </c>
      <c r="I401" s="116" t="s">
        <v>1722</v>
      </c>
      <c r="J401" s="117">
        <v>1.0760000000000001</v>
      </c>
      <c r="K401" s="117" t="s">
        <v>2</v>
      </c>
      <c r="L401" s="116">
        <v>5.8799999999999998E-2</v>
      </c>
      <c r="M401" s="116">
        <v>0.10836</v>
      </c>
      <c r="N401" s="70">
        <v>113818.32244699677</v>
      </c>
      <c r="O401" s="61">
        <v>89.796999999999997</v>
      </c>
      <c r="P401" s="85">
        <v>0</v>
      </c>
      <c r="Q401" s="85">
        <v>477.37094396951721</v>
      </c>
      <c r="R401" s="25">
        <v>9.1054657957597408E-5</v>
      </c>
      <c r="S401" s="25">
        <v>2.2771245040624217E-3</v>
      </c>
      <c r="T401" s="25">
        <v>8.2869549851697787E-4</v>
      </c>
    </row>
    <row r="402" spans="1:20" x14ac:dyDescent="0.25">
      <c r="A402" s="17" t="s">
        <v>1723</v>
      </c>
      <c r="B402" s="116" t="s">
        <v>1724</v>
      </c>
      <c r="C402" s="116" t="s">
        <v>218</v>
      </c>
      <c r="D402" s="116" t="s">
        <v>1480</v>
      </c>
      <c r="E402" s="215" t="s">
        <v>2982</v>
      </c>
      <c r="F402" s="116" t="s">
        <v>179</v>
      </c>
      <c r="G402" s="116" t="s">
        <v>1562</v>
      </c>
      <c r="H402" s="116" t="s">
        <v>389</v>
      </c>
      <c r="I402" s="116" t="s">
        <v>1725</v>
      </c>
      <c r="J402" s="117">
        <v>3.762</v>
      </c>
      <c r="K402" s="117" t="s">
        <v>2</v>
      </c>
      <c r="L402" s="116">
        <v>5.7500000000000002E-2</v>
      </c>
      <c r="M402" s="116">
        <v>0.10118000000000001</v>
      </c>
      <c r="N402" s="70">
        <v>98956.629051183612</v>
      </c>
      <c r="O402" s="61">
        <v>85.718999999999994</v>
      </c>
      <c r="P402" s="85">
        <v>0</v>
      </c>
      <c r="Q402" s="85">
        <v>396.19041263669254</v>
      </c>
      <c r="R402" s="25">
        <v>1.3194217206824482E-4</v>
      </c>
      <c r="S402" s="25">
        <v>1.8898822986327872E-3</v>
      </c>
      <c r="T402" s="25">
        <v>6.8776957553699834E-4</v>
      </c>
    </row>
    <row r="403" spans="1:20" x14ac:dyDescent="0.25">
      <c r="A403" s="17" t="s">
        <v>1726</v>
      </c>
      <c r="B403" s="116" t="s">
        <v>1727</v>
      </c>
      <c r="C403" s="116" t="s">
        <v>218</v>
      </c>
      <c r="D403" s="116" t="s">
        <v>1480</v>
      </c>
      <c r="E403" s="215" t="s">
        <v>2983</v>
      </c>
      <c r="F403" s="116" t="s">
        <v>179</v>
      </c>
      <c r="G403" s="116" t="s">
        <v>1504</v>
      </c>
      <c r="H403" s="116" t="s">
        <v>389</v>
      </c>
      <c r="I403" s="116" t="s">
        <v>1692</v>
      </c>
      <c r="J403" s="117">
        <v>3.3</v>
      </c>
      <c r="K403" s="117" t="s">
        <v>2</v>
      </c>
      <c r="L403" s="116">
        <v>5.1299999999999998E-2</v>
      </c>
      <c r="M403" s="116">
        <v>9.7210000000000005E-2</v>
      </c>
      <c r="N403" s="70">
        <v>123440.74345560018</v>
      </c>
      <c r="O403" s="61">
        <v>82.545000000000002</v>
      </c>
      <c r="P403" s="85">
        <v>0</v>
      </c>
      <c r="Q403" s="85">
        <v>475.91706095394596</v>
      </c>
      <c r="R403" s="25">
        <v>1.2344074345560019E-4</v>
      </c>
      <c r="S403" s="25">
        <v>2.2701892838052607E-3</v>
      </c>
      <c r="T403" s="25">
        <v>8.2617161991566286E-4</v>
      </c>
    </row>
    <row r="404" spans="1:20" s="118" customFormat="1" x14ac:dyDescent="0.25">
      <c r="A404" s="79" t="s">
        <v>242</v>
      </c>
      <c r="B404" s="124"/>
      <c r="C404" s="124"/>
      <c r="D404" s="124"/>
      <c r="E404" s="124"/>
      <c r="F404" s="124"/>
      <c r="G404" s="125"/>
      <c r="H404" s="125"/>
      <c r="I404" s="125"/>
      <c r="J404" s="126"/>
      <c r="K404" s="127"/>
      <c r="L404" s="128"/>
      <c r="M404" s="128"/>
      <c r="N404" s="128"/>
      <c r="O404" s="127"/>
      <c r="P404" s="127"/>
      <c r="Q404" s="127"/>
      <c r="R404" s="137"/>
      <c r="S404" s="137"/>
      <c r="T404" s="137"/>
    </row>
    <row r="405" spans="1:20" s="118" customFormat="1" x14ac:dyDescent="0.25">
      <c r="A405" s="79" t="s">
        <v>243</v>
      </c>
      <c r="B405" s="124"/>
      <c r="C405" s="124"/>
      <c r="D405" s="124"/>
      <c r="E405" s="124"/>
      <c r="F405" s="124"/>
      <c r="G405" s="125"/>
      <c r="H405" s="125"/>
      <c r="I405" s="125"/>
      <c r="J405" s="126"/>
      <c r="K405" s="127"/>
      <c r="L405" s="128"/>
      <c r="M405" s="128"/>
      <c r="N405" s="128"/>
      <c r="O405" s="127"/>
      <c r="P405" s="127"/>
      <c r="Q405" s="127"/>
      <c r="R405" s="137"/>
      <c r="S405" s="137"/>
      <c r="T405" s="137"/>
    </row>
    <row r="406" spans="1:20" s="118" customFormat="1" x14ac:dyDescent="0.25">
      <c r="A406" s="79" t="s">
        <v>244</v>
      </c>
      <c r="B406" s="124"/>
      <c r="C406" s="124"/>
      <c r="D406" s="124"/>
      <c r="E406" s="124"/>
      <c r="F406" s="124"/>
      <c r="G406" s="125"/>
      <c r="H406" s="125"/>
      <c r="I406" s="125"/>
      <c r="J406" s="126"/>
      <c r="K406" s="127"/>
      <c r="L406" s="128"/>
      <c r="M406" s="128"/>
      <c r="N406" s="128"/>
      <c r="O406" s="127"/>
      <c r="P406" s="127"/>
      <c r="Q406" s="127"/>
      <c r="R406" s="137"/>
      <c r="S406" s="137"/>
      <c r="T406" s="137"/>
    </row>
    <row r="407" spans="1:20" s="118" customFormat="1" x14ac:dyDescent="0.25">
      <c r="A407" s="79" t="s">
        <v>245</v>
      </c>
      <c r="B407" s="124"/>
      <c r="C407" s="124"/>
      <c r="D407" s="124"/>
      <c r="E407" s="124"/>
      <c r="F407" s="124"/>
      <c r="G407" s="125"/>
      <c r="H407" s="125"/>
      <c r="I407" s="125"/>
      <c r="J407" s="126"/>
      <c r="K407" s="127"/>
      <c r="L407" s="128"/>
      <c r="M407" s="128"/>
      <c r="N407" s="128"/>
      <c r="O407" s="127"/>
      <c r="P407" s="127"/>
      <c r="Q407" s="127"/>
      <c r="R407" s="137"/>
      <c r="S407" s="137"/>
      <c r="T407" s="137"/>
    </row>
    <row r="408" spans="1:20" s="118" customFormat="1" x14ac:dyDescent="0.25">
      <c r="A408" s="79" t="s">
        <v>246</v>
      </c>
      <c r="B408" s="124"/>
      <c r="C408" s="124"/>
      <c r="D408" s="124"/>
      <c r="E408" s="124"/>
      <c r="F408" s="124"/>
      <c r="G408" s="125"/>
      <c r="H408" s="125"/>
      <c r="I408" s="125"/>
      <c r="J408" s="126"/>
      <c r="K408" s="127"/>
      <c r="L408" s="128"/>
      <c r="M408" s="128"/>
      <c r="N408" s="128"/>
      <c r="O408" s="127"/>
      <c r="P408" s="127"/>
      <c r="Q408" s="127"/>
      <c r="R408" s="137"/>
      <c r="S408" s="137"/>
      <c r="T408" s="137"/>
    </row>
  </sheetData>
  <sortState xmlns:xlrd2="http://schemas.microsoft.com/office/spreadsheetml/2017/richdata2" ref="A319:Z331">
    <sortCondition ref="A319:A331" customList="א,ב,ג,ד,ה,ו,ז,ח,ט,י,כ,ל,מ,נ,ס,ע,פ,צ,ק,ר,ש,ת"/>
  </sortState>
  <mergeCells count="2">
    <mergeCell ref="A6:T6"/>
    <mergeCell ref="A5:T5"/>
  </mergeCells>
  <phoneticPr fontId="3" type="noConversion"/>
  <conditionalFormatting sqref="A11:A403 P11:Q403">
    <cfRule type="expression" dxfId="112" priority="109" stopIfTrue="1">
      <formula>#REF!&gt;0</formula>
    </cfRule>
  </conditionalFormatting>
  <conditionalFormatting sqref="B11:M403">
    <cfRule type="expression" dxfId="111" priority="111" stopIfTrue="1">
      <formula>LEFT(#REF!,3)="TIR"</formula>
    </cfRule>
  </conditionalFormatting>
  <conditionalFormatting sqref="S11:T403">
    <cfRule type="expression" dxfId="110" priority="10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S26"/>
  <sheetViews>
    <sheetView rightToLeft="1" zoomScale="80" zoomScaleNormal="80" workbookViewId="0"/>
  </sheetViews>
  <sheetFormatPr defaultColWidth="9.109375" defaultRowHeight="13.2" x14ac:dyDescent="0.25"/>
  <cols>
    <col min="1" max="1" width="25" style="10" bestFit="1" customWidth="1"/>
    <col min="2" max="2" width="13.5546875" style="9" bestFit="1" customWidth="1"/>
    <col min="3" max="3" width="12.33203125" style="9" customWidth="1"/>
    <col min="4" max="4" width="11.33203125" style="9" customWidth="1"/>
    <col min="5" max="5" width="13.33203125" style="9" customWidth="1"/>
    <col min="6" max="6" width="14.44140625" style="9" bestFit="1" customWidth="1"/>
    <col min="7" max="7" width="11.33203125" style="60" customWidth="1"/>
    <col min="8" max="8" width="10.5546875" style="60" customWidth="1"/>
    <col min="9" max="9" width="8.88671875" style="60" bestFit="1" customWidth="1"/>
    <col min="10" max="10" width="16.5546875" style="60" bestFit="1" customWidth="1"/>
    <col min="11" max="11" width="10.44140625" style="37" customWidth="1"/>
    <col min="12" max="12" width="22.88671875" style="62" bestFit="1" customWidth="1"/>
    <col min="13" max="13" width="26.44140625" style="62" bestFit="1" customWidth="1"/>
    <col min="14" max="14" width="20.6640625" style="64" customWidth="1"/>
    <col min="15" max="15" width="11.44140625" style="20" bestFit="1" customWidth="1"/>
    <col min="16" max="16" width="7.33203125" style="20" customWidth="1"/>
    <col min="17" max="18" width="10.5546875" style="13" customWidth="1"/>
    <col min="19" max="19" width="11.44140625" style="15" customWidth="1"/>
    <col min="20" max="20" width="15.44140625" style="15" customWidth="1"/>
    <col min="21" max="16384" width="9.109375" style="15"/>
  </cols>
  <sheetData>
    <row r="1" spans="1:19" s="7" customFormat="1" x14ac:dyDescent="0.25">
      <c r="A1" s="7" t="s">
        <v>237</v>
      </c>
      <c r="B1" s="9" t="s">
        <v>247</v>
      </c>
      <c r="C1" s="9"/>
      <c r="D1" s="9"/>
      <c r="E1" s="9"/>
      <c r="F1" s="9"/>
      <c r="G1" s="60"/>
      <c r="H1" s="60"/>
      <c r="I1" s="60"/>
      <c r="J1" s="60"/>
      <c r="K1" s="37"/>
      <c r="L1" s="62"/>
      <c r="M1" s="62"/>
      <c r="N1" s="63"/>
      <c r="O1" s="14"/>
      <c r="P1" s="14"/>
      <c r="Q1" s="13"/>
      <c r="R1" s="13"/>
      <c r="S1" s="15"/>
    </row>
    <row r="2" spans="1:19" s="7" customFormat="1" x14ac:dyDescent="0.25">
      <c r="A2" s="10" t="s">
        <v>238</v>
      </c>
      <c r="B2" s="9" t="s">
        <v>150</v>
      </c>
      <c r="C2" s="9"/>
      <c r="D2" s="9"/>
      <c r="E2" s="9"/>
      <c r="F2" s="9"/>
      <c r="G2" s="60"/>
      <c r="H2" s="60"/>
      <c r="I2" s="60"/>
      <c r="J2" s="60"/>
      <c r="K2" s="37"/>
      <c r="L2" s="62"/>
      <c r="M2" s="62"/>
      <c r="N2" s="63"/>
      <c r="O2" s="14"/>
      <c r="P2" s="14"/>
      <c r="Q2" s="13"/>
      <c r="R2" s="13"/>
      <c r="S2" s="15"/>
    </row>
    <row r="3" spans="1:19" s="7" customFormat="1" x14ac:dyDescent="0.25">
      <c r="A3" s="10" t="s">
        <v>239</v>
      </c>
      <c r="B3" s="9" t="s">
        <v>240</v>
      </c>
      <c r="C3" s="9"/>
      <c r="D3" s="9"/>
      <c r="E3" s="9"/>
      <c r="F3" s="9"/>
      <c r="G3" s="60"/>
      <c r="H3" s="60"/>
      <c r="I3" s="60"/>
      <c r="J3" s="60"/>
      <c r="K3" s="37"/>
      <c r="L3" s="62"/>
      <c r="M3" s="62"/>
      <c r="N3" s="63"/>
      <c r="O3" s="14"/>
      <c r="P3" s="14"/>
      <c r="Q3" s="13"/>
      <c r="R3" s="13"/>
      <c r="S3" s="15"/>
    </row>
    <row r="4" spans="1:19" s="7" customFormat="1" ht="13.8" thickBot="1" x14ac:dyDescent="0.3">
      <c r="A4" s="10" t="s">
        <v>241</v>
      </c>
      <c r="B4" s="9" t="s">
        <v>249</v>
      </c>
      <c r="C4" s="9"/>
      <c r="D4" s="9"/>
      <c r="E4" s="9"/>
      <c r="F4" s="9"/>
      <c r="G4" s="60"/>
      <c r="H4" s="60"/>
      <c r="I4" s="60"/>
      <c r="J4" s="60"/>
      <c r="K4" s="37"/>
      <c r="L4" s="62"/>
      <c r="M4" s="62"/>
      <c r="N4" s="63"/>
      <c r="O4" s="14"/>
      <c r="P4" s="14"/>
      <c r="Q4" s="13"/>
      <c r="R4" s="13"/>
      <c r="S4" s="15"/>
    </row>
    <row r="5" spans="1:19" s="7" customFormat="1" ht="13.8" thickBot="1" x14ac:dyDescent="0.3">
      <c r="A5" s="226" t="s">
        <v>11</v>
      </c>
      <c r="B5" s="227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8"/>
      <c r="N5" s="229"/>
      <c r="O5" s="14"/>
      <c r="P5" s="14"/>
      <c r="Q5" s="13"/>
      <c r="R5" s="13"/>
      <c r="S5" s="15"/>
    </row>
    <row r="6" spans="1:19" s="7" customFormat="1" x14ac:dyDescent="0.25">
      <c r="A6" s="223" t="s">
        <v>21</v>
      </c>
      <c r="B6" s="224"/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5"/>
    </row>
    <row r="7" spans="1:19" s="7" customFormat="1" x14ac:dyDescent="0.25">
      <c r="A7" s="87" t="s">
        <v>157</v>
      </c>
      <c r="B7" s="203" t="s">
        <v>69</v>
      </c>
      <c r="C7" s="203" t="s">
        <v>76</v>
      </c>
      <c r="D7" s="203" t="s">
        <v>77</v>
      </c>
      <c r="E7" s="203" t="s">
        <v>74</v>
      </c>
      <c r="F7" s="203" t="s">
        <v>19</v>
      </c>
      <c r="G7" s="203" t="s">
        <v>6</v>
      </c>
      <c r="H7" s="204" t="s">
        <v>67</v>
      </c>
      <c r="I7" s="204" t="s">
        <v>68</v>
      </c>
      <c r="J7" s="204" t="s">
        <v>134</v>
      </c>
      <c r="K7" s="204" t="s">
        <v>7</v>
      </c>
      <c r="L7" s="204" t="s">
        <v>17</v>
      </c>
      <c r="M7" s="90" t="s">
        <v>75</v>
      </c>
      <c r="N7" s="91" t="s">
        <v>8</v>
      </c>
    </row>
    <row r="8" spans="1:19" s="7" customFormat="1" x14ac:dyDescent="0.25">
      <c r="A8" s="27"/>
      <c r="B8" s="3"/>
      <c r="C8" s="3"/>
      <c r="D8" s="3"/>
      <c r="E8" s="3"/>
      <c r="F8" s="3"/>
      <c r="G8" s="30"/>
      <c r="H8" s="2" t="s">
        <v>133</v>
      </c>
      <c r="I8" s="50"/>
      <c r="J8" s="2" t="s">
        <v>135</v>
      </c>
      <c r="K8" s="2" t="s">
        <v>135</v>
      </c>
      <c r="L8" s="50" t="s">
        <v>9</v>
      </c>
      <c r="M8" s="54" t="s">
        <v>9</v>
      </c>
      <c r="N8" s="51" t="s">
        <v>9</v>
      </c>
    </row>
    <row r="9" spans="1:19" s="16" customFormat="1" ht="12.75" customHeight="1" x14ac:dyDescent="0.25">
      <c r="A9" s="27"/>
      <c r="B9" s="3">
        <v>1</v>
      </c>
      <c r="C9" s="3">
        <v>2</v>
      </c>
      <c r="D9" s="3">
        <v>3</v>
      </c>
      <c r="E9" s="3">
        <v>4</v>
      </c>
      <c r="F9" s="3">
        <v>5</v>
      </c>
      <c r="G9" s="3">
        <v>6</v>
      </c>
      <c r="H9" s="3">
        <v>7</v>
      </c>
      <c r="I9" s="3">
        <v>8</v>
      </c>
      <c r="J9" s="3">
        <v>9</v>
      </c>
      <c r="K9" s="3">
        <v>10</v>
      </c>
      <c r="L9" s="3">
        <v>11</v>
      </c>
      <c r="M9" s="58">
        <v>12</v>
      </c>
      <c r="N9" s="45">
        <v>13</v>
      </c>
    </row>
    <row r="10" spans="1:19" s="118" customFormat="1" ht="12.75" customHeight="1" thickBot="1" x14ac:dyDescent="0.3">
      <c r="A10" s="148" t="s">
        <v>59</v>
      </c>
      <c r="B10" s="71" t="s">
        <v>251</v>
      </c>
      <c r="C10" s="71" t="s">
        <v>251</v>
      </c>
      <c r="D10" s="71" t="s">
        <v>251</v>
      </c>
      <c r="E10" s="71" t="s">
        <v>251</v>
      </c>
      <c r="F10" s="71" t="s">
        <v>251</v>
      </c>
      <c r="G10" s="149" t="s">
        <v>251</v>
      </c>
      <c r="H10" s="150" t="s">
        <v>251</v>
      </c>
      <c r="I10" s="149" t="s">
        <v>251</v>
      </c>
      <c r="J10" s="149" t="s">
        <v>251</v>
      </c>
      <c r="K10" s="107">
        <v>0.52191512473563273</v>
      </c>
      <c r="L10" s="71" t="s">
        <v>251</v>
      </c>
      <c r="M10" s="71">
        <v>1</v>
      </c>
      <c r="N10" s="83">
        <v>9.0602228715446053E-7</v>
      </c>
    </row>
    <row r="11" spans="1:19" s="118" customFormat="1" x14ac:dyDescent="0.25">
      <c r="A11" s="92" t="s">
        <v>137</v>
      </c>
      <c r="B11" s="130" t="s">
        <v>251</v>
      </c>
      <c r="C11" s="130" t="s">
        <v>251</v>
      </c>
      <c r="D11" s="130" t="s">
        <v>251</v>
      </c>
      <c r="E11" s="130" t="s">
        <v>251</v>
      </c>
      <c r="F11" s="130" t="s">
        <v>251</v>
      </c>
      <c r="G11" s="131" t="s">
        <v>251</v>
      </c>
      <c r="H11" s="132" t="s">
        <v>251</v>
      </c>
      <c r="I11" s="121" t="s">
        <v>251</v>
      </c>
      <c r="J11" s="121" t="s">
        <v>251</v>
      </c>
      <c r="K11" s="133">
        <v>0.52191492473563261</v>
      </c>
      <c r="L11" s="120" t="s">
        <v>251</v>
      </c>
      <c r="M11" s="120">
        <v>0.99999961679592986</v>
      </c>
      <c r="N11" s="120">
        <v>9.0602193996303236E-7</v>
      </c>
    </row>
    <row r="12" spans="1:19" s="118" customFormat="1" x14ac:dyDescent="0.25">
      <c r="A12" s="93" t="s">
        <v>1728</v>
      </c>
      <c r="B12" s="130" t="s">
        <v>251</v>
      </c>
      <c r="C12" s="130" t="s">
        <v>251</v>
      </c>
      <c r="D12" s="130" t="s">
        <v>251</v>
      </c>
      <c r="E12" s="130" t="s">
        <v>251</v>
      </c>
      <c r="F12" s="130" t="s">
        <v>251</v>
      </c>
      <c r="G12" s="131" t="s">
        <v>251</v>
      </c>
      <c r="H12" s="134" t="s">
        <v>251</v>
      </c>
      <c r="I12" s="121" t="s">
        <v>251</v>
      </c>
      <c r="J12" s="121" t="s">
        <v>251</v>
      </c>
      <c r="K12" s="151">
        <v>0</v>
      </c>
      <c r="L12" s="136"/>
      <c r="M12" s="120">
        <v>0</v>
      </c>
      <c r="N12" s="120">
        <v>0</v>
      </c>
    </row>
    <row r="13" spans="1:19" s="118" customFormat="1" x14ac:dyDescent="0.25">
      <c r="A13" s="93" t="s">
        <v>1729</v>
      </c>
      <c r="B13" s="130" t="s">
        <v>251</v>
      </c>
      <c r="C13" s="130" t="s">
        <v>251</v>
      </c>
      <c r="D13" s="130" t="s">
        <v>251</v>
      </c>
      <c r="E13" s="130" t="s">
        <v>251</v>
      </c>
      <c r="F13" s="130" t="s">
        <v>251</v>
      </c>
      <c r="G13" s="131" t="s">
        <v>251</v>
      </c>
      <c r="H13" s="134" t="s">
        <v>251</v>
      </c>
      <c r="I13" s="121" t="s">
        <v>251</v>
      </c>
      <c r="J13" s="134" t="s">
        <v>251</v>
      </c>
      <c r="K13" s="151">
        <v>0</v>
      </c>
      <c r="L13" s="136"/>
      <c r="M13" s="120">
        <v>0</v>
      </c>
      <c r="N13" s="120">
        <v>0</v>
      </c>
    </row>
    <row r="14" spans="1:19" s="118" customFormat="1" x14ac:dyDescent="0.25">
      <c r="A14" s="93" t="s">
        <v>1730</v>
      </c>
      <c r="B14" s="130" t="s">
        <v>251</v>
      </c>
      <c r="C14" s="130" t="s">
        <v>251</v>
      </c>
      <c r="D14" s="130" t="s">
        <v>251</v>
      </c>
      <c r="E14" s="130" t="s">
        <v>251</v>
      </c>
      <c r="F14" s="130" t="s">
        <v>251</v>
      </c>
      <c r="G14" s="131" t="s">
        <v>251</v>
      </c>
      <c r="H14" s="134" t="s">
        <v>251</v>
      </c>
      <c r="I14" s="121" t="s">
        <v>251</v>
      </c>
      <c r="J14" s="121" t="s">
        <v>251</v>
      </c>
      <c r="K14" s="151">
        <v>0.5219145247356326</v>
      </c>
      <c r="L14" s="136"/>
      <c r="M14" s="120">
        <v>0.99999885038778979</v>
      </c>
      <c r="N14" s="120">
        <v>9.0602124558017646E-7</v>
      </c>
    </row>
    <row r="15" spans="1:19" x14ac:dyDescent="0.25">
      <c r="A15" s="17" t="s">
        <v>2999</v>
      </c>
      <c r="B15" s="116" t="s">
        <v>1731</v>
      </c>
      <c r="C15" s="116" t="s">
        <v>400</v>
      </c>
      <c r="D15" s="116" t="s">
        <v>251</v>
      </c>
      <c r="E15" s="116" t="s">
        <v>3000</v>
      </c>
      <c r="F15" s="116" t="s">
        <v>228</v>
      </c>
      <c r="G15" s="117" t="s">
        <v>257</v>
      </c>
      <c r="H15" s="70">
        <v>8029.4529631839005</v>
      </c>
      <c r="I15" s="67">
        <v>6.5</v>
      </c>
      <c r="J15" s="67">
        <v>0</v>
      </c>
      <c r="K15" s="65">
        <v>0.52191442473563265</v>
      </c>
      <c r="L15" s="25">
        <v>3.2666782356928969E-4</v>
      </c>
      <c r="M15" s="33">
        <v>0.99999865878575489</v>
      </c>
      <c r="N15" s="33">
        <v>9.0602107198446254E-7</v>
      </c>
      <c r="O15" s="15"/>
      <c r="P15" s="15"/>
      <c r="Q15" s="15"/>
      <c r="R15" s="15"/>
    </row>
    <row r="16" spans="1:19" s="118" customFormat="1" x14ac:dyDescent="0.25">
      <c r="A16" s="93" t="s">
        <v>1732</v>
      </c>
      <c r="B16" s="130" t="s">
        <v>251</v>
      </c>
      <c r="C16" s="130" t="s">
        <v>251</v>
      </c>
      <c r="D16" s="130" t="s">
        <v>251</v>
      </c>
      <c r="E16" s="130" t="s">
        <v>251</v>
      </c>
      <c r="F16" s="130" t="s">
        <v>251</v>
      </c>
      <c r="G16" s="131" t="s">
        <v>251</v>
      </c>
      <c r="H16" s="134" t="s">
        <v>251</v>
      </c>
      <c r="I16" s="121" t="s">
        <v>251</v>
      </c>
      <c r="J16" s="121" t="s">
        <v>251</v>
      </c>
      <c r="K16" s="151">
        <v>0</v>
      </c>
      <c r="L16" s="136"/>
      <c r="M16" s="120">
        <v>0</v>
      </c>
      <c r="N16" s="120">
        <v>0</v>
      </c>
    </row>
    <row r="17" spans="1:18" s="118" customFormat="1" x14ac:dyDescent="0.25">
      <c r="A17" s="93" t="s">
        <v>1733</v>
      </c>
      <c r="B17" s="130" t="s">
        <v>251</v>
      </c>
      <c r="C17" s="130" t="s">
        <v>251</v>
      </c>
      <c r="D17" s="130" t="s">
        <v>251</v>
      </c>
      <c r="E17" s="130" t="s">
        <v>251</v>
      </c>
      <c r="F17" s="130" t="s">
        <v>251</v>
      </c>
      <c r="G17" s="131" t="s">
        <v>251</v>
      </c>
      <c r="H17" s="134" t="s">
        <v>251</v>
      </c>
      <c r="I17" s="121" t="s">
        <v>251</v>
      </c>
      <c r="J17" s="121" t="s">
        <v>251</v>
      </c>
      <c r="K17" s="151">
        <v>0</v>
      </c>
      <c r="L17" s="136"/>
      <c r="M17" s="120">
        <v>0</v>
      </c>
      <c r="N17" s="120">
        <v>0</v>
      </c>
    </row>
    <row r="18" spans="1:18" s="118" customFormat="1" x14ac:dyDescent="0.25">
      <c r="A18" s="93" t="s">
        <v>1734</v>
      </c>
      <c r="B18" s="130" t="s">
        <v>251</v>
      </c>
      <c r="C18" s="130" t="s">
        <v>251</v>
      </c>
      <c r="D18" s="130" t="s">
        <v>251</v>
      </c>
      <c r="E18" s="130" t="s">
        <v>251</v>
      </c>
      <c r="F18" s="130" t="s">
        <v>251</v>
      </c>
      <c r="G18" s="131" t="s">
        <v>251</v>
      </c>
      <c r="H18" s="134" t="s">
        <v>251</v>
      </c>
      <c r="I18" s="121" t="s">
        <v>251</v>
      </c>
      <c r="J18" s="121" t="s">
        <v>251</v>
      </c>
      <c r="K18" s="151">
        <v>0</v>
      </c>
      <c r="L18" s="136"/>
      <c r="M18" s="120">
        <v>0</v>
      </c>
      <c r="N18" s="120">
        <v>0</v>
      </c>
    </row>
    <row r="19" spans="1:18" s="118" customFormat="1" x14ac:dyDescent="0.25">
      <c r="A19" s="93" t="s">
        <v>488</v>
      </c>
      <c r="B19" s="130" t="s">
        <v>251</v>
      </c>
      <c r="C19" s="130" t="s">
        <v>251</v>
      </c>
      <c r="D19" s="130" t="s">
        <v>251</v>
      </c>
      <c r="E19" s="130" t="s">
        <v>251</v>
      </c>
      <c r="F19" s="130" t="s">
        <v>251</v>
      </c>
      <c r="G19" s="131" t="s">
        <v>251</v>
      </c>
      <c r="H19" s="134" t="s">
        <v>251</v>
      </c>
      <c r="I19" s="121" t="s">
        <v>251</v>
      </c>
      <c r="J19" s="121" t="s">
        <v>251</v>
      </c>
      <c r="K19" s="151">
        <v>0</v>
      </c>
      <c r="L19" s="136"/>
      <c r="M19" s="120">
        <v>0</v>
      </c>
      <c r="N19" s="120">
        <v>0</v>
      </c>
    </row>
    <row r="20" spans="1:18" s="118" customFormat="1" x14ac:dyDescent="0.25">
      <c r="A20" s="93" t="s">
        <v>143</v>
      </c>
      <c r="B20" s="130" t="s">
        <v>251</v>
      </c>
      <c r="C20" s="130" t="s">
        <v>251</v>
      </c>
      <c r="D20" s="130" t="s">
        <v>251</v>
      </c>
      <c r="E20" s="130" t="s">
        <v>251</v>
      </c>
      <c r="F20" s="130" t="s">
        <v>251</v>
      </c>
      <c r="G20" s="131" t="s">
        <v>251</v>
      </c>
      <c r="H20" s="134" t="s">
        <v>251</v>
      </c>
      <c r="I20" s="121" t="s">
        <v>251</v>
      </c>
      <c r="J20" s="121" t="s">
        <v>251</v>
      </c>
      <c r="K20" s="151">
        <v>0</v>
      </c>
      <c r="L20" s="136"/>
      <c r="M20" s="120">
        <v>0</v>
      </c>
      <c r="N20" s="120">
        <v>0</v>
      </c>
    </row>
    <row r="21" spans="1:18" s="118" customFormat="1" x14ac:dyDescent="0.25">
      <c r="A21" s="93" t="s">
        <v>144</v>
      </c>
      <c r="B21" s="130" t="s">
        <v>251</v>
      </c>
      <c r="C21" s="130" t="s">
        <v>251</v>
      </c>
      <c r="D21" s="130" t="s">
        <v>251</v>
      </c>
      <c r="E21" s="130" t="s">
        <v>251</v>
      </c>
      <c r="F21" s="130" t="s">
        <v>251</v>
      </c>
      <c r="G21" s="131" t="s">
        <v>251</v>
      </c>
      <c r="H21" s="134" t="s">
        <v>251</v>
      </c>
      <c r="I21" s="121" t="s">
        <v>251</v>
      </c>
      <c r="J21" s="121" t="s">
        <v>251</v>
      </c>
      <c r="K21" s="151">
        <v>0</v>
      </c>
      <c r="L21" s="136"/>
      <c r="M21" s="120">
        <v>0</v>
      </c>
      <c r="N21" s="120">
        <v>0</v>
      </c>
    </row>
    <row r="22" spans="1:18" s="118" customFormat="1" x14ac:dyDescent="0.25">
      <c r="A22" s="79" t="s">
        <v>242</v>
      </c>
      <c r="B22" s="124"/>
      <c r="C22" s="124"/>
      <c r="D22" s="124"/>
      <c r="E22" s="124"/>
      <c r="F22" s="124"/>
      <c r="G22" s="125"/>
      <c r="H22" s="125"/>
      <c r="I22" s="125"/>
      <c r="J22" s="125"/>
      <c r="K22" s="126"/>
      <c r="L22" s="127"/>
      <c r="M22" s="127"/>
      <c r="N22" s="128"/>
      <c r="O22" s="147"/>
      <c r="P22" s="147"/>
      <c r="Q22" s="129"/>
      <c r="R22" s="129"/>
    </row>
    <row r="23" spans="1:18" s="118" customFormat="1" x14ac:dyDescent="0.25">
      <c r="A23" s="79" t="s">
        <v>243</v>
      </c>
      <c r="B23" s="124"/>
      <c r="C23" s="124"/>
      <c r="D23" s="124"/>
      <c r="E23" s="124"/>
      <c r="F23" s="124"/>
      <c r="G23" s="125"/>
      <c r="H23" s="125"/>
      <c r="I23" s="125"/>
      <c r="J23" s="125"/>
      <c r="K23" s="126"/>
      <c r="L23" s="127"/>
      <c r="M23" s="127"/>
      <c r="N23" s="128"/>
      <c r="O23" s="147"/>
      <c r="P23" s="147"/>
      <c r="Q23" s="129"/>
      <c r="R23" s="129"/>
    </row>
    <row r="24" spans="1:18" s="118" customFormat="1" x14ac:dyDescent="0.25">
      <c r="A24" s="79" t="s">
        <v>244</v>
      </c>
      <c r="B24" s="124"/>
      <c r="C24" s="124"/>
      <c r="D24" s="124"/>
      <c r="E24" s="124"/>
      <c r="F24" s="124"/>
      <c r="G24" s="125"/>
      <c r="H24" s="125"/>
      <c r="I24" s="125"/>
      <c r="J24" s="125"/>
      <c r="K24" s="126"/>
      <c r="L24" s="127"/>
      <c r="M24" s="127"/>
      <c r="N24" s="128"/>
      <c r="O24" s="147"/>
      <c r="P24" s="147"/>
      <c r="Q24" s="129"/>
      <c r="R24" s="129"/>
    </row>
    <row r="25" spans="1:18" s="118" customFormat="1" x14ac:dyDescent="0.25">
      <c r="A25" s="79" t="s">
        <v>245</v>
      </c>
      <c r="B25" s="124"/>
      <c r="C25" s="124"/>
      <c r="D25" s="124"/>
      <c r="E25" s="124"/>
      <c r="F25" s="124"/>
      <c r="G25" s="125"/>
      <c r="H25" s="125"/>
      <c r="I25" s="125"/>
      <c r="J25" s="125"/>
      <c r="K25" s="126"/>
      <c r="L25" s="127"/>
      <c r="M25" s="127"/>
      <c r="N25" s="128"/>
      <c r="O25" s="147"/>
      <c r="P25" s="147"/>
      <c r="Q25" s="129"/>
      <c r="R25" s="129"/>
    </row>
    <row r="26" spans="1:18" s="118" customFormat="1" x14ac:dyDescent="0.25">
      <c r="A26" s="79" t="s">
        <v>246</v>
      </c>
      <c r="B26" s="124"/>
      <c r="C26" s="124"/>
      <c r="D26" s="124"/>
      <c r="E26" s="124"/>
      <c r="F26" s="124"/>
      <c r="G26" s="125"/>
      <c r="H26" s="125"/>
      <c r="I26" s="125"/>
      <c r="J26" s="125"/>
      <c r="K26" s="126"/>
      <c r="L26" s="127"/>
      <c r="M26" s="127"/>
      <c r="N26" s="128"/>
      <c r="O26" s="147"/>
      <c r="P26" s="147"/>
      <c r="Q26" s="129"/>
      <c r="R26" s="129"/>
    </row>
  </sheetData>
  <mergeCells count="2">
    <mergeCell ref="A6:N6"/>
    <mergeCell ref="A5:N5"/>
  </mergeCells>
  <phoneticPr fontId="3" type="noConversion"/>
  <conditionalFormatting sqref="A10:A21 K10:K21">
    <cfRule type="expression" dxfId="109" priority="124" stopIfTrue="1">
      <formula>#REF!&gt;0</formula>
    </cfRule>
    <cfRule type="expression" dxfId="108" priority="125" stopIfTrue="1">
      <formula>LEFT(#REF!,3)="TIR"</formula>
    </cfRule>
  </conditionalFormatting>
  <conditionalFormatting sqref="B10:G21 M10:N21">
    <cfRule type="expression" dxfId="107" priority="119" stopIfTrue="1">
      <formula>LEFT(#REF!,3)="TIR"</formula>
    </cfRule>
  </conditionalFormatting>
  <conditionalFormatting sqref="L10:M55556 L1:M4 H10:J21">
    <cfRule type="expression" dxfId="106" priority="121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S48"/>
  <sheetViews>
    <sheetView rightToLeft="1" zoomScale="80" zoomScaleNormal="80" workbookViewId="0"/>
  </sheetViews>
  <sheetFormatPr defaultColWidth="9.109375" defaultRowHeight="13.2" x14ac:dyDescent="0.25"/>
  <cols>
    <col min="1" max="1" width="36.5546875" style="10" bestFit="1" customWidth="1"/>
    <col min="2" max="2" width="14.33203125" style="9" bestFit="1" customWidth="1"/>
    <col min="3" max="3" width="12.33203125" style="9" customWidth="1"/>
    <col min="4" max="4" width="13.33203125" style="9" customWidth="1"/>
    <col min="5" max="5" width="11.5546875" style="9" customWidth="1"/>
    <col min="6" max="6" width="12" style="9" bestFit="1" customWidth="1"/>
    <col min="7" max="7" width="10.88671875" style="60" bestFit="1" customWidth="1"/>
    <col min="8" max="8" width="9.33203125" style="60" bestFit="1" customWidth="1"/>
    <col min="9" max="9" width="16.5546875" style="60" bestFit="1" customWidth="1"/>
    <col min="10" max="10" width="11.33203125" style="60" bestFit="1" customWidth="1"/>
    <col min="11" max="11" width="22.88671875" style="37" bestFit="1" customWidth="1"/>
    <col min="12" max="12" width="26.44140625" style="37" bestFit="1" customWidth="1"/>
    <col min="13" max="13" width="20.6640625" style="62" customWidth="1"/>
    <col min="14" max="14" width="10" style="20" customWidth="1"/>
    <col min="15" max="15" width="11.44140625" style="20" bestFit="1" customWidth="1"/>
    <col min="16" max="16" width="7.33203125" style="20" customWidth="1"/>
    <col min="17" max="18" width="10.5546875" style="13" customWidth="1"/>
    <col min="19" max="19" width="11.44140625" style="15" customWidth="1"/>
    <col min="20" max="20" width="15.44140625" style="15" customWidth="1"/>
    <col min="21" max="16384" width="9.109375" style="15"/>
  </cols>
  <sheetData>
    <row r="1" spans="1:19" s="7" customFormat="1" x14ac:dyDescent="0.25">
      <c r="A1" s="7" t="s">
        <v>237</v>
      </c>
      <c r="B1" s="9" t="s">
        <v>247</v>
      </c>
      <c r="C1" s="9"/>
      <c r="D1" s="9"/>
      <c r="E1" s="9"/>
      <c r="F1" s="9"/>
      <c r="G1" s="60"/>
      <c r="H1" s="60"/>
      <c r="I1" s="60"/>
      <c r="J1" s="60"/>
      <c r="K1" s="37"/>
      <c r="L1" s="37"/>
      <c r="M1" s="62"/>
      <c r="N1" s="14"/>
      <c r="O1" s="14"/>
      <c r="P1" s="14"/>
      <c r="Q1" s="13"/>
      <c r="R1" s="13"/>
      <c r="S1" s="15"/>
    </row>
    <row r="2" spans="1:19" s="7" customFormat="1" x14ac:dyDescent="0.25">
      <c r="A2" s="10" t="s">
        <v>238</v>
      </c>
      <c r="B2" s="9" t="s">
        <v>150</v>
      </c>
      <c r="C2" s="9"/>
      <c r="D2" s="9"/>
      <c r="E2" s="9"/>
      <c r="F2" s="9"/>
      <c r="G2" s="60"/>
      <c r="H2" s="60"/>
      <c r="I2" s="60"/>
      <c r="J2" s="60"/>
      <c r="K2" s="37"/>
      <c r="L2" s="37"/>
      <c r="M2" s="62"/>
      <c r="N2" s="14"/>
      <c r="O2" s="14"/>
      <c r="P2" s="14"/>
      <c r="Q2" s="13"/>
      <c r="R2" s="13"/>
      <c r="S2" s="15"/>
    </row>
    <row r="3" spans="1:19" s="7" customFormat="1" x14ac:dyDescent="0.25">
      <c r="A3" s="10" t="s">
        <v>239</v>
      </c>
      <c r="B3" s="9" t="s">
        <v>240</v>
      </c>
      <c r="C3" s="9"/>
      <c r="D3" s="9"/>
      <c r="E3" s="9"/>
      <c r="F3" s="9"/>
      <c r="G3" s="60"/>
      <c r="H3" s="60"/>
      <c r="I3" s="60"/>
      <c r="J3" s="60"/>
      <c r="K3" s="37"/>
      <c r="L3" s="37"/>
      <c r="M3" s="62"/>
      <c r="N3" s="14"/>
      <c r="O3" s="14"/>
      <c r="P3" s="14"/>
      <c r="Q3" s="13"/>
      <c r="R3" s="13"/>
      <c r="S3" s="15"/>
    </row>
    <row r="4" spans="1:19" s="7" customFormat="1" ht="13.8" thickBot="1" x14ac:dyDescent="0.3">
      <c r="A4" s="10" t="s">
        <v>241</v>
      </c>
      <c r="B4" s="9" t="s">
        <v>249</v>
      </c>
      <c r="C4" s="9"/>
      <c r="D4" s="9"/>
      <c r="E4" s="9"/>
      <c r="F4" s="9"/>
      <c r="G4" s="60"/>
      <c r="H4" s="60"/>
      <c r="I4" s="60"/>
      <c r="J4" s="60"/>
      <c r="K4" s="37"/>
      <c r="L4" s="37"/>
      <c r="M4" s="62"/>
      <c r="N4" s="14"/>
      <c r="O4" s="14"/>
      <c r="P4" s="14"/>
      <c r="Q4" s="13"/>
      <c r="R4" s="13"/>
      <c r="S4" s="15"/>
    </row>
    <row r="5" spans="1:19" s="7" customFormat="1" ht="13.8" thickBot="1" x14ac:dyDescent="0.3">
      <c r="A5" s="220" t="s">
        <v>11</v>
      </c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2"/>
      <c r="N5" s="14"/>
      <c r="O5" s="14"/>
      <c r="P5" s="14"/>
      <c r="Q5" s="13"/>
      <c r="R5" s="13"/>
      <c r="S5" s="15"/>
    </row>
    <row r="6" spans="1:19" s="7" customFormat="1" x14ac:dyDescent="0.25">
      <c r="A6" s="223" t="s">
        <v>158</v>
      </c>
      <c r="B6" s="224"/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5"/>
      <c r="N6" s="14"/>
    </row>
    <row r="7" spans="1:19" s="7" customFormat="1" x14ac:dyDescent="0.25">
      <c r="A7" s="87" t="s">
        <v>157</v>
      </c>
      <c r="B7" s="203" t="s">
        <v>69</v>
      </c>
      <c r="C7" s="203" t="s">
        <v>76</v>
      </c>
      <c r="D7" s="203" t="s">
        <v>74</v>
      </c>
      <c r="E7" s="203" t="s">
        <v>19</v>
      </c>
      <c r="F7" s="203" t="s">
        <v>6</v>
      </c>
      <c r="G7" s="204" t="s">
        <v>67</v>
      </c>
      <c r="H7" s="204" t="s">
        <v>68</v>
      </c>
      <c r="I7" s="204" t="s">
        <v>134</v>
      </c>
      <c r="J7" s="204" t="s">
        <v>7</v>
      </c>
      <c r="K7" s="204" t="s">
        <v>17</v>
      </c>
      <c r="L7" s="90" t="s">
        <v>75</v>
      </c>
      <c r="M7" s="91" t="s">
        <v>8</v>
      </c>
    </row>
    <row r="8" spans="1:19" s="7" customFormat="1" x14ac:dyDescent="0.25">
      <c r="A8" s="27"/>
      <c r="B8" s="3"/>
      <c r="C8" s="3"/>
      <c r="D8" s="3"/>
      <c r="E8" s="3"/>
      <c r="F8" s="30"/>
      <c r="G8" s="2" t="s">
        <v>133</v>
      </c>
      <c r="H8" s="49"/>
      <c r="I8" s="2" t="s">
        <v>135</v>
      </c>
      <c r="J8" s="2" t="s">
        <v>135</v>
      </c>
      <c r="K8" s="49" t="s">
        <v>9</v>
      </c>
      <c r="L8" s="49" t="s">
        <v>9</v>
      </c>
      <c r="M8" s="55" t="s">
        <v>9</v>
      </c>
    </row>
    <row r="9" spans="1:19" s="16" customFormat="1" ht="12.75" customHeight="1" x14ac:dyDescent="0.25">
      <c r="A9" s="27"/>
      <c r="B9" s="3">
        <v>1</v>
      </c>
      <c r="C9" s="3">
        <v>2</v>
      </c>
      <c r="D9" s="3">
        <v>3</v>
      </c>
      <c r="E9" s="3">
        <v>4</v>
      </c>
      <c r="F9" s="3">
        <v>5</v>
      </c>
      <c r="G9" s="3">
        <v>6</v>
      </c>
      <c r="H9" s="3">
        <v>7</v>
      </c>
      <c r="I9" s="3">
        <v>8</v>
      </c>
      <c r="J9" s="3">
        <v>9</v>
      </c>
      <c r="K9" s="3">
        <v>10</v>
      </c>
      <c r="L9" s="58">
        <v>11</v>
      </c>
      <c r="M9" s="45">
        <v>12</v>
      </c>
    </row>
    <row r="10" spans="1:19" s="118" customFormat="1" ht="12.75" customHeight="1" thickBot="1" x14ac:dyDescent="0.3">
      <c r="A10" s="148" t="s">
        <v>159</v>
      </c>
      <c r="B10" s="71"/>
      <c r="C10" s="71"/>
      <c r="D10" s="71"/>
      <c r="E10" s="71"/>
      <c r="F10" s="149"/>
      <c r="G10" s="150"/>
      <c r="H10" s="149"/>
      <c r="I10" s="152" t="s">
        <v>251</v>
      </c>
      <c r="J10" s="107">
        <v>11884.952269184374</v>
      </c>
      <c r="K10" s="71" t="s">
        <v>251</v>
      </c>
      <c r="L10" s="71">
        <v>1</v>
      </c>
      <c r="M10" s="83">
        <v>2.063176774787354E-2</v>
      </c>
    </row>
    <row r="11" spans="1:19" s="118" customFormat="1" x14ac:dyDescent="0.25">
      <c r="A11" s="92" t="s">
        <v>137</v>
      </c>
      <c r="B11" s="130" t="s">
        <v>251</v>
      </c>
      <c r="C11" s="130" t="s">
        <v>251</v>
      </c>
      <c r="D11" s="130" t="s">
        <v>251</v>
      </c>
      <c r="E11" s="130" t="s">
        <v>251</v>
      </c>
      <c r="F11" s="130" t="s">
        <v>251</v>
      </c>
      <c r="G11" s="132" t="s">
        <v>251</v>
      </c>
      <c r="H11" s="121" t="s">
        <v>251</v>
      </c>
      <c r="I11" s="122" t="s">
        <v>251</v>
      </c>
      <c r="J11" s="153">
        <v>7071.5063586857559</v>
      </c>
      <c r="K11" s="120" t="s">
        <v>251</v>
      </c>
      <c r="L11" s="120">
        <v>0.59499661408156845</v>
      </c>
      <c r="M11" s="120">
        <v>1.2275831952502063E-2</v>
      </c>
    </row>
    <row r="12" spans="1:19" s="118" customFormat="1" x14ac:dyDescent="0.25">
      <c r="A12" s="93" t="s">
        <v>1735</v>
      </c>
      <c r="B12" s="130" t="s">
        <v>251</v>
      </c>
      <c r="C12" s="130" t="s">
        <v>251</v>
      </c>
      <c r="D12" s="130" t="s">
        <v>251</v>
      </c>
      <c r="E12" s="130" t="s">
        <v>251</v>
      </c>
      <c r="F12" s="130" t="s">
        <v>251</v>
      </c>
      <c r="G12" s="134" t="s">
        <v>251</v>
      </c>
      <c r="H12" s="121" t="s">
        <v>251</v>
      </c>
      <c r="I12" s="123" t="s">
        <v>251</v>
      </c>
      <c r="J12" s="123">
        <v>0</v>
      </c>
      <c r="K12" s="136"/>
      <c r="L12" s="120">
        <v>0</v>
      </c>
      <c r="M12" s="120">
        <v>0</v>
      </c>
    </row>
    <row r="13" spans="1:19" s="118" customFormat="1" x14ac:dyDescent="0.25">
      <c r="A13" s="93" t="s">
        <v>1736</v>
      </c>
      <c r="B13" s="130" t="s">
        <v>251</v>
      </c>
      <c r="C13" s="130" t="s">
        <v>251</v>
      </c>
      <c r="D13" s="130" t="s">
        <v>251</v>
      </c>
      <c r="E13" s="130" t="s">
        <v>251</v>
      </c>
      <c r="F13" s="130" t="s">
        <v>251</v>
      </c>
      <c r="G13" s="134" t="s">
        <v>251</v>
      </c>
      <c r="H13" s="121" t="s">
        <v>251</v>
      </c>
      <c r="I13" s="123" t="s">
        <v>251</v>
      </c>
      <c r="J13" s="123">
        <v>0</v>
      </c>
      <c r="K13" s="136"/>
      <c r="L13" s="120">
        <v>0</v>
      </c>
      <c r="M13" s="120">
        <v>0</v>
      </c>
    </row>
    <row r="14" spans="1:19" s="118" customFormat="1" x14ac:dyDescent="0.25">
      <c r="A14" s="93" t="s">
        <v>1737</v>
      </c>
      <c r="B14" s="130" t="s">
        <v>251</v>
      </c>
      <c r="C14" s="130" t="s">
        <v>251</v>
      </c>
      <c r="D14" s="130" t="s">
        <v>251</v>
      </c>
      <c r="E14" s="130" t="s">
        <v>251</v>
      </c>
      <c r="F14" s="130" t="s">
        <v>251</v>
      </c>
      <c r="G14" s="134" t="s">
        <v>251</v>
      </c>
      <c r="H14" s="121" t="s">
        <v>251</v>
      </c>
      <c r="I14" s="123" t="s">
        <v>251</v>
      </c>
      <c r="J14" s="123">
        <v>7071.5063581857557</v>
      </c>
      <c r="K14" s="136"/>
      <c r="L14" s="120">
        <v>0.59499661403949844</v>
      </c>
      <c r="M14" s="120">
        <v>1.2275831951634083E-2</v>
      </c>
    </row>
    <row r="15" spans="1:19" x14ac:dyDescent="0.25">
      <c r="A15" s="17" t="s">
        <v>1758</v>
      </c>
      <c r="B15" s="116" t="s">
        <v>1759</v>
      </c>
      <c r="C15" s="116" t="s">
        <v>400</v>
      </c>
      <c r="D15" s="116" t="s">
        <v>1760</v>
      </c>
      <c r="E15" s="116" t="s">
        <v>1741</v>
      </c>
      <c r="F15" s="116" t="s">
        <v>257</v>
      </c>
      <c r="G15" s="70">
        <v>81826.591135709285</v>
      </c>
      <c r="H15" s="67">
        <v>356.69</v>
      </c>
      <c r="I15" s="85">
        <v>0</v>
      </c>
      <c r="J15" s="85">
        <v>291.86726790717137</v>
      </c>
      <c r="K15" s="25">
        <v>7.4239555755244017E-4</v>
      </c>
      <c r="L15" s="33">
        <v>2.4557714772143659E-2</v>
      </c>
      <c r="M15" s="33">
        <v>5.0666906759739107E-4</v>
      </c>
      <c r="N15" s="15"/>
      <c r="O15" s="15"/>
      <c r="P15" s="15"/>
      <c r="Q15" s="15"/>
      <c r="R15" s="15"/>
    </row>
    <row r="16" spans="1:19" x14ac:dyDescent="0.25">
      <c r="A16" s="17" t="s">
        <v>1761</v>
      </c>
      <c r="B16" s="116" t="s">
        <v>1762</v>
      </c>
      <c r="C16" s="116" t="s">
        <v>400</v>
      </c>
      <c r="D16" s="116" t="s">
        <v>1760</v>
      </c>
      <c r="E16" s="116" t="s">
        <v>1741</v>
      </c>
      <c r="F16" s="116" t="s">
        <v>257</v>
      </c>
      <c r="G16" s="70">
        <v>123576.25219570649</v>
      </c>
      <c r="H16" s="67">
        <v>345.2</v>
      </c>
      <c r="I16" s="85">
        <v>0</v>
      </c>
      <c r="J16" s="85">
        <v>426.58522255492875</v>
      </c>
      <c r="K16" s="25">
        <v>7.2890866102706469E-4</v>
      </c>
      <c r="L16" s="33">
        <v>3.589288479188852E-2</v>
      </c>
      <c r="M16" s="33">
        <v>7.4053366282742612E-4</v>
      </c>
      <c r="N16" s="15"/>
      <c r="O16" s="15"/>
      <c r="P16" s="15"/>
      <c r="Q16" s="15"/>
      <c r="R16" s="15"/>
    </row>
    <row r="17" spans="1:18" x14ac:dyDescent="0.25">
      <c r="A17" s="17" t="s">
        <v>1763</v>
      </c>
      <c r="B17" s="116" t="s">
        <v>1764</v>
      </c>
      <c r="C17" s="116" t="s">
        <v>400</v>
      </c>
      <c r="D17" s="116" t="s">
        <v>1760</v>
      </c>
      <c r="E17" s="116" t="s">
        <v>1741</v>
      </c>
      <c r="F17" s="116" t="s">
        <v>257</v>
      </c>
      <c r="G17" s="70">
        <v>94745.343785789839</v>
      </c>
      <c r="H17" s="67">
        <v>355.55</v>
      </c>
      <c r="I17" s="85">
        <v>0</v>
      </c>
      <c r="J17" s="85">
        <v>336.86706980880695</v>
      </c>
      <c r="K17" s="25">
        <v>1.40355398201004E-3</v>
      </c>
      <c r="L17" s="33">
        <v>2.8343998543624363E-2</v>
      </c>
      <c r="M17" s="33">
        <v>5.8478679499812366E-4</v>
      </c>
      <c r="N17" s="15"/>
      <c r="O17" s="15"/>
      <c r="P17" s="15"/>
      <c r="Q17" s="15"/>
      <c r="R17" s="15"/>
    </row>
    <row r="18" spans="1:18" x14ac:dyDescent="0.25">
      <c r="A18" s="17" t="s">
        <v>1776</v>
      </c>
      <c r="B18" s="116" t="s">
        <v>1777</v>
      </c>
      <c r="C18" s="116" t="s">
        <v>400</v>
      </c>
      <c r="D18" s="116" t="s">
        <v>1760</v>
      </c>
      <c r="E18" s="116" t="s">
        <v>1741</v>
      </c>
      <c r="F18" s="116" t="s">
        <v>257</v>
      </c>
      <c r="G18" s="70">
        <v>35616.05426333403</v>
      </c>
      <c r="H18" s="67">
        <v>366.81</v>
      </c>
      <c r="I18" s="85">
        <v>0</v>
      </c>
      <c r="J18" s="85">
        <v>130.64324864126934</v>
      </c>
      <c r="K18" s="25">
        <v>2.1263789874991081E-4</v>
      </c>
      <c r="L18" s="33">
        <v>1.0992324216564563E-2</v>
      </c>
      <c r="M18" s="33">
        <v>2.2679108024548599E-4</v>
      </c>
      <c r="N18" s="15"/>
      <c r="O18" s="15"/>
      <c r="P18" s="15"/>
      <c r="Q18" s="15"/>
      <c r="R18" s="15"/>
    </row>
    <row r="19" spans="1:18" x14ac:dyDescent="0.25">
      <c r="A19" s="17" t="s">
        <v>1765</v>
      </c>
      <c r="B19" s="116" t="s">
        <v>1766</v>
      </c>
      <c r="C19" s="116" t="s">
        <v>400</v>
      </c>
      <c r="D19" s="116" t="s">
        <v>1767</v>
      </c>
      <c r="E19" s="116" t="s">
        <v>1741</v>
      </c>
      <c r="F19" s="116" t="s">
        <v>257</v>
      </c>
      <c r="G19" s="70">
        <v>46441.314167749872</v>
      </c>
      <c r="H19" s="67">
        <v>371.09</v>
      </c>
      <c r="I19" s="85">
        <v>0</v>
      </c>
      <c r="J19" s="85">
        <v>172.33907269950029</v>
      </c>
      <c r="K19" s="25">
        <v>9.1618926647867179E-4</v>
      </c>
      <c r="L19" s="33">
        <v>1.4500611260033894E-2</v>
      </c>
      <c r="M19" s="33">
        <v>2.9917324371921914E-4</v>
      </c>
      <c r="N19" s="15"/>
      <c r="O19" s="15"/>
      <c r="P19" s="15"/>
      <c r="Q19" s="15"/>
      <c r="R19" s="15"/>
    </row>
    <row r="20" spans="1:18" x14ac:dyDescent="0.25">
      <c r="A20" s="17" t="s">
        <v>1768</v>
      </c>
      <c r="B20" s="116" t="s">
        <v>1769</v>
      </c>
      <c r="C20" s="116" t="s">
        <v>400</v>
      </c>
      <c r="D20" s="116" t="s">
        <v>1767</v>
      </c>
      <c r="E20" s="116" t="s">
        <v>1741</v>
      </c>
      <c r="F20" s="116" t="s">
        <v>257</v>
      </c>
      <c r="G20" s="70">
        <v>149749.34392685033</v>
      </c>
      <c r="H20" s="67">
        <v>386.26</v>
      </c>
      <c r="I20" s="85">
        <v>0</v>
      </c>
      <c r="J20" s="85">
        <v>578.4218158518521</v>
      </c>
      <c r="K20" s="25">
        <v>2.4114962338761636E-3</v>
      </c>
      <c r="L20" s="33">
        <v>4.866841723475826E-2</v>
      </c>
      <c r="M20" s="33">
        <v>1.0041154810441382E-3</v>
      </c>
      <c r="N20" s="15"/>
      <c r="O20" s="15"/>
      <c r="P20" s="15"/>
      <c r="Q20" s="15"/>
      <c r="R20" s="15"/>
    </row>
    <row r="21" spans="1:18" x14ac:dyDescent="0.25">
      <c r="A21" s="17" t="s">
        <v>1778</v>
      </c>
      <c r="B21" s="116" t="s">
        <v>1779</v>
      </c>
      <c r="C21" s="116" t="s">
        <v>400</v>
      </c>
      <c r="D21" s="116" t="s">
        <v>1767</v>
      </c>
      <c r="E21" s="116" t="s">
        <v>1741</v>
      </c>
      <c r="F21" s="116" t="s">
        <v>257</v>
      </c>
      <c r="G21" s="70">
        <v>13809.956620413141</v>
      </c>
      <c r="H21" s="67">
        <v>426.16</v>
      </c>
      <c r="I21" s="85">
        <v>0</v>
      </c>
      <c r="J21" s="85">
        <v>58.852511130797673</v>
      </c>
      <c r="K21" s="25">
        <v>1.1253469127369805E-4</v>
      </c>
      <c r="L21" s="33">
        <v>4.9518508613107396E-3</v>
      </c>
      <c r="M21" s="33">
        <v>1.0216543689267073E-4</v>
      </c>
      <c r="N21" s="15"/>
      <c r="O21" s="15"/>
      <c r="P21" s="15"/>
      <c r="Q21" s="15"/>
      <c r="R21" s="15"/>
    </row>
    <row r="22" spans="1:18" x14ac:dyDescent="0.25">
      <c r="A22" s="17" t="s">
        <v>1738</v>
      </c>
      <c r="B22" s="116" t="s">
        <v>1739</v>
      </c>
      <c r="C22" s="116" t="s">
        <v>400</v>
      </c>
      <c r="D22" s="116" t="s">
        <v>1740</v>
      </c>
      <c r="E22" s="116" t="s">
        <v>1741</v>
      </c>
      <c r="F22" s="116" t="s">
        <v>257</v>
      </c>
      <c r="G22" s="70">
        <v>204473.20852485407</v>
      </c>
      <c r="H22" s="67">
        <v>354.12</v>
      </c>
      <c r="I22" s="85">
        <v>0</v>
      </c>
      <c r="J22" s="85">
        <v>724.08052597092637</v>
      </c>
      <c r="K22" s="25">
        <v>7.8134436683474011E-4</v>
      </c>
      <c r="L22" s="33">
        <v>6.0924142526709343E-2</v>
      </c>
      <c r="M22" s="33">
        <v>1.2569727588494124E-3</v>
      </c>
      <c r="N22" s="15"/>
      <c r="O22" s="15"/>
      <c r="P22" s="15"/>
      <c r="Q22" s="15"/>
      <c r="R22" s="15"/>
    </row>
    <row r="23" spans="1:18" x14ac:dyDescent="0.25">
      <c r="A23" s="17" t="s">
        <v>1742</v>
      </c>
      <c r="B23" s="116" t="s">
        <v>1743</v>
      </c>
      <c r="C23" s="116" t="s">
        <v>400</v>
      </c>
      <c r="D23" s="116" t="s">
        <v>1740</v>
      </c>
      <c r="E23" s="116" t="s">
        <v>1741</v>
      </c>
      <c r="F23" s="116" t="s">
        <v>257</v>
      </c>
      <c r="G23" s="70">
        <v>232283.49190020404</v>
      </c>
      <c r="H23" s="67">
        <v>345.71</v>
      </c>
      <c r="I23" s="85">
        <v>0</v>
      </c>
      <c r="J23" s="85">
        <v>803.02725980384366</v>
      </c>
      <c r="K23" s="25">
        <v>5.1240849370225616E-4</v>
      </c>
      <c r="L23" s="33">
        <v>6.7566721482420641E-2</v>
      </c>
      <c r="M23" s="33">
        <v>1.3940209051105602E-3</v>
      </c>
      <c r="N23" s="15"/>
      <c r="O23" s="15"/>
      <c r="P23" s="15"/>
      <c r="Q23" s="15"/>
      <c r="R23" s="15"/>
    </row>
    <row r="24" spans="1:18" x14ac:dyDescent="0.25">
      <c r="A24" s="17" t="s">
        <v>1770</v>
      </c>
      <c r="B24" s="116" t="s">
        <v>1771</v>
      </c>
      <c r="C24" s="116" t="s">
        <v>400</v>
      </c>
      <c r="D24" s="116" t="s">
        <v>1740</v>
      </c>
      <c r="E24" s="116" t="s">
        <v>1741</v>
      </c>
      <c r="F24" s="116" t="s">
        <v>257</v>
      </c>
      <c r="G24" s="70">
        <v>22141.313561520088</v>
      </c>
      <c r="H24" s="67">
        <v>368.07</v>
      </c>
      <c r="I24" s="85">
        <v>0</v>
      </c>
      <c r="J24" s="85">
        <v>81.495532805582826</v>
      </c>
      <c r="K24" s="25">
        <v>9.6900254439195472E-5</v>
      </c>
      <c r="L24" s="33">
        <v>6.8570349261634529E-3</v>
      </c>
      <c r="M24" s="33">
        <v>1.4147275203566152E-4</v>
      </c>
      <c r="N24" s="15"/>
      <c r="O24" s="15"/>
      <c r="P24" s="15"/>
      <c r="Q24" s="15"/>
      <c r="R24" s="15"/>
    </row>
    <row r="25" spans="1:18" x14ac:dyDescent="0.25">
      <c r="A25" s="17" t="s">
        <v>1751</v>
      </c>
      <c r="B25" s="116" t="s">
        <v>1752</v>
      </c>
      <c r="C25" s="116" t="s">
        <v>400</v>
      </c>
      <c r="D25" s="116" t="s">
        <v>1753</v>
      </c>
      <c r="E25" s="116" t="s">
        <v>1741</v>
      </c>
      <c r="F25" s="116" t="s">
        <v>257</v>
      </c>
      <c r="G25" s="70">
        <v>198189.52207412443</v>
      </c>
      <c r="H25" s="67">
        <v>352.65</v>
      </c>
      <c r="I25" s="85">
        <v>0</v>
      </c>
      <c r="J25" s="85">
        <v>698.91534956069074</v>
      </c>
      <c r="K25" s="25">
        <v>9.7142306084172447E-4</v>
      </c>
      <c r="L25" s="33">
        <v>5.8806744337783955E-2</v>
      </c>
      <c r="M25" s="33">
        <v>1.2132870911857358E-3</v>
      </c>
      <c r="N25" s="15"/>
      <c r="O25" s="15"/>
      <c r="P25" s="15"/>
      <c r="Q25" s="15"/>
      <c r="R25" s="15"/>
    </row>
    <row r="26" spans="1:18" x14ac:dyDescent="0.25">
      <c r="A26" s="17" t="s">
        <v>1754</v>
      </c>
      <c r="B26" s="116" t="s">
        <v>1755</v>
      </c>
      <c r="C26" s="116" t="s">
        <v>400</v>
      </c>
      <c r="D26" s="116" t="s">
        <v>1753</v>
      </c>
      <c r="E26" s="116" t="s">
        <v>1741</v>
      </c>
      <c r="F26" s="116" t="s">
        <v>257</v>
      </c>
      <c r="G26" s="70">
        <v>191177.1597528643</v>
      </c>
      <c r="H26" s="67">
        <v>346.08</v>
      </c>
      <c r="I26" s="85">
        <v>0</v>
      </c>
      <c r="J26" s="85">
        <v>661.6259144120736</v>
      </c>
      <c r="K26" s="25">
        <v>6.088154382554138E-4</v>
      </c>
      <c r="L26" s="33">
        <v>5.5669210900203207E-2</v>
      </c>
      <c r="M26" s="33">
        <v>1.1485542300003827E-3</v>
      </c>
      <c r="N26" s="15"/>
      <c r="O26" s="15"/>
      <c r="P26" s="15"/>
      <c r="Q26" s="15"/>
      <c r="R26" s="15"/>
    </row>
    <row r="27" spans="1:18" x14ac:dyDescent="0.25">
      <c r="A27" s="17" t="s">
        <v>1756</v>
      </c>
      <c r="B27" s="116" t="s">
        <v>1757</v>
      </c>
      <c r="C27" s="116" t="s">
        <v>400</v>
      </c>
      <c r="D27" s="116" t="s">
        <v>1753</v>
      </c>
      <c r="E27" s="116" t="s">
        <v>1741</v>
      </c>
      <c r="F27" s="116" t="s">
        <v>257</v>
      </c>
      <c r="G27" s="70">
        <v>10796.483995366125</v>
      </c>
      <c r="H27" s="67">
        <v>3540.9</v>
      </c>
      <c r="I27" s="85">
        <v>0</v>
      </c>
      <c r="J27" s="85">
        <v>382.2927017795941</v>
      </c>
      <c r="K27" s="25">
        <v>2.7704205419080774E-3</v>
      </c>
      <c r="L27" s="33">
        <v>3.2166111661282228E-2</v>
      </c>
      <c r="M27" s="33">
        <v>6.6364374514774147E-4</v>
      </c>
      <c r="N27" s="15"/>
      <c r="O27" s="15"/>
      <c r="P27" s="15"/>
      <c r="Q27" s="15"/>
      <c r="R27" s="15"/>
    </row>
    <row r="28" spans="1:18" x14ac:dyDescent="0.25">
      <c r="A28" s="17" t="s">
        <v>1774</v>
      </c>
      <c r="B28" s="116" t="s">
        <v>1775</v>
      </c>
      <c r="C28" s="116" t="s">
        <v>400</v>
      </c>
      <c r="D28" s="116" t="s">
        <v>1753</v>
      </c>
      <c r="E28" s="116" t="s">
        <v>1741</v>
      </c>
      <c r="F28" s="116" t="s">
        <v>257</v>
      </c>
      <c r="G28" s="70">
        <v>46102.131647763774</v>
      </c>
      <c r="H28" s="67">
        <v>364.56</v>
      </c>
      <c r="I28" s="85">
        <v>0</v>
      </c>
      <c r="J28" s="85">
        <v>168.06993130779341</v>
      </c>
      <c r="K28" s="25">
        <v>2.5141377525070806E-4</v>
      </c>
      <c r="L28" s="33">
        <v>1.4141405661642386E-2</v>
      </c>
      <c r="M28" s="33">
        <v>2.9176219723946959E-4</v>
      </c>
      <c r="N28" s="15"/>
      <c r="O28" s="15"/>
      <c r="P28" s="15"/>
      <c r="Q28" s="15"/>
      <c r="R28" s="15"/>
    </row>
    <row r="29" spans="1:18" x14ac:dyDescent="0.25">
      <c r="A29" s="17" t="s">
        <v>1744</v>
      </c>
      <c r="B29" s="116" t="s">
        <v>1745</v>
      </c>
      <c r="C29" s="116" t="s">
        <v>400</v>
      </c>
      <c r="D29" s="116" t="s">
        <v>1746</v>
      </c>
      <c r="E29" s="116" t="s">
        <v>1741</v>
      </c>
      <c r="F29" s="116" t="s">
        <v>257</v>
      </c>
      <c r="G29" s="70">
        <v>7208.6992407098005</v>
      </c>
      <c r="H29" s="67">
        <v>3534.1100000000006</v>
      </c>
      <c r="I29" s="85">
        <v>0</v>
      </c>
      <c r="J29" s="85">
        <v>254.76336073338413</v>
      </c>
      <c r="K29" s="25">
        <v>4.2316773848644274E-4</v>
      </c>
      <c r="L29" s="33">
        <v>2.1435791660177003E-2</v>
      </c>
      <c r="M29" s="33">
        <v>4.4225827502457642E-4</v>
      </c>
      <c r="N29" s="15"/>
      <c r="O29" s="15"/>
      <c r="P29" s="15"/>
      <c r="Q29" s="15"/>
      <c r="R29" s="15"/>
    </row>
    <row r="30" spans="1:18" x14ac:dyDescent="0.25">
      <c r="A30" s="17" t="s">
        <v>1747</v>
      </c>
      <c r="B30" s="116" t="s">
        <v>1748</v>
      </c>
      <c r="C30" s="116" t="s">
        <v>400</v>
      </c>
      <c r="D30" s="116" t="s">
        <v>1746</v>
      </c>
      <c r="E30" s="116" t="s">
        <v>1741</v>
      </c>
      <c r="F30" s="116" t="s">
        <v>257</v>
      </c>
      <c r="G30" s="70">
        <v>22615.700547032666</v>
      </c>
      <c r="H30" s="67">
        <v>3440.9</v>
      </c>
      <c r="I30" s="85">
        <v>0</v>
      </c>
      <c r="J30" s="85">
        <v>778.18364009819697</v>
      </c>
      <c r="K30" s="25">
        <v>7.7570823061589244E-4</v>
      </c>
      <c r="L30" s="33">
        <v>6.5476379077759744E-2</v>
      </c>
      <c r="M30" s="33">
        <v>1.3508934461040653E-3</v>
      </c>
      <c r="N30" s="15"/>
      <c r="O30" s="15"/>
      <c r="P30" s="15"/>
      <c r="Q30" s="15"/>
      <c r="R30" s="15"/>
    </row>
    <row r="31" spans="1:18" x14ac:dyDescent="0.25">
      <c r="A31" s="17" t="s">
        <v>1749</v>
      </c>
      <c r="B31" s="116" t="s">
        <v>1750</v>
      </c>
      <c r="C31" s="116" t="s">
        <v>400</v>
      </c>
      <c r="D31" s="116" t="s">
        <v>1746</v>
      </c>
      <c r="E31" s="116" t="s">
        <v>1741</v>
      </c>
      <c r="F31" s="116" t="s">
        <v>257</v>
      </c>
      <c r="G31" s="70">
        <v>9046.4379794387678</v>
      </c>
      <c r="H31" s="67">
        <v>3536.3900000000003</v>
      </c>
      <c r="I31" s="85">
        <v>0</v>
      </c>
      <c r="J31" s="85">
        <v>319.91732802163449</v>
      </c>
      <c r="K31" s="25">
        <v>2.5078669856484566E-3</v>
      </c>
      <c r="L31" s="33">
        <v>2.6917847104117095E-2</v>
      </c>
      <c r="M31" s="33">
        <v>5.5536276972491423E-4</v>
      </c>
      <c r="N31" s="15"/>
      <c r="O31" s="15"/>
      <c r="P31" s="15"/>
      <c r="Q31" s="15"/>
      <c r="R31" s="15"/>
    </row>
    <row r="32" spans="1:18" x14ac:dyDescent="0.25">
      <c r="A32" s="17" t="s">
        <v>1772</v>
      </c>
      <c r="B32" s="116" t="s">
        <v>1773</v>
      </c>
      <c r="C32" s="116" t="s">
        <v>400</v>
      </c>
      <c r="D32" s="116" t="s">
        <v>1746</v>
      </c>
      <c r="E32" s="116" t="s">
        <v>1741</v>
      </c>
      <c r="F32" s="116" t="s">
        <v>257</v>
      </c>
      <c r="G32" s="70">
        <v>5563.0784899363225</v>
      </c>
      <c r="H32" s="67">
        <v>3659.1</v>
      </c>
      <c r="I32" s="85">
        <v>0</v>
      </c>
      <c r="J32" s="85">
        <v>203.5586049977102</v>
      </c>
      <c r="K32" s="25">
        <v>3.3094639398069902E-4</v>
      </c>
      <c r="L32" s="33">
        <v>1.7127423012501489E-2</v>
      </c>
      <c r="M32" s="33">
        <v>3.5336901371351521E-4</v>
      </c>
      <c r="N32" s="15"/>
      <c r="O32" s="15"/>
      <c r="P32" s="15"/>
      <c r="Q32" s="15"/>
      <c r="R32" s="15"/>
    </row>
    <row r="33" spans="1:18" s="118" customFormat="1" x14ac:dyDescent="0.25">
      <c r="A33" s="93" t="s">
        <v>1780</v>
      </c>
      <c r="B33" s="130" t="s">
        <v>251</v>
      </c>
      <c r="C33" s="130" t="s">
        <v>251</v>
      </c>
      <c r="D33" s="130" t="s">
        <v>251</v>
      </c>
      <c r="E33" s="130" t="s">
        <v>251</v>
      </c>
      <c r="F33" s="130" t="s">
        <v>251</v>
      </c>
      <c r="G33" s="134" t="s">
        <v>251</v>
      </c>
      <c r="H33" s="121" t="s">
        <v>251</v>
      </c>
      <c r="I33" s="123" t="s">
        <v>251</v>
      </c>
      <c r="J33" s="123">
        <v>0</v>
      </c>
      <c r="K33" s="136"/>
      <c r="L33" s="120">
        <v>0</v>
      </c>
      <c r="M33" s="120">
        <v>0</v>
      </c>
    </row>
    <row r="34" spans="1:18" s="118" customFormat="1" x14ac:dyDescent="0.25">
      <c r="A34" s="93" t="s">
        <v>1781</v>
      </c>
      <c r="B34" s="130" t="s">
        <v>251</v>
      </c>
      <c r="C34" s="130" t="s">
        <v>251</v>
      </c>
      <c r="D34" s="130" t="s">
        <v>251</v>
      </c>
      <c r="E34" s="130" t="s">
        <v>251</v>
      </c>
      <c r="F34" s="130" t="s">
        <v>251</v>
      </c>
      <c r="G34" s="134" t="s">
        <v>251</v>
      </c>
      <c r="H34" s="121" t="s">
        <v>251</v>
      </c>
      <c r="I34" s="123" t="s">
        <v>251</v>
      </c>
      <c r="J34" s="123">
        <v>0</v>
      </c>
      <c r="K34" s="136"/>
      <c r="L34" s="120">
        <v>0</v>
      </c>
      <c r="M34" s="120">
        <v>0</v>
      </c>
    </row>
    <row r="35" spans="1:18" s="118" customFormat="1" x14ac:dyDescent="0.25">
      <c r="A35" s="93" t="s">
        <v>141</v>
      </c>
      <c r="B35" s="130" t="s">
        <v>251</v>
      </c>
      <c r="C35" s="130" t="s">
        <v>251</v>
      </c>
      <c r="D35" s="130" t="s">
        <v>251</v>
      </c>
      <c r="E35" s="130" t="s">
        <v>251</v>
      </c>
      <c r="F35" s="130" t="s">
        <v>251</v>
      </c>
      <c r="G35" s="134" t="s">
        <v>251</v>
      </c>
      <c r="H35" s="121" t="s">
        <v>251</v>
      </c>
      <c r="I35" s="123" t="s">
        <v>251</v>
      </c>
      <c r="J35" s="123">
        <v>0</v>
      </c>
      <c r="K35" s="136"/>
      <c r="L35" s="120">
        <v>0</v>
      </c>
      <c r="M35" s="120">
        <v>0</v>
      </c>
    </row>
    <row r="36" spans="1:18" s="118" customFormat="1" x14ac:dyDescent="0.25">
      <c r="A36" s="93" t="s">
        <v>488</v>
      </c>
      <c r="B36" s="130" t="s">
        <v>251</v>
      </c>
      <c r="C36" s="130" t="s">
        <v>251</v>
      </c>
      <c r="D36" s="130" t="s">
        <v>251</v>
      </c>
      <c r="E36" s="130" t="s">
        <v>251</v>
      </c>
      <c r="F36" s="130" t="s">
        <v>251</v>
      </c>
      <c r="G36" s="134" t="s">
        <v>251</v>
      </c>
      <c r="H36" s="121" t="s">
        <v>251</v>
      </c>
      <c r="I36" s="123" t="s">
        <v>251</v>
      </c>
      <c r="J36" s="123">
        <v>4813.4459104986163</v>
      </c>
      <c r="K36" s="136"/>
      <c r="L36" s="120">
        <v>0.40500338591843144</v>
      </c>
      <c r="M36" s="120">
        <v>8.3559357953714736E-3</v>
      </c>
    </row>
    <row r="37" spans="1:18" s="118" customFormat="1" x14ac:dyDescent="0.25">
      <c r="A37" s="93" t="s">
        <v>1782</v>
      </c>
      <c r="B37" s="130" t="s">
        <v>251</v>
      </c>
      <c r="C37" s="130" t="s">
        <v>251</v>
      </c>
      <c r="D37" s="130" t="s">
        <v>251</v>
      </c>
      <c r="E37" s="130" t="s">
        <v>251</v>
      </c>
      <c r="F37" s="130" t="s">
        <v>251</v>
      </c>
      <c r="G37" s="134" t="s">
        <v>251</v>
      </c>
      <c r="H37" s="121" t="s">
        <v>251</v>
      </c>
      <c r="I37" s="123" t="s">
        <v>251</v>
      </c>
      <c r="J37" s="123">
        <v>0</v>
      </c>
      <c r="K37" s="136"/>
      <c r="L37" s="120">
        <v>0</v>
      </c>
      <c r="M37" s="120">
        <v>0</v>
      </c>
    </row>
    <row r="38" spans="1:18" s="118" customFormat="1" x14ac:dyDescent="0.25">
      <c r="A38" s="93" t="s">
        <v>1783</v>
      </c>
      <c r="B38" s="130" t="s">
        <v>251</v>
      </c>
      <c r="C38" s="130" t="s">
        <v>251</v>
      </c>
      <c r="D38" s="130" t="s">
        <v>251</v>
      </c>
      <c r="E38" s="130" t="s">
        <v>251</v>
      </c>
      <c r="F38" s="130" t="s">
        <v>251</v>
      </c>
      <c r="G38" s="134" t="s">
        <v>251</v>
      </c>
      <c r="H38" s="121" t="s">
        <v>251</v>
      </c>
      <c r="I38" s="123" t="s">
        <v>251</v>
      </c>
      <c r="J38" s="123">
        <v>4813.4459101986158</v>
      </c>
      <c r="K38" s="136"/>
      <c r="L38" s="120">
        <v>0.4050033858931894</v>
      </c>
      <c r="M38" s="120">
        <v>8.3559357948506854E-3</v>
      </c>
    </row>
    <row r="39" spans="1:18" x14ac:dyDescent="0.25">
      <c r="A39" s="17" t="s">
        <v>1790</v>
      </c>
      <c r="B39" s="116" t="s">
        <v>1791</v>
      </c>
      <c r="C39" s="116" t="s">
        <v>1786</v>
      </c>
      <c r="D39" s="215" t="s">
        <v>2984</v>
      </c>
      <c r="E39" s="116" t="s">
        <v>1787</v>
      </c>
      <c r="F39" s="116" t="s">
        <v>125</v>
      </c>
      <c r="G39" s="70">
        <v>45625.757579419478</v>
      </c>
      <c r="H39" s="67">
        <v>552.79999999999995</v>
      </c>
      <c r="I39" s="85">
        <v>0</v>
      </c>
      <c r="J39" s="85">
        <v>933.2109952264143</v>
      </c>
      <c r="K39" s="25">
        <v>1.3875068307361149E-4</v>
      </c>
      <c r="L39" s="33">
        <v>7.8520382252276186E-2</v>
      </c>
      <c r="M39" s="33">
        <v>1.6200142901032137E-3</v>
      </c>
      <c r="N39" s="15"/>
      <c r="O39" s="15"/>
      <c r="P39" s="15"/>
      <c r="Q39" s="15"/>
      <c r="R39" s="15"/>
    </row>
    <row r="40" spans="1:18" x14ac:dyDescent="0.25">
      <c r="A40" s="17" t="s">
        <v>1784</v>
      </c>
      <c r="B40" s="116" t="s">
        <v>1785</v>
      </c>
      <c r="C40" s="116" t="s">
        <v>1786</v>
      </c>
      <c r="D40" s="215" t="s">
        <v>2985</v>
      </c>
      <c r="E40" s="116" t="s">
        <v>1787</v>
      </c>
      <c r="F40" s="116" t="s">
        <v>125</v>
      </c>
      <c r="G40" s="70">
        <v>5023.9598233518082</v>
      </c>
      <c r="H40" s="67">
        <v>10164</v>
      </c>
      <c r="I40" s="85">
        <v>0</v>
      </c>
      <c r="J40" s="85">
        <v>1889.3505228482675</v>
      </c>
      <c r="K40" s="25">
        <v>6.6543433485469311E-5</v>
      </c>
      <c r="L40" s="33">
        <v>0.15896997144422925</v>
      </c>
      <c r="M40" s="33">
        <v>3.2798315297234266E-3</v>
      </c>
      <c r="N40" s="15"/>
      <c r="O40" s="15"/>
      <c r="P40" s="15"/>
      <c r="Q40" s="15"/>
      <c r="R40" s="15"/>
    </row>
    <row r="41" spans="1:18" x14ac:dyDescent="0.25">
      <c r="A41" s="17" t="s">
        <v>1788</v>
      </c>
      <c r="B41" s="116" t="s">
        <v>1789</v>
      </c>
      <c r="C41" s="116" t="s">
        <v>1786</v>
      </c>
      <c r="D41" s="215" t="s">
        <v>2986</v>
      </c>
      <c r="E41" s="116" t="s">
        <v>1787</v>
      </c>
      <c r="F41" s="116" t="s">
        <v>125</v>
      </c>
      <c r="G41" s="70">
        <v>20362.416753421818</v>
      </c>
      <c r="H41" s="67">
        <v>2642.5</v>
      </c>
      <c r="I41" s="85">
        <v>0</v>
      </c>
      <c r="J41" s="85">
        <v>1990.8843920239344</v>
      </c>
      <c r="K41" s="25">
        <v>7.7846497950618076E-5</v>
      </c>
      <c r="L41" s="33">
        <v>0.16751303218826999</v>
      </c>
      <c r="M41" s="33">
        <v>3.4560899748504507E-3</v>
      </c>
      <c r="N41" s="15"/>
      <c r="O41" s="15"/>
      <c r="P41" s="15"/>
      <c r="Q41" s="15"/>
      <c r="R41" s="15"/>
    </row>
    <row r="42" spans="1:18" s="118" customFormat="1" x14ac:dyDescent="0.25">
      <c r="A42" s="93" t="s">
        <v>141</v>
      </c>
      <c r="B42" s="130" t="s">
        <v>251</v>
      </c>
      <c r="C42" s="130" t="s">
        <v>251</v>
      </c>
      <c r="D42" s="130" t="s">
        <v>251</v>
      </c>
      <c r="E42" s="130" t="s">
        <v>251</v>
      </c>
      <c r="F42" s="130" t="s">
        <v>251</v>
      </c>
      <c r="G42" s="134" t="s">
        <v>251</v>
      </c>
      <c r="H42" s="121" t="s">
        <v>251</v>
      </c>
      <c r="I42" s="123" t="s">
        <v>251</v>
      </c>
      <c r="J42" s="123">
        <v>0</v>
      </c>
      <c r="K42" s="136"/>
      <c r="L42" s="120">
        <v>0</v>
      </c>
      <c r="M42" s="120">
        <v>0</v>
      </c>
    </row>
    <row r="43" spans="1:18" s="118" customFormat="1" x14ac:dyDescent="0.25">
      <c r="A43" s="93" t="s">
        <v>1781</v>
      </c>
      <c r="B43" s="130" t="s">
        <v>251</v>
      </c>
      <c r="C43" s="130" t="s">
        <v>251</v>
      </c>
      <c r="D43" s="130" t="s">
        <v>251</v>
      </c>
      <c r="E43" s="130" t="s">
        <v>251</v>
      </c>
      <c r="F43" s="130" t="s">
        <v>251</v>
      </c>
      <c r="G43" s="134" t="s">
        <v>251</v>
      </c>
      <c r="H43" s="121" t="s">
        <v>251</v>
      </c>
      <c r="I43" s="123" t="s">
        <v>251</v>
      </c>
      <c r="J43" s="123">
        <v>0</v>
      </c>
      <c r="K43" s="136"/>
      <c r="L43" s="120">
        <v>0</v>
      </c>
      <c r="M43" s="120">
        <v>0</v>
      </c>
    </row>
    <row r="44" spans="1:18" s="118" customFormat="1" x14ac:dyDescent="0.25">
      <c r="A44" s="79" t="s">
        <v>242</v>
      </c>
      <c r="B44" s="124"/>
      <c r="C44" s="124"/>
      <c r="D44" s="124"/>
      <c r="E44" s="124"/>
      <c r="F44" s="124"/>
      <c r="G44" s="125"/>
      <c r="H44" s="125"/>
      <c r="I44" s="125"/>
      <c r="J44" s="125"/>
      <c r="K44" s="126"/>
      <c r="L44" s="126"/>
      <c r="M44" s="127"/>
      <c r="N44" s="147"/>
      <c r="O44" s="147"/>
      <c r="P44" s="147"/>
      <c r="Q44" s="129"/>
      <c r="R44" s="129"/>
    </row>
    <row r="45" spans="1:18" s="118" customFormat="1" x14ac:dyDescent="0.25">
      <c r="A45" s="79" t="s">
        <v>243</v>
      </c>
      <c r="B45" s="124"/>
      <c r="C45" s="124"/>
      <c r="D45" s="124"/>
      <c r="E45" s="124"/>
      <c r="F45" s="124"/>
      <c r="G45" s="125"/>
      <c r="H45" s="125"/>
      <c r="I45" s="125"/>
      <c r="J45" s="125"/>
      <c r="K45" s="126"/>
      <c r="L45" s="126"/>
      <c r="M45" s="127"/>
      <c r="N45" s="147"/>
      <c r="O45" s="147"/>
      <c r="P45" s="147"/>
      <c r="Q45" s="129"/>
      <c r="R45" s="129"/>
    </row>
    <row r="46" spans="1:18" s="118" customFormat="1" x14ac:dyDescent="0.25">
      <c r="A46" s="79" t="s">
        <v>244</v>
      </c>
      <c r="B46" s="124"/>
      <c r="C46" s="124"/>
      <c r="D46" s="124"/>
      <c r="E46" s="124"/>
      <c r="F46" s="124"/>
      <c r="G46" s="125"/>
      <c r="H46" s="125"/>
      <c r="I46" s="125"/>
      <c r="J46" s="125"/>
      <c r="K46" s="126"/>
      <c r="L46" s="126"/>
      <c r="M46" s="127"/>
      <c r="N46" s="147"/>
      <c r="O46" s="147"/>
      <c r="P46" s="147"/>
      <c r="Q46" s="129"/>
      <c r="R46" s="129"/>
    </row>
    <row r="47" spans="1:18" s="118" customFormat="1" x14ac:dyDescent="0.25">
      <c r="A47" s="79" t="s">
        <v>245</v>
      </c>
      <c r="B47" s="124"/>
      <c r="C47" s="124"/>
      <c r="D47" s="124"/>
      <c r="E47" s="124"/>
      <c r="F47" s="124"/>
      <c r="G47" s="125"/>
      <c r="H47" s="125"/>
      <c r="I47" s="125"/>
      <c r="J47" s="125"/>
      <c r="K47" s="126"/>
      <c r="L47" s="126"/>
      <c r="M47" s="127"/>
      <c r="N47" s="147"/>
      <c r="O47" s="147"/>
      <c r="P47" s="147"/>
      <c r="Q47" s="129"/>
      <c r="R47" s="129"/>
    </row>
    <row r="48" spans="1:18" s="118" customFormat="1" x14ac:dyDescent="0.25">
      <c r="A48" s="79" t="s">
        <v>246</v>
      </c>
      <c r="B48" s="124"/>
      <c r="C48" s="124"/>
      <c r="D48" s="124"/>
      <c r="E48" s="124"/>
      <c r="F48" s="124"/>
      <c r="G48" s="125"/>
      <c r="H48" s="125"/>
      <c r="I48" s="125"/>
      <c r="J48" s="125"/>
      <c r="K48" s="126"/>
      <c r="L48" s="126"/>
      <c r="M48" s="127"/>
      <c r="N48" s="147"/>
      <c r="O48" s="147"/>
      <c r="P48" s="147"/>
      <c r="Q48" s="129"/>
      <c r="R48" s="129"/>
    </row>
  </sheetData>
  <mergeCells count="2">
    <mergeCell ref="A6:M6"/>
    <mergeCell ref="A5:M5"/>
  </mergeCells>
  <phoneticPr fontId="3" type="noConversion"/>
  <conditionalFormatting sqref="A10:A43 I10:J43">
    <cfRule type="expression" dxfId="105" priority="143" stopIfTrue="1">
      <formula>#REF!&gt;0</formula>
    </cfRule>
    <cfRule type="expression" dxfId="104" priority="144" stopIfTrue="1">
      <formula>LEFT(#REF!,3)="TIR"</formula>
    </cfRule>
  </conditionalFormatting>
  <conditionalFormatting sqref="B10:F10 L10:M43">
    <cfRule type="expression" dxfId="103" priority="141" stopIfTrue="1">
      <formula>OR(LEFT(#REF!,3)="TIR",LEFT(#REF!,2)="IR")</formula>
    </cfRule>
  </conditionalFormatting>
  <conditionalFormatting sqref="C10:D10 B11:F43">
    <cfRule type="expression" dxfId="102" priority="147" stopIfTrue="1">
      <formula>LEFT(#REF!,3)="TIR"</formula>
    </cfRule>
  </conditionalFormatting>
  <conditionalFormatting sqref="C10:E10">
    <cfRule type="expression" dxfId="101" priority="16" stopIfTrue="1">
      <formula>LEFT($IC10,3)="TIR"</formula>
    </cfRule>
  </conditionalFormatting>
  <conditionalFormatting sqref="M1:M4 G10:H43 K10:K43 M44:M55578">
    <cfRule type="expression" dxfId="100" priority="137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S41"/>
  <sheetViews>
    <sheetView rightToLeft="1" zoomScale="80" workbookViewId="0"/>
  </sheetViews>
  <sheetFormatPr defaultColWidth="9.109375" defaultRowHeight="13.2" x14ac:dyDescent="0.25"/>
  <cols>
    <col min="1" max="1" width="33.88671875" style="10" bestFit="1" customWidth="1"/>
    <col min="2" max="2" width="15.88671875" style="9" bestFit="1" customWidth="1"/>
    <col min="3" max="3" width="12.33203125" style="9" customWidth="1"/>
    <col min="4" max="4" width="13.33203125" style="9" customWidth="1"/>
    <col min="5" max="5" width="11.5546875" style="9" customWidth="1"/>
    <col min="6" max="6" width="7.5546875" style="60" customWidth="1"/>
    <col min="7" max="7" width="11.109375" style="60" customWidth="1"/>
    <col min="8" max="8" width="12.6640625" style="60" bestFit="1" customWidth="1"/>
    <col min="9" max="9" width="10.88671875" style="37" bestFit="1" customWidth="1"/>
    <col min="10" max="10" width="10.33203125" style="62" bestFit="1" customWidth="1"/>
    <col min="11" max="11" width="10.44140625" style="64" customWidth="1"/>
    <col min="12" max="12" width="22" style="64" customWidth="1"/>
    <col min="13" max="13" width="25.44140625" style="64" customWidth="1"/>
    <col min="14" max="14" width="20.6640625" style="64" customWidth="1"/>
    <col min="15" max="16" width="10.5546875" style="13" customWidth="1"/>
    <col min="17" max="17" width="11.44140625" style="15" customWidth="1"/>
    <col min="18" max="18" width="15.44140625" style="15" customWidth="1"/>
    <col min="19" max="16384" width="9.109375" style="15"/>
  </cols>
  <sheetData>
    <row r="1" spans="1:19" s="7" customFormat="1" x14ac:dyDescent="0.25">
      <c r="A1" s="7" t="s">
        <v>237</v>
      </c>
      <c r="B1" s="9" t="s">
        <v>247</v>
      </c>
      <c r="C1" s="9"/>
      <c r="D1" s="9"/>
      <c r="E1" s="9"/>
      <c r="F1" s="60"/>
      <c r="G1" s="60"/>
      <c r="H1" s="60"/>
      <c r="I1" s="37"/>
      <c r="J1" s="62"/>
      <c r="K1" s="63"/>
      <c r="L1" s="63"/>
      <c r="M1" s="63"/>
      <c r="N1" s="63"/>
      <c r="O1" s="13"/>
      <c r="P1" s="13"/>
      <c r="Q1" s="15"/>
    </row>
    <row r="2" spans="1:19" s="7" customFormat="1" x14ac:dyDescent="0.25">
      <c r="A2" s="10" t="s">
        <v>238</v>
      </c>
      <c r="B2" s="9" t="s">
        <v>150</v>
      </c>
      <c r="C2" s="9"/>
      <c r="D2" s="9"/>
      <c r="E2" s="9"/>
      <c r="F2" s="60"/>
      <c r="G2" s="60"/>
      <c r="H2" s="60"/>
      <c r="I2" s="37"/>
      <c r="J2" s="62"/>
      <c r="K2" s="63"/>
      <c r="L2" s="63"/>
      <c r="M2" s="63"/>
      <c r="N2" s="63"/>
      <c r="O2" s="13"/>
      <c r="P2" s="13"/>
      <c r="Q2" s="15"/>
    </row>
    <row r="3" spans="1:19" s="7" customFormat="1" x14ac:dyDescent="0.25">
      <c r="A3" s="10" t="s">
        <v>239</v>
      </c>
      <c r="B3" s="9" t="s">
        <v>240</v>
      </c>
      <c r="C3" s="9"/>
      <c r="D3" s="9"/>
      <c r="E3" s="9"/>
      <c r="F3" s="60"/>
      <c r="G3" s="60"/>
      <c r="H3" s="60"/>
      <c r="I3" s="37"/>
      <c r="J3" s="62"/>
      <c r="K3" s="63"/>
      <c r="L3" s="63"/>
      <c r="M3" s="63"/>
      <c r="N3" s="63"/>
      <c r="O3" s="13"/>
      <c r="P3" s="13"/>
      <c r="Q3" s="15"/>
    </row>
    <row r="4" spans="1:19" s="7" customFormat="1" ht="13.8" thickBot="1" x14ac:dyDescent="0.3">
      <c r="A4" s="10" t="s">
        <v>241</v>
      </c>
      <c r="B4" s="9" t="s">
        <v>249</v>
      </c>
      <c r="C4" s="9"/>
      <c r="D4" s="9"/>
      <c r="E4" s="9"/>
      <c r="F4" s="60"/>
      <c r="G4" s="60"/>
      <c r="H4" s="60"/>
      <c r="I4" s="37"/>
      <c r="J4" s="62"/>
      <c r="K4" s="63"/>
      <c r="L4" s="63"/>
      <c r="M4" s="63"/>
      <c r="N4" s="63"/>
      <c r="O4" s="13"/>
      <c r="P4" s="13"/>
      <c r="Q4" s="15"/>
    </row>
    <row r="5" spans="1:19" s="7" customFormat="1" ht="15.75" customHeight="1" thickBot="1" x14ac:dyDescent="0.3">
      <c r="A5" s="220" t="s">
        <v>11</v>
      </c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2"/>
      <c r="O5" s="13"/>
      <c r="P5" s="13"/>
      <c r="Q5" s="13"/>
      <c r="R5" s="13"/>
      <c r="S5" s="13"/>
    </row>
    <row r="6" spans="1:19" s="7" customFormat="1" x14ac:dyDescent="0.25">
      <c r="A6" s="223" t="s">
        <v>22</v>
      </c>
      <c r="B6" s="224"/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5"/>
      <c r="O6" s="13"/>
      <c r="P6" s="13"/>
      <c r="Q6" s="13"/>
      <c r="R6" s="13"/>
      <c r="S6" s="13"/>
    </row>
    <row r="7" spans="1:19" s="7" customFormat="1" ht="30.75" customHeight="1" x14ac:dyDescent="0.25">
      <c r="A7" s="87" t="s">
        <v>157</v>
      </c>
      <c r="B7" s="203" t="s">
        <v>69</v>
      </c>
      <c r="C7" s="203" t="s">
        <v>76</v>
      </c>
      <c r="D7" s="203" t="s">
        <v>74</v>
      </c>
      <c r="E7" s="203" t="s">
        <v>19</v>
      </c>
      <c r="F7" s="203" t="s">
        <v>70</v>
      </c>
      <c r="G7" s="203" t="s">
        <v>5</v>
      </c>
      <c r="H7" s="203" t="s">
        <v>6</v>
      </c>
      <c r="I7" s="204" t="s">
        <v>67</v>
      </c>
      <c r="J7" s="204" t="s">
        <v>68</v>
      </c>
      <c r="K7" s="204" t="s">
        <v>7</v>
      </c>
      <c r="L7" s="90" t="s">
        <v>17</v>
      </c>
      <c r="M7" s="90" t="s">
        <v>75</v>
      </c>
      <c r="N7" s="91" t="s">
        <v>8</v>
      </c>
    </row>
    <row r="8" spans="1:19" s="7" customFormat="1" x14ac:dyDescent="0.25">
      <c r="A8" s="27"/>
      <c r="B8" s="3"/>
      <c r="C8" s="3"/>
      <c r="D8" s="3"/>
      <c r="E8" s="3"/>
      <c r="F8" s="3"/>
      <c r="G8" s="53"/>
      <c r="H8" s="30"/>
      <c r="I8" s="2" t="s">
        <v>133</v>
      </c>
      <c r="J8" s="49"/>
      <c r="K8" s="2" t="s">
        <v>135</v>
      </c>
      <c r="L8" s="56" t="s">
        <v>9</v>
      </c>
      <c r="M8" s="56" t="s">
        <v>9</v>
      </c>
      <c r="N8" s="55" t="s">
        <v>9</v>
      </c>
    </row>
    <row r="9" spans="1:19" s="16" customFormat="1" ht="12.75" customHeight="1" x14ac:dyDescent="0.25">
      <c r="A9" s="21"/>
      <c r="B9" s="22">
        <v>1</v>
      </c>
      <c r="C9" s="22">
        <v>2</v>
      </c>
      <c r="D9" s="22">
        <v>3</v>
      </c>
      <c r="E9" s="22">
        <v>4</v>
      </c>
      <c r="F9" s="22">
        <v>5</v>
      </c>
      <c r="G9" s="22">
        <v>6</v>
      </c>
      <c r="H9" s="22">
        <v>7</v>
      </c>
      <c r="I9" s="22">
        <v>8</v>
      </c>
      <c r="J9" s="22">
        <v>9</v>
      </c>
      <c r="K9" s="22">
        <v>10</v>
      </c>
      <c r="L9" s="22">
        <v>11</v>
      </c>
      <c r="M9" s="22">
        <v>12</v>
      </c>
      <c r="N9" s="23">
        <v>13</v>
      </c>
    </row>
    <row r="10" spans="1:19" s="118" customFormat="1" ht="12.75" customHeight="1" thickBot="1" x14ac:dyDescent="0.3">
      <c r="A10" s="100" t="s">
        <v>54</v>
      </c>
      <c r="B10" s="68"/>
      <c r="C10" s="68"/>
      <c r="D10" s="68"/>
      <c r="E10" s="68"/>
      <c r="F10" s="101"/>
      <c r="G10" s="101"/>
      <c r="H10" s="101"/>
      <c r="I10" s="104"/>
      <c r="J10" s="101"/>
      <c r="K10" s="103">
        <v>25836.354385489722</v>
      </c>
      <c r="L10" s="68"/>
      <c r="M10" s="68">
        <v>1</v>
      </c>
      <c r="N10" s="82">
        <v>4.4850803861895473E-2</v>
      </c>
    </row>
    <row r="11" spans="1:19" s="118" customFormat="1" x14ac:dyDescent="0.25">
      <c r="A11" s="92" t="s">
        <v>137</v>
      </c>
      <c r="B11" s="120" t="s">
        <v>251</v>
      </c>
      <c r="C11" s="120" t="s">
        <v>251</v>
      </c>
      <c r="D11" s="120" t="s">
        <v>251</v>
      </c>
      <c r="E11" s="136" t="s">
        <v>251</v>
      </c>
      <c r="F11" s="121" t="s">
        <v>251</v>
      </c>
      <c r="G11" s="121" t="s">
        <v>251</v>
      </c>
      <c r="H11" s="121" t="s">
        <v>251</v>
      </c>
      <c r="I11" s="132" t="s">
        <v>251</v>
      </c>
      <c r="J11" s="121" t="s">
        <v>251</v>
      </c>
      <c r="K11" s="122">
        <v>0</v>
      </c>
      <c r="L11" s="120" t="s">
        <v>251</v>
      </c>
      <c r="M11" s="120">
        <v>0</v>
      </c>
      <c r="N11" s="120">
        <v>0</v>
      </c>
    </row>
    <row r="12" spans="1:19" s="118" customFormat="1" x14ac:dyDescent="0.25">
      <c r="A12" s="93" t="s">
        <v>58</v>
      </c>
      <c r="B12" s="120" t="s">
        <v>251</v>
      </c>
      <c r="C12" s="120" t="s">
        <v>251</v>
      </c>
      <c r="D12" s="120" t="s">
        <v>251</v>
      </c>
      <c r="E12" s="136" t="s">
        <v>251</v>
      </c>
      <c r="F12" s="121" t="s">
        <v>251</v>
      </c>
      <c r="G12" s="121" t="s">
        <v>251</v>
      </c>
      <c r="H12" s="121" t="s">
        <v>251</v>
      </c>
      <c r="I12" s="134" t="s">
        <v>251</v>
      </c>
      <c r="J12" s="135" t="s">
        <v>251</v>
      </c>
      <c r="K12" s="123">
        <v>0</v>
      </c>
      <c r="L12" s="136"/>
      <c r="M12" s="136">
        <v>0</v>
      </c>
      <c r="N12" s="120">
        <v>0</v>
      </c>
    </row>
    <row r="13" spans="1:19" s="118" customFormat="1" x14ac:dyDescent="0.25">
      <c r="A13" s="93" t="s">
        <v>1792</v>
      </c>
      <c r="B13" s="120" t="s">
        <v>251</v>
      </c>
      <c r="C13" s="120" t="s">
        <v>251</v>
      </c>
      <c r="D13" s="120" t="s">
        <v>251</v>
      </c>
      <c r="E13" s="136" t="s">
        <v>251</v>
      </c>
      <c r="F13" s="121" t="s">
        <v>251</v>
      </c>
      <c r="G13" s="121" t="s">
        <v>251</v>
      </c>
      <c r="H13" s="121" t="s">
        <v>251</v>
      </c>
      <c r="I13" s="134" t="s">
        <v>251</v>
      </c>
      <c r="J13" s="135" t="s">
        <v>251</v>
      </c>
      <c r="K13" s="123">
        <v>0</v>
      </c>
      <c r="L13" s="136"/>
      <c r="M13" s="136">
        <v>0</v>
      </c>
      <c r="N13" s="120">
        <v>0</v>
      </c>
    </row>
    <row r="14" spans="1:19" s="118" customFormat="1" x14ac:dyDescent="0.25">
      <c r="A14" s="93" t="s">
        <v>59</v>
      </c>
      <c r="B14" s="120" t="s">
        <v>251</v>
      </c>
      <c r="C14" s="120" t="s">
        <v>251</v>
      </c>
      <c r="D14" s="120" t="s">
        <v>251</v>
      </c>
      <c r="E14" s="136" t="s">
        <v>251</v>
      </c>
      <c r="F14" s="121" t="s">
        <v>251</v>
      </c>
      <c r="G14" s="121" t="s">
        <v>251</v>
      </c>
      <c r="H14" s="121" t="s">
        <v>251</v>
      </c>
      <c r="I14" s="134" t="s">
        <v>251</v>
      </c>
      <c r="J14" s="135" t="s">
        <v>251</v>
      </c>
      <c r="K14" s="123">
        <v>0</v>
      </c>
      <c r="L14" s="136"/>
      <c r="M14" s="136">
        <v>0</v>
      </c>
      <c r="N14" s="120">
        <v>0</v>
      </c>
    </row>
    <row r="15" spans="1:19" s="118" customFormat="1" x14ac:dyDescent="0.25">
      <c r="A15" s="93" t="s">
        <v>141</v>
      </c>
      <c r="B15" s="120" t="s">
        <v>251</v>
      </c>
      <c r="C15" s="120" t="s">
        <v>251</v>
      </c>
      <c r="D15" s="120" t="s">
        <v>251</v>
      </c>
      <c r="E15" s="136" t="s">
        <v>251</v>
      </c>
      <c r="F15" s="121" t="s">
        <v>251</v>
      </c>
      <c r="G15" s="121" t="s">
        <v>251</v>
      </c>
      <c r="H15" s="121" t="s">
        <v>251</v>
      </c>
      <c r="I15" s="134" t="s">
        <v>251</v>
      </c>
      <c r="J15" s="135" t="s">
        <v>251</v>
      </c>
      <c r="K15" s="123">
        <v>0</v>
      </c>
      <c r="L15" s="136"/>
      <c r="M15" s="136">
        <v>0</v>
      </c>
      <c r="N15" s="120">
        <v>0</v>
      </c>
    </row>
    <row r="16" spans="1:19" s="118" customFormat="1" x14ac:dyDescent="0.25">
      <c r="A16" s="93" t="s">
        <v>488</v>
      </c>
      <c r="B16" s="120" t="s">
        <v>251</v>
      </c>
      <c r="C16" s="120" t="s">
        <v>251</v>
      </c>
      <c r="D16" s="120" t="s">
        <v>251</v>
      </c>
      <c r="E16" s="136" t="s">
        <v>251</v>
      </c>
      <c r="F16" s="121" t="s">
        <v>251</v>
      </c>
      <c r="G16" s="121" t="s">
        <v>251</v>
      </c>
      <c r="H16" s="121" t="s">
        <v>251</v>
      </c>
      <c r="I16" s="134" t="s">
        <v>251</v>
      </c>
      <c r="J16" s="135" t="s">
        <v>251</v>
      </c>
      <c r="K16" s="123">
        <v>25836.354385089722</v>
      </c>
      <c r="L16" s="136"/>
      <c r="M16" s="136">
        <v>0.99999999998451794</v>
      </c>
      <c r="N16" s="120">
        <v>0</v>
      </c>
    </row>
    <row r="17" spans="1:16" s="118" customFormat="1" x14ac:dyDescent="0.25">
      <c r="A17" s="93" t="s">
        <v>58</v>
      </c>
      <c r="B17" s="120" t="s">
        <v>251</v>
      </c>
      <c r="C17" s="120" t="s">
        <v>251</v>
      </c>
      <c r="D17" s="120" t="s">
        <v>251</v>
      </c>
      <c r="E17" s="136" t="s">
        <v>251</v>
      </c>
      <c r="F17" s="121" t="s">
        <v>251</v>
      </c>
      <c r="G17" s="121" t="s">
        <v>251</v>
      </c>
      <c r="H17" s="121" t="s">
        <v>251</v>
      </c>
      <c r="I17" s="134" t="s">
        <v>251</v>
      </c>
      <c r="J17" s="135" t="s">
        <v>251</v>
      </c>
      <c r="K17" s="123">
        <v>16379.607248968192</v>
      </c>
      <c r="L17" s="136"/>
      <c r="M17" s="136">
        <v>0.63397517329950193</v>
      </c>
      <c r="N17" s="120">
        <v>2.8434296150967153E-2</v>
      </c>
    </row>
    <row r="18" spans="1:16" x14ac:dyDescent="0.25">
      <c r="A18" s="17" t="s">
        <v>1809</v>
      </c>
      <c r="B18" s="33" t="s">
        <v>1810</v>
      </c>
      <c r="C18" s="33" t="s">
        <v>218</v>
      </c>
      <c r="D18" s="216" t="s">
        <v>2987</v>
      </c>
      <c r="E18" s="25" t="s">
        <v>1787</v>
      </c>
      <c r="F18" s="67" t="s">
        <v>499</v>
      </c>
      <c r="G18" s="67" t="s">
        <v>499</v>
      </c>
      <c r="H18" s="67" t="s">
        <v>125</v>
      </c>
      <c r="I18" s="70">
        <v>230.69203270492994</v>
      </c>
      <c r="J18" s="61">
        <v>146448.35</v>
      </c>
      <c r="K18" s="85">
        <v>1250.0253675528136</v>
      </c>
      <c r="L18" s="25">
        <v>1.7621083266193182E-5</v>
      </c>
      <c r="M18" s="25">
        <v>4.8382420712376355E-2</v>
      </c>
      <c r="N18" s="33">
        <v>2.169990461734501E-3</v>
      </c>
      <c r="O18" s="15"/>
      <c r="P18" s="15"/>
    </row>
    <row r="19" spans="1:16" x14ac:dyDescent="0.25">
      <c r="A19" s="17" t="s">
        <v>1807</v>
      </c>
      <c r="B19" s="33" t="s">
        <v>1808</v>
      </c>
      <c r="C19" s="33" t="s">
        <v>218</v>
      </c>
      <c r="D19" s="216" t="s">
        <v>2988</v>
      </c>
      <c r="E19" s="25" t="s">
        <v>1787</v>
      </c>
      <c r="F19" s="67" t="s">
        <v>506</v>
      </c>
      <c r="G19" s="67" t="s">
        <v>266</v>
      </c>
      <c r="H19" s="67" t="s">
        <v>125</v>
      </c>
      <c r="I19" s="70">
        <v>358.85427309655768</v>
      </c>
      <c r="J19" s="61">
        <v>155088</v>
      </c>
      <c r="K19" s="85">
        <v>2059.1976857219606</v>
      </c>
      <c r="L19" s="25">
        <v>1.9751442088347237E-4</v>
      </c>
      <c r="M19" s="25">
        <v>7.9701557541665108E-2</v>
      </c>
      <c r="N19" s="33">
        <v>3.5746789247887976E-3</v>
      </c>
      <c r="O19" s="15"/>
      <c r="P19" s="15"/>
    </row>
    <row r="20" spans="1:16" x14ac:dyDescent="0.25">
      <c r="A20" s="17" t="s">
        <v>1797</v>
      </c>
      <c r="B20" s="33" t="s">
        <v>1798</v>
      </c>
      <c r="C20" s="33" t="s">
        <v>218</v>
      </c>
      <c r="D20" s="216" t="s">
        <v>2989</v>
      </c>
      <c r="E20" s="25" t="s">
        <v>1787</v>
      </c>
      <c r="F20" s="67" t="s">
        <v>499</v>
      </c>
      <c r="G20" s="67" t="s">
        <v>499</v>
      </c>
      <c r="H20" s="67" t="s">
        <v>125</v>
      </c>
      <c r="I20" s="70">
        <v>41022.169904552211</v>
      </c>
      <c r="J20" s="61">
        <v>1515</v>
      </c>
      <c r="K20" s="85">
        <v>2299.497733999674</v>
      </c>
      <c r="L20" s="25">
        <v>2.2419373117832622E-4</v>
      </c>
      <c r="M20" s="25">
        <v>8.9002407216210194E-2</v>
      </c>
      <c r="N20" s="33">
        <v>3.9918295092907933E-3</v>
      </c>
      <c r="O20" s="15"/>
      <c r="P20" s="15"/>
    </row>
    <row r="21" spans="1:16" x14ac:dyDescent="0.25">
      <c r="A21" s="17" t="s">
        <v>1803</v>
      </c>
      <c r="B21" s="33" t="s">
        <v>1804</v>
      </c>
      <c r="C21" s="33" t="s">
        <v>218</v>
      </c>
      <c r="D21" s="216" t="s">
        <v>2990</v>
      </c>
      <c r="E21" s="25" t="s">
        <v>1787</v>
      </c>
      <c r="F21" s="67" t="s">
        <v>499</v>
      </c>
      <c r="G21" s="67" t="s">
        <v>499</v>
      </c>
      <c r="H21" s="67" t="s">
        <v>126</v>
      </c>
      <c r="I21" s="70">
        <v>9473.7528097491231</v>
      </c>
      <c r="J21" s="61">
        <v>2182</v>
      </c>
      <c r="K21" s="85">
        <v>830.6934150316149</v>
      </c>
      <c r="L21" s="25">
        <v>8.4723945653895373E-4</v>
      </c>
      <c r="M21" s="25">
        <v>3.2152114134885494E-2</v>
      </c>
      <c r="N21" s="33">
        <v>1.4420481648090265E-3</v>
      </c>
      <c r="O21" s="15"/>
      <c r="P21" s="15"/>
    </row>
    <row r="22" spans="1:16" x14ac:dyDescent="0.25">
      <c r="A22" s="17" t="s">
        <v>1811</v>
      </c>
      <c r="B22" s="33" t="s">
        <v>1812</v>
      </c>
      <c r="C22" s="33" t="s">
        <v>218</v>
      </c>
      <c r="D22" s="216" t="s">
        <v>2991</v>
      </c>
      <c r="E22" s="25" t="s">
        <v>1787</v>
      </c>
      <c r="F22" s="67" t="s">
        <v>499</v>
      </c>
      <c r="G22" s="67" t="s">
        <v>499</v>
      </c>
      <c r="H22" s="67" t="s">
        <v>126</v>
      </c>
      <c r="I22" s="70">
        <v>2983.6169563170938</v>
      </c>
      <c r="J22" s="61">
        <v>11655</v>
      </c>
      <c r="K22" s="85">
        <v>1397.3954253258162</v>
      </c>
      <c r="L22" s="25">
        <v>3.4561260706413211E-4</v>
      </c>
      <c r="M22" s="25">
        <v>5.4086401064022599E-2</v>
      </c>
      <c r="N22" s="33">
        <v>2.4258185657182922E-3</v>
      </c>
      <c r="O22" s="15"/>
      <c r="P22" s="15"/>
    </row>
    <row r="23" spans="1:16" x14ac:dyDescent="0.25">
      <c r="A23" s="17" t="s">
        <v>1805</v>
      </c>
      <c r="B23" s="33" t="s">
        <v>1806</v>
      </c>
      <c r="C23" s="33" t="s">
        <v>218</v>
      </c>
      <c r="D23" s="216" t="s">
        <v>2992</v>
      </c>
      <c r="E23" s="25" t="s">
        <v>1787</v>
      </c>
      <c r="F23" s="67" t="s">
        <v>499</v>
      </c>
      <c r="G23" s="67" t="s">
        <v>499</v>
      </c>
      <c r="H23" s="67" t="s">
        <v>125</v>
      </c>
      <c r="I23" s="70">
        <v>2363.3117128216159</v>
      </c>
      <c r="J23" s="61">
        <v>16382</v>
      </c>
      <c r="K23" s="85">
        <v>1432.4835817394173</v>
      </c>
      <c r="L23" s="25">
        <v>1.0175665802796186E-4</v>
      </c>
      <c r="M23" s="25">
        <v>5.544449345933776E-2</v>
      </c>
      <c r="N23" s="33">
        <v>2.4867301013669044E-3</v>
      </c>
      <c r="O23" s="15"/>
      <c r="P23" s="15"/>
    </row>
    <row r="24" spans="1:16" x14ac:dyDescent="0.25">
      <c r="A24" s="17" t="s">
        <v>1793</v>
      </c>
      <c r="B24" s="33" t="s">
        <v>1794</v>
      </c>
      <c r="C24" s="33" t="s">
        <v>218</v>
      </c>
      <c r="D24" s="216" t="s">
        <v>2993</v>
      </c>
      <c r="E24" s="25" t="s">
        <v>1787</v>
      </c>
      <c r="F24" s="67" t="s">
        <v>499</v>
      </c>
      <c r="G24" s="67" t="s">
        <v>499</v>
      </c>
      <c r="H24" s="67" t="s">
        <v>125</v>
      </c>
      <c r="I24" s="70">
        <v>4126.7005409457797</v>
      </c>
      <c r="J24" s="61">
        <v>5951</v>
      </c>
      <c r="K24" s="85">
        <v>908.64581200189764</v>
      </c>
      <c r="L24" s="25">
        <v>6.4252092952383509E-5</v>
      </c>
      <c r="M24" s="25">
        <v>3.5169273437130652E-2</v>
      </c>
      <c r="N24" s="33">
        <v>1.5773701848941172E-3</v>
      </c>
      <c r="O24" s="15"/>
      <c r="P24" s="15"/>
    </row>
    <row r="25" spans="1:16" x14ac:dyDescent="0.25">
      <c r="A25" s="17" t="s">
        <v>1799</v>
      </c>
      <c r="B25" s="33" t="s">
        <v>1800</v>
      </c>
      <c r="C25" s="33" t="s">
        <v>218</v>
      </c>
      <c r="D25" s="216" t="s">
        <v>2994</v>
      </c>
      <c r="E25" s="25" t="s">
        <v>1787</v>
      </c>
      <c r="F25" s="67" t="s">
        <v>499</v>
      </c>
      <c r="G25" s="67" t="s">
        <v>499</v>
      </c>
      <c r="H25" s="67" t="s">
        <v>125</v>
      </c>
      <c r="I25" s="70">
        <v>1830.6694417540107</v>
      </c>
      <c r="J25" s="61">
        <v>34634.089999999997</v>
      </c>
      <c r="K25" s="85">
        <v>2345.9320976050731</v>
      </c>
      <c r="L25" s="25">
        <v>2.1223905351349325E-4</v>
      </c>
      <c r="M25" s="25">
        <v>9.0799656275136142E-2</v>
      </c>
      <c r="N25" s="33">
        <v>4.072437574323658E-3</v>
      </c>
      <c r="O25" s="15"/>
      <c r="P25" s="15"/>
    </row>
    <row r="26" spans="1:16" x14ac:dyDescent="0.25">
      <c r="A26" s="17" t="s">
        <v>1795</v>
      </c>
      <c r="B26" s="33" t="s">
        <v>1796</v>
      </c>
      <c r="C26" s="33" t="s">
        <v>218</v>
      </c>
      <c r="D26" s="216" t="s">
        <v>2995</v>
      </c>
      <c r="E26" s="25" t="s">
        <v>1787</v>
      </c>
      <c r="F26" s="67" t="s">
        <v>499</v>
      </c>
      <c r="G26" s="67" t="s">
        <v>499</v>
      </c>
      <c r="H26" s="67" t="s">
        <v>125</v>
      </c>
      <c r="I26" s="70">
        <v>3280.9533540256703</v>
      </c>
      <c r="J26" s="61">
        <v>13212.5</v>
      </c>
      <c r="K26" s="85">
        <v>1603.9350590323743</v>
      </c>
      <c r="L26" s="25">
        <v>3.5629590703744593E-4</v>
      </c>
      <c r="M26" s="25">
        <v>6.2080548791867494E-2</v>
      </c>
      <c r="N26" s="33">
        <v>2.7843625175028807E-3</v>
      </c>
      <c r="O26" s="15"/>
      <c r="P26" s="15"/>
    </row>
    <row r="27" spans="1:16" x14ac:dyDescent="0.25">
      <c r="A27" s="17" t="s">
        <v>1813</v>
      </c>
      <c r="B27" s="33" t="s">
        <v>1814</v>
      </c>
      <c r="C27" s="33" t="s">
        <v>218</v>
      </c>
      <c r="D27" s="216" t="s">
        <v>2996</v>
      </c>
      <c r="E27" s="25" t="s">
        <v>1787</v>
      </c>
      <c r="F27" s="67" t="s">
        <v>499</v>
      </c>
      <c r="G27" s="67" t="s">
        <v>499</v>
      </c>
      <c r="H27" s="67" t="s">
        <v>125</v>
      </c>
      <c r="I27" s="70">
        <v>7510.3072869493863</v>
      </c>
      <c r="J27" s="61">
        <v>4694</v>
      </c>
      <c r="K27" s="85">
        <v>1304.3751489827955</v>
      </c>
      <c r="L27" s="25">
        <v>1.0834762959006752E-4</v>
      </c>
      <c r="M27" s="25">
        <v>5.0486037214111053E-2</v>
      </c>
      <c r="N27" s="33">
        <v>2.2643393528544507E-3</v>
      </c>
      <c r="O27" s="15"/>
      <c r="P27" s="15"/>
    </row>
    <row r="28" spans="1:16" x14ac:dyDescent="0.25">
      <c r="A28" s="17" t="s">
        <v>1801</v>
      </c>
      <c r="B28" s="33" t="s">
        <v>1802</v>
      </c>
      <c r="C28" s="33" t="s">
        <v>218</v>
      </c>
      <c r="D28" s="216" t="s">
        <v>2997</v>
      </c>
      <c r="E28" s="25" t="s">
        <v>1787</v>
      </c>
      <c r="F28" s="67" t="s">
        <v>499</v>
      </c>
      <c r="G28" s="67" t="s">
        <v>499</v>
      </c>
      <c r="H28" s="67" t="s">
        <v>126</v>
      </c>
      <c r="I28" s="70">
        <v>1522.5674158525376</v>
      </c>
      <c r="J28" s="61">
        <v>15484.77</v>
      </c>
      <c r="K28" s="85">
        <v>947.42592187475293</v>
      </c>
      <c r="L28" s="25">
        <v>1.9839666315530385E-4</v>
      </c>
      <c r="M28" s="25">
        <v>3.667026344888847E-2</v>
      </c>
      <c r="N28" s="33">
        <v>1.6446907935101312E-3</v>
      </c>
      <c r="O28" s="15"/>
      <c r="P28" s="15"/>
    </row>
    <row r="29" spans="1:16" s="118" customFormat="1" x14ac:dyDescent="0.25">
      <c r="A29" s="93" t="s">
        <v>1792</v>
      </c>
      <c r="B29" s="120" t="s">
        <v>251</v>
      </c>
      <c r="C29" s="120" t="s">
        <v>251</v>
      </c>
      <c r="D29" s="120" t="s">
        <v>251</v>
      </c>
      <c r="E29" s="136" t="s">
        <v>251</v>
      </c>
      <c r="F29" s="121" t="s">
        <v>251</v>
      </c>
      <c r="G29" s="121" t="s">
        <v>251</v>
      </c>
      <c r="H29" s="121" t="s">
        <v>251</v>
      </c>
      <c r="I29" s="134" t="s">
        <v>251</v>
      </c>
      <c r="J29" s="135" t="s">
        <v>251</v>
      </c>
      <c r="K29" s="123">
        <v>0</v>
      </c>
      <c r="L29" s="136"/>
      <c r="M29" s="136">
        <v>0</v>
      </c>
      <c r="N29" s="120">
        <v>0</v>
      </c>
    </row>
    <row r="30" spans="1:16" s="118" customFormat="1" x14ac:dyDescent="0.25">
      <c r="A30" s="93" t="s">
        <v>59</v>
      </c>
      <c r="B30" s="120" t="s">
        <v>251</v>
      </c>
      <c r="C30" s="120" t="s">
        <v>251</v>
      </c>
      <c r="D30" s="120" t="s">
        <v>251</v>
      </c>
      <c r="E30" s="136" t="s">
        <v>251</v>
      </c>
      <c r="F30" s="121" t="s">
        <v>251</v>
      </c>
      <c r="G30" s="121" t="s">
        <v>251</v>
      </c>
      <c r="H30" s="121" t="s">
        <v>251</v>
      </c>
      <c r="I30" s="134" t="s">
        <v>251</v>
      </c>
      <c r="J30" s="135" t="s">
        <v>251</v>
      </c>
      <c r="K30" s="123">
        <v>0</v>
      </c>
      <c r="L30" s="136"/>
      <c r="M30" s="136">
        <v>0</v>
      </c>
      <c r="N30" s="120">
        <v>0</v>
      </c>
    </row>
    <row r="31" spans="1:16" s="118" customFormat="1" x14ac:dyDescent="0.25">
      <c r="A31" s="93" t="s">
        <v>141</v>
      </c>
      <c r="B31" s="120" t="s">
        <v>251</v>
      </c>
      <c r="C31" s="120" t="s">
        <v>251</v>
      </c>
      <c r="D31" s="120" t="s">
        <v>251</v>
      </c>
      <c r="E31" s="136" t="s">
        <v>251</v>
      </c>
      <c r="F31" s="121" t="s">
        <v>251</v>
      </c>
      <c r="G31" s="121" t="s">
        <v>251</v>
      </c>
      <c r="H31" s="121" t="s">
        <v>251</v>
      </c>
      <c r="I31" s="134" t="s">
        <v>251</v>
      </c>
      <c r="J31" s="135" t="s">
        <v>251</v>
      </c>
      <c r="K31" s="123">
        <v>9456.7471359215378</v>
      </c>
      <c r="L31" s="136"/>
      <c r="M31" s="136">
        <v>0.36602482667727537</v>
      </c>
      <c r="N31" s="120">
        <v>0</v>
      </c>
    </row>
    <row r="32" spans="1:16" x14ac:dyDescent="0.25">
      <c r="A32" s="17" t="s">
        <v>1815</v>
      </c>
      <c r="B32" s="33" t="s">
        <v>1816</v>
      </c>
      <c r="C32" s="33" t="s">
        <v>218</v>
      </c>
      <c r="D32" s="33" t="s">
        <v>1607</v>
      </c>
      <c r="E32" s="25" t="s">
        <v>188</v>
      </c>
      <c r="F32" s="67" t="s">
        <v>1643</v>
      </c>
      <c r="G32" s="67" t="s">
        <v>266</v>
      </c>
      <c r="H32" s="67" t="s">
        <v>125</v>
      </c>
      <c r="I32" s="70">
        <v>977847.48420416843</v>
      </c>
      <c r="J32" s="61">
        <v>100</v>
      </c>
      <c r="K32" s="85">
        <v>3618.0356905144113</v>
      </c>
      <c r="L32" s="25">
        <v>0</v>
      </c>
      <c r="M32" s="25">
        <v>0.14003661803564599</v>
      </c>
      <c r="N32" s="33">
        <v>6.2807548889999322E-3</v>
      </c>
      <c r="O32" s="15"/>
      <c r="P32" s="15"/>
    </row>
    <row r="33" spans="1:16" x14ac:dyDescent="0.25">
      <c r="A33" s="17" t="s">
        <v>1817</v>
      </c>
      <c r="B33" s="33" t="s">
        <v>1818</v>
      </c>
      <c r="C33" s="33" t="s">
        <v>218</v>
      </c>
      <c r="D33" s="33" t="s">
        <v>1607</v>
      </c>
      <c r="E33" s="25" t="s">
        <v>188</v>
      </c>
      <c r="F33" s="67" t="s">
        <v>1643</v>
      </c>
      <c r="G33" s="67" t="s">
        <v>266</v>
      </c>
      <c r="H33" s="67" t="s">
        <v>125</v>
      </c>
      <c r="I33" s="70">
        <v>733385.62565312639</v>
      </c>
      <c r="J33" s="61">
        <v>100</v>
      </c>
      <c r="K33" s="85">
        <v>2713.5268129114411</v>
      </c>
      <c r="L33" s="25">
        <v>0</v>
      </c>
      <c r="M33" s="25">
        <v>0.10502746526945841</v>
      </c>
      <c r="N33" s="33">
        <v>4.7105662449125176E-3</v>
      </c>
      <c r="O33" s="15"/>
      <c r="P33" s="15"/>
    </row>
    <row r="34" spans="1:16" x14ac:dyDescent="0.25">
      <c r="A34" s="17" t="s">
        <v>1819</v>
      </c>
      <c r="B34" s="33" t="s">
        <v>1820</v>
      </c>
      <c r="C34" s="33" t="s">
        <v>218</v>
      </c>
      <c r="D34" s="216" t="s">
        <v>2998</v>
      </c>
      <c r="E34" s="25" t="s">
        <v>188</v>
      </c>
      <c r="F34" s="67" t="s">
        <v>1643</v>
      </c>
      <c r="G34" s="67" t="s">
        <v>266</v>
      </c>
      <c r="H34" s="67" t="s">
        <v>125</v>
      </c>
      <c r="I34" s="70">
        <v>733385.62606324558</v>
      </c>
      <c r="J34" s="61">
        <v>100</v>
      </c>
      <c r="K34" s="85">
        <v>2713.526814398123</v>
      </c>
      <c r="L34" s="25">
        <v>0</v>
      </c>
      <c r="M34" s="25">
        <v>0.10502746532700065</v>
      </c>
      <c r="N34" s="33">
        <v>4.7105662474933342E-3</v>
      </c>
      <c r="O34" s="15"/>
      <c r="P34" s="15"/>
    </row>
    <row r="35" spans="1:16" x14ac:dyDescent="0.25">
      <c r="A35" s="17" t="s">
        <v>1821</v>
      </c>
      <c r="B35" s="33" t="s">
        <v>1822</v>
      </c>
      <c r="C35" s="33" t="s">
        <v>218</v>
      </c>
      <c r="D35" s="216" t="s">
        <v>2998</v>
      </c>
      <c r="E35" s="25" t="s">
        <v>188</v>
      </c>
      <c r="F35" s="67" t="s">
        <v>385</v>
      </c>
      <c r="G35" s="67" t="s">
        <v>266</v>
      </c>
      <c r="H35" s="67" t="s">
        <v>126</v>
      </c>
      <c r="I35" s="70">
        <v>9.1351994355306001</v>
      </c>
      <c r="J35" s="61">
        <v>979831</v>
      </c>
      <c r="K35" s="85">
        <v>359.69398994247803</v>
      </c>
      <c r="L35" s="25">
        <v>4.3077396321928957E-6</v>
      </c>
      <c r="M35" s="25">
        <v>1.3922010225424461E-2</v>
      </c>
      <c r="N35" s="33">
        <v>6.2441334998381568E-4</v>
      </c>
      <c r="O35" s="15"/>
      <c r="P35" s="15"/>
    </row>
    <row r="36" spans="1:16" x14ac:dyDescent="0.25">
      <c r="A36" s="17" t="s">
        <v>1823</v>
      </c>
      <c r="B36" s="33" t="s">
        <v>1824</v>
      </c>
      <c r="C36" s="33" t="s">
        <v>218</v>
      </c>
      <c r="D36" s="33" t="s">
        <v>1607</v>
      </c>
      <c r="E36" s="25" t="s">
        <v>188</v>
      </c>
      <c r="F36" s="67" t="s">
        <v>1647</v>
      </c>
      <c r="G36" s="67" t="s">
        <v>389</v>
      </c>
      <c r="H36" s="67" t="s">
        <v>2</v>
      </c>
      <c r="I36" s="70">
        <v>11125.491653791963</v>
      </c>
      <c r="J36" s="61">
        <v>100</v>
      </c>
      <c r="K36" s="85">
        <v>51.963828055083951</v>
      </c>
      <c r="L36" s="25">
        <v>0</v>
      </c>
      <c r="M36" s="25">
        <v>2.0112678158752924E-3</v>
      </c>
      <c r="N36" s="33">
        <v>9.0206978323565656E-5</v>
      </c>
      <c r="O36" s="15"/>
      <c r="P36" s="15"/>
    </row>
    <row r="37" spans="1:16" s="118" customFormat="1" x14ac:dyDescent="0.25">
      <c r="A37" s="79" t="s">
        <v>242</v>
      </c>
      <c r="B37" s="124"/>
      <c r="C37" s="124"/>
      <c r="D37" s="124"/>
      <c r="E37" s="124"/>
      <c r="F37" s="125"/>
      <c r="G37" s="125"/>
      <c r="H37" s="125"/>
      <c r="I37" s="126"/>
      <c r="J37" s="127"/>
      <c r="K37" s="128"/>
      <c r="L37" s="128"/>
      <c r="M37" s="128"/>
      <c r="N37" s="128"/>
      <c r="O37" s="129"/>
      <c r="P37" s="129"/>
    </row>
    <row r="38" spans="1:16" s="118" customFormat="1" x14ac:dyDescent="0.25">
      <c r="A38" s="79" t="s">
        <v>243</v>
      </c>
      <c r="B38" s="124"/>
      <c r="C38" s="124"/>
      <c r="D38" s="124"/>
      <c r="E38" s="124"/>
      <c r="F38" s="125"/>
      <c r="G38" s="125"/>
      <c r="H38" s="125"/>
      <c r="I38" s="126"/>
      <c r="J38" s="127"/>
      <c r="K38" s="128"/>
      <c r="L38" s="128"/>
      <c r="M38" s="128"/>
      <c r="N38" s="128"/>
      <c r="O38" s="129"/>
      <c r="P38" s="129"/>
    </row>
    <row r="39" spans="1:16" s="118" customFormat="1" x14ac:dyDescent="0.25">
      <c r="A39" s="79" t="s">
        <v>244</v>
      </c>
      <c r="B39" s="124"/>
      <c r="C39" s="124"/>
      <c r="D39" s="124"/>
      <c r="E39" s="124"/>
      <c r="F39" s="125"/>
      <c r="G39" s="125"/>
      <c r="H39" s="125"/>
      <c r="I39" s="126"/>
      <c r="J39" s="127"/>
      <c r="K39" s="128"/>
      <c r="L39" s="128"/>
      <c r="M39" s="128"/>
      <c r="N39" s="128"/>
      <c r="O39" s="129"/>
      <c r="P39" s="129"/>
    </row>
    <row r="40" spans="1:16" s="118" customFormat="1" x14ac:dyDescent="0.25">
      <c r="A40" s="79" t="s">
        <v>245</v>
      </c>
      <c r="B40" s="124"/>
      <c r="C40" s="124"/>
      <c r="D40" s="124"/>
      <c r="E40" s="124"/>
      <c r="F40" s="125"/>
      <c r="G40" s="125"/>
      <c r="H40" s="125"/>
      <c r="I40" s="126"/>
      <c r="J40" s="127"/>
      <c r="K40" s="128"/>
      <c r="L40" s="128"/>
      <c r="M40" s="128"/>
      <c r="N40" s="128"/>
      <c r="O40" s="129"/>
      <c r="P40" s="129"/>
    </row>
    <row r="41" spans="1:16" s="118" customFormat="1" x14ac:dyDescent="0.25">
      <c r="A41" s="79" t="s">
        <v>246</v>
      </c>
      <c r="B41" s="124"/>
      <c r="C41" s="124"/>
      <c r="D41" s="124"/>
      <c r="E41" s="124"/>
      <c r="F41" s="125"/>
      <c r="G41" s="125"/>
      <c r="H41" s="125"/>
      <c r="I41" s="126"/>
      <c r="J41" s="127"/>
      <c r="K41" s="128"/>
      <c r="L41" s="128"/>
      <c r="M41" s="128"/>
      <c r="N41" s="128"/>
      <c r="O41" s="129"/>
      <c r="P41" s="129"/>
    </row>
  </sheetData>
  <mergeCells count="2">
    <mergeCell ref="A6:N6"/>
    <mergeCell ref="A5:N5"/>
  </mergeCells>
  <phoneticPr fontId="3" type="noConversion"/>
  <conditionalFormatting sqref="A10:A36 K10:K36">
    <cfRule type="expression" dxfId="99" priority="165" stopIfTrue="1">
      <formula>#REF!&gt;0</formula>
    </cfRule>
    <cfRule type="expression" dxfId="98" priority="166" stopIfTrue="1">
      <formula>LEFT(#REF!,3)="TIR"</formula>
    </cfRule>
  </conditionalFormatting>
  <conditionalFormatting sqref="B10:H36 M10:N36">
    <cfRule type="expression" dxfId="97" priority="163" stopIfTrue="1">
      <formula>OR(LEFT(#REF!,3)="TIR",LEFT(#REF!,2)="IR")</formula>
    </cfRule>
  </conditionalFormatting>
  <conditionalFormatting sqref="C10:D36">
    <cfRule type="expression" dxfId="96" priority="9" stopIfTrue="1">
      <formula>LEFT($IB10,3)="TIR"</formula>
    </cfRule>
    <cfRule type="expression" dxfId="95" priority="169" stopIfTrue="1">
      <formula>LEFT(#REF!,3)="TIR"</formula>
    </cfRule>
  </conditionalFormatting>
  <conditionalFormatting sqref="J1:J4 I10:J36 L10:L36 J37:J55571">
    <cfRule type="expression" dxfId="94" priority="15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P21"/>
  <sheetViews>
    <sheetView rightToLeft="1" zoomScale="85" workbookViewId="0"/>
  </sheetViews>
  <sheetFormatPr defaultColWidth="9.109375" defaultRowHeight="13.2" x14ac:dyDescent="0.25"/>
  <cols>
    <col min="1" max="1" width="22" style="10" customWidth="1"/>
    <col min="2" max="2" width="12.6640625" style="9" bestFit="1" customWidth="1"/>
    <col min="3" max="3" width="11.6640625" style="9" customWidth="1"/>
    <col min="4" max="4" width="11.109375" style="9" customWidth="1"/>
    <col min="5" max="5" width="10.6640625" style="60" customWidth="1"/>
    <col min="6" max="6" width="10.109375" style="60" customWidth="1"/>
    <col min="7" max="7" width="8.5546875" style="60" bestFit="1" customWidth="1"/>
    <col min="8" max="8" width="9.88671875" style="37" customWidth="1"/>
    <col min="9" max="9" width="20.88671875" style="62" customWidth="1"/>
    <col min="10" max="10" width="24" style="62" customWidth="1"/>
    <col min="11" max="11" width="19.6640625" style="64" customWidth="1"/>
    <col min="12" max="12" width="11.44140625" style="20" bestFit="1" customWidth="1"/>
    <col min="13" max="13" width="7.33203125" style="20" customWidth="1"/>
    <col min="14" max="15" width="10.5546875" style="13" customWidth="1"/>
    <col min="16" max="16" width="11.44140625" style="15" customWidth="1"/>
    <col min="17" max="17" width="15.44140625" style="15" customWidth="1"/>
    <col min="18" max="16384" width="9.109375" style="15"/>
  </cols>
  <sheetData>
    <row r="1" spans="1:16" s="7" customFormat="1" x14ac:dyDescent="0.25">
      <c r="A1" s="7" t="s">
        <v>237</v>
      </c>
      <c r="B1" s="9" t="s">
        <v>247</v>
      </c>
      <c r="C1" s="9"/>
      <c r="D1" s="9"/>
      <c r="E1" s="60"/>
      <c r="F1" s="60"/>
      <c r="G1" s="60"/>
      <c r="H1" s="37"/>
      <c r="I1" s="62"/>
      <c r="J1" s="62"/>
      <c r="K1" s="63"/>
      <c r="L1" s="14"/>
      <c r="M1" s="14"/>
      <c r="N1" s="13"/>
      <c r="O1" s="13"/>
      <c r="P1" s="15"/>
    </row>
    <row r="2" spans="1:16" s="7" customFormat="1" x14ac:dyDescent="0.25">
      <c r="A2" s="10" t="s">
        <v>238</v>
      </c>
      <c r="B2" s="9" t="s">
        <v>150</v>
      </c>
      <c r="C2" s="9"/>
      <c r="D2" s="9"/>
      <c r="E2" s="60"/>
      <c r="F2" s="60"/>
      <c r="G2" s="60"/>
      <c r="H2" s="37"/>
      <c r="I2" s="62"/>
      <c r="J2" s="62"/>
      <c r="K2" s="63"/>
      <c r="L2" s="14"/>
      <c r="M2" s="14"/>
      <c r="N2" s="13"/>
      <c r="O2" s="13"/>
      <c r="P2" s="15"/>
    </row>
    <row r="3" spans="1:16" s="7" customFormat="1" x14ac:dyDescent="0.25">
      <c r="A3" s="10" t="s">
        <v>239</v>
      </c>
      <c r="B3" s="9" t="s">
        <v>240</v>
      </c>
      <c r="C3" s="9"/>
      <c r="D3" s="9"/>
      <c r="E3" s="60"/>
      <c r="F3" s="60"/>
      <c r="G3" s="60"/>
      <c r="H3" s="37"/>
      <c r="I3" s="62"/>
      <c r="J3" s="62"/>
      <c r="K3" s="63"/>
      <c r="L3" s="14"/>
      <c r="M3" s="14"/>
      <c r="N3" s="13"/>
      <c r="O3" s="13"/>
      <c r="P3" s="15"/>
    </row>
    <row r="4" spans="1:16" s="7" customFormat="1" ht="13.8" thickBot="1" x14ac:dyDescent="0.3">
      <c r="A4" s="10" t="s">
        <v>241</v>
      </c>
      <c r="B4" s="9" t="s">
        <v>249</v>
      </c>
      <c r="C4" s="9"/>
      <c r="D4" s="9"/>
      <c r="E4" s="60"/>
      <c r="F4" s="60"/>
      <c r="G4" s="60"/>
      <c r="H4" s="37"/>
      <c r="I4" s="62"/>
      <c r="J4" s="62"/>
      <c r="K4" s="63"/>
      <c r="L4" s="14"/>
      <c r="M4" s="14"/>
      <c r="N4" s="13"/>
      <c r="O4" s="13"/>
      <c r="P4" s="15"/>
    </row>
    <row r="5" spans="1:16" s="7" customFormat="1" ht="13.8" thickBot="1" x14ac:dyDescent="0.3">
      <c r="A5" s="226" t="s">
        <v>11</v>
      </c>
      <c r="B5" s="227"/>
      <c r="C5" s="227"/>
      <c r="D5" s="227"/>
      <c r="E5" s="227"/>
      <c r="F5" s="227"/>
      <c r="G5" s="227"/>
      <c r="H5" s="227"/>
      <c r="I5" s="227"/>
      <c r="J5" s="228"/>
      <c r="K5" s="229"/>
      <c r="L5" s="14"/>
      <c r="M5" s="14"/>
      <c r="N5" s="13"/>
      <c r="O5" s="13"/>
      <c r="P5" s="15"/>
    </row>
    <row r="6" spans="1:16" s="7" customFormat="1" x14ac:dyDescent="0.25">
      <c r="A6" s="223" t="s">
        <v>23</v>
      </c>
      <c r="B6" s="224"/>
      <c r="C6" s="224"/>
      <c r="D6" s="224"/>
      <c r="E6" s="224"/>
      <c r="F6" s="224"/>
      <c r="G6" s="224"/>
      <c r="H6" s="224"/>
      <c r="I6" s="224"/>
      <c r="J6" s="224"/>
      <c r="K6" s="225"/>
    </row>
    <row r="7" spans="1:16" s="7" customFormat="1" x14ac:dyDescent="0.25">
      <c r="A7" s="87" t="s">
        <v>157</v>
      </c>
      <c r="B7" s="203" t="s">
        <v>69</v>
      </c>
      <c r="C7" s="203" t="s">
        <v>76</v>
      </c>
      <c r="D7" s="203" t="s">
        <v>19</v>
      </c>
      <c r="E7" s="203" t="s">
        <v>6</v>
      </c>
      <c r="F7" s="204" t="s">
        <v>67</v>
      </c>
      <c r="G7" s="204" t="s">
        <v>68</v>
      </c>
      <c r="H7" s="204" t="s">
        <v>7</v>
      </c>
      <c r="I7" s="204" t="s">
        <v>17</v>
      </c>
      <c r="J7" s="90" t="s">
        <v>75</v>
      </c>
      <c r="K7" s="91" t="s">
        <v>8</v>
      </c>
    </row>
    <row r="8" spans="1:16" s="7" customFormat="1" x14ac:dyDescent="0.25">
      <c r="A8" s="27"/>
      <c r="B8" s="3"/>
      <c r="C8" s="3"/>
      <c r="D8" s="3"/>
      <c r="E8" s="30"/>
      <c r="F8" s="2" t="s">
        <v>133</v>
      </c>
      <c r="G8" s="49"/>
      <c r="H8" s="2" t="s">
        <v>135</v>
      </c>
      <c r="I8" s="49" t="s">
        <v>9</v>
      </c>
      <c r="J8" s="49" t="s">
        <v>9</v>
      </c>
      <c r="K8" s="55" t="s">
        <v>9</v>
      </c>
    </row>
    <row r="9" spans="1:16" s="16" customFormat="1" ht="12.75" customHeight="1" x14ac:dyDescent="0.25">
      <c r="A9" s="27"/>
      <c r="B9" s="3">
        <v>1</v>
      </c>
      <c r="C9" s="3">
        <v>2</v>
      </c>
      <c r="D9" s="3">
        <v>3</v>
      </c>
      <c r="E9" s="3">
        <v>4</v>
      </c>
      <c r="F9" s="3">
        <v>5</v>
      </c>
      <c r="G9" s="3">
        <v>6</v>
      </c>
      <c r="H9" s="3">
        <v>7</v>
      </c>
      <c r="I9" s="3">
        <v>8</v>
      </c>
      <c r="J9" s="58">
        <v>9</v>
      </c>
      <c r="K9" s="45">
        <v>10</v>
      </c>
    </row>
    <row r="10" spans="1:16" s="118" customFormat="1" ht="12.75" customHeight="1" thickBot="1" x14ac:dyDescent="0.3">
      <c r="A10" s="148" t="s">
        <v>55</v>
      </c>
      <c r="B10" s="71"/>
      <c r="C10" s="71"/>
      <c r="D10" s="71"/>
      <c r="E10" s="149"/>
      <c r="F10" s="154"/>
      <c r="G10" s="149"/>
      <c r="H10" s="152">
        <v>6.5383201270166458</v>
      </c>
      <c r="I10" s="71"/>
      <c r="J10" s="84">
        <v>1</v>
      </c>
      <c r="K10" s="83">
        <v>1.1350243506792981E-5</v>
      </c>
    </row>
    <row r="11" spans="1:16" s="118" customFormat="1" x14ac:dyDescent="0.25">
      <c r="A11" s="92" t="s">
        <v>137</v>
      </c>
      <c r="B11" s="130" t="s">
        <v>251</v>
      </c>
      <c r="C11" s="130" t="s">
        <v>251</v>
      </c>
      <c r="D11" s="130" t="s">
        <v>251</v>
      </c>
      <c r="E11" s="130" t="s">
        <v>251</v>
      </c>
      <c r="F11" s="132" t="s">
        <v>251</v>
      </c>
      <c r="G11" s="121" t="s">
        <v>251</v>
      </c>
      <c r="H11" s="122">
        <v>6.5383200270166455</v>
      </c>
      <c r="I11" s="120" t="s">
        <v>251</v>
      </c>
      <c r="J11" s="120">
        <v>0.99999998470555151</v>
      </c>
      <c r="K11" s="120">
        <v>1.1350243333197267E-5</v>
      </c>
    </row>
    <row r="12" spans="1:16" s="118" customFormat="1" x14ac:dyDescent="0.25">
      <c r="A12" s="93" t="s">
        <v>1825</v>
      </c>
      <c r="B12" s="130" t="s">
        <v>251</v>
      </c>
      <c r="C12" s="130" t="s">
        <v>251</v>
      </c>
      <c r="D12" s="130" t="s">
        <v>251</v>
      </c>
      <c r="E12" s="130" t="s">
        <v>251</v>
      </c>
      <c r="F12" s="134" t="s">
        <v>251</v>
      </c>
      <c r="G12" s="121" t="s">
        <v>251</v>
      </c>
      <c r="H12" s="123">
        <v>6.5383200270166455</v>
      </c>
      <c r="I12" s="136"/>
      <c r="J12" s="120">
        <v>0.99999998470555151</v>
      </c>
      <c r="K12" s="120">
        <v>1.1350243333197267E-5</v>
      </c>
    </row>
    <row r="13" spans="1:16" x14ac:dyDescent="0.25">
      <c r="A13" s="17" t="s">
        <v>1826</v>
      </c>
      <c r="B13" s="116" t="s">
        <v>1827</v>
      </c>
      <c r="C13" s="116" t="s">
        <v>400</v>
      </c>
      <c r="D13" s="116" t="s">
        <v>225</v>
      </c>
      <c r="E13" s="116" t="s">
        <v>257</v>
      </c>
      <c r="F13" s="70">
        <v>5609.7036624946122</v>
      </c>
      <c r="G13" s="67">
        <v>114.8</v>
      </c>
      <c r="H13" s="85">
        <v>6.4399397845772359</v>
      </c>
      <c r="I13" s="25">
        <v>5.1893650901892803E-4</v>
      </c>
      <c r="J13" s="33">
        <v>0.98495326926057081</v>
      </c>
      <c r="K13" s="33">
        <v>1.1179459448919313E-5</v>
      </c>
      <c r="L13" s="15"/>
      <c r="M13" s="15"/>
      <c r="N13" s="15"/>
      <c r="O13" s="15"/>
    </row>
    <row r="14" spans="1:16" x14ac:dyDescent="0.25">
      <c r="A14" s="17" t="s">
        <v>1828</v>
      </c>
      <c r="B14" s="116" t="s">
        <v>1829</v>
      </c>
      <c r="C14" s="116" t="s">
        <v>400</v>
      </c>
      <c r="D14" s="116" t="s">
        <v>225</v>
      </c>
      <c r="E14" s="116" t="s">
        <v>257</v>
      </c>
      <c r="F14" s="70">
        <v>622.6591894284652</v>
      </c>
      <c r="G14" s="67">
        <v>15.8</v>
      </c>
      <c r="H14" s="85">
        <v>9.8380142439409859E-2</v>
      </c>
      <c r="I14" s="25">
        <v>6.3536651982496443E-5</v>
      </c>
      <c r="J14" s="33">
        <v>1.5046700150532321E-2</v>
      </c>
      <c r="K14" s="33">
        <v>1.7078371068224045E-7</v>
      </c>
      <c r="L14" s="15"/>
      <c r="M14" s="15"/>
      <c r="N14" s="15"/>
      <c r="O14" s="15"/>
    </row>
    <row r="15" spans="1:16" s="118" customFormat="1" x14ac:dyDescent="0.25">
      <c r="A15" s="93" t="s">
        <v>488</v>
      </c>
      <c r="B15" s="130" t="s">
        <v>251</v>
      </c>
      <c r="C15" s="130" t="s">
        <v>251</v>
      </c>
      <c r="D15" s="130" t="s">
        <v>251</v>
      </c>
      <c r="E15" s="130" t="s">
        <v>251</v>
      </c>
      <c r="F15" s="134" t="s">
        <v>251</v>
      </c>
      <c r="G15" s="121" t="s">
        <v>251</v>
      </c>
      <c r="H15" s="123">
        <v>0</v>
      </c>
      <c r="I15" s="136"/>
      <c r="J15" s="120">
        <v>0</v>
      </c>
      <c r="K15" s="120">
        <v>0</v>
      </c>
    </row>
    <row r="16" spans="1:16" s="118" customFormat="1" x14ac:dyDescent="0.25">
      <c r="A16" s="93" t="s">
        <v>1830</v>
      </c>
      <c r="B16" s="130" t="s">
        <v>251</v>
      </c>
      <c r="C16" s="130" t="s">
        <v>251</v>
      </c>
      <c r="D16" s="130" t="s">
        <v>251</v>
      </c>
      <c r="E16" s="130" t="s">
        <v>251</v>
      </c>
      <c r="F16" s="134" t="s">
        <v>251</v>
      </c>
      <c r="G16" s="121" t="s">
        <v>251</v>
      </c>
      <c r="H16" s="123">
        <v>0</v>
      </c>
      <c r="I16" s="136"/>
      <c r="J16" s="120">
        <v>0</v>
      </c>
      <c r="K16" s="120">
        <v>0</v>
      </c>
    </row>
    <row r="17" spans="1:15" s="118" customFormat="1" x14ac:dyDescent="0.25">
      <c r="A17" s="79" t="s">
        <v>242</v>
      </c>
      <c r="B17" s="124"/>
      <c r="C17" s="124"/>
      <c r="D17" s="124"/>
      <c r="E17" s="125"/>
      <c r="F17" s="125"/>
      <c r="G17" s="125"/>
      <c r="H17" s="126"/>
      <c r="I17" s="127"/>
      <c r="J17" s="127"/>
      <c r="K17" s="128"/>
      <c r="L17" s="147"/>
      <c r="M17" s="147"/>
      <c r="N17" s="129"/>
      <c r="O17" s="129"/>
    </row>
    <row r="18" spans="1:15" s="118" customFormat="1" x14ac:dyDescent="0.25">
      <c r="A18" s="79" t="s">
        <v>243</v>
      </c>
      <c r="B18" s="124"/>
      <c r="C18" s="124"/>
      <c r="D18" s="124"/>
      <c r="E18" s="125"/>
      <c r="F18" s="125"/>
      <c r="G18" s="125"/>
      <c r="H18" s="126"/>
      <c r="I18" s="127"/>
      <c r="J18" s="127"/>
      <c r="K18" s="128"/>
      <c r="L18" s="147"/>
      <c r="M18" s="147"/>
      <c r="N18" s="129"/>
      <c r="O18" s="129"/>
    </row>
    <row r="19" spans="1:15" s="118" customFormat="1" x14ac:dyDescent="0.25">
      <c r="A19" s="79" t="s">
        <v>244</v>
      </c>
      <c r="B19" s="124"/>
      <c r="C19" s="124"/>
      <c r="D19" s="124"/>
      <c r="E19" s="125"/>
      <c r="F19" s="125"/>
      <c r="G19" s="125"/>
      <c r="H19" s="126"/>
      <c r="I19" s="127"/>
      <c r="J19" s="127"/>
      <c r="K19" s="128"/>
      <c r="L19" s="147"/>
      <c r="M19" s="147"/>
      <c r="N19" s="129"/>
      <c r="O19" s="129"/>
    </row>
    <row r="20" spans="1:15" s="118" customFormat="1" x14ac:dyDescent="0.25">
      <c r="A20" s="79" t="s">
        <v>245</v>
      </c>
      <c r="B20" s="124"/>
      <c r="C20" s="124"/>
      <c r="D20" s="124"/>
      <c r="E20" s="125"/>
      <c r="F20" s="125"/>
      <c r="G20" s="125"/>
      <c r="H20" s="126"/>
      <c r="I20" s="127"/>
      <c r="J20" s="127"/>
      <c r="K20" s="128"/>
      <c r="L20" s="147"/>
      <c r="M20" s="147"/>
      <c r="N20" s="129"/>
      <c r="O20" s="129"/>
    </row>
    <row r="21" spans="1:15" s="118" customFormat="1" x14ac:dyDescent="0.25">
      <c r="A21" s="79" t="s">
        <v>246</v>
      </c>
      <c r="B21" s="124"/>
      <c r="C21" s="124"/>
      <c r="D21" s="124"/>
      <c r="E21" s="125"/>
      <c r="F21" s="125"/>
      <c r="G21" s="125"/>
      <c r="H21" s="126"/>
      <c r="I21" s="127"/>
      <c r="J21" s="127"/>
      <c r="K21" s="128"/>
      <c r="L21" s="147"/>
      <c r="M21" s="147"/>
      <c r="N21" s="129"/>
      <c r="O21" s="129"/>
    </row>
  </sheetData>
  <mergeCells count="2">
    <mergeCell ref="A6:K6"/>
    <mergeCell ref="A5:K5"/>
  </mergeCells>
  <phoneticPr fontId="3" type="noConversion"/>
  <conditionalFormatting sqref="A10:A16 H10:H16">
    <cfRule type="expression" dxfId="93" priority="176" stopIfTrue="1">
      <formula>#REF!&gt;0</formula>
    </cfRule>
  </conditionalFormatting>
  <conditionalFormatting sqref="B11:E16">
    <cfRule type="expression" dxfId="92" priority="179" stopIfTrue="1">
      <formula>LEFT(#REF!,3)="TIR"</formula>
    </cfRule>
  </conditionalFormatting>
  <conditionalFormatting sqref="G11:G16">
    <cfRule type="expression" dxfId="91" priority="178" stopIfTrue="1">
      <formula>LEFT(#REF!,3)="TIR"</formula>
    </cfRule>
  </conditionalFormatting>
  <conditionalFormatting sqref="J11:K16">
    <cfRule type="expression" dxfId="90" priority="17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P26"/>
  <sheetViews>
    <sheetView rightToLeft="1" zoomScale="90" workbookViewId="0"/>
  </sheetViews>
  <sheetFormatPr defaultColWidth="9.109375" defaultRowHeight="13.2" x14ac:dyDescent="0.25"/>
  <cols>
    <col min="1" max="1" width="21.6640625" style="10" customWidth="1"/>
    <col min="2" max="2" width="12.6640625" style="9" bestFit="1" customWidth="1"/>
    <col min="3" max="3" width="11.5546875" style="9" customWidth="1"/>
    <col min="4" max="4" width="11.109375" style="9" customWidth="1"/>
    <col min="5" max="5" width="11" style="9" customWidth="1"/>
    <col min="6" max="6" width="10.109375" style="60" customWidth="1"/>
    <col min="7" max="7" width="8.6640625" style="60" bestFit="1" customWidth="1"/>
    <col min="8" max="8" width="9.5546875" style="60" customWidth="1"/>
    <col min="9" max="9" width="21.109375" style="37" customWidth="1"/>
    <col min="10" max="10" width="24" style="62" customWidth="1"/>
    <col min="11" max="11" width="19.5546875" style="64" customWidth="1"/>
    <col min="12" max="12" width="11.44140625" style="20" bestFit="1" customWidth="1"/>
    <col min="13" max="13" width="7.33203125" style="20" customWidth="1"/>
    <col min="14" max="15" width="10.5546875" style="13" customWidth="1"/>
    <col min="16" max="16" width="11.44140625" style="15" customWidth="1"/>
    <col min="17" max="17" width="15.44140625" style="15" customWidth="1"/>
    <col min="18" max="16384" width="9.109375" style="15"/>
  </cols>
  <sheetData>
    <row r="1" spans="1:16" s="7" customFormat="1" x14ac:dyDescent="0.25">
      <c r="A1" s="7" t="s">
        <v>237</v>
      </c>
      <c r="B1" s="9" t="s">
        <v>247</v>
      </c>
      <c r="C1" s="9"/>
      <c r="D1" s="9"/>
      <c r="E1" s="9"/>
      <c r="F1" s="60"/>
      <c r="G1" s="60"/>
      <c r="H1" s="60"/>
      <c r="I1" s="37"/>
      <c r="J1" s="62"/>
      <c r="K1" s="63"/>
      <c r="L1" s="14"/>
      <c r="M1" s="14"/>
      <c r="N1" s="13"/>
      <c r="O1" s="13"/>
      <c r="P1" s="15"/>
    </row>
    <row r="2" spans="1:16" s="7" customFormat="1" x14ac:dyDescent="0.25">
      <c r="A2" s="10" t="s">
        <v>238</v>
      </c>
      <c r="B2" s="9" t="s">
        <v>150</v>
      </c>
      <c r="C2" s="9"/>
      <c r="D2" s="9"/>
      <c r="E2" s="9"/>
      <c r="F2" s="60"/>
      <c r="G2" s="60"/>
      <c r="H2" s="60"/>
      <c r="I2" s="37"/>
      <c r="J2" s="62"/>
      <c r="K2" s="63"/>
      <c r="L2" s="14"/>
      <c r="M2" s="14"/>
      <c r="N2" s="13"/>
      <c r="O2" s="13"/>
      <c r="P2" s="15"/>
    </row>
    <row r="3" spans="1:16" s="7" customFormat="1" x14ac:dyDescent="0.25">
      <c r="A3" s="10" t="s">
        <v>239</v>
      </c>
      <c r="B3" s="9" t="s">
        <v>240</v>
      </c>
      <c r="C3" s="9"/>
      <c r="D3" s="9"/>
      <c r="E3" s="9"/>
      <c r="F3" s="60"/>
      <c r="G3" s="60"/>
      <c r="H3" s="60"/>
      <c r="I3" s="37"/>
      <c r="J3" s="62"/>
      <c r="K3" s="63"/>
      <c r="L3" s="14"/>
      <c r="M3" s="14"/>
      <c r="N3" s="13"/>
      <c r="O3" s="13"/>
      <c r="P3" s="15"/>
    </row>
    <row r="4" spans="1:16" s="7" customFormat="1" ht="13.8" thickBot="1" x14ac:dyDescent="0.3">
      <c r="A4" s="10" t="s">
        <v>241</v>
      </c>
      <c r="B4" s="9" t="s">
        <v>249</v>
      </c>
      <c r="C4" s="9"/>
      <c r="D4" s="9"/>
      <c r="E4" s="9"/>
      <c r="F4" s="60"/>
      <c r="G4" s="60"/>
      <c r="H4" s="60"/>
      <c r="I4" s="37"/>
      <c r="J4" s="62"/>
      <c r="K4" s="63"/>
      <c r="L4" s="14"/>
      <c r="M4" s="14"/>
      <c r="N4" s="13"/>
      <c r="O4" s="13"/>
      <c r="P4" s="15"/>
    </row>
    <row r="5" spans="1:16" s="7" customFormat="1" ht="13.8" thickBot="1" x14ac:dyDescent="0.3">
      <c r="A5" s="226" t="s">
        <v>11</v>
      </c>
      <c r="B5" s="227"/>
      <c r="C5" s="227"/>
      <c r="D5" s="227"/>
      <c r="E5" s="227"/>
      <c r="F5" s="227"/>
      <c r="G5" s="227"/>
      <c r="H5" s="227"/>
      <c r="I5" s="227"/>
      <c r="J5" s="227"/>
      <c r="K5" s="229"/>
      <c r="L5" s="14"/>
      <c r="M5" s="14"/>
      <c r="N5" s="13"/>
      <c r="O5" s="13"/>
      <c r="P5" s="15"/>
    </row>
    <row r="6" spans="1:16" s="7" customFormat="1" x14ac:dyDescent="0.25">
      <c r="A6" s="223" t="s">
        <v>24</v>
      </c>
      <c r="B6" s="224"/>
      <c r="C6" s="224"/>
      <c r="D6" s="224"/>
      <c r="E6" s="224"/>
      <c r="F6" s="224"/>
      <c r="G6" s="224"/>
      <c r="H6" s="224"/>
      <c r="I6" s="224"/>
      <c r="J6" s="224"/>
      <c r="K6" s="225"/>
    </row>
    <row r="7" spans="1:16" s="7" customFormat="1" x14ac:dyDescent="0.25">
      <c r="A7" s="87" t="s">
        <v>157</v>
      </c>
      <c r="B7" s="203" t="s">
        <v>69</v>
      </c>
      <c r="C7" s="203" t="s">
        <v>76</v>
      </c>
      <c r="D7" s="203" t="s">
        <v>19</v>
      </c>
      <c r="E7" s="203" t="s">
        <v>6</v>
      </c>
      <c r="F7" s="204" t="s">
        <v>67</v>
      </c>
      <c r="G7" s="204" t="s">
        <v>68</v>
      </c>
      <c r="H7" s="204" t="s">
        <v>7</v>
      </c>
      <c r="I7" s="204" t="s">
        <v>17</v>
      </c>
      <c r="J7" s="90" t="s">
        <v>75</v>
      </c>
      <c r="K7" s="91" t="s">
        <v>8</v>
      </c>
    </row>
    <row r="8" spans="1:16" s="7" customFormat="1" x14ac:dyDescent="0.25">
      <c r="A8" s="27"/>
      <c r="B8" s="3"/>
      <c r="C8" s="3"/>
      <c r="D8" s="3"/>
      <c r="E8" s="30"/>
      <c r="F8" s="2" t="s">
        <v>133</v>
      </c>
      <c r="G8" s="49"/>
      <c r="H8" s="2" t="s">
        <v>135</v>
      </c>
      <c r="I8" s="49" t="s">
        <v>9</v>
      </c>
      <c r="J8" s="56"/>
      <c r="K8" s="55" t="s">
        <v>9</v>
      </c>
    </row>
    <row r="9" spans="1:16" s="16" customFormat="1" ht="12.75" customHeight="1" x14ac:dyDescent="0.25">
      <c r="A9" s="27"/>
      <c r="B9" s="3">
        <v>1</v>
      </c>
      <c r="C9" s="3">
        <v>2</v>
      </c>
      <c r="D9" s="3">
        <v>3</v>
      </c>
      <c r="E9" s="3">
        <v>4</v>
      </c>
      <c r="F9" s="3">
        <v>5</v>
      </c>
      <c r="G9" s="3">
        <v>6</v>
      </c>
      <c r="H9" s="3">
        <v>7</v>
      </c>
      <c r="I9" s="3">
        <v>8</v>
      </c>
      <c r="J9" s="58">
        <v>9</v>
      </c>
      <c r="K9" s="45">
        <v>10</v>
      </c>
    </row>
    <row r="10" spans="1:16" s="118" customFormat="1" ht="12.75" customHeight="1" thickBot="1" x14ac:dyDescent="0.3">
      <c r="A10" s="148" t="s">
        <v>56</v>
      </c>
      <c r="B10" s="71"/>
      <c r="C10" s="71"/>
      <c r="D10" s="71"/>
      <c r="E10" s="149"/>
      <c r="F10" s="150"/>
      <c r="G10" s="154"/>
      <c r="H10" s="107">
        <v>9.0000000000000007E-7</v>
      </c>
      <c r="I10" s="71"/>
      <c r="J10" s="71">
        <v>1</v>
      </c>
      <c r="K10" s="83">
        <v>0</v>
      </c>
    </row>
    <row r="11" spans="1:16" s="118" customFormat="1" x14ac:dyDescent="0.25">
      <c r="A11" s="92" t="s">
        <v>137</v>
      </c>
      <c r="B11" s="130" t="s">
        <v>251</v>
      </c>
      <c r="C11" s="130" t="s">
        <v>251</v>
      </c>
      <c r="D11" s="130" t="s">
        <v>251</v>
      </c>
      <c r="E11" s="130" t="s">
        <v>251</v>
      </c>
      <c r="F11" s="132" t="s">
        <v>251</v>
      </c>
      <c r="G11" s="121" t="s">
        <v>251</v>
      </c>
      <c r="H11" s="122">
        <v>0</v>
      </c>
      <c r="I11" s="120" t="s">
        <v>251</v>
      </c>
      <c r="J11" s="120">
        <v>0</v>
      </c>
      <c r="K11" s="120">
        <v>0</v>
      </c>
    </row>
    <row r="12" spans="1:16" s="118" customFormat="1" x14ac:dyDescent="0.25">
      <c r="A12" s="93" t="s">
        <v>1831</v>
      </c>
      <c r="B12" s="130" t="s">
        <v>251</v>
      </c>
      <c r="C12" s="130" t="s">
        <v>251</v>
      </c>
      <c r="D12" s="130" t="s">
        <v>251</v>
      </c>
      <c r="E12" s="130" t="s">
        <v>251</v>
      </c>
      <c r="F12" s="134" t="s">
        <v>251</v>
      </c>
      <c r="G12" s="121" t="s">
        <v>251</v>
      </c>
      <c r="H12" s="123">
        <v>0</v>
      </c>
      <c r="I12" s="136"/>
      <c r="J12" s="120">
        <v>0</v>
      </c>
      <c r="K12" s="136">
        <v>0</v>
      </c>
    </row>
    <row r="13" spans="1:16" s="118" customFormat="1" x14ac:dyDescent="0.25">
      <c r="A13" s="93" t="s">
        <v>1832</v>
      </c>
      <c r="B13" s="130" t="s">
        <v>251</v>
      </c>
      <c r="C13" s="130" t="s">
        <v>251</v>
      </c>
      <c r="D13" s="130" t="s">
        <v>251</v>
      </c>
      <c r="E13" s="130" t="s">
        <v>251</v>
      </c>
      <c r="F13" s="134" t="s">
        <v>251</v>
      </c>
      <c r="G13" s="121" t="s">
        <v>251</v>
      </c>
      <c r="H13" s="123">
        <v>0</v>
      </c>
      <c r="I13" s="136"/>
      <c r="J13" s="120">
        <v>0</v>
      </c>
      <c r="K13" s="136">
        <v>0</v>
      </c>
    </row>
    <row r="14" spans="1:16" s="118" customFormat="1" x14ac:dyDescent="0.25">
      <c r="A14" s="93" t="s">
        <v>1833</v>
      </c>
      <c r="B14" s="130" t="s">
        <v>251</v>
      </c>
      <c r="C14" s="130" t="s">
        <v>251</v>
      </c>
      <c r="D14" s="130" t="s">
        <v>251</v>
      </c>
      <c r="E14" s="130" t="s">
        <v>251</v>
      </c>
      <c r="F14" s="134" t="s">
        <v>251</v>
      </c>
      <c r="G14" s="121" t="s">
        <v>251</v>
      </c>
      <c r="H14" s="123">
        <v>0</v>
      </c>
      <c r="I14" s="136"/>
      <c r="J14" s="120">
        <v>0</v>
      </c>
      <c r="K14" s="136">
        <v>0</v>
      </c>
    </row>
    <row r="15" spans="1:16" s="118" customFormat="1" x14ac:dyDescent="0.25">
      <c r="A15" s="93" t="s">
        <v>141</v>
      </c>
      <c r="B15" s="130" t="s">
        <v>251</v>
      </c>
      <c r="C15" s="130" t="s">
        <v>251</v>
      </c>
      <c r="D15" s="130" t="s">
        <v>251</v>
      </c>
      <c r="E15" s="130" t="s">
        <v>251</v>
      </c>
      <c r="F15" s="134" t="s">
        <v>251</v>
      </c>
      <c r="G15" s="121" t="s">
        <v>251</v>
      </c>
      <c r="H15" s="123">
        <v>0</v>
      </c>
      <c r="I15" s="136"/>
      <c r="J15" s="120">
        <v>0</v>
      </c>
      <c r="K15" s="136">
        <v>0</v>
      </c>
    </row>
    <row r="16" spans="1:16" s="118" customFormat="1" x14ac:dyDescent="0.25">
      <c r="A16" s="93" t="s">
        <v>488</v>
      </c>
      <c r="B16" s="130" t="s">
        <v>251</v>
      </c>
      <c r="C16" s="130" t="s">
        <v>251</v>
      </c>
      <c r="D16" s="130" t="s">
        <v>251</v>
      </c>
      <c r="E16" s="130" t="s">
        <v>251</v>
      </c>
      <c r="F16" s="134" t="s">
        <v>251</v>
      </c>
      <c r="G16" s="121" t="s">
        <v>251</v>
      </c>
      <c r="H16" s="123">
        <v>0</v>
      </c>
      <c r="I16" s="136"/>
      <c r="J16" s="120">
        <v>0</v>
      </c>
      <c r="K16" s="136">
        <v>0</v>
      </c>
    </row>
    <row r="17" spans="1:15" s="118" customFormat="1" x14ac:dyDescent="0.25">
      <c r="A17" s="93" t="s">
        <v>1831</v>
      </c>
      <c r="B17" s="130" t="s">
        <v>251</v>
      </c>
      <c r="C17" s="130" t="s">
        <v>251</v>
      </c>
      <c r="D17" s="130" t="s">
        <v>251</v>
      </c>
      <c r="E17" s="130" t="s">
        <v>251</v>
      </c>
      <c r="F17" s="134" t="s">
        <v>251</v>
      </c>
      <c r="G17" s="121" t="s">
        <v>251</v>
      </c>
      <c r="H17" s="123">
        <v>0</v>
      </c>
      <c r="I17" s="136"/>
      <c r="J17" s="120">
        <v>0</v>
      </c>
      <c r="K17" s="136">
        <v>0</v>
      </c>
    </row>
    <row r="18" spans="1:15" s="118" customFormat="1" x14ac:dyDescent="0.25">
      <c r="A18" s="93" t="s">
        <v>1834</v>
      </c>
      <c r="B18" s="130" t="s">
        <v>251</v>
      </c>
      <c r="C18" s="130" t="s">
        <v>251</v>
      </c>
      <c r="D18" s="130" t="s">
        <v>251</v>
      </c>
      <c r="E18" s="130" t="s">
        <v>251</v>
      </c>
      <c r="F18" s="134" t="s">
        <v>251</v>
      </c>
      <c r="G18" s="121" t="s">
        <v>251</v>
      </c>
      <c r="H18" s="123">
        <v>0</v>
      </c>
      <c r="I18" s="136"/>
      <c r="J18" s="120">
        <v>0</v>
      </c>
      <c r="K18" s="136">
        <v>0</v>
      </c>
    </row>
    <row r="19" spans="1:15" s="118" customFormat="1" x14ac:dyDescent="0.25">
      <c r="A19" s="93" t="s">
        <v>1833</v>
      </c>
      <c r="B19" s="130" t="s">
        <v>251</v>
      </c>
      <c r="C19" s="130" t="s">
        <v>251</v>
      </c>
      <c r="D19" s="130" t="s">
        <v>251</v>
      </c>
      <c r="E19" s="130" t="s">
        <v>251</v>
      </c>
      <c r="F19" s="134" t="s">
        <v>251</v>
      </c>
      <c r="G19" s="121" t="s">
        <v>251</v>
      </c>
      <c r="H19" s="123">
        <v>0</v>
      </c>
      <c r="I19" s="136"/>
      <c r="J19" s="120">
        <v>0</v>
      </c>
      <c r="K19" s="136">
        <v>0</v>
      </c>
    </row>
    <row r="20" spans="1:15" s="118" customFormat="1" x14ac:dyDescent="0.25">
      <c r="A20" s="93" t="s">
        <v>1835</v>
      </c>
      <c r="B20" s="130" t="s">
        <v>251</v>
      </c>
      <c r="C20" s="130" t="s">
        <v>251</v>
      </c>
      <c r="D20" s="130" t="s">
        <v>251</v>
      </c>
      <c r="E20" s="130" t="s">
        <v>251</v>
      </c>
      <c r="F20" s="134" t="s">
        <v>251</v>
      </c>
      <c r="G20" s="121" t="s">
        <v>251</v>
      </c>
      <c r="H20" s="123">
        <v>0</v>
      </c>
      <c r="I20" s="136"/>
      <c r="J20" s="120">
        <v>0</v>
      </c>
      <c r="K20" s="136">
        <v>0</v>
      </c>
    </row>
    <row r="21" spans="1:15" s="118" customFormat="1" x14ac:dyDescent="0.25">
      <c r="A21" s="93" t="s">
        <v>141</v>
      </c>
      <c r="B21" s="130" t="s">
        <v>251</v>
      </c>
      <c r="C21" s="130" t="s">
        <v>251</v>
      </c>
      <c r="D21" s="130" t="s">
        <v>251</v>
      </c>
      <c r="E21" s="130" t="s">
        <v>251</v>
      </c>
      <c r="F21" s="134" t="s">
        <v>251</v>
      </c>
      <c r="G21" s="121" t="s">
        <v>251</v>
      </c>
      <c r="H21" s="123">
        <v>0</v>
      </c>
      <c r="I21" s="136"/>
      <c r="J21" s="120">
        <v>0</v>
      </c>
      <c r="K21" s="136">
        <v>0</v>
      </c>
    </row>
    <row r="22" spans="1:15" s="118" customFormat="1" x14ac:dyDescent="0.25">
      <c r="A22" s="79" t="s">
        <v>242</v>
      </c>
      <c r="B22" s="124"/>
      <c r="C22" s="124"/>
      <c r="D22" s="124"/>
      <c r="E22" s="124"/>
      <c r="F22" s="125"/>
      <c r="G22" s="125"/>
      <c r="H22" s="125"/>
      <c r="I22" s="126"/>
      <c r="J22" s="127"/>
      <c r="K22" s="128"/>
      <c r="L22" s="147"/>
      <c r="M22" s="147"/>
      <c r="N22" s="129"/>
      <c r="O22" s="129"/>
    </row>
    <row r="23" spans="1:15" s="118" customFormat="1" x14ac:dyDescent="0.25">
      <c r="A23" s="79" t="s">
        <v>243</v>
      </c>
      <c r="B23" s="124"/>
      <c r="C23" s="124"/>
      <c r="D23" s="124"/>
      <c r="E23" s="124"/>
      <c r="F23" s="125"/>
      <c r="G23" s="125"/>
      <c r="H23" s="125"/>
      <c r="I23" s="126"/>
      <c r="J23" s="127"/>
      <c r="K23" s="128"/>
      <c r="L23" s="147"/>
      <c r="M23" s="147"/>
      <c r="N23" s="129"/>
      <c r="O23" s="129"/>
    </row>
    <row r="24" spans="1:15" s="118" customFormat="1" x14ac:dyDescent="0.25">
      <c r="A24" s="79" t="s">
        <v>244</v>
      </c>
      <c r="B24" s="124"/>
      <c r="C24" s="124"/>
      <c r="D24" s="124"/>
      <c r="E24" s="124"/>
      <c r="F24" s="125"/>
      <c r="G24" s="125"/>
      <c r="H24" s="125"/>
      <c r="I24" s="126"/>
      <c r="J24" s="127"/>
      <c r="K24" s="128"/>
      <c r="L24" s="147"/>
      <c r="M24" s="147"/>
      <c r="N24" s="129"/>
      <c r="O24" s="129"/>
    </row>
    <row r="25" spans="1:15" s="118" customFormat="1" x14ac:dyDescent="0.25">
      <c r="A25" s="79" t="s">
        <v>245</v>
      </c>
      <c r="B25" s="124"/>
      <c r="C25" s="124"/>
      <c r="D25" s="124"/>
      <c r="E25" s="124"/>
      <c r="F25" s="125"/>
      <c r="G25" s="125"/>
      <c r="H25" s="125"/>
      <c r="I25" s="126"/>
      <c r="J25" s="127"/>
      <c r="K25" s="128"/>
      <c r="L25" s="147"/>
      <c r="M25" s="147"/>
      <c r="N25" s="129"/>
      <c r="O25" s="129"/>
    </row>
    <row r="26" spans="1:15" s="118" customFormat="1" x14ac:dyDescent="0.25">
      <c r="A26" s="79" t="s">
        <v>246</v>
      </c>
      <c r="B26" s="124"/>
      <c r="C26" s="124"/>
      <c r="D26" s="124"/>
      <c r="E26" s="124"/>
      <c r="F26" s="125"/>
      <c r="G26" s="125"/>
      <c r="H26" s="125"/>
      <c r="I26" s="126"/>
      <c r="J26" s="127"/>
      <c r="K26" s="128"/>
      <c r="L26" s="147"/>
      <c r="M26" s="147"/>
      <c r="N26" s="129"/>
      <c r="O26" s="129"/>
    </row>
  </sheetData>
  <mergeCells count="2">
    <mergeCell ref="A6:K6"/>
    <mergeCell ref="A5:K5"/>
  </mergeCells>
  <phoneticPr fontId="3" type="noConversion"/>
  <conditionalFormatting sqref="A10:A21 I10:I21">
    <cfRule type="expression" dxfId="89" priority="196" stopIfTrue="1">
      <formula>LEFT(#REF!,3)="TIR"</formula>
    </cfRule>
  </conditionalFormatting>
  <conditionalFormatting sqref="B10:F21 J10:K21">
    <cfRule type="expression" dxfId="88" priority="193" stopIfTrue="1">
      <formula>LEFT(#REF!,3)="TIR"</formula>
    </cfRule>
  </conditionalFormatting>
  <conditionalFormatting sqref="I10:I21 A10:A21">
    <cfRule type="expression" dxfId="87" priority="195" stopIfTrue="1">
      <formula>#REF!&gt;0</formula>
    </cfRule>
  </conditionalFormatting>
  <conditionalFormatting sqref="J1:J4 F10:I21 I22:I55556">
    <cfRule type="expression" dxfId="86" priority="190" stopIfTrue="1">
      <formula>LEFT(#REF!,3)="TIR"</formula>
    </cfRule>
  </conditionalFormatting>
  <conditionalFormatting sqref="J11:K21 H11:H21">
    <cfRule type="expression" dxfId="85" priority="19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P17"/>
  <sheetViews>
    <sheetView rightToLeft="1" workbookViewId="0"/>
  </sheetViews>
  <sheetFormatPr defaultColWidth="9.109375" defaultRowHeight="13.2" x14ac:dyDescent="0.25"/>
  <cols>
    <col min="1" max="1" width="22.33203125" style="10" customWidth="1"/>
    <col min="2" max="2" width="12.109375" style="9" bestFit="1" customWidth="1"/>
    <col min="3" max="3" width="11.6640625" style="10" customWidth="1"/>
    <col min="4" max="4" width="11" style="10" customWidth="1"/>
    <col min="5" max="5" width="10.5546875" style="60" customWidth="1"/>
    <col min="6" max="6" width="10.109375" style="11" customWidth="1"/>
    <col min="7" max="7" width="6.5546875" style="11" customWidth="1"/>
    <col min="8" max="8" width="10" style="12" customWidth="1"/>
    <col min="9" max="9" width="24.33203125" style="12" customWidth="1"/>
    <col min="10" max="10" width="19.6640625" style="13" customWidth="1"/>
    <col min="11" max="11" width="10" style="20" customWidth="1"/>
    <col min="12" max="12" width="11.44140625" style="20" bestFit="1" customWidth="1"/>
    <col min="13" max="13" width="7.33203125" style="20" customWidth="1"/>
    <col min="14" max="15" width="10.5546875" style="13" customWidth="1"/>
    <col min="16" max="16" width="11.44140625" style="15" customWidth="1"/>
    <col min="17" max="17" width="15.44140625" style="15" customWidth="1"/>
    <col min="18" max="16384" width="9.109375" style="15"/>
  </cols>
  <sheetData>
    <row r="1" spans="1:16" s="7" customFormat="1" x14ac:dyDescent="0.25">
      <c r="A1" s="7" t="s">
        <v>237</v>
      </c>
      <c r="B1" s="9" t="s">
        <v>247</v>
      </c>
      <c r="C1" s="10"/>
      <c r="D1" s="10"/>
      <c r="E1" s="60"/>
      <c r="F1" s="11"/>
      <c r="G1" s="11"/>
      <c r="H1" s="12"/>
      <c r="I1" s="12"/>
      <c r="J1" s="13"/>
      <c r="K1" s="14"/>
      <c r="L1" s="14"/>
      <c r="M1" s="14"/>
      <c r="N1" s="13"/>
      <c r="O1" s="13"/>
      <c r="P1" s="15"/>
    </row>
    <row r="2" spans="1:16" s="7" customFormat="1" x14ac:dyDescent="0.25">
      <c r="A2" s="10" t="s">
        <v>238</v>
      </c>
      <c r="B2" s="9" t="s">
        <v>150</v>
      </c>
      <c r="C2" s="10"/>
      <c r="D2" s="10"/>
      <c r="E2" s="60"/>
      <c r="F2" s="11"/>
      <c r="G2" s="11"/>
      <c r="H2" s="12"/>
      <c r="I2" s="12"/>
      <c r="J2" s="13"/>
      <c r="K2" s="14"/>
      <c r="L2" s="14"/>
      <c r="M2" s="14"/>
      <c r="N2" s="13"/>
      <c r="O2" s="13"/>
      <c r="P2" s="15"/>
    </row>
    <row r="3" spans="1:16" s="7" customFormat="1" x14ac:dyDescent="0.25">
      <c r="A3" s="10" t="s">
        <v>239</v>
      </c>
      <c r="B3" s="9" t="s">
        <v>240</v>
      </c>
      <c r="C3" s="10"/>
      <c r="D3" s="10"/>
      <c r="E3" s="60"/>
      <c r="F3" s="11"/>
      <c r="G3" s="11"/>
      <c r="H3" s="12"/>
      <c r="I3" s="12"/>
      <c r="J3" s="13"/>
      <c r="K3" s="14"/>
      <c r="L3" s="14"/>
      <c r="M3" s="14"/>
      <c r="N3" s="13"/>
      <c r="O3" s="13"/>
      <c r="P3" s="15"/>
    </row>
    <row r="4" spans="1:16" s="7" customFormat="1" ht="13.8" thickBot="1" x14ac:dyDescent="0.3">
      <c r="A4" s="10" t="s">
        <v>241</v>
      </c>
      <c r="B4" s="9" t="s">
        <v>249</v>
      </c>
      <c r="C4" s="10"/>
      <c r="D4" s="10"/>
      <c r="E4" s="60"/>
      <c r="F4" s="11"/>
      <c r="G4" s="11"/>
      <c r="H4" s="12"/>
      <c r="I4" s="12"/>
      <c r="J4" s="13"/>
      <c r="K4" s="14"/>
      <c r="L4" s="14"/>
      <c r="M4" s="14"/>
      <c r="N4" s="13"/>
      <c r="O4" s="13"/>
      <c r="P4" s="15"/>
    </row>
    <row r="5" spans="1:16" s="7" customFormat="1" ht="13.8" thickBot="1" x14ac:dyDescent="0.3">
      <c r="A5" s="220" t="s">
        <v>11</v>
      </c>
      <c r="B5" s="221"/>
      <c r="C5" s="221"/>
      <c r="D5" s="221"/>
      <c r="E5" s="221"/>
      <c r="F5" s="221"/>
      <c r="G5" s="221"/>
      <c r="H5" s="221"/>
      <c r="I5" s="221"/>
      <c r="J5" s="222"/>
      <c r="K5" s="12"/>
      <c r="L5" s="12"/>
      <c r="M5" s="14"/>
      <c r="N5" s="13"/>
      <c r="O5" s="13"/>
      <c r="P5" s="15"/>
    </row>
    <row r="6" spans="1:16" s="7" customFormat="1" x14ac:dyDescent="0.25">
      <c r="A6" s="223" t="s">
        <v>25</v>
      </c>
      <c r="B6" s="224"/>
      <c r="C6" s="224"/>
      <c r="D6" s="224"/>
      <c r="E6" s="224"/>
      <c r="F6" s="224"/>
      <c r="G6" s="224"/>
      <c r="H6" s="224"/>
      <c r="I6" s="224"/>
      <c r="J6" s="225"/>
      <c r="K6" s="12"/>
      <c r="L6" s="12"/>
    </row>
    <row r="7" spans="1:16" s="7" customFormat="1" x14ac:dyDescent="0.25">
      <c r="A7" s="87" t="s">
        <v>157</v>
      </c>
      <c r="B7" s="203" t="s">
        <v>69</v>
      </c>
      <c r="C7" s="203" t="s">
        <v>76</v>
      </c>
      <c r="D7" s="203" t="s">
        <v>19</v>
      </c>
      <c r="E7" s="203" t="s">
        <v>6</v>
      </c>
      <c r="F7" s="204" t="s">
        <v>67</v>
      </c>
      <c r="G7" s="204" t="s">
        <v>68</v>
      </c>
      <c r="H7" s="204" t="s">
        <v>7</v>
      </c>
      <c r="I7" s="90" t="s">
        <v>75</v>
      </c>
      <c r="J7" s="91" t="s">
        <v>8</v>
      </c>
    </row>
    <row r="8" spans="1:16" s="7" customFormat="1" x14ac:dyDescent="0.25">
      <c r="A8" s="27"/>
      <c r="B8" s="3"/>
      <c r="C8" s="3"/>
      <c r="D8" s="3"/>
      <c r="E8" s="30"/>
      <c r="F8" s="2" t="s">
        <v>133</v>
      </c>
      <c r="G8" s="2"/>
      <c r="H8" s="2" t="s">
        <v>135</v>
      </c>
      <c r="I8" s="31" t="s">
        <v>9</v>
      </c>
      <c r="J8" s="6" t="s">
        <v>9</v>
      </c>
    </row>
    <row r="9" spans="1:16" s="16" customFormat="1" ht="12.75" customHeight="1" x14ac:dyDescent="0.25">
      <c r="A9" s="27"/>
      <c r="B9" s="3">
        <v>1</v>
      </c>
      <c r="C9" s="3">
        <v>2</v>
      </c>
      <c r="D9" s="3">
        <v>3</v>
      </c>
      <c r="E9" s="3">
        <v>4</v>
      </c>
      <c r="F9" s="3">
        <v>5</v>
      </c>
      <c r="G9" s="3">
        <v>6</v>
      </c>
      <c r="H9" s="3">
        <v>7</v>
      </c>
      <c r="I9" s="58">
        <v>8</v>
      </c>
      <c r="J9" s="45">
        <v>9</v>
      </c>
    </row>
    <row r="10" spans="1:16" s="118" customFormat="1" ht="12.75" customHeight="1" thickBot="1" x14ac:dyDescent="0.3">
      <c r="A10" s="148" t="s">
        <v>62</v>
      </c>
      <c r="B10" s="71"/>
      <c r="C10" s="71"/>
      <c r="D10" s="71"/>
      <c r="E10" s="149"/>
      <c r="F10" s="150"/>
      <c r="G10" s="149"/>
      <c r="H10" s="152">
        <v>2.0000000000000002E-7</v>
      </c>
      <c r="I10" s="71">
        <v>1</v>
      </c>
      <c r="J10" s="83">
        <v>0</v>
      </c>
    </row>
    <row r="11" spans="1:16" s="118" customFormat="1" x14ac:dyDescent="0.25">
      <c r="A11" s="92" t="s">
        <v>137</v>
      </c>
      <c r="B11" s="130" t="s">
        <v>251</v>
      </c>
      <c r="C11" s="130" t="s">
        <v>251</v>
      </c>
      <c r="D11" s="130" t="s">
        <v>251</v>
      </c>
      <c r="E11" s="130" t="s">
        <v>251</v>
      </c>
      <c r="F11" s="132" t="s">
        <v>251</v>
      </c>
      <c r="G11" s="121" t="s">
        <v>251</v>
      </c>
      <c r="H11" s="122">
        <v>0</v>
      </c>
      <c r="I11" s="120">
        <v>0</v>
      </c>
      <c r="J11" s="120">
        <v>0</v>
      </c>
    </row>
    <row r="12" spans="1:16" s="118" customFormat="1" x14ac:dyDescent="0.25">
      <c r="A12" s="93" t="s">
        <v>488</v>
      </c>
      <c r="B12" s="130" t="s">
        <v>251</v>
      </c>
      <c r="C12" s="130" t="s">
        <v>251</v>
      </c>
      <c r="D12" s="130" t="s">
        <v>251</v>
      </c>
      <c r="E12" s="130" t="s">
        <v>251</v>
      </c>
      <c r="F12" s="134" t="s">
        <v>251</v>
      </c>
      <c r="G12" s="135" t="s">
        <v>251</v>
      </c>
      <c r="H12" s="123">
        <v>0</v>
      </c>
      <c r="I12" s="120">
        <v>0</v>
      </c>
      <c r="J12" s="120">
        <v>0</v>
      </c>
    </row>
    <row r="13" spans="1:16" s="118" customFormat="1" x14ac:dyDescent="0.25">
      <c r="A13" s="79" t="s">
        <v>242</v>
      </c>
      <c r="B13" s="124"/>
      <c r="C13" s="79"/>
      <c r="D13" s="79"/>
      <c r="E13" s="125"/>
      <c r="F13" s="145"/>
      <c r="G13" s="145"/>
      <c r="H13" s="146"/>
      <c r="I13" s="146"/>
      <c r="J13" s="129"/>
      <c r="K13" s="147"/>
      <c r="L13" s="147"/>
      <c r="M13" s="147"/>
      <c r="N13" s="129"/>
      <c r="O13" s="129"/>
    </row>
    <row r="14" spans="1:16" s="118" customFormat="1" x14ac:dyDescent="0.25">
      <c r="A14" s="79" t="s">
        <v>243</v>
      </c>
      <c r="B14" s="124"/>
      <c r="C14" s="79"/>
      <c r="D14" s="79"/>
      <c r="E14" s="125"/>
      <c r="F14" s="145"/>
      <c r="G14" s="145"/>
      <c r="H14" s="146"/>
      <c r="I14" s="146"/>
      <c r="J14" s="129"/>
      <c r="K14" s="147"/>
      <c r="L14" s="147"/>
      <c r="M14" s="147"/>
      <c r="N14" s="129"/>
      <c r="O14" s="129"/>
    </row>
    <row r="15" spans="1:16" s="118" customFormat="1" x14ac:dyDescent="0.25">
      <c r="A15" s="79" t="s">
        <v>244</v>
      </c>
      <c r="B15" s="124"/>
      <c r="C15" s="79"/>
      <c r="D15" s="79"/>
      <c r="E15" s="125"/>
      <c r="F15" s="145"/>
      <c r="G15" s="145"/>
      <c r="H15" s="146"/>
      <c r="I15" s="146"/>
      <c r="J15" s="129"/>
      <c r="K15" s="147"/>
      <c r="L15" s="147"/>
      <c r="M15" s="147"/>
      <c r="N15" s="129"/>
      <c r="O15" s="129"/>
    </row>
    <row r="16" spans="1:16" s="118" customFormat="1" x14ac:dyDescent="0.25">
      <c r="A16" s="79" t="s">
        <v>245</v>
      </c>
      <c r="B16" s="124"/>
      <c r="C16" s="79"/>
      <c r="D16" s="79"/>
      <c r="E16" s="125"/>
      <c r="F16" s="145"/>
      <c r="G16" s="145"/>
      <c r="H16" s="146"/>
      <c r="I16" s="146"/>
      <c r="J16" s="129"/>
      <c r="K16" s="147"/>
      <c r="L16" s="147"/>
      <c r="M16" s="147"/>
      <c r="N16" s="129"/>
      <c r="O16" s="129"/>
    </row>
    <row r="17" spans="1:15" s="118" customFormat="1" x14ac:dyDescent="0.25">
      <c r="A17" s="79" t="s">
        <v>246</v>
      </c>
      <c r="B17" s="124"/>
      <c r="C17" s="79"/>
      <c r="D17" s="79"/>
      <c r="E17" s="125"/>
      <c r="F17" s="145"/>
      <c r="G17" s="145"/>
      <c r="H17" s="146"/>
      <c r="I17" s="146"/>
      <c r="J17" s="129"/>
      <c r="K17" s="147"/>
      <c r="L17" s="147"/>
      <c r="M17" s="147"/>
      <c r="N17" s="129"/>
      <c r="O17" s="129"/>
    </row>
  </sheetData>
  <mergeCells count="2">
    <mergeCell ref="A6:J6"/>
    <mergeCell ref="A5:J5"/>
  </mergeCells>
  <phoneticPr fontId="3" type="noConversion"/>
  <conditionalFormatting sqref="B10:E12 I10:J12">
    <cfRule type="expression" dxfId="84" priority="219" stopIfTrue="1">
      <formula>LEFT(#REF!,3)="TIR"</formula>
    </cfRule>
  </conditionalFormatting>
  <conditionalFormatting sqref="H10:I10 A10:A12 I11:I12">
    <cfRule type="expression" dxfId="83" priority="222" stopIfTrue="1">
      <formula>LEFT(#REF!,3)="TIR"</formula>
    </cfRule>
  </conditionalFormatting>
  <conditionalFormatting sqref="H10:I10 I11:I12 A10:A12">
    <cfRule type="expression" dxfId="82" priority="221" stopIfTrue="1">
      <formula>#REF!&gt;0</formula>
    </cfRule>
  </conditionalFormatting>
  <conditionalFormatting sqref="H11:I12">
    <cfRule type="expression" dxfId="81" priority="228" stopIfTrue="1">
      <formula>#REF!&gt;0</formula>
    </cfRule>
    <cfRule type="expression" dxfId="80" priority="229" stopIfTrue="1">
      <formula>OR(LEFT(#REF!,3)="TIR",LEFT(#REF!,2)="IR")</formula>
    </cfRule>
  </conditionalFormatting>
  <conditionalFormatting sqref="J1:J4 F10:G12 J13:J55547">
    <cfRule type="expression" dxfId="79" priority="216" stopIfTrue="1">
      <formula>LEFT(#REF!,3)="TIR"</formula>
    </cfRule>
  </conditionalFormatting>
  <conditionalFormatting sqref="J11:J12">
    <cfRule type="expression" dxfId="78" priority="227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P31"/>
  <sheetViews>
    <sheetView rightToLeft="1" zoomScale="80" workbookViewId="0"/>
  </sheetViews>
  <sheetFormatPr defaultColWidth="9.109375" defaultRowHeight="13.2" x14ac:dyDescent="0.25"/>
  <cols>
    <col min="1" max="1" width="35.109375" style="10" bestFit="1" customWidth="1"/>
    <col min="2" max="2" width="13.5546875" style="9" bestFit="1" customWidth="1"/>
    <col min="3" max="3" width="12" style="10" customWidth="1"/>
    <col min="4" max="4" width="7.5546875" style="60" customWidth="1"/>
    <col min="5" max="5" width="11.109375" style="60" customWidth="1"/>
    <col min="6" max="6" width="14.109375" style="60" customWidth="1"/>
    <col min="7" max="7" width="7.88671875" style="37" customWidth="1"/>
    <col min="8" max="8" width="11.33203125" style="62" customWidth="1"/>
    <col min="9" max="9" width="12.5546875" style="64" customWidth="1"/>
    <col min="10" max="10" width="14.109375" style="64" customWidth="1"/>
    <col min="11" max="11" width="10.5546875" style="64" customWidth="1"/>
    <col min="12" max="12" width="8.88671875" style="62" bestFit="1" customWidth="1"/>
    <col min="13" max="13" width="10.44140625" style="62" customWidth="1"/>
    <col min="14" max="14" width="22" style="66" customWidth="1"/>
    <col min="15" max="15" width="25.44140625" style="66" customWidth="1"/>
    <col min="16" max="16" width="20.6640625" style="66" customWidth="1"/>
    <col min="17" max="16384" width="9.109375" style="15"/>
  </cols>
  <sheetData>
    <row r="1" spans="1:16" s="7" customFormat="1" x14ac:dyDescent="0.25">
      <c r="A1" s="7" t="s">
        <v>237</v>
      </c>
      <c r="B1" s="9" t="s">
        <v>247</v>
      </c>
      <c r="D1" s="60"/>
      <c r="E1" s="60"/>
      <c r="F1" s="60"/>
      <c r="G1" s="37"/>
      <c r="H1" s="62"/>
      <c r="I1" s="63"/>
      <c r="J1" s="63"/>
      <c r="K1" s="63"/>
      <c r="L1" s="62"/>
      <c r="M1" s="62"/>
      <c r="N1" s="66"/>
      <c r="O1" s="66"/>
      <c r="P1" s="44"/>
    </row>
    <row r="2" spans="1:16" s="7" customFormat="1" x14ac:dyDescent="0.25">
      <c r="A2" s="10" t="s">
        <v>238</v>
      </c>
      <c r="B2" s="9" t="s">
        <v>150</v>
      </c>
      <c r="D2" s="60"/>
      <c r="E2" s="60"/>
      <c r="F2" s="60"/>
      <c r="G2" s="37"/>
      <c r="H2" s="62"/>
      <c r="I2" s="63"/>
      <c r="J2" s="63"/>
      <c r="K2" s="63"/>
      <c r="L2" s="62"/>
      <c r="M2" s="62"/>
      <c r="N2" s="66"/>
      <c r="O2" s="66"/>
      <c r="P2" s="44"/>
    </row>
    <row r="3" spans="1:16" s="7" customFormat="1" x14ac:dyDescent="0.25">
      <c r="A3" s="10" t="s">
        <v>239</v>
      </c>
      <c r="B3" s="9" t="s">
        <v>240</v>
      </c>
      <c r="D3" s="60"/>
      <c r="E3" s="60"/>
      <c r="F3" s="60"/>
      <c r="G3" s="37"/>
      <c r="H3" s="62"/>
      <c r="I3" s="63"/>
      <c r="J3" s="63"/>
      <c r="K3" s="63"/>
      <c r="L3" s="62"/>
      <c r="M3" s="62"/>
      <c r="N3" s="66"/>
      <c r="O3" s="66"/>
      <c r="P3" s="44"/>
    </row>
    <row r="4" spans="1:16" s="7" customFormat="1" ht="13.8" thickBot="1" x14ac:dyDescent="0.3">
      <c r="A4" s="10" t="s">
        <v>241</v>
      </c>
      <c r="B4" s="9" t="s">
        <v>249</v>
      </c>
      <c r="D4" s="60"/>
      <c r="E4" s="60"/>
      <c r="F4" s="60"/>
      <c r="G4" s="37"/>
      <c r="H4" s="62"/>
      <c r="I4" s="63"/>
      <c r="J4" s="63"/>
      <c r="K4" s="63"/>
      <c r="L4" s="62"/>
      <c r="M4" s="62"/>
      <c r="N4" s="66"/>
      <c r="O4" s="66"/>
      <c r="P4" s="44"/>
    </row>
    <row r="5" spans="1:16" s="7" customFormat="1" ht="13.8" thickBot="1" x14ac:dyDescent="0.3">
      <c r="A5" s="220" t="s">
        <v>11</v>
      </c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2"/>
    </row>
    <row r="6" spans="1:16" s="7" customFormat="1" x14ac:dyDescent="0.25">
      <c r="A6" s="223" t="s">
        <v>26</v>
      </c>
      <c r="B6" s="224"/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5"/>
    </row>
    <row r="7" spans="1:16" s="7" customFormat="1" ht="31.5" customHeight="1" x14ac:dyDescent="0.25">
      <c r="A7" s="87" t="s">
        <v>157</v>
      </c>
      <c r="B7" s="203" t="s">
        <v>69</v>
      </c>
      <c r="C7" s="203" t="s">
        <v>27</v>
      </c>
      <c r="D7" s="203" t="s">
        <v>70</v>
      </c>
      <c r="E7" s="203" t="s">
        <v>5</v>
      </c>
      <c r="F7" s="203" t="s">
        <v>13</v>
      </c>
      <c r="G7" s="203" t="s">
        <v>14</v>
      </c>
      <c r="H7" s="203" t="s">
        <v>6</v>
      </c>
      <c r="I7" s="204" t="s">
        <v>66</v>
      </c>
      <c r="J7" s="204" t="s">
        <v>71</v>
      </c>
      <c r="K7" s="204" t="s">
        <v>67</v>
      </c>
      <c r="L7" s="204" t="s">
        <v>68</v>
      </c>
      <c r="M7" s="204" t="s">
        <v>7</v>
      </c>
      <c r="N7" s="90" t="s">
        <v>17</v>
      </c>
      <c r="O7" s="90" t="s">
        <v>75</v>
      </c>
      <c r="P7" s="91" t="s">
        <v>8</v>
      </c>
    </row>
    <row r="8" spans="1:16" s="7" customFormat="1" x14ac:dyDescent="0.25">
      <c r="A8" s="27"/>
      <c r="B8" s="3"/>
      <c r="C8" s="3"/>
      <c r="D8" s="3"/>
      <c r="E8" s="53"/>
      <c r="F8" s="53" t="s">
        <v>40</v>
      </c>
      <c r="G8" s="53" t="s">
        <v>16</v>
      </c>
      <c r="H8" s="30"/>
      <c r="I8" s="49" t="s">
        <v>9</v>
      </c>
      <c r="J8" s="49" t="s">
        <v>9</v>
      </c>
      <c r="K8" s="2" t="s">
        <v>133</v>
      </c>
      <c r="L8" s="49"/>
      <c r="M8" s="2" t="s">
        <v>135</v>
      </c>
      <c r="N8" s="56" t="s">
        <v>9</v>
      </c>
      <c r="O8" s="56" t="s">
        <v>9</v>
      </c>
      <c r="P8" s="55" t="s">
        <v>9</v>
      </c>
    </row>
    <row r="9" spans="1:16" s="16" customFormat="1" ht="12.75" customHeight="1" x14ac:dyDescent="0.25">
      <c r="A9" s="21"/>
      <c r="B9" s="22">
        <v>1</v>
      </c>
      <c r="C9" s="22">
        <v>2</v>
      </c>
      <c r="D9" s="22">
        <v>3</v>
      </c>
      <c r="E9" s="22">
        <v>4</v>
      </c>
      <c r="F9" s="22">
        <v>5</v>
      </c>
      <c r="G9" s="22">
        <v>6</v>
      </c>
      <c r="H9" s="22">
        <v>7</v>
      </c>
      <c r="I9" s="22">
        <v>8</v>
      </c>
      <c r="J9" s="22">
        <v>9</v>
      </c>
      <c r="K9" s="22">
        <v>10</v>
      </c>
      <c r="L9" s="22">
        <v>11</v>
      </c>
      <c r="M9" s="22">
        <v>12</v>
      </c>
      <c r="N9" s="22">
        <v>13</v>
      </c>
      <c r="O9" s="22">
        <v>14</v>
      </c>
      <c r="P9" s="23">
        <v>15</v>
      </c>
    </row>
    <row r="10" spans="1:16" s="118" customFormat="1" ht="12.75" customHeight="1" thickBot="1" x14ac:dyDescent="0.3">
      <c r="A10" s="100" t="s">
        <v>57</v>
      </c>
      <c r="B10" s="68"/>
      <c r="C10" s="68"/>
      <c r="D10" s="101"/>
      <c r="E10" s="101"/>
      <c r="F10" s="101"/>
      <c r="G10" s="101"/>
      <c r="H10" s="101"/>
      <c r="I10" s="68"/>
      <c r="J10" s="68"/>
      <c r="K10" s="102"/>
      <c r="L10" s="101"/>
      <c r="M10" s="105">
        <v>1.2000000000000002E-6</v>
      </c>
      <c r="N10" s="68"/>
      <c r="O10" s="68">
        <v>1</v>
      </c>
      <c r="P10" s="82">
        <v>0</v>
      </c>
    </row>
    <row r="11" spans="1:16" s="118" customFormat="1" x14ac:dyDescent="0.25">
      <c r="A11" s="92" t="s">
        <v>137</v>
      </c>
      <c r="B11" s="130" t="s">
        <v>251</v>
      </c>
      <c r="C11" s="130" t="s">
        <v>251</v>
      </c>
      <c r="D11" s="130" t="s">
        <v>251</v>
      </c>
      <c r="E11" s="130" t="s">
        <v>251</v>
      </c>
      <c r="F11" s="130" t="s">
        <v>251</v>
      </c>
      <c r="G11" s="131" t="s">
        <v>251</v>
      </c>
      <c r="H11" s="131" t="s">
        <v>251</v>
      </c>
      <c r="I11" s="130" t="s">
        <v>251</v>
      </c>
      <c r="J11" s="130" t="s">
        <v>251</v>
      </c>
      <c r="K11" s="132" t="s">
        <v>251</v>
      </c>
      <c r="L11" s="121" t="s">
        <v>251</v>
      </c>
      <c r="M11" s="122">
        <v>0</v>
      </c>
      <c r="N11" s="120" t="s">
        <v>251</v>
      </c>
      <c r="O11" s="120">
        <v>0</v>
      </c>
      <c r="P11" s="120">
        <v>0</v>
      </c>
    </row>
    <row r="12" spans="1:16" s="118" customFormat="1" x14ac:dyDescent="0.25">
      <c r="A12" s="93" t="s">
        <v>1836</v>
      </c>
      <c r="B12" s="130" t="s">
        <v>251</v>
      </c>
      <c r="C12" s="130" t="s">
        <v>251</v>
      </c>
      <c r="D12" s="130" t="s">
        <v>251</v>
      </c>
      <c r="E12" s="130" t="s">
        <v>251</v>
      </c>
      <c r="F12" s="130" t="s">
        <v>251</v>
      </c>
      <c r="G12" s="131" t="s">
        <v>251</v>
      </c>
      <c r="H12" s="131" t="s">
        <v>251</v>
      </c>
      <c r="I12" s="130" t="s">
        <v>251</v>
      </c>
      <c r="J12" s="130" t="s">
        <v>251</v>
      </c>
      <c r="K12" s="134" t="s">
        <v>251</v>
      </c>
      <c r="L12" s="135" t="s">
        <v>251</v>
      </c>
      <c r="M12" s="123">
        <v>0</v>
      </c>
      <c r="N12" s="136"/>
      <c r="O12" s="136">
        <v>0</v>
      </c>
      <c r="P12" s="136">
        <v>0</v>
      </c>
    </row>
    <row r="13" spans="1:16" s="118" customFormat="1" x14ac:dyDescent="0.25">
      <c r="A13" s="93" t="s">
        <v>1837</v>
      </c>
      <c r="B13" s="130" t="s">
        <v>251</v>
      </c>
      <c r="C13" s="130" t="s">
        <v>251</v>
      </c>
      <c r="D13" s="130" t="s">
        <v>251</v>
      </c>
      <c r="E13" s="130" t="s">
        <v>251</v>
      </c>
      <c r="F13" s="130" t="s">
        <v>251</v>
      </c>
      <c r="G13" s="131" t="s">
        <v>251</v>
      </c>
      <c r="H13" s="131" t="s">
        <v>251</v>
      </c>
      <c r="I13" s="130" t="s">
        <v>251</v>
      </c>
      <c r="J13" s="130" t="s">
        <v>251</v>
      </c>
      <c r="K13" s="134" t="s">
        <v>251</v>
      </c>
      <c r="L13" s="135" t="s">
        <v>251</v>
      </c>
      <c r="M13" s="123">
        <v>0</v>
      </c>
      <c r="N13" s="136"/>
      <c r="O13" s="136">
        <v>0</v>
      </c>
      <c r="P13" s="136">
        <v>0</v>
      </c>
    </row>
    <row r="14" spans="1:16" s="118" customFormat="1" x14ac:dyDescent="0.25">
      <c r="A14" s="93" t="s">
        <v>1838</v>
      </c>
      <c r="B14" s="130" t="s">
        <v>251</v>
      </c>
      <c r="C14" s="130" t="s">
        <v>251</v>
      </c>
      <c r="D14" s="130" t="s">
        <v>251</v>
      </c>
      <c r="E14" s="130" t="s">
        <v>251</v>
      </c>
      <c r="F14" s="130" t="s">
        <v>251</v>
      </c>
      <c r="G14" s="131" t="s">
        <v>251</v>
      </c>
      <c r="H14" s="131" t="s">
        <v>251</v>
      </c>
      <c r="I14" s="130" t="s">
        <v>251</v>
      </c>
      <c r="J14" s="130" t="s">
        <v>251</v>
      </c>
      <c r="K14" s="134" t="s">
        <v>251</v>
      </c>
      <c r="L14" s="135" t="s">
        <v>251</v>
      </c>
      <c r="M14" s="123">
        <v>0</v>
      </c>
      <c r="N14" s="136"/>
      <c r="O14" s="136">
        <v>0</v>
      </c>
      <c r="P14" s="136">
        <v>0</v>
      </c>
    </row>
    <row r="15" spans="1:16" s="118" customFormat="1" x14ac:dyDescent="0.25">
      <c r="A15" s="93" t="s">
        <v>1839</v>
      </c>
      <c r="B15" s="130" t="s">
        <v>251</v>
      </c>
      <c r="C15" s="130" t="s">
        <v>251</v>
      </c>
      <c r="D15" s="130" t="s">
        <v>251</v>
      </c>
      <c r="E15" s="130" t="s">
        <v>251</v>
      </c>
      <c r="F15" s="130" t="s">
        <v>251</v>
      </c>
      <c r="G15" s="131" t="s">
        <v>251</v>
      </c>
      <c r="H15" s="131" t="s">
        <v>251</v>
      </c>
      <c r="I15" s="130" t="s">
        <v>251</v>
      </c>
      <c r="J15" s="130" t="s">
        <v>251</v>
      </c>
      <c r="K15" s="134" t="s">
        <v>251</v>
      </c>
      <c r="L15" s="135" t="s">
        <v>251</v>
      </c>
      <c r="M15" s="123">
        <v>0</v>
      </c>
      <c r="N15" s="136"/>
      <c r="O15" s="136">
        <v>0</v>
      </c>
      <c r="P15" s="136">
        <v>0</v>
      </c>
    </row>
    <row r="16" spans="1:16" s="118" customFormat="1" x14ac:dyDescent="0.25">
      <c r="A16" s="93" t="s">
        <v>1840</v>
      </c>
      <c r="B16" s="130" t="s">
        <v>251</v>
      </c>
      <c r="C16" s="130" t="s">
        <v>251</v>
      </c>
      <c r="D16" s="130" t="s">
        <v>251</v>
      </c>
      <c r="E16" s="130" t="s">
        <v>251</v>
      </c>
      <c r="F16" s="130" t="s">
        <v>251</v>
      </c>
      <c r="G16" s="131" t="s">
        <v>251</v>
      </c>
      <c r="H16" s="131" t="s">
        <v>251</v>
      </c>
      <c r="I16" s="130" t="s">
        <v>251</v>
      </c>
      <c r="J16" s="130" t="s">
        <v>251</v>
      </c>
      <c r="K16" s="134" t="s">
        <v>251</v>
      </c>
      <c r="L16" s="135" t="s">
        <v>251</v>
      </c>
      <c r="M16" s="123">
        <v>0</v>
      </c>
      <c r="N16" s="136"/>
      <c r="O16" s="136">
        <v>0</v>
      </c>
      <c r="P16" s="136">
        <v>0</v>
      </c>
    </row>
    <row r="17" spans="1:16" s="118" customFormat="1" x14ac:dyDescent="0.25">
      <c r="A17" s="93" t="s">
        <v>1841</v>
      </c>
      <c r="B17" s="130" t="s">
        <v>251</v>
      </c>
      <c r="C17" s="130" t="s">
        <v>251</v>
      </c>
      <c r="D17" s="130" t="s">
        <v>251</v>
      </c>
      <c r="E17" s="130" t="s">
        <v>251</v>
      </c>
      <c r="F17" s="130" t="s">
        <v>251</v>
      </c>
      <c r="G17" s="131" t="s">
        <v>251</v>
      </c>
      <c r="H17" s="131" t="s">
        <v>251</v>
      </c>
      <c r="I17" s="130" t="s">
        <v>251</v>
      </c>
      <c r="J17" s="130" t="s">
        <v>251</v>
      </c>
      <c r="K17" s="134" t="s">
        <v>251</v>
      </c>
      <c r="L17" s="135" t="s">
        <v>251</v>
      </c>
      <c r="M17" s="123">
        <v>0</v>
      </c>
      <c r="N17" s="136"/>
      <c r="O17" s="136">
        <v>0</v>
      </c>
      <c r="P17" s="136">
        <v>0</v>
      </c>
    </row>
    <row r="18" spans="1:16" s="118" customFormat="1" x14ac:dyDescent="0.25">
      <c r="A18" s="93" t="s">
        <v>1842</v>
      </c>
      <c r="B18" s="130" t="s">
        <v>251</v>
      </c>
      <c r="C18" s="130" t="s">
        <v>251</v>
      </c>
      <c r="D18" s="130" t="s">
        <v>251</v>
      </c>
      <c r="E18" s="130" t="s">
        <v>251</v>
      </c>
      <c r="F18" s="130" t="s">
        <v>251</v>
      </c>
      <c r="G18" s="131" t="s">
        <v>251</v>
      </c>
      <c r="H18" s="131" t="s">
        <v>251</v>
      </c>
      <c r="I18" s="130" t="s">
        <v>251</v>
      </c>
      <c r="J18" s="130" t="s">
        <v>251</v>
      </c>
      <c r="K18" s="134" t="s">
        <v>251</v>
      </c>
      <c r="L18" s="135" t="s">
        <v>251</v>
      </c>
      <c r="M18" s="123">
        <v>0</v>
      </c>
      <c r="N18" s="136"/>
      <c r="O18" s="136">
        <v>0</v>
      </c>
      <c r="P18" s="136">
        <v>0</v>
      </c>
    </row>
    <row r="19" spans="1:16" s="118" customFormat="1" x14ac:dyDescent="0.25">
      <c r="A19" s="93" t="s">
        <v>488</v>
      </c>
      <c r="B19" s="130" t="s">
        <v>251</v>
      </c>
      <c r="C19" s="130" t="s">
        <v>251</v>
      </c>
      <c r="D19" s="130" t="s">
        <v>251</v>
      </c>
      <c r="E19" s="130" t="s">
        <v>251</v>
      </c>
      <c r="F19" s="130" t="s">
        <v>251</v>
      </c>
      <c r="G19" s="131" t="s">
        <v>251</v>
      </c>
      <c r="H19" s="131" t="s">
        <v>251</v>
      </c>
      <c r="I19" s="130" t="s">
        <v>251</v>
      </c>
      <c r="J19" s="130" t="s">
        <v>251</v>
      </c>
      <c r="K19" s="134" t="s">
        <v>251</v>
      </c>
      <c r="L19" s="135" t="s">
        <v>251</v>
      </c>
      <c r="M19" s="123">
        <v>0</v>
      </c>
      <c r="N19" s="136"/>
      <c r="O19" s="136">
        <v>0</v>
      </c>
      <c r="P19" s="136">
        <v>0</v>
      </c>
    </row>
    <row r="20" spans="1:16" s="118" customFormat="1" x14ac:dyDescent="0.25">
      <c r="A20" s="93" t="s">
        <v>1843</v>
      </c>
      <c r="B20" s="130" t="s">
        <v>251</v>
      </c>
      <c r="C20" s="130" t="s">
        <v>251</v>
      </c>
      <c r="D20" s="130" t="s">
        <v>251</v>
      </c>
      <c r="E20" s="130" t="s">
        <v>251</v>
      </c>
      <c r="F20" s="130" t="s">
        <v>251</v>
      </c>
      <c r="G20" s="131" t="s">
        <v>251</v>
      </c>
      <c r="H20" s="131" t="s">
        <v>251</v>
      </c>
      <c r="I20" s="130" t="s">
        <v>251</v>
      </c>
      <c r="J20" s="130" t="s">
        <v>251</v>
      </c>
      <c r="K20" s="134" t="s">
        <v>251</v>
      </c>
      <c r="L20" s="135" t="s">
        <v>251</v>
      </c>
      <c r="M20" s="123">
        <v>0</v>
      </c>
      <c r="N20" s="136"/>
      <c r="O20" s="136">
        <v>0</v>
      </c>
      <c r="P20" s="136">
        <v>0</v>
      </c>
    </row>
    <row r="21" spans="1:16" s="118" customFormat="1" x14ac:dyDescent="0.25">
      <c r="A21" s="93" t="s">
        <v>1844</v>
      </c>
      <c r="B21" s="130" t="s">
        <v>251</v>
      </c>
      <c r="C21" s="130" t="s">
        <v>251</v>
      </c>
      <c r="D21" s="130" t="s">
        <v>251</v>
      </c>
      <c r="E21" s="130" t="s">
        <v>251</v>
      </c>
      <c r="F21" s="130" t="s">
        <v>251</v>
      </c>
      <c r="G21" s="131" t="s">
        <v>251</v>
      </c>
      <c r="H21" s="131" t="s">
        <v>251</v>
      </c>
      <c r="I21" s="130" t="s">
        <v>251</v>
      </c>
      <c r="J21" s="130" t="s">
        <v>251</v>
      </c>
      <c r="K21" s="134" t="s">
        <v>251</v>
      </c>
      <c r="L21" s="135" t="s">
        <v>251</v>
      </c>
      <c r="M21" s="123">
        <v>0</v>
      </c>
      <c r="N21" s="136"/>
      <c r="O21" s="136">
        <v>0</v>
      </c>
      <c r="P21" s="136">
        <v>0</v>
      </c>
    </row>
    <row r="22" spans="1:16" s="118" customFormat="1" x14ac:dyDescent="0.25">
      <c r="A22" s="93" t="s">
        <v>1845</v>
      </c>
      <c r="B22" s="130" t="s">
        <v>251</v>
      </c>
      <c r="C22" s="130" t="s">
        <v>251</v>
      </c>
      <c r="D22" s="130" t="s">
        <v>251</v>
      </c>
      <c r="E22" s="130" t="s">
        <v>251</v>
      </c>
      <c r="F22" s="130" t="s">
        <v>251</v>
      </c>
      <c r="G22" s="131" t="s">
        <v>251</v>
      </c>
      <c r="H22" s="131" t="s">
        <v>251</v>
      </c>
      <c r="I22" s="130" t="s">
        <v>251</v>
      </c>
      <c r="J22" s="130" t="s">
        <v>251</v>
      </c>
      <c r="K22" s="134" t="s">
        <v>251</v>
      </c>
      <c r="L22" s="135" t="s">
        <v>251</v>
      </c>
      <c r="M22" s="123">
        <v>0</v>
      </c>
      <c r="N22" s="136"/>
      <c r="O22" s="136">
        <v>0</v>
      </c>
      <c r="P22" s="136">
        <v>0</v>
      </c>
    </row>
    <row r="23" spans="1:16" s="118" customFormat="1" x14ac:dyDescent="0.25">
      <c r="A23" s="93" t="s">
        <v>1839</v>
      </c>
      <c r="B23" s="130" t="s">
        <v>251</v>
      </c>
      <c r="C23" s="130" t="s">
        <v>251</v>
      </c>
      <c r="D23" s="130" t="s">
        <v>251</v>
      </c>
      <c r="E23" s="130" t="s">
        <v>251</v>
      </c>
      <c r="F23" s="130" t="s">
        <v>251</v>
      </c>
      <c r="G23" s="131" t="s">
        <v>251</v>
      </c>
      <c r="H23" s="131" t="s">
        <v>251</v>
      </c>
      <c r="I23" s="130" t="s">
        <v>251</v>
      </c>
      <c r="J23" s="130" t="s">
        <v>251</v>
      </c>
      <c r="K23" s="134" t="s">
        <v>251</v>
      </c>
      <c r="L23" s="135" t="s">
        <v>251</v>
      </c>
      <c r="M23" s="123">
        <v>0</v>
      </c>
      <c r="N23" s="136"/>
      <c r="O23" s="136">
        <v>0</v>
      </c>
      <c r="P23" s="136">
        <v>0</v>
      </c>
    </row>
    <row r="24" spans="1:16" s="118" customFormat="1" x14ac:dyDescent="0.25">
      <c r="A24" s="93" t="s">
        <v>1840</v>
      </c>
      <c r="B24" s="130" t="s">
        <v>251</v>
      </c>
      <c r="C24" s="130" t="s">
        <v>251</v>
      </c>
      <c r="D24" s="130" t="s">
        <v>251</v>
      </c>
      <c r="E24" s="130" t="s">
        <v>251</v>
      </c>
      <c r="F24" s="130" t="s">
        <v>251</v>
      </c>
      <c r="G24" s="131" t="s">
        <v>251</v>
      </c>
      <c r="H24" s="131" t="s">
        <v>251</v>
      </c>
      <c r="I24" s="130" t="s">
        <v>251</v>
      </c>
      <c r="J24" s="130" t="s">
        <v>251</v>
      </c>
      <c r="K24" s="134" t="s">
        <v>251</v>
      </c>
      <c r="L24" s="135" t="s">
        <v>251</v>
      </c>
      <c r="M24" s="123">
        <v>0</v>
      </c>
      <c r="N24" s="136"/>
      <c r="O24" s="136">
        <v>0</v>
      </c>
      <c r="P24" s="136">
        <v>0</v>
      </c>
    </row>
    <row r="25" spans="1:16" s="118" customFormat="1" x14ac:dyDescent="0.25">
      <c r="A25" s="93" t="s">
        <v>1841</v>
      </c>
      <c r="B25" s="130" t="s">
        <v>251</v>
      </c>
      <c r="C25" s="130" t="s">
        <v>251</v>
      </c>
      <c r="D25" s="130" t="s">
        <v>251</v>
      </c>
      <c r="E25" s="130" t="s">
        <v>251</v>
      </c>
      <c r="F25" s="130" t="s">
        <v>251</v>
      </c>
      <c r="G25" s="131" t="s">
        <v>251</v>
      </c>
      <c r="H25" s="131" t="s">
        <v>251</v>
      </c>
      <c r="I25" s="130" t="s">
        <v>251</v>
      </c>
      <c r="J25" s="130" t="s">
        <v>251</v>
      </c>
      <c r="K25" s="134" t="s">
        <v>251</v>
      </c>
      <c r="L25" s="135" t="s">
        <v>251</v>
      </c>
      <c r="M25" s="123">
        <v>0</v>
      </c>
      <c r="N25" s="136"/>
      <c r="O25" s="136">
        <v>0</v>
      </c>
      <c r="P25" s="136">
        <v>0</v>
      </c>
    </row>
    <row r="26" spans="1:16" s="118" customFormat="1" x14ac:dyDescent="0.25">
      <c r="A26" s="93" t="s">
        <v>1842</v>
      </c>
      <c r="B26" s="130" t="s">
        <v>251</v>
      </c>
      <c r="C26" s="130" t="s">
        <v>251</v>
      </c>
      <c r="D26" s="130" t="s">
        <v>251</v>
      </c>
      <c r="E26" s="130" t="s">
        <v>251</v>
      </c>
      <c r="F26" s="130" t="s">
        <v>251</v>
      </c>
      <c r="G26" s="131" t="s">
        <v>251</v>
      </c>
      <c r="H26" s="131" t="s">
        <v>251</v>
      </c>
      <c r="I26" s="130" t="s">
        <v>251</v>
      </c>
      <c r="J26" s="130" t="s">
        <v>251</v>
      </c>
      <c r="K26" s="134" t="s">
        <v>251</v>
      </c>
      <c r="L26" s="135" t="s">
        <v>251</v>
      </c>
      <c r="M26" s="123">
        <v>0</v>
      </c>
      <c r="N26" s="136"/>
      <c r="O26" s="136">
        <v>0</v>
      </c>
      <c r="P26" s="136">
        <v>0</v>
      </c>
    </row>
    <row r="27" spans="1:16" s="118" customFormat="1" x14ac:dyDescent="0.25">
      <c r="A27" s="79" t="s">
        <v>242</v>
      </c>
      <c r="B27" s="124"/>
      <c r="C27" s="79"/>
      <c r="D27" s="125"/>
      <c r="E27" s="125"/>
      <c r="F27" s="125"/>
      <c r="G27" s="126"/>
      <c r="H27" s="127"/>
      <c r="I27" s="128"/>
      <c r="J27" s="128"/>
      <c r="K27" s="128"/>
      <c r="L27" s="127"/>
      <c r="M27" s="127"/>
      <c r="N27" s="137"/>
      <c r="O27" s="137"/>
      <c r="P27" s="137"/>
    </row>
    <row r="28" spans="1:16" s="118" customFormat="1" x14ac:dyDescent="0.25">
      <c r="A28" s="79" t="s">
        <v>243</v>
      </c>
      <c r="B28" s="124"/>
      <c r="C28" s="79"/>
      <c r="D28" s="125"/>
      <c r="E28" s="125"/>
      <c r="F28" s="125"/>
      <c r="G28" s="126"/>
      <c r="H28" s="127"/>
      <c r="I28" s="128"/>
      <c r="J28" s="128"/>
      <c r="K28" s="128"/>
      <c r="L28" s="127"/>
      <c r="M28" s="127"/>
      <c r="N28" s="137"/>
      <c r="O28" s="137"/>
      <c r="P28" s="137"/>
    </row>
    <row r="29" spans="1:16" s="118" customFormat="1" x14ac:dyDescent="0.25">
      <c r="A29" s="79" t="s">
        <v>244</v>
      </c>
      <c r="B29" s="124"/>
      <c r="C29" s="79"/>
      <c r="D29" s="125"/>
      <c r="E29" s="125"/>
      <c r="F29" s="125"/>
      <c r="G29" s="126"/>
      <c r="H29" s="127"/>
      <c r="I29" s="128"/>
      <c r="J29" s="128"/>
      <c r="K29" s="128"/>
      <c r="L29" s="127"/>
      <c r="M29" s="127"/>
      <c r="N29" s="137"/>
      <c r="O29" s="137"/>
      <c r="P29" s="137"/>
    </row>
    <row r="30" spans="1:16" s="118" customFormat="1" x14ac:dyDescent="0.25">
      <c r="A30" s="79" t="s">
        <v>245</v>
      </c>
      <c r="B30" s="124"/>
      <c r="C30" s="79"/>
      <c r="D30" s="125"/>
      <c r="E30" s="125"/>
      <c r="F30" s="125"/>
      <c r="G30" s="126"/>
      <c r="H30" s="127"/>
      <c r="I30" s="128"/>
      <c r="J30" s="128"/>
      <c r="K30" s="128"/>
      <c r="L30" s="127"/>
      <c r="M30" s="127"/>
      <c r="N30" s="137"/>
      <c r="O30" s="137"/>
      <c r="P30" s="137"/>
    </row>
    <row r="31" spans="1:16" s="118" customFormat="1" x14ac:dyDescent="0.25">
      <c r="A31" s="79" t="s">
        <v>246</v>
      </c>
      <c r="B31" s="124"/>
      <c r="C31" s="79"/>
      <c r="D31" s="125"/>
      <c r="E31" s="125"/>
      <c r="F31" s="125"/>
      <c r="G31" s="126"/>
      <c r="H31" s="127"/>
      <c r="I31" s="128"/>
      <c r="J31" s="128"/>
      <c r="K31" s="128"/>
      <c r="L31" s="127"/>
      <c r="M31" s="127"/>
      <c r="N31" s="137"/>
      <c r="O31" s="137"/>
      <c r="P31" s="137"/>
    </row>
  </sheetData>
  <mergeCells count="2">
    <mergeCell ref="A6:P6"/>
    <mergeCell ref="A5:P5"/>
  </mergeCells>
  <phoneticPr fontId="3" type="noConversion"/>
  <conditionalFormatting sqref="A11:A26 M11:M26">
    <cfRule type="expression" dxfId="77" priority="235" stopIfTrue="1">
      <formula>#REF!&gt;0</formula>
    </cfRule>
  </conditionalFormatting>
  <conditionalFormatting sqref="B11:J26">
    <cfRule type="expression" dxfId="76" priority="237" stopIfTrue="1">
      <formula>LEFT(#REF!,3)="TIR"</formula>
    </cfRule>
  </conditionalFormatting>
  <conditionalFormatting sqref="O11:P26">
    <cfRule type="expression" dxfId="75" priority="2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O24"/>
  <sheetViews>
    <sheetView rightToLeft="1" zoomScale="80" workbookViewId="0"/>
  </sheetViews>
  <sheetFormatPr defaultColWidth="9.109375" defaultRowHeight="13.2" x14ac:dyDescent="0.25"/>
  <cols>
    <col min="1" max="1" width="43" style="10" bestFit="1" customWidth="1"/>
    <col min="2" max="2" width="13.5546875" style="9" bestFit="1" customWidth="1"/>
    <col min="3" max="3" width="7.5546875" style="10" customWidth="1"/>
    <col min="4" max="4" width="11.109375" style="11" customWidth="1"/>
    <col min="5" max="5" width="14.109375" style="11" customWidth="1"/>
    <col min="6" max="6" width="7.88671875" style="11" customWidth="1"/>
    <col min="7" max="7" width="11.33203125" style="12" customWidth="1"/>
    <col min="8" max="8" width="12.5546875" style="13" customWidth="1"/>
    <col min="9" max="9" width="14.109375" style="20" customWidth="1"/>
    <col min="10" max="10" width="10.5546875" style="20" customWidth="1"/>
    <col min="11" max="11" width="7" style="20" customWidth="1"/>
    <col min="12" max="12" width="10.44140625" style="13" customWidth="1"/>
    <col min="13" max="13" width="22" style="13" customWidth="1"/>
    <col min="14" max="14" width="25.44140625" style="13" customWidth="1"/>
    <col min="15" max="15" width="20.6640625" style="15" customWidth="1"/>
    <col min="16" max="16" width="15.44140625" style="15" customWidth="1"/>
    <col min="17" max="16384" width="9.109375" style="15"/>
  </cols>
  <sheetData>
    <row r="1" spans="1:15" s="7" customFormat="1" x14ac:dyDescent="0.25">
      <c r="A1" s="7" t="s">
        <v>237</v>
      </c>
      <c r="B1" s="9" t="s">
        <v>247</v>
      </c>
      <c r="C1" s="10"/>
      <c r="D1" s="11"/>
      <c r="E1" s="11"/>
      <c r="F1" s="11"/>
      <c r="G1" s="12"/>
      <c r="H1" s="13"/>
      <c r="I1" s="14"/>
      <c r="J1" s="14"/>
      <c r="K1" s="14"/>
      <c r="L1" s="13"/>
      <c r="M1" s="13"/>
      <c r="N1" s="13"/>
      <c r="O1" s="15"/>
    </row>
    <row r="2" spans="1:15" s="7" customFormat="1" x14ac:dyDescent="0.25">
      <c r="A2" s="10" t="s">
        <v>238</v>
      </c>
      <c r="B2" s="9" t="s">
        <v>150</v>
      </c>
      <c r="C2" s="10"/>
      <c r="D2" s="11"/>
      <c r="E2" s="11"/>
      <c r="F2" s="11"/>
      <c r="G2" s="12"/>
      <c r="H2" s="13"/>
      <c r="I2" s="14"/>
      <c r="J2" s="14"/>
      <c r="K2" s="14"/>
      <c r="L2" s="13"/>
      <c r="M2" s="13"/>
      <c r="N2" s="13"/>
      <c r="O2" s="15"/>
    </row>
    <row r="3" spans="1:15" s="7" customFormat="1" x14ac:dyDescent="0.25">
      <c r="A3" s="10" t="s">
        <v>239</v>
      </c>
      <c r="B3" s="9" t="s">
        <v>240</v>
      </c>
      <c r="C3" s="10"/>
      <c r="D3" s="11"/>
      <c r="E3" s="11"/>
      <c r="F3" s="11"/>
      <c r="G3" s="12"/>
      <c r="H3" s="13"/>
      <c r="I3" s="14"/>
      <c r="J3" s="14"/>
      <c r="K3" s="14"/>
      <c r="L3" s="13"/>
      <c r="M3" s="13"/>
      <c r="N3" s="13"/>
      <c r="O3" s="15"/>
    </row>
    <row r="4" spans="1:15" s="7" customFormat="1" ht="13.8" thickBot="1" x14ac:dyDescent="0.3">
      <c r="A4" s="10" t="s">
        <v>241</v>
      </c>
      <c r="B4" s="9" t="s">
        <v>249</v>
      </c>
      <c r="C4" s="10"/>
      <c r="D4" s="11"/>
      <c r="E4" s="11"/>
      <c r="F4" s="11"/>
      <c r="G4" s="12"/>
      <c r="H4" s="13"/>
      <c r="I4" s="14"/>
      <c r="J4" s="14"/>
      <c r="K4" s="14"/>
      <c r="L4" s="13"/>
      <c r="M4" s="13"/>
      <c r="N4" s="13"/>
      <c r="O4" s="15"/>
    </row>
    <row r="5" spans="1:15" s="7" customFormat="1" ht="13.8" thickBot="1" x14ac:dyDescent="0.3">
      <c r="A5" s="220" t="s">
        <v>28</v>
      </c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2"/>
    </row>
    <row r="6" spans="1:15" s="7" customFormat="1" x14ac:dyDescent="0.25">
      <c r="A6" s="223" t="s">
        <v>12</v>
      </c>
      <c r="B6" s="224"/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5"/>
    </row>
    <row r="7" spans="1:15" s="7" customFormat="1" ht="31.5" customHeight="1" x14ac:dyDescent="0.25">
      <c r="A7" s="87" t="s">
        <v>157</v>
      </c>
      <c r="B7" s="203" t="s">
        <v>69</v>
      </c>
      <c r="C7" s="203" t="s">
        <v>70</v>
      </c>
      <c r="D7" s="203" t="s">
        <v>5</v>
      </c>
      <c r="E7" s="203" t="s">
        <v>13</v>
      </c>
      <c r="F7" s="203" t="s">
        <v>14</v>
      </c>
      <c r="G7" s="203" t="s">
        <v>6</v>
      </c>
      <c r="H7" s="204" t="s">
        <v>66</v>
      </c>
      <c r="I7" s="204" t="s">
        <v>71</v>
      </c>
      <c r="J7" s="204" t="s">
        <v>67</v>
      </c>
      <c r="K7" s="204" t="s">
        <v>68</v>
      </c>
      <c r="L7" s="204" t="s">
        <v>29</v>
      </c>
      <c r="M7" s="90" t="s">
        <v>17</v>
      </c>
      <c r="N7" s="90" t="s">
        <v>75</v>
      </c>
      <c r="O7" s="91" t="s">
        <v>8</v>
      </c>
    </row>
    <row r="8" spans="1:15" s="7" customFormat="1" x14ac:dyDescent="0.25">
      <c r="A8" s="27"/>
      <c r="B8" s="3"/>
      <c r="C8" s="3"/>
      <c r="D8" s="28"/>
      <c r="E8" s="29" t="s">
        <v>15</v>
      </c>
      <c r="F8" s="29" t="s">
        <v>16</v>
      </c>
      <c r="G8" s="30"/>
      <c r="H8" s="2" t="s">
        <v>9</v>
      </c>
      <c r="I8" s="2" t="s">
        <v>9</v>
      </c>
      <c r="J8" s="2" t="s">
        <v>133</v>
      </c>
      <c r="K8" s="2"/>
      <c r="L8" s="2" t="s">
        <v>135</v>
      </c>
      <c r="M8" s="31" t="s">
        <v>9</v>
      </c>
      <c r="N8" s="31" t="s">
        <v>9</v>
      </c>
      <c r="O8" s="6" t="s">
        <v>9</v>
      </c>
    </row>
    <row r="9" spans="1:15" s="16" customFormat="1" ht="12.75" customHeight="1" x14ac:dyDescent="0.25">
      <c r="A9" s="21"/>
      <c r="B9" s="22">
        <v>1</v>
      </c>
      <c r="C9" s="22">
        <v>2</v>
      </c>
      <c r="D9" s="22">
        <v>3</v>
      </c>
      <c r="E9" s="22">
        <v>4</v>
      </c>
      <c r="F9" s="22">
        <v>5</v>
      </c>
      <c r="G9" s="22">
        <v>6</v>
      </c>
      <c r="H9" s="22">
        <v>7</v>
      </c>
      <c r="I9" s="22">
        <v>8</v>
      </c>
      <c r="J9" s="22">
        <v>9</v>
      </c>
      <c r="K9" s="22">
        <v>10</v>
      </c>
      <c r="L9" s="22">
        <v>11</v>
      </c>
      <c r="M9" s="22">
        <v>12</v>
      </c>
      <c r="N9" s="22">
        <v>13</v>
      </c>
      <c r="O9" s="23">
        <v>14</v>
      </c>
    </row>
    <row r="10" spans="1:15" s="118" customFormat="1" ht="12.75" customHeight="1" thickBot="1" x14ac:dyDescent="0.3">
      <c r="A10" s="73" t="s">
        <v>52</v>
      </c>
      <c r="B10" s="119" t="s">
        <v>251</v>
      </c>
      <c r="C10" s="119"/>
      <c r="D10" s="119"/>
      <c r="E10" s="119" t="s">
        <v>251</v>
      </c>
      <c r="F10" s="119" t="s">
        <v>251</v>
      </c>
      <c r="G10" s="119" t="s">
        <v>251</v>
      </c>
      <c r="H10" s="119" t="s">
        <v>251</v>
      </c>
      <c r="I10" s="119" t="s">
        <v>251</v>
      </c>
      <c r="J10" s="155" t="s">
        <v>251</v>
      </c>
      <c r="K10" s="119" t="s">
        <v>251</v>
      </c>
      <c r="L10" s="81">
        <v>6.9999999999999997E-7</v>
      </c>
      <c r="M10" s="119" t="s">
        <v>251</v>
      </c>
      <c r="N10" s="106">
        <v>1</v>
      </c>
      <c r="O10" s="59">
        <v>0</v>
      </c>
    </row>
    <row r="11" spans="1:15" s="118" customFormat="1" x14ac:dyDescent="0.25">
      <c r="A11" s="92" t="s">
        <v>137</v>
      </c>
      <c r="B11" s="120" t="s">
        <v>251</v>
      </c>
      <c r="C11" s="142" t="s">
        <v>251</v>
      </c>
      <c r="D11" s="142" t="s">
        <v>251</v>
      </c>
      <c r="E11" s="142" t="s">
        <v>251</v>
      </c>
      <c r="F11" s="142" t="s">
        <v>251</v>
      </c>
      <c r="G11" s="142" t="s">
        <v>251</v>
      </c>
      <c r="H11" s="156" t="s">
        <v>251</v>
      </c>
      <c r="I11" s="156" t="s">
        <v>251</v>
      </c>
      <c r="J11" s="141" t="s">
        <v>251</v>
      </c>
      <c r="K11" s="142" t="s">
        <v>251</v>
      </c>
      <c r="L11" s="122">
        <v>0</v>
      </c>
      <c r="M11" s="156" t="s">
        <v>251</v>
      </c>
      <c r="N11" s="120">
        <v>0</v>
      </c>
      <c r="O11" s="120">
        <v>0</v>
      </c>
    </row>
    <row r="12" spans="1:15" s="118" customFormat="1" x14ac:dyDescent="0.25">
      <c r="A12" s="93" t="s">
        <v>1846</v>
      </c>
      <c r="B12" s="120" t="s">
        <v>251</v>
      </c>
      <c r="C12" s="144" t="s">
        <v>251</v>
      </c>
      <c r="D12" s="144" t="s">
        <v>251</v>
      </c>
      <c r="E12" s="144" t="s">
        <v>251</v>
      </c>
      <c r="F12" s="144" t="s">
        <v>251</v>
      </c>
      <c r="G12" s="144" t="s">
        <v>251</v>
      </c>
      <c r="H12" s="157" t="s">
        <v>251</v>
      </c>
      <c r="I12" s="157" t="s">
        <v>251</v>
      </c>
      <c r="J12" s="143" t="s">
        <v>251</v>
      </c>
      <c r="K12" s="144" t="s">
        <v>251</v>
      </c>
      <c r="L12" s="123">
        <v>0</v>
      </c>
      <c r="M12" s="157"/>
      <c r="N12" s="136">
        <v>0</v>
      </c>
      <c r="O12" s="136">
        <v>0</v>
      </c>
    </row>
    <row r="13" spans="1:15" s="118" customFormat="1" x14ac:dyDescent="0.25">
      <c r="A13" s="93" t="s">
        <v>1847</v>
      </c>
      <c r="B13" s="120" t="s">
        <v>251</v>
      </c>
      <c r="C13" s="144" t="s">
        <v>251</v>
      </c>
      <c r="D13" s="144" t="s">
        <v>251</v>
      </c>
      <c r="E13" s="144" t="s">
        <v>251</v>
      </c>
      <c r="F13" s="144" t="s">
        <v>251</v>
      </c>
      <c r="G13" s="144" t="s">
        <v>251</v>
      </c>
      <c r="H13" s="157" t="s">
        <v>251</v>
      </c>
      <c r="I13" s="157" t="s">
        <v>251</v>
      </c>
      <c r="J13" s="143" t="s">
        <v>251</v>
      </c>
      <c r="K13" s="144" t="s">
        <v>251</v>
      </c>
      <c r="L13" s="123">
        <v>0</v>
      </c>
      <c r="M13" s="157"/>
      <c r="N13" s="136">
        <v>0</v>
      </c>
      <c r="O13" s="136">
        <v>0</v>
      </c>
    </row>
    <row r="14" spans="1:15" s="118" customFormat="1" x14ac:dyDescent="0.25">
      <c r="A14" s="93" t="s">
        <v>1848</v>
      </c>
      <c r="B14" s="120" t="s">
        <v>251</v>
      </c>
      <c r="C14" s="144" t="s">
        <v>251</v>
      </c>
      <c r="D14" s="144" t="s">
        <v>251</v>
      </c>
      <c r="E14" s="144" t="s">
        <v>251</v>
      </c>
      <c r="F14" s="144" t="s">
        <v>251</v>
      </c>
      <c r="G14" s="144" t="s">
        <v>251</v>
      </c>
      <c r="H14" s="157" t="s">
        <v>251</v>
      </c>
      <c r="I14" s="157" t="s">
        <v>251</v>
      </c>
      <c r="J14" s="143" t="s">
        <v>251</v>
      </c>
      <c r="K14" s="144" t="s">
        <v>251</v>
      </c>
      <c r="L14" s="123">
        <v>0</v>
      </c>
      <c r="M14" s="157"/>
      <c r="N14" s="136">
        <v>0</v>
      </c>
      <c r="O14" s="136">
        <v>0</v>
      </c>
    </row>
    <row r="15" spans="1:15" s="118" customFormat="1" x14ac:dyDescent="0.25">
      <c r="A15" s="93" t="s">
        <v>1849</v>
      </c>
      <c r="B15" s="120" t="s">
        <v>251</v>
      </c>
      <c r="C15" s="144" t="s">
        <v>251</v>
      </c>
      <c r="D15" s="144" t="s">
        <v>251</v>
      </c>
      <c r="E15" s="144" t="s">
        <v>251</v>
      </c>
      <c r="F15" s="144" t="s">
        <v>251</v>
      </c>
      <c r="G15" s="144" t="s">
        <v>251</v>
      </c>
      <c r="H15" s="157" t="s">
        <v>251</v>
      </c>
      <c r="I15" s="157" t="s">
        <v>251</v>
      </c>
      <c r="J15" s="143" t="s">
        <v>251</v>
      </c>
      <c r="K15" s="144" t="s">
        <v>251</v>
      </c>
      <c r="L15" s="123">
        <v>0</v>
      </c>
      <c r="M15" s="157"/>
      <c r="N15" s="136">
        <v>0</v>
      </c>
      <c r="O15" s="136">
        <v>0</v>
      </c>
    </row>
    <row r="16" spans="1:15" s="118" customFormat="1" x14ac:dyDescent="0.25">
      <c r="A16" s="93" t="s">
        <v>218</v>
      </c>
      <c r="B16" s="120" t="s">
        <v>251</v>
      </c>
      <c r="C16" s="144" t="s">
        <v>251</v>
      </c>
      <c r="D16" s="144" t="s">
        <v>251</v>
      </c>
      <c r="E16" s="144" t="s">
        <v>251</v>
      </c>
      <c r="F16" s="144" t="s">
        <v>251</v>
      </c>
      <c r="G16" s="144" t="s">
        <v>251</v>
      </c>
      <c r="H16" s="157" t="s">
        <v>251</v>
      </c>
      <c r="I16" s="157" t="s">
        <v>251</v>
      </c>
      <c r="J16" s="143" t="s">
        <v>251</v>
      </c>
      <c r="K16" s="144" t="s">
        <v>251</v>
      </c>
      <c r="L16" s="123">
        <v>0</v>
      </c>
      <c r="M16" s="157"/>
      <c r="N16" s="136">
        <v>0</v>
      </c>
      <c r="O16" s="136">
        <v>0</v>
      </c>
    </row>
    <row r="17" spans="1:15" s="118" customFormat="1" x14ac:dyDescent="0.25">
      <c r="A17" s="93" t="s">
        <v>488</v>
      </c>
      <c r="B17" s="120" t="s">
        <v>251</v>
      </c>
      <c r="C17" s="144" t="s">
        <v>251</v>
      </c>
      <c r="D17" s="144" t="s">
        <v>251</v>
      </c>
      <c r="E17" s="144" t="s">
        <v>251</v>
      </c>
      <c r="F17" s="144" t="s">
        <v>251</v>
      </c>
      <c r="G17" s="144" t="s">
        <v>251</v>
      </c>
      <c r="H17" s="157" t="s">
        <v>251</v>
      </c>
      <c r="I17" s="157" t="s">
        <v>251</v>
      </c>
      <c r="J17" s="143" t="s">
        <v>251</v>
      </c>
      <c r="K17" s="144" t="s">
        <v>251</v>
      </c>
      <c r="L17" s="123">
        <v>0</v>
      </c>
      <c r="M17" s="157"/>
      <c r="N17" s="136">
        <v>0</v>
      </c>
      <c r="O17" s="136">
        <v>0</v>
      </c>
    </row>
    <row r="18" spans="1:15" s="118" customFormat="1" x14ac:dyDescent="0.25">
      <c r="A18" s="93" t="s">
        <v>1850</v>
      </c>
      <c r="B18" s="120" t="s">
        <v>251</v>
      </c>
      <c r="C18" s="144" t="s">
        <v>251</v>
      </c>
      <c r="D18" s="144" t="s">
        <v>251</v>
      </c>
      <c r="E18" s="144" t="s">
        <v>251</v>
      </c>
      <c r="F18" s="144" t="s">
        <v>251</v>
      </c>
      <c r="G18" s="144" t="s">
        <v>251</v>
      </c>
      <c r="H18" s="157" t="s">
        <v>251</v>
      </c>
      <c r="I18" s="157" t="s">
        <v>251</v>
      </c>
      <c r="J18" s="143" t="s">
        <v>251</v>
      </c>
      <c r="K18" s="144" t="s">
        <v>251</v>
      </c>
      <c r="L18" s="123">
        <v>0</v>
      </c>
      <c r="M18" s="157"/>
      <c r="N18" s="136">
        <v>0</v>
      </c>
      <c r="O18" s="136">
        <v>0</v>
      </c>
    </row>
    <row r="19" spans="1:15" s="118" customFormat="1" x14ac:dyDescent="0.25">
      <c r="A19" s="93" t="s">
        <v>1851</v>
      </c>
      <c r="B19" s="120" t="s">
        <v>251</v>
      </c>
      <c r="C19" s="144" t="s">
        <v>251</v>
      </c>
      <c r="D19" s="144" t="s">
        <v>251</v>
      </c>
      <c r="E19" s="144" t="s">
        <v>251</v>
      </c>
      <c r="F19" s="144" t="s">
        <v>251</v>
      </c>
      <c r="G19" s="144" t="s">
        <v>251</v>
      </c>
      <c r="H19" s="157" t="s">
        <v>251</v>
      </c>
      <c r="I19" s="157" t="s">
        <v>251</v>
      </c>
      <c r="J19" s="143" t="s">
        <v>251</v>
      </c>
      <c r="K19" s="144" t="s">
        <v>251</v>
      </c>
      <c r="L19" s="123">
        <v>0</v>
      </c>
      <c r="M19" s="157"/>
      <c r="N19" s="136">
        <v>0</v>
      </c>
      <c r="O19" s="136">
        <v>0</v>
      </c>
    </row>
    <row r="20" spans="1:15" s="118" customFormat="1" x14ac:dyDescent="0.25">
      <c r="A20" s="79" t="s">
        <v>242</v>
      </c>
      <c r="B20" s="124"/>
      <c r="C20" s="79"/>
      <c r="D20" s="145"/>
      <c r="E20" s="145"/>
      <c r="F20" s="145"/>
      <c r="G20" s="146"/>
      <c r="H20" s="129"/>
      <c r="I20" s="147"/>
      <c r="J20" s="147"/>
      <c r="K20" s="147"/>
      <c r="L20" s="129"/>
      <c r="M20" s="129"/>
      <c r="N20" s="129"/>
    </row>
    <row r="21" spans="1:15" s="118" customFormat="1" x14ac:dyDescent="0.25">
      <c r="A21" s="79" t="s">
        <v>243</v>
      </c>
      <c r="B21" s="124"/>
      <c r="C21" s="79"/>
      <c r="D21" s="145"/>
      <c r="E21" s="145"/>
      <c r="F21" s="145"/>
      <c r="G21" s="146"/>
      <c r="H21" s="129"/>
      <c r="I21" s="147"/>
      <c r="J21" s="147"/>
      <c r="K21" s="147"/>
      <c r="L21" s="129"/>
      <c r="M21" s="129"/>
      <c r="N21" s="129"/>
    </row>
    <row r="22" spans="1:15" s="118" customFormat="1" x14ac:dyDescent="0.25">
      <c r="A22" s="79" t="s">
        <v>244</v>
      </c>
      <c r="B22" s="124"/>
      <c r="C22" s="79"/>
      <c r="D22" s="145"/>
      <c r="E22" s="145"/>
      <c r="F22" s="145"/>
      <c r="G22" s="146"/>
      <c r="H22" s="129"/>
      <c r="I22" s="147"/>
      <c r="J22" s="147"/>
      <c r="K22" s="147"/>
      <c r="L22" s="129"/>
      <c r="M22" s="129"/>
      <c r="N22" s="129"/>
    </row>
    <row r="23" spans="1:15" s="118" customFormat="1" x14ac:dyDescent="0.25">
      <c r="A23" s="79" t="s">
        <v>245</v>
      </c>
      <c r="B23" s="124"/>
      <c r="C23" s="79"/>
      <c r="D23" s="145"/>
      <c r="E23" s="145"/>
      <c r="F23" s="145"/>
      <c r="G23" s="146"/>
      <c r="H23" s="129"/>
      <c r="I23" s="147"/>
      <c r="J23" s="147"/>
      <c r="K23" s="147"/>
      <c r="L23" s="129"/>
      <c r="M23" s="129"/>
      <c r="N23" s="129"/>
    </row>
    <row r="24" spans="1:15" s="118" customFormat="1" x14ac:dyDescent="0.25">
      <c r="A24" s="79" t="s">
        <v>246</v>
      </c>
      <c r="B24" s="124"/>
      <c r="C24" s="79"/>
      <c r="D24" s="145"/>
      <c r="E24" s="145"/>
      <c r="F24" s="145"/>
      <c r="G24" s="146"/>
      <c r="H24" s="129"/>
      <c r="I24" s="147"/>
      <c r="J24" s="147"/>
      <c r="K24" s="147"/>
      <c r="L24" s="129"/>
      <c r="M24" s="129"/>
      <c r="N24" s="129"/>
    </row>
  </sheetData>
  <mergeCells count="2">
    <mergeCell ref="A6:O6"/>
    <mergeCell ref="A5:O5"/>
  </mergeCells>
  <phoneticPr fontId="3" type="noConversion"/>
  <conditionalFormatting sqref="A11:A19 L11:L19">
    <cfRule type="expression" dxfId="74" priority="258" stopIfTrue="1">
      <formula>#REF!&gt;0</formula>
    </cfRule>
    <cfRule type="expression" dxfId="73" priority="259" stopIfTrue="1">
      <formula>LEFT(#REF!,3)="TIR"</formula>
    </cfRule>
  </conditionalFormatting>
  <conditionalFormatting sqref="H1:H4 F11:F19 H11:K19 M11:N19 H20:H55554">
    <cfRule type="expression" dxfId="72" priority="249" stopIfTrue="1">
      <formula>LEFT(#REF!,3)="TIR"</formula>
    </cfRule>
  </conditionalFormatting>
  <conditionalFormatting sqref="H7">
    <cfRule type="expression" dxfId="71" priority="254" stopIfTrue="1">
      <formula>LEFT(#REF!,3)="TIR"</formula>
    </cfRule>
  </conditionalFormatting>
  <conditionalFormatting sqref="N11:O19 B11:E19 G11:G19">
    <cfRule type="expression" dxfId="70" priority="25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R23"/>
  <sheetViews>
    <sheetView rightToLeft="1" zoomScale="80" workbookViewId="0"/>
  </sheetViews>
  <sheetFormatPr defaultColWidth="9.109375" defaultRowHeight="13.2" x14ac:dyDescent="0.25"/>
  <cols>
    <col min="1" max="1" width="40.6640625" style="10" bestFit="1" customWidth="1"/>
    <col min="2" max="2" width="13.5546875" style="9" bestFit="1" customWidth="1"/>
    <col min="3" max="3" width="12.5546875" style="9" customWidth="1"/>
    <col min="4" max="4" width="13.33203125" style="9" customWidth="1"/>
    <col min="5" max="5" width="11.5546875" style="10" customWidth="1"/>
    <col min="6" max="6" width="7.5546875" style="11" customWidth="1"/>
    <col min="7" max="7" width="11.109375" style="11" customWidth="1"/>
    <col min="8" max="8" width="14.109375" style="11" customWidth="1"/>
    <col min="9" max="9" width="7.88671875" style="12" customWidth="1"/>
    <col min="10" max="10" width="11.33203125" style="13" customWidth="1"/>
    <col min="11" max="11" width="12.5546875" style="20" customWidth="1"/>
    <col min="12" max="12" width="14.109375" style="20" customWidth="1"/>
    <col min="13" max="13" width="10.5546875" style="20" customWidth="1"/>
    <col min="14" max="14" width="7" style="13" customWidth="1"/>
    <col min="15" max="15" width="10.44140625" style="13" customWidth="1"/>
    <col min="16" max="16" width="22" style="15" customWidth="1"/>
    <col min="17" max="17" width="25.44140625" style="15" customWidth="1"/>
    <col min="18" max="18" width="20.6640625" style="15" customWidth="1"/>
    <col min="19" max="16384" width="9.109375" style="15"/>
  </cols>
  <sheetData>
    <row r="1" spans="1:18" s="7" customFormat="1" x14ac:dyDescent="0.25">
      <c r="A1" s="7" t="s">
        <v>237</v>
      </c>
      <c r="B1" s="9" t="s">
        <v>247</v>
      </c>
      <c r="C1" s="9"/>
      <c r="D1" s="9"/>
      <c r="E1" s="10"/>
      <c r="F1" s="11"/>
      <c r="G1" s="11"/>
      <c r="H1" s="11"/>
      <c r="I1" s="12"/>
      <c r="J1" s="13"/>
      <c r="K1" s="14"/>
      <c r="L1" s="14"/>
      <c r="M1" s="14"/>
      <c r="N1" s="13"/>
      <c r="O1" s="13"/>
      <c r="P1" s="15"/>
      <c r="Q1" s="15"/>
    </row>
    <row r="2" spans="1:18" s="7" customFormat="1" x14ac:dyDescent="0.25">
      <c r="A2" s="10" t="s">
        <v>238</v>
      </c>
      <c r="B2" s="9" t="s">
        <v>150</v>
      </c>
      <c r="C2" s="9"/>
      <c r="D2" s="9"/>
      <c r="E2" s="10"/>
      <c r="F2" s="11"/>
      <c r="G2" s="11"/>
      <c r="H2" s="11"/>
      <c r="I2" s="12"/>
      <c r="J2" s="13"/>
      <c r="K2" s="14"/>
      <c r="L2" s="14"/>
      <c r="M2" s="14"/>
      <c r="N2" s="13"/>
      <c r="O2" s="13"/>
      <c r="P2" s="15"/>
      <c r="Q2" s="15"/>
    </row>
    <row r="3" spans="1:18" s="7" customFormat="1" x14ac:dyDescent="0.25">
      <c r="A3" s="10" t="s">
        <v>239</v>
      </c>
      <c r="B3" s="9" t="s">
        <v>240</v>
      </c>
      <c r="C3" s="9"/>
      <c r="D3" s="9"/>
      <c r="E3" s="10"/>
      <c r="F3" s="11"/>
      <c r="G3" s="11"/>
      <c r="H3" s="11"/>
      <c r="I3" s="12"/>
      <c r="J3" s="13"/>
      <c r="K3" s="14"/>
      <c r="L3" s="14"/>
      <c r="M3" s="14"/>
      <c r="N3" s="13"/>
      <c r="O3" s="13"/>
      <c r="P3" s="15"/>
      <c r="Q3" s="15"/>
    </row>
    <row r="4" spans="1:18" s="7" customFormat="1" ht="13.8" thickBot="1" x14ac:dyDescent="0.3">
      <c r="A4" s="10" t="s">
        <v>241</v>
      </c>
      <c r="B4" s="9" t="s">
        <v>249</v>
      </c>
      <c r="C4" s="9"/>
      <c r="D4" s="9"/>
      <c r="E4" s="10"/>
      <c r="F4" s="11"/>
      <c r="G4" s="11"/>
      <c r="H4" s="11"/>
      <c r="I4" s="12"/>
      <c r="J4" s="13"/>
      <c r="K4" s="14"/>
      <c r="L4" s="14"/>
      <c r="M4" s="14"/>
      <c r="N4" s="13"/>
      <c r="O4" s="13"/>
      <c r="P4" s="15"/>
      <c r="Q4" s="15"/>
    </row>
    <row r="5" spans="1:18" s="7" customFormat="1" ht="13.8" thickBot="1" x14ac:dyDescent="0.3">
      <c r="A5" s="230" t="s">
        <v>28</v>
      </c>
      <c r="B5" s="231"/>
      <c r="C5" s="231"/>
      <c r="D5" s="231"/>
      <c r="E5" s="231"/>
      <c r="F5" s="231"/>
      <c r="G5" s="231"/>
      <c r="H5" s="231"/>
      <c r="I5" s="231"/>
      <c r="J5" s="231"/>
      <c r="K5" s="231"/>
      <c r="L5" s="231"/>
      <c r="M5" s="231"/>
      <c r="N5" s="231"/>
      <c r="O5" s="231"/>
      <c r="P5" s="231"/>
      <c r="Q5" s="231"/>
      <c r="R5" s="232"/>
    </row>
    <row r="6" spans="1:18" s="7" customFormat="1" x14ac:dyDescent="0.25">
      <c r="A6" s="223" t="s">
        <v>18</v>
      </c>
      <c r="B6" s="224"/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4"/>
      <c r="Q6" s="224"/>
      <c r="R6" s="225"/>
    </row>
    <row r="7" spans="1:18" s="7" customFormat="1" ht="30" customHeight="1" x14ac:dyDescent="0.25">
      <c r="A7" s="87" t="s">
        <v>157</v>
      </c>
      <c r="B7" s="203" t="s">
        <v>69</v>
      </c>
      <c r="C7" s="203" t="s">
        <v>79</v>
      </c>
      <c r="D7" s="203" t="s">
        <v>74</v>
      </c>
      <c r="E7" s="203" t="s">
        <v>19</v>
      </c>
      <c r="F7" s="203" t="s">
        <v>70</v>
      </c>
      <c r="G7" s="203" t="s">
        <v>5</v>
      </c>
      <c r="H7" s="203" t="s">
        <v>13</v>
      </c>
      <c r="I7" s="203" t="s">
        <v>14</v>
      </c>
      <c r="J7" s="203" t="s">
        <v>6</v>
      </c>
      <c r="K7" s="204" t="s">
        <v>66</v>
      </c>
      <c r="L7" s="204" t="s">
        <v>71</v>
      </c>
      <c r="M7" s="204" t="s">
        <v>67</v>
      </c>
      <c r="N7" s="204" t="s">
        <v>68</v>
      </c>
      <c r="O7" s="204" t="s">
        <v>29</v>
      </c>
      <c r="P7" s="90" t="s">
        <v>17</v>
      </c>
      <c r="Q7" s="90" t="s">
        <v>75</v>
      </c>
      <c r="R7" s="91" t="s">
        <v>8</v>
      </c>
    </row>
    <row r="8" spans="1:18" s="7" customFormat="1" x14ac:dyDescent="0.25">
      <c r="A8" s="27"/>
      <c r="B8" s="3"/>
      <c r="C8" s="3"/>
      <c r="D8" s="3"/>
      <c r="E8" s="3"/>
      <c r="F8" s="3"/>
      <c r="G8" s="28"/>
      <c r="H8" s="29" t="s">
        <v>40</v>
      </c>
      <c r="I8" s="29" t="s">
        <v>16</v>
      </c>
      <c r="J8" s="30"/>
      <c r="K8" s="2" t="s">
        <v>9</v>
      </c>
      <c r="L8" s="2" t="s">
        <v>9</v>
      </c>
      <c r="M8" s="2" t="s">
        <v>133</v>
      </c>
      <c r="N8" s="2"/>
      <c r="O8" s="2" t="s">
        <v>135</v>
      </c>
      <c r="P8" s="31" t="s">
        <v>9</v>
      </c>
      <c r="Q8" s="31" t="s">
        <v>9</v>
      </c>
      <c r="R8" s="6" t="s">
        <v>9</v>
      </c>
    </row>
    <row r="9" spans="1:18" s="16" customFormat="1" ht="12.75" customHeight="1" x14ac:dyDescent="0.25">
      <c r="A9" s="21"/>
      <c r="B9" s="22">
        <v>1</v>
      </c>
      <c r="C9" s="22">
        <v>2</v>
      </c>
      <c r="D9" s="22">
        <v>3</v>
      </c>
      <c r="E9" s="22">
        <v>4</v>
      </c>
      <c r="F9" s="22">
        <v>5</v>
      </c>
      <c r="G9" s="22">
        <v>6</v>
      </c>
      <c r="H9" s="22">
        <v>7</v>
      </c>
      <c r="I9" s="22">
        <v>8</v>
      </c>
      <c r="J9" s="22">
        <v>9</v>
      </c>
      <c r="K9" s="22">
        <v>10</v>
      </c>
      <c r="L9" s="22">
        <v>11</v>
      </c>
      <c r="M9" s="22">
        <v>12</v>
      </c>
      <c r="N9" s="22">
        <v>13</v>
      </c>
      <c r="O9" s="22">
        <v>14</v>
      </c>
      <c r="P9" s="22">
        <v>15</v>
      </c>
      <c r="Q9" s="57">
        <v>16</v>
      </c>
      <c r="R9" s="23">
        <v>17</v>
      </c>
    </row>
    <row r="10" spans="1:18" s="118" customFormat="1" ht="12.75" customHeight="1" thickBot="1" x14ac:dyDescent="0.3">
      <c r="A10" s="100" t="s">
        <v>61</v>
      </c>
      <c r="B10" s="68" t="s">
        <v>251</v>
      </c>
      <c r="C10" s="68" t="s">
        <v>251</v>
      </c>
      <c r="D10" s="68" t="s">
        <v>251</v>
      </c>
      <c r="E10" s="68" t="s">
        <v>251</v>
      </c>
      <c r="F10" s="101"/>
      <c r="G10" s="138" t="s">
        <v>251</v>
      </c>
      <c r="H10" s="138" t="s">
        <v>251</v>
      </c>
      <c r="I10" s="138" t="s">
        <v>251</v>
      </c>
      <c r="J10" s="138" t="s">
        <v>251</v>
      </c>
      <c r="K10" s="139" t="s">
        <v>251</v>
      </c>
      <c r="L10" s="139" t="s">
        <v>251</v>
      </c>
      <c r="M10" s="102" t="s">
        <v>251</v>
      </c>
      <c r="N10" s="138" t="s">
        <v>251</v>
      </c>
      <c r="O10" s="103">
        <v>6.0000000000000008E-7</v>
      </c>
      <c r="P10" s="119" t="s">
        <v>251</v>
      </c>
      <c r="Q10" s="106">
        <v>1</v>
      </c>
      <c r="R10" s="59">
        <v>0</v>
      </c>
    </row>
    <row r="11" spans="1:18" s="118" customFormat="1" x14ac:dyDescent="0.25">
      <c r="A11" s="92" t="s">
        <v>137</v>
      </c>
      <c r="B11" s="120" t="s">
        <v>251</v>
      </c>
      <c r="C11" s="120" t="s">
        <v>251</v>
      </c>
      <c r="D11" s="120" t="s">
        <v>251</v>
      </c>
      <c r="E11" s="120" t="s">
        <v>251</v>
      </c>
      <c r="F11" s="121" t="s">
        <v>251</v>
      </c>
      <c r="G11" s="142" t="s">
        <v>251</v>
      </c>
      <c r="H11" s="142" t="s">
        <v>251</v>
      </c>
      <c r="I11" s="142" t="s">
        <v>251</v>
      </c>
      <c r="J11" s="142" t="s">
        <v>251</v>
      </c>
      <c r="K11" s="156" t="s">
        <v>251</v>
      </c>
      <c r="L11" s="156" t="s">
        <v>251</v>
      </c>
      <c r="M11" s="132" t="s">
        <v>251</v>
      </c>
      <c r="N11" s="142" t="s">
        <v>251</v>
      </c>
      <c r="O11" s="122">
        <v>0</v>
      </c>
      <c r="P11" s="156" t="s">
        <v>251</v>
      </c>
      <c r="Q11" s="120">
        <v>0</v>
      </c>
      <c r="R11" s="120">
        <v>0</v>
      </c>
    </row>
    <row r="12" spans="1:18" s="118" customFormat="1" x14ac:dyDescent="0.25">
      <c r="A12" s="93" t="s">
        <v>1852</v>
      </c>
      <c r="B12" s="120" t="s">
        <v>251</v>
      </c>
      <c r="C12" s="136" t="s">
        <v>251</v>
      </c>
      <c r="D12" s="136" t="s">
        <v>251</v>
      </c>
      <c r="E12" s="136" t="s">
        <v>251</v>
      </c>
      <c r="F12" s="135" t="s">
        <v>251</v>
      </c>
      <c r="G12" s="144" t="s">
        <v>251</v>
      </c>
      <c r="H12" s="144" t="s">
        <v>251</v>
      </c>
      <c r="I12" s="144" t="s">
        <v>251</v>
      </c>
      <c r="J12" s="144" t="s">
        <v>251</v>
      </c>
      <c r="K12" s="157" t="s">
        <v>251</v>
      </c>
      <c r="L12" s="157" t="s">
        <v>251</v>
      </c>
      <c r="M12" s="134" t="s">
        <v>251</v>
      </c>
      <c r="N12" s="144" t="s">
        <v>251</v>
      </c>
      <c r="O12" s="123">
        <v>0</v>
      </c>
      <c r="P12" s="157"/>
      <c r="Q12" s="136">
        <v>0</v>
      </c>
      <c r="R12" s="136">
        <v>0</v>
      </c>
    </row>
    <row r="13" spans="1:18" s="118" customFormat="1" x14ac:dyDescent="0.25">
      <c r="A13" s="93" t="s">
        <v>1853</v>
      </c>
      <c r="B13" s="120" t="s">
        <v>251</v>
      </c>
      <c r="C13" s="136" t="s">
        <v>251</v>
      </c>
      <c r="D13" s="136" t="s">
        <v>251</v>
      </c>
      <c r="E13" s="136" t="s">
        <v>251</v>
      </c>
      <c r="F13" s="135" t="s">
        <v>251</v>
      </c>
      <c r="G13" s="144" t="s">
        <v>251</v>
      </c>
      <c r="H13" s="144" t="s">
        <v>251</v>
      </c>
      <c r="I13" s="144" t="s">
        <v>251</v>
      </c>
      <c r="J13" s="144" t="s">
        <v>251</v>
      </c>
      <c r="K13" s="157" t="s">
        <v>251</v>
      </c>
      <c r="L13" s="157" t="s">
        <v>251</v>
      </c>
      <c r="M13" s="134" t="s">
        <v>251</v>
      </c>
      <c r="N13" s="144" t="s">
        <v>251</v>
      </c>
      <c r="O13" s="123">
        <v>0</v>
      </c>
      <c r="P13" s="157"/>
      <c r="Q13" s="136">
        <v>0</v>
      </c>
      <c r="R13" s="136">
        <v>0</v>
      </c>
    </row>
    <row r="14" spans="1:18" s="118" customFormat="1" x14ac:dyDescent="0.25">
      <c r="A14" s="93" t="s">
        <v>508</v>
      </c>
      <c r="B14" s="120" t="s">
        <v>251</v>
      </c>
      <c r="C14" s="136" t="s">
        <v>251</v>
      </c>
      <c r="D14" s="136" t="s">
        <v>251</v>
      </c>
      <c r="E14" s="136" t="s">
        <v>251</v>
      </c>
      <c r="F14" s="135" t="s">
        <v>251</v>
      </c>
      <c r="G14" s="144" t="s">
        <v>251</v>
      </c>
      <c r="H14" s="144" t="s">
        <v>251</v>
      </c>
      <c r="I14" s="144" t="s">
        <v>251</v>
      </c>
      <c r="J14" s="144" t="s">
        <v>251</v>
      </c>
      <c r="K14" s="157" t="s">
        <v>251</v>
      </c>
      <c r="L14" s="157" t="s">
        <v>251</v>
      </c>
      <c r="M14" s="134" t="s">
        <v>251</v>
      </c>
      <c r="N14" s="135" t="s">
        <v>251</v>
      </c>
      <c r="O14" s="123">
        <v>0</v>
      </c>
      <c r="P14" s="157"/>
      <c r="Q14" s="136">
        <v>0</v>
      </c>
      <c r="R14" s="136">
        <v>0</v>
      </c>
    </row>
    <row r="15" spans="1:18" s="118" customFormat="1" x14ac:dyDescent="0.25">
      <c r="A15" s="93" t="s">
        <v>141</v>
      </c>
      <c r="B15" s="120" t="s">
        <v>251</v>
      </c>
      <c r="C15" s="136" t="s">
        <v>251</v>
      </c>
      <c r="D15" s="136" t="s">
        <v>251</v>
      </c>
      <c r="E15" s="136" t="s">
        <v>251</v>
      </c>
      <c r="F15" s="135" t="s">
        <v>251</v>
      </c>
      <c r="G15" s="144" t="s">
        <v>251</v>
      </c>
      <c r="H15" s="144" t="s">
        <v>251</v>
      </c>
      <c r="I15" s="144" t="s">
        <v>251</v>
      </c>
      <c r="J15" s="144" t="s">
        <v>251</v>
      </c>
      <c r="K15" s="157" t="s">
        <v>251</v>
      </c>
      <c r="L15" s="157" t="s">
        <v>251</v>
      </c>
      <c r="M15" s="134" t="s">
        <v>251</v>
      </c>
      <c r="N15" s="144" t="s">
        <v>251</v>
      </c>
      <c r="O15" s="123">
        <v>0</v>
      </c>
      <c r="P15" s="157"/>
      <c r="Q15" s="136">
        <v>0</v>
      </c>
      <c r="R15" s="136">
        <v>0</v>
      </c>
    </row>
    <row r="16" spans="1:18" s="118" customFormat="1" x14ac:dyDescent="0.25">
      <c r="A16" s="93" t="s">
        <v>488</v>
      </c>
      <c r="B16" s="120" t="s">
        <v>251</v>
      </c>
      <c r="C16" s="136" t="s">
        <v>251</v>
      </c>
      <c r="D16" s="136" t="s">
        <v>251</v>
      </c>
      <c r="E16" s="136" t="s">
        <v>251</v>
      </c>
      <c r="F16" s="135" t="s">
        <v>251</v>
      </c>
      <c r="G16" s="144" t="s">
        <v>251</v>
      </c>
      <c r="H16" s="144" t="s">
        <v>251</v>
      </c>
      <c r="I16" s="144" t="s">
        <v>251</v>
      </c>
      <c r="J16" s="144" t="s">
        <v>251</v>
      </c>
      <c r="K16" s="157" t="s">
        <v>251</v>
      </c>
      <c r="L16" s="157" t="s">
        <v>251</v>
      </c>
      <c r="M16" s="134" t="s">
        <v>251</v>
      </c>
      <c r="N16" s="144" t="s">
        <v>251</v>
      </c>
      <c r="O16" s="123">
        <v>0</v>
      </c>
      <c r="P16" s="157"/>
      <c r="Q16" s="136">
        <v>0</v>
      </c>
      <c r="R16" s="136">
        <v>0</v>
      </c>
    </row>
    <row r="17" spans="1:18" s="118" customFormat="1" x14ac:dyDescent="0.25">
      <c r="A17" s="93" t="s">
        <v>1854</v>
      </c>
      <c r="B17" s="120" t="s">
        <v>251</v>
      </c>
      <c r="C17" s="136" t="s">
        <v>251</v>
      </c>
      <c r="D17" s="136" t="s">
        <v>251</v>
      </c>
      <c r="E17" s="136" t="s">
        <v>251</v>
      </c>
      <c r="F17" s="135" t="s">
        <v>251</v>
      </c>
      <c r="G17" s="144" t="s">
        <v>251</v>
      </c>
      <c r="H17" s="144" t="s">
        <v>251</v>
      </c>
      <c r="I17" s="144" t="s">
        <v>251</v>
      </c>
      <c r="J17" s="144" t="s">
        <v>251</v>
      </c>
      <c r="K17" s="157" t="s">
        <v>251</v>
      </c>
      <c r="L17" s="157" t="s">
        <v>251</v>
      </c>
      <c r="M17" s="134" t="s">
        <v>251</v>
      </c>
      <c r="N17" s="144" t="s">
        <v>251</v>
      </c>
      <c r="O17" s="123">
        <v>0</v>
      </c>
      <c r="P17" s="157"/>
      <c r="Q17" s="136">
        <v>0</v>
      </c>
      <c r="R17" s="136">
        <v>0</v>
      </c>
    </row>
    <row r="18" spans="1:18" s="118" customFormat="1" x14ac:dyDescent="0.25">
      <c r="A18" s="93" t="s">
        <v>1855</v>
      </c>
      <c r="B18" s="120" t="s">
        <v>251</v>
      </c>
      <c r="C18" s="136" t="s">
        <v>251</v>
      </c>
      <c r="D18" s="136" t="s">
        <v>251</v>
      </c>
      <c r="E18" s="136" t="s">
        <v>251</v>
      </c>
      <c r="F18" s="135" t="s">
        <v>251</v>
      </c>
      <c r="G18" s="144" t="s">
        <v>251</v>
      </c>
      <c r="H18" s="144" t="s">
        <v>251</v>
      </c>
      <c r="I18" s="144" t="s">
        <v>251</v>
      </c>
      <c r="J18" s="144" t="s">
        <v>251</v>
      </c>
      <c r="K18" s="157" t="s">
        <v>251</v>
      </c>
      <c r="L18" s="157" t="s">
        <v>251</v>
      </c>
      <c r="M18" s="134" t="s">
        <v>251</v>
      </c>
      <c r="N18" s="144" t="s">
        <v>251</v>
      </c>
      <c r="O18" s="123">
        <v>0</v>
      </c>
      <c r="P18" s="157"/>
      <c r="Q18" s="136">
        <v>0</v>
      </c>
      <c r="R18" s="136">
        <v>0</v>
      </c>
    </row>
    <row r="19" spans="1:18" s="118" customFormat="1" x14ac:dyDescent="0.25">
      <c r="A19" s="79" t="s">
        <v>242</v>
      </c>
      <c r="B19" s="124"/>
      <c r="C19" s="124"/>
      <c r="D19" s="124"/>
      <c r="E19" s="79"/>
      <c r="F19" s="145"/>
      <c r="G19" s="145"/>
      <c r="H19" s="145"/>
      <c r="I19" s="146"/>
      <c r="J19" s="129"/>
      <c r="K19" s="147"/>
      <c r="L19" s="147"/>
      <c r="M19" s="147"/>
      <c r="N19" s="129"/>
      <c r="O19" s="129"/>
    </row>
    <row r="20" spans="1:18" s="118" customFormat="1" x14ac:dyDescent="0.25">
      <c r="A20" s="79" t="s">
        <v>243</v>
      </c>
      <c r="B20" s="124"/>
      <c r="C20" s="124"/>
      <c r="D20" s="124"/>
      <c r="E20" s="79"/>
      <c r="F20" s="145"/>
      <c r="G20" s="145"/>
      <c r="H20" s="145"/>
      <c r="I20" s="146"/>
      <c r="J20" s="129"/>
      <c r="K20" s="147"/>
      <c r="L20" s="147"/>
      <c r="M20" s="147"/>
      <c r="N20" s="129"/>
      <c r="O20" s="129"/>
    </row>
    <row r="21" spans="1:18" s="118" customFormat="1" x14ac:dyDescent="0.25">
      <c r="A21" s="79" t="s">
        <v>244</v>
      </c>
      <c r="B21" s="124"/>
      <c r="C21" s="124"/>
      <c r="D21" s="124"/>
      <c r="E21" s="79"/>
      <c r="F21" s="145"/>
      <c r="G21" s="145"/>
      <c r="H21" s="145"/>
      <c r="I21" s="146"/>
      <c r="J21" s="129"/>
      <c r="K21" s="147"/>
      <c r="L21" s="147"/>
      <c r="M21" s="147"/>
      <c r="N21" s="129"/>
      <c r="O21" s="129"/>
    </row>
    <row r="22" spans="1:18" s="118" customFormat="1" x14ac:dyDescent="0.25">
      <c r="A22" s="79" t="s">
        <v>245</v>
      </c>
      <c r="B22" s="124"/>
      <c r="C22" s="124"/>
      <c r="D22" s="124"/>
      <c r="E22" s="79"/>
      <c r="F22" s="145"/>
      <c r="G22" s="145"/>
      <c r="H22" s="145"/>
      <c r="I22" s="146"/>
      <c r="J22" s="129"/>
      <c r="K22" s="147"/>
      <c r="L22" s="147"/>
      <c r="M22" s="147"/>
      <c r="N22" s="129"/>
      <c r="O22" s="129"/>
    </row>
    <row r="23" spans="1:18" s="118" customFormat="1" x14ac:dyDescent="0.25">
      <c r="A23" s="79" t="s">
        <v>246</v>
      </c>
      <c r="B23" s="124"/>
      <c r="C23" s="124"/>
      <c r="D23" s="124"/>
      <c r="E23" s="79"/>
      <c r="F23" s="145"/>
      <c r="G23" s="145"/>
      <c r="H23" s="145"/>
      <c r="I23" s="146"/>
      <c r="J23" s="129"/>
      <c r="K23" s="147"/>
      <c r="L23" s="147"/>
      <c r="M23" s="147"/>
      <c r="N23" s="129"/>
      <c r="O23" s="129"/>
    </row>
  </sheetData>
  <mergeCells count="2">
    <mergeCell ref="A6:R6"/>
    <mergeCell ref="A5:R5"/>
  </mergeCells>
  <phoneticPr fontId="3" type="noConversion"/>
  <conditionalFormatting sqref="A10:A18 O11:O18">
    <cfRule type="expression" dxfId="69" priority="281" stopIfTrue="1">
      <formula>#REF!&gt;0</formula>
    </cfRule>
    <cfRule type="expression" dxfId="68" priority="282" stopIfTrue="1">
      <formula>LEFT(#REF!,3)="TIR"</formula>
    </cfRule>
  </conditionalFormatting>
  <conditionalFormatting sqref="B10:H18 J10:J18">
    <cfRule type="expression" dxfId="67" priority="279" stopIfTrue="1">
      <formula>LEFT(#REF!,3)="TIR"</formula>
    </cfRule>
  </conditionalFormatting>
  <conditionalFormatting sqref="J1:J4 I10:I18 K10:N18 P11:Q18 J19:J55553">
    <cfRule type="expression" dxfId="66" priority="273" stopIfTrue="1">
      <formula>LEFT(#REF!,3)="TIR"</formula>
    </cfRule>
  </conditionalFormatting>
  <conditionalFormatting sqref="K7">
    <cfRule type="expression" dxfId="65" priority="278" stopIfTrue="1">
      <formula>LEFT(#REF!,3)="TIR"</formula>
    </cfRule>
  </conditionalFormatting>
  <conditionalFormatting sqref="Q11:R18">
    <cfRule type="expression" dxfId="64" priority="28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R43"/>
  <sheetViews>
    <sheetView rightToLeft="1" zoomScale="80" workbookViewId="0"/>
  </sheetViews>
  <sheetFormatPr defaultColWidth="9.109375" defaultRowHeight="13.2" x14ac:dyDescent="0.25"/>
  <cols>
    <col min="1" max="1" width="37.6640625" style="10" bestFit="1" customWidth="1"/>
    <col min="2" max="2" width="13.5546875" style="9" bestFit="1" customWidth="1"/>
    <col min="3" max="3" width="12.5546875" style="9" customWidth="1"/>
    <col min="4" max="4" width="13.33203125" style="9" customWidth="1"/>
    <col min="5" max="5" width="16.5546875" style="10" bestFit="1" customWidth="1"/>
    <col min="6" max="6" width="7.5546875" style="60" customWidth="1"/>
    <col min="7" max="7" width="11.109375" style="60" customWidth="1"/>
    <col min="8" max="8" width="14.109375" style="60" customWidth="1"/>
    <col min="9" max="9" width="7.88671875" style="37" customWidth="1"/>
    <col min="10" max="10" width="12" style="62" bestFit="1" customWidth="1"/>
    <col min="11" max="11" width="12.5546875" style="64" customWidth="1"/>
    <col min="12" max="12" width="14.109375" style="64" customWidth="1"/>
    <col min="13" max="13" width="12.44140625" style="64" bestFit="1" customWidth="1"/>
    <col min="14" max="14" width="8.88671875" style="62" bestFit="1" customWidth="1"/>
    <col min="15" max="15" width="11.33203125" style="62" bestFit="1" customWidth="1"/>
    <col min="16" max="16" width="22" style="66" customWidth="1"/>
    <col min="17" max="17" width="25.44140625" style="66" customWidth="1"/>
    <col min="18" max="18" width="20.6640625" style="66" customWidth="1"/>
    <col min="19" max="16384" width="9.109375" style="15"/>
  </cols>
  <sheetData>
    <row r="1" spans="1:18" s="7" customFormat="1" x14ac:dyDescent="0.25">
      <c r="A1" s="7" t="s">
        <v>237</v>
      </c>
      <c r="B1" s="9" t="s">
        <v>247</v>
      </c>
      <c r="C1" s="9"/>
      <c r="D1" s="9"/>
      <c r="E1" s="10"/>
      <c r="F1" s="60"/>
      <c r="G1" s="60"/>
      <c r="H1" s="60"/>
      <c r="I1" s="37"/>
      <c r="J1" s="62"/>
      <c r="K1" s="63"/>
      <c r="L1" s="63"/>
      <c r="M1" s="63"/>
      <c r="N1" s="62"/>
      <c r="O1" s="62"/>
      <c r="P1" s="66"/>
      <c r="Q1" s="66"/>
      <c r="R1" s="44"/>
    </row>
    <row r="2" spans="1:18" s="7" customFormat="1" x14ac:dyDescent="0.25">
      <c r="A2" s="10" t="s">
        <v>238</v>
      </c>
      <c r="B2" s="9" t="s">
        <v>150</v>
      </c>
      <c r="C2" s="9"/>
      <c r="D2" s="9"/>
      <c r="E2" s="10"/>
      <c r="F2" s="60"/>
      <c r="G2" s="60"/>
      <c r="H2" s="60"/>
      <c r="I2" s="37"/>
      <c r="J2" s="62"/>
      <c r="K2" s="63"/>
      <c r="L2" s="63"/>
      <c r="M2" s="63"/>
      <c r="N2" s="62"/>
      <c r="O2" s="62"/>
      <c r="P2" s="66"/>
      <c r="Q2" s="66"/>
      <c r="R2" s="44"/>
    </row>
    <row r="3" spans="1:18" s="7" customFormat="1" x14ac:dyDescent="0.25">
      <c r="A3" s="10" t="s">
        <v>239</v>
      </c>
      <c r="B3" s="9" t="s">
        <v>240</v>
      </c>
      <c r="C3" s="9"/>
      <c r="D3" s="9"/>
      <c r="E3" s="10"/>
      <c r="F3" s="60"/>
      <c r="G3" s="60"/>
      <c r="H3" s="60"/>
      <c r="I3" s="37"/>
      <c r="J3" s="62"/>
      <c r="K3" s="63"/>
      <c r="L3" s="63"/>
      <c r="M3" s="63"/>
      <c r="N3" s="62"/>
      <c r="O3" s="62"/>
      <c r="P3" s="66"/>
      <c r="Q3" s="66"/>
      <c r="R3" s="44"/>
    </row>
    <row r="4" spans="1:18" s="7" customFormat="1" ht="13.8" thickBot="1" x14ac:dyDescent="0.3">
      <c r="A4" s="10" t="s">
        <v>241</v>
      </c>
      <c r="B4" s="9" t="s">
        <v>249</v>
      </c>
      <c r="C4" s="9"/>
      <c r="D4" s="9"/>
      <c r="E4" s="10"/>
      <c r="F4" s="60"/>
      <c r="G4" s="60"/>
      <c r="H4" s="60"/>
      <c r="I4" s="37"/>
      <c r="J4" s="62"/>
      <c r="K4" s="63"/>
      <c r="L4" s="63"/>
      <c r="M4" s="63"/>
      <c r="N4" s="62"/>
      <c r="O4" s="62"/>
      <c r="P4" s="66"/>
      <c r="Q4" s="66"/>
      <c r="R4" s="44"/>
    </row>
    <row r="5" spans="1:18" s="7" customFormat="1" ht="13.8" thickBot="1" x14ac:dyDescent="0.3">
      <c r="A5" s="230" t="s">
        <v>28</v>
      </c>
      <c r="B5" s="231"/>
      <c r="C5" s="231"/>
      <c r="D5" s="231"/>
      <c r="E5" s="231"/>
      <c r="F5" s="231"/>
      <c r="G5" s="231"/>
      <c r="H5" s="231"/>
      <c r="I5" s="231"/>
      <c r="J5" s="231"/>
      <c r="K5" s="231"/>
      <c r="L5" s="231"/>
      <c r="M5" s="231"/>
      <c r="N5" s="231"/>
      <c r="O5" s="231"/>
      <c r="P5" s="231"/>
      <c r="Q5" s="231"/>
      <c r="R5" s="232"/>
    </row>
    <row r="6" spans="1:18" s="7" customFormat="1" x14ac:dyDescent="0.25">
      <c r="A6" s="223" t="s">
        <v>20</v>
      </c>
      <c r="B6" s="224"/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4"/>
      <c r="Q6" s="224"/>
      <c r="R6" s="225"/>
    </row>
    <row r="7" spans="1:18" s="7" customFormat="1" ht="30" customHeight="1" x14ac:dyDescent="0.25">
      <c r="A7" s="87" t="s">
        <v>157</v>
      </c>
      <c r="B7" s="203" t="s">
        <v>69</v>
      </c>
      <c r="C7" s="203" t="s">
        <v>79</v>
      </c>
      <c r="D7" s="203" t="s">
        <v>74</v>
      </c>
      <c r="E7" s="203" t="s">
        <v>19</v>
      </c>
      <c r="F7" s="203" t="s">
        <v>70</v>
      </c>
      <c r="G7" s="203" t="s">
        <v>5</v>
      </c>
      <c r="H7" s="203" t="s">
        <v>13</v>
      </c>
      <c r="I7" s="203" t="s">
        <v>14</v>
      </c>
      <c r="J7" s="203" t="s">
        <v>6</v>
      </c>
      <c r="K7" s="204" t="s">
        <v>66</v>
      </c>
      <c r="L7" s="204" t="s">
        <v>71</v>
      </c>
      <c r="M7" s="204" t="s">
        <v>67</v>
      </c>
      <c r="N7" s="204" t="s">
        <v>68</v>
      </c>
      <c r="O7" s="204" t="s">
        <v>29</v>
      </c>
      <c r="P7" s="90" t="s">
        <v>17</v>
      </c>
      <c r="Q7" s="90" t="s">
        <v>75</v>
      </c>
      <c r="R7" s="91" t="s">
        <v>8</v>
      </c>
    </row>
    <row r="8" spans="1:18" s="7" customFormat="1" x14ac:dyDescent="0.25">
      <c r="A8" s="27"/>
      <c r="B8" s="3"/>
      <c r="C8" s="3"/>
      <c r="D8" s="3"/>
      <c r="E8" s="3"/>
      <c r="F8" s="3"/>
      <c r="G8" s="28"/>
      <c r="H8" s="29" t="s">
        <v>15</v>
      </c>
      <c r="I8" s="29" t="s">
        <v>16</v>
      </c>
      <c r="J8" s="30"/>
      <c r="K8" s="2" t="s">
        <v>9</v>
      </c>
      <c r="L8" s="2" t="s">
        <v>9</v>
      </c>
      <c r="M8" s="2" t="s">
        <v>133</v>
      </c>
      <c r="N8" s="2"/>
      <c r="O8" s="2" t="s">
        <v>135</v>
      </c>
      <c r="P8" s="31" t="s">
        <v>9</v>
      </c>
      <c r="Q8" s="31" t="s">
        <v>9</v>
      </c>
      <c r="R8" s="6" t="s">
        <v>9</v>
      </c>
    </row>
    <row r="9" spans="1:18" s="16" customFormat="1" ht="12.75" customHeight="1" x14ac:dyDescent="0.25">
      <c r="A9" s="21"/>
      <c r="B9" s="22">
        <v>1</v>
      </c>
      <c r="C9" s="22">
        <v>2</v>
      </c>
      <c r="D9" s="22">
        <v>3</v>
      </c>
      <c r="E9" s="22">
        <v>4</v>
      </c>
      <c r="F9" s="22">
        <v>5</v>
      </c>
      <c r="G9" s="22">
        <v>6</v>
      </c>
      <c r="H9" s="22">
        <v>7</v>
      </c>
      <c r="I9" s="22">
        <v>8</v>
      </c>
      <c r="J9" s="22">
        <v>9</v>
      </c>
      <c r="K9" s="22">
        <v>10</v>
      </c>
      <c r="L9" s="22">
        <v>11</v>
      </c>
      <c r="M9" s="22">
        <v>12</v>
      </c>
      <c r="N9" s="22">
        <v>13</v>
      </c>
      <c r="O9" s="22">
        <v>14</v>
      </c>
      <c r="P9" s="22">
        <v>15</v>
      </c>
      <c r="Q9" s="57">
        <v>16</v>
      </c>
      <c r="R9" s="23">
        <v>17</v>
      </c>
    </row>
    <row r="10" spans="1:18" s="118" customFormat="1" ht="12.75" customHeight="1" thickBot="1" x14ac:dyDescent="0.3">
      <c r="A10" s="100" t="s">
        <v>58</v>
      </c>
      <c r="B10" s="68"/>
      <c r="C10" s="68"/>
      <c r="D10" s="68"/>
      <c r="E10" s="68"/>
      <c r="F10" s="101"/>
      <c r="G10" s="101"/>
      <c r="H10" s="101"/>
      <c r="I10" s="101"/>
      <c r="J10" s="101"/>
      <c r="K10" s="68"/>
      <c r="L10" s="68"/>
      <c r="M10" s="102"/>
      <c r="N10" s="101"/>
      <c r="O10" s="105">
        <v>22864.185087323098</v>
      </c>
      <c r="P10" s="68"/>
      <c r="Q10" s="68">
        <v>1</v>
      </c>
      <c r="R10" s="82">
        <v>3.969124534804859E-2</v>
      </c>
    </row>
    <row r="11" spans="1:18" s="118" customFormat="1" x14ac:dyDescent="0.25">
      <c r="A11" s="92" t="s">
        <v>137</v>
      </c>
      <c r="B11" s="120" t="s">
        <v>251</v>
      </c>
      <c r="C11" s="120" t="s">
        <v>251</v>
      </c>
      <c r="D11" s="120" t="s">
        <v>251</v>
      </c>
      <c r="E11" s="120" t="s">
        <v>251</v>
      </c>
      <c r="F11" s="121" t="s">
        <v>251</v>
      </c>
      <c r="G11" s="121" t="s">
        <v>251</v>
      </c>
      <c r="H11" s="121" t="s">
        <v>251</v>
      </c>
      <c r="I11" s="132" t="s">
        <v>251</v>
      </c>
      <c r="J11" s="121" t="s">
        <v>251</v>
      </c>
      <c r="K11" s="120" t="s">
        <v>251</v>
      </c>
      <c r="L11" s="120" t="s">
        <v>251</v>
      </c>
      <c r="M11" s="132" t="s">
        <v>251</v>
      </c>
      <c r="N11" s="121" t="s">
        <v>251</v>
      </c>
      <c r="O11" s="133">
        <v>22864.1850871231</v>
      </c>
      <c r="P11" s="120" t="s">
        <v>251</v>
      </c>
      <c r="Q11" s="120">
        <v>0.99999999999125266</v>
      </c>
      <c r="R11" s="120">
        <v>3.9691245347701402E-2</v>
      </c>
    </row>
    <row r="12" spans="1:18" s="118" customFormat="1" x14ac:dyDescent="0.25">
      <c r="A12" s="93" t="s">
        <v>1852</v>
      </c>
      <c r="B12" s="136" t="s">
        <v>251</v>
      </c>
      <c r="C12" s="136" t="s">
        <v>251</v>
      </c>
      <c r="D12" s="136" t="s">
        <v>251</v>
      </c>
      <c r="E12" s="136" t="s">
        <v>251</v>
      </c>
      <c r="F12" s="121" t="s">
        <v>251</v>
      </c>
      <c r="G12" s="135" t="s">
        <v>251</v>
      </c>
      <c r="H12" s="135" t="s">
        <v>251</v>
      </c>
      <c r="I12" s="132" t="s">
        <v>251</v>
      </c>
      <c r="J12" s="135" t="s">
        <v>251</v>
      </c>
      <c r="K12" s="136" t="s">
        <v>251</v>
      </c>
      <c r="L12" s="136" t="s">
        <v>251</v>
      </c>
      <c r="M12" s="134" t="s">
        <v>251</v>
      </c>
      <c r="N12" s="121" t="s">
        <v>251</v>
      </c>
      <c r="O12" s="123">
        <v>20723.59121275524</v>
      </c>
      <c r="P12" s="136"/>
      <c r="Q12" s="120">
        <v>0.90637786274068011</v>
      </c>
      <c r="R12" s="120">
        <v>3.5975266128080247E-2</v>
      </c>
    </row>
    <row r="13" spans="1:18" x14ac:dyDescent="0.25">
      <c r="A13" s="17" t="s">
        <v>1865</v>
      </c>
      <c r="B13" s="25" t="s">
        <v>1866</v>
      </c>
      <c r="C13" s="25" t="s">
        <v>251</v>
      </c>
      <c r="D13" s="25" t="s">
        <v>745</v>
      </c>
      <c r="E13" s="25" t="s">
        <v>204</v>
      </c>
      <c r="F13" s="67" t="s">
        <v>255</v>
      </c>
      <c r="G13" s="61" t="s">
        <v>256</v>
      </c>
      <c r="H13" s="61" t="s">
        <v>1867</v>
      </c>
      <c r="I13" s="99">
        <v>6.02</v>
      </c>
      <c r="J13" s="61" t="s">
        <v>257</v>
      </c>
      <c r="K13" s="25">
        <v>4.9000000000000002E-2</v>
      </c>
      <c r="L13" s="25">
        <v>2.4799999999999999E-2</v>
      </c>
      <c r="M13" s="70">
        <v>3929546.657424476</v>
      </c>
      <c r="N13" s="67">
        <v>156.71</v>
      </c>
      <c r="O13" s="85">
        <v>6157.9925620672284</v>
      </c>
      <c r="P13" s="25">
        <v>2.4306449071347905E-3</v>
      </c>
      <c r="Q13" s="33">
        <v>0.26932919491985252</v>
      </c>
      <c r="R13" s="33">
        <v>1.0690011154956269E-2</v>
      </c>
    </row>
    <row r="14" spans="1:18" x14ac:dyDescent="0.25">
      <c r="A14" s="17" t="s">
        <v>1875</v>
      </c>
      <c r="B14" s="25" t="s">
        <v>1876</v>
      </c>
      <c r="C14" s="25" t="s">
        <v>251</v>
      </c>
      <c r="D14" s="25" t="s">
        <v>745</v>
      </c>
      <c r="E14" s="25" t="s">
        <v>204</v>
      </c>
      <c r="F14" s="67" t="s">
        <v>255</v>
      </c>
      <c r="G14" s="61" t="s">
        <v>256</v>
      </c>
      <c r="H14" s="61" t="s">
        <v>1877</v>
      </c>
      <c r="I14" s="99">
        <v>9.77</v>
      </c>
      <c r="J14" s="61" t="s">
        <v>257</v>
      </c>
      <c r="K14" s="25">
        <v>4.0999999999999995E-2</v>
      </c>
      <c r="L14" s="25">
        <v>2.4799999999999999E-2</v>
      </c>
      <c r="M14" s="70">
        <v>5252693.4353681598</v>
      </c>
      <c r="N14" s="67">
        <v>137.80000000000001</v>
      </c>
      <c r="O14" s="85">
        <v>7238.2115449968705</v>
      </c>
      <c r="P14" s="25">
        <v>1.4465117143882356E-3</v>
      </c>
      <c r="Q14" s="33">
        <v>0.31657421934578595</v>
      </c>
      <c r="R14" s="33">
        <v>1.2565225010920542E-2</v>
      </c>
    </row>
    <row r="15" spans="1:18" x14ac:dyDescent="0.25">
      <c r="A15" s="17" t="s">
        <v>1888</v>
      </c>
      <c r="B15" s="25" t="s">
        <v>1889</v>
      </c>
      <c r="C15" s="25" t="s">
        <v>251</v>
      </c>
      <c r="D15" s="25" t="s">
        <v>1890</v>
      </c>
      <c r="E15" s="25" t="s">
        <v>204</v>
      </c>
      <c r="F15" s="67" t="s">
        <v>536</v>
      </c>
      <c r="G15" s="61" t="s">
        <v>521</v>
      </c>
      <c r="H15" s="61" t="s">
        <v>1891</v>
      </c>
      <c r="I15" s="99">
        <v>4.82</v>
      </c>
      <c r="J15" s="61" t="s">
        <v>257</v>
      </c>
      <c r="K15" s="25">
        <v>1.55E-2</v>
      </c>
      <c r="L15" s="25">
        <v>2.6800000000000001E-2</v>
      </c>
      <c r="M15" s="70">
        <v>185588.53382695981</v>
      </c>
      <c r="N15" s="67">
        <v>99.159999999999982</v>
      </c>
      <c r="O15" s="85">
        <v>184.02959014281336</v>
      </c>
      <c r="P15" s="25">
        <v>3.0931422304493304E-4</v>
      </c>
      <c r="Q15" s="33">
        <v>8.0488147484795939E-3</v>
      </c>
      <c r="R15" s="33">
        <v>3.1946748094289563E-4</v>
      </c>
    </row>
    <row r="16" spans="1:18" x14ac:dyDescent="0.25">
      <c r="A16" s="17" t="s">
        <v>1892</v>
      </c>
      <c r="B16" s="25" t="s">
        <v>1893</v>
      </c>
      <c r="C16" s="25" t="s">
        <v>251</v>
      </c>
      <c r="D16" s="25" t="s">
        <v>1890</v>
      </c>
      <c r="E16" s="25" t="s">
        <v>204</v>
      </c>
      <c r="F16" s="67" t="s">
        <v>536</v>
      </c>
      <c r="G16" s="61" t="s">
        <v>521</v>
      </c>
      <c r="H16" s="61" t="s">
        <v>1891</v>
      </c>
      <c r="I16" s="99">
        <v>7.41</v>
      </c>
      <c r="J16" s="61" t="s">
        <v>257</v>
      </c>
      <c r="K16" s="25">
        <v>1.7500000000000002E-2</v>
      </c>
      <c r="L16" s="25">
        <v>2.6699999999999998E-2</v>
      </c>
      <c r="M16" s="70">
        <v>159053.29258325329</v>
      </c>
      <c r="N16" s="67">
        <v>97.81</v>
      </c>
      <c r="O16" s="85">
        <v>155.57002547568004</v>
      </c>
      <c r="P16" s="25">
        <v>3.9763323145813325E-4</v>
      </c>
      <c r="Q16" s="33">
        <v>6.804092290257694E-3</v>
      </c>
      <c r="R16" s="33">
        <v>2.70062896463384E-4</v>
      </c>
    </row>
    <row r="17" spans="1:18" x14ac:dyDescent="0.25">
      <c r="A17" s="17" t="s">
        <v>1884</v>
      </c>
      <c r="B17" s="25" t="s">
        <v>1885</v>
      </c>
      <c r="C17" s="25" t="s">
        <v>251</v>
      </c>
      <c r="D17" s="25" t="s">
        <v>1886</v>
      </c>
      <c r="E17" s="25" t="s">
        <v>225</v>
      </c>
      <c r="F17" s="67" t="s">
        <v>536</v>
      </c>
      <c r="G17" s="61" t="s">
        <v>521</v>
      </c>
      <c r="H17" s="61" t="s">
        <v>1887</v>
      </c>
      <c r="I17" s="99">
        <v>8.1999999999999993</v>
      </c>
      <c r="J17" s="61" t="s">
        <v>257</v>
      </c>
      <c r="K17" s="25">
        <v>8.3000000000000001E-3</v>
      </c>
      <c r="L17" s="25">
        <v>2.4E-2</v>
      </c>
      <c r="M17" s="70">
        <v>26513.277554260712</v>
      </c>
      <c r="N17" s="67">
        <v>97.2</v>
      </c>
      <c r="O17" s="85">
        <v>25.770905781809635</v>
      </c>
      <c r="P17" s="25">
        <v>7.7918351762602385E-5</v>
      </c>
      <c r="Q17" s="33">
        <v>1.1271298619821857E-3</v>
      </c>
      <c r="R17" s="33">
        <v>4.4737187891047083E-5</v>
      </c>
    </row>
    <row r="18" spans="1:18" x14ac:dyDescent="0.25">
      <c r="A18" s="17" t="s">
        <v>1868</v>
      </c>
      <c r="B18" s="25" t="s">
        <v>1869</v>
      </c>
      <c r="C18" s="25" t="s">
        <v>251</v>
      </c>
      <c r="D18" s="25" t="s">
        <v>696</v>
      </c>
      <c r="E18" s="25" t="s">
        <v>204</v>
      </c>
      <c r="F18" s="67" t="s">
        <v>599</v>
      </c>
      <c r="G18" s="61" t="s">
        <v>521</v>
      </c>
      <c r="H18" s="61" t="s">
        <v>1870</v>
      </c>
      <c r="I18" s="99">
        <v>1.9200000000000002</v>
      </c>
      <c r="J18" s="61" t="s">
        <v>257</v>
      </c>
      <c r="K18" s="25">
        <v>5.5999999999999994E-2</v>
      </c>
      <c r="L18" s="25">
        <v>2.4799999999999999E-2</v>
      </c>
      <c r="M18" s="70">
        <v>1059310.5203808206</v>
      </c>
      <c r="N18" s="67">
        <v>141.53</v>
      </c>
      <c r="O18" s="85">
        <v>1499.2421755472908</v>
      </c>
      <c r="P18" s="25">
        <v>2.4576912590850482E-3</v>
      </c>
      <c r="Q18" s="33">
        <v>6.5571642716386866E-2</v>
      </c>
      <c r="R18" s="33">
        <v>2.6026201589306945E-3</v>
      </c>
    </row>
    <row r="19" spans="1:18" x14ac:dyDescent="0.25">
      <c r="A19" s="17" t="s">
        <v>1878</v>
      </c>
      <c r="B19" s="25" t="s">
        <v>1879</v>
      </c>
      <c r="C19" s="25" t="s">
        <v>251</v>
      </c>
      <c r="D19" s="25" t="s">
        <v>696</v>
      </c>
      <c r="E19" s="25" t="s">
        <v>204</v>
      </c>
      <c r="F19" s="67" t="s">
        <v>599</v>
      </c>
      <c r="G19" s="61" t="s">
        <v>521</v>
      </c>
      <c r="H19" s="61" t="s">
        <v>1880</v>
      </c>
      <c r="I19" s="99">
        <v>4.6900000000000004</v>
      </c>
      <c r="J19" s="61" t="s">
        <v>257</v>
      </c>
      <c r="K19" s="25">
        <v>4.9299999999999997E-2</v>
      </c>
      <c r="L19" s="25">
        <v>2.18E-2</v>
      </c>
      <c r="M19" s="70">
        <v>1635829.6043147729</v>
      </c>
      <c r="N19" s="67">
        <v>128.56</v>
      </c>
      <c r="O19" s="85">
        <v>2103.0225306423013</v>
      </c>
      <c r="P19" s="25">
        <v>2.372465058426258E-3</v>
      </c>
      <c r="Q19" s="33">
        <v>9.1978897240834037E-2</v>
      </c>
      <c r="R19" s="33">
        <v>3.6507569772288935E-3</v>
      </c>
    </row>
    <row r="20" spans="1:18" x14ac:dyDescent="0.25">
      <c r="A20" s="17" t="s">
        <v>1861</v>
      </c>
      <c r="B20" s="25" t="s">
        <v>1862</v>
      </c>
      <c r="C20" s="25" t="s">
        <v>251</v>
      </c>
      <c r="D20" s="25" t="s">
        <v>1863</v>
      </c>
      <c r="E20" s="25" t="s">
        <v>202</v>
      </c>
      <c r="F20" s="67" t="s">
        <v>545</v>
      </c>
      <c r="G20" s="61" t="s">
        <v>256</v>
      </c>
      <c r="H20" s="61" t="s">
        <v>1864</v>
      </c>
      <c r="I20" s="99">
        <v>1.1299999999999999</v>
      </c>
      <c r="J20" s="61" t="s">
        <v>257</v>
      </c>
      <c r="K20" s="25">
        <v>7.7499999999999999E-2</v>
      </c>
      <c r="L20" s="25">
        <v>2.9100000000000001E-2</v>
      </c>
      <c r="M20" s="70">
        <v>903.17109310335502</v>
      </c>
      <c r="N20" s="67">
        <v>146.12</v>
      </c>
      <c r="O20" s="85">
        <v>1.3197135999781546</v>
      </c>
      <c r="P20" s="25">
        <v>5.9725546056783927E-6</v>
      </c>
      <c r="Q20" s="33">
        <v>5.7719686703807405E-5</v>
      </c>
      <c r="R20" s="33">
        <v>2.2909662463733178E-6</v>
      </c>
    </row>
    <row r="21" spans="1:18" x14ac:dyDescent="0.25">
      <c r="A21" s="17" t="s">
        <v>1856</v>
      </c>
      <c r="B21" s="25" t="s">
        <v>1857</v>
      </c>
      <c r="C21" s="25" t="s">
        <v>251</v>
      </c>
      <c r="D21" s="25" t="s">
        <v>1126</v>
      </c>
      <c r="E21" s="25" t="s">
        <v>201</v>
      </c>
      <c r="F21" s="67" t="s">
        <v>591</v>
      </c>
      <c r="G21" s="61" t="s">
        <v>521</v>
      </c>
      <c r="H21" s="61" t="s">
        <v>1858</v>
      </c>
      <c r="I21" s="99">
        <v>3.9799999999999995</v>
      </c>
      <c r="J21" s="61" t="s">
        <v>257</v>
      </c>
      <c r="K21" s="25">
        <v>3.3000000000000002E-2</v>
      </c>
      <c r="L21" s="25">
        <v>1.5900000000000001E-2</v>
      </c>
      <c r="M21" s="70">
        <v>1185199.6369247008</v>
      </c>
      <c r="N21" s="67">
        <v>119.82</v>
      </c>
      <c r="O21" s="85">
        <v>1420.1062049631764</v>
      </c>
      <c r="P21" s="25">
        <v>5.838421856771925E-3</v>
      </c>
      <c r="Q21" s="33">
        <v>6.211051036979863E-2</v>
      </c>
      <c r="R21" s="33">
        <v>2.4652435057801935E-3</v>
      </c>
    </row>
    <row r="22" spans="1:18" x14ac:dyDescent="0.25">
      <c r="A22" s="17" t="s">
        <v>1881</v>
      </c>
      <c r="B22" s="25" t="s">
        <v>1882</v>
      </c>
      <c r="C22" s="25" t="s">
        <v>251</v>
      </c>
      <c r="D22" s="25" t="s">
        <v>828</v>
      </c>
      <c r="E22" s="25" t="s">
        <v>234</v>
      </c>
      <c r="F22" s="67" t="s">
        <v>669</v>
      </c>
      <c r="G22" s="61" t="s">
        <v>521</v>
      </c>
      <c r="H22" s="61" t="s">
        <v>1883</v>
      </c>
      <c r="I22" s="99">
        <v>0</v>
      </c>
      <c r="J22" s="61" t="s">
        <v>257</v>
      </c>
      <c r="K22" s="25">
        <v>3.15E-2</v>
      </c>
      <c r="L22" s="25">
        <v>0</v>
      </c>
      <c r="M22" s="70">
        <v>125426.41</v>
      </c>
      <c r="N22" s="67">
        <v>113.52</v>
      </c>
      <c r="O22" s="85">
        <v>142.38406000000001</v>
      </c>
      <c r="P22" s="25">
        <v>2.1864602827090566E-3</v>
      </c>
      <c r="Q22" s="33">
        <v>6.2273839831249412E-3</v>
      </c>
      <c r="R22" s="33">
        <v>2.4717262555072015E-4</v>
      </c>
    </row>
    <row r="23" spans="1:18" x14ac:dyDescent="0.25">
      <c r="A23" s="17" t="s">
        <v>1871</v>
      </c>
      <c r="B23" s="25" t="s">
        <v>1872</v>
      </c>
      <c r="C23" s="25" t="s">
        <v>251</v>
      </c>
      <c r="D23" s="25" t="s">
        <v>1873</v>
      </c>
      <c r="E23" s="25" t="s">
        <v>218</v>
      </c>
      <c r="F23" s="67" t="s">
        <v>681</v>
      </c>
      <c r="G23" s="61" t="s">
        <v>521</v>
      </c>
      <c r="H23" s="61" t="s">
        <v>1874</v>
      </c>
      <c r="I23" s="99">
        <v>0.99</v>
      </c>
      <c r="J23" s="61" t="s">
        <v>257</v>
      </c>
      <c r="K23" s="25">
        <v>7.1500000000000008E-2</v>
      </c>
      <c r="L23" s="25">
        <v>2.3199999999999998E-2</v>
      </c>
      <c r="M23" s="70">
        <v>1435368.53</v>
      </c>
      <c r="N23" s="67">
        <v>125.04000000000002</v>
      </c>
      <c r="O23" s="85">
        <v>1794.7848000000001</v>
      </c>
      <c r="P23" s="25">
        <v>0</v>
      </c>
      <c r="Q23" s="33">
        <v>7.8497650064734081E-2</v>
      </c>
      <c r="R23" s="33">
        <v>3.1156694879646229E-3</v>
      </c>
    </row>
    <row r="24" spans="1:18" x14ac:dyDescent="0.25">
      <c r="A24" s="17" t="s">
        <v>1859</v>
      </c>
      <c r="B24" s="25" t="s">
        <v>1860</v>
      </c>
      <c r="C24" s="25" t="s">
        <v>251</v>
      </c>
      <c r="D24" s="25" t="s">
        <v>1349</v>
      </c>
      <c r="E24" s="25" t="s">
        <v>200</v>
      </c>
      <c r="F24" s="67" t="s">
        <v>499</v>
      </c>
      <c r="G24" s="61" t="s">
        <v>499</v>
      </c>
      <c r="H24" s="61" t="s">
        <v>1355</v>
      </c>
      <c r="I24" s="99">
        <v>3.5</v>
      </c>
      <c r="J24" s="61" t="s">
        <v>257</v>
      </c>
      <c r="K24" s="25">
        <v>0.01</v>
      </c>
      <c r="L24" s="25">
        <v>4.3799999999999999E-2</v>
      </c>
      <c r="M24" s="70">
        <v>1279.2697596378569</v>
      </c>
      <c r="N24" s="67">
        <v>90.45</v>
      </c>
      <c r="O24" s="85">
        <v>1.1570994380932682</v>
      </c>
      <c r="P24" s="25">
        <v>2.5174546592369663E-5</v>
      </c>
      <c r="Q24" s="33">
        <v>5.0607508366209587E-5</v>
      </c>
      <c r="R24" s="33">
        <v>2.0086750310166464E-6</v>
      </c>
    </row>
    <row r="25" spans="1:18" s="118" customFormat="1" x14ac:dyDescent="0.25">
      <c r="A25" s="93" t="s">
        <v>1853</v>
      </c>
      <c r="B25" s="136" t="s">
        <v>251</v>
      </c>
      <c r="C25" s="136" t="s">
        <v>251</v>
      </c>
      <c r="D25" s="136" t="s">
        <v>251</v>
      </c>
      <c r="E25" s="136" t="s">
        <v>251</v>
      </c>
      <c r="F25" s="121" t="s">
        <v>251</v>
      </c>
      <c r="G25" s="135" t="s">
        <v>251</v>
      </c>
      <c r="H25" s="135" t="s">
        <v>251</v>
      </c>
      <c r="I25" s="132" t="s">
        <v>251</v>
      </c>
      <c r="J25" s="135" t="s">
        <v>251</v>
      </c>
      <c r="K25" s="136" t="s">
        <v>251</v>
      </c>
      <c r="L25" s="136" t="s">
        <v>251</v>
      </c>
      <c r="M25" s="134" t="s">
        <v>251</v>
      </c>
      <c r="N25" s="121" t="s">
        <v>251</v>
      </c>
      <c r="O25" s="123">
        <v>2103.8525739245993</v>
      </c>
      <c r="P25" s="136"/>
      <c r="Q25" s="120">
        <v>9.2015200449504175E-2</v>
      </c>
      <c r="R25" s="120">
        <v>3.6521978967911416E-3</v>
      </c>
    </row>
    <row r="26" spans="1:18" x14ac:dyDescent="0.25">
      <c r="A26" s="17" t="s">
        <v>1898</v>
      </c>
      <c r="B26" s="25" t="s">
        <v>1899</v>
      </c>
      <c r="C26" s="25" t="s">
        <v>251</v>
      </c>
      <c r="D26" s="25" t="s">
        <v>1900</v>
      </c>
      <c r="E26" s="25" t="s">
        <v>195</v>
      </c>
      <c r="F26" s="67" t="s">
        <v>536</v>
      </c>
      <c r="G26" s="61" t="s">
        <v>521</v>
      </c>
      <c r="H26" s="61" t="s">
        <v>1901</v>
      </c>
      <c r="I26" s="99">
        <v>4.83</v>
      </c>
      <c r="J26" s="61" t="s">
        <v>257</v>
      </c>
      <c r="K26" s="25">
        <v>3.7400000000000003E-2</v>
      </c>
      <c r="L26" s="25">
        <v>5.04E-2</v>
      </c>
      <c r="M26" s="70">
        <v>960411.68616139761</v>
      </c>
      <c r="N26" s="67">
        <v>95.22</v>
      </c>
      <c r="O26" s="85">
        <v>914.5039967875158</v>
      </c>
      <c r="P26" s="25">
        <v>1.4150328251890552E-3</v>
      </c>
      <c r="Q26" s="33">
        <v>3.9997226811051168E-2</v>
      </c>
      <c r="R26" s="33">
        <v>1.5875397425989793E-3</v>
      </c>
    </row>
    <row r="27" spans="1:18" x14ac:dyDescent="0.25">
      <c r="A27" s="17" t="s">
        <v>1902</v>
      </c>
      <c r="B27" s="25" t="s">
        <v>1903</v>
      </c>
      <c r="C27" s="25" t="s">
        <v>251</v>
      </c>
      <c r="D27" s="25" t="s">
        <v>1900</v>
      </c>
      <c r="E27" s="25" t="s">
        <v>195</v>
      </c>
      <c r="F27" s="67" t="s">
        <v>536</v>
      </c>
      <c r="G27" s="61" t="s">
        <v>521</v>
      </c>
      <c r="H27" s="61" t="s">
        <v>1901</v>
      </c>
      <c r="I27" s="99">
        <v>1.64</v>
      </c>
      <c r="J27" s="61" t="s">
        <v>257</v>
      </c>
      <c r="K27" s="25">
        <v>2.5000000000000001E-2</v>
      </c>
      <c r="L27" s="25">
        <v>4.9599999999999998E-2</v>
      </c>
      <c r="M27" s="70">
        <v>292654.52771656599</v>
      </c>
      <c r="N27" s="67">
        <v>96.87</v>
      </c>
      <c r="O27" s="85">
        <v>283.49443523842433</v>
      </c>
      <c r="P27" s="25">
        <v>7.1721045049269417E-4</v>
      </c>
      <c r="Q27" s="33">
        <v>1.2399061420982198E-2</v>
      </c>
      <c r="R27" s="33">
        <v>4.921341889457284E-4</v>
      </c>
    </row>
    <row r="28" spans="1:18" x14ac:dyDescent="0.25">
      <c r="A28" s="17" t="s">
        <v>1904</v>
      </c>
      <c r="B28" s="25" t="s">
        <v>1905</v>
      </c>
      <c r="C28" s="25" t="s">
        <v>251</v>
      </c>
      <c r="D28" s="25" t="s">
        <v>1906</v>
      </c>
      <c r="E28" s="25" t="s">
        <v>223</v>
      </c>
      <c r="F28" s="67" t="s">
        <v>520</v>
      </c>
      <c r="G28" s="61" t="s">
        <v>521</v>
      </c>
      <c r="H28" s="61" t="s">
        <v>1907</v>
      </c>
      <c r="I28" s="99">
        <v>2.7</v>
      </c>
      <c r="J28" s="61" t="s">
        <v>257</v>
      </c>
      <c r="K28" s="25">
        <v>3.1E-2</v>
      </c>
      <c r="L28" s="25">
        <v>5.2400000000000002E-2</v>
      </c>
      <c r="M28" s="70">
        <v>10838.361848692071</v>
      </c>
      <c r="N28" s="67">
        <v>94.65</v>
      </c>
      <c r="O28" s="85">
        <v>10.258509488652026</v>
      </c>
      <c r="P28" s="25">
        <v>1.332127927111529E-5</v>
      </c>
      <c r="Q28" s="33">
        <v>4.486715555123716E-4</v>
      </c>
      <c r="R28" s="33">
        <v>1.7808332790532148E-5</v>
      </c>
    </row>
    <row r="29" spans="1:18" x14ac:dyDescent="0.25">
      <c r="A29" s="17" t="s">
        <v>1908</v>
      </c>
      <c r="B29" s="25" t="s">
        <v>1909</v>
      </c>
      <c r="C29" s="25" t="s">
        <v>251</v>
      </c>
      <c r="D29" s="25" t="s">
        <v>1910</v>
      </c>
      <c r="E29" s="25" t="s">
        <v>198</v>
      </c>
      <c r="F29" s="67" t="s">
        <v>528</v>
      </c>
      <c r="G29" s="61" t="s">
        <v>256</v>
      </c>
      <c r="H29" s="61" t="s">
        <v>1253</v>
      </c>
      <c r="I29" s="99">
        <v>3.93</v>
      </c>
      <c r="J29" s="61" t="s">
        <v>257</v>
      </c>
      <c r="K29" s="25">
        <v>3.3500000000000002E-2</v>
      </c>
      <c r="L29" s="25">
        <v>6.6500000000000004E-2</v>
      </c>
      <c r="M29" s="70">
        <v>21906.520490554885</v>
      </c>
      <c r="N29" s="67">
        <v>88.34</v>
      </c>
      <c r="O29" s="85">
        <v>19.35222020077617</v>
      </c>
      <c r="P29" s="25">
        <v>2.7383150613193607E-5</v>
      </c>
      <c r="Q29" s="33">
        <v>8.4639886035150602E-4</v>
      </c>
      <c r="R29" s="33">
        <v>3.3594624828520342E-5</v>
      </c>
    </row>
    <row r="30" spans="1:18" x14ac:dyDescent="0.25">
      <c r="A30" s="17" t="s">
        <v>1915</v>
      </c>
      <c r="B30" s="25" t="s">
        <v>1916</v>
      </c>
      <c r="C30" s="25" t="s">
        <v>251</v>
      </c>
      <c r="D30" s="25" t="s">
        <v>1917</v>
      </c>
      <c r="E30" s="25" t="s">
        <v>200</v>
      </c>
      <c r="F30" s="67" t="s">
        <v>669</v>
      </c>
      <c r="G30" s="61" t="s">
        <v>521</v>
      </c>
      <c r="H30" s="61" t="s">
        <v>1918</v>
      </c>
      <c r="I30" s="99">
        <v>0.5</v>
      </c>
      <c r="J30" s="61" t="s">
        <v>257</v>
      </c>
      <c r="K30" s="25">
        <v>5.1799999999999999E-2</v>
      </c>
      <c r="L30" s="25">
        <v>8.0500000000000002E-2</v>
      </c>
      <c r="M30" s="70">
        <v>8498.6915106881042</v>
      </c>
      <c r="N30" s="67">
        <v>90.11</v>
      </c>
      <c r="O30" s="85">
        <v>7.6581709195149905</v>
      </c>
      <c r="P30" s="25">
        <v>6.1172471825294062E-5</v>
      </c>
      <c r="Q30" s="33">
        <v>3.3494178297922432E-4</v>
      </c>
      <c r="R30" s="33">
        <v>1.3294256485541239E-5</v>
      </c>
    </row>
    <row r="31" spans="1:18" x14ac:dyDescent="0.25">
      <c r="A31" s="17" t="s">
        <v>1894</v>
      </c>
      <c r="B31" s="25" t="s">
        <v>1895</v>
      </c>
      <c r="C31" s="25" t="s">
        <v>251</v>
      </c>
      <c r="D31" s="25" t="s">
        <v>1896</v>
      </c>
      <c r="E31" s="25" t="s">
        <v>228</v>
      </c>
      <c r="F31" s="67" t="s">
        <v>681</v>
      </c>
      <c r="G31" s="61" t="s">
        <v>521</v>
      </c>
      <c r="H31" s="61" t="s">
        <v>1897</v>
      </c>
      <c r="I31" s="99">
        <v>3.19</v>
      </c>
      <c r="J31" s="61" t="s">
        <v>257</v>
      </c>
      <c r="K31" s="25">
        <v>4.5999999999999999E-2</v>
      </c>
      <c r="L31" s="25">
        <v>6.9500000000000006E-2</v>
      </c>
      <c r="M31" s="70">
        <v>918833.44791918201</v>
      </c>
      <c r="N31" s="67">
        <v>93.24</v>
      </c>
      <c r="O31" s="85">
        <v>856.72030483967524</v>
      </c>
      <c r="P31" s="25">
        <v>2.0869944124511835E-3</v>
      </c>
      <c r="Q31" s="33">
        <v>3.7469968930345925E-2</v>
      </c>
      <c r="R31" s="33">
        <v>1.4872297299981182E-3</v>
      </c>
    </row>
    <row r="32" spans="1:18" x14ac:dyDescent="0.25">
      <c r="A32" s="17" t="s">
        <v>1911</v>
      </c>
      <c r="B32" s="25" t="s">
        <v>1912</v>
      </c>
      <c r="C32" s="25" t="s">
        <v>251</v>
      </c>
      <c r="D32" s="25" t="s">
        <v>1913</v>
      </c>
      <c r="E32" s="25" t="s">
        <v>225</v>
      </c>
      <c r="F32" s="67" t="s">
        <v>566</v>
      </c>
      <c r="G32" s="61" t="s">
        <v>521</v>
      </c>
      <c r="H32" s="61" t="s">
        <v>1914</v>
      </c>
      <c r="I32" s="99">
        <v>3.58</v>
      </c>
      <c r="J32" s="61" t="s">
        <v>257</v>
      </c>
      <c r="K32" s="25">
        <v>7.4999999999999997E-2</v>
      </c>
      <c r="L32" s="25">
        <v>8.2200000000000009E-2</v>
      </c>
      <c r="M32" s="70">
        <v>11725.4040419415</v>
      </c>
      <c r="N32" s="67">
        <v>101.19000000000003</v>
      </c>
      <c r="O32" s="85">
        <v>11.864936350040603</v>
      </c>
      <c r="P32" s="25">
        <v>2.0216213865416378E-5</v>
      </c>
      <c r="Q32" s="33">
        <v>5.1893108390812679E-4</v>
      </c>
      <c r="R32" s="33">
        <v>2.0597020970126249E-5</v>
      </c>
    </row>
    <row r="33" spans="1:18" s="118" customFormat="1" x14ac:dyDescent="0.25">
      <c r="A33" s="93" t="s">
        <v>508</v>
      </c>
      <c r="B33" s="136" t="s">
        <v>251</v>
      </c>
      <c r="C33" s="136" t="s">
        <v>251</v>
      </c>
      <c r="D33" s="136" t="s">
        <v>251</v>
      </c>
      <c r="E33" s="136" t="s">
        <v>251</v>
      </c>
      <c r="F33" s="121" t="s">
        <v>251</v>
      </c>
      <c r="G33" s="135" t="s">
        <v>251</v>
      </c>
      <c r="H33" s="135" t="s">
        <v>251</v>
      </c>
      <c r="I33" s="132" t="s">
        <v>251</v>
      </c>
      <c r="J33" s="135" t="s">
        <v>251</v>
      </c>
      <c r="K33" s="136" t="s">
        <v>251</v>
      </c>
      <c r="L33" s="136" t="s">
        <v>251</v>
      </c>
      <c r="M33" s="134" t="s">
        <v>251</v>
      </c>
      <c r="N33" s="121" t="s">
        <v>251</v>
      </c>
      <c r="O33" s="123">
        <v>36.741300343256434</v>
      </c>
      <c r="P33" s="136"/>
      <c r="Q33" s="120">
        <v>1.6069367966946443E-3</v>
      </c>
      <c r="R33" s="120">
        <v>6.3781322656414409E-5</v>
      </c>
    </row>
    <row r="34" spans="1:18" x14ac:dyDescent="0.25">
      <c r="A34" s="17" t="s">
        <v>1919</v>
      </c>
      <c r="B34" s="25" t="s">
        <v>1920</v>
      </c>
      <c r="C34" s="25" t="s">
        <v>251</v>
      </c>
      <c r="D34" s="25" t="s">
        <v>1921</v>
      </c>
      <c r="E34" s="25" t="s">
        <v>228</v>
      </c>
      <c r="F34" s="67" t="s">
        <v>545</v>
      </c>
      <c r="G34" s="61" t="s">
        <v>256</v>
      </c>
      <c r="H34" s="61" t="s">
        <v>1922</v>
      </c>
      <c r="I34" s="99">
        <v>1.91</v>
      </c>
      <c r="J34" s="61" t="s">
        <v>125</v>
      </c>
      <c r="K34" s="25">
        <v>7.9699999999999993E-2</v>
      </c>
      <c r="L34" s="25">
        <v>5.74E-2</v>
      </c>
      <c r="M34" s="70">
        <v>9160.5939174795531</v>
      </c>
      <c r="N34" s="67">
        <v>108.4</v>
      </c>
      <c r="O34" s="85">
        <v>36.74130024325644</v>
      </c>
      <c r="P34" s="25">
        <v>2.0193226324871486E-4</v>
      </c>
      <c r="Q34" s="33">
        <v>1.6069367923209918E-3</v>
      </c>
      <c r="R34" s="33">
        <v>6.3781322482818692E-5</v>
      </c>
    </row>
    <row r="35" spans="1:18" s="118" customFormat="1" x14ac:dyDescent="0.25">
      <c r="A35" s="93" t="s">
        <v>141</v>
      </c>
      <c r="B35" s="136" t="s">
        <v>251</v>
      </c>
      <c r="C35" s="136" t="s">
        <v>251</v>
      </c>
      <c r="D35" s="136" t="s">
        <v>251</v>
      </c>
      <c r="E35" s="136" t="s">
        <v>251</v>
      </c>
      <c r="F35" s="121" t="s">
        <v>251</v>
      </c>
      <c r="G35" s="135" t="s">
        <v>251</v>
      </c>
      <c r="H35" s="135" t="s">
        <v>251</v>
      </c>
      <c r="I35" s="132" t="s">
        <v>251</v>
      </c>
      <c r="J35" s="135" t="s">
        <v>251</v>
      </c>
      <c r="K35" s="136" t="s">
        <v>251</v>
      </c>
      <c r="L35" s="136" t="s">
        <v>251</v>
      </c>
      <c r="M35" s="134" t="s">
        <v>251</v>
      </c>
      <c r="N35" s="121" t="s">
        <v>251</v>
      </c>
      <c r="O35" s="123">
        <v>0</v>
      </c>
      <c r="P35" s="136"/>
      <c r="Q35" s="120">
        <v>0</v>
      </c>
      <c r="R35" s="120">
        <v>0</v>
      </c>
    </row>
    <row r="36" spans="1:18" s="118" customFormat="1" x14ac:dyDescent="0.25">
      <c r="A36" s="93" t="s">
        <v>488</v>
      </c>
      <c r="B36" s="136" t="s">
        <v>251</v>
      </c>
      <c r="C36" s="136" t="s">
        <v>251</v>
      </c>
      <c r="D36" s="136" t="s">
        <v>251</v>
      </c>
      <c r="E36" s="136" t="s">
        <v>251</v>
      </c>
      <c r="F36" s="121" t="s">
        <v>251</v>
      </c>
      <c r="G36" s="135" t="s">
        <v>251</v>
      </c>
      <c r="H36" s="135" t="s">
        <v>251</v>
      </c>
      <c r="I36" s="132" t="s">
        <v>251</v>
      </c>
      <c r="J36" s="135" t="s">
        <v>251</v>
      </c>
      <c r="K36" s="136" t="s">
        <v>251</v>
      </c>
      <c r="L36" s="136" t="s">
        <v>251</v>
      </c>
      <c r="M36" s="134" t="s">
        <v>251</v>
      </c>
      <c r="N36" s="121" t="s">
        <v>251</v>
      </c>
      <c r="O36" s="123">
        <v>0</v>
      </c>
      <c r="P36" s="136"/>
      <c r="Q36" s="120">
        <v>0</v>
      </c>
      <c r="R36" s="120">
        <v>0</v>
      </c>
    </row>
    <row r="37" spans="1:18" s="118" customFormat="1" x14ac:dyDescent="0.25">
      <c r="A37" s="93" t="s">
        <v>1923</v>
      </c>
      <c r="B37" s="136" t="s">
        <v>251</v>
      </c>
      <c r="C37" s="136" t="s">
        <v>251</v>
      </c>
      <c r="D37" s="136" t="s">
        <v>251</v>
      </c>
      <c r="E37" s="136" t="s">
        <v>251</v>
      </c>
      <c r="F37" s="121" t="s">
        <v>251</v>
      </c>
      <c r="G37" s="135" t="s">
        <v>251</v>
      </c>
      <c r="H37" s="135" t="s">
        <v>251</v>
      </c>
      <c r="I37" s="132" t="s">
        <v>251</v>
      </c>
      <c r="J37" s="135" t="s">
        <v>251</v>
      </c>
      <c r="K37" s="136" t="s">
        <v>251</v>
      </c>
      <c r="L37" s="136" t="s">
        <v>251</v>
      </c>
      <c r="M37" s="134" t="s">
        <v>251</v>
      </c>
      <c r="N37" s="121" t="s">
        <v>251</v>
      </c>
      <c r="O37" s="123">
        <v>0</v>
      </c>
      <c r="P37" s="136"/>
      <c r="Q37" s="120">
        <v>0</v>
      </c>
      <c r="R37" s="120">
        <v>0</v>
      </c>
    </row>
    <row r="38" spans="1:18" s="118" customFormat="1" x14ac:dyDescent="0.25">
      <c r="A38" s="93" t="s">
        <v>1924</v>
      </c>
      <c r="B38" s="136" t="s">
        <v>251</v>
      </c>
      <c r="C38" s="136" t="s">
        <v>251</v>
      </c>
      <c r="D38" s="136" t="s">
        <v>251</v>
      </c>
      <c r="E38" s="136" t="s">
        <v>251</v>
      </c>
      <c r="F38" s="121" t="s">
        <v>251</v>
      </c>
      <c r="G38" s="135" t="s">
        <v>251</v>
      </c>
      <c r="H38" s="135" t="s">
        <v>251</v>
      </c>
      <c r="I38" s="132" t="s">
        <v>251</v>
      </c>
      <c r="J38" s="135" t="s">
        <v>251</v>
      </c>
      <c r="K38" s="136" t="s">
        <v>251</v>
      </c>
      <c r="L38" s="136" t="s">
        <v>251</v>
      </c>
      <c r="M38" s="134" t="s">
        <v>251</v>
      </c>
      <c r="N38" s="121" t="s">
        <v>251</v>
      </c>
      <c r="O38" s="123">
        <v>0</v>
      </c>
      <c r="P38" s="136"/>
      <c r="Q38" s="120">
        <v>0</v>
      </c>
      <c r="R38" s="120">
        <v>0</v>
      </c>
    </row>
    <row r="39" spans="1:18" s="118" customFormat="1" x14ac:dyDescent="0.25">
      <c r="A39" s="79" t="s">
        <v>242</v>
      </c>
      <c r="B39" s="124"/>
      <c r="C39" s="124"/>
      <c r="D39" s="124"/>
      <c r="E39" s="79"/>
      <c r="F39" s="125"/>
      <c r="G39" s="125"/>
      <c r="H39" s="125"/>
      <c r="I39" s="126"/>
      <c r="J39" s="127"/>
      <c r="K39" s="128"/>
      <c r="L39" s="128"/>
      <c r="M39" s="128"/>
      <c r="N39" s="127"/>
      <c r="O39" s="127"/>
      <c r="P39" s="137"/>
      <c r="Q39" s="137"/>
      <c r="R39" s="137"/>
    </row>
    <row r="40" spans="1:18" s="118" customFormat="1" x14ac:dyDescent="0.25">
      <c r="A40" s="79" t="s">
        <v>243</v>
      </c>
      <c r="B40" s="124"/>
      <c r="C40" s="124"/>
      <c r="D40" s="124"/>
      <c r="E40" s="79"/>
      <c r="F40" s="125"/>
      <c r="G40" s="125"/>
      <c r="H40" s="125"/>
      <c r="I40" s="126"/>
      <c r="J40" s="127"/>
      <c r="K40" s="128"/>
      <c r="L40" s="128"/>
      <c r="M40" s="128"/>
      <c r="N40" s="127"/>
      <c r="O40" s="127"/>
      <c r="P40" s="137"/>
      <c r="Q40" s="137"/>
      <c r="R40" s="137"/>
    </row>
    <row r="41" spans="1:18" s="118" customFormat="1" x14ac:dyDescent="0.25">
      <c r="A41" s="79" t="s">
        <v>244</v>
      </c>
      <c r="B41" s="124"/>
      <c r="C41" s="124"/>
      <c r="D41" s="124"/>
      <c r="E41" s="79"/>
      <c r="F41" s="125"/>
      <c r="G41" s="125"/>
      <c r="H41" s="125"/>
      <c r="I41" s="126"/>
      <c r="J41" s="127"/>
      <c r="K41" s="128"/>
      <c r="L41" s="128"/>
      <c r="M41" s="128"/>
      <c r="N41" s="127"/>
      <c r="O41" s="127"/>
      <c r="P41" s="137"/>
      <c r="Q41" s="137"/>
      <c r="R41" s="137"/>
    </row>
    <row r="42" spans="1:18" s="118" customFormat="1" x14ac:dyDescent="0.25">
      <c r="A42" s="79" t="s">
        <v>245</v>
      </c>
      <c r="B42" s="124"/>
      <c r="C42" s="124"/>
      <c r="D42" s="124"/>
      <c r="E42" s="79"/>
      <c r="F42" s="125"/>
      <c r="G42" s="125"/>
      <c r="H42" s="125"/>
      <c r="I42" s="126"/>
      <c r="J42" s="127"/>
      <c r="K42" s="128"/>
      <c r="L42" s="128"/>
      <c r="M42" s="128"/>
      <c r="N42" s="127"/>
      <c r="O42" s="127"/>
      <c r="P42" s="137"/>
      <c r="Q42" s="137"/>
      <c r="R42" s="137"/>
    </row>
    <row r="43" spans="1:18" s="118" customFormat="1" x14ac:dyDescent="0.25">
      <c r="A43" s="79" t="s">
        <v>246</v>
      </c>
      <c r="B43" s="124"/>
      <c r="C43" s="124"/>
      <c r="D43" s="124"/>
      <c r="E43" s="79"/>
      <c r="F43" s="125"/>
      <c r="G43" s="125"/>
      <c r="H43" s="125"/>
      <c r="I43" s="126"/>
      <c r="J43" s="127"/>
      <c r="K43" s="128"/>
      <c r="L43" s="128"/>
      <c r="M43" s="128"/>
      <c r="N43" s="127"/>
      <c r="O43" s="127"/>
      <c r="P43" s="137"/>
      <c r="Q43" s="137"/>
      <c r="R43" s="137"/>
    </row>
  </sheetData>
  <sortState xmlns:xlrd2="http://schemas.microsoft.com/office/spreadsheetml/2017/richdata2" ref="A26:Z32">
    <sortCondition ref="A26:A32" customList="א,ב,ג,ד,ה,ו,ז,ח,ט,י,כ,ל,מ,נ,ס,ע,פ,צ,ק,ר,ש,ת"/>
  </sortState>
  <mergeCells count="2">
    <mergeCell ref="A6:R6"/>
    <mergeCell ref="A5:R5"/>
  </mergeCells>
  <phoneticPr fontId="3" type="noConversion"/>
  <conditionalFormatting sqref="A10:A38 O10:O38">
    <cfRule type="expression" dxfId="63" priority="306" stopIfTrue="1">
      <formula>#REF!&gt;0</formula>
    </cfRule>
    <cfRule type="expression" dxfId="62" priority="307" stopIfTrue="1">
      <formula>LEFT(#REF!,3)="TIR"</formula>
    </cfRule>
  </conditionalFormatting>
  <conditionalFormatting sqref="B10:H38 J10:J38 Q10:R38">
    <cfRule type="expression" dxfId="61" priority="297" stopIfTrue="1">
      <formula>OR(LEFT(#REF!,3)="TIR",LEFT(#REF!,2)="IR")</formula>
    </cfRule>
  </conditionalFormatting>
  <conditionalFormatting sqref="K7">
    <cfRule type="expression" dxfId="60" priority="305" stopIfTrue="1">
      <formula>LEFT(#REF!,3)="TIR"</formula>
    </cfRule>
  </conditionalFormatting>
  <conditionalFormatting sqref="P10:Q38 J1:J4 I10:I38 K10:N38 J39:J55573">
    <cfRule type="expression" dxfId="59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Q19"/>
  <sheetViews>
    <sheetView rightToLeft="1" zoomScale="80" workbookViewId="0"/>
  </sheetViews>
  <sheetFormatPr defaultColWidth="9.109375" defaultRowHeight="13.2" x14ac:dyDescent="0.25"/>
  <cols>
    <col min="1" max="1" width="25" style="10" bestFit="1" customWidth="1"/>
    <col min="2" max="2" width="13.5546875" style="9" bestFit="1" customWidth="1"/>
    <col min="3" max="3" width="12.5546875" style="9" customWidth="1"/>
    <col min="4" max="4" width="13.33203125" style="9" customWidth="1"/>
    <col min="5" max="5" width="11.5546875" style="10" customWidth="1"/>
    <col min="6" max="6" width="11.33203125" style="60" customWidth="1"/>
    <col min="7" max="7" width="10.5546875" style="60" customWidth="1"/>
    <col min="8" max="8" width="8.88671875" style="60" bestFit="1" customWidth="1"/>
    <col min="9" max="9" width="10.44140625" style="37" customWidth="1"/>
    <col min="10" max="10" width="22" style="62" customWidth="1"/>
    <col min="11" max="11" width="25.44140625" style="62" customWidth="1"/>
    <col min="12" max="12" width="20.6640625" style="64" customWidth="1"/>
    <col min="13" max="13" width="11.44140625" style="20" bestFit="1" customWidth="1"/>
    <col min="14" max="14" width="7.33203125" style="20" customWidth="1"/>
    <col min="15" max="16" width="10.5546875" style="13" customWidth="1"/>
    <col min="17" max="17" width="11.44140625" style="15" customWidth="1"/>
    <col min="18" max="18" width="15.44140625" style="15" customWidth="1"/>
    <col min="19" max="16384" width="9.109375" style="15"/>
  </cols>
  <sheetData>
    <row r="1" spans="1:17" s="7" customFormat="1" x14ac:dyDescent="0.25">
      <c r="A1" s="7" t="s">
        <v>237</v>
      </c>
      <c r="B1" s="9" t="s">
        <v>247</v>
      </c>
      <c r="C1" s="9"/>
      <c r="D1" s="9"/>
      <c r="E1" s="10"/>
      <c r="F1" s="60"/>
      <c r="G1" s="60"/>
      <c r="H1" s="60"/>
      <c r="I1" s="37"/>
      <c r="J1" s="62"/>
      <c r="K1" s="62"/>
      <c r="L1" s="63"/>
      <c r="M1" s="14"/>
      <c r="N1" s="14"/>
      <c r="O1" s="13"/>
      <c r="P1" s="13"/>
      <c r="Q1" s="15"/>
    </row>
    <row r="2" spans="1:17" s="7" customFormat="1" x14ac:dyDescent="0.25">
      <c r="A2" s="10" t="s">
        <v>238</v>
      </c>
      <c r="B2" s="9" t="s">
        <v>150</v>
      </c>
      <c r="C2" s="9"/>
      <c r="D2" s="9"/>
      <c r="E2" s="10"/>
      <c r="F2" s="60"/>
      <c r="G2" s="60"/>
      <c r="H2" s="60"/>
      <c r="I2" s="37"/>
      <c r="J2" s="62"/>
      <c r="K2" s="62"/>
      <c r="L2" s="63"/>
      <c r="M2" s="14"/>
      <c r="N2" s="14"/>
      <c r="O2" s="13"/>
      <c r="P2" s="13"/>
      <c r="Q2" s="15"/>
    </row>
    <row r="3" spans="1:17" s="7" customFormat="1" x14ac:dyDescent="0.25">
      <c r="A3" s="10" t="s">
        <v>239</v>
      </c>
      <c r="B3" s="9" t="s">
        <v>240</v>
      </c>
      <c r="C3" s="9"/>
      <c r="D3" s="9"/>
      <c r="E3" s="10"/>
      <c r="F3" s="60"/>
      <c r="G3" s="60"/>
      <c r="H3" s="60"/>
      <c r="I3" s="37"/>
      <c r="J3" s="62"/>
      <c r="K3" s="62"/>
      <c r="L3" s="63"/>
      <c r="M3" s="14"/>
      <c r="N3" s="14"/>
      <c r="O3" s="13"/>
      <c r="P3" s="13"/>
      <c r="Q3" s="15"/>
    </row>
    <row r="4" spans="1:17" s="7" customFormat="1" ht="13.8" thickBot="1" x14ac:dyDescent="0.3">
      <c r="A4" s="10" t="s">
        <v>241</v>
      </c>
      <c r="B4" s="9" t="s">
        <v>249</v>
      </c>
      <c r="C4" s="9"/>
      <c r="D4" s="9"/>
      <c r="E4" s="10"/>
      <c r="F4" s="60"/>
      <c r="G4" s="60"/>
      <c r="H4" s="60"/>
      <c r="I4" s="37"/>
      <c r="J4" s="62"/>
      <c r="K4" s="62"/>
      <c r="L4" s="63"/>
      <c r="M4" s="14"/>
      <c r="N4" s="14"/>
      <c r="O4" s="13"/>
      <c r="P4" s="13"/>
      <c r="Q4" s="15"/>
    </row>
    <row r="5" spans="1:17" s="7" customFormat="1" ht="13.8" thickBot="1" x14ac:dyDescent="0.3">
      <c r="A5" s="226" t="s">
        <v>28</v>
      </c>
      <c r="B5" s="227"/>
      <c r="C5" s="227"/>
      <c r="D5" s="227"/>
      <c r="E5" s="227"/>
      <c r="F5" s="227"/>
      <c r="G5" s="227"/>
      <c r="H5" s="227"/>
      <c r="I5" s="227"/>
      <c r="J5" s="227"/>
      <c r="K5" s="228"/>
      <c r="L5" s="229"/>
      <c r="M5" s="14"/>
      <c r="N5" s="14"/>
      <c r="O5" s="13"/>
      <c r="P5" s="13"/>
      <c r="Q5" s="15"/>
    </row>
    <row r="6" spans="1:17" s="7" customFormat="1" x14ac:dyDescent="0.25">
      <c r="A6" s="223" t="s">
        <v>21</v>
      </c>
      <c r="B6" s="224"/>
      <c r="C6" s="224"/>
      <c r="D6" s="224"/>
      <c r="E6" s="224"/>
      <c r="F6" s="224"/>
      <c r="G6" s="224"/>
      <c r="H6" s="224"/>
      <c r="I6" s="224"/>
      <c r="J6" s="224"/>
      <c r="K6" s="224"/>
      <c r="L6" s="225"/>
    </row>
    <row r="7" spans="1:17" s="7" customFormat="1" ht="33.75" customHeight="1" x14ac:dyDescent="0.25">
      <c r="A7" s="87" t="s">
        <v>157</v>
      </c>
      <c r="B7" s="203" t="s">
        <v>69</v>
      </c>
      <c r="C7" s="203" t="s">
        <v>79</v>
      </c>
      <c r="D7" s="203" t="s">
        <v>74</v>
      </c>
      <c r="E7" s="203" t="s">
        <v>19</v>
      </c>
      <c r="F7" s="203" t="s">
        <v>6</v>
      </c>
      <c r="G7" s="204" t="s">
        <v>67</v>
      </c>
      <c r="H7" s="204" t="s">
        <v>68</v>
      </c>
      <c r="I7" s="204" t="s">
        <v>7</v>
      </c>
      <c r="J7" s="204" t="s">
        <v>17</v>
      </c>
      <c r="K7" s="90" t="s">
        <v>75</v>
      </c>
      <c r="L7" s="91" t="s">
        <v>8</v>
      </c>
    </row>
    <row r="8" spans="1:17" s="7" customFormat="1" x14ac:dyDescent="0.25">
      <c r="A8" s="27"/>
      <c r="B8" s="3"/>
      <c r="C8" s="3"/>
      <c r="D8" s="3"/>
      <c r="E8" s="3"/>
      <c r="F8" s="30"/>
      <c r="G8" s="2" t="s">
        <v>133</v>
      </c>
      <c r="H8" s="2"/>
      <c r="I8" s="2" t="s">
        <v>135</v>
      </c>
      <c r="J8" s="2" t="s">
        <v>9</v>
      </c>
      <c r="K8" s="31" t="s">
        <v>9</v>
      </c>
      <c r="L8" s="6" t="s">
        <v>9</v>
      </c>
    </row>
    <row r="9" spans="1:17" s="16" customFormat="1" ht="12.75" customHeight="1" x14ac:dyDescent="0.25">
      <c r="A9" s="27"/>
      <c r="B9" s="3">
        <v>1</v>
      </c>
      <c r="C9" s="3">
        <v>2</v>
      </c>
      <c r="D9" s="3">
        <v>3</v>
      </c>
      <c r="E9" s="3">
        <v>4</v>
      </c>
      <c r="F9" s="3">
        <v>5</v>
      </c>
      <c r="G9" s="3">
        <v>6</v>
      </c>
      <c r="H9" s="3">
        <v>7</v>
      </c>
      <c r="I9" s="3">
        <v>8</v>
      </c>
      <c r="J9" s="3">
        <v>9</v>
      </c>
      <c r="K9" s="58">
        <v>10</v>
      </c>
      <c r="L9" s="45">
        <v>11</v>
      </c>
    </row>
    <row r="10" spans="1:17" s="118" customFormat="1" ht="12.75" customHeight="1" thickBot="1" x14ac:dyDescent="0.3">
      <c r="A10" s="100" t="s">
        <v>59</v>
      </c>
      <c r="B10" s="68"/>
      <c r="C10" s="68"/>
      <c r="D10" s="68"/>
      <c r="E10" s="68"/>
      <c r="F10" s="101"/>
      <c r="G10" s="102"/>
      <c r="H10" s="101"/>
      <c r="I10" s="105">
        <v>3.0000000000000004E-7</v>
      </c>
      <c r="J10" s="68"/>
      <c r="K10" s="68">
        <v>1</v>
      </c>
      <c r="L10" s="59">
        <v>0</v>
      </c>
    </row>
    <row r="11" spans="1:17" s="118" customFormat="1" x14ac:dyDescent="0.25">
      <c r="A11" s="92" t="s">
        <v>137</v>
      </c>
      <c r="B11" s="120" t="s">
        <v>251</v>
      </c>
      <c r="C11" s="120" t="s">
        <v>251</v>
      </c>
      <c r="D11" s="120" t="s">
        <v>251</v>
      </c>
      <c r="E11" s="120" t="s">
        <v>251</v>
      </c>
      <c r="F11" s="121" t="s">
        <v>251</v>
      </c>
      <c r="G11" s="132" t="s">
        <v>251</v>
      </c>
      <c r="H11" s="121" t="s">
        <v>251</v>
      </c>
      <c r="I11" s="133">
        <v>0</v>
      </c>
      <c r="J11" s="120" t="s">
        <v>251</v>
      </c>
      <c r="K11" s="120">
        <v>0</v>
      </c>
      <c r="L11" s="120">
        <v>0</v>
      </c>
    </row>
    <row r="12" spans="1:17" s="118" customFormat="1" x14ac:dyDescent="0.25">
      <c r="A12" s="93" t="s">
        <v>488</v>
      </c>
      <c r="B12" s="136" t="s">
        <v>251</v>
      </c>
      <c r="C12" s="136" t="s">
        <v>251</v>
      </c>
      <c r="D12" s="136" t="s">
        <v>251</v>
      </c>
      <c r="E12" s="136" t="s">
        <v>251</v>
      </c>
      <c r="F12" s="135" t="s">
        <v>251</v>
      </c>
      <c r="G12" s="134" t="s">
        <v>251</v>
      </c>
      <c r="H12" s="121" t="s">
        <v>251</v>
      </c>
      <c r="I12" s="122">
        <v>0</v>
      </c>
      <c r="J12" s="120"/>
      <c r="K12" s="120">
        <v>0</v>
      </c>
      <c r="L12" s="120">
        <v>0</v>
      </c>
    </row>
    <row r="13" spans="1:17" s="118" customFormat="1" x14ac:dyDescent="0.25">
      <c r="A13" s="93" t="s">
        <v>143</v>
      </c>
      <c r="B13" s="136" t="s">
        <v>251</v>
      </c>
      <c r="C13" s="136" t="s">
        <v>251</v>
      </c>
      <c r="D13" s="136" t="s">
        <v>251</v>
      </c>
      <c r="E13" s="136" t="s">
        <v>251</v>
      </c>
      <c r="F13" s="135" t="s">
        <v>251</v>
      </c>
      <c r="G13" s="134" t="s">
        <v>251</v>
      </c>
      <c r="H13" s="121" t="s">
        <v>251</v>
      </c>
      <c r="I13" s="122">
        <v>0</v>
      </c>
      <c r="J13" s="120"/>
      <c r="K13" s="120">
        <v>0</v>
      </c>
      <c r="L13" s="120">
        <v>0</v>
      </c>
    </row>
    <row r="14" spans="1:17" s="118" customFormat="1" x14ac:dyDescent="0.25">
      <c r="A14" s="93" t="s">
        <v>144</v>
      </c>
      <c r="B14" s="136" t="s">
        <v>251</v>
      </c>
      <c r="C14" s="136" t="s">
        <v>251</v>
      </c>
      <c r="D14" s="136" t="s">
        <v>251</v>
      </c>
      <c r="E14" s="136" t="s">
        <v>251</v>
      </c>
      <c r="F14" s="135" t="s">
        <v>251</v>
      </c>
      <c r="G14" s="134" t="s">
        <v>251</v>
      </c>
      <c r="H14" s="121" t="s">
        <v>251</v>
      </c>
      <c r="I14" s="122">
        <v>0</v>
      </c>
      <c r="J14" s="120"/>
      <c r="K14" s="120">
        <v>0</v>
      </c>
      <c r="L14" s="120">
        <v>0</v>
      </c>
    </row>
    <row r="15" spans="1:17" s="118" customFormat="1" x14ac:dyDescent="0.25">
      <c r="A15" s="79" t="s">
        <v>242</v>
      </c>
      <c r="B15" s="124"/>
      <c r="C15" s="124"/>
      <c r="D15" s="124"/>
      <c r="E15" s="79"/>
      <c r="F15" s="125"/>
      <c r="G15" s="125"/>
      <c r="H15" s="125"/>
      <c r="I15" s="126"/>
      <c r="J15" s="127"/>
      <c r="K15" s="127"/>
      <c r="L15" s="128"/>
      <c r="M15" s="147"/>
      <c r="N15" s="147"/>
      <c r="O15" s="129"/>
      <c r="P15" s="129"/>
    </row>
    <row r="16" spans="1:17" s="118" customFormat="1" x14ac:dyDescent="0.25">
      <c r="A16" s="79" t="s">
        <v>243</v>
      </c>
      <c r="B16" s="124"/>
      <c r="C16" s="124"/>
      <c r="D16" s="124"/>
      <c r="E16" s="79"/>
      <c r="F16" s="125"/>
      <c r="G16" s="125"/>
      <c r="H16" s="125"/>
      <c r="I16" s="126"/>
      <c r="J16" s="127"/>
      <c r="K16" s="127"/>
      <c r="L16" s="128"/>
      <c r="M16" s="147"/>
      <c r="N16" s="147"/>
      <c r="O16" s="129"/>
      <c r="P16" s="129"/>
    </row>
    <row r="17" spans="1:16" s="118" customFormat="1" x14ac:dyDescent="0.25">
      <c r="A17" s="79" t="s">
        <v>244</v>
      </c>
      <c r="B17" s="124"/>
      <c r="C17" s="124"/>
      <c r="D17" s="124"/>
      <c r="E17" s="79"/>
      <c r="F17" s="125"/>
      <c r="G17" s="125"/>
      <c r="H17" s="125"/>
      <c r="I17" s="126"/>
      <c r="J17" s="127"/>
      <c r="K17" s="127"/>
      <c r="L17" s="128"/>
      <c r="M17" s="147"/>
      <c r="N17" s="147"/>
      <c r="O17" s="129"/>
      <c r="P17" s="129"/>
    </row>
    <row r="18" spans="1:16" s="118" customFormat="1" x14ac:dyDescent="0.25">
      <c r="A18" s="79" t="s">
        <v>245</v>
      </c>
      <c r="B18" s="124"/>
      <c r="C18" s="124"/>
      <c r="D18" s="124"/>
      <c r="E18" s="79"/>
      <c r="F18" s="125"/>
      <c r="G18" s="125"/>
      <c r="H18" s="125"/>
      <c r="I18" s="126"/>
      <c r="J18" s="127"/>
      <c r="K18" s="127"/>
      <c r="L18" s="128"/>
      <c r="M18" s="147"/>
      <c r="N18" s="147"/>
      <c r="O18" s="129"/>
      <c r="P18" s="129"/>
    </row>
    <row r="19" spans="1:16" s="118" customFormat="1" x14ac:dyDescent="0.25">
      <c r="A19" s="79" t="s">
        <v>246</v>
      </c>
      <c r="B19" s="124"/>
      <c r="C19" s="124"/>
      <c r="D19" s="124"/>
      <c r="E19" s="79"/>
      <c r="F19" s="125"/>
      <c r="G19" s="125"/>
      <c r="H19" s="125"/>
      <c r="I19" s="126"/>
      <c r="J19" s="127"/>
      <c r="K19" s="127"/>
      <c r="L19" s="128"/>
      <c r="M19" s="147"/>
      <c r="N19" s="147"/>
      <c r="O19" s="129"/>
      <c r="P19" s="129"/>
    </row>
  </sheetData>
  <mergeCells count="2">
    <mergeCell ref="A6:L6"/>
    <mergeCell ref="A5:L5"/>
  </mergeCells>
  <phoneticPr fontId="3" type="noConversion"/>
  <conditionalFormatting sqref="A10:A14 I10:I14">
    <cfRule type="expression" dxfId="58" priority="325" stopIfTrue="1">
      <formula>#REF!&gt;0</formula>
    </cfRule>
    <cfRule type="expression" dxfId="57" priority="326" stopIfTrue="1">
      <formula>LEFT(#REF!,3)="TIR"</formula>
    </cfRule>
  </conditionalFormatting>
  <conditionalFormatting sqref="B10:F14 K10:K14 L11:L14">
    <cfRule type="expression" dxfId="56" priority="322" stopIfTrue="1">
      <formula>OR(LEFT(#REF!,3)="TIR",LEFT(#REF!,2)="IR")</formula>
    </cfRule>
  </conditionalFormatting>
  <conditionalFormatting sqref="C10:D14">
    <cfRule type="expression" dxfId="55" priority="329" stopIfTrue="1">
      <formula>LEFT(#REF!,3)="TIR"</formula>
    </cfRule>
  </conditionalFormatting>
  <conditionalFormatting sqref="J1:K4 G10:H14 J10:J55549">
    <cfRule type="expression" dxfId="54" priority="31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Q49"/>
  <sheetViews>
    <sheetView rightToLeft="1" zoomScale="80" zoomScaleNormal="80" workbookViewId="0"/>
  </sheetViews>
  <sheetFormatPr defaultColWidth="9.109375" defaultRowHeight="13.2" x14ac:dyDescent="0.25"/>
  <cols>
    <col min="1" max="1" width="42.6640625" style="10" bestFit="1" customWidth="1"/>
    <col min="2" max="2" width="15.109375" style="9" bestFit="1" customWidth="1"/>
    <col min="3" max="3" width="12" style="60" bestFit="1" customWidth="1"/>
    <col min="4" max="4" width="14.109375" style="60" customWidth="1"/>
    <col min="5" max="5" width="12.44140625" style="60" bestFit="1" customWidth="1"/>
    <col min="6" max="6" width="10.33203125" style="37" bestFit="1" customWidth="1"/>
    <col min="7" max="7" width="11.33203125" style="62" bestFit="1" customWidth="1"/>
    <col min="8" max="8" width="22.88671875" style="64" bestFit="1" customWidth="1"/>
    <col min="9" max="9" width="26.44140625" style="64" bestFit="1" customWidth="1"/>
    <col min="10" max="10" width="20.6640625" style="64" customWidth="1"/>
    <col min="11" max="11" width="7.33203125" style="20" customWidth="1"/>
    <col min="12" max="13" width="10.5546875" style="13" customWidth="1"/>
    <col min="14" max="14" width="11.44140625" style="15" customWidth="1"/>
    <col min="15" max="15" width="15.44140625" style="15" customWidth="1"/>
    <col min="16" max="16384" width="9.109375" style="15"/>
  </cols>
  <sheetData>
    <row r="1" spans="1:17" s="7" customFormat="1" x14ac:dyDescent="0.25">
      <c r="A1" s="7" t="s">
        <v>237</v>
      </c>
      <c r="B1" s="9" t="s">
        <v>247</v>
      </c>
      <c r="C1" s="60"/>
      <c r="D1" s="60"/>
      <c r="E1" s="60"/>
      <c r="F1" s="37"/>
      <c r="G1" s="62"/>
      <c r="H1" s="63"/>
      <c r="I1" s="63"/>
      <c r="J1" s="63"/>
      <c r="K1" s="14"/>
      <c r="L1" s="13"/>
      <c r="M1" s="13"/>
      <c r="N1" s="15"/>
    </row>
    <row r="2" spans="1:17" s="7" customFormat="1" x14ac:dyDescent="0.25">
      <c r="A2" s="10" t="s">
        <v>238</v>
      </c>
      <c r="B2" s="9" t="s">
        <v>150</v>
      </c>
      <c r="C2" s="60"/>
      <c r="D2" s="60"/>
      <c r="E2" s="60"/>
      <c r="F2" s="37"/>
      <c r="G2" s="62"/>
      <c r="H2" s="63"/>
      <c r="I2" s="63"/>
      <c r="J2" s="63"/>
      <c r="K2" s="14"/>
      <c r="L2" s="13"/>
      <c r="M2" s="13"/>
      <c r="N2" s="15"/>
    </row>
    <row r="3" spans="1:17" s="7" customFormat="1" x14ac:dyDescent="0.25">
      <c r="A3" s="10" t="s">
        <v>239</v>
      </c>
      <c r="B3" s="9" t="s">
        <v>240</v>
      </c>
      <c r="C3" s="60"/>
      <c r="D3" s="60"/>
      <c r="E3" s="60"/>
      <c r="F3" s="37"/>
      <c r="G3" s="62"/>
      <c r="H3" s="63"/>
      <c r="I3" s="63"/>
      <c r="J3" s="63"/>
      <c r="K3" s="14"/>
      <c r="L3" s="13"/>
      <c r="M3" s="13"/>
      <c r="N3" s="15"/>
    </row>
    <row r="4" spans="1:17" s="7" customFormat="1" ht="13.8" thickBot="1" x14ac:dyDescent="0.3">
      <c r="A4" s="10" t="s">
        <v>241</v>
      </c>
      <c r="B4" s="9" t="s">
        <v>249</v>
      </c>
      <c r="C4" s="60"/>
      <c r="D4" s="60"/>
      <c r="E4" s="60"/>
      <c r="F4" s="37"/>
      <c r="G4" s="62"/>
      <c r="H4" s="63"/>
      <c r="I4" s="63"/>
      <c r="J4" s="63"/>
      <c r="K4" s="14"/>
      <c r="L4" s="13"/>
      <c r="M4" s="13"/>
      <c r="N4" s="15"/>
    </row>
    <row r="5" spans="1:17" s="7" customFormat="1" ht="13.8" thickBot="1" x14ac:dyDescent="0.3">
      <c r="A5" s="220" t="s">
        <v>28</v>
      </c>
      <c r="B5" s="221"/>
      <c r="C5" s="221"/>
      <c r="D5" s="221"/>
      <c r="E5" s="221"/>
      <c r="F5" s="221"/>
      <c r="G5" s="221"/>
      <c r="H5" s="221"/>
      <c r="I5" s="221"/>
      <c r="J5" s="222"/>
      <c r="K5" s="14"/>
      <c r="L5" s="13"/>
      <c r="M5" s="13"/>
      <c r="N5" s="13"/>
      <c r="O5" s="13"/>
      <c r="P5" s="13"/>
      <c r="Q5" s="13"/>
    </row>
    <row r="6" spans="1:17" s="7" customFormat="1" x14ac:dyDescent="0.25">
      <c r="A6" s="223" t="s">
        <v>30</v>
      </c>
      <c r="B6" s="224"/>
      <c r="C6" s="224"/>
      <c r="D6" s="224"/>
      <c r="E6" s="224"/>
      <c r="F6" s="224"/>
      <c r="G6" s="224"/>
      <c r="H6" s="224"/>
      <c r="I6" s="224"/>
      <c r="J6" s="225"/>
      <c r="K6" s="14"/>
      <c r="L6" s="13"/>
      <c r="M6" s="13"/>
      <c r="N6" s="13"/>
      <c r="O6" s="13"/>
      <c r="P6" s="13"/>
      <c r="Q6" s="13"/>
    </row>
    <row r="7" spans="1:17" s="7" customFormat="1" x14ac:dyDescent="0.25">
      <c r="A7" s="87" t="s">
        <v>157</v>
      </c>
      <c r="B7" s="203" t="s">
        <v>69</v>
      </c>
      <c r="C7" s="203" t="s">
        <v>6</v>
      </c>
      <c r="D7" s="203" t="s">
        <v>13</v>
      </c>
      <c r="E7" s="204" t="s">
        <v>67</v>
      </c>
      <c r="F7" s="204" t="s">
        <v>68</v>
      </c>
      <c r="G7" s="204" t="s">
        <v>29</v>
      </c>
      <c r="H7" s="90" t="s">
        <v>17</v>
      </c>
      <c r="I7" s="90" t="s">
        <v>75</v>
      </c>
      <c r="J7" s="91" t="s">
        <v>8</v>
      </c>
      <c r="K7" s="14"/>
    </row>
    <row r="8" spans="1:17" s="7" customFormat="1" x14ac:dyDescent="0.25">
      <c r="A8" s="27"/>
      <c r="B8" s="3"/>
      <c r="C8" s="30"/>
      <c r="D8" s="29" t="s">
        <v>15</v>
      </c>
      <c r="E8" s="2" t="s">
        <v>133</v>
      </c>
      <c r="F8" s="2"/>
      <c r="G8" s="2" t="s">
        <v>135</v>
      </c>
      <c r="H8" s="31" t="s">
        <v>9</v>
      </c>
      <c r="I8" s="31" t="s">
        <v>9</v>
      </c>
      <c r="J8" s="6" t="s">
        <v>9</v>
      </c>
    </row>
    <row r="9" spans="1:17" s="16" customFormat="1" ht="12.75" customHeight="1" x14ac:dyDescent="0.25">
      <c r="A9" s="21"/>
      <c r="B9" s="22">
        <v>1</v>
      </c>
      <c r="C9" s="22">
        <v>2</v>
      </c>
      <c r="D9" s="22">
        <v>3</v>
      </c>
      <c r="E9" s="22">
        <v>4</v>
      </c>
      <c r="F9" s="22">
        <v>5</v>
      </c>
      <c r="G9" s="22">
        <v>6</v>
      </c>
      <c r="H9" s="22">
        <v>7</v>
      </c>
      <c r="I9" s="22">
        <v>8</v>
      </c>
      <c r="J9" s="23">
        <v>9</v>
      </c>
    </row>
    <row r="10" spans="1:17" s="118" customFormat="1" ht="12.75" customHeight="1" thickBot="1" x14ac:dyDescent="0.3">
      <c r="A10" s="100" t="s">
        <v>60</v>
      </c>
      <c r="B10" s="68" t="s">
        <v>251</v>
      </c>
      <c r="C10" s="101" t="s">
        <v>251</v>
      </c>
      <c r="D10" s="101" t="s">
        <v>251</v>
      </c>
      <c r="E10" s="102" t="s">
        <v>251</v>
      </c>
      <c r="F10" s="101" t="s">
        <v>251</v>
      </c>
      <c r="G10" s="105">
        <v>28080.940330799996</v>
      </c>
      <c r="H10" s="68" t="s">
        <v>251</v>
      </c>
      <c r="I10" s="68">
        <v>1</v>
      </c>
      <c r="J10" s="82">
        <v>4.8747308859551711E-2</v>
      </c>
    </row>
    <row r="11" spans="1:17" s="118" customFormat="1" x14ac:dyDescent="0.25">
      <c r="A11" s="92" t="s">
        <v>1925</v>
      </c>
      <c r="B11" s="120" t="s">
        <v>251</v>
      </c>
      <c r="C11" s="121" t="s">
        <v>251</v>
      </c>
      <c r="D11" s="121" t="s">
        <v>251</v>
      </c>
      <c r="E11" s="132" t="s">
        <v>251</v>
      </c>
      <c r="F11" s="121" t="s">
        <v>251</v>
      </c>
      <c r="G11" s="133">
        <v>4490.4451004000002</v>
      </c>
      <c r="H11" s="120" t="s">
        <v>251</v>
      </c>
      <c r="I11" s="120">
        <v>0.15991078103160059</v>
      </c>
      <c r="J11" s="120">
        <v>7.795220232919578E-3</v>
      </c>
    </row>
    <row r="12" spans="1:17" s="118" customFormat="1" x14ac:dyDescent="0.25">
      <c r="A12" s="93" t="s">
        <v>1926</v>
      </c>
      <c r="B12" s="136" t="s">
        <v>251</v>
      </c>
      <c r="C12" s="135" t="s">
        <v>251</v>
      </c>
      <c r="D12" s="135" t="s">
        <v>251</v>
      </c>
      <c r="E12" s="134" t="s">
        <v>251</v>
      </c>
      <c r="F12" s="121" t="s">
        <v>251</v>
      </c>
      <c r="G12" s="123">
        <v>0</v>
      </c>
      <c r="H12" s="120"/>
      <c r="I12" s="136">
        <v>0</v>
      </c>
      <c r="J12" s="136">
        <v>0</v>
      </c>
    </row>
    <row r="13" spans="1:17" s="118" customFormat="1" x14ac:dyDescent="0.25">
      <c r="A13" s="93" t="s">
        <v>1927</v>
      </c>
      <c r="B13" s="136" t="s">
        <v>251</v>
      </c>
      <c r="C13" s="135" t="s">
        <v>251</v>
      </c>
      <c r="D13" s="135" t="s">
        <v>251</v>
      </c>
      <c r="E13" s="134" t="s">
        <v>251</v>
      </c>
      <c r="F13" s="121" t="s">
        <v>251</v>
      </c>
      <c r="G13" s="123">
        <v>937.79111009999997</v>
      </c>
      <c r="H13" s="120"/>
      <c r="I13" s="136">
        <v>3.3396000954832812E-2</v>
      </c>
      <c r="J13" s="136">
        <v>1.6279651732191191E-3</v>
      </c>
    </row>
    <row r="14" spans="1:17" x14ac:dyDescent="0.25">
      <c r="A14" s="17" t="s">
        <v>1928</v>
      </c>
      <c r="B14" s="25" t="s">
        <v>1929</v>
      </c>
      <c r="C14" s="61" t="s">
        <v>257</v>
      </c>
      <c r="D14" s="61" t="s">
        <v>423</v>
      </c>
      <c r="E14" s="70">
        <v>565.21</v>
      </c>
      <c r="F14" s="67">
        <v>165919.06</v>
      </c>
      <c r="G14" s="85">
        <v>937.79111</v>
      </c>
      <c r="H14" s="33">
        <v>0</v>
      </c>
      <c r="I14" s="25">
        <v>3.3396000951271682E-2</v>
      </c>
      <c r="J14" s="25">
        <v>1.6279651730455235E-3</v>
      </c>
      <c r="K14" s="15"/>
      <c r="L14" s="15"/>
      <c r="M14" s="15"/>
    </row>
    <row r="15" spans="1:17" s="118" customFormat="1" x14ac:dyDescent="0.25">
      <c r="A15" s="93" t="s">
        <v>1930</v>
      </c>
      <c r="B15" s="136" t="s">
        <v>251</v>
      </c>
      <c r="C15" s="135" t="s">
        <v>251</v>
      </c>
      <c r="D15" s="135" t="s">
        <v>251</v>
      </c>
      <c r="E15" s="134" t="s">
        <v>251</v>
      </c>
      <c r="F15" s="121" t="s">
        <v>251</v>
      </c>
      <c r="G15" s="123">
        <v>0</v>
      </c>
      <c r="H15" s="120"/>
      <c r="I15" s="136">
        <v>0</v>
      </c>
      <c r="J15" s="136">
        <v>0</v>
      </c>
    </row>
    <row r="16" spans="1:17" s="118" customFormat="1" x14ac:dyDescent="0.25">
      <c r="A16" s="93" t="s">
        <v>1931</v>
      </c>
      <c r="B16" s="136" t="s">
        <v>251</v>
      </c>
      <c r="C16" s="135" t="s">
        <v>251</v>
      </c>
      <c r="D16" s="135" t="s">
        <v>251</v>
      </c>
      <c r="E16" s="134" t="s">
        <v>251</v>
      </c>
      <c r="F16" s="121" t="s">
        <v>251</v>
      </c>
      <c r="G16" s="123">
        <v>3552.6539900999996</v>
      </c>
      <c r="H16" s="120"/>
      <c r="I16" s="136">
        <v>0.12651478006964548</v>
      </c>
      <c r="J16" s="136">
        <v>6.1672550593532662E-3</v>
      </c>
    </row>
    <row r="17" spans="1:13" x14ac:dyDescent="0.25">
      <c r="A17" s="17" t="s">
        <v>1932</v>
      </c>
      <c r="B17" s="25" t="s">
        <v>1933</v>
      </c>
      <c r="C17" s="61" t="s">
        <v>257</v>
      </c>
      <c r="D17" s="61" t="s">
        <v>1934</v>
      </c>
      <c r="E17" s="70">
        <v>785196.24</v>
      </c>
      <c r="F17" s="67">
        <v>116.53</v>
      </c>
      <c r="G17" s="85">
        <v>915.01351999999997</v>
      </c>
      <c r="H17" s="33">
        <v>1.6064586666666666E-3</v>
      </c>
      <c r="I17" s="25">
        <v>3.2584860379350843E-2</v>
      </c>
      <c r="J17" s="25">
        <v>1.588424253057585E-3</v>
      </c>
      <c r="K17" s="15"/>
      <c r="L17" s="15"/>
      <c r="M17" s="15"/>
    </row>
    <row r="18" spans="1:13" x14ac:dyDescent="0.25">
      <c r="A18" s="17" t="s">
        <v>1937</v>
      </c>
      <c r="B18" s="25" t="s">
        <v>1938</v>
      </c>
      <c r="C18" s="61" t="s">
        <v>257</v>
      </c>
      <c r="D18" s="61" t="s">
        <v>1939</v>
      </c>
      <c r="E18" s="70">
        <v>1964679.37</v>
      </c>
      <c r="F18" s="67">
        <v>108.61000000000001</v>
      </c>
      <c r="G18" s="85">
        <v>2133.9129199999998</v>
      </c>
      <c r="H18" s="33">
        <v>3.7914267441860466E-3</v>
      </c>
      <c r="I18" s="25">
        <v>7.5991505087152009E-2</v>
      </c>
      <c r="J18" s="25">
        <v>3.7043813691855941E-3</v>
      </c>
      <c r="K18" s="15"/>
      <c r="L18" s="15"/>
      <c r="M18" s="15"/>
    </row>
    <row r="19" spans="1:13" x14ac:dyDescent="0.25">
      <c r="A19" s="17" t="s">
        <v>1935</v>
      </c>
      <c r="B19" s="25" t="s">
        <v>1936</v>
      </c>
      <c r="C19" s="61" t="s">
        <v>257</v>
      </c>
      <c r="D19" s="61" t="s">
        <v>467</v>
      </c>
      <c r="E19" s="70">
        <v>806090.48</v>
      </c>
      <c r="F19" s="67">
        <v>62.49</v>
      </c>
      <c r="G19" s="85">
        <v>503.72755000000001</v>
      </c>
      <c r="H19" s="33">
        <v>1.9001206666666667E-3</v>
      </c>
      <c r="I19" s="25">
        <v>1.7938414599581513E-2</v>
      </c>
      <c r="J19" s="25">
        <v>8.7444943693649178E-4</v>
      </c>
      <c r="K19" s="15"/>
      <c r="L19" s="15"/>
      <c r="M19" s="15"/>
    </row>
    <row r="20" spans="1:13" s="118" customFormat="1" x14ac:dyDescent="0.25">
      <c r="A20" s="93" t="s">
        <v>1940</v>
      </c>
      <c r="B20" s="136" t="s">
        <v>251</v>
      </c>
      <c r="C20" s="135" t="s">
        <v>251</v>
      </c>
      <c r="D20" s="135" t="s">
        <v>251</v>
      </c>
      <c r="E20" s="134" t="s">
        <v>251</v>
      </c>
      <c r="F20" s="121" t="s">
        <v>251</v>
      </c>
      <c r="G20" s="123">
        <v>23590.495230399996</v>
      </c>
      <c r="H20" s="120"/>
      <c r="I20" s="136">
        <v>0.84008921896839939</v>
      </c>
      <c r="J20" s="136">
        <v>4.0952088626632133E-2</v>
      </c>
    </row>
    <row r="21" spans="1:13" s="118" customFormat="1" x14ac:dyDescent="0.25">
      <c r="A21" s="93" t="s">
        <v>1926</v>
      </c>
      <c r="B21" s="136" t="s">
        <v>251</v>
      </c>
      <c r="C21" s="135" t="s">
        <v>251</v>
      </c>
      <c r="D21" s="135" t="s">
        <v>251</v>
      </c>
      <c r="E21" s="134" t="s">
        <v>251</v>
      </c>
      <c r="F21" s="121" t="s">
        <v>251</v>
      </c>
      <c r="G21" s="123">
        <v>0</v>
      </c>
      <c r="H21" s="120"/>
      <c r="I21" s="136">
        <v>0</v>
      </c>
      <c r="J21" s="136">
        <v>0</v>
      </c>
    </row>
    <row r="22" spans="1:13" s="118" customFormat="1" x14ac:dyDescent="0.25">
      <c r="A22" s="93" t="s">
        <v>1927</v>
      </c>
      <c r="B22" s="136" t="s">
        <v>251</v>
      </c>
      <c r="C22" s="135" t="s">
        <v>251</v>
      </c>
      <c r="D22" s="135" t="s">
        <v>251</v>
      </c>
      <c r="E22" s="134" t="s">
        <v>251</v>
      </c>
      <c r="F22" s="121" t="s">
        <v>251</v>
      </c>
      <c r="G22" s="123">
        <v>2835.6046400999994</v>
      </c>
      <c r="H22" s="120"/>
      <c r="I22" s="136">
        <v>0.10097968966480177</v>
      </c>
      <c r="J22" s="136">
        <v>4.9224881206317737E-3</v>
      </c>
    </row>
    <row r="23" spans="1:13" x14ac:dyDescent="0.25">
      <c r="A23" s="17" t="s">
        <v>1944</v>
      </c>
      <c r="B23" s="25" t="s">
        <v>1945</v>
      </c>
      <c r="C23" s="61" t="s">
        <v>125</v>
      </c>
      <c r="D23" s="61" t="s">
        <v>1446</v>
      </c>
      <c r="E23" s="70">
        <v>56458.87</v>
      </c>
      <c r="F23" s="67">
        <v>103989.97</v>
      </c>
      <c r="G23" s="85">
        <v>217.23277999999999</v>
      </c>
      <c r="H23" s="33">
        <v>0</v>
      </c>
      <c r="I23" s="25">
        <v>7.7359510558032392E-3</v>
      </c>
      <c r="J23" s="25">
        <v>3.7710679543961564E-4</v>
      </c>
      <c r="K23" s="15"/>
      <c r="L23" s="15"/>
      <c r="M23" s="15"/>
    </row>
    <row r="24" spans="1:13" x14ac:dyDescent="0.25">
      <c r="A24" s="17" t="s">
        <v>1941</v>
      </c>
      <c r="B24" s="25" t="s">
        <v>1942</v>
      </c>
      <c r="C24" s="61" t="s">
        <v>125</v>
      </c>
      <c r="D24" s="61" t="s">
        <v>1943</v>
      </c>
      <c r="E24" s="70">
        <v>674972.08</v>
      </c>
      <c r="F24" s="67">
        <v>104.84400000000001</v>
      </c>
      <c r="G24" s="85">
        <v>2618.3718599999997</v>
      </c>
      <c r="H24" s="33">
        <v>0</v>
      </c>
      <c r="I24" s="25">
        <v>9.3243738605437401E-2</v>
      </c>
      <c r="J24" s="25">
        <v>4.5453813250185627E-3</v>
      </c>
      <c r="K24" s="15"/>
      <c r="L24" s="15"/>
      <c r="M24" s="15"/>
    </row>
    <row r="25" spans="1:13" s="118" customFormat="1" x14ac:dyDescent="0.25">
      <c r="A25" s="93" t="s">
        <v>1930</v>
      </c>
      <c r="B25" s="136" t="s">
        <v>251</v>
      </c>
      <c r="C25" s="135" t="s">
        <v>251</v>
      </c>
      <c r="D25" s="135" t="s">
        <v>251</v>
      </c>
      <c r="E25" s="134" t="s">
        <v>251</v>
      </c>
      <c r="F25" s="121" t="s">
        <v>251</v>
      </c>
      <c r="G25" s="123">
        <v>7846.6772501000005</v>
      </c>
      <c r="H25" s="120"/>
      <c r="I25" s="136">
        <v>0.27943071555525995</v>
      </c>
      <c r="J25" s="136">
        <v>1.3621495396017798E-2</v>
      </c>
    </row>
    <row r="26" spans="1:13" x14ac:dyDescent="0.25">
      <c r="A26" s="17" t="s">
        <v>1946</v>
      </c>
      <c r="B26" s="25" t="s">
        <v>1947</v>
      </c>
      <c r="C26" s="61" t="s">
        <v>125</v>
      </c>
      <c r="D26" s="61" t="s">
        <v>758</v>
      </c>
      <c r="E26" s="70">
        <v>205739.86</v>
      </c>
      <c r="F26" s="67">
        <v>237.86</v>
      </c>
      <c r="G26" s="85">
        <v>1810.7342800000001</v>
      </c>
      <c r="H26" s="33">
        <v>1.2253383149999998E-4</v>
      </c>
      <c r="I26" s="25">
        <v>6.4482679663470308E-2</v>
      </c>
      <c r="J26" s="25">
        <v>3.1433571016467213E-3</v>
      </c>
      <c r="K26" s="15"/>
      <c r="L26" s="15"/>
      <c r="M26" s="15"/>
    </row>
    <row r="27" spans="1:13" x14ac:dyDescent="0.25">
      <c r="A27" s="17" t="s">
        <v>1948</v>
      </c>
      <c r="B27" s="25" t="s">
        <v>1949</v>
      </c>
      <c r="C27" s="61" t="s">
        <v>125</v>
      </c>
      <c r="D27" s="61" t="s">
        <v>865</v>
      </c>
      <c r="E27" s="70">
        <v>472329.45</v>
      </c>
      <c r="F27" s="67">
        <v>129.97</v>
      </c>
      <c r="G27" s="85">
        <v>2271.4240499999996</v>
      </c>
      <c r="H27" s="33">
        <v>2.721730903994394E-3</v>
      </c>
      <c r="I27" s="25">
        <v>8.0888461114268159E-2</v>
      </c>
      <c r="J27" s="25">
        <v>3.9430947971110675E-3</v>
      </c>
      <c r="K27" s="15"/>
      <c r="L27" s="15"/>
      <c r="M27" s="15"/>
    </row>
    <row r="28" spans="1:13" x14ac:dyDescent="0.25">
      <c r="A28" s="17" t="s">
        <v>1956</v>
      </c>
      <c r="B28" s="25" t="s">
        <v>1957</v>
      </c>
      <c r="C28" s="61" t="s">
        <v>125</v>
      </c>
      <c r="D28" s="61" t="s">
        <v>1958</v>
      </c>
      <c r="E28" s="70">
        <v>198066.68</v>
      </c>
      <c r="F28" s="67">
        <v>109.46000000000001</v>
      </c>
      <c r="G28" s="85">
        <v>802.17840999999999</v>
      </c>
      <c r="H28" s="33">
        <v>1.3229183673469389E-3</v>
      </c>
      <c r="I28" s="25">
        <v>2.8566650566190167E-2</v>
      </c>
      <c r="J28" s="25">
        <v>1.3925473382329599E-3</v>
      </c>
      <c r="K28" s="15"/>
      <c r="L28" s="15"/>
      <c r="M28" s="15"/>
    </row>
    <row r="29" spans="1:13" x14ac:dyDescent="0.25">
      <c r="A29" s="17" t="s">
        <v>1950</v>
      </c>
      <c r="B29" s="25" t="s">
        <v>1951</v>
      </c>
      <c r="C29" s="61" t="s">
        <v>125</v>
      </c>
      <c r="D29" s="61" t="s">
        <v>1952</v>
      </c>
      <c r="E29" s="70">
        <v>448298.51</v>
      </c>
      <c r="F29" s="67">
        <v>108.38000000000001</v>
      </c>
      <c r="G29" s="85">
        <v>1797.8482300000001</v>
      </c>
      <c r="H29" s="33">
        <v>4.8036850000000001E-4</v>
      </c>
      <c r="I29" s="25">
        <v>6.4023790116033527E-2</v>
      </c>
      <c r="J29" s="25">
        <v>3.1209874711454005E-3</v>
      </c>
      <c r="K29" s="15"/>
      <c r="L29" s="15"/>
      <c r="M29" s="15"/>
    </row>
    <row r="30" spans="1:13" x14ac:dyDescent="0.25">
      <c r="A30" s="17" t="s">
        <v>1953</v>
      </c>
      <c r="B30" s="25" t="s">
        <v>1954</v>
      </c>
      <c r="C30" s="61" t="s">
        <v>125</v>
      </c>
      <c r="D30" s="61" t="s">
        <v>1955</v>
      </c>
      <c r="E30" s="70">
        <v>308385.39</v>
      </c>
      <c r="F30" s="67">
        <v>102.05</v>
      </c>
      <c r="G30" s="85">
        <v>1164.4922799999999</v>
      </c>
      <c r="H30" s="33">
        <v>1.1722917721976988E-3</v>
      </c>
      <c r="I30" s="25">
        <v>4.1469134091736623E-2</v>
      </c>
      <c r="J30" s="25">
        <v>2.0215086877080506E-3</v>
      </c>
      <c r="K30" s="15"/>
      <c r="L30" s="15"/>
      <c r="M30" s="15"/>
    </row>
    <row r="31" spans="1:13" s="118" customFormat="1" x14ac:dyDescent="0.25">
      <c r="A31" s="93" t="s">
        <v>1931</v>
      </c>
      <c r="B31" s="136" t="s">
        <v>251</v>
      </c>
      <c r="C31" s="135" t="s">
        <v>251</v>
      </c>
      <c r="D31" s="135" t="s">
        <v>251</v>
      </c>
      <c r="E31" s="134" t="s">
        <v>251</v>
      </c>
      <c r="F31" s="121" t="s">
        <v>251</v>
      </c>
      <c r="G31" s="123">
        <v>12908.213340100001</v>
      </c>
      <c r="H31" s="120"/>
      <c r="I31" s="136">
        <v>0.45967881374477676</v>
      </c>
      <c r="J31" s="136">
        <v>2.2408105109808975E-2</v>
      </c>
    </row>
    <row r="32" spans="1:13" x14ac:dyDescent="0.25">
      <c r="A32" s="17" t="s">
        <v>1959</v>
      </c>
      <c r="B32" s="25" t="s">
        <v>1960</v>
      </c>
      <c r="C32" s="61" t="s">
        <v>125</v>
      </c>
      <c r="D32" s="61" t="s">
        <v>1961</v>
      </c>
      <c r="E32" s="70">
        <v>146215.91</v>
      </c>
      <c r="F32" s="67">
        <v>148.41</v>
      </c>
      <c r="G32" s="85">
        <v>802.93699000000004</v>
      </c>
      <c r="H32" s="33">
        <v>2.7590580985915495E-4</v>
      </c>
      <c r="I32" s="25">
        <v>2.8593664618820305E-2</v>
      </c>
      <c r="J32" s="25">
        <v>1.3938642006000694E-3</v>
      </c>
      <c r="K32" s="15"/>
      <c r="L32" s="15"/>
      <c r="M32" s="15"/>
    </row>
    <row r="33" spans="1:13" x14ac:dyDescent="0.25">
      <c r="A33" s="17" t="s">
        <v>1962</v>
      </c>
      <c r="B33" s="25" t="s">
        <v>1963</v>
      </c>
      <c r="C33" s="61" t="s">
        <v>125</v>
      </c>
      <c r="D33" s="61" t="s">
        <v>1964</v>
      </c>
      <c r="E33" s="70">
        <v>199342.56</v>
      </c>
      <c r="F33" s="67">
        <v>128.58000000000001</v>
      </c>
      <c r="G33" s="85">
        <v>948.40558999999996</v>
      </c>
      <c r="H33" s="33">
        <v>2.1414196614196615E-4</v>
      </c>
      <c r="I33" s="25">
        <v>3.377399684011867E-2</v>
      </c>
      <c r="J33" s="25">
        <v>1.6463914553867883E-3</v>
      </c>
      <c r="K33" s="15"/>
      <c r="L33" s="15"/>
      <c r="M33" s="15"/>
    </row>
    <row r="34" spans="1:13" x14ac:dyDescent="0.25">
      <c r="A34" s="17" t="s">
        <v>1965</v>
      </c>
      <c r="B34" s="25" t="s">
        <v>1966</v>
      </c>
      <c r="C34" s="61" t="s">
        <v>125</v>
      </c>
      <c r="D34" s="61" t="s">
        <v>1967</v>
      </c>
      <c r="E34" s="70">
        <v>9886.52</v>
      </c>
      <c r="F34" s="67">
        <v>1754.1000000000001</v>
      </c>
      <c r="G34" s="85">
        <v>641.65413000000001</v>
      </c>
      <c r="H34" s="33">
        <v>6.309986208388638E-3</v>
      </c>
      <c r="I34" s="25">
        <v>2.2850165359178339E-2</v>
      </c>
      <c r="J34" s="25">
        <v>1.1138840682556959E-3</v>
      </c>
      <c r="K34" s="15"/>
      <c r="L34" s="15"/>
      <c r="M34" s="15"/>
    </row>
    <row r="35" spans="1:13" x14ac:dyDescent="0.25">
      <c r="A35" s="17" t="s">
        <v>1968</v>
      </c>
      <c r="B35" s="25" t="s">
        <v>1969</v>
      </c>
      <c r="C35" s="61" t="s">
        <v>125</v>
      </c>
      <c r="D35" s="61" t="s">
        <v>1970</v>
      </c>
      <c r="E35" s="70">
        <v>539916.80000000005</v>
      </c>
      <c r="F35" s="67">
        <v>125.49</v>
      </c>
      <c r="G35" s="85">
        <v>2506.9298599999997</v>
      </c>
      <c r="H35" s="33">
        <v>1.2661549302197632E-3</v>
      </c>
      <c r="I35" s="25">
        <v>8.9275139310428506E-2</v>
      </c>
      <c r="J35" s="25">
        <v>4.3519227894449645E-3</v>
      </c>
      <c r="K35" s="15"/>
      <c r="L35" s="15"/>
      <c r="M35" s="15"/>
    </row>
    <row r="36" spans="1:13" x14ac:dyDescent="0.25">
      <c r="A36" s="17" t="s">
        <v>1971</v>
      </c>
      <c r="B36" s="25" t="s">
        <v>1972</v>
      </c>
      <c r="C36" s="61" t="s">
        <v>125</v>
      </c>
      <c r="D36" s="61" t="s">
        <v>1541</v>
      </c>
      <c r="E36" s="70">
        <v>742227.26</v>
      </c>
      <c r="F36" s="67">
        <v>109.84</v>
      </c>
      <c r="G36" s="85">
        <v>3016.67418</v>
      </c>
      <c r="H36" s="33">
        <v>0</v>
      </c>
      <c r="I36" s="25">
        <v>0.10742781917068581</v>
      </c>
      <c r="J36" s="25">
        <v>5.2368170812214917E-3</v>
      </c>
      <c r="K36" s="15"/>
      <c r="L36" s="15"/>
      <c r="M36" s="15"/>
    </row>
    <row r="37" spans="1:13" x14ac:dyDescent="0.25">
      <c r="A37" s="17" t="s">
        <v>1973</v>
      </c>
      <c r="B37" s="25" t="s">
        <v>1974</v>
      </c>
      <c r="C37" s="61" t="s">
        <v>125</v>
      </c>
      <c r="D37" s="61" t="s">
        <v>1975</v>
      </c>
      <c r="E37" s="70">
        <v>90571.96</v>
      </c>
      <c r="F37" s="67">
        <v>107.05</v>
      </c>
      <c r="G37" s="85">
        <v>358.77269000000001</v>
      </c>
      <c r="H37" s="33">
        <v>2.33544375E-3</v>
      </c>
      <c r="I37" s="25">
        <v>1.2776377349674704E-2</v>
      </c>
      <c r="J37" s="25">
        <v>6.2281401277077366E-4</v>
      </c>
      <c r="K37" s="15"/>
      <c r="L37" s="15"/>
      <c r="M37" s="15"/>
    </row>
    <row r="38" spans="1:13" x14ac:dyDescent="0.25">
      <c r="A38" s="17" t="s">
        <v>1976</v>
      </c>
      <c r="B38" s="25" t="s">
        <v>1977</v>
      </c>
      <c r="C38" s="61" t="s">
        <v>126</v>
      </c>
      <c r="D38" s="61" t="s">
        <v>1096</v>
      </c>
      <c r="E38" s="70">
        <v>307887.96000000002</v>
      </c>
      <c r="F38" s="67">
        <v>112.94</v>
      </c>
      <c r="G38" s="85">
        <v>1397.4490800000001</v>
      </c>
      <c r="H38" s="33">
        <v>5.4260109890109888E-4</v>
      </c>
      <c r="I38" s="25">
        <v>4.9765038618284338E-2</v>
      </c>
      <c r="J38" s="25">
        <v>2.4259117079330253E-3</v>
      </c>
      <c r="K38" s="15"/>
      <c r="L38" s="15"/>
      <c r="M38" s="15"/>
    </row>
    <row r="39" spans="1:13" x14ac:dyDescent="0.25">
      <c r="A39" s="17" t="s">
        <v>1978</v>
      </c>
      <c r="B39" s="25" t="s">
        <v>1979</v>
      </c>
      <c r="C39" s="61" t="s">
        <v>125</v>
      </c>
      <c r="D39" s="61" t="s">
        <v>1980</v>
      </c>
      <c r="E39" s="70">
        <v>95224.23</v>
      </c>
      <c r="F39" s="67">
        <v>106.05</v>
      </c>
      <c r="G39" s="85">
        <v>373.65440000000001</v>
      </c>
      <c r="H39" s="33">
        <v>1.9411155555555556E-4</v>
      </c>
      <c r="I39" s="25">
        <v>1.3306335030033341E-2</v>
      </c>
      <c r="J39" s="25">
        <v>6.4864802349770762E-4</v>
      </c>
      <c r="K39" s="15"/>
      <c r="L39" s="15"/>
      <c r="M39" s="15"/>
    </row>
    <row r="40" spans="1:13" x14ac:dyDescent="0.25">
      <c r="A40" s="17" t="s">
        <v>1981</v>
      </c>
      <c r="B40" s="25" t="s">
        <v>1982</v>
      </c>
      <c r="C40" s="61" t="s">
        <v>125</v>
      </c>
      <c r="D40" s="61" t="s">
        <v>1983</v>
      </c>
      <c r="E40" s="70">
        <v>73676.37</v>
      </c>
      <c r="F40" s="67">
        <v>100</v>
      </c>
      <c r="G40" s="85">
        <v>272.60255999999998</v>
      </c>
      <c r="H40" s="33">
        <v>1.4735201999999998E-4</v>
      </c>
      <c r="I40" s="25">
        <v>9.7077432873927498E-3</v>
      </c>
      <c r="J40" s="25">
        <v>4.7322636035977423E-4</v>
      </c>
      <c r="K40" s="15"/>
      <c r="L40" s="15"/>
      <c r="M40" s="15"/>
    </row>
    <row r="41" spans="1:13" x14ac:dyDescent="0.25">
      <c r="A41" s="17" t="s">
        <v>1984</v>
      </c>
      <c r="B41" s="25" t="s">
        <v>1985</v>
      </c>
      <c r="C41" s="61" t="s">
        <v>125</v>
      </c>
      <c r="D41" s="61" t="s">
        <v>1986</v>
      </c>
      <c r="E41" s="70">
        <v>219623.2</v>
      </c>
      <c r="F41" s="67">
        <v>100</v>
      </c>
      <c r="G41" s="85">
        <v>812.60583999999994</v>
      </c>
      <c r="H41" s="33">
        <v>0</v>
      </c>
      <c r="I41" s="25">
        <v>2.8937985353314901E-2</v>
      </c>
      <c r="J41" s="25">
        <v>1.410648909791225E-3</v>
      </c>
      <c r="K41" s="15"/>
      <c r="L41" s="15"/>
      <c r="M41" s="15"/>
    </row>
    <row r="42" spans="1:13" x14ac:dyDescent="0.25">
      <c r="A42" s="17" t="s">
        <v>1987</v>
      </c>
      <c r="B42" s="25" t="s">
        <v>1988</v>
      </c>
      <c r="C42" s="61" t="s">
        <v>125</v>
      </c>
      <c r="D42" s="61" t="s">
        <v>1510</v>
      </c>
      <c r="E42" s="70">
        <v>86022</v>
      </c>
      <c r="F42" s="67">
        <v>100</v>
      </c>
      <c r="G42" s="85">
        <v>318.28140000000002</v>
      </c>
      <c r="H42" s="33">
        <v>0</v>
      </c>
      <c r="I42" s="25">
        <v>1.1334428129919128E-2</v>
      </c>
      <c r="J42" s="25">
        <v>5.5252286879555888E-4</v>
      </c>
      <c r="K42" s="15"/>
      <c r="L42" s="15"/>
      <c r="M42" s="15"/>
    </row>
    <row r="43" spans="1:13" x14ac:dyDescent="0.25">
      <c r="A43" s="17" t="s">
        <v>1989</v>
      </c>
      <c r="B43" s="25" t="s">
        <v>1990</v>
      </c>
      <c r="C43" s="61" t="s">
        <v>125</v>
      </c>
      <c r="D43" s="61" t="s">
        <v>1991</v>
      </c>
      <c r="E43" s="70">
        <v>309691.49</v>
      </c>
      <c r="F43" s="67">
        <v>100</v>
      </c>
      <c r="G43" s="85">
        <v>1145.85851</v>
      </c>
      <c r="H43" s="33">
        <v>1.9790625E-4</v>
      </c>
      <c r="I43" s="25">
        <v>4.0805560515478498E-2</v>
      </c>
      <c r="J43" s="25">
        <v>1.9891612616351586E-3</v>
      </c>
      <c r="K43" s="15"/>
      <c r="L43" s="15"/>
      <c r="M43" s="15"/>
    </row>
    <row r="44" spans="1:13" x14ac:dyDescent="0.25">
      <c r="A44" s="17" t="s">
        <v>1992</v>
      </c>
      <c r="B44" s="25" t="s">
        <v>1993</v>
      </c>
      <c r="C44" s="61" t="s">
        <v>125</v>
      </c>
      <c r="D44" s="61" t="s">
        <v>1446</v>
      </c>
      <c r="E44" s="70">
        <v>84429.22</v>
      </c>
      <c r="F44" s="67">
        <v>100</v>
      </c>
      <c r="G44" s="85">
        <v>312.38810999999998</v>
      </c>
      <c r="H44" s="33">
        <v>1.0555E-2</v>
      </c>
      <c r="I44" s="25">
        <v>1.1124560157886293E-2</v>
      </c>
      <c r="J44" s="25">
        <v>5.4229236994314653E-4</v>
      </c>
      <c r="K44" s="15"/>
      <c r="L44" s="15"/>
      <c r="M44" s="15"/>
    </row>
    <row r="45" spans="1:13" s="118" customFormat="1" x14ac:dyDescent="0.25">
      <c r="A45" s="79" t="s">
        <v>242</v>
      </c>
      <c r="B45" s="124"/>
      <c r="C45" s="125"/>
      <c r="D45" s="125"/>
      <c r="E45" s="125"/>
      <c r="F45" s="126"/>
      <c r="G45" s="127"/>
      <c r="H45" s="128"/>
      <c r="I45" s="128"/>
      <c r="J45" s="128"/>
      <c r="K45" s="147"/>
      <c r="L45" s="129"/>
      <c r="M45" s="129"/>
    </row>
    <row r="46" spans="1:13" s="118" customFormat="1" x14ac:dyDescent="0.25">
      <c r="A46" s="79" t="s">
        <v>243</v>
      </c>
      <c r="B46" s="124"/>
      <c r="C46" s="125"/>
      <c r="D46" s="125"/>
      <c r="E46" s="125"/>
      <c r="F46" s="126"/>
      <c r="G46" s="127"/>
      <c r="H46" s="128"/>
      <c r="I46" s="128"/>
      <c r="J46" s="128"/>
      <c r="K46" s="147"/>
      <c r="L46" s="129"/>
      <c r="M46" s="129"/>
    </row>
    <row r="47" spans="1:13" s="118" customFormat="1" x14ac:dyDescent="0.25">
      <c r="A47" s="79" t="s">
        <v>244</v>
      </c>
      <c r="B47" s="124"/>
      <c r="C47" s="125"/>
      <c r="D47" s="125"/>
      <c r="E47" s="125"/>
      <c r="F47" s="126"/>
      <c r="G47" s="127"/>
      <c r="H47" s="128"/>
      <c r="I47" s="128"/>
      <c r="J47" s="128"/>
      <c r="K47" s="147"/>
      <c r="L47" s="129"/>
      <c r="M47" s="129"/>
    </row>
    <row r="48" spans="1:13" s="118" customFormat="1" x14ac:dyDescent="0.25">
      <c r="A48" s="79" t="s">
        <v>245</v>
      </c>
      <c r="B48" s="124"/>
      <c r="C48" s="125"/>
      <c r="D48" s="125"/>
      <c r="E48" s="125"/>
      <c r="F48" s="126"/>
      <c r="G48" s="127"/>
      <c r="H48" s="128"/>
      <c r="I48" s="128"/>
      <c r="J48" s="128"/>
      <c r="K48" s="147"/>
      <c r="L48" s="129"/>
      <c r="M48" s="129"/>
    </row>
    <row r="49" spans="1:13" s="118" customFormat="1" x14ac:dyDescent="0.25">
      <c r="A49" s="79" t="s">
        <v>246</v>
      </c>
      <c r="B49" s="124"/>
      <c r="C49" s="125"/>
      <c r="D49" s="125"/>
      <c r="E49" s="125"/>
      <c r="F49" s="126"/>
      <c r="G49" s="127"/>
      <c r="H49" s="128"/>
      <c r="I49" s="128"/>
      <c r="J49" s="128"/>
      <c r="K49" s="147"/>
      <c r="L49" s="129"/>
      <c r="M49" s="129"/>
    </row>
  </sheetData>
  <mergeCells count="2">
    <mergeCell ref="A6:J6"/>
    <mergeCell ref="A5:J5"/>
  </mergeCells>
  <phoneticPr fontId="3" type="noConversion"/>
  <conditionalFormatting sqref="A11:A44 G11:G44">
    <cfRule type="expression" dxfId="53" priority="337" stopIfTrue="1">
      <formula>#REF!&gt;0</formula>
    </cfRule>
  </conditionalFormatting>
  <conditionalFormatting sqref="B11:D44 I11:J44">
    <cfRule type="expression" dxfId="52" priority="335" stopIfTrue="1">
      <formula>OR(LEFT(#REF!,3)="TIR",LEFT(#REF!,2)="IR")</formula>
    </cfRule>
  </conditionalFormatting>
  <conditionalFormatting sqref="F12:F44">
    <cfRule type="expression" dxfId="51" priority="33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R17"/>
  <sheetViews>
    <sheetView rightToLeft="1" zoomScale="80" workbookViewId="0"/>
  </sheetViews>
  <sheetFormatPr defaultColWidth="9.109375" defaultRowHeight="13.2" x14ac:dyDescent="0.25"/>
  <cols>
    <col min="1" max="1" width="24.44140625" style="10" bestFit="1" customWidth="1"/>
    <col min="2" max="2" width="13.5546875" style="9" bestFit="1" customWidth="1"/>
    <col min="3" max="3" width="11.5546875" style="10" customWidth="1"/>
    <col min="4" max="4" width="11.33203125" style="11" customWidth="1"/>
    <col min="5" max="5" width="14.109375" style="11" customWidth="1"/>
    <col min="6" max="6" width="10.5546875" style="11" customWidth="1"/>
    <col min="7" max="7" width="7" style="12" customWidth="1"/>
    <col min="8" max="8" width="10.44140625" style="13" customWidth="1"/>
    <col min="9" max="9" width="22.88671875" style="20" bestFit="1" customWidth="1"/>
    <col min="10" max="10" width="26.44140625" style="20" bestFit="1" customWidth="1"/>
    <col min="11" max="11" width="20.6640625" style="20" customWidth="1"/>
    <col min="12" max="12" width="7.33203125" style="20" customWidth="1"/>
    <col min="13" max="14" width="10.5546875" style="13" customWidth="1"/>
    <col min="15" max="15" width="11.44140625" style="15" customWidth="1"/>
    <col min="16" max="16" width="15.44140625" style="15" customWidth="1"/>
    <col min="17" max="16384" width="9.109375" style="15"/>
  </cols>
  <sheetData>
    <row r="1" spans="1:18" s="7" customFormat="1" x14ac:dyDescent="0.25">
      <c r="A1" s="7" t="s">
        <v>237</v>
      </c>
      <c r="B1" s="9" t="s">
        <v>247</v>
      </c>
      <c r="C1" s="10"/>
      <c r="D1" s="11"/>
      <c r="E1" s="11"/>
      <c r="F1" s="11"/>
      <c r="G1" s="12"/>
      <c r="H1" s="13"/>
      <c r="I1" s="14"/>
      <c r="J1" s="14"/>
      <c r="K1" s="14"/>
      <c r="L1" s="14"/>
      <c r="M1" s="13"/>
      <c r="N1" s="13"/>
      <c r="O1" s="15"/>
    </row>
    <row r="2" spans="1:18" s="7" customFormat="1" x14ac:dyDescent="0.25">
      <c r="A2" s="10" t="s">
        <v>238</v>
      </c>
      <c r="B2" s="9" t="s">
        <v>150</v>
      </c>
      <c r="C2" s="10"/>
      <c r="D2" s="11"/>
      <c r="E2" s="11"/>
      <c r="F2" s="11"/>
      <c r="G2" s="12"/>
      <c r="H2" s="13"/>
      <c r="I2" s="14"/>
      <c r="J2" s="14"/>
      <c r="K2" s="14"/>
      <c r="L2" s="14"/>
      <c r="M2" s="13"/>
      <c r="N2" s="13"/>
      <c r="O2" s="15"/>
    </row>
    <row r="3" spans="1:18" s="7" customFormat="1" x14ac:dyDescent="0.25">
      <c r="A3" s="10" t="s">
        <v>239</v>
      </c>
      <c r="B3" s="9" t="s">
        <v>240</v>
      </c>
      <c r="C3" s="10"/>
      <c r="D3" s="11"/>
      <c r="E3" s="11"/>
      <c r="F3" s="11"/>
      <c r="G3" s="12"/>
      <c r="H3" s="13"/>
      <c r="I3" s="14"/>
      <c r="J3" s="14"/>
      <c r="K3" s="14"/>
      <c r="L3" s="14"/>
      <c r="M3" s="13"/>
      <c r="N3" s="13"/>
      <c r="O3" s="15"/>
    </row>
    <row r="4" spans="1:18" s="7" customFormat="1" ht="13.8" thickBot="1" x14ac:dyDescent="0.3">
      <c r="A4" s="10" t="s">
        <v>241</v>
      </c>
      <c r="B4" s="9" t="s">
        <v>249</v>
      </c>
      <c r="C4" s="10"/>
      <c r="D4" s="11"/>
      <c r="E4" s="11"/>
      <c r="F4" s="11"/>
      <c r="G4" s="12"/>
      <c r="H4" s="13"/>
      <c r="I4" s="14"/>
      <c r="J4" s="14"/>
      <c r="K4" s="14"/>
      <c r="L4" s="14"/>
      <c r="M4" s="13"/>
      <c r="N4" s="13"/>
      <c r="O4" s="15"/>
    </row>
    <row r="5" spans="1:18" s="7" customFormat="1" ht="13.8" thickBot="1" x14ac:dyDescent="0.3">
      <c r="A5" s="220" t="s">
        <v>28</v>
      </c>
      <c r="B5" s="221"/>
      <c r="C5" s="221"/>
      <c r="D5" s="221"/>
      <c r="E5" s="221"/>
      <c r="F5" s="221"/>
      <c r="G5" s="221"/>
      <c r="H5" s="221"/>
      <c r="I5" s="221"/>
      <c r="J5" s="221"/>
      <c r="K5" s="222"/>
      <c r="L5" s="14"/>
      <c r="M5" s="13"/>
      <c r="N5" s="13"/>
      <c r="O5" s="13"/>
      <c r="P5" s="13"/>
      <c r="Q5" s="13"/>
      <c r="R5" s="13"/>
    </row>
    <row r="6" spans="1:18" s="7" customFormat="1" x14ac:dyDescent="0.25">
      <c r="A6" s="223" t="s">
        <v>31</v>
      </c>
      <c r="B6" s="224"/>
      <c r="C6" s="224"/>
      <c r="D6" s="224"/>
      <c r="E6" s="224"/>
      <c r="F6" s="224"/>
      <c r="G6" s="224"/>
      <c r="H6" s="224"/>
      <c r="I6" s="224"/>
      <c r="J6" s="224"/>
      <c r="K6" s="225"/>
      <c r="L6" s="14"/>
      <c r="M6" s="13"/>
      <c r="N6" s="13"/>
      <c r="O6" s="13"/>
      <c r="P6" s="13"/>
      <c r="Q6" s="13"/>
      <c r="R6" s="13"/>
    </row>
    <row r="7" spans="1:18" s="7" customFormat="1" x14ac:dyDescent="0.25">
      <c r="A7" s="87" t="s">
        <v>157</v>
      </c>
      <c r="B7" s="203" t="s">
        <v>69</v>
      </c>
      <c r="C7" s="203" t="s">
        <v>19</v>
      </c>
      <c r="D7" s="203" t="s">
        <v>6</v>
      </c>
      <c r="E7" s="203" t="s">
        <v>13</v>
      </c>
      <c r="F7" s="204" t="s">
        <v>67</v>
      </c>
      <c r="G7" s="204" t="s">
        <v>68</v>
      </c>
      <c r="H7" s="204" t="s">
        <v>29</v>
      </c>
      <c r="I7" s="90" t="s">
        <v>17</v>
      </c>
      <c r="J7" s="90" t="s">
        <v>75</v>
      </c>
      <c r="K7" s="91" t="s">
        <v>8</v>
      </c>
      <c r="L7" s="14"/>
    </row>
    <row r="8" spans="1:18" s="7" customFormat="1" x14ac:dyDescent="0.25">
      <c r="A8" s="27"/>
      <c r="B8" s="3"/>
      <c r="C8" s="3"/>
      <c r="D8" s="30"/>
      <c r="E8" s="29" t="s">
        <v>15</v>
      </c>
      <c r="F8" s="2" t="s">
        <v>133</v>
      </c>
      <c r="G8" s="2"/>
      <c r="H8" s="2" t="s">
        <v>135</v>
      </c>
      <c r="I8" s="31" t="s">
        <v>9</v>
      </c>
      <c r="J8" s="31" t="s">
        <v>9</v>
      </c>
      <c r="K8" s="6" t="s">
        <v>9</v>
      </c>
    </row>
    <row r="9" spans="1:18" s="16" customFormat="1" ht="12.75" customHeight="1" x14ac:dyDescent="0.25">
      <c r="A9" s="21"/>
      <c r="B9" s="22">
        <v>1</v>
      </c>
      <c r="C9" s="22">
        <v>2</v>
      </c>
      <c r="D9" s="22">
        <v>3</v>
      </c>
      <c r="E9" s="22">
        <v>4</v>
      </c>
      <c r="F9" s="22">
        <v>5</v>
      </c>
      <c r="G9" s="22">
        <v>6</v>
      </c>
      <c r="H9" s="3">
        <v>7</v>
      </c>
      <c r="I9" s="3">
        <v>8</v>
      </c>
      <c r="J9" s="3">
        <v>9</v>
      </c>
      <c r="K9" s="45">
        <v>10</v>
      </c>
    </row>
    <row r="10" spans="1:18" s="118" customFormat="1" ht="12.75" customHeight="1" thickBot="1" x14ac:dyDescent="0.3">
      <c r="A10" s="100" t="s">
        <v>55</v>
      </c>
      <c r="B10" s="68" t="s">
        <v>251</v>
      </c>
      <c r="C10" s="68" t="s">
        <v>251</v>
      </c>
      <c r="D10" s="138" t="s">
        <v>251</v>
      </c>
      <c r="E10" s="138" t="s">
        <v>251</v>
      </c>
      <c r="F10" s="140" t="s">
        <v>251</v>
      </c>
      <c r="G10" s="138" t="s">
        <v>251</v>
      </c>
      <c r="H10" s="152">
        <v>2.0000000000000002E-7</v>
      </c>
      <c r="I10" s="71"/>
      <c r="J10" s="84">
        <v>1</v>
      </c>
      <c r="K10" s="83">
        <v>0</v>
      </c>
    </row>
    <row r="11" spans="1:18" s="118" customFormat="1" x14ac:dyDescent="0.25">
      <c r="A11" s="92" t="s">
        <v>1994</v>
      </c>
      <c r="B11" s="120" t="s">
        <v>251</v>
      </c>
      <c r="C11" s="120" t="s">
        <v>251</v>
      </c>
      <c r="D11" s="142" t="s">
        <v>251</v>
      </c>
      <c r="E11" s="142" t="s">
        <v>251</v>
      </c>
      <c r="F11" s="141" t="s">
        <v>251</v>
      </c>
      <c r="G11" s="142" t="s">
        <v>251</v>
      </c>
      <c r="H11" s="122">
        <v>0</v>
      </c>
      <c r="I11" s="120" t="s">
        <v>251</v>
      </c>
      <c r="J11" s="120">
        <v>0</v>
      </c>
      <c r="K11" s="120">
        <v>0</v>
      </c>
    </row>
    <row r="12" spans="1:18" s="118" customFormat="1" x14ac:dyDescent="0.25">
      <c r="A12" s="93" t="s">
        <v>1995</v>
      </c>
      <c r="B12" s="136" t="s">
        <v>251</v>
      </c>
      <c r="C12" s="136" t="s">
        <v>251</v>
      </c>
      <c r="D12" s="144" t="s">
        <v>251</v>
      </c>
      <c r="E12" s="144" t="s">
        <v>251</v>
      </c>
      <c r="F12" s="143" t="s">
        <v>251</v>
      </c>
      <c r="G12" s="144" t="s">
        <v>251</v>
      </c>
      <c r="H12" s="123">
        <v>0</v>
      </c>
      <c r="I12" s="136"/>
      <c r="J12" s="120">
        <v>0</v>
      </c>
      <c r="K12" s="120">
        <v>0</v>
      </c>
    </row>
    <row r="13" spans="1:18" s="118" customFormat="1" x14ac:dyDescent="0.25">
      <c r="A13" s="79" t="s">
        <v>242</v>
      </c>
      <c r="B13" s="124"/>
      <c r="C13" s="79"/>
      <c r="D13" s="145"/>
      <c r="E13" s="145"/>
      <c r="F13" s="145"/>
      <c r="G13" s="146"/>
      <c r="H13" s="129"/>
      <c r="I13" s="147"/>
      <c r="J13" s="147"/>
      <c r="K13" s="147"/>
      <c r="L13" s="147"/>
      <c r="M13" s="129"/>
      <c r="N13" s="129"/>
    </row>
    <row r="14" spans="1:18" s="118" customFormat="1" x14ac:dyDescent="0.25">
      <c r="A14" s="79" t="s">
        <v>243</v>
      </c>
      <c r="B14" s="124"/>
      <c r="C14" s="79"/>
      <c r="D14" s="145"/>
      <c r="E14" s="145"/>
      <c r="F14" s="145"/>
      <c r="G14" s="146"/>
      <c r="H14" s="129"/>
      <c r="I14" s="147"/>
      <c r="J14" s="147"/>
      <c r="K14" s="147"/>
      <c r="L14" s="147"/>
      <c r="M14" s="129"/>
      <c r="N14" s="129"/>
    </row>
    <row r="15" spans="1:18" s="118" customFormat="1" x14ac:dyDescent="0.25">
      <c r="A15" s="79" t="s">
        <v>244</v>
      </c>
      <c r="B15" s="124"/>
      <c r="C15" s="79"/>
      <c r="D15" s="145"/>
      <c r="E15" s="145"/>
      <c r="F15" s="145"/>
      <c r="G15" s="146"/>
      <c r="H15" s="129"/>
      <c r="I15" s="147"/>
      <c r="J15" s="147"/>
      <c r="K15" s="147"/>
      <c r="L15" s="147"/>
      <c r="M15" s="129"/>
      <c r="N15" s="129"/>
    </row>
    <row r="16" spans="1:18" s="118" customFormat="1" x14ac:dyDescent="0.25">
      <c r="A16" s="79" t="s">
        <v>245</v>
      </c>
      <c r="B16" s="124"/>
      <c r="C16" s="79"/>
      <c r="D16" s="145"/>
      <c r="E16" s="145"/>
      <c r="F16" s="145"/>
      <c r="G16" s="146"/>
      <c r="H16" s="129"/>
      <c r="I16" s="147"/>
      <c r="J16" s="147"/>
      <c r="K16" s="147"/>
      <c r="L16" s="147"/>
      <c r="M16" s="129"/>
      <c r="N16" s="129"/>
    </row>
    <row r="17" spans="1:14" s="118" customFormat="1" x14ac:dyDescent="0.25">
      <c r="A17" s="79" t="s">
        <v>246</v>
      </c>
      <c r="B17" s="124"/>
      <c r="C17" s="79"/>
      <c r="D17" s="145"/>
      <c r="E17" s="145"/>
      <c r="F17" s="145"/>
      <c r="G17" s="146"/>
      <c r="H17" s="129"/>
      <c r="I17" s="147"/>
      <c r="J17" s="147"/>
      <c r="K17" s="147"/>
      <c r="L17" s="147"/>
      <c r="M17" s="129"/>
      <c r="N17" s="129"/>
    </row>
  </sheetData>
  <mergeCells count="2">
    <mergeCell ref="A6:K6"/>
    <mergeCell ref="A5:K5"/>
  </mergeCells>
  <phoneticPr fontId="3" type="noConversion"/>
  <conditionalFormatting sqref="A10:A12 H10:H12">
    <cfRule type="expression" dxfId="50" priority="343" stopIfTrue="1">
      <formula>#REF!&gt;0</formula>
    </cfRule>
  </conditionalFormatting>
  <conditionalFormatting sqref="J10:K12">
    <cfRule type="expression" dxfId="49" priority="34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R27"/>
  <sheetViews>
    <sheetView rightToLeft="1" zoomScale="80" workbookViewId="0"/>
  </sheetViews>
  <sheetFormatPr defaultColWidth="9.109375" defaultRowHeight="13.2" x14ac:dyDescent="0.25"/>
  <cols>
    <col min="1" max="1" width="24.44140625" style="10" bestFit="1" customWidth="1"/>
    <col min="2" max="2" width="13.5546875" style="9" bestFit="1" customWidth="1"/>
    <col min="3" max="3" width="11.5546875" style="9" customWidth="1"/>
    <col min="4" max="4" width="11.33203125" style="60" customWidth="1"/>
    <col min="5" max="5" width="14.109375" style="60" customWidth="1"/>
    <col min="6" max="6" width="10.5546875" style="60" customWidth="1"/>
    <col min="7" max="7" width="7" style="37" customWidth="1"/>
    <col min="8" max="8" width="10.44140625" style="62" customWidth="1"/>
    <col min="9" max="9" width="22" style="64" customWidth="1"/>
    <col min="10" max="10" width="25.44140625" style="64" customWidth="1"/>
    <col min="11" max="11" width="20.6640625" style="64" customWidth="1"/>
    <col min="12" max="12" width="7.33203125" style="20" customWidth="1"/>
    <col min="13" max="14" width="10.5546875" style="13" customWidth="1"/>
    <col min="15" max="15" width="11.44140625" style="15" customWidth="1"/>
    <col min="16" max="16" width="15.44140625" style="15" customWidth="1"/>
    <col min="17" max="16384" width="9.109375" style="15"/>
  </cols>
  <sheetData>
    <row r="1" spans="1:18" s="7" customFormat="1" x14ac:dyDescent="0.25">
      <c r="A1" s="7" t="s">
        <v>237</v>
      </c>
      <c r="B1" s="9" t="s">
        <v>247</v>
      </c>
      <c r="C1" s="9"/>
      <c r="D1" s="60"/>
      <c r="E1" s="60"/>
      <c r="F1" s="60"/>
      <c r="G1" s="37"/>
      <c r="H1" s="62"/>
      <c r="I1" s="63"/>
      <c r="J1" s="63"/>
      <c r="K1" s="63"/>
      <c r="L1" s="14"/>
      <c r="M1" s="13"/>
      <c r="N1" s="13"/>
      <c r="O1" s="15"/>
    </row>
    <row r="2" spans="1:18" s="7" customFormat="1" x14ac:dyDescent="0.25">
      <c r="A2" s="10" t="s">
        <v>238</v>
      </c>
      <c r="B2" s="9" t="s">
        <v>150</v>
      </c>
      <c r="C2" s="9"/>
      <c r="D2" s="60"/>
      <c r="E2" s="60"/>
      <c r="F2" s="60"/>
      <c r="G2" s="37"/>
      <c r="H2" s="62"/>
      <c r="I2" s="63"/>
      <c r="J2" s="63"/>
      <c r="K2" s="63"/>
      <c r="L2" s="14"/>
      <c r="M2" s="13"/>
      <c r="N2" s="13"/>
      <c r="O2" s="15"/>
    </row>
    <row r="3" spans="1:18" s="7" customFormat="1" x14ac:dyDescent="0.25">
      <c r="A3" s="10" t="s">
        <v>239</v>
      </c>
      <c r="B3" s="9" t="s">
        <v>240</v>
      </c>
      <c r="C3" s="9"/>
      <c r="D3" s="60"/>
      <c r="E3" s="60"/>
      <c r="F3" s="60"/>
      <c r="G3" s="37"/>
      <c r="H3" s="62"/>
      <c r="I3" s="63"/>
      <c r="J3" s="63"/>
      <c r="K3" s="63"/>
      <c r="L3" s="14"/>
      <c r="M3" s="13"/>
      <c r="N3" s="13"/>
      <c r="O3" s="15"/>
    </row>
    <row r="4" spans="1:18" s="7" customFormat="1" ht="13.8" thickBot="1" x14ac:dyDescent="0.3">
      <c r="A4" s="10" t="s">
        <v>241</v>
      </c>
      <c r="B4" s="9" t="s">
        <v>249</v>
      </c>
      <c r="C4" s="9"/>
      <c r="D4" s="60"/>
      <c r="E4" s="60"/>
      <c r="F4" s="60"/>
      <c r="G4" s="37"/>
      <c r="H4" s="62"/>
      <c r="I4" s="63"/>
      <c r="J4" s="63"/>
      <c r="K4" s="63"/>
      <c r="L4" s="14"/>
      <c r="M4" s="13"/>
      <c r="N4" s="13"/>
      <c r="O4" s="15"/>
    </row>
    <row r="5" spans="1:18" s="7" customFormat="1" ht="13.8" thickBot="1" x14ac:dyDescent="0.3">
      <c r="A5" s="220" t="s">
        <v>28</v>
      </c>
      <c r="B5" s="221"/>
      <c r="C5" s="221"/>
      <c r="D5" s="221"/>
      <c r="E5" s="221"/>
      <c r="F5" s="221"/>
      <c r="G5" s="221"/>
      <c r="H5" s="221"/>
      <c r="I5" s="221"/>
      <c r="J5" s="221"/>
      <c r="K5" s="222"/>
      <c r="L5" s="14"/>
      <c r="M5" s="13"/>
      <c r="N5" s="13"/>
      <c r="O5" s="13"/>
      <c r="P5" s="13"/>
      <c r="Q5" s="13"/>
      <c r="R5" s="13"/>
    </row>
    <row r="6" spans="1:18" s="7" customFormat="1" x14ac:dyDescent="0.25">
      <c r="A6" s="223" t="s">
        <v>32</v>
      </c>
      <c r="B6" s="224"/>
      <c r="C6" s="224"/>
      <c r="D6" s="224"/>
      <c r="E6" s="224"/>
      <c r="F6" s="224"/>
      <c r="G6" s="224"/>
      <c r="H6" s="224"/>
      <c r="I6" s="224"/>
      <c r="J6" s="224"/>
      <c r="K6" s="225"/>
      <c r="L6" s="14"/>
      <c r="M6" s="13"/>
      <c r="N6" s="13"/>
      <c r="O6" s="13"/>
      <c r="P6" s="13"/>
      <c r="Q6" s="13"/>
      <c r="R6" s="13"/>
    </row>
    <row r="7" spans="1:18" s="7" customFormat="1" ht="32.25" customHeight="1" x14ac:dyDescent="0.25">
      <c r="A7" s="87" t="s">
        <v>157</v>
      </c>
      <c r="B7" s="203" t="s">
        <v>69</v>
      </c>
      <c r="C7" s="203" t="s">
        <v>19</v>
      </c>
      <c r="D7" s="203" t="s">
        <v>6</v>
      </c>
      <c r="E7" s="203" t="s">
        <v>13</v>
      </c>
      <c r="F7" s="204" t="s">
        <v>67</v>
      </c>
      <c r="G7" s="204" t="s">
        <v>68</v>
      </c>
      <c r="H7" s="204" t="s">
        <v>29</v>
      </c>
      <c r="I7" s="90" t="s">
        <v>17</v>
      </c>
      <c r="J7" s="90" t="s">
        <v>75</v>
      </c>
      <c r="K7" s="91" t="s">
        <v>8</v>
      </c>
      <c r="L7" s="14"/>
    </row>
    <row r="8" spans="1:18" s="7" customFormat="1" x14ac:dyDescent="0.25">
      <c r="A8" s="27"/>
      <c r="B8" s="3"/>
      <c r="C8" s="3"/>
      <c r="D8" s="30"/>
      <c r="E8" s="29" t="s">
        <v>15</v>
      </c>
      <c r="F8" s="2" t="s">
        <v>133</v>
      </c>
      <c r="G8" s="2"/>
      <c r="H8" s="2" t="s">
        <v>135</v>
      </c>
      <c r="I8" s="31" t="s">
        <v>9</v>
      </c>
      <c r="J8" s="31" t="s">
        <v>9</v>
      </c>
      <c r="K8" s="6" t="s">
        <v>9</v>
      </c>
    </row>
    <row r="9" spans="1:18" s="16" customFormat="1" ht="12.75" customHeight="1" x14ac:dyDescent="0.25">
      <c r="A9" s="21"/>
      <c r="B9" s="22">
        <v>1</v>
      </c>
      <c r="C9" s="22">
        <v>2</v>
      </c>
      <c r="D9" s="22">
        <v>3</v>
      </c>
      <c r="E9" s="22">
        <v>4</v>
      </c>
      <c r="F9" s="22">
        <v>5</v>
      </c>
      <c r="G9" s="22">
        <v>6</v>
      </c>
      <c r="H9" s="22">
        <v>7</v>
      </c>
      <c r="I9" s="22">
        <v>8</v>
      </c>
      <c r="J9" s="22">
        <v>9</v>
      </c>
      <c r="K9" s="23">
        <v>10</v>
      </c>
    </row>
    <row r="10" spans="1:18" s="118" customFormat="1" ht="12.75" customHeight="1" thickBot="1" x14ac:dyDescent="0.3">
      <c r="A10" s="100" t="s">
        <v>56</v>
      </c>
      <c r="B10" s="68" t="s">
        <v>251</v>
      </c>
      <c r="C10" s="68" t="s">
        <v>251</v>
      </c>
      <c r="D10" s="101" t="s">
        <v>251</v>
      </c>
      <c r="E10" s="101" t="s">
        <v>251</v>
      </c>
      <c r="F10" s="102" t="s">
        <v>251</v>
      </c>
      <c r="G10" s="101" t="s">
        <v>251</v>
      </c>
      <c r="H10" s="108">
        <v>9.9999999999999995E-7</v>
      </c>
      <c r="I10" s="68" t="s">
        <v>251</v>
      </c>
      <c r="J10" s="68">
        <v>1</v>
      </c>
      <c r="K10" s="82">
        <v>0</v>
      </c>
    </row>
    <row r="11" spans="1:18" s="118" customFormat="1" x14ac:dyDescent="0.25">
      <c r="A11" s="92" t="s">
        <v>1996</v>
      </c>
      <c r="B11" s="120" t="s">
        <v>251</v>
      </c>
      <c r="C11" s="120" t="s">
        <v>251</v>
      </c>
      <c r="D11" s="121" t="s">
        <v>251</v>
      </c>
      <c r="E11" s="121" t="s">
        <v>251</v>
      </c>
      <c r="F11" s="132" t="s">
        <v>251</v>
      </c>
      <c r="G11" s="121" t="s">
        <v>251</v>
      </c>
      <c r="H11" s="122">
        <v>0</v>
      </c>
      <c r="I11" s="120" t="s">
        <v>251</v>
      </c>
      <c r="J11" s="120">
        <v>0</v>
      </c>
      <c r="K11" s="120">
        <v>0</v>
      </c>
    </row>
    <row r="12" spans="1:18" s="118" customFormat="1" x14ac:dyDescent="0.25">
      <c r="A12" s="93" t="s">
        <v>1831</v>
      </c>
      <c r="B12" s="136" t="s">
        <v>251</v>
      </c>
      <c r="C12" s="136" t="s">
        <v>251</v>
      </c>
      <c r="D12" s="135" t="s">
        <v>251</v>
      </c>
      <c r="E12" s="135" t="s">
        <v>251</v>
      </c>
      <c r="F12" s="134" t="s">
        <v>251</v>
      </c>
      <c r="G12" s="135" t="s">
        <v>251</v>
      </c>
      <c r="H12" s="123">
        <v>0</v>
      </c>
      <c r="I12" s="136"/>
      <c r="J12" s="136">
        <v>0</v>
      </c>
      <c r="K12" s="136">
        <v>0</v>
      </c>
    </row>
    <row r="13" spans="1:18" s="118" customFormat="1" x14ac:dyDescent="0.25">
      <c r="A13" s="93" t="s">
        <v>1997</v>
      </c>
      <c r="B13" s="136" t="s">
        <v>251</v>
      </c>
      <c r="C13" s="136" t="s">
        <v>251</v>
      </c>
      <c r="D13" s="135" t="s">
        <v>251</v>
      </c>
      <c r="E13" s="135" t="s">
        <v>251</v>
      </c>
      <c r="F13" s="134" t="s">
        <v>251</v>
      </c>
      <c r="G13" s="135" t="s">
        <v>251</v>
      </c>
      <c r="H13" s="123">
        <v>0</v>
      </c>
      <c r="I13" s="136"/>
      <c r="J13" s="136">
        <v>0</v>
      </c>
      <c r="K13" s="136">
        <v>0</v>
      </c>
    </row>
    <row r="14" spans="1:18" s="118" customFormat="1" x14ac:dyDescent="0.25">
      <c r="A14" s="93" t="s">
        <v>1998</v>
      </c>
      <c r="B14" s="136" t="s">
        <v>251</v>
      </c>
      <c r="C14" s="136" t="s">
        <v>251</v>
      </c>
      <c r="D14" s="135" t="s">
        <v>251</v>
      </c>
      <c r="E14" s="135" t="s">
        <v>251</v>
      </c>
      <c r="F14" s="134" t="s">
        <v>251</v>
      </c>
      <c r="G14" s="135" t="s">
        <v>251</v>
      </c>
      <c r="H14" s="123">
        <v>0</v>
      </c>
      <c r="I14" s="136"/>
      <c r="J14" s="136">
        <v>0</v>
      </c>
      <c r="K14" s="136">
        <v>0</v>
      </c>
    </row>
    <row r="15" spans="1:18" s="118" customFormat="1" x14ac:dyDescent="0.25">
      <c r="A15" s="93" t="s">
        <v>1833</v>
      </c>
      <c r="B15" s="136" t="s">
        <v>251</v>
      </c>
      <c r="C15" s="136" t="s">
        <v>251</v>
      </c>
      <c r="D15" s="135" t="s">
        <v>251</v>
      </c>
      <c r="E15" s="135" t="s">
        <v>251</v>
      </c>
      <c r="F15" s="134" t="s">
        <v>251</v>
      </c>
      <c r="G15" s="135" t="s">
        <v>251</v>
      </c>
      <c r="H15" s="123">
        <v>0</v>
      </c>
      <c r="I15" s="136"/>
      <c r="J15" s="136">
        <v>0</v>
      </c>
      <c r="K15" s="136">
        <v>0</v>
      </c>
    </row>
    <row r="16" spans="1:18" s="118" customFormat="1" x14ac:dyDescent="0.25">
      <c r="A16" s="93" t="s">
        <v>141</v>
      </c>
      <c r="B16" s="136" t="s">
        <v>251</v>
      </c>
      <c r="C16" s="136" t="s">
        <v>251</v>
      </c>
      <c r="D16" s="135" t="s">
        <v>251</v>
      </c>
      <c r="E16" s="135" t="s">
        <v>251</v>
      </c>
      <c r="F16" s="134" t="s">
        <v>251</v>
      </c>
      <c r="G16" s="135" t="s">
        <v>251</v>
      </c>
      <c r="H16" s="123">
        <v>0</v>
      </c>
      <c r="I16" s="136"/>
      <c r="J16" s="136">
        <v>0</v>
      </c>
      <c r="K16" s="136">
        <v>0</v>
      </c>
    </row>
    <row r="17" spans="1:14" s="118" customFormat="1" x14ac:dyDescent="0.25">
      <c r="A17" s="93" t="s">
        <v>1999</v>
      </c>
      <c r="B17" s="136" t="s">
        <v>251</v>
      </c>
      <c r="C17" s="136" t="s">
        <v>251</v>
      </c>
      <c r="D17" s="135" t="s">
        <v>251</v>
      </c>
      <c r="E17" s="135" t="s">
        <v>251</v>
      </c>
      <c r="F17" s="134" t="s">
        <v>251</v>
      </c>
      <c r="G17" s="135" t="s">
        <v>251</v>
      </c>
      <c r="H17" s="123">
        <v>0</v>
      </c>
      <c r="I17" s="136"/>
      <c r="J17" s="136">
        <v>0</v>
      </c>
      <c r="K17" s="136">
        <v>0</v>
      </c>
    </row>
    <row r="18" spans="1:14" s="118" customFormat="1" x14ac:dyDescent="0.25">
      <c r="A18" s="93" t="s">
        <v>1831</v>
      </c>
      <c r="B18" s="136" t="s">
        <v>251</v>
      </c>
      <c r="C18" s="136" t="s">
        <v>251</v>
      </c>
      <c r="D18" s="135" t="s">
        <v>251</v>
      </c>
      <c r="E18" s="135" t="s">
        <v>251</v>
      </c>
      <c r="F18" s="134" t="s">
        <v>251</v>
      </c>
      <c r="G18" s="135" t="s">
        <v>251</v>
      </c>
      <c r="H18" s="123">
        <v>0</v>
      </c>
      <c r="I18" s="136"/>
      <c r="J18" s="136">
        <v>0</v>
      </c>
      <c r="K18" s="136">
        <v>0</v>
      </c>
    </row>
    <row r="19" spans="1:14" s="118" customFormat="1" x14ac:dyDescent="0.25">
      <c r="A19" s="93" t="s">
        <v>1834</v>
      </c>
      <c r="B19" s="136" t="s">
        <v>251</v>
      </c>
      <c r="C19" s="136" t="s">
        <v>251</v>
      </c>
      <c r="D19" s="135" t="s">
        <v>251</v>
      </c>
      <c r="E19" s="135" t="s">
        <v>251</v>
      </c>
      <c r="F19" s="134" t="s">
        <v>251</v>
      </c>
      <c r="G19" s="135" t="s">
        <v>251</v>
      </c>
      <c r="H19" s="123">
        <v>0</v>
      </c>
      <c r="I19" s="136"/>
      <c r="J19" s="136">
        <v>0</v>
      </c>
      <c r="K19" s="136">
        <v>0</v>
      </c>
    </row>
    <row r="20" spans="1:14" s="118" customFormat="1" x14ac:dyDescent="0.25">
      <c r="A20" s="93" t="s">
        <v>1833</v>
      </c>
      <c r="B20" s="136" t="s">
        <v>251</v>
      </c>
      <c r="C20" s="136" t="s">
        <v>251</v>
      </c>
      <c r="D20" s="135" t="s">
        <v>251</v>
      </c>
      <c r="E20" s="135" t="s">
        <v>251</v>
      </c>
      <c r="F20" s="134" t="s">
        <v>251</v>
      </c>
      <c r="G20" s="135" t="s">
        <v>251</v>
      </c>
      <c r="H20" s="123">
        <v>0</v>
      </c>
      <c r="I20" s="136"/>
      <c r="J20" s="136">
        <v>0</v>
      </c>
      <c r="K20" s="136">
        <v>0</v>
      </c>
    </row>
    <row r="21" spans="1:14" s="118" customFormat="1" x14ac:dyDescent="0.25">
      <c r="A21" s="93" t="s">
        <v>1835</v>
      </c>
      <c r="B21" s="136" t="s">
        <v>251</v>
      </c>
      <c r="C21" s="136" t="s">
        <v>251</v>
      </c>
      <c r="D21" s="135" t="s">
        <v>251</v>
      </c>
      <c r="E21" s="135" t="s">
        <v>251</v>
      </c>
      <c r="F21" s="134" t="s">
        <v>251</v>
      </c>
      <c r="G21" s="135" t="s">
        <v>251</v>
      </c>
      <c r="H21" s="123">
        <v>0</v>
      </c>
      <c r="I21" s="136"/>
      <c r="J21" s="136">
        <v>0</v>
      </c>
      <c r="K21" s="136">
        <v>0</v>
      </c>
    </row>
    <row r="22" spans="1:14" s="118" customFormat="1" x14ac:dyDescent="0.25">
      <c r="A22" s="93" t="s">
        <v>141</v>
      </c>
      <c r="B22" s="136" t="s">
        <v>251</v>
      </c>
      <c r="C22" s="136" t="s">
        <v>251</v>
      </c>
      <c r="D22" s="135" t="s">
        <v>251</v>
      </c>
      <c r="E22" s="135" t="s">
        <v>251</v>
      </c>
      <c r="F22" s="134" t="s">
        <v>251</v>
      </c>
      <c r="G22" s="135" t="s">
        <v>251</v>
      </c>
      <c r="H22" s="123">
        <v>0</v>
      </c>
      <c r="I22" s="136"/>
      <c r="J22" s="136">
        <v>0</v>
      </c>
      <c r="K22" s="136">
        <v>0</v>
      </c>
    </row>
    <row r="23" spans="1:14" s="118" customFormat="1" x14ac:dyDescent="0.25">
      <c r="A23" s="79" t="s">
        <v>242</v>
      </c>
      <c r="B23" s="124"/>
      <c r="C23" s="124"/>
      <c r="D23" s="125"/>
      <c r="E23" s="125"/>
      <c r="F23" s="125"/>
      <c r="G23" s="126"/>
      <c r="H23" s="127"/>
      <c r="I23" s="128"/>
      <c r="J23" s="128"/>
      <c r="K23" s="128"/>
      <c r="L23" s="147"/>
      <c r="M23" s="129"/>
      <c r="N23" s="129"/>
    </row>
    <row r="24" spans="1:14" s="118" customFormat="1" x14ac:dyDescent="0.25">
      <c r="A24" s="79" t="s">
        <v>243</v>
      </c>
      <c r="B24" s="124"/>
      <c r="C24" s="124"/>
      <c r="D24" s="125"/>
      <c r="E24" s="125"/>
      <c r="F24" s="125"/>
      <c r="G24" s="126"/>
      <c r="H24" s="127"/>
      <c r="I24" s="128"/>
      <c r="J24" s="128"/>
      <c r="K24" s="128"/>
      <c r="L24" s="147"/>
      <c r="M24" s="129"/>
      <c r="N24" s="129"/>
    </row>
    <row r="25" spans="1:14" s="118" customFormat="1" x14ac:dyDescent="0.25">
      <c r="A25" s="79" t="s">
        <v>244</v>
      </c>
      <c r="B25" s="124"/>
      <c r="C25" s="124"/>
      <c r="D25" s="125"/>
      <c r="E25" s="125"/>
      <c r="F25" s="125"/>
      <c r="G25" s="126"/>
      <c r="H25" s="127"/>
      <c r="I25" s="128"/>
      <c r="J25" s="128"/>
      <c r="K25" s="128"/>
      <c r="L25" s="147"/>
      <c r="M25" s="129"/>
      <c r="N25" s="129"/>
    </row>
    <row r="26" spans="1:14" s="118" customFormat="1" x14ac:dyDescent="0.25">
      <c r="A26" s="79" t="s">
        <v>245</v>
      </c>
      <c r="B26" s="124"/>
      <c r="C26" s="124"/>
      <c r="D26" s="125"/>
      <c r="E26" s="125"/>
      <c r="F26" s="125"/>
      <c r="G26" s="126"/>
      <c r="H26" s="127"/>
      <c r="I26" s="128"/>
      <c r="J26" s="128"/>
      <c r="K26" s="128"/>
      <c r="L26" s="147"/>
      <c r="M26" s="129"/>
      <c r="N26" s="129"/>
    </row>
    <row r="27" spans="1:14" s="118" customFormat="1" x14ac:dyDescent="0.25">
      <c r="A27" s="79" t="s">
        <v>246</v>
      </c>
      <c r="B27" s="124"/>
      <c r="C27" s="124"/>
      <c r="D27" s="125"/>
      <c r="E27" s="125"/>
      <c r="F27" s="125"/>
      <c r="G27" s="126"/>
      <c r="H27" s="127"/>
      <c r="I27" s="128"/>
      <c r="J27" s="128"/>
      <c r="K27" s="128"/>
      <c r="L27" s="147"/>
      <c r="M27" s="129"/>
      <c r="N27" s="129"/>
    </row>
  </sheetData>
  <mergeCells count="2">
    <mergeCell ref="A6:K6"/>
    <mergeCell ref="A5:K5"/>
  </mergeCells>
  <phoneticPr fontId="3" type="noConversion"/>
  <conditionalFormatting sqref="A11:A22 H11:H22">
    <cfRule type="expression" dxfId="48" priority="351" stopIfTrue="1">
      <formula>#REF!&gt;0</formula>
    </cfRule>
  </conditionalFormatting>
  <conditionalFormatting sqref="B11:E22 J11:K22">
    <cfRule type="expression" dxfId="47" priority="34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O184"/>
  <sheetViews>
    <sheetView rightToLeft="1" zoomScale="85" workbookViewId="0"/>
  </sheetViews>
  <sheetFormatPr defaultColWidth="9.109375" defaultRowHeight="13.2" x14ac:dyDescent="0.25"/>
  <cols>
    <col min="1" max="1" width="42.5546875" style="10" bestFit="1" customWidth="1"/>
    <col min="2" max="2" width="12.6640625" style="9" bestFit="1" customWidth="1"/>
    <col min="3" max="3" width="11.109375" style="10" customWidth="1"/>
    <col min="4" max="4" width="11.88671875" style="60" bestFit="1" customWidth="1"/>
    <col min="5" max="5" width="13.44140625" style="60" customWidth="1"/>
    <col min="6" max="6" width="13.5546875" style="60" bestFit="1" customWidth="1"/>
    <col min="7" max="7" width="6.6640625" style="37" bestFit="1" customWidth="1"/>
    <col min="8" max="8" width="9.88671875" style="62" bestFit="1" customWidth="1"/>
    <col min="9" max="9" width="24" style="62" customWidth="1"/>
    <col min="10" max="10" width="19.6640625" style="64" customWidth="1"/>
    <col min="11" max="11" width="11.44140625" style="20" bestFit="1" customWidth="1"/>
    <col min="12" max="12" width="7.33203125" style="20" customWidth="1"/>
    <col min="13" max="14" width="10.5546875" style="13" customWidth="1"/>
    <col min="15" max="15" width="11.44140625" style="15" customWidth="1"/>
    <col min="16" max="16384" width="9.109375" style="15"/>
  </cols>
  <sheetData>
    <row r="1" spans="1:15" s="7" customFormat="1" x14ac:dyDescent="0.25">
      <c r="A1" s="7" t="s">
        <v>237</v>
      </c>
      <c r="B1" s="9" t="s">
        <v>247</v>
      </c>
      <c r="C1" s="10"/>
      <c r="D1" s="60"/>
      <c r="E1" s="60"/>
      <c r="F1" s="60"/>
      <c r="G1" s="37"/>
      <c r="H1" s="62"/>
      <c r="I1" s="62"/>
      <c r="J1" s="63"/>
      <c r="K1" s="14"/>
      <c r="L1" s="14"/>
      <c r="M1" s="13"/>
      <c r="N1" s="13"/>
      <c r="O1" s="15"/>
    </row>
    <row r="2" spans="1:15" s="7" customFormat="1" x14ac:dyDescent="0.25">
      <c r="A2" s="10" t="s">
        <v>238</v>
      </c>
      <c r="B2" s="9" t="s">
        <v>150</v>
      </c>
      <c r="C2" s="10"/>
      <c r="D2" s="60"/>
      <c r="E2" s="60"/>
      <c r="F2" s="60"/>
      <c r="G2" s="37"/>
      <c r="H2" s="62"/>
      <c r="I2" s="62"/>
      <c r="J2" s="63"/>
      <c r="K2" s="14"/>
      <c r="L2" s="14"/>
      <c r="M2" s="13"/>
      <c r="N2" s="13"/>
      <c r="O2" s="15"/>
    </row>
    <row r="3" spans="1:15" s="7" customFormat="1" x14ac:dyDescent="0.25">
      <c r="A3" s="10" t="s">
        <v>239</v>
      </c>
      <c r="B3" s="9" t="s">
        <v>240</v>
      </c>
      <c r="C3" s="10"/>
      <c r="D3" s="60"/>
      <c r="E3" s="60"/>
      <c r="F3" s="60"/>
      <c r="G3" s="37"/>
      <c r="H3" s="62"/>
      <c r="I3" s="62"/>
      <c r="J3" s="63"/>
      <c r="K3" s="14"/>
      <c r="L3" s="14"/>
      <c r="M3" s="13"/>
      <c r="N3" s="13"/>
      <c r="O3" s="15"/>
    </row>
    <row r="4" spans="1:15" s="7" customFormat="1" ht="13.8" thickBot="1" x14ac:dyDescent="0.3">
      <c r="A4" s="10" t="s">
        <v>241</v>
      </c>
      <c r="B4" s="9" t="s">
        <v>249</v>
      </c>
      <c r="C4" s="10"/>
      <c r="D4" s="60"/>
      <c r="E4" s="60"/>
      <c r="F4" s="60"/>
      <c r="G4" s="37"/>
      <c r="H4" s="62"/>
      <c r="I4" s="62"/>
      <c r="J4" s="63"/>
      <c r="K4" s="14"/>
      <c r="L4" s="14"/>
      <c r="M4" s="13"/>
      <c r="N4" s="13"/>
      <c r="O4" s="15"/>
    </row>
    <row r="5" spans="1:15" s="7" customFormat="1" ht="13.8" thickBot="1" x14ac:dyDescent="0.3">
      <c r="A5" s="220" t="s">
        <v>28</v>
      </c>
      <c r="B5" s="221"/>
      <c r="C5" s="221"/>
      <c r="D5" s="221"/>
      <c r="E5" s="221"/>
      <c r="F5" s="221"/>
      <c r="G5" s="221"/>
      <c r="H5" s="221"/>
      <c r="I5" s="221"/>
      <c r="J5" s="222"/>
      <c r="K5" s="14"/>
      <c r="L5" s="14"/>
      <c r="M5" s="13"/>
      <c r="N5" s="13"/>
      <c r="O5" s="13"/>
    </row>
    <row r="6" spans="1:15" s="7" customFormat="1" x14ac:dyDescent="0.25">
      <c r="A6" s="223" t="s">
        <v>33</v>
      </c>
      <c r="B6" s="224"/>
      <c r="C6" s="224"/>
      <c r="D6" s="224"/>
      <c r="E6" s="224"/>
      <c r="F6" s="224"/>
      <c r="G6" s="224"/>
      <c r="H6" s="224"/>
      <c r="I6" s="224"/>
      <c r="J6" s="225"/>
      <c r="K6" s="14"/>
      <c r="L6" s="14"/>
      <c r="M6" s="13"/>
      <c r="N6" s="13"/>
      <c r="O6" s="13"/>
    </row>
    <row r="7" spans="1:15" s="7" customFormat="1" x14ac:dyDescent="0.25">
      <c r="A7" s="87" t="s">
        <v>157</v>
      </c>
      <c r="B7" s="203" t="s">
        <v>69</v>
      </c>
      <c r="C7" s="203" t="s">
        <v>19</v>
      </c>
      <c r="D7" s="203" t="s">
        <v>6</v>
      </c>
      <c r="E7" s="203" t="s">
        <v>13</v>
      </c>
      <c r="F7" s="204" t="s">
        <v>67</v>
      </c>
      <c r="G7" s="204" t="s">
        <v>68</v>
      </c>
      <c r="H7" s="204" t="s">
        <v>29</v>
      </c>
      <c r="I7" s="90" t="s">
        <v>75</v>
      </c>
      <c r="J7" s="91" t="s">
        <v>8</v>
      </c>
      <c r="K7" s="14"/>
    </row>
    <row r="8" spans="1:15" s="7" customFormat="1" x14ac:dyDescent="0.25">
      <c r="A8" s="27"/>
      <c r="B8" s="3"/>
      <c r="C8" s="3"/>
      <c r="D8" s="30"/>
      <c r="E8" s="29" t="s">
        <v>15</v>
      </c>
      <c r="F8" s="2" t="s">
        <v>133</v>
      </c>
      <c r="G8" s="2"/>
      <c r="H8" s="2" t="s">
        <v>135</v>
      </c>
      <c r="I8" s="31" t="s">
        <v>9</v>
      </c>
      <c r="J8" s="6" t="s">
        <v>9</v>
      </c>
    </row>
    <row r="9" spans="1:15" s="16" customFormat="1" ht="12.75" customHeight="1" x14ac:dyDescent="0.25">
      <c r="A9" s="21"/>
      <c r="B9" s="22">
        <v>1</v>
      </c>
      <c r="C9" s="22">
        <v>2</v>
      </c>
      <c r="D9" s="22">
        <v>3</v>
      </c>
      <c r="E9" s="22">
        <v>4</v>
      </c>
      <c r="F9" s="22">
        <v>5</v>
      </c>
      <c r="G9" s="22">
        <v>6</v>
      </c>
      <c r="H9" s="22">
        <v>7</v>
      </c>
      <c r="I9" s="22">
        <v>8</v>
      </c>
      <c r="J9" s="23">
        <v>9</v>
      </c>
    </row>
    <row r="10" spans="1:15" s="118" customFormat="1" ht="12.75" customHeight="1" thickBot="1" x14ac:dyDescent="0.3">
      <c r="A10" s="100" t="s">
        <v>62</v>
      </c>
      <c r="B10" s="68"/>
      <c r="C10" s="68"/>
      <c r="D10" s="101"/>
      <c r="E10" s="101"/>
      <c r="F10" s="102"/>
      <c r="G10" s="101"/>
      <c r="H10" s="103">
        <v>-6797.0667448197337</v>
      </c>
      <c r="I10" s="68">
        <v>1</v>
      </c>
      <c r="J10" s="82">
        <v>-1.1799416545367369E-2</v>
      </c>
    </row>
    <row r="11" spans="1:15" s="118" customFormat="1" x14ac:dyDescent="0.25">
      <c r="A11" s="92" t="s">
        <v>2000</v>
      </c>
      <c r="B11" s="120" t="s">
        <v>251</v>
      </c>
      <c r="C11" s="120" t="s">
        <v>251</v>
      </c>
      <c r="D11" s="121" t="s">
        <v>251</v>
      </c>
      <c r="E11" s="121" t="s">
        <v>251</v>
      </c>
      <c r="F11" s="132" t="s">
        <v>251</v>
      </c>
      <c r="G11" s="121" t="s">
        <v>251</v>
      </c>
      <c r="H11" s="122">
        <v>-5722.8083605195079</v>
      </c>
      <c r="I11" s="120">
        <v>0.84195265036657863</v>
      </c>
      <c r="J11" s="120">
        <v>-9.9345500331513154E-3</v>
      </c>
    </row>
    <row r="12" spans="1:15" s="118" customFormat="1" x14ac:dyDescent="0.25">
      <c r="A12" s="93" t="s">
        <v>1831</v>
      </c>
      <c r="B12" s="136" t="s">
        <v>251</v>
      </c>
      <c r="C12" s="136" t="s">
        <v>251</v>
      </c>
      <c r="D12" s="135" t="s">
        <v>251</v>
      </c>
      <c r="E12" s="135" t="s">
        <v>251</v>
      </c>
      <c r="F12" s="134" t="s">
        <v>251</v>
      </c>
      <c r="G12" s="135" t="s">
        <v>251</v>
      </c>
      <c r="H12" s="123">
        <v>0</v>
      </c>
      <c r="I12" s="136">
        <v>0</v>
      </c>
      <c r="J12" s="136">
        <v>0</v>
      </c>
    </row>
    <row r="13" spans="1:15" s="118" customFormat="1" x14ac:dyDescent="0.25">
      <c r="A13" s="93" t="s">
        <v>1833</v>
      </c>
      <c r="B13" s="136" t="s">
        <v>251</v>
      </c>
      <c r="C13" s="136" t="s">
        <v>251</v>
      </c>
      <c r="D13" s="135" t="s">
        <v>251</v>
      </c>
      <c r="E13" s="135" t="s">
        <v>251</v>
      </c>
      <c r="F13" s="134" t="s">
        <v>251</v>
      </c>
      <c r="G13" s="135" t="s">
        <v>251</v>
      </c>
      <c r="H13" s="123">
        <v>0</v>
      </c>
      <c r="I13" s="136">
        <v>0</v>
      </c>
      <c r="J13" s="136">
        <v>0</v>
      </c>
    </row>
    <row r="14" spans="1:15" s="118" customFormat="1" x14ac:dyDescent="0.25">
      <c r="A14" s="93" t="s">
        <v>2001</v>
      </c>
      <c r="B14" s="136" t="s">
        <v>251</v>
      </c>
      <c r="C14" s="136" t="s">
        <v>251</v>
      </c>
      <c r="D14" s="135" t="s">
        <v>251</v>
      </c>
      <c r="E14" s="135" t="s">
        <v>251</v>
      </c>
      <c r="F14" s="134" t="s">
        <v>251</v>
      </c>
      <c r="G14" s="135" t="s">
        <v>251</v>
      </c>
      <c r="H14" s="123">
        <v>0</v>
      </c>
      <c r="I14" s="136">
        <v>0</v>
      </c>
      <c r="J14" s="136">
        <v>0</v>
      </c>
    </row>
    <row r="15" spans="1:15" s="118" customFormat="1" x14ac:dyDescent="0.25">
      <c r="A15" s="93" t="s">
        <v>1998</v>
      </c>
      <c r="B15" s="136" t="s">
        <v>251</v>
      </c>
      <c r="C15" s="136" t="s">
        <v>251</v>
      </c>
      <c r="D15" s="135" t="s">
        <v>251</v>
      </c>
      <c r="E15" s="135" t="s">
        <v>251</v>
      </c>
      <c r="F15" s="134" t="s">
        <v>251</v>
      </c>
      <c r="G15" s="135" t="s">
        <v>251</v>
      </c>
      <c r="H15" s="123">
        <v>57.060033379449855</v>
      </c>
      <c r="I15" s="136">
        <v>-8.3948025702318095E-3</v>
      </c>
      <c r="J15" s="136">
        <v>9.9053772342285723E-5</v>
      </c>
    </row>
    <row r="16" spans="1:15" x14ac:dyDescent="0.25">
      <c r="A16" s="17" t="s">
        <v>2002</v>
      </c>
      <c r="B16" s="25" t="s">
        <v>2003</v>
      </c>
      <c r="C16" s="25" t="s">
        <v>200</v>
      </c>
      <c r="D16" s="61" t="s">
        <v>125</v>
      </c>
      <c r="E16" s="61" t="s">
        <v>2004</v>
      </c>
      <c r="F16" s="70">
        <v>16466.422894657968</v>
      </c>
      <c r="G16" s="61">
        <v>0.98480000000000001</v>
      </c>
      <c r="H16" s="85">
        <v>59.999829376792128</v>
      </c>
      <c r="I16" s="25">
        <v>-8.8273120787757398E-3</v>
      </c>
      <c r="J16" s="25">
        <v>1.0415713219342769E-4</v>
      </c>
      <c r="K16" s="15"/>
      <c r="L16" s="15"/>
      <c r="M16" s="15"/>
      <c r="N16" s="15"/>
    </row>
    <row r="17" spans="1:14" x14ac:dyDescent="0.25">
      <c r="A17" s="17" t="s">
        <v>2005</v>
      </c>
      <c r="B17" s="25" t="s">
        <v>2006</v>
      </c>
      <c r="C17" s="25" t="s">
        <v>200</v>
      </c>
      <c r="D17" s="61" t="s">
        <v>126</v>
      </c>
      <c r="E17" s="61" t="s">
        <v>2004</v>
      </c>
      <c r="F17" s="70">
        <v>-14877.505325856493</v>
      </c>
      <c r="G17" s="61">
        <v>0.9899</v>
      </c>
      <c r="H17" s="85">
        <v>-59.183958491251985</v>
      </c>
      <c r="I17" s="25">
        <v>8.7072792887252452E-3</v>
      </c>
      <c r="J17" s="25">
        <v>-1.0274081530451927E-4</v>
      </c>
      <c r="K17" s="15"/>
      <c r="L17" s="15"/>
      <c r="M17" s="15"/>
      <c r="N17" s="15"/>
    </row>
    <row r="18" spans="1:14" x14ac:dyDescent="0.25">
      <c r="A18" s="17" t="s">
        <v>2002</v>
      </c>
      <c r="B18" s="25" t="s">
        <v>2007</v>
      </c>
      <c r="C18" s="25" t="s">
        <v>200</v>
      </c>
      <c r="D18" s="61" t="s">
        <v>125</v>
      </c>
      <c r="E18" s="61" t="s">
        <v>2004</v>
      </c>
      <c r="F18" s="70">
        <v>1178899.1424156376</v>
      </c>
      <c r="G18" s="61">
        <v>0.98480000000000001</v>
      </c>
      <c r="H18" s="85">
        <v>4295.635296797358</v>
      </c>
      <c r="I18" s="25">
        <v>-0.6319836862086432</v>
      </c>
      <c r="J18" s="25">
        <v>7.4570387634525235E-3</v>
      </c>
      <c r="K18" s="15"/>
      <c r="L18" s="15"/>
      <c r="M18" s="15"/>
      <c r="N18" s="15"/>
    </row>
    <row r="19" spans="1:14" x14ac:dyDescent="0.25">
      <c r="A19" s="17" t="s">
        <v>2005</v>
      </c>
      <c r="B19" s="25" t="s">
        <v>2008</v>
      </c>
      <c r="C19" s="25" t="s">
        <v>200</v>
      </c>
      <c r="D19" s="61" t="s">
        <v>126</v>
      </c>
      <c r="E19" s="61" t="s">
        <v>2004</v>
      </c>
      <c r="F19" s="70">
        <v>-1065141.9790527986</v>
      </c>
      <c r="G19" s="61">
        <v>0.9899</v>
      </c>
      <c r="H19" s="85">
        <v>-4237.2237344034493</v>
      </c>
      <c r="I19" s="25">
        <v>0.62339004359973005</v>
      </c>
      <c r="J19" s="25">
        <v>-7.3556387946679411E-3</v>
      </c>
      <c r="K19" s="15"/>
      <c r="L19" s="15"/>
      <c r="M19" s="15"/>
      <c r="N19" s="15"/>
    </row>
    <row r="20" spans="1:14" x14ac:dyDescent="0.25">
      <c r="A20" s="17" t="s">
        <v>2009</v>
      </c>
      <c r="B20" s="25" t="s">
        <v>2010</v>
      </c>
      <c r="C20" s="25" t="s">
        <v>200</v>
      </c>
      <c r="D20" s="61" t="s">
        <v>2</v>
      </c>
      <c r="E20" s="61" t="s">
        <v>2011</v>
      </c>
      <c r="F20" s="70">
        <v>66000</v>
      </c>
      <c r="G20" s="61">
        <v>0.98899999999999999</v>
      </c>
      <c r="H20" s="85">
        <v>304.88910999999996</v>
      </c>
      <c r="I20" s="25">
        <v>-4.4855982947698131E-2</v>
      </c>
      <c r="J20" s="25">
        <v>5.2927442735178584E-4</v>
      </c>
      <c r="K20" s="15"/>
      <c r="L20" s="15"/>
      <c r="M20" s="15"/>
      <c r="N20" s="15"/>
    </row>
    <row r="21" spans="1:14" x14ac:dyDescent="0.25">
      <c r="A21" s="17" t="s">
        <v>2012</v>
      </c>
      <c r="B21" s="25" t="s">
        <v>2013</v>
      </c>
      <c r="C21" s="25" t="s">
        <v>200</v>
      </c>
      <c r="D21" s="61" t="s">
        <v>125</v>
      </c>
      <c r="E21" s="61" t="s">
        <v>2011</v>
      </c>
      <c r="F21" s="70">
        <v>-83925.6</v>
      </c>
      <c r="G21" s="61">
        <v>0.98880000000000001</v>
      </c>
      <c r="H21" s="85">
        <v>-307.05651</v>
      </c>
      <c r="I21" s="25">
        <v>4.5174855791142235E-2</v>
      </c>
      <c r="J21" s="25">
        <v>-5.3303694085658857E-4</v>
      </c>
      <c r="K21" s="15"/>
      <c r="L21" s="15"/>
      <c r="M21" s="15"/>
      <c r="N21" s="15"/>
    </row>
    <row r="22" spans="1:14" s="118" customFormat="1" x14ac:dyDescent="0.25">
      <c r="A22" s="93" t="s">
        <v>1997</v>
      </c>
      <c r="B22" s="136" t="s">
        <v>251</v>
      </c>
      <c r="C22" s="136" t="s">
        <v>251</v>
      </c>
      <c r="D22" s="135" t="s">
        <v>251</v>
      </c>
      <c r="E22" s="135" t="s">
        <v>251</v>
      </c>
      <c r="F22" s="134" t="s">
        <v>251</v>
      </c>
      <c r="G22" s="135" t="s">
        <v>251</v>
      </c>
      <c r="H22" s="123">
        <v>-5779.8683941989557</v>
      </c>
      <c r="I22" s="136">
        <v>0.85034745298094694</v>
      </c>
      <c r="J22" s="136">
        <v>-1.0033603806014386E-2</v>
      </c>
    </row>
    <row r="23" spans="1:14" x14ac:dyDescent="0.25">
      <c r="A23" s="17" t="s">
        <v>2014</v>
      </c>
      <c r="B23" s="25" t="s">
        <v>2015</v>
      </c>
      <c r="C23" s="25" t="s">
        <v>200</v>
      </c>
      <c r="D23" s="61" t="s">
        <v>257</v>
      </c>
      <c r="E23" s="61" t="s">
        <v>2016</v>
      </c>
      <c r="F23" s="70">
        <v>33261449</v>
      </c>
      <c r="G23" s="61">
        <v>0.99819999999999998</v>
      </c>
      <c r="H23" s="85">
        <v>33203.698069999999</v>
      </c>
      <c r="I23" s="25">
        <v>-4.8850039754730412</v>
      </c>
      <c r="J23" s="25">
        <v>5.7640196732381972E-2</v>
      </c>
      <c r="K23" s="15"/>
      <c r="L23" s="15"/>
      <c r="M23" s="15"/>
      <c r="N23" s="15"/>
    </row>
    <row r="24" spans="1:14" x14ac:dyDescent="0.25">
      <c r="A24" s="17" t="s">
        <v>2017</v>
      </c>
      <c r="B24" s="25" t="s">
        <v>2018</v>
      </c>
      <c r="C24" s="25" t="s">
        <v>200</v>
      </c>
      <c r="D24" s="61" t="s">
        <v>125</v>
      </c>
      <c r="E24" s="61" t="s">
        <v>2016</v>
      </c>
      <c r="F24" s="70">
        <v>-10270000</v>
      </c>
      <c r="G24" s="61">
        <v>0.99780000000000002</v>
      </c>
      <c r="H24" s="85">
        <v>-37919.05371</v>
      </c>
      <c r="I24" s="25">
        <v>5.5787378782030279</v>
      </c>
      <c r="J24" s="25">
        <v>-6.5825852022336456E-2</v>
      </c>
      <c r="K24" s="15"/>
      <c r="L24" s="15"/>
      <c r="M24" s="15"/>
      <c r="N24" s="15"/>
    </row>
    <row r="25" spans="1:14" x14ac:dyDescent="0.25">
      <c r="A25" s="17" t="s">
        <v>2028</v>
      </c>
      <c r="B25" s="25" t="s">
        <v>2029</v>
      </c>
      <c r="C25" s="25" t="s">
        <v>200</v>
      </c>
      <c r="D25" s="61" t="s">
        <v>257</v>
      </c>
      <c r="E25" s="61" t="s">
        <v>2030</v>
      </c>
      <c r="F25" s="70">
        <v>228603.46859896224</v>
      </c>
      <c r="G25" s="61">
        <v>0.99229999999999996</v>
      </c>
      <c r="H25" s="85">
        <v>226.85165776409369</v>
      </c>
      <c r="I25" s="25">
        <v>-3.3374934553494676E-2</v>
      </c>
      <c r="J25" s="25">
        <v>3.9380475497105815E-4</v>
      </c>
      <c r="K25" s="15"/>
      <c r="L25" s="15"/>
      <c r="M25" s="15"/>
      <c r="N25" s="15"/>
    </row>
    <row r="26" spans="1:14" x14ac:dyDescent="0.25">
      <c r="A26" s="17" t="s">
        <v>2031</v>
      </c>
      <c r="B26" s="25" t="s">
        <v>2032</v>
      </c>
      <c r="C26" s="25" t="s">
        <v>200</v>
      </c>
      <c r="D26" s="61" t="s">
        <v>125</v>
      </c>
      <c r="E26" s="61" t="s">
        <v>2030</v>
      </c>
      <c r="F26" s="70">
        <v>-64971.854085252868</v>
      </c>
      <c r="G26" s="61">
        <v>0.98980000000000001</v>
      </c>
      <c r="H26" s="85">
        <v>-237.9530962803284</v>
      </c>
      <c r="I26" s="25">
        <v>3.5008203569823738E-2</v>
      </c>
      <c r="J26" s="25">
        <v>-4.1307637642536718E-4</v>
      </c>
      <c r="K26" s="15"/>
      <c r="L26" s="15"/>
      <c r="M26" s="15"/>
      <c r="N26" s="15"/>
    </row>
    <row r="27" spans="1:14" x14ac:dyDescent="0.25">
      <c r="A27" s="17" t="s">
        <v>2017</v>
      </c>
      <c r="B27" s="25" t="s">
        <v>2033</v>
      </c>
      <c r="C27" s="25" t="s">
        <v>200</v>
      </c>
      <c r="D27" s="61" t="s">
        <v>125</v>
      </c>
      <c r="E27" s="61" t="s">
        <v>2034</v>
      </c>
      <c r="F27" s="70">
        <v>1563.3872055922</v>
      </c>
      <c r="G27" s="61">
        <v>0.99780000000000002</v>
      </c>
      <c r="H27" s="85">
        <v>5.7723625527219546</v>
      </c>
      <c r="I27" s="25">
        <v>-8.4924317642183825E-4</v>
      </c>
      <c r="J27" s="25">
        <v>1.0020573986912178E-5</v>
      </c>
      <c r="K27" s="15"/>
      <c r="L27" s="15"/>
      <c r="M27" s="15"/>
      <c r="N27" s="15"/>
    </row>
    <row r="28" spans="1:14" x14ac:dyDescent="0.25">
      <c r="A28" s="17" t="s">
        <v>2014</v>
      </c>
      <c r="B28" s="25" t="s">
        <v>2035</v>
      </c>
      <c r="C28" s="25" t="s">
        <v>200</v>
      </c>
      <c r="D28" s="61" t="s">
        <v>257</v>
      </c>
      <c r="E28" s="61" t="s">
        <v>2034</v>
      </c>
      <c r="F28" s="70">
        <v>-5399.9394081154587</v>
      </c>
      <c r="G28" s="61">
        <v>0.99819999999999998</v>
      </c>
      <c r="H28" s="85">
        <v>-5.3905636437189965</v>
      </c>
      <c r="I28" s="25">
        <v>7.930720480017828E-4</v>
      </c>
      <c r="J28" s="25">
        <v>-9.3577874448606196E-6</v>
      </c>
      <c r="K28" s="15"/>
      <c r="L28" s="15"/>
      <c r="M28" s="15"/>
      <c r="N28" s="15"/>
    </row>
    <row r="29" spans="1:14" x14ac:dyDescent="0.25">
      <c r="A29" s="17" t="s">
        <v>2017</v>
      </c>
      <c r="B29" s="25" t="s">
        <v>2099</v>
      </c>
      <c r="C29" s="25" t="s">
        <v>200</v>
      </c>
      <c r="D29" s="61" t="s">
        <v>125</v>
      </c>
      <c r="E29" s="61" t="s">
        <v>1632</v>
      </c>
      <c r="F29" s="70">
        <v>9614.8313143920295</v>
      </c>
      <c r="G29" s="61">
        <v>0.99780000000000002</v>
      </c>
      <c r="H29" s="85">
        <v>35.500029702913984</v>
      </c>
      <c r="I29" s="25">
        <v>-5.2228455355348268E-3</v>
      </c>
      <c r="J29" s="25">
        <v>6.1626530025887731E-5</v>
      </c>
      <c r="K29" s="15"/>
      <c r="L29" s="15"/>
      <c r="M29" s="15"/>
      <c r="N29" s="15"/>
    </row>
    <row r="30" spans="1:14" x14ac:dyDescent="0.25">
      <c r="A30" s="17" t="s">
        <v>2014</v>
      </c>
      <c r="B30" s="25" t="s">
        <v>2100</v>
      </c>
      <c r="C30" s="25" t="s">
        <v>200</v>
      </c>
      <c r="D30" s="61" t="s">
        <v>257</v>
      </c>
      <c r="E30" s="61" t="s">
        <v>1632</v>
      </c>
      <c r="F30" s="70">
        <v>-35007.600815701378</v>
      </c>
      <c r="G30" s="61">
        <v>0.99819999999999998</v>
      </c>
      <c r="H30" s="85">
        <v>-34.946818097155827</v>
      </c>
      <c r="I30" s="25">
        <v>5.1414557792580067E-3</v>
      </c>
      <c r="J30" s="25">
        <v>-6.0666178389051603E-5</v>
      </c>
      <c r="K30" s="15"/>
      <c r="L30" s="15"/>
      <c r="M30" s="15"/>
      <c r="N30" s="15"/>
    </row>
    <row r="31" spans="1:14" x14ac:dyDescent="0.25">
      <c r="A31" s="17" t="s">
        <v>2095</v>
      </c>
      <c r="B31" s="25" t="s">
        <v>2101</v>
      </c>
      <c r="C31" s="25" t="s">
        <v>200</v>
      </c>
      <c r="D31" s="61" t="s">
        <v>257</v>
      </c>
      <c r="E31" s="61" t="s">
        <v>1632</v>
      </c>
      <c r="F31" s="70">
        <v>34456.67098138672</v>
      </c>
      <c r="G31" s="61">
        <v>0.96709999999999996</v>
      </c>
      <c r="H31" s="85">
        <v>33.32458034450481</v>
      </c>
      <c r="I31" s="25">
        <v>-4.9027884520778846E-3</v>
      </c>
      <c r="J31" s="25">
        <v>5.7850043179883866E-5</v>
      </c>
      <c r="K31" s="15"/>
      <c r="L31" s="15"/>
      <c r="M31" s="15"/>
      <c r="N31" s="15"/>
    </row>
    <row r="32" spans="1:14" x14ac:dyDescent="0.25">
      <c r="A32" s="17" t="s">
        <v>2097</v>
      </c>
      <c r="B32" s="25" t="s">
        <v>2102</v>
      </c>
      <c r="C32" s="25" t="s">
        <v>200</v>
      </c>
      <c r="D32" s="61" t="s">
        <v>125</v>
      </c>
      <c r="E32" s="61" t="s">
        <v>1632</v>
      </c>
      <c r="F32" s="70">
        <v>-9614.8313143920295</v>
      </c>
      <c r="G32" s="61">
        <v>0.95050000000000001</v>
      </c>
      <c r="H32" s="85">
        <v>-33.816068621368558</v>
      </c>
      <c r="I32" s="25">
        <v>4.975097331086367E-3</v>
      </c>
      <c r="J32" s="25">
        <v>-5.8703245763233518E-5</v>
      </c>
      <c r="K32" s="15"/>
      <c r="L32" s="15"/>
      <c r="M32" s="15"/>
      <c r="N32" s="15"/>
    </row>
    <row r="33" spans="1:14" x14ac:dyDescent="0.25">
      <c r="A33" s="17" t="s">
        <v>2017</v>
      </c>
      <c r="B33" s="25" t="s">
        <v>2103</v>
      </c>
      <c r="C33" s="25" t="s">
        <v>200</v>
      </c>
      <c r="D33" s="61" t="s">
        <v>125</v>
      </c>
      <c r="E33" s="61" t="s">
        <v>1632</v>
      </c>
      <c r="F33" s="70">
        <v>169648.73011149361</v>
      </c>
      <c r="G33" s="61">
        <v>0.99780000000000002</v>
      </c>
      <c r="H33" s="85">
        <v>626.37967960807816</v>
      </c>
      <c r="I33" s="25">
        <v>-9.2154410589753682E-2</v>
      </c>
      <c r="J33" s="25">
        <v>1.0873682770413174E-3</v>
      </c>
      <c r="K33" s="15"/>
      <c r="L33" s="15"/>
      <c r="M33" s="15"/>
      <c r="N33" s="15"/>
    </row>
    <row r="34" spans="1:14" x14ac:dyDescent="0.25">
      <c r="A34" s="17" t="s">
        <v>2014</v>
      </c>
      <c r="B34" s="25" t="s">
        <v>2104</v>
      </c>
      <c r="C34" s="25" t="s">
        <v>200</v>
      </c>
      <c r="D34" s="61" t="s">
        <v>257</v>
      </c>
      <c r="E34" s="61" t="s">
        <v>1632</v>
      </c>
      <c r="F34" s="70">
        <v>-617691.02633594826</v>
      </c>
      <c r="G34" s="61">
        <v>0.99819999999999998</v>
      </c>
      <c r="H34" s="85">
        <v>-616.61854669701438</v>
      </c>
      <c r="I34" s="25">
        <v>9.0718330398470715E-2</v>
      </c>
      <c r="J34" s="25">
        <v>-1.0704233686718188E-3</v>
      </c>
      <c r="K34" s="15"/>
      <c r="L34" s="15"/>
      <c r="M34" s="15"/>
      <c r="N34" s="15"/>
    </row>
    <row r="35" spans="1:14" x14ac:dyDescent="0.25">
      <c r="A35" s="17" t="s">
        <v>2095</v>
      </c>
      <c r="B35" s="25" t="s">
        <v>2105</v>
      </c>
      <c r="C35" s="25" t="s">
        <v>200</v>
      </c>
      <c r="D35" s="61" t="s">
        <v>257</v>
      </c>
      <c r="E35" s="61" t="s">
        <v>1632</v>
      </c>
      <c r="F35" s="70">
        <v>607970.15410055965</v>
      </c>
      <c r="G35" s="61">
        <v>0.96709999999999996</v>
      </c>
      <c r="H35" s="85">
        <v>587.9949998038021</v>
      </c>
      <c r="I35" s="25">
        <v>-8.6507168735974582E-2</v>
      </c>
      <c r="J35" s="25">
        <v>1.0207341180761451E-3</v>
      </c>
      <c r="K35" s="15"/>
      <c r="L35" s="15"/>
      <c r="M35" s="15"/>
      <c r="N35" s="15"/>
    </row>
    <row r="36" spans="1:14" x14ac:dyDescent="0.25">
      <c r="A36" s="17" t="s">
        <v>2097</v>
      </c>
      <c r="B36" s="25" t="s">
        <v>2106</v>
      </c>
      <c r="C36" s="25" t="s">
        <v>200</v>
      </c>
      <c r="D36" s="61" t="s">
        <v>125</v>
      </c>
      <c r="E36" s="61" t="s">
        <v>1632</v>
      </c>
      <c r="F36" s="70">
        <v>-169648.73011149361</v>
      </c>
      <c r="G36" s="61">
        <v>0.95050000000000001</v>
      </c>
      <c r="H36" s="85">
        <v>-596.66705644895171</v>
      </c>
      <c r="I36" s="25">
        <v>8.778302153700214E-2</v>
      </c>
      <c r="J36" s="25">
        <v>-1.0357884367260431E-3</v>
      </c>
      <c r="K36" s="15"/>
      <c r="L36" s="15"/>
      <c r="M36" s="15"/>
      <c r="N36" s="15"/>
    </row>
    <row r="37" spans="1:14" x14ac:dyDescent="0.25">
      <c r="A37" s="17" t="s">
        <v>2031</v>
      </c>
      <c r="B37" s="25" t="s">
        <v>2128</v>
      </c>
      <c r="C37" s="25" t="s">
        <v>200</v>
      </c>
      <c r="D37" s="61" t="s">
        <v>125</v>
      </c>
      <c r="E37" s="61" t="s">
        <v>2129</v>
      </c>
      <c r="F37" s="70">
        <v>2093537.5205248147</v>
      </c>
      <c r="G37" s="61">
        <v>0.98980000000000001</v>
      </c>
      <c r="H37" s="85">
        <v>7667.3747134201094</v>
      </c>
      <c r="I37" s="25">
        <v>-1.1280416981727694</v>
      </c>
      <c r="J37" s="25">
        <v>1.3310233877284078E-2</v>
      </c>
      <c r="K37" s="19"/>
      <c r="L37" s="19"/>
    </row>
    <row r="38" spans="1:14" x14ac:dyDescent="0.25">
      <c r="A38" s="17" t="s">
        <v>2028</v>
      </c>
      <c r="B38" s="25" t="s">
        <v>2130</v>
      </c>
      <c r="C38" s="25" t="s">
        <v>200</v>
      </c>
      <c r="D38" s="61" t="s">
        <v>257</v>
      </c>
      <c r="E38" s="61" t="s">
        <v>2129</v>
      </c>
      <c r="F38" s="70">
        <v>-7656066.7125592474</v>
      </c>
      <c r="G38" s="61">
        <v>0.99229999999999996</v>
      </c>
      <c r="H38" s="85">
        <v>-7597.3947055920162</v>
      </c>
      <c r="I38" s="25">
        <v>1.1177460794220151</v>
      </c>
      <c r="J38" s="25">
        <v>-1.3188751583051635E-2</v>
      </c>
      <c r="K38" s="19"/>
      <c r="L38" s="19"/>
    </row>
    <row r="39" spans="1:14" x14ac:dyDescent="0.25">
      <c r="A39" s="17" t="s">
        <v>2119</v>
      </c>
      <c r="B39" s="25" t="s">
        <v>2131</v>
      </c>
      <c r="C39" s="25" t="s">
        <v>200</v>
      </c>
      <c r="D39" s="61" t="s">
        <v>257</v>
      </c>
      <c r="E39" s="61" t="s">
        <v>2129</v>
      </c>
      <c r="F39" s="70">
        <v>7550971.1290289015</v>
      </c>
      <c r="G39" s="61">
        <v>0.96430000000000005</v>
      </c>
      <c r="H39" s="85">
        <v>7281.4883034128507</v>
      </c>
      <c r="I39" s="25">
        <v>-1.071269207259486</v>
      </c>
      <c r="J39" s="25">
        <v>1.2640351608680165E-2</v>
      </c>
      <c r="K39" s="19"/>
      <c r="L39" s="19"/>
    </row>
    <row r="40" spans="1:14" x14ac:dyDescent="0.25">
      <c r="A40" s="17" t="s">
        <v>2121</v>
      </c>
      <c r="B40" s="25" t="s">
        <v>2132</v>
      </c>
      <c r="C40" s="25" t="s">
        <v>200</v>
      </c>
      <c r="D40" s="61" t="s">
        <v>125</v>
      </c>
      <c r="E40" s="61" t="s">
        <v>2129</v>
      </c>
      <c r="F40" s="70">
        <v>-2093537.5205248147</v>
      </c>
      <c r="G40" s="61">
        <v>0.94579999999999997</v>
      </c>
      <c r="H40" s="85">
        <v>-7326.5782851692202</v>
      </c>
      <c r="I40" s="25">
        <v>1.0779029484671525</v>
      </c>
      <c r="J40" s="25">
        <v>-1.2718625884443589E-2</v>
      </c>
      <c r="K40" s="19"/>
      <c r="L40" s="19"/>
    </row>
    <row r="41" spans="1:14" x14ac:dyDescent="0.25">
      <c r="A41" s="17" t="s">
        <v>2144</v>
      </c>
      <c r="B41" s="25" t="s">
        <v>2145</v>
      </c>
      <c r="C41" s="25" t="s">
        <v>200</v>
      </c>
      <c r="D41" s="61" t="s">
        <v>257</v>
      </c>
      <c r="E41" s="61" t="s">
        <v>2146</v>
      </c>
      <c r="F41" s="70">
        <v>3707700</v>
      </c>
      <c r="G41" s="61">
        <v>0.98299999999999998</v>
      </c>
      <c r="H41" s="85">
        <v>3644.8232599999997</v>
      </c>
      <c r="I41" s="25">
        <v>-0.53623473136818001</v>
      </c>
      <c r="J41" s="25">
        <v>6.3272569615063301E-3</v>
      </c>
      <c r="K41" s="19"/>
      <c r="L41" s="19"/>
    </row>
    <row r="42" spans="1:14" x14ac:dyDescent="0.25">
      <c r="A42" s="17" t="s">
        <v>2147</v>
      </c>
      <c r="B42" s="25" t="s">
        <v>2148</v>
      </c>
      <c r="C42" s="25" t="s">
        <v>200</v>
      </c>
      <c r="D42" s="61" t="s">
        <v>125</v>
      </c>
      <c r="E42" s="61" t="s">
        <v>2146</v>
      </c>
      <c r="F42" s="70">
        <v>-1000000</v>
      </c>
      <c r="G42" s="61">
        <v>0.97570000000000001</v>
      </c>
      <c r="H42" s="85">
        <v>-3610.3278100000002</v>
      </c>
      <c r="I42" s="25">
        <v>0.531159681895363</v>
      </c>
      <c r="J42" s="25">
        <v>-6.2673743387882145E-3</v>
      </c>
      <c r="K42" s="19"/>
      <c r="L42" s="19"/>
    </row>
    <row r="43" spans="1:14" x14ac:dyDescent="0.25">
      <c r="A43" s="17" t="s">
        <v>2014</v>
      </c>
      <c r="B43" s="25" t="s">
        <v>2019</v>
      </c>
      <c r="C43" s="25" t="s">
        <v>200</v>
      </c>
      <c r="D43" s="61" t="s">
        <v>257</v>
      </c>
      <c r="E43" s="61" t="s">
        <v>2020</v>
      </c>
      <c r="F43" s="70">
        <v>33041.164571571484</v>
      </c>
      <c r="G43" s="61">
        <v>0.99819999999999998</v>
      </c>
      <c r="H43" s="85">
        <v>32.983796121837123</v>
      </c>
      <c r="I43" s="25">
        <v>-4.8526514980855749E-3</v>
      </c>
      <c r="J43" s="25">
        <v>5.7258456375412687E-5</v>
      </c>
      <c r="K43" s="15"/>
      <c r="L43" s="15"/>
      <c r="M43" s="15"/>
      <c r="N43" s="15"/>
    </row>
    <row r="44" spans="1:14" x14ac:dyDescent="0.25">
      <c r="A44" s="17" t="s">
        <v>2017</v>
      </c>
      <c r="B44" s="25" t="s">
        <v>2021</v>
      </c>
      <c r="C44" s="25" t="s">
        <v>200</v>
      </c>
      <c r="D44" s="61" t="s">
        <v>125</v>
      </c>
      <c r="E44" s="61" t="s">
        <v>2020</v>
      </c>
      <c r="F44" s="70">
        <v>-10119.805381798311</v>
      </c>
      <c r="G44" s="61">
        <v>0.99780000000000002</v>
      </c>
      <c r="H44" s="85">
        <v>-37.364502807485387</v>
      </c>
      <c r="I44" s="25">
        <v>5.4971510815252905E-3</v>
      </c>
      <c r="J44" s="25">
        <v>-6.486317542373365E-5</v>
      </c>
      <c r="K44" s="15"/>
      <c r="L44" s="15"/>
      <c r="M44" s="15"/>
      <c r="N44" s="15"/>
    </row>
    <row r="45" spans="1:14" x14ac:dyDescent="0.25">
      <c r="A45" s="17" t="s">
        <v>2014</v>
      </c>
      <c r="B45" s="25" t="s">
        <v>2025</v>
      </c>
      <c r="C45" s="25" t="s">
        <v>200</v>
      </c>
      <c r="D45" s="61" t="s">
        <v>257</v>
      </c>
      <c r="E45" s="61" t="s">
        <v>2026</v>
      </c>
      <c r="F45" s="70">
        <v>116885.83358557019</v>
      </c>
      <c r="G45" s="61">
        <v>0.99819999999999998</v>
      </c>
      <c r="H45" s="85">
        <v>116.68288797490951</v>
      </c>
      <c r="I45" s="25">
        <v>-1.7166653257280038E-2</v>
      </c>
      <c r="J45" s="25">
        <v>2.0255649247253473E-4</v>
      </c>
      <c r="K45" s="15"/>
      <c r="L45" s="15"/>
      <c r="M45" s="15"/>
      <c r="N45" s="15"/>
    </row>
    <row r="46" spans="1:14" x14ac:dyDescent="0.25">
      <c r="A46" s="17" t="s">
        <v>2017</v>
      </c>
      <c r="B46" s="25" t="s">
        <v>2027</v>
      </c>
      <c r="C46" s="25" t="s">
        <v>200</v>
      </c>
      <c r="D46" s="61" t="s">
        <v>125</v>
      </c>
      <c r="E46" s="61" t="s">
        <v>2026</v>
      </c>
      <c r="F46" s="70">
        <v>-34510.136872031355</v>
      </c>
      <c r="G46" s="61">
        <v>0.99780000000000002</v>
      </c>
      <c r="H46" s="85">
        <v>-127.41886399154251</v>
      </c>
      <c r="I46" s="25">
        <v>1.8746154595090977E-2</v>
      </c>
      <c r="J46" s="25">
        <v>-2.21193686691331E-4</v>
      </c>
      <c r="K46" s="15"/>
      <c r="L46" s="15"/>
      <c r="M46" s="15"/>
      <c r="N46" s="15"/>
    </row>
    <row r="47" spans="1:14" x14ac:dyDescent="0.25">
      <c r="A47" s="17" t="s">
        <v>2014</v>
      </c>
      <c r="B47" s="25" t="s">
        <v>2036</v>
      </c>
      <c r="C47" s="25" t="s">
        <v>200</v>
      </c>
      <c r="D47" s="61" t="s">
        <v>257</v>
      </c>
      <c r="E47" s="61" t="s">
        <v>2037</v>
      </c>
      <c r="F47" s="70">
        <v>133373.82085975839</v>
      </c>
      <c r="G47" s="61">
        <v>0.99819999999999998</v>
      </c>
      <c r="H47" s="85">
        <v>133.14224756036853</v>
      </c>
      <c r="I47" s="25">
        <v>-1.9588191871418741E-2</v>
      </c>
      <c r="J47" s="25">
        <v>2.3112923526144889E-4</v>
      </c>
      <c r="K47" s="15"/>
      <c r="L47" s="15"/>
      <c r="M47" s="15"/>
      <c r="N47" s="15"/>
    </row>
    <row r="48" spans="1:14" x14ac:dyDescent="0.25">
      <c r="A48" s="17" t="s">
        <v>2017</v>
      </c>
      <c r="B48" s="25" t="s">
        <v>2038</v>
      </c>
      <c r="C48" s="25" t="s">
        <v>200</v>
      </c>
      <c r="D48" s="61" t="s">
        <v>125</v>
      </c>
      <c r="E48" s="61" t="s">
        <v>2037</v>
      </c>
      <c r="F48" s="70">
        <v>-38569.641659849163</v>
      </c>
      <c r="G48" s="61">
        <v>0.99780000000000002</v>
      </c>
      <c r="H48" s="85">
        <v>-142.40743069442289</v>
      </c>
      <c r="I48" s="25">
        <v>2.0951306797591218E-2</v>
      </c>
      <c r="J48" s="25">
        <v>-2.4721319607456563E-4</v>
      </c>
      <c r="K48" s="15"/>
      <c r="L48" s="15"/>
      <c r="M48" s="15"/>
      <c r="N48" s="15"/>
    </row>
    <row r="49" spans="1:14" x14ac:dyDescent="0.25">
      <c r="A49" s="17" t="s">
        <v>2017</v>
      </c>
      <c r="B49" s="25" t="s">
        <v>2039</v>
      </c>
      <c r="C49" s="25" t="s">
        <v>200</v>
      </c>
      <c r="D49" s="61" t="s">
        <v>125</v>
      </c>
      <c r="E49" s="61" t="s">
        <v>2037</v>
      </c>
      <c r="F49" s="70">
        <v>34510.136872031355</v>
      </c>
      <c r="G49" s="61">
        <v>0.99780000000000002</v>
      </c>
      <c r="H49" s="85">
        <v>127.41886399154251</v>
      </c>
      <c r="I49" s="25">
        <v>-1.8746154595090977E-2</v>
      </c>
      <c r="J49" s="25">
        <v>2.21193686691331E-4</v>
      </c>
      <c r="K49" s="15"/>
      <c r="L49" s="15"/>
      <c r="M49" s="15"/>
      <c r="N49" s="15"/>
    </row>
    <row r="50" spans="1:14" x14ac:dyDescent="0.25">
      <c r="A50" s="17" t="s">
        <v>2014</v>
      </c>
      <c r="B50" s="25" t="s">
        <v>2040</v>
      </c>
      <c r="C50" s="25" t="s">
        <v>200</v>
      </c>
      <c r="D50" s="61" t="s">
        <v>257</v>
      </c>
      <c r="E50" s="61" t="s">
        <v>2037</v>
      </c>
      <c r="F50" s="70">
        <v>-119336.05330348441</v>
      </c>
      <c r="G50" s="61">
        <v>0.99819999999999998</v>
      </c>
      <c r="H50" s="85">
        <v>-119.12885339407559</v>
      </c>
      <c r="I50" s="25">
        <v>1.7526509282091068E-2</v>
      </c>
      <c r="J50" s="25">
        <v>-2.0680258360564015E-4</v>
      </c>
      <c r="K50" s="15"/>
      <c r="L50" s="15"/>
      <c r="M50" s="15"/>
      <c r="N50" s="15"/>
    </row>
    <row r="51" spans="1:14" x14ac:dyDescent="0.25">
      <c r="A51" s="17" t="s">
        <v>2043</v>
      </c>
      <c r="B51" s="25" t="s">
        <v>2044</v>
      </c>
      <c r="C51" s="25" t="s">
        <v>200</v>
      </c>
      <c r="D51" s="61" t="s">
        <v>257</v>
      </c>
      <c r="E51" s="61" t="s">
        <v>436</v>
      </c>
      <c r="F51" s="70">
        <v>6096211.4942411939</v>
      </c>
      <c r="G51" s="61">
        <v>0.99299999999999999</v>
      </c>
      <c r="H51" s="85">
        <v>6053.7372867278646</v>
      </c>
      <c r="I51" s="25">
        <v>-0.89063967061109339</v>
      </c>
      <c r="J51" s="25">
        <v>1.050902846536908E-2</v>
      </c>
      <c r="K51" s="15"/>
      <c r="L51" s="15"/>
      <c r="M51" s="15"/>
      <c r="N51" s="15"/>
    </row>
    <row r="52" spans="1:14" x14ac:dyDescent="0.25">
      <c r="A52" s="17" t="s">
        <v>2045</v>
      </c>
      <c r="B52" s="25" t="s">
        <v>2046</v>
      </c>
      <c r="C52" s="25" t="s">
        <v>200</v>
      </c>
      <c r="D52" s="61" t="s">
        <v>125</v>
      </c>
      <c r="E52" s="61" t="s">
        <v>436</v>
      </c>
      <c r="F52" s="70">
        <v>-1817594.3632203916</v>
      </c>
      <c r="G52" s="61">
        <v>0.99080000000000001</v>
      </c>
      <c r="H52" s="85">
        <v>-6663.5305115089022</v>
      </c>
      <c r="I52" s="25">
        <v>0.98035384404418224</v>
      </c>
      <c r="J52" s="25">
        <v>-1.1567603367729424E-2</v>
      </c>
      <c r="K52" s="15"/>
      <c r="L52" s="15"/>
      <c r="M52" s="15"/>
      <c r="N52" s="15"/>
    </row>
    <row r="53" spans="1:14" x14ac:dyDescent="0.25">
      <c r="A53" s="17" t="s">
        <v>2031</v>
      </c>
      <c r="B53" s="25" t="s">
        <v>2047</v>
      </c>
      <c r="C53" s="25" t="s">
        <v>200</v>
      </c>
      <c r="D53" s="61" t="s">
        <v>125</v>
      </c>
      <c r="E53" s="61" t="s">
        <v>2048</v>
      </c>
      <c r="F53" s="70">
        <v>216572.84695084291</v>
      </c>
      <c r="G53" s="61">
        <v>0.98980000000000001</v>
      </c>
      <c r="H53" s="85">
        <v>793.17698772141296</v>
      </c>
      <c r="I53" s="25">
        <v>-0.11669401191711395</v>
      </c>
      <c r="J53" s="25">
        <v>1.3769212549600914E-3</v>
      </c>
      <c r="K53" s="15"/>
      <c r="L53" s="15"/>
      <c r="M53" s="15"/>
      <c r="N53" s="15"/>
    </row>
    <row r="54" spans="1:14" x14ac:dyDescent="0.25">
      <c r="A54" s="17" t="s">
        <v>2028</v>
      </c>
      <c r="B54" s="25" t="s">
        <v>2049</v>
      </c>
      <c r="C54" s="25" t="s">
        <v>200</v>
      </c>
      <c r="D54" s="61" t="s">
        <v>257</v>
      </c>
      <c r="E54" s="61" t="s">
        <v>2048</v>
      </c>
      <c r="F54" s="70">
        <v>-733748.80546945578</v>
      </c>
      <c r="G54" s="61">
        <v>0.99229999999999996</v>
      </c>
      <c r="H54" s="85">
        <v>-728.12601639876709</v>
      </c>
      <c r="I54" s="25">
        <v>0.10712356428656461</v>
      </c>
      <c r="J54" s="25">
        <v>-1.2639955568416153E-3</v>
      </c>
      <c r="K54" s="15"/>
      <c r="L54" s="15"/>
      <c r="M54" s="15"/>
      <c r="N54" s="15"/>
    </row>
    <row r="55" spans="1:14" x14ac:dyDescent="0.25">
      <c r="A55" s="17" t="s">
        <v>2031</v>
      </c>
      <c r="B55" s="25" t="s">
        <v>2050</v>
      </c>
      <c r="C55" s="25" t="s">
        <v>200</v>
      </c>
      <c r="D55" s="61" t="s">
        <v>125</v>
      </c>
      <c r="E55" s="61" t="s">
        <v>2048</v>
      </c>
      <c r="F55" s="70">
        <v>206623.0803206205</v>
      </c>
      <c r="G55" s="61">
        <v>0.98980000000000001</v>
      </c>
      <c r="H55" s="85">
        <v>756.73693516910885</v>
      </c>
      <c r="I55" s="25">
        <v>-0.11133286807075166</v>
      </c>
      <c r="J55" s="25">
        <v>1.3136628855572297E-3</v>
      </c>
      <c r="K55" s="15"/>
      <c r="L55" s="15"/>
      <c r="M55" s="15"/>
      <c r="N55" s="15"/>
    </row>
    <row r="56" spans="1:14" x14ac:dyDescent="0.25">
      <c r="A56" s="17" t="s">
        <v>2028</v>
      </c>
      <c r="B56" s="25" t="s">
        <v>2051</v>
      </c>
      <c r="C56" s="25" t="s">
        <v>200</v>
      </c>
      <c r="D56" s="61" t="s">
        <v>257</v>
      </c>
      <c r="E56" s="61" t="s">
        <v>2048</v>
      </c>
      <c r="F56" s="70">
        <v>-700038.99612626224</v>
      </c>
      <c r="G56" s="61">
        <v>0.99229999999999996</v>
      </c>
      <c r="H56" s="85">
        <v>-694.67452863120968</v>
      </c>
      <c r="I56" s="25">
        <v>0.10220210492425189</v>
      </c>
      <c r="J56" s="25">
        <v>-1.2059252078145896E-3</v>
      </c>
      <c r="K56" s="15"/>
      <c r="L56" s="15"/>
      <c r="M56" s="15"/>
      <c r="N56" s="15"/>
    </row>
    <row r="57" spans="1:14" x14ac:dyDescent="0.25">
      <c r="A57" s="17" t="s">
        <v>2014</v>
      </c>
      <c r="B57" s="25" t="s">
        <v>2058</v>
      </c>
      <c r="C57" s="25" t="s">
        <v>200</v>
      </c>
      <c r="D57" s="61" t="s">
        <v>257</v>
      </c>
      <c r="E57" s="61" t="s">
        <v>2059</v>
      </c>
      <c r="F57" s="70">
        <v>641.23104647853745</v>
      </c>
      <c r="G57" s="61">
        <v>0.99819999999999998</v>
      </c>
      <c r="H57" s="85">
        <v>0.64011769435055987</v>
      </c>
      <c r="I57" s="25">
        <v>-9.4175578728635325E-5</v>
      </c>
      <c r="J57" s="25">
        <v>1.111216881820207E-6</v>
      </c>
      <c r="K57" s="15"/>
      <c r="L57" s="15"/>
      <c r="M57" s="15"/>
      <c r="N57" s="15"/>
    </row>
    <row r="58" spans="1:14" x14ac:dyDescent="0.25">
      <c r="A58" s="17" t="s">
        <v>2017</v>
      </c>
      <c r="B58" s="25" t="s">
        <v>2060</v>
      </c>
      <c r="C58" s="25" t="s">
        <v>200</v>
      </c>
      <c r="D58" s="61" t="s">
        <v>125</v>
      </c>
      <c r="E58" s="61" t="s">
        <v>2059</v>
      </c>
      <c r="F58" s="70">
        <v>-179.61653984880422</v>
      </c>
      <c r="G58" s="61">
        <v>0.99780000000000002</v>
      </c>
      <c r="H58" s="85">
        <v>-0.66318298052986702</v>
      </c>
      <c r="I58" s="25">
        <v>9.7568996366748992E-5</v>
      </c>
      <c r="J58" s="25">
        <v>-1.1512572300447068E-6</v>
      </c>
      <c r="K58" s="15"/>
      <c r="L58" s="15"/>
      <c r="M58" s="15"/>
      <c r="N58" s="15"/>
    </row>
    <row r="59" spans="1:14" x14ac:dyDescent="0.25">
      <c r="A59" s="17" t="s">
        <v>2014</v>
      </c>
      <c r="B59" s="25" t="s">
        <v>2077</v>
      </c>
      <c r="C59" s="25" t="s">
        <v>200</v>
      </c>
      <c r="D59" s="61" t="s">
        <v>257</v>
      </c>
      <c r="E59" s="61" t="s">
        <v>2078</v>
      </c>
      <c r="F59" s="70">
        <v>696002.54054724029</v>
      </c>
      <c r="G59" s="61">
        <v>0.99819999999999998</v>
      </c>
      <c r="H59" s="85">
        <v>694.79409077190576</v>
      </c>
      <c r="I59" s="25">
        <v>-0.1022196951797525</v>
      </c>
      <c r="J59" s="25">
        <v>1.2061327625663809E-3</v>
      </c>
      <c r="K59" s="15"/>
      <c r="L59" s="15"/>
      <c r="M59" s="15"/>
      <c r="N59" s="15"/>
    </row>
    <row r="60" spans="1:14" x14ac:dyDescent="0.25">
      <c r="A60" s="17" t="s">
        <v>2017</v>
      </c>
      <c r="B60" s="25" t="s">
        <v>2079</v>
      </c>
      <c r="C60" s="25" t="s">
        <v>200</v>
      </c>
      <c r="D60" s="61" t="s">
        <v>125</v>
      </c>
      <c r="E60" s="61" t="s">
        <v>2078</v>
      </c>
      <c r="F60" s="70">
        <v>-194915.56225575862</v>
      </c>
      <c r="G60" s="61">
        <v>0.99780000000000002</v>
      </c>
      <c r="H60" s="85">
        <v>-719.67027018646888</v>
      </c>
      <c r="I60" s="25">
        <v>0.10587953557098038</v>
      </c>
      <c r="J60" s="25">
        <v>-1.249316743832039E-3</v>
      </c>
      <c r="K60" s="15"/>
      <c r="L60" s="15"/>
      <c r="M60" s="15"/>
      <c r="N60" s="15"/>
    </row>
    <row r="61" spans="1:14" x14ac:dyDescent="0.25">
      <c r="A61" s="17" t="s">
        <v>2014</v>
      </c>
      <c r="B61" s="25" t="s">
        <v>2080</v>
      </c>
      <c r="C61" s="25" t="s">
        <v>200</v>
      </c>
      <c r="D61" s="61" t="s">
        <v>257</v>
      </c>
      <c r="E61" s="61" t="s">
        <v>2078</v>
      </c>
      <c r="F61" s="70">
        <v>786994.80424327299</v>
      </c>
      <c r="G61" s="61">
        <v>0.99819999999999998</v>
      </c>
      <c r="H61" s="85">
        <v>785.62836717459675</v>
      </c>
      <c r="I61" s="25">
        <v>-0.11558344160344605</v>
      </c>
      <c r="J61" s="25">
        <v>1.3638171732262042E-3</v>
      </c>
      <c r="K61" s="15"/>
      <c r="L61" s="15"/>
      <c r="M61" s="15"/>
      <c r="N61" s="15"/>
    </row>
    <row r="62" spans="1:14" x14ac:dyDescent="0.25">
      <c r="A62" s="17" t="s">
        <v>2017</v>
      </c>
      <c r="B62" s="25" t="s">
        <v>2081</v>
      </c>
      <c r="C62" s="25" t="s">
        <v>200</v>
      </c>
      <c r="D62" s="61" t="s">
        <v>125</v>
      </c>
      <c r="E62" s="61" t="s">
        <v>2078</v>
      </c>
      <c r="F62" s="70">
        <v>-220397.9523419952</v>
      </c>
      <c r="G62" s="61">
        <v>0.99780000000000002</v>
      </c>
      <c r="H62" s="85">
        <v>-813.75674710077101</v>
      </c>
      <c r="I62" s="25">
        <v>0.11972175316962448</v>
      </c>
      <c r="J62" s="25">
        <v>-1.4126468351900552E-3</v>
      </c>
      <c r="K62" s="15"/>
      <c r="L62" s="15"/>
      <c r="M62" s="15"/>
      <c r="N62" s="15"/>
    </row>
    <row r="63" spans="1:14" x14ac:dyDescent="0.25">
      <c r="A63" s="17" t="s">
        <v>2082</v>
      </c>
      <c r="B63" s="25" t="s">
        <v>2083</v>
      </c>
      <c r="C63" s="25" t="s">
        <v>200</v>
      </c>
      <c r="D63" s="61" t="s">
        <v>257</v>
      </c>
      <c r="E63" s="61" t="s">
        <v>1418</v>
      </c>
      <c r="F63" s="70">
        <v>812826</v>
      </c>
      <c r="G63" s="61">
        <v>0.98409999999999997</v>
      </c>
      <c r="H63" s="85">
        <v>799.95128</v>
      </c>
      <c r="I63" s="25">
        <v>-0.11769066128557132</v>
      </c>
      <c r="J63" s="25">
        <v>1.388681136008197E-3</v>
      </c>
      <c r="K63" s="15"/>
      <c r="L63" s="15"/>
      <c r="M63" s="15"/>
      <c r="N63" s="15"/>
    </row>
    <row r="64" spans="1:14" x14ac:dyDescent="0.25">
      <c r="A64" s="17" t="s">
        <v>2084</v>
      </c>
      <c r="B64" s="25" t="s">
        <v>2085</v>
      </c>
      <c r="C64" s="25" t="s">
        <v>200</v>
      </c>
      <c r="D64" s="61" t="s">
        <v>125</v>
      </c>
      <c r="E64" s="61" t="s">
        <v>1418</v>
      </c>
      <c r="F64" s="70">
        <v>-225000</v>
      </c>
      <c r="G64" s="61">
        <v>0.97770000000000001</v>
      </c>
      <c r="H64" s="85">
        <v>-813.98278000000005</v>
      </c>
      <c r="I64" s="25">
        <v>0.11975500764655031</v>
      </c>
      <c r="J64" s="25">
        <v>-1.4130392186153017E-3</v>
      </c>
      <c r="K64" s="15"/>
      <c r="L64" s="15"/>
      <c r="M64" s="15"/>
      <c r="N64" s="15"/>
    </row>
    <row r="65" spans="1:14" x14ac:dyDescent="0.25">
      <c r="A65" s="17" t="s">
        <v>2017</v>
      </c>
      <c r="B65" s="25" t="s">
        <v>2088</v>
      </c>
      <c r="C65" s="25" t="s">
        <v>200</v>
      </c>
      <c r="D65" s="61" t="s">
        <v>125</v>
      </c>
      <c r="E65" s="61" t="s">
        <v>1422</v>
      </c>
      <c r="F65" s="70">
        <v>711080.84748860088</v>
      </c>
      <c r="G65" s="61">
        <v>0.99780000000000002</v>
      </c>
      <c r="H65" s="85">
        <v>2625.4637634513592</v>
      </c>
      <c r="I65" s="25">
        <v>-0.38626423161907464</v>
      </c>
      <c r="J65" s="25">
        <v>4.557692565449723E-3</v>
      </c>
      <c r="K65" s="15"/>
      <c r="L65" s="15"/>
      <c r="M65" s="15"/>
      <c r="N65" s="15"/>
    </row>
    <row r="66" spans="1:14" x14ac:dyDescent="0.25">
      <c r="A66" s="17" t="s">
        <v>2014</v>
      </c>
      <c r="B66" s="25" t="s">
        <v>2089</v>
      </c>
      <c r="C66" s="25" t="s">
        <v>200</v>
      </c>
      <c r="D66" s="61" t="s">
        <v>257</v>
      </c>
      <c r="E66" s="61" t="s">
        <v>1422</v>
      </c>
      <c r="F66" s="70">
        <v>-2578379.1529936665</v>
      </c>
      <c r="G66" s="61">
        <v>0.99819999999999998</v>
      </c>
      <c r="H66" s="85">
        <v>-2573.9023854201241</v>
      </c>
      <c r="I66" s="25">
        <v>0.37867840379554596</v>
      </c>
      <c r="J66" s="25">
        <v>-4.4681842231184708E-3</v>
      </c>
      <c r="K66" s="15"/>
      <c r="L66" s="15"/>
      <c r="M66" s="15"/>
      <c r="N66" s="15"/>
    </row>
    <row r="67" spans="1:14" x14ac:dyDescent="0.25">
      <c r="A67" s="17" t="s">
        <v>2017</v>
      </c>
      <c r="B67" s="25" t="s">
        <v>2093</v>
      </c>
      <c r="C67" s="25" t="s">
        <v>200</v>
      </c>
      <c r="D67" s="61" t="s">
        <v>125</v>
      </c>
      <c r="E67" s="61" t="s">
        <v>1632</v>
      </c>
      <c r="F67" s="70">
        <v>258967.59400184435</v>
      </c>
      <c r="G67" s="61">
        <v>0.99780000000000002</v>
      </c>
      <c r="H67" s="85">
        <v>956.16417786406828</v>
      </c>
      <c r="I67" s="25">
        <v>-0.14067305997734866</v>
      </c>
      <c r="J67" s="25">
        <v>1.6598600313841839E-3</v>
      </c>
      <c r="K67" s="15"/>
      <c r="L67" s="15"/>
      <c r="M67" s="15"/>
      <c r="N67" s="15"/>
    </row>
    <row r="68" spans="1:14" x14ac:dyDescent="0.25">
      <c r="A68" s="17" t="s">
        <v>2014</v>
      </c>
      <c r="B68" s="25" t="s">
        <v>2094</v>
      </c>
      <c r="C68" s="25" t="s">
        <v>200</v>
      </c>
      <c r="D68" s="61" t="s">
        <v>257</v>
      </c>
      <c r="E68" s="61" t="s">
        <v>1632</v>
      </c>
      <c r="F68" s="70">
        <v>-939404.94724169036</v>
      </c>
      <c r="G68" s="61">
        <v>0.99819999999999998</v>
      </c>
      <c r="H68" s="85">
        <v>-937.77388468807817</v>
      </c>
      <c r="I68" s="25">
        <v>0.13796743799857289</v>
      </c>
      <c r="J68" s="25">
        <v>-1.6279352706423075E-3</v>
      </c>
      <c r="K68" s="15"/>
      <c r="L68" s="15"/>
      <c r="M68" s="15"/>
      <c r="N68" s="15"/>
    </row>
    <row r="69" spans="1:14" x14ac:dyDescent="0.25">
      <c r="A69" s="17" t="s">
        <v>2095</v>
      </c>
      <c r="B69" s="25" t="s">
        <v>2096</v>
      </c>
      <c r="C69" s="25" t="s">
        <v>200</v>
      </c>
      <c r="D69" s="61" t="s">
        <v>257</v>
      </c>
      <c r="E69" s="61" t="s">
        <v>1632</v>
      </c>
      <c r="F69" s="70">
        <v>924514.31058658438</v>
      </c>
      <c r="G69" s="61">
        <v>0.96709999999999996</v>
      </c>
      <c r="H69" s="85">
        <v>894.13894447130349</v>
      </c>
      <c r="I69" s="25">
        <v>-0.13154776582895203</v>
      </c>
      <c r="J69" s="25">
        <v>1.5521868846282488E-3</v>
      </c>
      <c r="K69" s="15"/>
      <c r="L69" s="15"/>
      <c r="M69" s="15"/>
      <c r="N69" s="15"/>
    </row>
    <row r="70" spans="1:14" x14ac:dyDescent="0.25">
      <c r="A70" s="17" t="s">
        <v>2097</v>
      </c>
      <c r="B70" s="25" t="s">
        <v>2098</v>
      </c>
      <c r="C70" s="25" t="s">
        <v>200</v>
      </c>
      <c r="D70" s="61" t="s">
        <v>125</v>
      </c>
      <c r="E70" s="61" t="s">
        <v>1632</v>
      </c>
      <c r="F70" s="70">
        <v>-258967.59400184435</v>
      </c>
      <c r="G70" s="61">
        <v>0.95050000000000001</v>
      </c>
      <c r="H70" s="85">
        <v>-910.80806752597141</v>
      </c>
      <c r="I70" s="25">
        <v>0.13400016532427433</v>
      </c>
      <c r="J70" s="25">
        <v>-1.5811237678092054E-3</v>
      </c>
      <c r="K70" s="15"/>
      <c r="L70" s="15"/>
      <c r="M70" s="15"/>
      <c r="N70" s="15"/>
    </row>
    <row r="71" spans="1:14" x14ac:dyDescent="0.25">
      <c r="A71" s="17" t="s">
        <v>2028</v>
      </c>
      <c r="B71" s="25" t="s">
        <v>2107</v>
      </c>
      <c r="C71" s="25" t="s">
        <v>200</v>
      </c>
      <c r="D71" s="61" t="s">
        <v>257</v>
      </c>
      <c r="E71" s="61" t="s">
        <v>2108</v>
      </c>
      <c r="F71" s="70">
        <v>4594.9278851479512</v>
      </c>
      <c r="G71" s="61">
        <v>0.99229999999999996</v>
      </c>
      <c r="H71" s="85">
        <v>4.5597165015001631</v>
      </c>
      <c r="I71" s="25">
        <v>-6.7083591682769216E-4</v>
      </c>
      <c r="J71" s="25">
        <v>7.9154724162433599E-6</v>
      </c>
      <c r="K71" s="15"/>
      <c r="L71" s="15"/>
      <c r="M71" s="15"/>
      <c r="N71" s="15"/>
    </row>
    <row r="72" spans="1:14" x14ac:dyDescent="0.25">
      <c r="A72" s="17" t="s">
        <v>2031</v>
      </c>
      <c r="B72" s="25" t="s">
        <v>2109</v>
      </c>
      <c r="C72" s="25" t="s">
        <v>200</v>
      </c>
      <c r="D72" s="61" t="s">
        <v>125</v>
      </c>
      <c r="E72" s="61" t="s">
        <v>2108</v>
      </c>
      <c r="F72" s="70">
        <v>-1266.343636529682</v>
      </c>
      <c r="G72" s="61">
        <v>0.98980000000000001</v>
      </c>
      <c r="H72" s="85">
        <v>-4.6378604020191299</v>
      </c>
      <c r="I72" s="25">
        <v>6.82332626136678E-4</v>
      </c>
      <c r="J72" s="25">
        <v>-8.0511268782810847E-6</v>
      </c>
      <c r="K72" s="15"/>
      <c r="L72" s="15"/>
      <c r="M72" s="15"/>
      <c r="N72" s="15"/>
    </row>
    <row r="73" spans="1:14" x14ac:dyDescent="0.25">
      <c r="A73" s="17" t="s">
        <v>2028</v>
      </c>
      <c r="B73" s="25" t="s">
        <v>2110</v>
      </c>
      <c r="C73" s="25" t="s">
        <v>200</v>
      </c>
      <c r="D73" s="61" t="s">
        <v>257</v>
      </c>
      <c r="E73" s="61" t="s">
        <v>2108</v>
      </c>
      <c r="F73" s="70">
        <v>249910.61564779049</v>
      </c>
      <c r="G73" s="61">
        <v>0.99229999999999996</v>
      </c>
      <c r="H73" s="85">
        <v>247.99543409910135</v>
      </c>
      <c r="I73" s="25">
        <v>-3.6485655270062894E-2</v>
      </c>
      <c r="J73" s="25">
        <v>4.3050944446215022E-4</v>
      </c>
      <c r="K73" s="15"/>
      <c r="L73" s="15"/>
      <c r="M73" s="15"/>
      <c r="N73" s="15"/>
    </row>
    <row r="74" spans="1:14" x14ac:dyDescent="0.25">
      <c r="A74" s="17" t="s">
        <v>2031</v>
      </c>
      <c r="B74" s="25" t="s">
        <v>2111</v>
      </c>
      <c r="C74" s="25" t="s">
        <v>200</v>
      </c>
      <c r="D74" s="61" t="s">
        <v>125</v>
      </c>
      <c r="E74" s="61" t="s">
        <v>2108</v>
      </c>
      <c r="F74" s="70">
        <v>-68874.360106873501</v>
      </c>
      <c r="G74" s="61">
        <v>0.98980000000000001</v>
      </c>
      <c r="H74" s="85">
        <v>-252.24555177752791</v>
      </c>
      <c r="I74" s="25">
        <v>3.7110942300187424E-2</v>
      </c>
      <c r="J74" s="25">
        <v>-4.3788746659100528E-4</v>
      </c>
      <c r="K74" s="15"/>
      <c r="L74" s="15"/>
      <c r="M74" s="15"/>
      <c r="N74" s="15"/>
    </row>
    <row r="75" spans="1:14" x14ac:dyDescent="0.25">
      <c r="A75" s="17" t="s">
        <v>2014</v>
      </c>
      <c r="B75" s="25" t="s">
        <v>2112</v>
      </c>
      <c r="C75" s="25" t="s">
        <v>200</v>
      </c>
      <c r="D75" s="61" t="s">
        <v>257</v>
      </c>
      <c r="E75" s="61" t="s">
        <v>2113</v>
      </c>
      <c r="F75" s="70">
        <v>1823240</v>
      </c>
      <c r="G75" s="61">
        <v>0.99819999999999998</v>
      </c>
      <c r="H75" s="85">
        <v>1820.0743500000001</v>
      </c>
      <c r="I75" s="25">
        <v>-0.26777349970664011</v>
      </c>
      <c r="J75" s="25">
        <v>3.1595710628494534E-3</v>
      </c>
      <c r="K75" s="15"/>
      <c r="L75" s="15"/>
      <c r="M75" s="15"/>
      <c r="N75" s="15"/>
    </row>
    <row r="76" spans="1:14" x14ac:dyDescent="0.25">
      <c r="A76" s="17" t="s">
        <v>2017</v>
      </c>
      <c r="B76" s="25" t="s">
        <v>2114</v>
      </c>
      <c r="C76" s="25" t="s">
        <v>200</v>
      </c>
      <c r="D76" s="61" t="s">
        <v>125</v>
      </c>
      <c r="E76" s="61" t="s">
        <v>2113</v>
      </c>
      <c r="F76" s="70">
        <v>-500000</v>
      </c>
      <c r="G76" s="61">
        <v>0.99780000000000002</v>
      </c>
      <c r="H76" s="85">
        <v>-1846.1077700000001</v>
      </c>
      <c r="I76" s="25">
        <v>0.27160359597865935</v>
      </c>
      <c r="J76" s="25">
        <v>-3.2047639641718671E-3</v>
      </c>
      <c r="K76" s="15"/>
      <c r="L76" s="15"/>
      <c r="M76" s="15"/>
      <c r="N76" s="15"/>
    </row>
    <row r="77" spans="1:14" x14ac:dyDescent="0.25">
      <c r="A77" s="17" t="s">
        <v>2045</v>
      </c>
      <c r="B77" s="25" t="s">
        <v>2117</v>
      </c>
      <c r="C77" s="25" t="s">
        <v>200</v>
      </c>
      <c r="D77" s="61" t="s">
        <v>125</v>
      </c>
      <c r="E77" s="61" t="s">
        <v>1635</v>
      </c>
      <c r="F77" s="70">
        <v>1907131.0313593273</v>
      </c>
      <c r="G77" s="61">
        <v>0.99080000000000001</v>
      </c>
      <c r="H77" s="85">
        <v>6991.7811432730814</v>
      </c>
      <c r="I77" s="25">
        <v>-1.0286468274865399</v>
      </c>
      <c r="J77" s="25">
        <v>1.2137432395584333E-2</v>
      </c>
      <c r="K77" s="19"/>
      <c r="L77" s="19"/>
    </row>
    <row r="78" spans="1:14" x14ac:dyDescent="0.25">
      <c r="A78" s="17" t="s">
        <v>2043</v>
      </c>
      <c r="B78" s="25" t="s">
        <v>2118</v>
      </c>
      <c r="C78" s="25" t="s">
        <v>200</v>
      </c>
      <c r="D78" s="61" t="s">
        <v>257</v>
      </c>
      <c r="E78" s="61" t="s">
        <v>1635</v>
      </c>
      <c r="F78" s="70">
        <v>-6961600.4037709525</v>
      </c>
      <c r="G78" s="61">
        <v>0.99299999999999999</v>
      </c>
      <c r="H78" s="85">
        <v>-6913.094673215378</v>
      </c>
      <c r="I78" s="25">
        <v>1.0170702941065091</v>
      </c>
      <c r="J78" s="25">
        <v>-1.2000836056081998E-2</v>
      </c>
      <c r="K78" s="19"/>
      <c r="L78" s="19"/>
    </row>
    <row r="79" spans="1:14" x14ac:dyDescent="0.25">
      <c r="A79" s="17" t="s">
        <v>2119</v>
      </c>
      <c r="B79" s="25" t="s">
        <v>2120</v>
      </c>
      <c r="C79" s="25" t="s">
        <v>200</v>
      </c>
      <c r="D79" s="61" t="s">
        <v>257</v>
      </c>
      <c r="E79" s="61" t="s">
        <v>1635</v>
      </c>
      <c r="F79" s="70">
        <v>6865671.7128935782</v>
      </c>
      <c r="G79" s="61">
        <v>0.96430000000000005</v>
      </c>
      <c r="H79" s="85">
        <v>6620.646915694464</v>
      </c>
      <c r="I79" s="25">
        <v>-0.97404471138087256</v>
      </c>
      <c r="J79" s="25">
        <v>1.1493159283395052E-2</v>
      </c>
      <c r="K79" s="19"/>
      <c r="L79" s="19"/>
    </row>
    <row r="80" spans="1:14" x14ac:dyDescent="0.25">
      <c r="A80" s="17" t="s">
        <v>2121</v>
      </c>
      <c r="B80" s="25" t="s">
        <v>2122</v>
      </c>
      <c r="C80" s="25" t="s">
        <v>200</v>
      </c>
      <c r="D80" s="61" t="s">
        <v>125</v>
      </c>
      <c r="E80" s="61" t="s">
        <v>1635</v>
      </c>
      <c r="F80" s="70">
        <v>-1907131.0313593273</v>
      </c>
      <c r="G80" s="61">
        <v>0.94579999999999997</v>
      </c>
      <c r="H80" s="85">
        <v>-6674.2278014855137</v>
      </c>
      <c r="I80" s="25">
        <v>0.98192765380333513</v>
      </c>
      <c r="J80" s="25">
        <v>-1.1586173404640835E-2</v>
      </c>
      <c r="K80" s="19"/>
      <c r="L80" s="19"/>
    </row>
    <row r="81" spans="1:12" x14ac:dyDescent="0.25">
      <c r="A81" s="17" t="s">
        <v>2028</v>
      </c>
      <c r="B81" s="25" t="s">
        <v>2123</v>
      </c>
      <c r="C81" s="25" t="s">
        <v>200</v>
      </c>
      <c r="D81" s="61" t="s">
        <v>257</v>
      </c>
      <c r="E81" s="61" t="s">
        <v>2124</v>
      </c>
      <c r="F81" s="70">
        <v>773.3250474800667</v>
      </c>
      <c r="G81" s="61">
        <v>0.99229999999999996</v>
      </c>
      <c r="H81" s="85">
        <v>0.76739869683918183</v>
      </c>
      <c r="I81" s="25">
        <v>-1.1290145082421641E-4</v>
      </c>
      <c r="J81" s="25">
        <v>1.3321712468512395E-6</v>
      </c>
      <c r="K81" s="19"/>
      <c r="L81" s="19"/>
    </row>
    <row r="82" spans="1:12" x14ac:dyDescent="0.25">
      <c r="A82" s="17" t="s">
        <v>2031</v>
      </c>
      <c r="B82" s="25" t="s">
        <v>2125</v>
      </c>
      <c r="C82" s="25" t="s">
        <v>200</v>
      </c>
      <c r="D82" s="61" t="s">
        <v>125</v>
      </c>
      <c r="E82" s="61" t="s">
        <v>2124</v>
      </c>
      <c r="F82" s="70">
        <v>-212.45193608653727</v>
      </c>
      <c r="G82" s="61">
        <v>0.98980000000000001</v>
      </c>
      <c r="H82" s="85">
        <v>-0.7780842639097143</v>
      </c>
      <c r="I82" s="25">
        <v>1.1447353588262433E-4</v>
      </c>
      <c r="J82" s="25">
        <v>-1.3507209333001428E-6</v>
      </c>
      <c r="K82" s="19"/>
      <c r="L82" s="19"/>
    </row>
    <row r="83" spans="1:12" x14ac:dyDescent="0.25">
      <c r="A83" s="17" t="s">
        <v>2028</v>
      </c>
      <c r="B83" s="25" t="s">
        <v>2126</v>
      </c>
      <c r="C83" s="25" t="s">
        <v>200</v>
      </c>
      <c r="D83" s="61" t="s">
        <v>257</v>
      </c>
      <c r="E83" s="61" t="s">
        <v>2124</v>
      </c>
      <c r="F83" s="70">
        <v>250702.67078901955</v>
      </c>
      <c r="G83" s="61">
        <v>0.99229999999999996</v>
      </c>
      <c r="H83" s="85">
        <v>248.78151163461672</v>
      </c>
      <c r="I83" s="25">
        <v>-3.6601304794339595E-2</v>
      </c>
      <c r="J83" s="25">
        <v>4.3187404137236458E-4</v>
      </c>
      <c r="K83" s="19"/>
      <c r="L83" s="19"/>
    </row>
    <row r="84" spans="1:12" x14ac:dyDescent="0.25">
      <c r="A84" s="17" t="s">
        <v>2031</v>
      </c>
      <c r="B84" s="25" t="s">
        <v>2127</v>
      </c>
      <c r="C84" s="25" t="s">
        <v>200</v>
      </c>
      <c r="D84" s="61" t="s">
        <v>125</v>
      </c>
      <c r="E84" s="61" t="s">
        <v>2124</v>
      </c>
      <c r="F84" s="70">
        <v>-68874.360106873501</v>
      </c>
      <c r="G84" s="61">
        <v>0.98980000000000001</v>
      </c>
      <c r="H84" s="85">
        <v>-252.24564503341148</v>
      </c>
      <c r="I84" s="25">
        <v>3.7110956020206233E-2</v>
      </c>
      <c r="J84" s="25">
        <v>-4.378876284792222E-4</v>
      </c>
      <c r="K84" s="19"/>
      <c r="L84" s="19"/>
    </row>
    <row r="85" spans="1:12" x14ac:dyDescent="0.25">
      <c r="A85" s="17" t="s">
        <v>2031</v>
      </c>
      <c r="B85" s="25" t="s">
        <v>2133</v>
      </c>
      <c r="C85" s="25" t="s">
        <v>200</v>
      </c>
      <c r="D85" s="61" t="s">
        <v>125</v>
      </c>
      <c r="E85" s="61" t="s">
        <v>2129</v>
      </c>
      <c r="F85" s="70">
        <v>646936.86448386277</v>
      </c>
      <c r="G85" s="61">
        <v>0.98980000000000001</v>
      </c>
      <c r="H85" s="85">
        <v>2369.3430329665052</v>
      </c>
      <c r="I85" s="25">
        <v>-0.34858316416743429</v>
      </c>
      <c r="J85" s="25">
        <v>4.113077954713734E-3</v>
      </c>
      <c r="K85" s="19"/>
      <c r="L85" s="19"/>
    </row>
    <row r="86" spans="1:12" x14ac:dyDescent="0.25">
      <c r="A86" s="17" t="s">
        <v>2028</v>
      </c>
      <c r="B86" s="25" t="s">
        <v>2134</v>
      </c>
      <c r="C86" s="25" t="s">
        <v>200</v>
      </c>
      <c r="D86" s="61" t="s">
        <v>257</v>
      </c>
      <c r="E86" s="61" t="s">
        <v>2129</v>
      </c>
      <c r="F86" s="70">
        <v>-2350321.6286698733</v>
      </c>
      <c r="G86" s="61">
        <v>0.99229999999999996</v>
      </c>
      <c r="H86" s="85">
        <v>-2332.3105781074428</v>
      </c>
      <c r="I86" s="25">
        <v>0.34313486473926019</v>
      </c>
      <c r="J86" s="25">
        <v>-4.0487912002968212E-3</v>
      </c>
      <c r="K86" s="19"/>
      <c r="L86" s="19"/>
    </row>
    <row r="87" spans="1:12" x14ac:dyDescent="0.25">
      <c r="A87" s="17" t="s">
        <v>2119</v>
      </c>
      <c r="B87" s="25" t="s">
        <v>2135</v>
      </c>
      <c r="C87" s="25" t="s">
        <v>200</v>
      </c>
      <c r="D87" s="61" t="s">
        <v>257</v>
      </c>
      <c r="E87" s="61" t="s">
        <v>2129</v>
      </c>
      <c r="F87" s="70">
        <v>2317845.3980727834</v>
      </c>
      <c r="G87" s="61">
        <v>0.96430000000000005</v>
      </c>
      <c r="H87" s="85">
        <v>2235.1270933640203</v>
      </c>
      <c r="I87" s="25">
        <v>-0.32883700826793905</v>
      </c>
      <c r="J87" s="25">
        <v>3.8800848360858262E-3</v>
      </c>
      <c r="K87" s="19"/>
      <c r="L87" s="19"/>
    </row>
    <row r="88" spans="1:12" x14ac:dyDescent="0.25">
      <c r="A88" s="17" t="s">
        <v>2121</v>
      </c>
      <c r="B88" s="25" t="s">
        <v>2136</v>
      </c>
      <c r="C88" s="25" t="s">
        <v>200</v>
      </c>
      <c r="D88" s="61" t="s">
        <v>125</v>
      </c>
      <c r="E88" s="61" t="s">
        <v>2129</v>
      </c>
      <c r="F88" s="70">
        <v>-646936.86448386277</v>
      </c>
      <c r="G88" s="61">
        <v>0.94579999999999997</v>
      </c>
      <c r="H88" s="85">
        <v>-2264.0330191521002</v>
      </c>
      <c r="I88" s="25">
        <v>0.3330897141590663</v>
      </c>
      <c r="J88" s="25">
        <v>-3.9302642843401748E-3</v>
      </c>
      <c r="K88" s="19"/>
      <c r="L88" s="19"/>
    </row>
    <row r="89" spans="1:12" x14ac:dyDescent="0.25">
      <c r="A89" s="17" t="s">
        <v>2031</v>
      </c>
      <c r="B89" s="25" t="s">
        <v>2137</v>
      </c>
      <c r="C89" s="25" t="s">
        <v>200</v>
      </c>
      <c r="D89" s="61" t="s">
        <v>125</v>
      </c>
      <c r="E89" s="61" t="s">
        <v>2129</v>
      </c>
      <c r="F89" s="70">
        <v>425926.59900332434</v>
      </c>
      <c r="G89" s="61">
        <v>0.98980000000000001</v>
      </c>
      <c r="H89" s="85">
        <v>1559.9141657732555</v>
      </c>
      <c r="I89" s="25">
        <v>-0.22949813858487075</v>
      </c>
      <c r="J89" s="25">
        <v>2.7079441335493373E-3</v>
      </c>
      <c r="K89" s="19"/>
      <c r="L89" s="19"/>
    </row>
    <row r="90" spans="1:12" x14ac:dyDescent="0.25">
      <c r="A90" s="17" t="s">
        <v>2028</v>
      </c>
      <c r="B90" s="25" t="s">
        <v>2138</v>
      </c>
      <c r="C90" s="25" t="s">
        <v>200</v>
      </c>
      <c r="D90" s="61" t="s">
        <v>257</v>
      </c>
      <c r="E90" s="61" t="s">
        <v>2129</v>
      </c>
      <c r="F90" s="70">
        <v>-1547391.3341790775</v>
      </c>
      <c r="G90" s="61">
        <v>0.99229999999999996</v>
      </c>
      <c r="H90" s="85">
        <v>-1535.5329532770929</v>
      </c>
      <c r="I90" s="25">
        <v>0.22591111885834764</v>
      </c>
      <c r="J90" s="25">
        <v>-2.6656193936396414E-3</v>
      </c>
      <c r="K90" s="19"/>
      <c r="L90" s="19"/>
    </row>
    <row r="91" spans="1:12" x14ac:dyDescent="0.25">
      <c r="A91" s="17" t="s">
        <v>2119</v>
      </c>
      <c r="B91" s="25" t="s">
        <v>2139</v>
      </c>
      <c r="C91" s="25" t="s">
        <v>200</v>
      </c>
      <c r="D91" s="61" t="s">
        <v>257</v>
      </c>
      <c r="E91" s="61" t="s">
        <v>2129</v>
      </c>
      <c r="F91" s="70">
        <v>1526009.8189091105</v>
      </c>
      <c r="G91" s="61">
        <v>0.96430000000000005</v>
      </c>
      <c r="H91" s="85">
        <v>1471.5488190044264</v>
      </c>
      <c r="I91" s="25">
        <v>-0.21649762673375864</v>
      </c>
      <c r="J91" s="25">
        <v>2.5545456789150801E-3</v>
      </c>
      <c r="K91" s="19"/>
      <c r="L91" s="19"/>
    </row>
    <row r="92" spans="1:12" x14ac:dyDescent="0.25">
      <c r="A92" s="17" t="s">
        <v>2121</v>
      </c>
      <c r="B92" s="25" t="s">
        <v>2140</v>
      </c>
      <c r="C92" s="25" t="s">
        <v>200</v>
      </c>
      <c r="D92" s="61" t="s">
        <v>125</v>
      </c>
      <c r="E92" s="61" t="s">
        <v>2129</v>
      </c>
      <c r="F92" s="70">
        <v>-425926.59900332434</v>
      </c>
      <c r="G92" s="61">
        <v>0.94579999999999997</v>
      </c>
      <c r="H92" s="85">
        <v>-1490.5797200921261</v>
      </c>
      <c r="I92" s="25">
        <v>0.21929749641316171</v>
      </c>
      <c r="J92" s="25">
        <v>-2.5875825075351013E-3</v>
      </c>
      <c r="K92" s="19"/>
      <c r="L92" s="19"/>
    </row>
    <row r="93" spans="1:12" x14ac:dyDescent="0.25">
      <c r="A93" s="17" t="s">
        <v>2082</v>
      </c>
      <c r="B93" s="25" t="s">
        <v>2152</v>
      </c>
      <c r="C93" s="25" t="s">
        <v>200</v>
      </c>
      <c r="D93" s="61" t="s">
        <v>257</v>
      </c>
      <c r="E93" s="61" t="s">
        <v>2150</v>
      </c>
      <c r="F93" s="70">
        <v>10785000</v>
      </c>
      <c r="G93" s="61">
        <v>0.98409999999999997</v>
      </c>
      <c r="H93" s="85">
        <v>10613.78593</v>
      </c>
      <c r="I93" s="25">
        <v>-1.561524452895672</v>
      </c>
      <c r="J93" s="25">
        <v>1.842507746549292E-2</v>
      </c>
      <c r="K93" s="19"/>
      <c r="L93" s="19"/>
    </row>
    <row r="94" spans="1:12" x14ac:dyDescent="0.25">
      <c r="A94" s="17" t="s">
        <v>2084</v>
      </c>
      <c r="B94" s="25" t="s">
        <v>2153</v>
      </c>
      <c r="C94" s="25" t="s">
        <v>200</v>
      </c>
      <c r="D94" s="61" t="s">
        <v>125</v>
      </c>
      <c r="E94" s="61" t="s">
        <v>2150</v>
      </c>
      <c r="F94" s="70">
        <v>-3000000</v>
      </c>
      <c r="G94" s="61">
        <v>0.97770000000000001</v>
      </c>
      <c r="H94" s="85">
        <v>-10853.08512</v>
      </c>
      <c r="I94" s="25">
        <v>1.5967306968511807</v>
      </c>
      <c r="J94" s="25">
        <v>-1.884049060292179E-2</v>
      </c>
      <c r="K94" s="19"/>
      <c r="L94" s="19"/>
    </row>
    <row r="95" spans="1:12" x14ac:dyDescent="0.25">
      <c r="A95" s="17" t="s">
        <v>2097</v>
      </c>
      <c r="B95" s="25" t="s">
        <v>2157</v>
      </c>
      <c r="C95" s="25" t="s">
        <v>200</v>
      </c>
      <c r="D95" s="61" t="s">
        <v>125</v>
      </c>
      <c r="E95" s="61" t="s">
        <v>2011</v>
      </c>
      <c r="F95" s="70">
        <v>130861.28420305965</v>
      </c>
      <c r="G95" s="61">
        <v>0.95050000000000001</v>
      </c>
      <c r="H95" s="85">
        <v>460.24721199200894</v>
      </c>
      <c r="I95" s="25">
        <v>-6.7712622116411963E-2</v>
      </c>
      <c r="J95" s="25">
        <v>7.9896943373059968E-4</v>
      </c>
      <c r="K95" s="19"/>
      <c r="L95" s="19"/>
    </row>
    <row r="96" spans="1:12" x14ac:dyDescent="0.25">
      <c r="A96" s="17" t="s">
        <v>2095</v>
      </c>
      <c r="B96" s="25" t="s">
        <v>2158</v>
      </c>
      <c r="C96" s="25" t="s">
        <v>200</v>
      </c>
      <c r="D96" s="61" t="s">
        <v>257</v>
      </c>
      <c r="E96" s="61" t="s">
        <v>2011</v>
      </c>
      <c r="F96" s="70">
        <v>-465997.03304709541</v>
      </c>
      <c r="G96" s="61">
        <v>0.96709999999999996</v>
      </c>
      <c r="H96" s="85">
        <v>-450.68493434667971</v>
      </c>
      <c r="I96" s="25">
        <v>6.6305797966477439E-2</v>
      </c>
      <c r="J96" s="25">
        <v>-7.8236972957943993E-4</v>
      </c>
      <c r="K96" s="19"/>
      <c r="L96" s="19"/>
    </row>
    <row r="97" spans="1:14" x14ac:dyDescent="0.25">
      <c r="A97" s="17" t="s">
        <v>2097</v>
      </c>
      <c r="B97" s="25" t="s">
        <v>2159</v>
      </c>
      <c r="C97" s="25" t="s">
        <v>200</v>
      </c>
      <c r="D97" s="61" t="s">
        <v>125</v>
      </c>
      <c r="E97" s="61" t="s">
        <v>1446</v>
      </c>
      <c r="F97" s="70">
        <v>108286.42347542146</v>
      </c>
      <c r="G97" s="61">
        <v>0.95489999999999997</v>
      </c>
      <c r="H97" s="85">
        <v>382.59207632362052</v>
      </c>
      <c r="I97" s="25">
        <v>-5.6287821009732827E-2</v>
      </c>
      <c r="J97" s="25">
        <v>6.6416344652491855E-4</v>
      </c>
      <c r="K97" s="19"/>
      <c r="L97" s="19"/>
    </row>
    <row r="98" spans="1:14" x14ac:dyDescent="0.25">
      <c r="A98" s="17" t="s">
        <v>2095</v>
      </c>
      <c r="B98" s="25" t="s">
        <v>2160</v>
      </c>
      <c r="C98" s="25" t="s">
        <v>200</v>
      </c>
      <c r="D98" s="61" t="s">
        <v>257</v>
      </c>
      <c r="E98" s="61" t="s">
        <v>1446</v>
      </c>
      <c r="F98" s="70">
        <v>-389831.12451151724</v>
      </c>
      <c r="G98" s="61">
        <v>0.9698</v>
      </c>
      <c r="H98" s="85">
        <v>-378.08941024712988</v>
      </c>
      <c r="I98" s="25">
        <v>5.5625378481870012E-2</v>
      </c>
      <c r="J98" s="25">
        <v>-6.5634701120129905E-4</v>
      </c>
      <c r="K98" s="19"/>
      <c r="L98" s="19"/>
    </row>
    <row r="99" spans="1:14" x14ac:dyDescent="0.25">
      <c r="A99" s="17" t="s">
        <v>2014</v>
      </c>
      <c r="B99" s="25" t="s">
        <v>2022</v>
      </c>
      <c r="C99" s="25" t="s">
        <v>200</v>
      </c>
      <c r="D99" s="61" t="s">
        <v>257</v>
      </c>
      <c r="E99" s="61" t="s">
        <v>2023</v>
      </c>
      <c r="F99" s="70">
        <v>1282.1620586282882</v>
      </c>
      <c r="G99" s="61">
        <v>0.99819999999999998</v>
      </c>
      <c r="H99" s="85">
        <v>1.2799358765436595</v>
      </c>
      <c r="I99" s="25">
        <v>-1.8830709254387423E-4</v>
      </c>
      <c r="J99" s="25">
        <v>2.2219138233722139E-6</v>
      </c>
      <c r="K99" s="15"/>
      <c r="L99" s="15"/>
      <c r="M99" s="15"/>
      <c r="N99" s="15"/>
    </row>
    <row r="100" spans="1:14" x14ac:dyDescent="0.25">
      <c r="A100" s="17" t="s">
        <v>2017</v>
      </c>
      <c r="B100" s="25" t="s">
        <v>2024</v>
      </c>
      <c r="C100" s="25" t="s">
        <v>200</v>
      </c>
      <c r="D100" s="61" t="s">
        <v>125</v>
      </c>
      <c r="E100" s="61" t="s">
        <v>2023</v>
      </c>
      <c r="F100" s="70">
        <v>-379.74234661320003</v>
      </c>
      <c r="G100" s="61">
        <v>0.99780000000000002</v>
      </c>
      <c r="H100" s="85">
        <v>-1.4020905964840202</v>
      </c>
      <c r="I100" s="25">
        <v>2.0627877423045745E-4</v>
      </c>
      <c r="J100" s="25">
        <v>-2.4339691816129599E-6</v>
      </c>
      <c r="K100" s="15"/>
      <c r="L100" s="15"/>
      <c r="M100" s="15"/>
      <c r="N100" s="15"/>
    </row>
    <row r="101" spans="1:14" x14ac:dyDescent="0.25">
      <c r="A101" s="17" t="s">
        <v>2028</v>
      </c>
      <c r="B101" s="25" t="s">
        <v>2041</v>
      </c>
      <c r="C101" s="25" t="s">
        <v>200</v>
      </c>
      <c r="D101" s="61" t="s">
        <v>257</v>
      </c>
      <c r="E101" s="61" t="s">
        <v>1102</v>
      </c>
      <c r="F101" s="70">
        <v>249655.84938975517</v>
      </c>
      <c r="G101" s="61">
        <v>0.99229999999999996</v>
      </c>
      <c r="H101" s="85">
        <v>247.74271210094835</v>
      </c>
      <c r="I101" s="25">
        <v>-3.6448474231882626E-2</v>
      </c>
      <c r="J101" s="25">
        <v>4.3007072990507205E-4</v>
      </c>
      <c r="K101" s="15"/>
      <c r="L101" s="15"/>
      <c r="M101" s="15"/>
      <c r="N101" s="15"/>
    </row>
    <row r="102" spans="1:14" x14ac:dyDescent="0.25">
      <c r="A102" s="17" t="s">
        <v>2031</v>
      </c>
      <c r="B102" s="25" t="s">
        <v>2042</v>
      </c>
      <c r="C102" s="25" t="s">
        <v>200</v>
      </c>
      <c r="D102" s="61" t="s">
        <v>125</v>
      </c>
      <c r="E102" s="61" t="s">
        <v>1102</v>
      </c>
      <c r="F102" s="70">
        <v>-74590.931995744002</v>
      </c>
      <c r="G102" s="61">
        <v>0.98980000000000001</v>
      </c>
      <c r="H102" s="85">
        <v>-273.18203355369053</v>
      </c>
      <c r="I102" s="25">
        <v>4.019116536730958E-2</v>
      </c>
      <c r="J102" s="25">
        <v>-4.7423230161262864E-4</v>
      </c>
      <c r="K102" s="15"/>
      <c r="L102" s="15"/>
      <c r="M102" s="15"/>
      <c r="N102" s="15"/>
    </row>
    <row r="103" spans="1:14" x14ac:dyDescent="0.25">
      <c r="A103" s="17" t="s">
        <v>2028</v>
      </c>
      <c r="B103" s="25" t="s">
        <v>2052</v>
      </c>
      <c r="C103" s="25" t="s">
        <v>200</v>
      </c>
      <c r="D103" s="61" t="s">
        <v>257</v>
      </c>
      <c r="E103" s="61" t="s">
        <v>2053</v>
      </c>
      <c r="F103" s="70">
        <v>501181.98202821251</v>
      </c>
      <c r="G103" s="61">
        <v>0.99229999999999996</v>
      </c>
      <c r="H103" s="85">
        <v>497.34137531612987</v>
      </c>
      <c r="I103" s="25">
        <v>-7.3170000235052865E-2</v>
      </c>
      <c r="J103" s="25">
        <v>8.6336331139801699E-4</v>
      </c>
      <c r="K103" s="15"/>
      <c r="L103" s="15"/>
      <c r="M103" s="15"/>
      <c r="N103" s="15"/>
    </row>
    <row r="104" spans="1:14" x14ac:dyDescent="0.25">
      <c r="A104" s="17" t="s">
        <v>2031</v>
      </c>
      <c r="B104" s="25" t="s">
        <v>2054</v>
      </c>
      <c r="C104" s="25" t="s">
        <v>200</v>
      </c>
      <c r="D104" s="61" t="s">
        <v>125</v>
      </c>
      <c r="E104" s="61" t="s">
        <v>2053</v>
      </c>
      <c r="F104" s="70">
        <v>-145324.89982550309</v>
      </c>
      <c r="G104" s="61">
        <v>0.98980000000000001</v>
      </c>
      <c r="H104" s="85">
        <v>-532.23831107697515</v>
      </c>
      <c r="I104" s="25">
        <v>7.8304117210944171E-2</v>
      </c>
      <c r="J104" s="25">
        <v>-9.239428961892004E-4</v>
      </c>
      <c r="K104" s="15"/>
      <c r="L104" s="15"/>
      <c r="M104" s="15"/>
      <c r="N104" s="15"/>
    </row>
    <row r="105" spans="1:14" x14ac:dyDescent="0.25">
      <c r="A105" s="17" t="s">
        <v>2028</v>
      </c>
      <c r="B105" s="25" t="s">
        <v>2064</v>
      </c>
      <c r="C105" s="25" t="s">
        <v>200</v>
      </c>
      <c r="D105" s="61" t="s">
        <v>257</v>
      </c>
      <c r="E105" s="61" t="s">
        <v>2062</v>
      </c>
      <c r="F105" s="70">
        <v>1763651.9643846883</v>
      </c>
      <c r="G105" s="61">
        <v>0.99229999999999996</v>
      </c>
      <c r="H105" s="85">
        <v>1750.1369265345145</v>
      </c>
      <c r="I105" s="25">
        <v>-0.25748414606467573</v>
      </c>
      <c r="J105" s="25">
        <v>3.0381626932453236E-3</v>
      </c>
      <c r="K105" s="15"/>
      <c r="L105" s="15"/>
      <c r="M105" s="15"/>
      <c r="N105" s="15"/>
    </row>
    <row r="106" spans="1:14" x14ac:dyDescent="0.25">
      <c r="A106" s="17" t="s">
        <v>2031</v>
      </c>
      <c r="B106" s="25" t="s">
        <v>2065</v>
      </c>
      <c r="C106" s="25" t="s">
        <v>200</v>
      </c>
      <c r="D106" s="61" t="s">
        <v>125</v>
      </c>
      <c r="E106" s="61" t="s">
        <v>2062</v>
      </c>
      <c r="F106" s="70">
        <v>-495895.3927694892</v>
      </c>
      <c r="G106" s="61">
        <v>0.98980000000000001</v>
      </c>
      <c r="H106" s="85">
        <v>-1816.1686444747354</v>
      </c>
      <c r="I106" s="25">
        <v>0.26719888337993691</v>
      </c>
      <c r="J106" s="25">
        <v>-3.1527909254569137E-3</v>
      </c>
      <c r="K106" s="15"/>
      <c r="L106" s="15"/>
      <c r="M106" s="15"/>
      <c r="N106" s="15"/>
    </row>
    <row r="107" spans="1:14" x14ac:dyDescent="0.25">
      <c r="A107" s="17" t="s">
        <v>2043</v>
      </c>
      <c r="B107" s="25" t="s">
        <v>2073</v>
      </c>
      <c r="C107" s="25" t="s">
        <v>200</v>
      </c>
      <c r="D107" s="61" t="s">
        <v>257</v>
      </c>
      <c r="E107" s="61" t="s">
        <v>1019</v>
      </c>
      <c r="F107" s="70">
        <v>319645.90525599994</v>
      </c>
      <c r="G107" s="61">
        <v>0.99299999999999999</v>
      </c>
      <c r="H107" s="85">
        <v>317.41883250400792</v>
      </c>
      <c r="I107" s="25">
        <v>-4.6699384369871484E-2</v>
      </c>
      <c r="J107" s="25">
        <v>5.5102548859233187E-4</v>
      </c>
      <c r="K107" s="15"/>
      <c r="L107" s="15"/>
      <c r="M107" s="15"/>
      <c r="N107" s="15"/>
    </row>
    <row r="108" spans="1:14" x14ac:dyDescent="0.25">
      <c r="A108" s="17" t="s">
        <v>2045</v>
      </c>
      <c r="B108" s="25" t="s">
        <v>2074</v>
      </c>
      <c r="C108" s="25" t="s">
        <v>200</v>
      </c>
      <c r="D108" s="61" t="s">
        <v>125</v>
      </c>
      <c r="E108" s="61" t="s">
        <v>1019</v>
      </c>
      <c r="F108" s="70">
        <v>-89536.668138935551</v>
      </c>
      <c r="G108" s="61">
        <v>0.99080000000000001</v>
      </c>
      <c r="H108" s="85">
        <v>-328.2527344983929</v>
      </c>
      <c r="I108" s="25">
        <v>4.829329280142277E-2</v>
      </c>
      <c r="J108" s="25">
        <v>-5.6983267811137862E-4</v>
      </c>
      <c r="K108" s="15"/>
      <c r="L108" s="15"/>
      <c r="M108" s="15"/>
      <c r="N108" s="15"/>
    </row>
    <row r="109" spans="1:14" x14ac:dyDescent="0.25">
      <c r="A109" s="17" t="s">
        <v>2014</v>
      </c>
      <c r="B109" s="25" t="s">
        <v>2075</v>
      </c>
      <c r="C109" s="25" t="s">
        <v>200</v>
      </c>
      <c r="D109" s="61" t="s">
        <v>257</v>
      </c>
      <c r="E109" s="61" t="s">
        <v>1019</v>
      </c>
      <c r="F109" s="70">
        <v>786.7318087993599</v>
      </c>
      <c r="G109" s="61">
        <v>0.99819999999999998</v>
      </c>
      <c r="H109" s="85">
        <v>0.78536582736944338</v>
      </c>
      <c r="I109" s="25">
        <v>-1.155448161470529E-4</v>
      </c>
      <c r="J109" s="25">
        <v>1.3633614153769666E-6</v>
      </c>
      <c r="K109" s="15"/>
      <c r="L109" s="15"/>
      <c r="M109" s="15"/>
      <c r="N109" s="15"/>
    </row>
    <row r="110" spans="1:14" x14ac:dyDescent="0.25">
      <c r="A110" s="17" t="s">
        <v>2017</v>
      </c>
      <c r="B110" s="25" t="s">
        <v>2076</v>
      </c>
      <c r="C110" s="25" t="s">
        <v>200</v>
      </c>
      <c r="D110" s="61" t="s">
        <v>125</v>
      </c>
      <c r="E110" s="61" t="s">
        <v>1019</v>
      </c>
      <c r="F110" s="70">
        <v>-221.29045028673323</v>
      </c>
      <c r="G110" s="61">
        <v>0.99780000000000002</v>
      </c>
      <c r="H110" s="85">
        <v>-0.81705204177122104</v>
      </c>
      <c r="I110" s="25">
        <v>1.2020656445575191E-4</v>
      </c>
      <c r="J110" s="25">
        <v>-1.4183673255009681E-6</v>
      </c>
      <c r="K110" s="15"/>
      <c r="L110" s="15"/>
      <c r="M110" s="15"/>
      <c r="N110" s="15"/>
    </row>
    <row r="111" spans="1:14" x14ac:dyDescent="0.25">
      <c r="A111" s="17" t="s">
        <v>2014</v>
      </c>
      <c r="B111" s="25" t="s">
        <v>2086</v>
      </c>
      <c r="C111" s="25" t="s">
        <v>200</v>
      </c>
      <c r="D111" s="61" t="s">
        <v>257</v>
      </c>
      <c r="E111" s="61" t="s">
        <v>1422</v>
      </c>
      <c r="F111" s="70">
        <v>1004.4083597992287</v>
      </c>
      <c r="G111" s="61">
        <v>0.99819999999999998</v>
      </c>
      <c r="H111" s="85">
        <v>1.0026644326391347</v>
      </c>
      <c r="I111" s="25">
        <v>-1.4751428377590936E-4</v>
      </c>
      <c r="J111" s="25">
        <v>1.7405824806634823E-6</v>
      </c>
      <c r="K111" s="15"/>
      <c r="L111" s="15"/>
      <c r="M111" s="15"/>
      <c r="N111" s="15"/>
    </row>
    <row r="112" spans="1:14" x14ac:dyDescent="0.25">
      <c r="A112" s="17" t="s">
        <v>2017</v>
      </c>
      <c r="B112" s="25" t="s">
        <v>2087</v>
      </c>
      <c r="C112" s="25" t="s">
        <v>200</v>
      </c>
      <c r="D112" s="61" t="s">
        <v>125</v>
      </c>
      <c r="E112" s="61" t="s">
        <v>1422</v>
      </c>
      <c r="F112" s="70">
        <v>-277.84463637264707</v>
      </c>
      <c r="G112" s="61">
        <v>0.99780000000000002</v>
      </c>
      <c r="H112" s="85">
        <v>-1.0258622862365401</v>
      </c>
      <c r="I112" s="25">
        <v>1.5092720503566973E-4</v>
      </c>
      <c r="J112" s="25">
        <v>-1.7808529602439347E-6</v>
      </c>
      <c r="K112" s="15"/>
      <c r="L112" s="15"/>
      <c r="M112" s="15"/>
      <c r="N112" s="15"/>
    </row>
    <row r="113" spans="1:14" x14ac:dyDescent="0.25">
      <c r="A113" s="17" t="s">
        <v>2043</v>
      </c>
      <c r="B113" s="25" t="s">
        <v>2090</v>
      </c>
      <c r="C113" s="25" t="s">
        <v>200</v>
      </c>
      <c r="D113" s="61" t="s">
        <v>257</v>
      </c>
      <c r="E113" s="61" t="s">
        <v>2091</v>
      </c>
      <c r="F113" s="70">
        <v>7192000</v>
      </c>
      <c r="G113" s="61">
        <v>0.99299999999999999</v>
      </c>
      <c r="H113" s="85">
        <v>7141.8909800000001</v>
      </c>
      <c r="I113" s="25">
        <v>-1.0507313298700602</v>
      </c>
      <c r="J113" s="25">
        <v>1.2398016638404648E-2</v>
      </c>
      <c r="K113" s="15"/>
      <c r="L113" s="15"/>
      <c r="M113" s="15"/>
      <c r="N113" s="15"/>
    </row>
    <row r="114" spans="1:14" x14ac:dyDescent="0.25">
      <c r="A114" s="17" t="s">
        <v>2045</v>
      </c>
      <c r="B114" s="25" t="s">
        <v>2092</v>
      </c>
      <c r="C114" s="25" t="s">
        <v>200</v>
      </c>
      <c r="D114" s="61" t="s">
        <v>125</v>
      </c>
      <c r="E114" s="61" t="s">
        <v>2091</v>
      </c>
      <c r="F114" s="70">
        <v>-2000000</v>
      </c>
      <c r="G114" s="61">
        <v>0.99080000000000001</v>
      </c>
      <c r="H114" s="85">
        <v>-7332.2525099999993</v>
      </c>
      <c r="I114" s="25">
        <v>1.0787377533975444</v>
      </c>
      <c r="J114" s="25">
        <v>-1.272847609555141E-2</v>
      </c>
      <c r="K114" s="15"/>
      <c r="L114" s="15"/>
      <c r="M114" s="15"/>
      <c r="N114" s="15"/>
    </row>
    <row r="115" spans="1:14" x14ac:dyDescent="0.25">
      <c r="A115" s="17" t="s">
        <v>2031</v>
      </c>
      <c r="B115" s="25" t="s">
        <v>2115</v>
      </c>
      <c r="C115" s="25" t="s">
        <v>200</v>
      </c>
      <c r="D115" s="61" t="s">
        <v>125</v>
      </c>
      <c r="E115" s="61" t="s">
        <v>1635</v>
      </c>
      <c r="F115" s="70">
        <v>1122.9810297768772</v>
      </c>
      <c r="G115" s="61">
        <v>0.98980000000000001</v>
      </c>
      <c r="H115" s="85">
        <v>4.1128087986374684</v>
      </c>
      <c r="I115" s="25">
        <v>-6.0508583379322771E-4</v>
      </c>
      <c r="J115" s="25">
        <v>7.1396597986272208E-6</v>
      </c>
      <c r="K115" s="15"/>
      <c r="L115" s="15"/>
      <c r="M115" s="15"/>
      <c r="N115" s="15"/>
    </row>
    <row r="116" spans="1:14" x14ac:dyDescent="0.25">
      <c r="A116" s="17" t="s">
        <v>2028</v>
      </c>
      <c r="B116" s="25" t="s">
        <v>2116</v>
      </c>
      <c r="C116" s="25" t="s">
        <v>200</v>
      </c>
      <c r="D116" s="61" t="s">
        <v>257</v>
      </c>
      <c r="E116" s="61" t="s">
        <v>1635</v>
      </c>
      <c r="F116" s="70">
        <v>-4098.8807586856019</v>
      </c>
      <c r="G116" s="61">
        <v>0.99229999999999996</v>
      </c>
      <c r="H116" s="85">
        <v>-4.0674706322107834</v>
      </c>
      <c r="I116" s="25">
        <v>5.9841557908942651E-4</v>
      </c>
      <c r="J116" s="25">
        <v>-7.0609546849133736E-6</v>
      </c>
      <c r="K116" s="15"/>
      <c r="L116" s="15"/>
      <c r="M116" s="15"/>
      <c r="N116" s="15"/>
    </row>
    <row r="117" spans="1:14" x14ac:dyDescent="0.25">
      <c r="A117" s="17" t="s">
        <v>2097</v>
      </c>
      <c r="B117" s="25" t="s">
        <v>2141</v>
      </c>
      <c r="C117" s="25" t="s">
        <v>200</v>
      </c>
      <c r="D117" s="61" t="s">
        <v>125</v>
      </c>
      <c r="E117" s="61" t="s">
        <v>2142</v>
      </c>
      <c r="F117" s="70">
        <v>3999.4085764688757</v>
      </c>
      <c r="G117" s="61">
        <v>0.95050000000000001</v>
      </c>
      <c r="H117" s="85">
        <v>14.066175867527942</v>
      </c>
      <c r="I117" s="25">
        <v>-2.0694479538910272E-3</v>
      </c>
      <c r="J117" s="25">
        <v>2.4418278426918435E-5</v>
      </c>
      <c r="K117" s="19"/>
      <c r="L117" s="19"/>
    </row>
    <row r="118" spans="1:14" x14ac:dyDescent="0.25">
      <c r="A118" s="17" t="s">
        <v>2095</v>
      </c>
      <c r="B118" s="25" t="s">
        <v>2143</v>
      </c>
      <c r="C118" s="25" t="s">
        <v>200</v>
      </c>
      <c r="D118" s="61" t="s">
        <v>257</v>
      </c>
      <c r="E118" s="61" t="s">
        <v>2142</v>
      </c>
      <c r="F118" s="70">
        <v>-14577.844260455175</v>
      </c>
      <c r="G118" s="61">
        <v>0.96709999999999996</v>
      </c>
      <c r="H118" s="85">
        <v>-14.098843223091883</v>
      </c>
      <c r="I118" s="25">
        <v>2.0742540499307399E-3</v>
      </c>
      <c r="J118" s="25">
        <v>-2.4474987556048046E-5</v>
      </c>
      <c r="K118" s="19"/>
      <c r="L118" s="19"/>
    </row>
    <row r="119" spans="1:14" x14ac:dyDescent="0.25">
      <c r="A119" s="17" t="s">
        <v>2084</v>
      </c>
      <c r="B119" s="25" t="s">
        <v>2149</v>
      </c>
      <c r="C119" s="25" t="s">
        <v>200</v>
      </c>
      <c r="D119" s="61" t="s">
        <v>125</v>
      </c>
      <c r="E119" s="61" t="s">
        <v>2150</v>
      </c>
      <c r="F119" s="70">
        <v>3000000</v>
      </c>
      <c r="G119" s="61">
        <v>0.97770000000000001</v>
      </c>
      <c r="H119" s="85">
        <v>10853.10385</v>
      </c>
      <c r="I119" s="25">
        <v>-1.5967334524516041</v>
      </c>
      <c r="J119" s="25">
        <v>1.8840523117399019E-2</v>
      </c>
      <c r="K119" s="19"/>
      <c r="L119" s="19"/>
    </row>
    <row r="120" spans="1:14" x14ac:dyDescent="0.25">
      <c r="A120" s="17" t="s">
        <v>2082</v>
      </c>
      <c r="B120" s="25" t="s">
        <v>2151</v>
      </c>
      <c r="C120" s="25" t="s">
        <v>200</v>
      </c>
      <c r="D120" s="61" t="s">
        <v>257</v>
      </c>
      <c r="E120" s="61" t="s">
        <v>2150</v>
      </c>
      <c r="F120" s="70">
        <v>-10743000</v>
      </c>
      <c r="G120" s="61">
        <v>0.98429999999999995</v>
      </c>
      <c r="H120" s="85">
        <v>-10574.72956</v>
      </c>
      <c r="I120" s="25">
        <v>1.5557783904445763</v>
      </c>
      <c r="J120" s="25">
        <v>-1.8357277281136748E-2</v>
      </c>
      <c r="K120" s="19"/>
      <c r="L120" s="19"/>
    </row>
    <row r="121" spans="1:14" x14ac:dyDescent="0.25">
      <c r="A121" s="17" t="s">
        <v>2084</v>
      </c>
      <c r="B121" s="25" t="s">
        <v>2154</v>
      </c>
      <c r="C121" s="25" t="s">
        <v>200</v>
      </c>
      <c r="D121" s="61" t="s">
        <v>125</v>
      </c>
      <c r="E121" s="61" t="s">
        <v>2155</v>
      </c>
      <c r="F121" s="70">
        <v>122000</v>
      </c>
      <c r="G121" s="61">
        <v>0.97770000000000001</v>
      </c>
      <c r="H121" s="85">
        <v>441.35404</v>
      </c>
      <c r="I121" s="25">
        <v>-6.4933015456464405E-2</v>
      </c>
      <c r="J121" s="25">
        <v>7.6617169691760127E-4</v>
      </c>
      <c r="K121" s="19"/>
      <c r="L121" s="19"/>
    </row>
    <row r="122" spans="1:14" x14ac:dyDescent="0.25">
      <c r="A122" s="17" t="s">
        <v>2082</v>
      </c>
      <c r="B122" s="25" t="s">
        <v>2156</v>
      </c>
      <c r="C122" s="25" t="s">
        <v>200</v>
      </c>
      <c r="D122" s="61" t="s">
        <v>257</v>
      </c>
      <c r="E122" s="61" t="s">
        <v>2155</v>
      </c>
      <c r="F122" s="70">
        <v>-437980</v>
      </c>
      <c r="G122" s="61">
        <v>0.98409999999999997</v>
      </c>
      <c r="H122" s="85">
        <v>-431.02231</v>
      </c>
      <c r="I122" s="25">
        <v>6.3412987716870109E-2</v>
      </c>
      <c r="J122" s="25">
        <v>-7.482362564576148E-4</v>
      </c>
      <c r="K122" s="19"/>
      <c r="L122" s="19"/>
    </row>
    <row r="123" spans="1:14" x14ac:dyDescent="0.25">
      <c r="A123" s="17" t="s">
        <v>2095</v>
      </c>
      <c r="B123" s="25" t="s">
        <v>2161</v>
      </c>
      <c r="C123" s="25" t="s">
        <v>200</v>
      </c>
      <c r="D123" s="61" t="s">
        <v>257</v>
      </c>
      <c r="E123" s="61" t="s">
        <v>2162</v>
      </c>
      <c r="F123" s="70">
        <v>49933.911077483288</v>
      </c>
      <c r="G123" s="61">
        <v>0.96709999999999996</v>
      </c>
      <c r="H123" s="85">
        <v>48.293116576788002</v>
      </c>
      <c r="I123" s="25">
        <v>-7.1049937259471171E-3</v>
      </c>
      <c r="J123" s="25">
        <v>8.3834780524671761E-5</v>
      </c>
      <c r="K123" s="19"/>
      <c r="L123" s="19"/>
    </row>
    <row r="124" spans="1:14" x14ac:dyDescent="0.25">
      <c r="A124" s="17" t="s">
        <v>2097</v>
      </c>
      <c r="B124" s="25" t="s">
        <v>2163</v>
      </c>
      <c r="C124" s="25" t="s">
        <v>200</v>
      </c>
      <c r="D124" s="61" t="s">
        <v>125</v>
      </c>
      <c r="E124" s="61" t="s">
        <v>2162</v>
      </c>
      <c r="F124" s="70">
        <v>-13774.8720213747</v>
      </c>
      <c r="G124" s="61">
        <v>0.95050000000000001</v>
      </c>
      <c r="H124" s="85">
        <v>-48.447048705396064</v>
      </c>
      <c r="I124" s="25">
        <v>7.1276405726513042E-3</v>
      </c>
      <c r="J124" s="25">
        <v>-8.4102000102373556E-5</v>
      </c>
      <c r="K124" s="19"/>
      <c r="L124" s="19"/>
    </row>
    <row r="125" spans="1:14" x14ac:dyDescent="0.25">
      <c r="A125" s="17" t="s">
        <v>2014</v>
      </c>
      <c r="B125" s="25" t="s">
        <v>2055</v>
      </c>
      <c r="C125" s="25" t="s">
        <v>200</v>
      </c>
      <c r="D125" s="61" t="s">
        <v>257</v>
      </c>
      <c r="E125" s="61" t="s">
        <v>2056</v>
      </c>
      <c r="F125" s="70">
        <v>2405835.5658279303</v>
      </c>
      <c r="G125" s="61">
        <v>0.99819999999999998</v>
      </c>
      <c r="H125" s="85">
        <v>2401.6583808747005</v>
      </c>
      <c r="I125" s="25">
        <v>-0.35333747203601945</v>
      </c>
      <c r="J125" s="25">
        <v>4.1691760136400883E-3</v>
      </c>
      <c r="K125" s="15"/>
      <c r="L125" s="15"/>
      <c r="M125" s="15"/>
      <c r="N125" s="15"/>
    </row>
    <row r="126" spans="1:14" x14ac:dyDescent="0.25">
      <c r="A126" s="17" t="s">
        <v>2017</v>
      </c>
      <c r="B126" s="25" t="s">
        <v>2057</v>
      </c>
      <c r="C126" s="25" t="s">
        <v>200</v>
      </c>
      <c r="D126" s="61" t="s">
        <v>125</v>
      </c>
      <c r="E126" s="61" t="s">
        <v>2056</v>
      </c>
      <c r="F126" s="70">
        <v>-685814.01534433581</v>
      </c>
      <c r="G126" s="61">
        <v>0.99780000000000002</v>
      </c>
      <c r="H126" s="85">
        <v>-2532.1731728729683</v>
      </c>
      <c r="I126" s="25">
        <v>0.37253910663784795</v>
      </c>
      <c r="J126" s="25">
        <v>-4.3957440986590011E-3</v>
      </c>
      <c r="K126" s="15"/>
      <c r="L126" s="15"/>
      <c r="M126" s="15"/>
      <c r="N126" s="15"/>
    </row>
    <row r="127" spans="1:14" x14ac:dyDescent="0.25">
      <c r="A127" s="17" t="s">
        <v>2028</v>
      </c>
      <c r="B127" s="25" t="s">
        <v>2061</v>
      </c>
      <c r="C127" s="25" t="s">
        <v>200</v>
      </c>
      <c r="D127" s="61" t="s">
        <v>257</v>
      </c>
      <c r="E127" s="61" t="s">
        <v>2062</v>
      </c>
      <c r="F127" s="70">
        <v>2621397.7394930026</v>
      </c>
      <c r="G127" s="61">
        <v>0.99229999999999996</v>
      </c>
      <c r="H127" s="85">
        <v>2601.3097116876802</v>
      </c>
      <c r="I127" s="25">
        <v>-0.38271063229888441</v>
      </c>
      <c r="J127" s="25">
        <v>4.5157621668354643E-3</v>
      </c>
      <c r="K127" s="15"/>
      <c r="L127" s="15"/>
      <c r="M127" s="15"/>
      <c r="N127" s="15"/>
    </row>
    <row r="128" spans="1:14" x14ac:dyDescent="0.25">
      <c r="A128" s="17" t="s">
        <v>2031</v>
      </c>
      <c r="B128" s="25" t="s">
        <v>2063</v>
      </c>
      <c r="C128" s="25" t="s">
        <v>200</v>
      </c>
      <c r="D128" s="61" t="s">
        <v>125</v>
      </c>
      <c r="E128" s="61" t="s">
        <v>2062</v>
      </c>
      <c r="F128" s="70">
        <v>-736347.67963286582</v>
      </c>
      <c r="G128" s="61">
        <v>0.98980000000000001</v>
      </c>
      <c r="H128" s="85">
        <v>-2696.8017583971855</v>
      </c>
      <c r="I128" s="25">
        <v>0.39675964053942925</v>
      </c>
      <c r="J128" s="25">
        <v>-4.6815322671149504E-3</v>
      </c>
      <c r="K128" s="15"/>
      <c r="L128" s="15"/>
      <c r="M128" s="15"/>
      <c r="N128" s="15"/>
    </row>
    <row r="129" spans="1:14" x14ac:dyDescent="0.25">
      <c r="A129" s="17" t="s">
        <v>2028</v>
      </c>
      <c r="B129" s="25" t="s">
        <v>2066</v>
      </c>
      <c r="C129" s="25" t="s">
        <v>200</v>
      </c>
      <c r="D129" s="61" t="s">
        <v>257</v>
      </c>
      <c r="E129" s="61" t="s">
        <v>503</v>
      </c>
      <c r="F129" s="70">
        <v>1365351.0276745465</v>
      </c>
      <c r="G129" s="61">
        <v>0.99229999999999996</v>
      </c>
      <c r="H129" s="85">
        <v>1354.8882089182855</v>
      </c>
      <c r="I129" s="25">
        <v>-0.19933425105040936</v>
      </c>
      <c r="J129" s="25">
        <v>2.3520278599026131E-3</v>
      </c>
      <c r="K129" s="15"/>
      <c r="L129" s="15"/>
      <c r="M129" s="15"/>
      <c r="N129" s="15"/>
    </row>
    <row r="130" spans="1:14" x14ac:dyDescent="0.25">
      <c r="A130" s="17" t="s">
        <v>2031</v>
      </c>
      <c r="B130" s="25" t="s">
        <v>2067</v>
      </c>
      <c r="C130" s="25" t="s">
        <v>200</v>
      </c>
      <c r="D130" s="61" t="s">
        <v>125</v>
      </c>
      <c r="E130" s="61" t="s">
        <v>503</v>
      </c>
      <c r="F130" s="70">
        <v>-382612.02961315581</v>
      </c>
      <c r="G130" s="61">
        <v>0.98980000000000001</v>
      </c>
      <c r="H130" s="85">
        <v>-1401.2793450346553</v>
      </c>
      <c r="I130" s="25">
        <v>0.20615942106241875</v>
      </c>
      <c r="J130" s="25">
        <v>-2.4325608838672618E-3</v>
      </c>
      <c r="K130" s="15"/>
      <c r="L130" s="15"/>
      <c r="M130" s="15"/>
      <c r="N130" s="15"/>
    </row>
    <row r="131" spans="1:14" x14ac:dyDescent="0.25">
      <c r="A131" s="17" t="s">
        <v>2028</v>
      </c>
      <c r="B131" s="25" t="s">
        <v>2068</v>
      </c>
      <c r="C131" s="25" t="s">
        <v>200</v>
      </c>
      <c r="D131" s="61" t="s">
        <v>257</v>
      </c>
      <c r="E131" s="61" t="s">
        <v>2069</v>
      </c>
      <c r="F131" s="70">
        <v>1307739.0408381731</v>
      </c>
      <c r="G131" s="61">
        <v>0.99229999999999996</v>
      </c>
      <c r="H131" s="85">
        <v>1297.7177083571048</v>
      </c>
      <c r="I131" s="25">
        <v>-0.19092319629583421</v>
      </c>
      <c r="J131" s="25">
        <v>2.2527823212674879E-3</v>
      </c>
      <c r="K131" s="15"/>
      <c r="L131" s="15"/>
      <c r="M131" s="15"/>
      <c r="N131" s="15"/>
    </row>
    <row r="132" spans="1:14" x14ac:dyDescent="0.25">
      <c r="A132" s="17" t="s">
        <v>2031</v>
      </c>
      <c r="B132" s="25" t="s">
        <v>2070</v>
      </c>
      <c r="C132" s="25" t="s">
        <v>200</v>
      </c>
      <c r="D132" s="61" t="s">
        <v>125</v>
      </c>
      <c r="E132" s="61" t="s">
        <v>2069</v>
      </c>
      <c r="F132" s="70">
        <v>-360954.74491807149</v>
      </c>
      <c r="G132" s="61">
        <v>0.98980000000000001</v>
      </c>
      <c r="H132" s="85">
        <v>-1321.9616462986094</v>
      </c>
      <c r="I132" s="25">
        <v>0.19449001987601777</v>
      </c>
      <c r="J132" s="25">
        <v>-2.2948687584339127E-3</v>
      </c>
      <c r="K132" s="15"/>
      <c r="L132" s="15"/>
      <c r="M132" s="15"/>
      <c r="N132" s="15"/>
    </row>
    <row r="133" spans="1:14" x14ac:dyDescent="0.25">
      <c r="A133" s="17" t="s">
        <v>2028</v>
      </c>
      <c r="B133" s="25" t="s">
        <v>2071</v>
      </c>
      <c r="C133" s="25" t="s">
        <v>200</v>
      </c>
      <c r="D133" s="61" t="s">
        <v>257</v>
      </c>
      <c r="E133" s="61" t="s">
        <v>1629</v>
      </c>
      <c r="F133" s="70">
        <v>1819211.9143870804</v>
      </c>
      <c r="G133" s="61">
        <v>0.99229999999999996</v>
      </c>
      <c r="H133" s="85">
        <v>1805.2711151754881</v>
      </c>
      <c r="I133" s="25">
        <v>-0.26559561395381975</v>
      </c>
      <c r="J133" s="25">
        <v>3.1338732816637051E-3</v>
      </c>
      <c r="K133" s="15"/>
      <c r="L133" s="15"/>
      <c r="M133" s="15"/>
      <c r="N133" s="15"/>
    </row>
    <row r="134" spans="1:14" x14ac:dyDescent="0.25">
      <c r="A134" s="17" t="s">
        <v>2031</v>
      </c>
      <c r="B134" s="25" t="s">
        <v>2072</v>
      </c>
      <c r="C134" s="25" t="s">
        <v>200</v>
      </c>
      <c r="D134" s="61" t="s">
        <v>125</v>
      </c>
      <c r="E134" s="61" t="s">
        <v>1629</v>
      </c>
      <c r="F134" s="70">
        <v>-505336.6428853001</v>
      </c>
      <c r="G134" s="61">
        <v>0.98980000000000001</v>
      </c>
      <c r="H134" s="85">
        <v>-1850.7463048036152</v>
      </c>
      <c r="I134" s="25">
        <v>0.27228602782430072</v>
      </c>
      <c r="J134" s="25">
        <v>-3.2128162617824137E-3</v>
      </c>
      <c r="K134" s="15"/>
      <c r="L134" s="15"/>
      <c r="M134" s="15"/>
      <c r="N134" s="15"/>
    </row>
    <row r="135" spans="1:14" s="118" customFormat="1" x14ac:dyDescent="0.25">
      <c r="A135" s="93" t="s">
        <v>2164</v>
      </c>
      <c r="B135" s="136" t="s">
        <v>251</v>
      </c>
      <c r="C135" s="136" t="s">
        <v>251</v>
      </c>
      <c r="D135" s="135" t="s">
        <v>251</v>
      </c>
      <c r="E135" s="135" t="s">
        <v>251</v>
      </c>
      <c r="F135" s="134" t="s">
        <v>251</v>
      </c>
      <c r="G135" s="135" t="s">
        <v>251</v>
      </c>
      <c r="H135" s="123">
        <v>-1074.2583843002242</v>
      </c>
      <c r="I135" s="136">
        <v>0.15804734963342115</v>
      </c>
      <c r="J135" s="136">
        <v>-1.8648665122160508E-3</v>
      </c>
      <c r="K135" s="158"/>
      <c r="L135" s="158"/>
      <c r="M135" s="129"/>
      <c r="N135" s="129"/>
    </row>
    <row r="136" spans="1:14" s="118" customFormat="1" x14ac:dyDescent="0.25">
      <c r="A136" s="93" t="s">
        <v>1831</v>
      </c>
      <c r="B136" s="136" t="s">
        <v>251</v>
      </c>
      <c r="C136" s="136" t="s">
        <v>251</v>
      </c>
      <c r="D136" s="135" t="s">
        <v>251</v>
      </c>
      <c r="E136" s="135" t="s">
        <v>251</v>
      </c>
      <c r="F136" s="134" t="s">
        <v>251</v>
      </c>
      <c r="G136" s="135" t="s">
        <v>251</v>
      </c>
      <c r="H136" s="123">
        <v>0</v>
      </c>
      <c r="I136" s="136">
        <v>0</v>
      </c>
      <c r="J136" s="136">
        <v>0</v>
      </c>
      <c r="K136" s="158"/>
      <c r="L136" s="158"/>
      <c r="M136" s="129"/>
      <c r="N136" s="129"/>
    </row>
    <row r="137" spans="1:14" s="118" customFormat="1" x14ac:dyDescent="0.25">
      <c r="A137" s="93" t="s">
        <v>1834</v>
      </c>
      <c r="B137" s="136" t="s">
        <v>251</v>
      </c>
      <c r="C137" s="136" t="s">
        <v>251</v>
      </c>
      <c r="D137" s="135" t="s">
        <v>251</v>
      </c>
      <c r="E137" s="135" t="s">
        <v>251</v>
      </c>
      <c r="F137" s="134" t="s">
        <v>251</v>
      </c>
      <c r="G137" s="135" t="s">
        <v>251</v>
      </c>
      <c r="H137" s="123">
        <v>-1144.9936196734755</v>
      </c>
      <c r="I137" s="136">
        <v>0.16845407918733657</v>
      </c>
      <c r="J137" s="136">
        <v>-1.9876598490976842E-3</v>
      </c>
      <c r="K137" s="158"/>
      <c r="L137" s="158"/>
      <c r="M137" s="129"/>
      <c r="N137" s="129"/>
    </row>
    <row r="138" spans="1:14" x14ac:dyDescent="0.25">
      <c r="A138" s="17" t="s">
        <v>2012</v>
      </c>
      <c r="B138" s="25" t="s">
        <v>2179</v>
      </c>
      <c r="C138" s="25" t="s">
        <v>200</v>
      </c>
      <c r="D138" s="61" t="s">
        <v>125</v>
      </c>
      <c r="E138" s="61" t="s">
        <v>2180</v>
      </c>
      <c r="F138" s="70">
        <v>191250.76966805654</v>
      </c>
      <c r="G138" s="61">
        <v>0.98880000000000001</v>
      </c>
      <c r="H138" s="85">
        <v>699.72427095914566</v>
      </c>
      <c r="I138" s="25">
        <v>-0.10294503456103743</v>
      </c>
      <c r="J138" s="25">
        <v>1.2146913440629207E-3</v>
      </c>
      <c r="K138" s="19"/>
      <c r="L138" s="19"/>
    </row>
    <row r="139" spans="1:14" x14ac:dyDescent="0.25">
      <c r="A139" s="17" t="s">
        <v>2009</v>
      </c>
      <c r="B139" s="25" t="s">
        <v>2181</v>
      </c>
      <c r="C139" s="25" t="s">
        <v>200</v>
      </c>
      <c r="D139" s="61" t="s">
        <v>2</v>
      </c>
      <c r="E139" s="61" t="s">
        <v>2180</v>
      </c>
      <c r="F139" s="70">
        <v>-156357.93327778587</v>
      </c>
      <c r="G139" s="61">
        <v>0.98899999999999999</v>
      </c>
      <c r="H139" s="85">
        <v>-722.30014326509615</v>
      </c>
      <c r="I139" s="25">
        <v>0.1062664485111294</v>
      </c>
      <c r="J139" s="25">
        <v>-1.2538820907796499E-3</v>
      </c>
      <c r="K139" s="19"/>
      <c r="L139" s="19"/>
    </row>
    <row r="140" spans="1:14" x14ac:dyDescent="0.25">
      <c r="A140" s="17" t="s">
        <v>2012</v>
      </c>
      <c r="B140" s="25" t="s">
        <v>2182</v>
      </c>
      <c r="C140" s="25" t="s">
        <v>200</v>
      </c>
      <c r="D140" s="61" t="s">
        <v>125</v>
      </c>
      <c r="E140" s="61" t="s">
        <v>2180</v>
      </c>
      <c r="F140" s="70">
        <v>77059.08</v>
      </c>
      <c r="G140" s="61">
        <v>0.98880000000000001</v>
      </c>
      <c r="H140" s="85">
        <v>281.93414000000001</v>
      </c>
      <c r="I140" s="25">
        <v>-4.1478795278105988E-2</v>
      </c>
      <c r="J140" s="25">
        <v>4.8942558328638971E-4</v>
      </c>
      <c r="K140" s="19"/>
      <c r="L140" s="19"/>
    </row>
    <row r="141" spans="1:14" x14ac:dyDescent="0.25">
      <c r="A141" s="17" t="s">
        <v>2009</v>
      </c>
      <c r="B141" s="25" t="s">
        <v>2183</v>
      </c>
      <c r="C141" s="25" t="s">
        <v>200</v>
      </c>
      <c r="D141" s="61" t="s">
        <v>2</v>
      </c>
      <c r="E141" s="61" t="s">
        <v>2180</v>
      </c>
      <c r="F141" s="70">
        <v>-63000</v>
      </c>
      <c r="G141" s="61">
        <v>0.98899999999999999</v>
      </c>
      <c r="H141" s="85">
        <v>-291.03045000000003</v>
      </c>
      <c r="I141" s="25">
        <v>4.2817065202692593E-2</v>
      </c>
      <c r="J141" s="25">
        <v>-5.0521638757672447E-4</v>
      </c>
      <c r="K141" s="19"/>
      <c r="L141" s="19"/>
    </row>
    <row r="142" spans="1:14" x14ac:dyDescent="0.25">
      <c r="A142" s="17" t="s">
        <v>2002</v>
      </c>
      <c r="B142" s="25" t="s">
        <v>2184</v>
      </c>
      <c r="C142" s="25" t="s">
        <v>200</v>
      </c>
      <c r="D142" s="61" t="s">
        <v>125</v>
      </c>
      <c r="E142" s="61" t="s">
        <v>2004</v>
      </c>
      <c r="F142" s="70">
        <v>106272.96000000001</v>
      </c>
      <c r="G142" s="61">
        <v>0.98480000000000001</v>
      </c>
      <c r="H142" s="85">
        <v>387.23399000000001</v>
      </c>
      <c r="I142" s="25">
        <v>-5.6970749962860619E-2</v>
      </c>
      <c r="J142" s="25">
        <v>6.7222160971376502E-4</v>
      </c>
      <c r="K142" s="19"/>
      <c r="L142" s="19"/>
    </row>
    <row r="143" spans="1:14" x14ac:dyDescent="0.25">
      <c r="A143" s="17" t="s">
        <v>2005</v>
      </c>
      <c r="B143" s="25" t="s">
        <v>2185</v>
      </c>
      <c r="C143" s="25" t="s">
        <v>200</v>
      </c>
      <c r="D143" s="61" t="s">
        <v>126</v>
      </c>
      <c r="E143" s="61" t="s">
        <v>2004</v>
      </c>
      <c r="F143" s="70">
        <v>-96000</v>
      </c>
      <c r="G143" s="61">
        <v>0.9899</v>
      </c>
      <c r="H143" s="85">
        <v>-381.89582999999999</v>
      </c>
      <c r="I143" s="25">
        <v>5.6185387658736076E-2</v>
      </c>
      <c r="J143" s="25">
        <v>-6.6295479274836998E-4</v>
      </c>
      <c r="K143" s="19"/>
      <c r="L143" s="19"/>
    </row>
    <row r="144" spans="1:14" x14ac:dyDescent="0.25">
      <c r="A144" s="17" t="s">
        <v>2002</v>
      </c>
      <c r="B144" s="25" t="s">
        <v>2186</v>
      </c>
      <c r="C144" s="25" t="s">
        <v>200</v>
      </c>
      <c r="D144" s="61" t="s">
        <v>125</v>
      </c>
      <c r="E144" s="61" t="s">
        <v>2004</v>
      </c>
      <c r="F144" s="70">
        <v>1027188.6237681755</v>
      </c>
      <c r="G144" s="61">
        <v>0.98480000000000001</v>
      </c>
      <c r="H144" s="85">
        <v>3742.8373216369919</v>
      </c>
      <c r="I144" s="25">
        <v>-0.55065478421107616</v>
      </c>
      <c r="J144" s="25">
        <v>6.4974051716058696E-3</v>
      </c>
      <c r="K144" s="19"/>
      <c r="L144" s="19"/>
    </row>
    <row r="145" spans="1:12" x14ac:dyDescent="0.25">
      <c r="A145" s="17" t="s">
        <v>2005</v>
      </c>
      <c r="B145" s="25" t="s">
        <v>2187</v>
      </c>
      <c r="C145" s="25" t="s">
        <v>200</v>
      </c>
      <c r="D145" s="61" t="s">
        <v>126</v>
      </c>
      <c r="E145" s="61" t="s">
        <v>2004</v>
      </c>
      <c r="F145" s="70">
        <v>-927894.62043538492</v>
      </c>
      <c r="G145" s="61">
        <v>0.9899</v>
      </c>
      <c r="H145" s="85">
        <v>-3691.2422813433632</v>
      </c>
      <c r="I145" s="25">
        <v>0.54306400391854026</v>
      </c>
      <c r="J145" s="25">
        <v>-6.4078383930298733E-3</v>
      </c>
      <c r="K145" s="19"/>
      <c r="L145" s="19"/>
    </row>
    <row r="146" spans="1:12" x14ac:dyDescent="0.25">
      <c r="A146" s="17" t="s">
        <v>2002</v>
      </c>
      <c r="B146" s="25" t="s">
        <v>2188</v>
      </c>
      <c r="C146" s="25" t="s">
        <v>200</v>
      </c>
      <c r="D146" s="61" t="s">
        <v>125</v>
      </c>
      <c r="E146" s="61" t="s">
        <v>2189</v>
      </c>
      <c r="F146" s="70">
        <v>61128.262177190772</v>
      </c>
      <c r="G146" s="61">
        <v>0.98480000000000001</v>
      </c>
      <c r="H146" s="85">
        <v>222.737063961697</v>
      </c>
      <c r="I146" s="25">
        <v>-3.2769586105867242E-2</v>
      </c>
      <c r="J146" s="25">
        <v>3.8666199648241053E-4</v>
      </c>
      <c r="K146" s="19"/>
      <c r="L146" s="19"/>
    </row>
    <row r="147" spans="1:12" x14ac:dyDescent="0.25">
      <c r="A147" s="17" t="s">
        <v>2005</v>
      </c>
      <c r="B147" s="25" t="s">
        <v>2190</v>
      </c>
      <c r="C147" s="25" t="s">
        <v>200</v>
      </c>
      <c r="D147" s="61" t="s">
        <v>126</v>
      </c>
      <c r="E147" s="61" t="s">
        <v>2189</v>
      </c>
      <c r="F147" s="70">
        <v>-56391.385772316207</v>
      </c>
      <c r="G147" s="61">
        <v>0.9899</v>
      </c>
      <c r="H147" s="85">
        <v>-224.32952557811524</v>
      </c>
      <c r="I147" s="25">
        <v>3.3003872699806001E-2</v>
      </c>
      <c r="J147" s="25">
        <v>-3.8942644159528932E-4</v>
      </c>
      <c r="K147" s="19"/>
      <c r="L147" s="19"/>
    </row>
    <row r="148" spans="1:12" x14ac:dyDescent="0.25">
      <c r="A148" s="17" t="s">
        <v>2002</v>
      </c>
      <c r="B148" s="25" t="s">
        <v>2191</v>
      </c>
      <c r="C148" s="25" t="s">
        <v>200</v>
      </c>
      <c r="D148" s="61" t="s">
        <v>125</v>
      </c>
      <c r="E148" s="61" t="s">
        <v>479</v>
      </c>
      <c r="F148" s="70">
        <v>38936.7651937958</v>
      </c>
      <c r="G148" s="61">
        <v>0.98480000000000001</v>
      </c>
      <c r="H148" s="85">
        <v>141.8764488038878</v>
      </c>
      <c r="I148" s="25">
        <v>-2.0873187527843017E-2</v>
      </c>
      <c r="J148" s="25">
        <v>2.4629143427058671E-4</v>
      </c>
      <c r="K148" s="19"/>
      <c r="L148" s="19"/>
    </row>
    <row r="149" spans="1:12" x14ac:dyDescent="0.25">
      <c r="A149" s="17" t="s">
        <v>2005</v>
      </c>
      <c r="B149" s="25" t="s">
        <v>2192</v>
      </c>
      <c r="C149" s="25" t="s">
        <v>200</v>
      </c>
      <c r="D149" s="61" t="s">
        <v>126</v>
      </c>
      <c r="E149" s="61" t="s">
        <v>479</v>
      </c>
      <c r="F149" s="70">
        <v>-35885.427309655774</v>
      </c>
      <c r="G149" s="61">
        <v>0.9899</v>
      </c>
      <c r="H149" s="85">
        <v>-142.75515265460012</v>
      </c>
      <c r="I149" s="25">
        <v>2.1002464447388059E-2</v>
      </c>
      <c r="J149" s="25">
        <v>-2.4781682649400056E-4</v>
      </c>
      <c r="K149" s="19"/>
      <c r="L149" s="19"/>
    </row>
    <row r="150" spans="1:12" x14ac:dyDescent="0.25">
      <c r="A150" s="17" t="s">
        <v>2002</v>
      </c>
      <c r="B150" s="25" t="s">
        <v>2193</v>
      </c>
      <c r="C150" s="25" t="s">
        <v>200</v>
      </c>
      <c r="D150" s="61" t="s">
        <v>125</v>
      </c>
      <c r="E150" s="61" t="s">
        <v>2194</v>
      </c>
      <c r="F150" s="70">
        <v>39538.502291903336</v>
      </c>
      <c r="G150" s="61">
        <v>0.98480000000000001</v>
      </c>
      <c r="H150" s="85">
        <v>144.06903780067427</v>
      </c>
      <c r="I150" s="25">
        <v>-2.1195766234085311E-2</v>
      </c>
      <c r="J150" s="25">
        <v>2.5009767479420523E-4</v>
      </c>
      <c r="K150" s="19"/>
      <c r="L150" s="19"/>
    </row>
    <row r="151" spans="1:12" x14ac:dyDescent="0.25">
      <c r="A151" s="17" t="s">
        <v>2005</v>
      </c>
      <c r="B151" s="25" t="s">
        <v>2195</v>
      </c>
      <c r="C151" s="25" t="s">
        <v>200</v>
      </c>
      <c r="D151" s="61" t="s">
        <v>126</v>
      </c>
      <c r="E151" s="61" t="s">
        <v>2194</v>
      </c>
      <c r="F151" s="70">
        <v>-36398.076271222279</v>
      </c>
      <c r="G151" s="61">
        <v>0.9899</v>
      </c>
      <c r="H151" s="85">
        <v>-144.79453871361298</v>
      </c>
      <c r="I151" s="25">
        <v>2.1302503587148917E-2</v>
      </c>
      <c r="J151" s="25">
        <v>-2.5135711328395265E-4</v>
      </c>
      <c r="K151" s="19"/>
      <c r="L151" s="19"/>
    </row>
    <row r="152" spans="1:12" x14ac:dyDescent="0.25">
      <c r="A152" s="17" t="s">
        <v>2002</v>
      </c>
      <c r="B152" s="25" t="s">
        <v>2196</v>
      </c>
      <c r="C152" s="25" t="s">
        <v>200</v>
      </c>
      <c r="D152" s="61" t="s">
        <v>125</v>
      </c>
      <c r="E152" s="61" t="s">
        <v>2197</v>
      </c>
      <c r="F152" s="70">
        <v>134147.7246072937</v>
      </c>
      <c r="G152" s="61">
        <v>0.98480000000000001</v>
      </c>
      <c r="H152" s="85">
        <v>488.80287539789981</v>
      </c>
      <c r="I152" s="25">
        <v>-7.1913796605047681E-2</v>
      </c>
      <c r="J152" s="25">
        <v>8.4854084150178324E-4</v>
      </c>
      <c r="K152" s="19"/>
      <c r="L152" s="19"/>
    </row>
    <row r="153" spans="1:12" x14ac:dyDescent="0.25">
      <c r="A153" s="17" t="s">
        <v>2005</v>
      </c>
      <c r="B153" s="25" t="s">
        <v>2198</v>
      </c>
      <c r="C153" s="25" t="s">
        <v>200</v>
      </c>
      <c r="D153" s="61" t="s">
        <v>126</v>
      </c>
      <c r="E153" s="61" t="s">
        <v>2197</v>
      </c>
      <c r="F153" s="70">
        <v>-123035.75077596265</v>
      </c>
      <c r="G153" s="61">
        <v>0.9899</v>
      </c>
      <c r="H153" s="85">
        <v>-489.44632817742712</v>
      </c>
      <c r="I153" s="25">
        <v>7.2008462849132704E-2</v>
      </c>
      <c r="J153" s="25">
        <v>-8.4965784794852788E-4</v>
      </c>
      <c r="K153" s="19"/>
      <c r="L153" s="19"/>
    </row>
    <row r="154" spans="1:12" x14ac:dyDescent="0.25">
      <c r="A154" s="17" t="s">
        <v>2199</v>
      </c>
      <c r="B154" s="25" t="s">
        <v>2200</v>
      </c>
      <c r="C154" s="25" t="s">
        <v>200</v>
      </c>
      <c r="D154" s="61" t="s">
        <v>125</v>
      </c>
      <c r="E154" s="61" t="s">
        <v>2155</v>
      </c>
      <c r="F154" s="70">
        <v>103639.5</v>
      </c>
      <c r="G154" s="61">
        <v>0.98480000000000001</v>
      </c>
      <c r="H154" s="85">
        <v>377.63804999999996</v>
      </c>
      <c r="I154" s="25">
        <v>-5.5558973330342869E-2</v>
      </c>
      <c r="J154" s="25">
        <v>6.5556346915767198E-4</v>
      </c>
      <c r="K154" s="19"/>
      <c r="L154" s="19"/>
    </row>
    <row r="155" spans="1:12" x14ac:dyDescent="0.25">
      <c r="A155" s="17" t="s">
        <v>2201</v>
      </c>
      <c r="B155" s="25" t="s">
        <v>2202</v>
      </c>
      <c r="C155" s="25" t="s">
        <v>200</v>
      </c>
      <c r="D155" s="61" t="s">
        <v>2</v>
      </c>
      <c r="E155" s="61" t="s">
        <v>2155</v>
      </c>
      <c r="F155" s="70">
        <v>-81000</v>
      </c>
      <c r="G155" s="61">
        <v>0.98480000000000001</v>
      </c>
      <c r="H155" s="85">
        <v>-372.59932000000003</v>
      </c>
      <c r="I155" s="25">
        <v>5.4817663852421358E-2</v>
      </c>
      <c r="J155" s="25">
        <v>-6.4681644983864738E-4</v>
      </c>
      <c r="K155" s="19"/>
      <c r="L155" s="19"/>
    </row>
    <row r="156" spans="1:12" x14ac:dyDescent="0.25">
      <c r="A156" s="17" t="s">
        <v>2203</v>
      </c>
      <c r="B156" s="25" t="s">
        <v>2204</v>
      </c>
      <c r="C156" s="25" t="s">
        <v>200</v>
      </c>
      <c r="D156" s="61" t="s">
        <v>125</v>
      </c>
      <c r="E156" s="61" t="s">
        <v>2162</v>
      </c>
      <c r="F156" s="70">
        <v>27907.584169757727</v>
      </c>
      <c r="G156" s="61">
        <v>1.0001</v>
      </c>
      <c r="H156" s="85">
        <v>103.27257877519192</v>
      </c>
      <c r="I156" s="25">
        <v>-1.5193697907100782E-2</v>
      </c>
      <c r="J156" s="25">
        <v>1.7927677047035854E-4</v>
      </c>
      <c r="K156" s="19"/>
      <c r="L156" s="19"/>
    </row>
    <row r="157" spans="1:12" x14ac:dyDescent="0.25">
      <c r="A157" s="17" t="s">
        <v>2205</v>
      </c>
      <c r="B157" s="25" t="s">
        <v>2206</v>
      </c>
      <c r="C157" s="25" t="s">
        <v>200</v>
      </c>
      <c r="D157" s="61" t="s">
        <v>126</v>
      </c>
      <c r="E157" s="61" t="s">
        <v>2162</v>
      </c>
      <c r="F157" s="70">
        <v>-25632.448078325549</v>
      </c>
      <c r="G157" s="61">
        <v>1</v>
      </c>
      <c r="H157" s="85">
        <v>-103.01373975125217</v>
      </c>
      <c r="I157" s="25">
        <v>1.5155616918101078E-2</v>
      </c>
      <c r="J157" s="25">
        <v>-1.7882743701869147E-4</v>
      </c>
      <c r="K157" s="19"/>
      <c r="L157" s="19"/>
    </row>
    <row r="158" spans="1:12" x14ac:dyDescent="0.25">
      <c r="A158" s="17" t="s">
        <v>2082</v>
      </c>
      <c r="B158" s="25" t="s">
        <v>2168</v>
      </c>
      <c r="C158" s="25" t="s">
        <v>200</v>
      </c>
      <c r="D158" s="61" t="s">
        <v>257</v>
      </c>
      <c r="E158" s="61" t="s">
        <v>2169</v>
      </c>
      <c r="F158" s="70">
        <v>5029500</v>
      </c>
      <c r="G158" s="61">
        <v>0.98409999999999997</v>
      </c>
      <c r="H158" s="85">
        <v>4949.8329299999996</v>
      </c>
      <c r="I158" s="25">
        <v>-0.72823073773292413</v>
      </c>
      <c r="J158" s="25">
        <v>8.5926978156509494E-3</v>
      </c>
      <c r="K158" s="19"/>
      <c r="L158" s="19"/>
    </row>
    <row r="159" spans="1:12" x14ac:dyDescent="0.25">
      <c r="A159" s="17" t="s">
        <v>2084</v>
      </c>
      <c r="B159" s="25" t="s">
        <v>2170</v>
      </c>
      <c r="C159" s="25" t="s">
        <v>200</v>
      </c>
      <c r="D159" s="61" t="s">
        <v>125</v>
      </c>
      <c r="E159" s="61" t="s">
        <v>2169</v>
      </c>
      <c r="F159" s="70">
        <v>-1500000</v>
      </c>
      <c r="G159" s="61">
        <v>0.97770000000000001</v>
      </c>
      <c r="H159" s="85">
        <v>-5426.5519199999999</v>
      </c>
      <c r="I159" s="25">
        <v>0.79836672549019072</v>
      </c>
      <c r="J159" s="25">
        <v>-9.4202615500197234E-3</v>
      </c>
      <c r="K159" s="19"/>
      <c r="L159" s="19"/>
    </row>
    <row r="160" spans="1:12" x14ac:dyDescent="0.25">
      <c r="A160" s="17" t="s">
        <v>2017</v>
      </c>
      <c r="B160" s="25" t="s">
        <v>2173</v>
      </c>
      <c r="C160" s="25" t="s">
        <v>200</v>
      </c>
      <c r="D160" s="61" t="s">
        <v>125</v>
      </c>
      <c r="E160" s="61" t="s">
        <v>2146</v>
      </c>
      <c r="F160" s="70">
        <v>12270000</v>
      </c>
      <c r="G160" s="61">
        <v>0.99780000000000002</v>
      </c>
      <c r="H160" s="85">
        <v>45303.484810000002</v>
      </c>
      <c r="I160" s="25">
        <v>-6.6651522650601116</v>
      </c>
      <c r="J160" s="25">
        <v>7.8644907913743067E-2</v>
      </c>
      <c r="K160" s="19"/>
      <c r="L160" s="19"/>
    </row>
    <row r="161" spans="1:14" x14ac:dyDescent="0.25">
      <c r="A161" s="17" t="s">
        <v>2014</v>
      </c>
      <c r="B161" s="25" t="s">
        <v>2174</v>
      </c>
      <c r="C161" s="25" t="s">
        <v>200</v>
      </c>
      <c r="D161" s="61" t="s">
        <v>257</v>
      </c>
      <c r="E161" s="61" t="s">
        <v>2146</v>
      </c>
      <c r="F161" s="70">
        <v>-45932745</v>
      </c>
      <c r="G161" s="61">
        <v>0.99819999999999998</v>
      </c>
      <c r="H161" s="85">
        <v>-45852.993259999996</v>
      </c>
      <c r="I161" s="25">
        <v>6.7459972045950645</v>
      </c>
      <c r="J161" s="25">
        <v>-7.9598831030901027E-2</v>
      </c>
      <c r="K161" s="19"/>
      <c r="L161" s="19"/>
    </row>
    <row r="162" spans="1:14" x14ac:dyDescent="0.25">
      <c r="A162" s="17" t="s">
        <v>2175</v>
      </c>
      <c r="B162" s="25" t="s">
        <v>2176</v>
      </c>
      <c r="C162" s="25" t="s">
        <v>200</v>
      </c>
      <c r="D162" s="61" t="s">
        <v>257</v>
      </c>
      <c r="E162" s="61" t="s">
        <v>2146</v>
      </c>
      <c r="F162" s="70">
        <v>45276300</v>
      </c>
      <c r="G162" s="61">
        <v>0.97450000000000003</v>
      </c>
      <c r="H162" s="85">
        <v>44124.617570000002</v>
      </c>
      <c r="I162" s="25">
        <v>-6.4917146214032417</v>
      </c>
      <c r="J162" s="25">
        <v>7.6598444911588681E-2</v>
      </c>
      <c r="K162" s="19"/>
      <c r="L162" s="19"/>
    </row>
    <row r="163" spans="1:14" x14ac:dyDescent="0.25">
      <c r="A163" s="17" t="s">
        <v>2177</v>
      </c>
      <c r="B163" s="25" t="s">
        <v>2178</v>
      </c>
      <c r="C163" s="25" t="s">
        <v>200</v>
      </c>
      <c r="D163" s="61" t="s">
        <v>125</v>
      </c>
      <c r="E163" s="61" t="s">
        <v>2146</v>
      </c>
      <c r="F163" s="70">
        <v>-12270000</v>
      </c>
      <c r="G163" s="61">
        <v>0.96220000000000006</v>
      </c>
      <c r="H163" s="85">
        <v>-43683.620569999999</v>
      </c>
      <c r="I163" s="25">
        <v>6.4268341344878976</v>
      </c>
      <c r="J163" s="25">
        <v>-7.583289302080827E-2</v>
      </c>
      <c r="K163" s="19"/>
      <c r="L163" s="19"/>
    </row>
    <row r="164" spans="1:14" x14ac:dyDescent="0.25">
      <c r="A164" s="17" t="s">
        <v>2014</v>
      </c>
      <c r="B164" s="25" t="s">
        <v>2165</v>
      </c>
      <c r="C164" s="25" t="s">
        <v>200</v>
      </c>
      <c r="D164" s="61" t="s">
        <v>257</v>
      </c>
      <c r="E164" s="61" t="s">
        <v>2166</v>
      </c>
      <c r="F164" s="70">
        <v>5070000</v>
      </c>
      <c r="G164" s="61">
        <v>0.99819999999999998</v>
      </c>
      <c r="H164" s="85">
        <v>5061.1970999999994</v>
      </c>
      <c r="I164" s="25">
        <v>-0.74461488904126227</v>
      </c>
      <c r="J164" s="25">
        <v>8.7860212416803578E-3</v>
      </c>
      <c r="K164" s="19"/>
      <c r="L164" s="19"/>
    </row>
    <row r="165" spans="1:14" x14ac:dyDescent="0.25">
      <c r="A165" s="17" t="s">
        <v>2017</v>
      </c>
      <c r="B165" s="25" t="s">
        <v>2167</v>
      </c>
      <c r="C165" s="25" t="s">
        <v>200</v>
      </c>
      <c r="D165" s="61" t="s">
        <v>125</v>
      </c>
      <c r="E165" s="61" t="s">
        <v>2166</v>
      </c>
      <c r="F165" s="70">
        <v>-1500000</v>
      </c>
      <c r="G165" s="61">
        <v>0.99780000000000002</v>
      </c>
      <c r="H165" s="85">
        <v>-5538.3233200000004</v>
      </c>
      <c r="I165" s="25">
        <v>0.81481078940720086</v>
      </c>
      <c r="J165" s="25">
        <v>-9.614291909875174E-3</v>
      </c>
      <c r="K165" s="19"/>
      <c r="L165" s="19"/>
    </row>
    <row r="166" spans="1:14" x14ac:dyDescent="0.25">
      <c r="A166" s="17" t="s">
        <v>2028</v>
      </c>
      <c r="B166" s="25" t="s">
        <v>2171</v>
      </c>
      <c r="C166" s="25" t="s">
        <v>200</v>
      </c>
      <c r="D166" s="61" t="s">
        <v>257</v>
      </c>
      <c r="E166" s="61" t="s">
        <v>1014</v>
      </c>
      <c r="F166" s="70">
        <v>2420923.4741655057</v>
      </c>
      <c r="G166" s="61">
        <v>0.99229999999999996</v>
      </c>
      <c r="H166" s="85">
        <v>2402.3717002913259</v>
      </c>
      <c r="I166" s="25">
        <v>-0.35344241721949426</v>
      </c>
      <c r="J166" s="25">
        <v>4.1704143055743374E-3</v>
      </c>
      <c r="K166" s="19"/>
      <c r="L166" s="19"/>
    </row>
    <row r="167" spans="1:14" x14ac:dyDescent="0.25">
      <c r="A167" s="17" t="s">
        <v>2031</v>
      </c>
      <c r="B167" s="25" t="s">
        <v>2172</v>
      </c>
      <c r="C167" s="25" t="s">
        <v>200</v>
      </c>
      <c r="D167" s="61" t="s">
        <v>125</v>
      </c>
      <c r="E167" s="61" t="s">
        <v>1014</v>
      </c>
      <c r="F167" s="70">
        <v>-685814.01534433581</v>
      </c>
      <c r="G167" s="61">
        <v>0.98980000000000001</v>
      </c>
      <c r="H167" s="85">
        <v>-2511.7271279168244</v>
      </c>
      <c r="I167" s="25">
        <v>0.36953103775699919</v>
      </c>
      <c r="J167" s="25">
        <v>-4.3602506409367104E-3</v>
      </c>
      <c r="K167" s="19"/>
      <c r="L167" s="19"/>
    </row>
    <row r="168" spans="1:14" s="118" customFormat="1" x14ac:dyDescent="0.25">
      <c r="A168" s="93" t="s">
        <v>1833</v>
      </c>
      <c r="B168" s="136" t="s">
        <v>251</v>
      </c>
      <c r="C168" s="136" t="s">
        <v>251</v>
      </c>
      <c r="D168" s="135" t="s">
        <v>251</v>
      </c>
      <c r="E168" s="135" t="s">
        <v>251</v>
      </c>
      <c r="F168" s="134" t="s">
        <v>251</v>
      </c>
      <c r="G168" s="135" t="s">
        <v>251</v>
      </c>
      <c r="H168" s="123">
        <v>70.735235173251482</v>
      </c>
      <c r="I168" s="136">
        <v>-1.0406729524491004E-2</v>
      </c>
      <c r="J168" s="136">
        <v>1.2279333653444224E-4</v>
      </c>
      <c r="K168" s="158"/>
      <c r="L168" s="158"/>
      <c r="M168" s="129"/>
      <c r="N168" s="129"/>
    </row>
    <row r="169" spans="1:14" x14ac:dyDescent="0.25">
      <c r="A169" s="17" t="s">
        <v>2207</v>
      </c>
      <c r="B169" s="25" t="s">
        <v>2208</v>
      </c>
      <c r="C169" s="25" t="s">
        <v>200</v>
      </c>
      <c r="D169" s="61" t="s">
        <v>125</v>
      </c>
      <c r="E169" s="61" t="s">
        <v>2209</v>
      </c>
      <c r="F169" s="70">
        <v>1107.3217569836638</v>
      </c>
      <c r="G169" s="61">
        <v>298.72120000000001</v>
      </c>
      <c r="H169" s="85">
        <v>1223.887790919393</v>
      </c>
      <c r="I169" s="25">
        <v>-0.18006117004105601</v>
      </c>
      <c r="J169" s="25">
        <v>2.1246167489606432E-3</v>
      </c>
      <c r="K169" s="19"/>
      <c r="L169" s="19"/>
    </row>
    <row r="170" spans="1:14" x14ac:dyDescent="0.25">
      <c r="A170" s="17" t="s">
        <v>2210</v>
      </c>
      <c r="B170" s="25" t="s">
        <v>2211</v>
      </c>
      <c r="C170" s="25" t="s">
        <v>200</v>
      </c>
      <c r="D170" s="61" t="s">
        <v>125</v>
      </c>
      <c r="E170" s="61" t="s">
        <v>2209</v>
      </c>
      <c r="F170" s="70">
        <v>-1107.3217569836638</v>
      </c>
      <c r="G170" s="61">
        <v>294.95490000000001</v>
      </c>
      <c r="H170" s="85">
        <v>-1208.4572343477223</v>
      </c>
      <c r="I170" s="25">
        <v>0.17779099127851392</v>
      </c>
      <c r="J170" s="25">
        <v>-2.0978299641089631E-3</v>
      </c>
      <c r="K170" s="19"/>
      <c r="L170" s="19"/>
    </row>
    <row r="171" spans="1:14" x14ac:dyDescent="0.25">
      <c r="A171" s="17" t="s">
        <v>2212</v>
      </c>
      <c r="B171" s="25" t="s">
        <v>2213</v>
      </c>
      <c r="C171" s="25" t="s">
        <v>200</v>
      </c>
      <c r="D171" s="61" t="s">
        <v>125</v>
      </c>
      <c r="E171" s="61" t="s">
        <v>2214</v>
      </c>
      <c r="F171" s="70">
        <v>963.78004774504063</v>
      </c>
      <c r="G171" s="61">
        <v>298.72120000000001</v>
      </c>
      <c r="H171" s="85">
        <v>1065.2356698742867</v>
      </c>
      <c r="I171" s="25">
        <v>-0.15671990725795618</v>
      </c>
      <c r="J171" s="25">
        <v>1.8492034666879678E-3</v>
      </c>
      <c r="K171" s="19"/>
      <c r="L171" s="19"/>
    </row>
    <row r="172" spans="1:14" x14ac:dyDescent="0.25">
      <c r="A172" s="17" t="s">
        <v>2215</v>
      </c>
      <c r="B172" s="25" t="s">
        <v>2216</v>
      </c>
      <c r="C172" s="25" t="s">
        <v>200</v>
      </c>
      <c r="D172" s="61" t="s">
        <v>125</v>
      </c>
      <c r="E172" s="61" t="s">
        <v>2214</v>
      </c>
      <c r="F172" s="70">
        <v>-963.78004774504063</v>
      </c>
      <c r="G172" s="61">
        <v>296.4572</v>
      </c>
      <c r="H172" s="85">
        <v>-1057.1626135705844</v>
      </c>
      <c r="I172" s="25">
        <v>0.15553218075668929</v>
      </c>
      <c r="J172" s="25">
        <v>-1.8351889869575478E-3</v>
      </c>
      <c r="K172" s="19"/>
      <c r="L172" s="19"/>
    </row>
    <row r="173" spans="1:14" x14ac:dyDescent="0.25">
      <c r="A173" s="17" t="s">
        <v>2217</v>
      </c>
      <c r="B173" s="25" t="s">
        <v>2218</v>
      </c>
      <c r="C173" s="25" t="s">
        <v>200</v>
      </c>
      <c r="D173" s="61" t="s">
        <v>125</v>
      </c>
      <c r="E173" s="61" t="s">
        <v>1635</v>
      </c>
      <c r="F173" s="70">
        <v>3896.1321079054837</v>
      </c>
      <c r="G173" s="61">
        <v>87.021199999999993</v>
      </c>
      <c r="H173" s="85">
        <v>1254.4705381373192</v>
      </c>
      <c r="I173" s="25">
        <v>-0.18456057373474996</v>
      </c>
      <c r="J173" s="25">
        <v>2.1777070873483027E-3</v>
      </c>
      <c r="K173" s="19"/>
      <c r="L173" s="19"/>
    </row>
    <row r="174" spans="1:14" x14ac:dyDescent="0.25">
      <c r="A174" s="17" t="s">
        <v>2219</v>
      </c>
      <c r="B174" s="25" t="s">
        <v>2220</v>
      </c>
      <c r="C174" s="25" t="s">
        <v>200</v>
      </c>
      <c r="D174" s="61" t="s">
        <v>125</v>
      </c>
      <c r="E174" s="61" t="s">
        <v>1635</v>
      </c>
      <c r="F174" s="70">
        <v>-3896.1321079054837</v>
      </c>
      <c r="G174" s="61">
        <v>85.974900000000005</v>
      </c>
      <c r="H174" s="85">
        <v>-1239.3881845312706</v>
      </c>
      <c r="I174" s="25">
        <v>0.1823416233886255</v>
      </c>
      <c r="J174" s="25">
        <v>-2.1515247679208933E-3</v>
      </c>
      <c r="K174" s="19"/>
      <c r="L174" s="19"/>
    </row>
    <row r="175" spans="1:14" x14ac:dyDescent="0.25">
      <c r="A175" s="17" t="s">
        <v>2217</v>
      </c>
      <c r="B175" s="25" t="s">
        <v>2221</v>
      </c>
      <c r="C175" s="25" t="s">
        <v>200</v>
      </c>
      <c r="D175" s="61" t="s">
        <v>125</v>
      </c>
      <c r="E175" s="61" t="s">
        <v>2129</v>
      </c>
      <c r="F175" s="70">
        <v>3588.542730965577</v>
      </c>
      <c r="G175" s="61">
        <v>87.021199999999993</v>
      </c>
      <c r="H175" s="85">
        <v>1155.4333903896361</v>
      </c>
      <c r="I175" s="25">
        <v>-0.16999000212411181</v>
      </c>
      <c r="J175" s="25">
        <v>2.0057828436102786E-3</v>
      </c>
      <c r="K175" s="19"/>
      <c r="L175" s="19"/>
    </row>
    <row r="176" spans="1:14" x14ac:dyDescent="0.25">
      <c r="A176" s="17" t="s">
        <v>2219</v>
      </c>
      <c r="B176" s="25" t="s">
        <v>2222</v>
      </c>
      <c r="C176" s="25" t="s">
        <v>200</v>
      </c>
      <c r="D176" s="61" t="s">
        <v>125</v>
      </c>
      <c r="E176" s="61" t="s">
        <v>2129</v>
      </c>
      <c r="F176" s="70">
        <v>-3588.542730965577</v>
      </c>
      <c r="G176" s="61">
        <v>85.486099999999993</v>
      </c>
      <c r="H176" s="85">
        <v>-1135.0518388599291</v>
      </c>
      <c r="I176" s="25">
        <v>0.1669914216636153</v>
      </c>
      <c r="J176" s="25">
        <v>-1.970401343712081E-3</v>
      </c>
      <c r="K176" s="19"/>
      <c r="L176" s="19"/>
    </row>
    <row r="177" spans="1:14" x14ac:dyDescent="0.25">
      <c r="A177" s="17" t="s">
        <v>2223</v>
      </c>
      <c r="B177" s="25" t="s">
        <v>2224</v>
      </c>
      <c r="C177" s="25" t="s">
        <v>200</v>
      </c>
      <c r="D177" s="61" t="s">
        <v>125</v>
      </c>
      <c r="E177" s="61" t="s">
        <v>2129</v>
      </c>
      <c r="F177" s="70">
        <v>1004.7919646703616</v>
      </c>
      <c r="G177" s="61">
        <v>298.72120000000001</v>
      </c>
      <c r="H177" s="85">
        <v>1110.5648473157457</v>
      </c>
      <c r="I177" s="25">
        <v>-0.16338883948169899</v>
      </c>
      <c r="J177" s="25">
        <v>1.9278929759087324E-3</v>
      </c>
      <c r="K177" s="19"/>
      <c r="L177" s="19"/>
    </row>
    <row r="178" spans="1:14" x14ac:dyDescent="0.25">
      <c r="A178" s="17" t="s">
        <v>2225</v>
      </c>
      <c r="B178" s="25" t="s">
        <v>2226</v>
      </c>
      <c r="C178" s="25" t="s">
        <v>200</v>
      </c>
      <c r="D178" s="61" t="s">
        <v>125</v>
      </c>
      <c r="E178" s="61" t="s">
        <v>2129</v>
      </c>
      <c r="F178" s="70">
        <v>-1004.7919646703616</v>
      </c>
      <c r="G178" s="61">
        <v>295.55590000000001</v>
      </c>
      <c r="H178" s="85">
        <v>-1098.797130253623</v>
      </c>
      <c r="I178" s="25">
        <v>0.16165754604235014</v>
      </c>
      <c r="J178" s="25">
        <v>-1.9074647234555934E-3</v>
      </c>
      <c r="K178" s="19"/>
      <c r="L178" s="19"/>
    </row>
    <row r="179" spans="1:14" s="118" customFormat="1" x14ac:dyDescent="0.25">
      <c r="A179" s="93" t="s">
        <v>141</v>
      </c>
      <c r="B179" s="136" t="s">
        <v>251</v>
      </c>
      <c r="C179" s="136" t="s">
        <v>251</v>
      </c>
      <c r="D179" s="135" t="s">
        <v>251</v>
      </c>
      <c r="E179" s="135" t="s">
        <v>251</v>
      </c>
      <c r="F179" s="134" t="s">
        <v>251</v>
      </c>
      <c r="G179" s="135" t="s">
        <v>251</v>
      </c>
      <c r="H179" s="123">
        <v>0</v>
      </c>
      <c r="I179" s="136">
        <v>0</v>
      </c>
      <c r="J179" s="136">
        <v>0</v>
      </c>
      <c r="K179" s="158"/>
      <c r="L179" s="158"/>
      <c r="M179" s="129"/>
      <c r="N179" s="129"/>
    </row>
    <row r="180" spans="1:14" s="118" customFormat="1" x14ac:dyDescent="0.25">
      <c r="A180" s="79" t="s">
        <v>242</v>
      </c>
      <c r="B180" s="124"/>
      <c r="C180" s="79"/>
      <c r="D180" s="125"/>
      <c r="E180" s="125"/>
      <c r="F180" s="125"/>
      <c r="G180" s="126"/>
      <c r="H180" s="127"/>
      <c r="I180" s="127"/>
      <c r="J180" s="128"/>
      <c r="K180" s="147"/>
      <c r="L180" s="147"/>
      <c r="M180" s="129"/>
      <c r="N180" s="129"/>
    </row>
    <row r="181" spans="1:14" s="118" customFormat="1" x14ac:dyDescent="0.25">
      <c r="A181" s="79" t="s">
        <v>243</v>
      </c>
      <c r="B181" s="124"/>
      <c r="C181" s="79"/>
      <c r="D181" s="125"/>
      <c r="E181" s="125"/>
      <c r="F181" s="125"/>
      <c r="G181" s="126"/>
      <c r="H181" s="127"/>
      <c r="I181" s="127"/>
      <c r="J181" s="128"/>
      <c r="K181" s="147"/>
      <c r="L181" s="147"/>
      <c r="M181" s="129"/>
      <c r="N181" s="129"/>
    </row>
    <row r="182" spans="1:14" s="118" customFormat="1" x14ac:dyDescent="0.25">
      <c r="A182" s="79" t="s">
        <v>244</v>
      </c>
      <c r="B182" s="124"/>
      <c r="C182" s="79"/>
      <c r="D182" s="125"/>
      <c r="E182" s="125"/>
      <c r="F182" s="125"/>
      <c r="G182" s="126"/>
      <c r="H182" s="127"/>
      <c r="I182" s="127"/>
      <c r="J182" s="128"/>
      <c r="K182" s="147"/>
      <c r="L182" s="147"/>
      <c r="M182" s="129"/>
      <c r="N182" s="129"/>
    </row>
    <row r="183" spans="1:14" s="118" customFormat="1" x14ac:dyDescent="0.25">
      <c r="A183" s="79" t="s">
        <v>245</v>
      </c>
      <c r="B183" s="124"/>
      <c r="C183" s="79"/>
      <c r="D183" s="125"/>
      <c r="E183" s="125"/>
      <c r="F183" s="125"/>
      <c r="G183" s="126"/>
      <c r="H183" s="127"/>
      <c r="I183" s="127"/>
      <c r="J183" s="128"/>
      <c r="K183" s="147"/>
      <c r="L183" s="147"/>
      <c r="M183" s="129"/>
      <c r="N183" s="129"/>
    </row>
    <row r="184" spans="1:14" s="118" customFormat="1" x14ac:dyDescent="0.25">
      <c r="A184" s="79" t="s">
        <v>246</v>
      </c>
      <c r="B184" s="124"/>
      <c r="C184" s="79"/>
      <c r="D184" s="125"/>
      <c r="E184" s="125"/>
      <c r="F184" s="125"/>
      <c r="G184" s="126"/>
      <c r="H184" s="127"/>
      <c r="I184" s="127"/>
      <c r="J184" s="128"/>
      <c r="K184" s="147"/>
      <c r="L184" s="147"/>
      <c r="M184" s="129"/>
      <c r="N184" s="129"/>
    </row>
  </sheetData>
  <mergeCells count="2">
    <mergeCell ref="A6:J6"/>
    <mergeCell ref="A5:J5"/>
  </mergeCells>
  <phoneticPr fontId="3" type="noConversion"/>
  <conditionalFormatting sqref="B11:E179 I11:J179">
    <cfRule type="expression" dxfId="46" priority="355" stopIfTrue="1">
      <formula>OR(LEFT(#REF!,3)="TIR",LEFT(#REF!,2)="IR")</formula>
    </cfRule>
  </conditionalFormatting>
  <conditionalFormatting sqref="H11:I179 A11:A179">
    <cfRule type="expression" dxfId="45" priority="357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P31"/>
  <sheetViews>
    <sheetView rightToLeft="1" zoomScale="80" workbookViewId="0"/>
  </sheetViews>
  <sheetFormatPr defaultColWidth="9.109375" defaultRowHeight="13.2" x14ac:dyDescent="0.25"/>
  <cols>
    <col min="1" max="1" width="35.109375" style="10" bestFit="1" customWidth="1"/>
    <col min="2" max="2" width="13.5546875" style="9" bestFit="1" customWidth="1"/>
    <col min="3" max="3" width="12" style="10" customWidth="1"/>
    <col min="4" max="4" width="7.5546875" style="60" customWidth="1"/>
    <col min="5" max="5" width="11.109375" style="60" customWidth="1"/>
    <col min="6" max="6" width="14.109375" style="60" customWidth="1"/>
    <col min="7" max="7" width="7.88671875" style="37" customWidth="1"/>
    <col min="8" max="8" width="11.33203125" style="62" customWidth="1"/>
    <col min="9" max="9" width="12.5546875" style="64" customWidth="1"/>
    <col min="10" max="10" width="14.109375" style="64" customWidth="1"/>
    <col min="11" max="11" width="10.5546875" style="64" customWidth="1"/>
    <col min="12" max="12" width="8.88671875" style="62" bestFit="1" customWidth="1"/>
    <col min="13" max="13" width="10.44140625" style="62" customWidth="1"/>
    <col min="14" max="14" width="22" style="66" customWidth="1"/>
    <col min="15" max="15" width="25.44140625" style="66" customWidth="1"/>
    <col min="16" max="16" width="20.6640625" style="66" customWidth="1"/>
    <col min="17" max="17" width="14.6640625" style="15" customWidth="1"/>
    <col min="18" max="16384" width="9.109375" style="15"/>
  </cols>
  <sheetData>
    <row r="1" spans="1:16" s="7" customFormat="1" x14ac:dyDescent="0.25">
      <c r="A1" s="7" t="s">
        <v>237</v>
      </c>
      <c r="B1" s="9" t="s">
        <v>247</v>
      </c>
      <c r="D1" s="60"/>
      <c r="E1" s="60"/>
      <c r="F1" s="60"/>
      <c r="G1" s="37"/>
      <c r="H1" s="62"/>
      <c r="I1" s="63"/>
      <c r="J1" s="63"/>
      <c r="K1" s="63"/>
      <c r="L1" s="62"/>
      <c r="M1" s="62"/>
      <c r="N1" s="66"/>
      <c r="O1" s="66"/>
      <c r="P1" s="44"/>
    </row>
    <row r="2" spans="1:16" s="7" customFormat="1" x14ac:dyDescent="0.25">
      <c r="A2" s="10" t="s">
        <v>238</v>
      </c>
      <c r="B2" s="9" t="s">
        <v>150</v>
      </c>
      <c r="D2" s="60"/>
      <c r="E2" s="60"/>
      <c r="F2" s="60"/>
      <c r="G2" s="37"/>
      <c r="H2" s="62"/>
      <c r="I2" s="63"/>
      <c r="J2" s="63"/>
      <c r="K2" s="63"/>
      <c r="L2" s="62"/>
      <c r="M2" s="62"/>
      <c r="N2" s="66"/>
      <c r="O2" s="66"/>
      <c r="P2" s="44"/>
    </row>
    <row r="3" spans="1:16" s="7" customFormat="1" x14ac:dyDescent="0.25">
      <c r="A3" s="10" t="s">
        <v>239</v>
      </c>
      <c r="B3" s="9" t="s">
        <v>240</v>
      </c>
      <c r="D3" s="60"/>
      <c r="E3" s="60"/>
      <c r="F3" s="60"/>
      <c r="G3" s="37"/>
      <c r="H3" s="62"/>
      <c r="I3" s="63"/>
      <c r="J3" s="63"/>
      <c r="K3" s="63"/>
      <c r="L3" s="62"/>
      <c r="M3" s="62"/>
      <c r="N3" s="66"/>
      <c r="O3" s="66"/>
      <c r="P3" s="44"/>
    </row>
    <row r="4" spans="1:16" s="7" customFormat="1" ht="13.8" thickBot="1" x14ac:dyDescent="0.3">
      <c r="A4" s="10" t="s">
        <v>241</v>
      </c>
      <c r="B4" s="9" t="s">
        <v>249</v>
      </c>
      <c r="D4" s="60"/>
      <c r="E4" s="60"/>
      <c r="F4" s="60"/>
      <c r="G4" s="37"/>
      <c r="H4" s="62"/>
      <c r="I4" s="63"/>
      <c r="J4" s="63"/>
      <c r="K4" s="63"/>
      <c r="L4" s="62"/>
      <c r="M4" s="62"/>
      <c r="N4" s="66"/>
      <c r="O4" s="66"/>
      <c r="P4" s="44"/>
    </row>
    <row r="5" spans="1:16" s="7" customFormat="1" ht="13.8" thickBot="1" x14ac:dyDescent="0.3">
      <c r="A5" s="220" t="s">
        <v>28</v>
      </c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2"/>
    </row>
    <row r="6" spans="1:16" s="7" customFormat="1" x14ac:dyDescent="0.25">
      <c r="A6" s="223" t="s">
        <v>34</v>
      </c>
      <c r="B6" s="224"/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5"/>
    </row>
    <row r="7" spans="1:16" s="7" customFormat="1" ht="31.5" customHeight="1" x14ac:dyDescent="0.25">
      <c r="A7" s="87" t="s">
        <v>157</v>
      </c>
      <c r="B7" s="203" t="s">
        <v>69</v>
      </c>
      <c r="C7" s="203" t="s">
        <v>27</v>
      </c>
      <c r="D7" s="203" t="s">
        <v>70</v>
      </c>
      <c r="E7" s="203" t="s">
        <v>5</v>
      </c>
      <c r="F7" s="203" t="s">
        <v>13</v>
      </c>
      <c r="G7" s="203" t="s">
        <v>14</v>
      </c>
      <c r="H7" s="203" t="s">
        <v>6</v>
      </c>
      <c r="I7" s="204" t="s">
        <v>66</v>
      </c>
      <c r="J7" s="204" t="s">
        <v>71</v>
      </c>
      <c r="K7" s="204" t="s">
        <v>67</v>
      </c>
      <c r="L7" s="204" t="s">
        <v>68</v>
      </c>
      <c r="M7" s="204" t="s">
        <v>7</v>
      </c>
      <c r="N7" s="90" t="s">
        <v>17</v>
      </c>
      <c r="O7" s="90" t="s">
        <v>75</v>
      </c>
      <c r="P7" s="91" t="s">
        <v>8</v>
      </c>
    </row>
    <row r="8" spans="1:16" s="7" customFormat="1" x14ac:dyDescent="0.25">
      <c r="A8" s="27"/>
      <c r="B8" s="3"/>
      <c r="C8" s="3"/>
      <c r="D8" s="3"/>
      <c r="E8" s="28"/>
      <c r="F8" s="29" t="s">
        <v>15</v>
      </c>
      <c r="G8" s="29" t="s">
        <v>16</v>
      </c>
      <c r="H8" s="30"/>
      <c r="I8" s="2" t="s">
        <v>9</v>
      </c>
      <c r="J8" s="2" t="s">
        <v>9</v>
      </c>
      <c r="K8" s="2" t="s">
        <v>133</v>
      </c>
      <c r="L8" s="2"/>
      <c r="M8" s="2" t="s">
        <v>135</v>
      </c>
      <c r="N8" s="31" t="s">
        <v>9</v>
      </c>
      <c r="O8" s="56" t="s">
        <v>9</v>
      </c>
      <c r="P8" s="6" t="s">
        <v>9</v>
      </c>
    </row>
    <row r="9" spans="1:16" s="16" customFormat="1" ht="12.75" customHeight="1" x14ac:dyDescent="0.25">
      <c r="A9" s="21"/>
      <c r="B9" s="22">
        <v>1</v>
      </c>
      <c r="C9" s="22">
        <v>2</v>
      </c>
      <c r="D9" s="22">
        <v>3</v>
      </c>
      <c r="E9" s="22">
        <v>4</v>
      </c>
      <c r="F9" s="22">
        <v>5</v>
      </c>
      <c r="G9" s="22">
        <v>6</v>
      </c>
      <c r="H9" s="22">
        <v>7</v>
      </c>
      <c r="I9" s="22">
        <v>8</v>
      </c>
      <c r="J9" s="22">
        <v>9</v>
      </c>
      <c r="K9" s="22">
        <v>10</v>
      </c>
      <c r="L9" s="22">
        <v>11</v>
      </c>
      <c r="M9" s="22">
        <v>12</v>
      </c>
      <c r="N9" s="22">
        <v>13</v>
      </c>
      <c r="O9" s="57">
        <v>14</v>
      </c>
      <c r="P9" s="23">
        <v>15</v>
      </c>
    </row>
    <row r="10" spans="1:16" s="118" customFormat="1" ht="12.75" customHeight="1" thickBot="1" x14ac:dyDescent="0.3">
      <c r="A10" s="100" t="s">
        <v>57</v>
      </c>
      <c r="B10" s="68" t="s">
        <v>251</v>
      </c>
      <c r="C10" s="68" t="s">
        <v>251</v>
      </c>
      <c r="D10" s="101"/>
      <c r="E10" s="101" t="s">
        <v>251</v>
      </c>
      <c r="F10" s="101" t="s">
        <v>251</v>
      </c>
      <c r="G10" s="101" t="s">
        <v>251</v>
      </c>
      <c r="H10" s="101" t="s">
        <v>251</v>
      </c>
      <c r="I10" s="68" t="s">
        <v>251</v>
      </c>
      <c r="J10" s="68" t="s">
        <v>251</v>
      </c>
      <c r="K10" s="102" t="s">
        <v>251</v>
      </c>
      <c r="L10" s="101" t="s">
        <v>251</v>
      </c>
      <c r="M10" s="103">
        <v>1.2000000000000002E-6</v>
      </c>
      <c r="N10" s="68" t="s">
        <v>251</v>
      </c>
      <c r="O10" s="68">
        <v>0</v>
      </c>
      <c r="P10" s="82">
        <v>0</v>
      </c>
    </row>
    <row r="11" spans="1:16" s="118" customFormat="1" x14ac:dyDescent="0.25">
      <c r="A11" s="92" t="s">
        <v>137</v>
      </c>
      <c r="B11" s="120" t="s">
        <v>251</v>
      </c>
      <c r="C11" s="120" t="s">
        <v>251</v>
      </c>
      <c r="D11" s="121" t="s">
        <v>251</v>
      </c>
      <c r="E11" s="121" t="s">
        <v>251</v>
      </c>
      <c r="F11" s="121" t="s">
        <v>251</v>
      </c>
      <c r="G11" s="121" t="s">
        <v>251</v>
      </c>
      <c r="H11" s="121" t="s">
        <v>251</v>
      </c>
      <c r="I11" s="120" t="s">
        <v>251</v>
      </c>
      <c r="J11" s="120" t="s">
        <v>251</v>
      </c>
      <c r="K11" s="132" t="s">
        <v>251</v>
      </c>
      <c r="L11" s="121" t="s">
        <v>251</v>
      </c>
      <c r="M11" s="122">
        <v>0</v>
      </c>
      <c r="N11" s="120" t="s">
        <v>251</v>
      </c>
      <c r="O11" s="120">
        <v>0</v>
      </c>
      <c r="P11" s="120">
        <v>0</v>
      </c>
    </row>
    <row r="12" spans="1:16" s="118" customFormat="1" x14ac:dyDescent="0.25">
      <c r="A12" s="93" t="s">
        <v>1836</v>
      </c>
      <c r="B12" s="136" t="s">
        <v>251</v>
      </c>
      <c r="C12" s="136" t="s">
        <v>251</v>
      </c>
      <c r="D12" s="135" t="s">
        <v>251</v>
      </c>
      <c r="E12" s="135" t="s">
        <v>251</v>
      </c>
      <c r="F12" s="135" t="s">
        <v>251</v>
      </c>
      <c r="G12" s="135" t="s">
        <v>251</v>
      </c>
      <c r="H12" s="135" t="s">
        <v>251</v>
      </c>
      <c r="I12" s="136" t="s">
        <v>251</v>
      </c>
      <c r="J12" s="136" t="s">
        <v>251</v>
      </c>
      <c r="K12" s="134" t="s">
        <v>251</v>
      </c>
      <c r="L12" s="121" t="s">
        <v>251</v>
      </c>
      <c r="M12" s="123">
        <v>0</v>
      </c>
      <c r="N12" s="136"/>
      <c r="O12" s="136">
        <v>0</v>
      </c>
      <c r="P12" s="136">
        <v>0</v>
      </c>
    </row>
    <row r="13" spans="1:16" s="118" customFormat="1" x14ac:dyDescent="0.25">
      <c r="A13" s="93" t="s">
        <v>1837</v>
      </c>
      <c r="B13" s="136" t="s">
        <v>251</v>
      </c>
      <c r="C13" s="136" t="s">
        <v>251</v>
      </c>
      <c r="D13" s="135" t="s">
        <v>251</v>
      </c>
      <c r="E13" s="135" t="s">
        <v>251</v>
      </c>
      <c r="F13" s="135" t="s">
        <v>251</v>
      </c>
      <c r="G13" s="135" t="s">
        <v>251</v>
      </c>
      <c r="H13" s="135" t="s">
        <v>251</v>
      </c>
      <c r="I13" s="136" t="s">
        <v>251</v>
      </c>
      <c r="J13" s="136" t="s">
        <v>251</v>
      </c>
      <c r="K13" s="134" t="s">
        <v>251</v>
      </c>
      <c r="L13" s="121" t="s">
        <v>251</v>
      </c>
      <c r="M13" s="123">
        <v>0</v>
      </c>
      <c r="N13" s="136"/>
      <c r="O13" s="136">
        <v>0</v>
      </c>
      <c r="P13" s="136">
        <v>0</v>
      </c>
    </row>
    <row r="14" spans="1:16" s="118" customFormat="1" x14ac:dyDescent="0.25">
      <c r="A14" s="93" t="s">
        <v>1838</v>
      </c>
      <c r="B14" s="136" t="s">
        <v>251</v>
      </c>
      <c r="C14" s="136" t="s">
        <v>251</v>
      </c>
      <c r="D14" s="135" t="s">
        <v>251</v>
      </c>
      <c r="E14" s="135" t="s">
        <v>251</v>
      </c>
      <c r="F14" s="135" t="s">
        <v>251</v>
      </c>
      <c r="G14" s="135" t="s">
        <v>251</v>
      </c>
      <c r="H14" s="135" t="s">
        <v>251</v>
      </c>
      <c r="I14" s="136" t="s">
        <v>251</v>
      </c>
      <c r="J14" s="136" t="s">
        <v>251</v>
      </c>
      <c r="K14" s="134" t="s">
        <v>251</v>
      </c>
      <c r="L14" s="121" t="s">
        <v>251</v>
      </c>
      <c r="M14" s="123">
        <v>0</v>
      </c>
      <c r="N14" s="136"/>
      <c r="O14" s="136">
        <v>0</v>
      </c>
      <c r="P14" s="136">
        <v>0</v>
      </c>
    </row>
    <row r="15" spans="1:16" s="118" customFormat="1" x14ac:dyDescent="0.25">
      <c r="A15" s="93" t="s">
        <v>1839</v>
      </c>
      <c r="B15" s="136" t="s">
        <v>251</v>
      </c>
      <c r="C15" s="136" t="s">
        <v>251</v>
      </c>
      <c r="D15" s="135" t="s">
        <v>251</v>
      </c>
      <c r="E15" s="135" t="s">
        <v>251</v>
      </c>
      <c r="F15" s="135" t="s">
        <v>251</v>
      </c>
      <c r="G15" s="135" t="s">
        <v>251</v>
      </c>
      <c r="H15" s="135" t="s">
        <v>251</v>
      </c>
      <c r="I15" s="136" t="s">
        <v>251</v>
      </c>
      <c r="J15" s="136" t="s">
        <v>251</v>
      </c>
      <c r="K15" s="134" t="s">
        <v>251</v>
      </c>
      <c r="L15" s="121" t="s">
        <v>251</v>
      </c>
      <c r="M15" s="123">
        <v>0</v>
      </c>
      <c r="N15" s="136"/>
      <c r="O15" s="136">
        <v>0</v>
      </c>
      <c r="P15" s="136">
        <v>0</v>
      </c>
    </row>
    <row r="16" spans="1:16" s="118" customFormat="1" x14ac:dyDescent="0.25">
      <c r="A16" s="93" t="s">
        <v>1840</v>
      </c>
      <c r="B16" s="136" t="s">
        <v>251</v>
      </c>
      <c r="C16" s="136" t="s">
        <v>251</v>
      </c>
      <c r="D16" s="135" t="s">
        <v>251</v>
      </c>
      <c r="E16" s="135" t="s">
        <v>251</v>
      </c>
      <c r="F16" s="135" t="s">
        <v>251</v>
      </c>
      <c r="G16" s="135" t="s">
        <v>251</v>
      </c>
      <c r="H16" s="135" t="s">
        <v>251</v>
      </c>
      <c r="I16" s="136" t="s">
        <v>251</v>
      </c>
      <c r="J16" s="136" t="s">
        <v>251</v>
      </c>
      <c r="K16" s="134" t="s">
        <v>251</v>
      </c>
      <c r="L16" s="121" t="s">
        <v>251</v>
      </c>
      <c r="M16" s="123">
        <v>0</v>
      </c>
      <c r="N16" s="136"/>
      <c r="O16" s="136">
        <v>0</v>
      </c>
      <c r="P16" s="136">
        <v>0</v>
      </c>
    </row>
    <row r="17" spans="1:16" s="118" customFormat="1" x14ac:dyDescent="0.25">
      <c r="A17" s="93" t="s">
        <v>1841</v>
      </c>
      <c r="B17" s="136" t="s">
        <v>251</v>
      </c>
      <c r="C17" s="136" t="s">
        <v>251</v>
      </c>
      <c r="D17" s="135" t="s">
        <v>251</v>
      </c>
      <c r="E17" s="135" t="s">
        <v>251</v>
      </c>
      <c r="F17" s="135" t="s">
        <v>251</v>
      </c>
      <c r="G17" s="135" t="s">
        <v>251</v>
      </c>
      <c r="H17" s="135" t="s">
        <v>251</v>
      </c>
      <c r="I17" s="136" t="s">
        <v>251</v>
      </c>
      <c r="J17" s="136" t="s">
        <v>251</v>
      </c>
      <c r="K17" s="134" t="s">
        <v>251</v>
      </c>
      <c r="L17" s="121" t="s">
        <v>251</v>
      </c>
      <c r="M17" s="123">
        <v>0</v>
      </c>
      <c r="N17" s="136"/>
      <c r="O17" s="136">
        <v>0</v>
      </c>
      <c r="P17" s="136">
        <v>0</v>
      </c>
    </row>
    <row r="18" spans="1:16" s="118" customFormat="1" x14ac:dyDescent="0.25">
      <c r="A18" s="93" t="s">
        <v>1842</v>
      </c>
      <c r="B18" s="136" t="s">
        <v>251</v>
      </c>
      <c r="C18" s="136" t="s">
        <v>251</v>
      </c>
      <c r="D18" s="135" t="s">
        <v>251</v>
      </c>
      <c r="E18" s="135" t="s">
        <v>251</v>
      </c>
      <c r="F18" s="135" t="s">
        <v>251</v>
      </c>
      <c r="G18" s="135" t="s">
        <v>251</v>
      </c>
      <c r="H18" s="135" t="s">
        <v>251</v>
      </c>
      <c r="I18" s="136" t="s">
        <v>251</v>
      </c>
      <c r="J18" s="136" t="s">
        <v>251</v>
      </c>
      <c r="K18" s="134" t="s">
        <v>251</v>
      </c>
      <c r="L18" s="121" t="s">
        <v>251</v>
      </c>
      <c r="M18" s="123">
        <v>0</v>
      </c>
      <c r="N18" s="136"/>
      <c r="O18" s="136">
        <v>0</v>
      </c>
      <c r="P18" s="136">
        <v>0</v>
      </c>
    </row>
    <row r="19" spans="1:16" s="118" customFormat="1" x14ac:dyDescent="0.25">
      <c r="A19" s="93" t="s">
        <v>488</v>
      </c>
      <c r="B19" s="136" t="s">
        <v>251</v>
      </c>
      <c r="C19" s="136" t="s">
        <v>251</v>
      </c>
      <c r="D19" s="135" t="s">
        <v>251</v>
      </c>
      <c r="E19" s="135" t="s">
        <v>251</v>
      </c>
      <c r="F19" s="135" t="s">
        <v>251</v>
      </c>
      <c r="G19" s="135" t="s">
        <v>251</v>
      </c>
      <c r="H19" s="135" t="s">
        <v>251</v>
      </c>
      <c r="I19" s="136" t="s">
        <v>251</v>
      </c>
      <c r="J19" s="136" t="s">
        <v>251</v>
      </c>
      <c r="K19" s="134" t="s">
        <v>251</v>
      </c>
      <c r="L19" s="121" t="s">
        <v>251</v>
      </c>
      <c r="M19" s="123">
        <v>0</v>
      </c>
      <c r="N19" s="136"/>
      <c r="O19" s="136">
        <v>0</v>
      </c>
      <c r="P19" s="136">
        <v>0</v>
      </c>
    </row>
    <row r="20" spans="1:16" s="118" customFormat="1" x14ac:dyDescent="0.25">
      <c r="A20" s="93" t="s">
        <v>1836</v>
      </c>
      <c r="B20" s="136" t="s">
        <v>251</v>
      </c>
      <c r="C20" s="136" t="s">
        <v>251</v>
      </c>
      <c r="D20" s="135" t="s">
        <v>251</v>
      </c>
      <c r="E20" s="135" t="s">
        <v>251</v>
      </c>
      <c r="F20" s="135" t="s">
        <v>251</v>
      </c>
      <c r="G20" s="135" t="s">
        <v>251</v>
      </c>
      <c r="H20" s="135" t="s">
        <v>251</v>
      </c>
      <c r="I20" s="136" t="s">
        <v>251</v>
      </c>
      <c r="J20" s="136" t="s">
        <v>251</v>
      </c>
      <c r="K20" s="134" t="s">
        <v>251</v>
      </c>
      <c r="L20" s="121" t="s">
        <v>251</v>
      </c>
      <c r="M20" s="123">
        <v>0</v>
      </c>
      <c r="N20" s="136"/>
      <c r="O20" s="136">
        <v>0</v>
      </c>
      <c r="P20" s="136">
        <v>0</v>
      </c>
    </row>
    <row r="21" spans="1:16" s="118" customFormat="1" x14ac:dyDescent="0.25">
      <c r="A21" s="93" t="s">
        <v>1837</v>
      </c>
      <c r="B21" s="136" t="s">
        <v>251</v>
      </c>
      <c r="C21" s="136" t="s">
        <v>251</v>
      </c>
      <c r="D21" s="135" t="s">
        <v>251</v>
      </c>
      <c r="E21" s="135" t="s">
        <v>251</v>
      </c>
      <c r="F21" s="135" t="s">
        <v>251</v>
      </c>
      <c r="G21" s="135" t="s">
        <v>251</v>
      </c>
      <c r="H21" s="135" t="s">
        <v>251</v>
      </c>
      <c r="I21" s="136" t="s">
        <v>251</v>
      </c>
      <c r="J21" s="136" t="s">
        <v>251</v>
      </c>
      <c r="K21" s="134" t="s">
        <v>251</v>
      </c>
      <c r="L21" s="121" t="s">
        <v>251</v>
      </c>
      <c r="M21" s="123">
        <v>0</v>
      </c>
      <c r="N21" s="136"/>
      <c r="O21" s="136">
        <v>0</v>
      </c>
      <c r="P21" s="136">
        <v>0</v>
      </c>
    </row>
    <row r="22" spans="1:16" s="118" customFormat="1" x14ac:dyDescent="0.25">
      <c r="A22" s="93" t="s">
        <v>1838</v>
      </c>
      <c r="B22" s="136" t="s">
        <v>251</v>
      </c>
      <c r="C22" s="136" t="s">
        <v>251</v>
      </c>
      <c r="D22" s="135" t="s">
        <v>251</v>
      </c>
      <c r="E22" s="135" t="s">
        <v>251</v>
      </c>
      <c r="F22" s="135" t="s">
        <v>251</v>
      </c>
      <c r="G22" s="135" t="s">
        <v>251</v>
      </c>
      <c r="H22" s="135" t="s">
        <v>251</v>
      </c>
      <c r="I22" s="136" t="s">
        <v>251</v>
      </c>
      <c r="J22" s="136" t="s">
        <v>251</v>
      </c>
      <c r="K22" s="134" t="s">
        <v>251</v>
      </c>
      <c r="L22" s="121" t="s">
        <v>251</v>
      </c>
      <c r="M22" s="123">
        <v>0</v>
      </c>
      <c r="N22" s="136"/>
      <c r="O22" s="136">
        <v>0</v>
      </c>
      <c r="P22" s="136">
        <v>0</v>
      </c>
    </row>
    <row r="23" spans="1:16" s="118" customFormat="1" x14ac:dyDescent="0.25">
      <c r="A23" s="93" t="s">
        <v>1839</v>
      </c>
      <c r="B23" s="136" t="s">
        <v>251</v>
      </c>
      <c r="C23" s="136" t="s">
        <v>251</v>
      </c>
      <c r="D23" s="135" t="s">
        <v>251</v>
      </c>
      <c r="E23" s="135" t="s">
        <v>251</v>
      </c>
      <c r="F23" s="135" t="s">
        <v>251</v>
      </c>
      <c r="G23" s="135" t="s">
        <v>251</v>
      </c>
      <c r="H23" s="135" t="s">
        <v>251</v>
      </c>
      <c r="I23" s="136" t="s">
        <v>251</v>
      </c>
      <c r="J23" s="136" t="s">
        <v>251</v>
      </c>
      <c r="K23" s="134" t="s">
        <v>251</v>
      </c>
      <c r="L23" s="121" t="s">
        <v>251</v>
      </c>
      <c r="M23" s="123">
        <v>0</v>
      </c>
      <c r="N23" s="136"/>
      <c r="O23" s="136">
        <v>0</v>
      </c>
      <c r="P23" s="136">
        <v>0</v>
      </c>
    </row>
    <row r="24" spans="1:16" s="118" customFormat="1" x14ac:dyDescent="0.25">
      <c r="A24" s="93" t="s">
        <v>1840</v>
      </c>
      <c r="B24" s="136" t="s">
        <v>251</v>
      </c>
      <c r="C24" s="136" t="s">
        <v>251</v>
      </c>
      <c r="D24" s="135" t="s">
        <v>251</v>
      </c>
      <c r="E24" s="135" t="s">
        <v>251</v>
      </c>
      <c r="F24" s="135" t="s">
        <v>251</v>
      </c>
      <c r="G24" s="135" t="s">
        <v>251</v>
      </c>
      <c r="H24" s="135" t="s">
        <v>251</v>
      </c>
      <c r="I24" s="136" t="s">
        <v>251</v>
      </c>
      <c r="J24" s="136" t="s">
        <v>251</v>
      </c>
      <c r="K24" s="134" t="s">
        <v>251</v>
      </c>
      <c r="L24" s="121" t="s">
        <v>251</v>
      </c>
      <c r="M24" s="123">
        <v>0</v>
      </c>
      <c r="N24" s="136"/>
      <c r="O24" s="136">
        <v>0</v>
      </c>
      <c r="P24" s="136">
        <v>0</v>
      </c>
    </row>
    <row r="25" spans="1:16" s="118" customFormat="1" x14ac:dyDescent="0.25">
      <c r="A25" s="93" t="s">
        <v>1841</v>
      </c>
      <c r="B25" s="136" t="s">
        <v>251</v>
      </c>
      <c r="C25" s="136" t="s">
        <v>251</v>
      </c>
      <c r="D25" s="135" t="s">
        <v>251</v>
      </c>
      <c r="E25" s="135" t="s">
        <v>251</v>
      </c>
      <c r="F25" s="135" t="s">
        <v>251</v>
      </c>
      <c r="G25" s="135" t="s">
        <v>251</v>
      </c>
      <c r="H25" s="135" t="s">
        <v>251</v>
      </c>
      <c r="I25" s="136" t="s">
        <v>251</v>
      </c>
      <c r="J25" s="136" t="s">
        <v>251</v>
      </c>
      <c r="K25" s="134" t="s">
        <v>251</v>
      </c>
      <c r="L25" s="121" t="s">
        <v>251</v>
      </c>
      <c r="M25" s="123">
        <v>0</v>
      </c>
      <c r="N25" s="136"/>
      <c r="O25" s="136">
        <v>0</v>
      </c>
      <c r="P25" s="136">
        <v>0</v>
      </c>
    </row>
    <row r="26" spans="1:16" s="118" customFormat="1" x14ac:dyDescent="0.25">
      <c r="A26" s="93" t="s">
        <v>1842</v>
      </c>
      <c r="B26" s="136" t="s">
        <v>251</v>
      </c>
      <c r="C26" s="136" t="s">
        <v>251</v>
      </c>
      <c r="D26" s="135" t="s">
        <v>251</v>
      </c>
      <c r="E26" s="135" t="s">
        <v>251</v>
      </c>
      <c r="F26" s="135" t="s">
        <v>251</v>
      </c>
      <c r="G26" s="135" t="s">
        <v>251</v>
      </c>
      <c r="H26" s="135" t="s">
        <v>251</v>
      </c>
      <c r="I26" s="136" t="s">
        <v>251</v>
      </c>
      <c r="J26" s="136" t="s">
        <v>251</v>
      </c>
      <c r="K26" s="134" t="s">
        <v>251</v>
      </c>
      <c r="L26" s="121" t="s">
        <v>251</v>
      </c>
      <c r="M26" s="123">
        <v>0</v>
      </c>
      <c r="N26" s="136"/>
      <c r="O26" s="136">
        <v>0</v>
      </c>
      <c r="P26" s="136">
        <v>0</v>
      </c>
    </row>
    <row r="27" spans="1:16" s="118" customFormat="1" x14ac:dyDescent="0.25">
      <c r="A27" s="79" t="s">
        <v>242</v>
      </c>
      <c r="B27" s="124"/>
      <c r="C27" s="79"/>
      <c r="D27" s="125"/>
      <c r="E27" s="125"/>
      <c r="F27" s="125"/>
      <c r="G27" s="126"/>
      <c r="H27" s="127"/>
      <c r="I27" s="128"/>
      <c r="J27" s="128"/>
      <c r="K27" s="128"/>
      <c r="L27" s="127"/>
      <c r="M27" s="127"/>
      <c r="N27" s="137"/>
      <c r="O27" s="137"/>
      <c r="P27" s="137"/>
    </row>
    <row r="28" spans="1:16" s="118" customFormat="1" x14ac:dyDescent="0.25">
      <c r="A28" s="79" t="s">
        <v>243</v>
      </c>
      <c r="B28" s="124"/>
      <c r="C28" s="79"/>
      <c r="D28" s="125"/>
      <c r="E28" s="125"/>
      <c r="F28" s="125"/>
      <c r="G28" s="126"/>
      <c r="H28" s="127"/>
      <c r="I28" s="128"/>
      <c r="J28" s="128"/>
      <c r="K28" s="128"/>
      <c r="L28" s="127"/>
      <c r="M28" s="127"/>
      <c r="N28" s="137"/>
      <c r="O28" s="137"/>
      <c r="P28" s="137"/>
    </row>
    <row r="29" spans="1:16" s="118" customFormat="1" x14ac:dyDescent="0.25">
      <c r="A29" s="79" t="s">
        <v>244</v>
      </c>
      <c r="B29" s="124"/>
      <c r="C29" s="79"/>
      <c r="D29" s="125"/>
      <c r="E29" s="125"/>
      <c r="F29" s="125"/>
      <c r="G29" s="126"/>
      <c r="H29" s="127"/>
      <c r="I29" s="128"/>
      <c r="J29" s="128"/>
      <c r="K29" s="128"/>
      <c r="L29" s="127"/>
      <c r="M29" s="127"/>
      <c r="N29" s="137"/>
      <c r="O29" s="137"/>
      <c r="P29" s="137"/>
    </row>
    <row r="30" spans="1:16" s="118" customFormat="1" x14ac:dyDescent="0.25">
      <c r="A30" s="79" t="s">
        <v>245</v>
      </c>
      <c r="B30" s="124"/>
      <c r="C30" s="79"/>
      <c r="D30" s="125"/>
      <c r="E30" s="125"/>
      <c r="F30" s="125"/>
      <c r="G30" s="126"/>
      <c r="H30" s="127"/>
      <c r="I30" s="128"/>
      <c r="J30" s="128"/>
      <c r="K30" s="128"/>
      <c r="L30" s="127"/>
      <c r="M30" s="127"/>
      <c r="N30" s="137"/>
      <c r="O30" s="137"/>
      <c r="P30" s="137"/>
    </row>
    <row r="31" spans="1:16" s="118" customFormat="1" x14ac:dyDescent="0.25">
      <c r="A31" s="79" t="s">
        <v>246</v>
      </c>
      <c r="B31" s="124"/>
      <c r="C31" s="79"/>
      <c r="D31" s="125"/>
      <c r="E31" s="125"/>
      <c r="F31" s="125"/>
      <c r="G31" s="126"/>
      <c r="H31" s="127"/>
      <c r="I31" s="128"/>
      <c r="J31" s="128"/>
      <c r="K31" s="128"/>
      <c r="L31" s="127"/>
      <c r="M31" s="127"/>
      <c r="N31" s="137"/>
      <c r="O31" s="137"/>
      <c r="P31" s="137"/>
    </row>
  </sheetData>
  <mergeCells count="2">
    <mergeCell ref="A6:P6"/>
    <mergeCell ref="A5:P5"/>
  </mergeCells>
  <phoneticPr fontId="3" type="noConversion"/>
  <conditionalFormatting sqref="A11:A26 M11:M26">
    <cfRule type="expression" dxfId="44" priority="365" stopIfTrue="1">
      <formula>#REF!&gt;0</formula>
    </cfRule>
  </conditionalFormatting>
  <conditionalFormatting sqref="B11:F26 H11:H26 O11:P26">
    <cfRule type="expression" dxfId="43" priority="36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T365"/>
  <sheetViews>
    <sheetView rightToLeft="1" topLeftCell="A3" zoomScale="80" zoomScaleNormal="80" workbookViewId="0">
      <selection activeCell="V37" sqref="V37"/>
    </sheetView>
  </sheetViews>
  <sheetFormatPr defaultColWidth="9.109375" defaultRowHeight="13.2" x14ac:dyDescent="0.25"/>
  <cols>
    <col min="1" max="1" width="46.6640625" style="10" bestFit="1" customWidth="1"/>
    <col min="2" max="2" width="13.5546875" style="10" bestFit="1" customWidth="1"/>
    <col min="3" max="3" width="11.109375" style="9" customWidth="1"/>
    <col min="4" max="4" width="13.33203125" style="9" customWidth="1"/>
    <col min="5" max="5" width="7.5546875" style="9" customWidth="1"/>
    <col min="6" max="6" width="14.109375" style="60" customWidth="1"/>
    <col min="7" max="7" width="11.109375" style="60" customWidth="1"/>
    <col min="8" max="8" width="7.88671875" style="60" customWidth="1"/>
    <col min="9" max="9" width="16.5546875" style="60" bestFit="1" customWidth="1"/>
    <col min="10" max="10" width="12" style="60" bestFit="1" customWidth="1"/>
    <col min="11" max="11" width="18.33203125" style="37" customWidth="1"/>
    <col min="12" max="12" width="14.109375" style="62" customWidth="1"/>
    <col min="13" max="13" width="13" style="64" bestFit="1" customWidth="1"/>
    <col min="14" max="14" width="9.33203125" style="64" bestFit="1" customWidth="1"/>
    <col min="15" max="15" width="10.44140625" style="64" customWidth="1"/>
    <col min="16" max="16" width="25.44140625" style="64" customWidth="1"/>
    <col min="17" max="17" width="20.6640625" style="62" customWidth="1"/>
    <col min="18" max="18" width="10.5546875" style="13" customWidth="1"/>
    <col min="19" max="19" width="11.44140625" style="15" customWidth="1"/>
    <col min="20" max="20" width="15.44140625" style="15" customWidth="1"/>
    <col min="21" max="16384" width="9.109375" style="15"/>
  </cols>
  <sheetData>
    <row r="1" spans="1:20" s="7" customFormat="1" x14ac:dyDescent="0.25">
      <c r="A1" s="7" t="s">
        <v>237</v>
      </c>
      <c r="B1" s="8" t="s">
        <v>247</v>
      </c>
      <c r="C1" s="9"/>
      <c r="D1" s="9"/>
      <c r="E1" s="44"/>
      <c r="F1" s="60"/>
      <c r="G1" s="60"/>
      <c r="H1" s="60"/>
      <c r="I1" s="60"/>
      <c r="J1" s="60"/>
      <c r="K1" s="37"/>
      <c r="L1" s="62"/>
      <c r="M1" s="63"/>
      <c r="N1" s="63"/>
      <c r="O1" s="63"/>
      <c r="P1" s="63"/>
      <c r="Q1" s="62"/>
      <c r="R1" s="13"/>
      <c r="S1" s="15"/>
    </row>
    <row r="2" spans="1:20" s="7" customFormat="1" x14ac:dyDescent="0.25">
      <c r="A2" s="10" t="s">
        <v>238</v>
      </c>
      <c r="B2" s="10" t="s">
        <v>150</v>
      </c>
      <c r="C2" s="9"/>
      <c r="D2" s="9"/>
      <c r="E2" s="44"/>
      <c r="F2" s="60"/>
      <c r="G2" s="60"/>
      <c r="H2" s="60"/>
      <c r="I2" s="60"/>
      <c r="J2" s="60"/>
      <c r="K2" s="37"/>
      <c r="L2" s="62"/>
      <c r="M2" s="63"/>
      <c r="N2" s="63"/>
      <c r="O2" s="63"/>
      <c r="P2" s="63"/>
      <c r="Q2" s="62"/>
      <c r="R2" s="13"/>
      <c r="S2" s="15"/>
    </row>
    <row r="3" spans="1:20" s="7" customFormat="1" x14ac:dyDescent="0.25">
      <c r="A3" s="10" t="s">
        <v>239</v>
      </c>
      <c r="B3" s="9" t="s">
        <v>240</v>
      </c>
      <c r="C3" s="9"/>
      <c r="D3" s="9"/>
      <c r="E3" s="44"/>
      <c r="F3" s="60"/>
      <c r="G3" s="60"/>
      <c r="H3" s="60"/>
      <c r="I3" s="60"/>
      <c r="J3" s="60"/>
      <c r="K3" s="37"/>
      <c r="L3" s="62"/>
      <c r="M3" s="63"/>
      <c r="N3" s="63"/>
      <c r="O3" s="63"/>
      <c r="P3" s="63"/>
      <c r="Q3" s="62"/>
      <c r="R3" s="13"/>
      <c r="S3" s="15"/>
    </row>
    <row r="4" spans="1:20" s="7" customFormat="1" ht="13.8" thickBot="1" x14ac:dyDescent="0.3">
      <c r="A4" s="10" t="s">
        <v>241</v>
      </c>
      <c r="B4" s="9" t="s">
        <v>249</v>
      </c>
      <c r="C4" s="9"/>
      <c r="D4" s="9"/>
      <c r="E4" s="44"/>
      <c r="F4" s="60"/>
      <c r="G4" s="60"/>
      <c r="H4" s="60"/>
      <c r="I4" s="60"/>
      <c r="J4" s="60"/>
      <c r="K4" s="37"/>
      <c r="L4" s="62"/>
      <c r="M4" s="63"/>
      <c r="N4" s="63"/>
      <c r="O4" s="63"/>
      <c r="P4" s="63"/>
      <c r="Q4" s="62"/>
      <c r="R4" s="13"/>
      <c r="S4" s="15"/>
    </row>
    <row r="5" spans="1:20" s="7" customFormat="1" x14ac:dyDescent="0.25">
      <c r="A5" s="220" t="s">
        <v>35</v>
      </c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2"/>
      <c r="R5" s="13"/>
      <c r="S5" s="13"/>
      <c r="T5" s="13"/>
    </row>
    <row r="6" spans="1:20" s="7" customFormat="1" ht="33.75" customHeight="1" x14ac:dyDescent="0.25">
      <c r="A6" s="87" t="s">
        <v>157</v>
      </c>
      <c r="B6" s="203" t="s">
        <v>80</v>
      </c>
      <c r="C6" s="203" t="s">
        <v>69</v>
      </c>
      <c r="D6" s="203" t="s">
        <v>74</v>
      </c>
      <c r="E6" s="203" t="s">
        <v>70</v>
      </c>
      <c r="F6" s="203" t="s">
        <v>13</v>
      </c>
      <c r="G6" s="203" t="s">
        <v>5</v>
      </c>
      <c r="H6" s="203" t="s">
        <v>14</v>
      </c>
      <c r="I6" s="203" t="s">
        <v>160</v>
      </c>
      <c r="J6" s="203" t="s">
        <v>6</v>
      </c>
      <c r="K6" s="204" t="s">
        <v>36</v>
      </c>
      <c r="L6" s="204" t="s">
        <v>71</v>
      </c>
      <c r="M6" s="204" t="s">
        <v>67</v>
      </c>
      <c r="N6" s="204" t="s">
        <v>68</v>
      </c>
      <c r="O6" s="204" t="s">
        <v>29</v>
      </c>
      <c r="P6" s="90" t="s">
        <v>75</v>
      </c>
      <c r="Q6" s="91" t="s">
        <v>8</v>
      </c>
    </row>
    <row r="7" spans="1:20" s="7" customFormat="1" x14ac:dyDescent="0.25">
      <c r="A7" s="27"/>
      <c r="B7" s="3"/>
      <c r="C7" s="3"/>
      <c r="D7" s="3"/>
      <c r="E7" s="3"/>
      <c r="F7" s="28" t="s">
        <v>40</v>
      </c>
      <c r="G7" s="28"/>
      <c r="H7" s="29" t="s">
        <v>16</v>
      </c>
      <c r="I7" s="29"/>
      <c r="J7" s="30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1" t="s">
        <v>9</v>
      </c>
      <c r="Q7" s="6" t="s">
        <v>9</v>
      </c>
    </row>
    <row r="8" spans="1:20" s="16" customFormat="1" ht="12.75" customHeight="1" x14ac:dyDescent="0.25">
      <c r="A8" s="21"/>
      <c r="B8" s="22">
        <v>1</v>
      </c>
      <c r="C8" s="22">
        <v>2</v>
      </c>
      <c r="D8" s="22">
        <v>3</v>
      </c>
      <c r="E8" s="22">
        <v>4</v>
      </c>
      <c r="F8" s="22">
        <v>5</v>
      </c>
      <c r="G8" s="22">
        <v>6</v>
      </c>
      <c r="H8" s="22">
        <v>7</v>
      </c>
      <c r="I8" s="22">
        <v>8</v>
      </c>
      <c r="J8" s="22">
        <v>9</v>
      </c>
      <c r="K8" s="22">
        <v>10</v>
      </c>
      <c r="L8" s="22">
        <v>11</v>
      </c>
      <c r="M8" s="22">
        <v>12</v>
      </c>
      <c r="N8" s="22">
        <v>13</v>
      </c>
      <c r="O8" s="22">
        <v>14</v>
      </c>
      <c r="P8" s="57">
        <v>15</v>
      </c>
      <c r="Q8" s="36">
        <v>16</v>
      </c>
    </row>
    <row r="9" spans="1:20" s="118" customFormat="1" ht="12.75" customHeight="1" thickBot="1" x14ac:dyDescent="0.3">
      <c r="A9" s="100" t="s">
        <v>121</v>
      </c>
      <c r="B9" s="68" t="s">
        <v>251</v>
      </c>
      <c r="C9" s="68" t="s">
        <v>251</v>
      </c>
      <c r="D9" s="68"/>
      <c r="E9" s="101" t="s">
        <v>251</v>
      </c>
      <c r="F9" s="101"/>
      <c r="G9" s="101" t="s">
        <v>251</v>
      </c>
      <c r="H9" s="102" t="s">
        <v>251</v>
      </c>
      <c r="I9" s="102"/>
      <c r="J9" s="101" t="s">
        <v>251</v>
      </c>
      <c r="K9" s="68" t="s">
        <v>251</v>
      </c>
      <c r="L9" s="68" t="s">
        <v>251</v>
      </c>
      <c r="M9" s="110" t="s">
        <v>251</v>
      </c>
      <c r="N9" s="101" t="s">
        <v>251</v>
      </c>
      <c r="O9" s="103">
        <v>56151.507172718753</v>
      </c>
      <c r="P9" s="68">
        <v>1</v>
      </c>
      <c r="Q9" s="82">
        <v>9.7476609787015403E-2</v>
      </c>
    </row>
    <row r="10" spans="1:20" s="118" customFormat="1" x14ac:dyDescent="0.25">
      <c r="A10" s="92" t="s">
        <v>137</v>
      </c>
      <c r="B10" s="130" t="s">
        <v>251</v>
      </c>
      <c r="C10" s="130" t="s">
        <v>251</v>
      </c>
      <c r="D10" s="130"/>
      <c r="E10" s="130" t="s">
        <v>251</v>
      </c>
      <c r="F10" s="130" t="s">
        <v>251</v>
      </c>
      <c r="G10" s="130" t="s">
        <v>251</v>
      </c>
      <c r="H10" s="131" t="s">
        <v>251</v>
      </c>
      <c r="I10" s="130" t="s">
        <v>251</v>
      </c>
      <c r="J10" s="131" t="s">
        <v>251</v>
      </c>
      <c r="K10" s="130" t="s">
        <v>251</v>
      </c>
      <c r="L10" s="130" t="s">
        <v>251</v>
      </c>
      <c r="M10" s="159" t="s">
        <v>251</v>
      </c>
      <c r="N10" s="121" t="s">
        <v>251</v>
      </c>
      <c r="O10" s="122">
        <v>56052.37157806367</v>
      </c>
      <c r="P10" s="120">
        <v>0.99823449806342412</v>
      </c>
      <c r="Q10" s="120">
        <v>9.7304514643665588E-2</v>
      </c>
    </row>
    <row r="11" spans="1:20" s="118" customFormat="1" x14ac:dyDescent="0.25">
      <c r="A11" s="93" t="s">
        <v>2227</v>
      </c>
      <c r="B11" s="130" t="s">
        <v>251</v>
      </c>
      <c r="C11" s="130" t="s">
        <v>251</v>
      </c>
      <c r="D11" s="130"/>
      <c r="E11" s="130" t="s">
        <v>251</v>
      </c>
      <c r="F11" s="130" t="s">
        <v>251</v>
      </c>
      <c r="G11" s="130" t="s">
        <v>251</v>
      </c>
      <c r="H11" s="131" t="s">
        <v>251</v>
      </c>
      <c r="I11" s="130" t="s">
        <v>251</v>
      </c>
      <c r="J11" s="131" t="s">
        <v>251</v>
      </c>
      <c r="K11" s="130" t="s">
        <v>251</v>
      </c>
      <c r="L11" s="130" t="s">
        <v>251</v>
      </c>
      <c r="M11" s="160" t="s">
        <v>251</v>
      </c>
      <c r="N11" s="135" t="s">
        <v>251</v>
      </c>
      <c r="O11" s="123">
        <v>10245.846460100001</v>
      </c>
      <c r="P11" s="136">
        <v>0.18246787977719592</v>
      </c>
      <c r="Q11" s="136">
        <v>1.778635031570577E-2</v>
      </c>
    </row>
    <row r="12" spans="1:20" s="118" customFormat="1" x14ac:dyDescent="0.25">
      <c r="A12" s="175" t="s">
        <v>2910</v>
      </c>
      <c r="B12" s="130" t="s">
        <v>2915</v>
      </c>
      <c r="C12" s="174">
        <v>58905</v>
      </c>
      <c r="D12" s="174"/>
      <c r="E12" s="116" t="s">
        <v>499</v>
      </c>
      <c r="F12" s="130"/>
      <c r="G12" s="130" t="s">
        <v>499</v>
      </c>
      <c r="H12" s="117">
        <v>5</v>
      </c>
      <c r="I12" s="116" t="s">
        <v>218</v>
      </c>
      <c r="J12" s="117" t="s">
        <v>257</v>
      </c>
      <c r="K12" s="116">
        <v>5.7500000000000002E-2</v>
      </c>
      <c r="L12" s="116">
        <v>5.7500000000000002E-2</v>
      </c>
      <c r="M12" s="160"/>
      <c r="N12" s="135"/>
      <c r="O12" s="85">
        <v>1008.70008</v>
      </c>
      <c r="P12" s="25">
        <v>1.7963900361521862E-2</v>
      </c>
      <c r="Q12" s="25">
        <v>1.7510601057928916E-3</v>
      </c>
    </row>
    <row r="13" spans="1:20" x14ac:dyDescent="0.25">
      <c r="A13" s="17" t="s">
        <v>2911</v>
      </c>
      <c r="B13" s="116" t="s">
        <v>2915</v>
      </c>
      <c r="C13" s="116" t="s">
        <v>2228</v>
      </c>
      <c r="D13" s="116"/>
      <c r="E13" s="116" t="s">
        <v>499</v>
      </c>
      <c r="F13" s="116" t="s">
        <v>251</v>
      </c>
      <c r="G13" s="116" t="s">
        <v>499</v>
      </c>
      <c r="H13" s="117">
        <v>2.64</v>
      </c>
      <c r="I13" s="116" t="s">
        <v>218</v>
      </c>
      <c r="J13" s="117" t="s">
        <v>257</v>
      </c>
      <c r="K13" s="116">
        <v>5.8500000000000003E-2</v>
      </c>
      <c r="L13" s="116">
        <v>5.8500000000000003E-2</v>
      </c>
      <c r="M13" s="111">
        <v>9038417.8699999992</v>
      </c>
      <c r="N13" s="61">
        <v>113.3588</v>
      </c>
      <c r="O13" s="85">
        <f>O11-O12</f>
        <v>9237.1463801000009</v>
      </c>
      <c r="P13" s="25">
        <v>0.16450397941567405</v>
      </c>
      <c r="Q13" s="25">
        <v>1.6035290209912879E-2</v>
      </c>
      <c r="R13" s="15"/>
    </row>
    <row r="14" spans="1:20" s="118" customFormat="1" x14ac:dyDescent="0.25">
      <c r="A14" s="93" t="s">
        <v>2229</v>
      </c>
      <c r="B14" s="130" t="s">
        <v>251</v>
      </c>
      <c r="C14" s="130" t="s">
        <v>251</v>
      </c>
      <c r="D14" s="130"/>
      <c r="E14" s="130" t="s">
        <v>251</v>
      </c>
      <c r="F14" s="130" t="s">
        <v>251</v>
      </c>
      <c r="G14" s="130" t="s">
        <v>251</v>
      </c>
      <c r="H14" s="131" t="s">
        <v>251</v>
      </c>
      <c r="I14" s="130" t="s">
        <v>251</v>
      </c>
      <c r="J14" s="131" t="s">
        <v>251</v>
      </c>
      <c r="K14" s="130" t="s">
        <v>251</v>
      </c>
      <c r="L14" s="130" t="s">
        <v>251</v>
      </c>
      <c r="M14" s="160" t="s">
        <v>251</v>
      </c>
      <c r="N14" s="135" t="s">
        <v>251</v>
      </c>
      <c r="O14" s="123">
        <v>3707.6702842252625</v>
      </c>
      <c r="P14" s="136">
        <v>6.6029755404795915E-2</v>
      </c>
      <c r="Q14" s="136">
        <v>6.4363567019253623E-3</v>
      </c>
    </row>
    <row r="15" spans="1:20" x14ac:dyDescent="0.25">
      <c r="A15" s="17" t="s">
        <v>2912</v>
      </c>
      <c r="B15" s="116" t="s">
        <v>2915</v>
      </c>
      <c r="C15" s="116" t="s">
        <v>2230</v>
      </c>
      <c r="D15" s="116"/>
      <c r="E15" s="116" t="s">
        <v>499</v>
      </c>
      <c r="F15" s="116" t="s">
        <v>2231</v>
      </c>
      <c r="G15" s="116" t="s">
        <v>499</v>
      </c>
      <c r="H15" s="117">
        <v>5.86</v>
      </c>
      <c r="I15" s="116" t="s">
        <v>218</v>
      </c>
      <c r="J15" s="117" t="s">
        <v>257</v>
      </c>
      <c r="K15" s="116">
        <v>5.2999999999999999E-2</v>
      </c>
      <c r="L15" s="116">
        <v>5.7800000000000004E-2</v>
      </c>
      <c r="M15" s="111">
        <v>1859.6406371976245</v>
      </c>
      <c r="N15" s="61">
        <v>98.46</v>
      </c>
      <c r="O15" s="85">
        <v>1.8310021711105631</v>
      </c>
      <c r="P15" s="25">
        <v>3.260824621284888E-5</v>
      </c>
      <c r="Q15" s="25">
        <v>3.1785412919287933E-6</v>
      </c>
      <c r="R15" s="15"/>
    </row>
    <row r="16" spans="1:20" x14ac:dyDescent="0.25">
      <c r="A16" s="17" t="s">
        <v>2912</v>
      </c>
      <c r="B16" s="116" t="s">
        <v>2915</v>
      </c>
      <c r="C16" s="116" t="s">
        <v>2232</v>
      </c>
      <c r="D16" s="116"/>
      <c r="E16" s="116" t="s">
        <v>499</v>
      </c>
      <c r="F16" s="116" t="s">
        <v>2231</v>
      </c>
      <c r="G16" s="116" t="s">
        <v>499</v>
      </c>
      <c r="H16" s="117">
        <v>7.16</v>
      </c>
      <c r="I16" s="116" t="s">
        <v>218</v>
      </c>
      <c r="J16" s="117" t="s">
        <v>257</v>
      </c>
      <c r="K16" s="116">
        <v>0.05</v>
      </c>
      <c r="L16" s="116">
        <v>5.5500000000000001E-2</v>
      </c>
      <c r="M16" s="111">
        <v>1454.4693646272115</v>
      </c>
      <c r="N16" s="61">
        <v>112.48</v>
      </c>
      <c r="O16" s="85">
        <v>1.6359871412201235</v>
      </c>
      <c r="P16" s="25">
        <v>2.9135231155735901E-5</v>
      </c>
      <c r="Q16" s="25">
        <v>2.8400035584221624E-6</v>
      </c>
      <c r="R16" s="15"/>
    </row>
    <row r="17" spans="1:18" x14ac:dyDescent="0.25">
      <c r="A17" s="17" t="s">
        <v>2912</v>
      </c>
      <c r="B17" s="116" t="s">
        <v>2915</v>
      </c>
      <c r="C17" s="116" t="s">
        <v>2233</v>
      </c>
      <c r="D17" s="116"/>
      <c r="E17" s="116" t="s">
        <v>499</v>
      </c>
      <c r="F17" s="116" t="s">
        <v>2231</v>
      </c>
      <c r="G17" s="116" t="s">
        <v>499</v>
      </c>
      <c r="H17" s="117">
        <v>6.58</v>
      </c>
      <c r="I17" s="116" t="s">
        <v>218</v>
      </c>
      <c r="J17" s="117" t="s">
        <v>257</v>
      </c>
      <c r="K17" s="116">
        <v>3.5000000000000003E-2</v>
      </c>
      <c r="L17" s="116">
        <v>7.1300000000000002E-2</v>
      </c>
      <c r="M17" s="111">
        <v>686.50454652023814</v>
      </c>
      <c r="N17" s="61">
        <v>98.06</v>
      </c>
      <c r="O17" s="85">
        <v>0.67318635733969057</v>
      </c>
      <c r="P17" s="25">
        <v>1.1988749567647554E-5</v>
      </c>
      <c r="Q17" s="25">
        <v>1.1686226634398304E-6</v>
      </c>
      <c r="R17" s="15"/>
    </row>
    <row r="18" spans="1:18" x14ac:dyDescent="0.25">
      <c r="A18" s="17" t="s">
        <v>2912</v>
      </c>
      <c r="B18" s="116" t="s">
        <v>2915</v>
      </c>
      <c r="C18" s="116" t="s">
        <v>2234</v>
      </c>
      <c r="D18" s="116"/>
      <c r="E18" s="116" t="s">
        <v>499</v>
      </c>
      <c r="F18" s="116" t="s">
        <v>2231</v>
      </c>
      <c r="G18" s="116" t="s">
        <v>499</v>
      </c>
      <c r="H18" s="117">
        <v>7.01</v>
      </c>
      <c r="I18" s="116" t="s">
        <v>218</v>
      </c>
      <c r="J18" s="117" t="s">
        <v>257</v>
      </c>
      <c r="K18" s="116">
        <v>8.6979999542236328E-2</v>
      </c>
      <c r="L18" s="116">
        <v>7.0599999999999996E-2</v>
      </c>
      <c r="M18" s="111">
        <v>3636.3482404690681</v>
      </c>
      <c r="N18" s="61">
        <v>106.38</v>
      </c>
      <c r="O18" s="85">
        <v>3.8683472568155151</v>
      </c>
      <c r="P18" s="25">
        <v>6.889124533944753E-5</v>
      </c>
      <c r="Q18" s="25">
        <v>6.7152850396948698E-6</v>
      </c>
      <c r="R18" s="15"/>
    </row>
    <row r="19" spans="1:18" x14ac:dyDescent="0.25">
      <c r="A19" s="17" t="s">
        <v>2912</v>
      </c>
      <c r="B19" s="116" t="s">
        <v>2915</v>
      </c>
      <c r="C19" s="116" t="s">
        <v>2235</v>
      </c>
      <c r="D19" s="116"/>
      <c r="E19" s="116" t="s">
        <v>499</v>
      </c>
      <c r="F19" s="116" t="s">
        <v>2236</v>
      </c>
      <c r="G19" s="116" t="s">
        <v>499</v>
      </c>
      <c r="H19" s="117">
        <v>6.91</v>
      </c>
      <c r="I19" s="116" t="s">
        <v>218</v>
      </c>
      <c r="J19" s="117" t="s">
        <v>257</v>
      </c>
      <c r="K19" s="116">
        <v>4.87E-2</v>
      </c>
      <c r="L19" s="116">
        <v>5.9699999999999996E-2</v>
      </c>
      <c r="M19" s="111">
        <v>4161.3228501576277</v>
      </c>
      <c r="N19" s="61">
        <v>93.6</v>
      </c>
      <c r="O19" s="85">
        <v>3.8949981871847204</v>
      </c>
      <c r="P19" s="25">
        <v>6.9365870718375084E-5</v>
      </c>
      <c r="Q19" s="25">
        <v>6.7615499125516058E-6</v>
      </c>
      <c r="R19" s="15"/>
    </row>
    <row r="20" spans="1:18" x14ac:dyDescent="0.25">
      <c r="A20" s="17" t="s">
        <v>2912</v>
      </c>
      <c r="B20" s="116" t="s">
        <v>2915</v>
      </c>
      <c r="C20" s="116" t="s">
        <v>2237</v>
      </c>
      <c r="D20" s="116"/>
      <c r="E20" s="116" t="s">
        <v>499</v>
      </c>
      <c r="F20" s="116" t="s">
        <v>2236</v>
      </c>
      <c r="G20" s="116" t="s">
        <v>499</v>
      </c>
      <c r="H20" s="117">
        <v>7.76</v>
      </c>
      <c r="I20" s="116" t="s">
        <v>218</v>
      </c>
      <c r="J20" s="117" t="s">
        <v>257</v>
      </c>
      <c r="K20" s="116">
        <v>4.9299999999999997E-2</v>
      </c>
      <c r="L20" s="116">
        <v>5.4600000000000003E-2</v>
      </c>
      <c r="M20" s="111">
        <v>3423.6763623802867</v>
      </c>
      <c r="N20" s="61">
        <v>113.65</v>
      </c>
      <c r="O20" s="85">
        <v>3.8910081854011938</v>
      </c>
      <c r="P20" s="25">
        <v>6.9294812932316845E-5</v>
      </c>
      <c r="Q20" s="25">
        <v>6.7546234404676782E-6</v>
      </c>
      <c r="R20" s="15"/>
    </row>
    <row r="21" spans="1:18" x14ac:dyDescent="0.25">
      <c r="A21" s="17" t="s">
        <v>2912</v>
      </c>
      <c r="B21" s="116" t="s">
        <v>2915</v>
      </c>
      <c r="C21" s="116" t="s">
        <v>2238</v>
      </c>
      <c r="D21" s="116"/>
      <c r="E21" s="116" t="s">
        <v>499</v>
      </c>
      <c r="F21" s="116" t="s">
        <v>2236</v>
      </c>
      <c r="G21" s="116" t="s">
        <v>499</v>
      </c>
      <c r="H21" s="117">
        <v>6.88</v>
      </c>
      <c r="I21" s="116" t="s">
        <v>218</v>
      </c>
      <c r="J21" s="117" t="s">
        <v>257</v>
      </c>
      <c r="K21" s="116">
        <v>3.7000000000000005E-2</v>
      </c>
      <c r="L21" s="116">
        <v>7.0199999999999999E-2</v>
      </c>
      <c r="M21" s="111">
        <v>151.60294086717141</v>
      </c>
      <c r="N21" s="61">
        <v>97.75</v>
      </c>
      <c r="O21" s="85">
        <v>0.14819187543636053</v>
      </c>
      <c r="P21" s="25">
        <v>2.6391433266524971E-6</v>
      </c>
      <c r="Q21" s="25">
        <v>2.5725474422411121E-7</v>
      </c>
      <c r="R21" s="15"/>
    </row>
    <row r="22" spans="1:18" x14ac:dyDescent="0.25">
      <c r="A22" s="17" t="s">
        <v>2912</v>
      </c>
      <c r="B22" s="116" t="s">
        <v>2915</v>
      </c>
      <c r="C22" s="116" t="s">
        <v>2239</v>
      </c>
      <c r="D22" s="116"/>
      <c r="E22" s="116" t="s">
        <v>499</v>
      </c>
      <c r="F22" s="116" t="s">
        <v>2236</v>
      </c>
      <c r="G22" s="116" t="s">
        <v>499</v>
      </c>
      <c r="H22" s="117">
        <v>7.34</v>
      </c>
      <c r="I22" s="116" t="s">
        <v>218</v>
      </c>
      <c r="J22" s="117" t="s">
        <v>257</v>
      </c>
      <c r="K22" s="116">
        <v>8.0199999809265135E-2</v>
      </c>
      <c r="L22" s="116">
        <v>7.2599999999999998E-2</v>
      </c>
      <c r="M22" s="111">
        <v>5521.3657647173804</v>
      </c>
      <c r="N22" s="61">
        <v>100.6</v>
      </c>
      <c r="O22" s="85">
        <v>5.5544939599279131</v>
      </c>
      <c r="P22" s="25">
        <v>9.8919766175511808E-5</v>
      </c>
      <c r="Q22" s="25">
        <v>9.642363447713169E-6</v>
      </c>
      <c r="R22" s="15"/>
    </row>
    <row r="23" spans="1:18" x14ac:dyDescent="0.25">
      <c r="A23" s="17" t="s">
        <v>2912</v>
      </c>
      <c r="B23" s="116" t="s">
        <v>2915</v>
      </c>
      <c r="C23" s="116" t="s">
        <v>2240</v>
      </c>
      <c r="D23" s="116"/>
      <c r="E23" s="116" t="s">
        <v>499</v>
      </c>
      <c r="F23" s="116" t="s">
        <v>2241</v>
      </c>
      <c r="G23" s="116" t="s">
        <v>499</v>
      </c>
      <c r="H23" s="117">
        <v>0</v>
      </c>
      <c r="I23" s="116" t="s">
        <v>218</v>
      </c>
      <c r="J23" s="117" t="s">
        <v>257</v>
      </c>
      <c r="K23" s="116">
        <v>9.0768001079559332E-2</v>
      </c>
      <c r="L23" s="116">
        <v>0</v>
      </c>
      <c r="M23" s="111">
        <v>-1.2321054567272128E-2</v>
      </c>
      <c r="N23" s="61">
        <v>8266.2800000000007</v>
      </c>
      <c r="O23" s="85">
        <v>-1.0186077365443365E-3</v>
      </c>
      <c r="P23" s="25">
        <v>-1.8140345430286646E-8</v>
      </c>
      <c r="Q23" s="25">
        <v>-1.7682593729097194E-9</v>
      </c>
      <c r="R23" s="15"/>
    </row>
    <row r="24" spans="1:18" x14ac:dyDescent="0.25">
      <c r="A24" s="17" t="s">
        <v>2912</v>
      </c>
      <c r="B24" s="116" t="s">
        <v>2915</v>
      </c>
      <c r="C24" s="116" t="s">
        <v>2242</v>
      </c>
      <c r="D24" s="116"/>
      <c r="E24" s="116" t="s">
        <v>499</v>
      </c>
      <c r="F24" s="116" t="s">
        <v>2241</v>
      </c>
      <c r="G24" s="116" t="s">
        <v>499</v>
      </c>
      <c r="H24" s="117">
        <v>0</v>
      </c>
      <c r="I24" s="116" t="s">
        <v>218</v>
      </c>
      <c r="J24" s="117" t="s">
        <v>257</v>
      </c>
      <c r="K24" s="116">
        <v>9.0768001079559332E-2</v>
      </c>
      <c r="L24" s="116">
        <v>0</v>
      </c>
      <c r="M24" s="111">
        <v>-1.2303857308010613E-2</v>
      </c>
      <c r="N24" s="61">
        <v>12277.2</v>
      </c>
      <c r="O24" s="85">
        <v>-1.5106650988580142E-3</v>
      </c>
      <c r="P24" s="25">
        <v>-2.6903375793837495E-8</v>
      </c>
      <c r="Q24" s="25">
        <v>-2.6224498642093335E-9</v>
      </c>
      <c r="R24" s="15"/>
    </row>
    <row r="25" spans="1:18" x14ac:dyDescent="0.25">
      <c r="A25" s="17" t="s">
        <v>2912</v>
      </c>
      <c r="B25" s="116" t="s">
        <v>2915</v>
      </c>
      <c r="C25" s="116" t="s">
        <v>2243</v>
      </c>
      <c r="D25" s="116"/>
      <c r="E25" s="116" t="s">
        <v>499</v>
      </c>
      <c r="F25" s="116" t="s">
        <v>2241</v>
      </c>
      <c r="G25" s="116" t="s">
        <v>499</v>
      </c>
      <c r="H25" s="117">
        <v>0</v>
      </c>
      <c r="I25" s="116" t="s">
        <v>218</v>
      </c>
      <c r="J25" s="117" t="s">
        <v>257</v>
      </c>
      <c r="K25" s="116">
        <v>9.0768001079559332E-2</v>
      </c>
      <c r="L25" s="116">
        <v>0</v>
      </c>
      <c r="M25" s="111">
        <v>-1.2347632149767194E-2</v>
      </c>
      <c r="N25" s="61">
        <v>10768.24</v>
      </c>
      <c r="O25" s="85">
        <v>-1.3297233538443899E-3</v>
      </c>
      <c r="P25" s="25">
        <v>-2.3680991317904226E-8</v>
      </c>
      <c r="Q25" s="25">
        <v>-2.3083427500650503E-9</v>
      </c>
      <c r="R25" s="15"/>
    </row>
    <row r="26" spans="1:18" x14ac:dyDescent="0.25">
      <c r="A26" s="17" t="s">
        <v>2912</v>
      </c>
      <c r="B26" s="116" t="s">
        <v>2915</v>
      </c>
      <c r="C26" s="116" t="s">
        <v>2244</v>
      </c>
      <c r="D26" s="116"/>
      <c r="E26" s="116" t="s">
        <v>499</v>
      </c>
      <c r="F26" s="116" t="s">
        <v>2245</v>
      </c>
      <c r="G26" s="116" t="s">
        <v>499</v>
      </c>
      <c r="H26" s="117">
        <v>7.49</v>
      </c>
      <c r="I26" s="116" t="s">
        <v>218</v>
      </c>
      <c r="J26" s="117" t="s">
        <v>257</v>
      </c>
      <c r="K26" s="116">
        <v>4.5199999999999997E-2</v>
      </c>
      <c r="L26" s="116">
        <v>6.4699999999999994E-2</v>
      </c>
      <c r="M26" s="111">
        <v>179426.3323189677</v>
      </c>
      <c r="N26" s="61">
        <v>86.27</v>
      </c>
      <c r="O26" s="85">
        <v>154.79109063568185</v>
      </c>
      <c r="P26" s="25">
        <v>2.7566684926114892E-3</v>
      </c>
      <c r="Q26" s="25">
        <v>2.6871069896645012E-4</v>
      </c>
      <c r="R26" s="15"/>
    </row>
    <row r="27" spans="1:18" x14ac:dyDescent="0.25">
      <c r="A27" s="17" t="s">
        <v>2912</v>
      </c>
      <c r="B27" s="116" t="s">
        <v>2915</v>
      </c>
      <c r="C27" s="116" t="s">
        <v>2246</v>
      </c>
      <c r="D27" s="116"/>
      <c r="E27" s="116" t="s">
        <v>499</v>
      </c>
      <c r="F27" s="116" t="s">
        <v>2245</v>
      </c>
      <c r="G27" s="116" t="s">
        <v>499</v>
      </c>
      <c r="H27" s="117">
        <v>6.87</v>
      </c>
      <c r="I27" s="116" t="s">
        <v>218</v>
      </c>
      <c r="J27" s="117" t="s">
        <v>257</v>
      </c>
      <c r="K27" s="116">
        <v>3.0499999999999999E-2</v>
      </c>
      <c r="L27" s="116">
        <v>6.5700000000000008E-2</v>
      </c>
      <c r="M27" s="111">
        <v>14123.41971387593</v>
      </c>
      <c r="N27" s="61">
        <v>99.77</v>
      </c>
      <c r="O27" s="85">
        <v>14.090928852954468</v>
      </c>
      <c r="P27" s="25">
        <v>2.5094480206224194E-4</v>
      </c>
      <c r="Q27" s="25">
        <v>2.4461248548700977E-5</v>
      </c>
      <c r="R27" s="15"/>
    </row>
    <row r="28" spans="1:18" x14ac:dyDescent="0.25">
      <c r="A28" s="17" t="s">
        <v>2912</v>
      </c>
      <c r="B28" s="116" t="s">
        <v>2915</v>
      </c>
      <c r="C28" s="116" t="s">
        <v>2247</v>
      </c>
      <c r="D28" s="116"/>
      <c r="E28" s="116" t="s">
        <v>499</v>
      </c>
      <c r="F28" s="116" t="s">
        <v>2245</v>
      </c>
      <c r="G28" s="116" t="s">
        <v>499</v>
      </c>
      <c r="H28" s="117">
        <v>8.8000000000000007</v>
      </c>
      <c r="I28" s="116" t="s">
        <v>218</v>
      </c>
      <c r="J28" s="117" t="s">
        <v>257</v>
      </c>
      <c r="K28" s="116">
        <v>4.41E-2</v>
      </c>
      <c r="L28" s="116">
        <v>4.9200000000000001E-2</v>
      </c>
      <c r="M28" s="111">
        <v>98513.508811660518</v>
      </c>
      <c r="N28" s="61">
        <v>117.06</v>
      </c>
      <c r="O28" s="85">
        <v>115.31990465204211</v>
      </c>
      <c r="P28" s="25">
        <v>2.0537276817401326E-3</v>
      </c>
      <c r="Q28" s="25">
        <v>2.0019041184177465E-4</v>
      </c>
      <c r="R28" s="15"/>
    </row>
    <row r="29" spans="1:18" x14ac:dyDescent="0.25">
      <c r="A29" s="17" t="s">
        <v>2912</v>
      </c>
      <c r="B29" s="116" t="s">
        <v>2915</v>
      </c>
      <c r="C29" s="116" t="s">
        <v>2248</v>
      </c>
      <c r="D29" s="116"/>
      <c r="E29" s="116" t="s">
        <v>499</v>
      </c>
      <c r="F29" s="116" t="s">
        <v>2245</v>
      </c>
      <c r="G29" s="116" t="s">
        <v>499</v>
      </c>
      <c r="H29" s="117">
        <v>8.32</v>
      </c>
      <c r="I29" s="116" t="s">
        <v>218</v>
      </c>
      <c r="J29" s="117" t="s">
        <v>257</v>
      </c>
      <c r="K29" s="116">
        <v>7.9233000278472895E-2</v>
      </c>
      <c r="L29" s="116">
        <v>6.54E-2</v>
      </c>
      <c r="M29" s="111">
        <v>181329.1629805461</v>
      </c>
      <c r="N29" s="61">
        <v>105.02</v>
      </c>
      <c r="O29" s="85">
        <v>190.43188684552914</v>
      </c>
      <c r="P29" s="25">
        <v>3.3913940414773158E-3</v>
      </c>
      <c r="Q29" s="25">
        <v>3.3058159361509343E-4</v>
      </c>
      <c r="R29" s="15"/>
    </row>
    <row r="30" spans="1:18" x14ac:dyDescent="0.25">
      <c r="A30" s="17" t="s">
        <v>2913</v>
      </c>
      <c r="B30" s="116" t="s">
        <v>2915</v>
      </c>
      <c r="C30" s="116" t="s">
        <v>2249</v>
      </c>
      <c r="D30" s="116"/>
      <c r="E30" s="116" t="s">
        <v>499</v>
      </c>
      <c r="F30" s="116" t="s">
        <v>2250</v>
      </c>
      <c r="G30" s="116" t="s">
        <v>499</v>
      </c>
      <c r="H30" s="117">
        <v>9.98</v>
      </c>
      <c r="I30" s="116" t="s">
        <v>218</v>
      </c>
      <c r="J30" s="117" t="s">
        <v>257</v>
      </c>
      <c r="K30" s="116">
        <v>4.4199999999999996E-2</v>
      </c>
      <c r="L30" s="116">
        <v>4.82E-2</v>
      </c>
      <c r="M30" s="111">
        <v>846221.68964787154</v>
      </c>
      <c r="N30" s="61">
        <v>95.08</v>
      </c>
      <c r="O30" s="85">
        <v>804.58757632790241</v>
      </c>
      <c r="P30" s="25">
        <v>1.4328868748848325E-2</v>
      </c>
      <c r="Q30" s="25">
        <v>1.396729547720848E-3</v>
      </c>
      <c r="R30" s="15"/>
    </row>
    <row r="31" spans="1:18" x14ac:dyDescent="0.25">
      <c r="A31" s="17" t="s">
        <v>2913</v>
      </c>
      <c r="B31" s="116" t="s">
        <v>2915</v>
      </c>
      <c r="C31" s="116" t="s">
        <v>2251</v>
      </c>
      <c r="D31" s="116"/>
      <c r="E31" s="116" t="s">
        <v>499</v>
      </c>
      <c r="F31" s="116" t="s">
        <v>2250</v>
      </c>
      <c r="G31" s="116" t="s">
        <v>499</v>
      </c>
      <c r="H31" s="117">
        <v>9.26</v>
      </c>
      <c r="I31" s="116" t="s">
        <v>218</v>
      </c>
      <c r="J31" s="117" t="s">
        <v>257</v>
      </c>
      <c r="K31" s="116">
        <v>9.3560159206390381E-2</v>
      </c>
      <c r="L31" s="116">
        <v>5.7300000000000004E-2</v>
      </c>
      <c r="M31" s="111">
        <v>804624.68287899881</v>
      </c>
      <c r="N31" s="61">
        <v>94.46</v>
      </c>
      <c r="O31" s="85">
        <v>760.0484679261225</v>
      </c>
      <c r="P31" s="25">
        <v>1.3535673505401339E-2</v>
      </c>
      <c r="Q31" s="25">
        <v>1.3194115644904493E-3</v>
      </c>
      <c r="R31" s="15"/>
    </row>
    <row r="32" spans="1:18" x14ac:dyDescent="0.25">
      <c r="A32" s="17" t="s">
        <v>2913</v>
      </c>
      <c r="B32" s="116" t="s">
        <v>2915</v>
      </c>
      <c r="C32" s="116" t="s">
        <v>2252</v>
      </c>
      <c r="D32" s="116"/>
      <c r="E32" s="116" t="s">
        <v>499</v>
      </c>
      <c r="F32" s="116" t="s">
        <v>2250</v>
      </c>
      <c r="G32" s="116" t="s">
        <v>499</v>
      </c>
      <c r="H32" s="117">
        <v>9.48</v>
      </c>
      <c r="I32" s="116" t="s">
        <v>218</v>
      </c>
      <c r="J32" s="117" t="s">
        <v>257</v>
      </c>
      <c r="K32" s="116">
        <v>3.1099999999999999E-2</v>
      </c>
      <c r="L32" s="116">
        <v>5.4699999999999999E-2</v>
      </c>
      <c r="M32" s="111">
        <v>255136.26688199322</v>
      </c>
      <c r="N32" s="61">
        <v>112.47</v>
      </c>
      <c r="O32" s="85">
        <v>286.95175386764299</v>
      </c>
      <c r="P32" s="25">
        <v>5.1103125867128759E-3</v>
      </c>
      <c r="Q32" s="25">
        <v>4.9813594590468436E-4</v>
      </c>
      <c r="R32" s="15"/>
    </row>
    <row r="33" spans="1:18" x14ac:dyDescent="0.25">
      <c r="A33" s="17" t="s">
        <v>2912</v>
      </c>
      <c r="B33" s="116" t="s">
        <v>2915</v>
      </c>
      <c r="C33" s="116" t="s">
        <v>2253</v>
      </c>
      <c r="D33" s="116"/>
      <c r="E33" s="116" t="s">
        <v>499</v>
      </c>
      <c r="F33" s="116" t="s">
        <v>2209</v>
      </c>
      <c r="G33" s="116" t="s">
        <v>499</v>
      </c>
      <c r="H33" s="117">
        <v>7.69</v>
      </c>
      <c r="I33" s="116" t="s">
        <v>218</v>
      </c>
      <c r="J33" s="117" t="s">
        <v>257</v>
      </c>
      <c r="K33" s="116">
        <v>4.4299999999999999E-2</v>
      </c>
      <c r="L33" s="116">
        <v>7.0199999999999999E-2</v>
      </c>
      <c r="M33" s="111">
        <v>7044.6565144353199</v>
      </c>
      <c r="N33" s="61">
        <v>81.37</v>
      </c>
      <c r="O33" s="85">
        <v>5.7322370053385718</v>
      </c>
      <c r="P33" s="25">
        <v>1.0208518513504092E-4</v>
      </c>
      <c r="Q33" s="25">
        <v>9.9509177564436084E-6</v>
      </c>
      <c r="R33" s="15"/>
    </row>
    <row r="34" spans="1:18" x14ac:dyDescent="0.25">
      <c r="A34" s="17" t="s">
        <v>2912</v>
      </c>
      <c r="B34" s="116" t="s">
        <v>2915</v>
      </c>
      <c r="C34" s="116" t="s">
        <v>2254</v>
      </c>
      <c r="D34" s="116"/>
      <c r="E34" s="116" t="s">
        <v>499</v>
      </c>
      <c r="F34" s="116" t="s">
        <v>2209</v>
      </c>
      <c r="G34" s="116" t="s">
        <v>499</v>
      </c>
      <c r="H34" s="117">
        <v>7.72</v>
      </c>
      <c r="I34" s="116" t="s">
        <v>218</v>
      </c>
      <c r="J34" s="117" t="s">
        <v>257</v>
      </c>
      <c r="K34" s="116">
        <v>4.4299999999999999E-2</v>
      </c>
      <c r="L34" s="116">
        <v>6.3899999999999998E-2</v>
      </c>
      <c r="M34" s="111">
        <v>17886.322610127379</v>
      </c>
      <c r="N34" s="61">
        <v>106.68</v>
      </c>
      <c r="O34" s="85">
        <v>19.081128959383264</v>
      </c>
      <c r="P34" s="25">
        <v>3.3981508102161578E-4</v>
      </c>
      <c r="Q34" s="25">
        <v>3.3124022052487064E-5</v>
      </c>
      <c r="R34" s="15"/>
    </row>
    <row r="35" spans="1:18" x14ac:dyDescent="0.25">
      <c r="A35" s="17" t="s">
        <v>2912</v>
      </c>
      <c r="B35" s="116" t="s">
        <v>2915</v>
      </c>
      <c r="C35" s="116" t="s">
        <v>2255</v>
      </c>
      <c r="D35" s="116"/>
      <c r="E35" s="116" t="s">
        <v>499</v>
      </c>
      <c r="F35" s="116" t="s">
        <v>2209</v>
      </c>
      <c r="G35" s="116" t="s">
        <v>499</v>
      </c>
      <c r="H35" s="117">
        <v>8.24</v>
      </c>
      <c r="I35" s="116" t="s">
        <v>218</v>
      </c>
      <c r="J35" s="117" t="s">
        <v>257</v>
      </c>
      <c r="K35" s="116">
        <v>4.4299999999999999E-2</v>
      </c>
      <c r="L35" s="116">
        <v>5.7300000000000004E-2</v>
      </c>
      <c r="M35" s="111">
        <v>2167.4396395415056</v>
      </c>
      <c r="N35" s="61">
        <v>106.46</v>
      </c>
      <c r="O35" s="85">
        <v>2.3074562396586731</v>
      </c>
      <c r="P35" s="25">
        <v>4.1093398126626814E-5</v>
      </c>
      <c r="Q35" s="25">
        <v>4.005645134011672E-6</v>
      </c>
      <c r="R35" s="15"/>
    </row>
    <row r="36" spans="1:18" x14ac:dyDescent="0.25">
      <c r="A36" s="17" t="s">
        <v>2912</v>
      </c>
      <c r="B36" s="116" t="s">
        <v>2915</v>
      </c>
      <c r="C36" s="116" t="s">
        <v>2256</v>
      </c>
      <c r="D36" s="116"/>
      <c r="E36" s="116" t="s">
        <v>499</v>
      </c>
      <c r="F36" s="116" t="s">
        <v>2209</v>
      </c>
      <c r="G36" s="116" t="s">
        <v>499</v>
      </c>
      <c r="H36" s="117">
        <v>8.01</v>
      </c>
      <c r="I36" s="116" t="s">
        <v>218</v>
      </c>
      <c r="J36" s="117" t="s">
        <v>257</v>
      </c>
      <c r="K36" s="116">
        <v>0.10679181098937988</v>
      </c>
      <c r="L36" s="116">
        <v>6.5199999999999994E-2</v>
      </c>
      <c r="M36" s="111">
        <v>12141.996591277364</v>
      </c>
      <c r="N36" s="61">
        <v>107.14</v>
      </c>
      <c r="O36" s="85">
        <v>13.008935147802015</v>
      </c>
      <c r="P36" s="25">
        <v>2.3167561839056768E-4</v>
      </c>
      <c r="Q36" s="25">
        <v>2.2582953851022857E-5</v>
      </c>
      <c r="R36" s="15"/>
    </row>
    <row r="37" spans="1:18" x14ac:dyDescent="0.25">
      <c r="A37" s="17" t="s">
        <v>2912</v>
      </c>
      <c r="B37" s="116" t="s">
        <v>2915</v>
      </c>
      <c r="C37" s="116" t="s">
        <v>2257</v>
      </c>
      <c r="D37" s="116"/>
      <c r="E37" s="116" t="s">
        <v>499</v>
      </c>
      <c r="F37" s="116" t="s">
        <v>2231</v>
      </c>
      <c r="G37" s="116" t="s">
        <v>499</v>
      </c>
      <c r="H37" s="117">
        <v>7.69</v>
      </c>
      <c r="I37" s="116" t="s">
        <v>218</v>
      </c>
      <c r="J37" s="117" t="s">
        <v>257</v>
      </c>
      <c r="K37" s="116">
        <v>5.2999999999999999E-2</v>
      </c>
      <c r="L37" s="116">
        <v>2.4799999999999999E-2</v>
      </c>
      <c r="M37" s="111">
        <v>3835.4635190819981</v>
      </c>
      <c r="N37" s="61">
        <v>131.88999999999999</v>
      </c>
      <c r="O37" s="85">
        <v>5.0585928350699199</v>
      </c>
      <c r="P37" s="25">
        <v>9.0088282394807024E-5</v>
      </c>
      <c r="Q37" s="25">
        <v>8.7815003493810556E-6</v>
      </c>
      <c r="R37" s="15"/>
    </row>
    <row r="38" spans="1:18" x14ac:dyDescent="0.25">
      <c r="A38" s="17" t="s">
        <v>2912</v>
      </c>
      <c r="B38" s="116" t="s">
        <v>2915</v>
      </c>
      <c r="C38" s="116" t="s">
        <v>2258</v>
      </c>
      <c r="D38" s="116"/>
      <c r="E38" s="116" t="s">
        <v>499</v>
      </c>
      <c r="F38" s="116" t="s">
        <v>2231</v>
      </c>
      <c r="G38" s="116" t="s">
        <v>499</v>
      </c>
      <c r="H38" s="117">
        <v>7.99</v>
      </c>
      <c r="I38" s="116" t="s">
        <v>218</v>
      </c>
      <c r="J38" s="117" t="s">
        <v>257</v>
      </c>
      <c r="K38" s="116">
        <v>5.2999999999999999E-2</v>
      </c>
      <c r="L38" s="116">
        <v>3.2599999999999997E-2</v>
      </c>
      <c r="M38" s="111">
        <v>2498.8980918087923</v>
      </c>
      <c r="N38" s="61">
        <v>132.58000000000001</v>
      </c>
      <c r="O38" s="85">
        <v>3.3130390894059416</v>
      </c>
      <c r="P38" s="25">
        <v>5.9001783856223602E-5</v>
      </c>
      <c r="Q38" s="25">
        <v>5.7512938616909341E-6</v>
      </c>
      <c r="R38" s="15"/>
    </row>
    <row r="39" spans="1:18" x14ac:dyDescent="0.25">
      <c r="A39" s="17" t="s">
        <v>2912</v>
      </c>
      <c r="B39" s="116" t="s">
        <v>2915</v>
      </c>
      <c r="C39" s="116" t="s">
        <v>2259</v>
      </c>
      <c r="D39" s="116"/>
      <c r="E39" s="116" t="s">
        <v>499</v>
      </c>
      <c r="F39" s="116" t="s">
        <v>2236</v>
      </c>
      <c r="G39" s="116" t="s">
        <v>499</v>
      </c>
      <c r="H39" s="117">
        <v>7.96</v>
      </c>
      <c r="I39" s="116" t="s">
        <v>218</v>
      </c>
      <c r="J39" s="117" t="s">
        <v>257</v>
      </c>
      <c r="K39" s="116">
        <v>4.7199999999999999E-2</v>
      </c>
      <c r="L39" s="116">
        <v>3.8599999999999995E-2</v>
      </c>
      <c r="M39" s="111">
        <v>513.37382949432481</v>
      </c>
      <c r="N39" s="61">
        <v>125.77</v>
      </c>
      <c r="O39" s="85">
        <v>0.6456702641247829</v>
      </c>
      <c r="P39" s="25">
        <v>1.1498716537362726E-5</v>
      </c>
      <c r="Q39" s="25">
        <v>1.1208559049640074E-6</v>
      </c>
      <c r="R39" s="15"/>
    </row>
    <row r="40" spans="1:18" x14ac:dyDescent="0.25">
      <c r="A40" s="17" t="s">
        <v>2912</v>
      </c>
      <c r="B40" s="116" t="s">
        <v>2915</v>
      </c>
      <c r="C40" s="116" t="s">
        <v>2260</v>
      </c>
      <c r="D40" s="116"/>
      <c r="E40" s="116" t="s">
        <v>499</v>
      </c>
      <c r="F40" s="116" t="s">
        <v>2236</v>
      </c>
      <c r="G40" s="116" t="s">
        <v>499</v>
      </c>
      <c r="H40" s="117">
        <v>7.93</v>
      </c>
      <c r="I40" s="116" t="s">
        <v>218</v>
      </c>
      <c r="J40" s="117" t="s">
        <v>257</v>
      </c>
      <c r="K40" s="116">
        <v>4.6500000000000007E-2</v>
      </c>
      <c r="L40" s="116">
        <v>2.8300000000000002E-2</v>
      </c>
      <c r="M40" s="111">
        <v>2231.0304391431637</v>
      </c>
      <c r="N40" s="61">
        <v>126.41</v>
      </c>
      <c r="O40" s="85">
        <v>2.8202455780855407</v>
      </c>
      <c r="P40" s="25">
        <v>5.0225643443739277E-5</v>
      </c>
      <c r="Q40" s="25">
        <v>4.8958254472671418E-6</v>
      </c>
      <c r="R40" s="15"/>
    </row>
    <row r="41" spans="1:18" x14ac:dyDescent="0.25">
      <c r="A41" s="17" t="s">
        <v>2912</v>
      </c>
      <c r="B41" s="116" t="s">
        <v>2915</v>
      </c>
      <c r="C41" s="116" t="s">
        <v>2261</v>
      </c>
      <c r="D41" s="116"/>
      <c r="E41" s="116" t="s">
        <v>499</v>
      </c>
      <c r="F41" s="116" t="s">
        <v>2236</v>
      </c>
      <c r="G41" s="116" t="s">
        <v>499</v>
      </c>
      <c r="H41" s="117">
        <v>7.96</v>
      </c>
      <c r="I41" s="116" t="s">
        <v>218</v>
      </c>
      <c r="J41" s="117" t="s">
        <v>257</v>
      </c>
      <c r="K41" s="116">
        <v>4.5700000000000005E-2</v>
      </c>
      <c r="L41" s="116">
        <v>3.8599999999999995E-2</v>
      </c>
      <c r="M41" s="111">
        <v>997.75524047485465</v>
      </c>
      <c r="N41" s="61">
        <v>125.77</v>
      </c>
      <c r="O41" s="85">
        <v>1.2548767651397676</v>
      </c>
      <c r="P41" s="25">
        <v>2.2348051340453607E-5</v>
      </c>
      <c r="Q41" s="25">
        <v>2.1784122800135829E-6</v>
      </c>
      <c r="R41" s="15"/>
    </row>
    <row r="42" spans="1:18" x14ac:dyDescent="0.25">
      <c r="A42" s="17" t="s">
        <v>2912</v>
      </c>
      <c r="B42" s="116" t="s">
        <v>2915</v>
      </c>
      <c r="C42" s="116" t="s">
        <v>2262</v>
      </c>
      <c r="D42" s="116"/>
      <c r="E42" s="116" t="s">
        <v>499</v>
      </c>
      <c r="F42" s="116" t="s">
        <v>2245</v>
      </c>
      <c r="G42" s="116" t="s">
        <v>499</v>
      </c>
      <c r="H42" s="117">
        <v>8.92</v>
      </c>
      <c r="I42" s="116" t="s">
        <v>218</v>
      </c>
      <c r="J42" s="117" t="s">
        <v>257</v>
      </c>
      <c r="K42" s="116">
        <v>4.4400000000000002E-2</v>
      </c>
      <c r="L42" s="116">
        <v>2.76E-2</v>
      </c>
      <c r="M42" s="111">
        <v>52521.931503725602</v>
      </c>
      <c r="N42" s="61">
        <v>120.55</v>
      </c>
      <c r="O42" s="85">
        <v>63.315182012037695</v>
      </c>
      <c r="P42" s="25">
        <v>1.1275776056604125E-3</v>
      </c>
      <c r="Q42" s="25">
        <v>1.0991244227153717E-4</v>
      </c>
      <c r="R42" s="15"/>
    </row>
    <row r="43" spans="1:18" x14ac:dyDescent="0.25">
      <c r="A43" s="17" t="s">
        <v>2912</v>
      </c>
      <c r="B43" s="116" t="s">
        <v>2915</v>
      </c>
      <c r="C43" s="116" t="s">
        <v>2263</v>
      </c>
      <c r="D43" s="116"/>
      <c r="E43" s="116" t="s">
        <v>499</v>
      </c>
      <c r="F43" s="116" t="s">
        <v>2245</v>
      </c>
      <c r="G43" s="116" t="s">
        <v>499</v>
      </c>
      <c r="H43" s="117">
        <v>9.86</v>
      </c>
      <c r="I43" s="116" t="s">
        <v>218</v>
      </c>
      <c r="J43" s="117" t="s">
        <v>257</v>
      </c>
      <c r="K43" s="116">
        <v>4.2099999999999999E-2</v>
      </c>
      <c r="L43" s="116">
        <v>2.3399999999999997E-2</v>
      </c>
      <c r="M43" s="111">
        <v>64697.379169251959</v>
      </c>
      <c r="N43" s="61">
        <v>138.91999999999999</v>
      </c>
      <c r="O43" s="85">
        <v>89.877596452531535</v>
      </c>
      <c r="P43" s="25">
        <v>1.6006266078677693E-3</v>
      </c>
      <c r="Q43" s="25">
        <v>1.5602365526984067E-4</v>
      </c>
      <c r="R43" s="15"/>
    </row>
    <row r="44" spans="1:18" x14ac:dyDescent="0.25">
      <c r="A44" s="17" t="s">
        <v>2912</v>
      </c>
      <c r="B44" s="116" t="s">
        <v>2915</v>
      </c>
      <c r="C44" s="116" t="s">
        <v>2264</v>
      </c>
      <c r="D44" s="116"/>
      <c r="E44" s="116" t="s">
        <v>499</v>
      </c>
      <c r="F44" s="116" t="s">
        <v>2245</v>
      </c>
      <c r="G44" s="116" t="s">
        <v>499</v>
      </c>
      <c r="H44" s="117">
        <v>9.86</v>
      </c>
      <c r="I44" s="116" t="s">
        <v>218</v>
      </c>
      <c r="J44" s="117" t="s">
        <v>257</v>
      </c>
      <c r="K44" s="116">
        <v>4.2599999999999999E-2</v>
      </c>
      <c r="L44" s="116">
        <v>2.3399999999999997E-2</v>
      </c>
      <c r="M44" s="111">
        <v>1834.0611386619398</v>
      </c>
      <c r="N44" s="61">
        <v>138.91999999999999</v>
      </c>
      <c r="O44" s="85">
        <v>2.5478759806341138</v>
      </c>
      <c r="P44" s="25">
        <v>4.5375023911593251E-5</v>
      </c>
      <c r="Q44" s="25">
        <v>4.423003499906869E-6</v>
      </c>
      <c r="R44" s="15"/>
    </row>
    <row r="45" spans="1:18" x14ac:dyDescent="0.25">
      <c r="A45" s="17" t="s">
        <v>2913</v>
      </c>
      <c r="B45" s="116" t="s">
        <v>2915</v>
      </c>
      <c r="C45" s="116" t="s">
        <v>2265</v>
      </c>
      <c r="D45" s="116"/>
      <c r="E45" s="116" t="s">
        <v>499</v>
      </c>
      <c r="F45" s="116" t="s">
        <v>2250</v>
      </c>
      <c r="G45" s="116" t="s">
        <v>499</v>
      </c>
      <c r="H45" s="117">
        <v>11.09</v>
      </c>
      <c r="I45" s="116" t="s">
        <v>218</v>
      </c>
      <c r="J45" s="117" t="s">
        <v>257</v>
      </c>
      <c r="K45" s="116">
        <v>3.1099999999999999E-2</v>
      </c>
      <c r="L45" s="116">
        <v>2.63E-2</v>
      </c>
      <c r="M45" s="111">
        <v>329405.24283358181</v>
      </c>
      <c r="N45" s="61">
        <v>122.17</v>
      </c>
      <c r="O45" s="85">
        <v>402.43437780129221</v>
      </c>
      <c r="P45" s="25">
        <v>7.166938129789243E-3</v>
      </c>
      <c r="Q45" s="25">
        <v>6.9860883144514795E-4</v>
      </c>
      <c r="R45" s="15"/>
    </row>
    <row r="46" spans="1:18" x14ac:dyDescent="0.25">
      <c r="A46" s="17" t="s">
        <v>2913</v>
      </c>
      <c r="B46" s="116" t="s">
        <v>2915</v>
      </c>
      <c r="C46" s="116" t="s">
        <v>2266</v>
      </c>
      <c r="D46" s="116"/>
      <c r="E46" s="116" t="s">
        <v>499</v>
      </c>
      <c r="F46" s="116" t="s">
        <v>2250</v>
      </c>
      <c r="G46" s="116" t="s">
        <v>499</v>
      </c>
      <c r="H46" s="117">
        <v>10.9</v>
      </c>
      <c r="I46" s="116" t="s">
        <v>218</v>
      </c>
      <c r="J46" s="117" t="s">
        <v>257</v>
      </c>
      <c r="K46" s="116">
        <v>3.1699999999999999E-2</v>
      </c>
      <c r="L46" s="116">
        <v>2.92E-2</v>
      </c>
      <c r="M46" s="111">
        <v>570965.71531033784</v>
      </c>
      <c r="N46" s="61">
        <v>127.12</v>
      </c>
      <c r="O46" s="85">
        <v>725.81160902170348</v>
      </c>
      <c r="P46" s="25">
        <v>1.2925950621221071E-2</v>
      </c>
      <c r="Q46" s="25">
        <v>1.2599778448309958E-3</v>
      </c>
      <c r="R46" s="15"/>
    </row>
    <row r="47" spans="1:18" x14ac:dyDescent="0.25">
      <c r="A47" s="17" t="s">
        <v>2912</v>
      </c>
      <c r="B47" s="116" t="s">
        <v>2915</v>
      </c>
      <c r="C47" s="116" t="s">
        <v>2267</v>
      </c>
      <c r="D47" s="116"/>
      <c r="E47" s="116" t="s">
        <v>499</v>
      </c>
      <c r="F47" s="116" t="s">
        <v>2209</v>
      </c>
      <c r="G47" s="116" t="s">
        <v>499</v>
      </c>
      <c r="H47" s="117">
        <v>9.0500000000000007</v>
      </c>
      <c r="I47" s="116" t="s">
        <v>218</v>
      </c>
      <c r="J47" s="117" t="s">
        <v>257</v>
      </c>
      <c r="K47" s="116">
        <v>4.4400000000000002E-2</v>
      </c>
      <c r="L47" s="116">
        <v>2.9900000000000003E-2</v>
      </c>
      <c r="M47" s="111">
        <v>14017.839302667073</v>
      </c>
      <c r="N47" s="61">
        <v>108.84</v>
      </c>
      <c r="O47" s="85">
        <v>15.257016295853427</v>
      </c>
      <c r="P47" s="25">
        <v>2.7171160782779591E-4</v>
      </c>
      <c r="Q47" s="25">
        <v>2.648552637083262E-5</v>
      </c>
      <c r="R47" s="15"/>
    </row>
    <row r="48" spans="1:18" x14ac:dyDescent="0.25">
      <c r="A48" s="17" t="s">
        <v>2912</v>
      </c>
      <c r="B48" s="116" t="s">
        <v>2915</v>
      </c>
      <c r="C48" s="116" t="s">
        <v>2268</v>
      </c>
      <c r="D48" s="116"/>
      <c r="E48" s="116" t="s">
        <v>499</v>
      </c>
      <c r="F48" s="116" t="s">
        <v>2209</v>
      </c>
      <c r="G48" s="116" t="s">
        <v>499</v>
      </c>
      <c r="H48" s="117">
        <v>9.6</v>
      </c>
      <c r="I48" s="116" t="s">
        <v>218</v>
      </c>
      <c r="J48" s="117" t="s">
        <v>257</v>
      </c>
      <c r="K48" s="116">
        <v>4.4299999999999999E-2</v>
      </c>
      <c r="L48" s="116">
        <v>9.8999999999999991E-3</v>
      </c>
      <c r="M48" s="111">
        <v>3485.9056924875035</v>
      </c>
      <c r="N48" s="61">
        <v>134.15</v>
      </c>
      <c r="O48" s="85">
        <v>4.6763424855042492</v>
      </c>
      <c r="P48" s="25">
        <v>8.3280800836210743E-5</v>
      </c>
      <c r="Q48" s="25">
        <v>8.1179301258614602E-6</v>
      </c>
      <c r="R48" s="15"/>
    </row>
    <row r="49" spans="1:18" x14ac:dyDescent="0.25">
      <c r="A49" s="17" t="s">
        <v>2912</v>
      </c>
      <c r="B49" s="116" t="s">
        <v>2915</v>
      </c>
      <c r="C49" s="116" t="s">
        <v>2269</v>
      </c>
      <c r="D49" s="116"/>
      <c r="E49" s="116" t="s">
        <v>499</v>
      </c>
      <c r="F49" s="116" t="s">
        <v>2209</v>
      </c>
      <c r="G49" s="116" t="s">
        <v>499</v>
      </c>
      <c r="H49" s="117">
        <v>9.31</v>
      </c>
      <c r="I49" s="116" t="s">
        <v>218</v>
      </c>
      <c r="J49" s="117" t="s">
        <v>257</v>
      </c>
      <c r="K49" s="116">
        <v>4.4299999999999999E-2</v>
      </c>
      <c r="L49" s="116">
        <v>2.2400000000000003E-2</v>
      </c>
      <c r="M49" s="111">
        <v>2066.3949727690374</v>
      </c>
      <c r="N49" s="61">
        <v>127.45</v>
      </c>
      <c r="O49" s="85">
        <v>2.6336203921547132</v>
      </c>
      <c r="P49" s="25">
        <v>4.6902042790300369E-5</v>
      </c>
      <c r="Q49" s="25">
        <v>4.5718521232840087E-6</v>
      </c>
      <c r="R49" s="15"/>
    </row>
    <row r="50" spans="1:18" x14ac:dyDescent="0.25">
      <c r="A50" s="17" t="s">
        <v>2912</v>
      </c>
      <c r="B50" s="116" t="s">
        <v>2915</v>
      </c>
      <c r="C50" s="116" t="s">
        <v>2270</v>
      </c>
      <c r="D50" s="116"/>
      <c r="E50" s="116" t="s">
        <v>499</v>
      </c>
      <c r="F50" s="116" t="s">
        <v>2209</v>
      </c>
      <c r="G50" s="116" t="s">
        <v>499</v>
      </c>
      <c r="H50" s="117">
        <v>9.31</v>
      </c>
      <c r="I50" s="116" t="s">
        <v>218</v>
      </c>
      <c r="J50" s="117" t="s">
        <v>257</v>
      </c>
      <c r="K50" s="116">
        <v>4.4299999999999999E-2</v>
      </c>
      <c r="L50" s="116">
        <v>2.2400000000000003E-2</v>
      </c>
      <c r="M50" s="111">
        <v>140.85253387567425</v>
      </c>
      <c r="N50" s="61">
        <v>127.45</v>
      </c>
      <c r="O50" s="85">
        <v>0.17951655342007058</v>
      </c>
      <c r="P50" s="25">
        <v>3.1970032944599003E-6</v>
      </c>
      <c r="Q50" s="25">
        <v>3.1163304262187043E-7</v>
      </c>
      <c r="R50" s="15"/>
    </row>
    <row r="51" spans="1:18" s="118" customFormat="1" x14ac:dyDescent="0.25">
      <c r="A51" s="93" t="s">
        <v>2271</v>
      </c>
      <c r="B51" s="130" t="s">
        <v>251</v>
      </c>
      <c r="C51" s="130" t="s">
        <v>251</v>
      </c>
      <c r="D51" s="130"/>
      <c r="E51" s="130" t="s">
        <v>251</v>
      </c>
      <c r="F51" s="130" t="s">
        <v>251</v>
      </c>
      <c r="G51" s="130" t="s">
        <v>251</v>
      </c>
      <c r="H51" s="131" t="s">
        <v>251</v>
      </c>
      <c r="I51" s="130" t="s">
        <v>251</v>
      </c>
      <c r="J51" s="131" t="s">
        <v>251</v>
      </c>
      <c r="K51" s="130" t="s">
        <v>251</v>
      </c>
      <c r="L51" s="130" t="s">
        <v>251</v>
      </c>
      <c r="M51" s="160" t="s">
        <v>251</v>
      </c>
      <c r="N51" s="135" t="s">
        <v>251</v>
      </c>
      <c r="O51" s="123">
        <v>42098.854833138423</v>
      </c>
      <c r="P51" s="136">
        <v>0.74973686287074726</v>
      </c>
      <c r="Q51" s="136">
        <v>7.3081807624992903E-2</v>
      </c>
      <c r="R51" s="15"/>
    </row>
    <row r="52" spans="1:18" x14ac:dyDescent="0.25">
      <c r="A52" s="17" t="s">
        <v>2849</v>
      </c>
      <c r="B52" s="116" t="s">
        <v>2915</v>
      </c>
      <c r="C52" s="116" t="s">
        <v>2296</v>
      </c>
      <c r="D52" s="116"/>
      <c r="E52" s="116" t="s">
        <v>536</v>
      </c>
      <c r="F52" s="116" t="s">
        <v>2297</v>
      </c>
      <c r="G52" s="116" t="s">
        <v>521</v>
      </c>
      <c r="H52" s="117">
        <v>8.09</v>
      </c>
      <c r="I52" s="116" t="s">
        <v>221</v>
      </c>
      <c r="J52" s="117" t="s">
        <v>257</v>
      </c>
      <c r="K52" s="116">
        <v>3.0800000000000001E-2</v>
      </c>
      <c r="L52" s="116">
        <v>5.0900000000000001E-2</v>
      </c>
      <c r="M52" s="111">
        <v>7630.8691182209659</v>
      </c>
      <c r="N52" s="61">
        <v>85.98</v>
      </c>
      <c r="O52" s="85">
        <v>6.5610212675199522</v>
      </c>
      <c r="P52" s="25">
        <v>1.1684497171800988E-4</v>
      </c>
      <c r="Q52" s="25">
        <v>1.1389651713731301E-5</v>
      </c>
      <c r="R52" s="15"/>
    </row>
    <row r="53" spans="1:18" x14ac:dyDescent="0.25">
      <c r="A53" s="17" t="s">
        <v>2849</v>
      </c>
      <c r="B53" s="116" t="s">
        <v>2915</v>
      </c>
      <c r="C53" s="116" t="s">
        <v>2304</v>
      </c>
      <c r="D53" s="116"/>
      <c r="E53" s="116" t="s">
        <v>536</v>
      </c>
      <c r="F53" s="116" t="s">
        <v>2305</v>
      </c>
      <c r="G53" s="116" t="s">
        <v>521</v>
      </c>
      <c r="H53" s="117">
        <v>7.77</v>
      </c>
      <c r="I53" s="116" t="s">
        <v>221</v>
      </c>
      <c r="J53" s="117" t="s">
        <v>257</v>
      </c>
      <c r="K53" s="116">
        <v>3.1300000000000001E-2</v>
      </c>
      <c r="L53" s="116">
        <v>6.1900000000000004E-2</v>
      </c>
      <c r="M53" s="111">
        <v>6246.3076302568807</v>
      </c>
      <c r="N53" s="61">
        <v>79.489999999999995</v>
      </c>
      <c r="O53" s="85">
        <v>4.965189934605962</v>
      </c>
      <c r="P53" s="25">
        <v>8.8424873785370128E-5</v>
      </c>
      <c r="Q53" s="25">
        <v>8.6193569174426123E-6</v>
      </c>
      <c r="R53" s="15"/>
    </row>
    <row r="54" spans="1:18" x14ac:dyDescent="0.25">
      <c r="A54" s="17" t="s">
        <v>2849</v>
      </c>
      <c r="B54" s="116" t="s">
        <v>2915</v>
      </c>
      <c r="C54" s="116" t="s">
        <v>2310</v>
      </c>
      <c r="D54" s="116"/>
      <c r="E54" s="116" t="s">
        <v>536</v>
      </c>
      <c r="F54" s="116" t="s">
        <v>2311</v>
      </c>
      <c r="G54" s="116" t="s">
        <v>521</v>
      </c>
      <c r="H54" s="117">
        <v>7.82</v>
      </c>
      <c r="I54" s="116" t="s">
        <v>221</v>
      </c>
      <c r="J54" s="117" t="s">
        <v>257</v>
      </c>
      <c r="K54" s="116">
        <v>3.1899999999999998E-2</v>
      </c>
      <c r="L54" s="116">
        <v>6.0299999999999999E-2</v>
      </c>
      <c r="M54" s="111">
        <v>6176.6742202881815</v>
      </c>
      <c r="N54" s="61">
        <v>80.88</v>
      </c>
      <c r="O54" s="85">
        <v>4.9956941078994967</v>
      </c>
      <c r="P54" s="25">
        <v>8.8968121417169334E-5</v>
      </c>
      <c r="Q54" s="25">
        <v>8.6723108548652227E-6</v>
      </c>
      <c r="R54" s="15"/>
    </row>
    <row r="55" spans="1:18" x14ac:dyDescent="0.25">
      <c r="A55" s="17" t="s">
        <v>2849</v>
      </c>
      <c r="B55" s="116" t="s">
        <v>2915</v>
      </c>
      <c r="C55" s="116" t="s">
        <v>2347</v>
      </c>
      <c r="D55" s="116"/>
      <c r="E55" s="116" t="s">
        <v>536</v>
      </c>
      <c r="F55" s="116" t="s">
        <v>2348</v>
      </c>
      <c r="G55" s="116" t="s">
        <v>521</v>
      </c>
      <c r="H55" s="117">
        <v>8.02</v>
      </c>
      <c r="I55" s="116" t="s">
        <v>221</v>
      </c>
      <c r="J55" s="117" t="s">
        <v>257</v>
      </c>
      <c r="K55" s="116">
        <v>3.2400000000000005E-2</v>
      </c>
      <c r="L55" s="116">
        <v>5.33E-2</v>
      </c>
      <c r="M55" s="111">
        <v>6082.1815842233736</v>
      </c>
      <c r="N55" s="61">
        <v>85.56</v>
      </c>
      <c r="O55" s="85">
        <v>5.2039145629781194</v>
      </c>
      <c r="P55" s="25">
        <v>9.2676311376134259E-5</v>
      </c>
      <c r="Q55" s="25">
        <v>9.0337726405113746E-6</v>
      </c>
      <c r="R55" s="15"/>
    </row>
    <row r="56" spans="1:18" x14ac:dyDescent="0.25">
      <c r="A56" s="17" t="s">
        <v>2849</v>
      </c>
      <c r="B56" s="116" t="s">
        <v>2915</v>
      </c>
      <c r="C56" s="116" t="s">
        <v>2373</v>
      </c>
      <c r="D56" s="116"/>
      <c r="E56" s="116" t="s">
        <v>536</v>
      </c>
      <c r="F56" s="116" t="s">
        <v>2374</v>
      </c>
      <c r="G56" s="116" t="s">
        <v>521</v>
      </c>
      <c r="H56" s="117">
        <v>8.3800000000000008</v>
      </c>
      <c r="I56" s="116" t="s">
        <v>221</v>
      </c>
      <c r="J56" s="117" t="s">
        <v>257</v>
      </c>
      <c r="K56" s="116">
        <v>3.3000000000000002E-2</v>
      </c>
      <c r="L56" s="116">
        <v>4.0999999999999995E-2</v>
      </c>
      <c r="M56" s="111">
        <v>5986.4273884868853</v>
      </c>
      <c r="N56" s="61">
        <v>94.76</v>
      </c>
      <c r="O56" s="85">
        <v>5.6727385921851479</v>
      </c>
      <c r="P56" s="25">
        <v>1.0102558021703916E-4</v>
      </c>
      <c r="Q56" s="25">
        <v>9.8476310613231476E-6</v>
      </c>
      <c r="R56" s="15"/>
    </row>
    <row r="57" spans="1:18" x14ac:dyDescent="0.25">
      <c r="A57" s="17" t="s">
        <v>2850</v>
      </c>
      <c r="B57" s="116" t="s">
        <v>2915</v>
      </c>
      <c r="C57" s="116" t="s">
        <v>2286</v>
      </c>
      <c r="D57" s="116"/>
      <c r="E57" s="116" t="s">
        <v>255</v>
      </c>
      <c r="F57" s="116" t="s">
        <v>2287</v>
      </c>
      <c r="G57" s="116" t="s">
        <v>256</v>
      </c>
      <c r="H57" s="117">
        <v>6.04</v>
      </c>
      <c r="I57" s="116" t="s">
        <v>222</v>
      </c>
      <c r="J57" s="117" t="s">
        <v>257</v>
      </c>
      <c r="K57" s="116">
        <v>3.0899999999999997E-2</v>
      </c>
      <c r="L57" s="116">
        <v>4.82E-2</v>
      </c>
      <c r="M57" s="111">
        <v>4157322.28</v>
      </c>
      <c r="N57" s="61">
        <v>90.48</v>
      </c>
      <c r="O57" s="85">
        <v>3761.5451899999998</v>
      </c>
      <c r="P57" s="25">
        <v>6.6989211499340645E-2</v>
      </c>
      <c r="Q57" s="25">
        <v>6.5298812292610732E-3</v>
      </c>
      <c r="R57" s="15"/>
    </row>
    <row r="58" spans="1:18" x14ac:dyDescent="0.25">
      <c r="A58" s="17" t="s">
        <v>2851</v>
      </c>
      <c r="B58" s="116" t="s">
        <v>2272</v>
      </c>
      <c r="C58" s="116" t="s">
        <v>2659</v>
      </c>
      <c r="D58" s="116"/>
      <c r="E58" s="116" t="s">
        <v>599</v>
      </c>
      <c r="F58" s="116" t="s">
        <v>2660</v>
      </c>
      <c r="G58" s="116" t="s">
        <v>521</v>
      </c>
      <c r="H58" s="117">
        <v>2.1800000000000002</v>
      </c>
      <c r="I58" s="116" t="s">
        <v>218</v>
      </c>
      <c r="J58" s="117" t="s">
        <v>125</v>
      </c>
      <c r="K58" s="116">
        <v>9.849999999999999E-2</v>
      </c>
      <c r="L58" s="116">
        <v>5.79E-2</v>
      </c>
      <c r="M58" s="111">
        <v>125722.94</v>
      </c>
      <c r="N58" s="61">
        <v>108.93</v>
      </c>
      <c r="O58" s="85">
        <v>506.71499</v>
      </c>
      <c r="P58" s="25">
        <v>9.0240674830218588E-3</v>
      </c>
      <c r="Q58" s="25">
        <v>8.7963550473421604E-4</v>
      </c>
      <c r="R58" s="15"/>
    </row>
    <row r="59" spans="1:18" x14ac:dyDescent="0.25">
      <c r="A59" s="17" t="s">
        <v>2851</v>
      </c>
      <c r="B59" s="116" t="s">
        <v>2272</v>
      </c>
      <c r="C59" s="116" t="s">
        <v>2523</v>
      </c>
      <c r="D59" s="116"/>
      <c r="E59" s="116" t="s">
        <v>599</v>
      </c>
      <c r="F59" s="116" t="s">
        <v>2522</v>
      </c>
      <c r="G59" s="116" t="s">
        <v>521</v>
      </c>
      <c r="H59" s="117">
        <v>2.1800000000000002</v>
      </c>
      <c r="I59" s="116" t="s">
        <v>218</v>
      </c>
      <c r="J59" s="117" t="s">
        <v>257</v>
      </c>
      <c r="K59" s="116">
        <v>3.85E-2</v>
      </c>
      <c r="L59" s="116">
        <v>2.06E-2</v>
      </c>
      <c r="M59" s="111">
        <v>1957.14</v>
      </c>
      <c r="N59" s="61">
        <v>152.08000000000001</v>
      </c>
      <c r="O59" s="85">
        <v>2.97641</v>
      </c>
      <c r="P59" s="25">
        <v>5.3006769539502054E-5</v>
      </c>
      <c r="Q59" s="25">
        <v>5.1669201904722965E-6</v>
      </c>
      <c r="R59" s="15"/>
    </row>
    <row r="60" spans="1:18" x14ac:dyDescent="0.25">
      <c r="A60" s="17" t="s">
        <v>2851</v>
      </c>
      <c r="B60" s="116" t="s">
        <v>2272</v>
      </c>
      <c r="C60" s="116" t="s">
        <v>2543</v>
      </c>
      <c r="D60" s="116"/>
      <c r="E60" s="116" t="s">
        <v>599</v>
      </c>
      <c r="F60" s="116" t="s">
        <v>2542</v>
      </c>
      <c r="G60" s="116" t="s">
        <v>521</v>
      </c>
      <c r="H60" s="117">
        <v>2.17</v>
      </c>
      <c r="I60" s="116" t="s">
        <v>218</v>
      </c>
      <c r="J60" s="117" t="s">
        <v>257</v>
      </c>
      <c r="K60" s="116">
        <v>5.1699999999999996E-2</v>
      </c>
      <c r="L60" s="116">
        <v>2.06E-2</v>
      </c>
      <c r="M60" s="111">
        <v>1957.15</v>
      </c>
      <c r="N60" s="61">
        <v>156.30000000000001</v>
      </c>
      <c r="O60" s="85">
        <v>3.0590199999999999</v>
      </c>
      <c r="P60" s="25">
        <v>5.447796780575512E-5</v>
      </c>
      <c r="Q60" s="25">
        <v>5.3103276097911791E-6</v>
      </c>
      <c r="R60" s="15"/>
    </row>
    <row r="61" spans="1:18" x14ac:dyDescent="0.25">
      <c r="A61" s="17" t="s">
        <v>2851</v>
      </c>
      <c r="B61" s="116" t="s">
        <v>2272</v>
      </c>
      <c r="C61" s="116" t="s">
        <v>2526</v>
      </c>
      <c r="D61" s="116"/>
      <c r="E61" s="116" t="s">
        <v>599</v>
      </c>
      <c r="F61" s="116" t="s">
        <v>2522</v>
      </c>
      <c r="G61" s="116" t="s">
        <v>521</v>
      </c>
      <c r="H61" s="117">
        <v>2.1800000000000002</v>
      </c>
      <c r="I61" s="116" t="s">
        <v>218</v>
      </c>
      <c r="J61" s="117" t="s">
        <v>257</v>
      </c>
      <c r="K61" s="116">
        <v>3.85E-2</v>
      </c>
      <c r="L61" s="116">
        <v>2.06E-2</v>
      </c>
      <c r="M61" s="111">
        <v>29446.97</v>
      </c>
      <c r="N61" s="61">
        <v>151.94</v>
      </c>
      <c r="O61" s="85">
        <v>44.741720000000001</v>
      </c>
      <c r="P61" s="25">
        <v>7.9680354549303692E-4</v>
      </c>
      <c r="Q61" s="25">
        <v>7.7669708280935141E-5</v>
      </c>
      <c r="R61" s="15"/>
    </row>
    <row r="62" spans="1:18" x14ac:dyDescent="0.25">
      <c r="A62" s="17" t="s">
        <v>2851</v>
      </c>
      <c r="B62" s="116" t="s">
        <v>2272</v>
      </c>
      <c r="C62" s="116" t="s">
        <v>2546</v>
      </c>
      <c r="D62" s="116"/>
      <c r="E62" s="116" t="s">
        <v>599</v>
      </c>
      <c r="F62" s="116" t="s">
        <v>2542</v>
      </c>
      <c r="G62" s="116" t="s">
        <v>521</v>
      </c>
      <c r="H62" s="117">
        <v>2.17</v>
      </c>
      <c r="I62" s="116" t="s">
        <v>218</v>
      </c>
      <c r="J62" s="117" t="s">
        <v>257</v>
      </c>
      <c r="K62" s="116">
        <v>5.1699999999999996E-2</v>
      </c>
      <c r="L62" s="116">
        <v>2.06E-2</v>
      </c>
      <c r="M62" s="111">
        <v>29447.16</v>
      </c>
      <c r="N62" s="61">
        <v>156.15</v>
      </c>
      <c r="O62" s="85">
        <v>45.981739999999995</v>
      </c>
      <c r="P62" s="25">
        <v>8.1888701328288219E-4</v>
      </c>
      <c r="Q62" s="25">
        <v>7.9822329853430007E-5</v>
      </c>
      <c r="R62" s="15"/>
    </row>
    <row r="63" spans="1:18" x14ac:dyDescent="0.25">
      <c r="A63" s="17" t="s">
        <v>2851</v>
      </c>
      <c r="B63" s="116" t="s">
        <v>2272</v>
      </c>
      <c r="C63" s="116" t="s">
        <v>2525</v>
      </c>
      <c r="D63" s="116"/>
      <c r="E63" s="116" t="s">
        <v>599</v>
      </c>
      <c r="F63" s="116" t="s">
        <v>2522</v>
      </c>
      <c r="G63" s="116" t="s">
        <v>521</v>
      </c>
      <c r="H63" s="117">
        <v>2.1800000000000002</v>
      </c>
      <c r="I63" s="116" t="s">
        <v>218</v>
      </c>
      <c r="J63" s="117" t="s">
        <v>257</v>
      </c>
      <c r="K63" s="116">
        <v>3.85E-2</v>
      </c>
      <c r="L63" s="116">
        <v>2.06E-2</v>
      </c>
      <c r="M63" s="111">
        <v>25233.26</v>
      </c>
      <c r="N63" s="61">
        <v>151.94</v>
      </c>
      <c r="O63" s="85">
        <v>38.339410000000001</v>
      </c>
      <c r="P63" s="25">
        <v>6.8278505654479087E-4</v>
      </c>
      <c r="Q63" s="25">
        <v>6.6555572525221827E-5</v>
      </c>
      <c r="R63" s="15"/>
    </row>
    <row r="64" spans="1:18" x14ac:dyDescent="0.25">
      <c r="A64" s="17" t="s">
        <v>2851</v>
      </c>
      <c r="B64" s="116" t="s">
        <v>2272</v>
      </c>
      <c r="C64" s="116" t="s">
        <v>2545</v>
      </c>
      <c r="D64" s="116"/>
      <c r="E64" s="116" t="s">
        <v>599</v>
      </c>
      <c r="F64" s="116" t="s">
        <v>2542</v>
      </c>
      <c r="G64" s="116" t="s">
        <v>521</v>
      </c>
      <c r="H64" s="117">
        <v>2.17</v>
      </c>
      <c r="I64" s="116" t="s">
        <v>218</v>
      </c>
      <c r="J64" s="117" t="s">
        <v>257</v>
      </c>
      <c r="K64" s="116">
        <v>5.1699999999999996E-2</v>
      </c>
      <c r="L64" s="116">
        <v>2.06E-2</v>
      </c>
      <c r="M64" s="111">
        <v>25233.45</v>
      </c>
      <c r="N64" s="61">
        <v>156.15</v>
      </c>
      <c r="O64" s="85">
        <v>39.402029999999996</v>
      </c>
      <c r="P64" s="25">
        <v>7.0170921465743843E-4</v>
      </c>
      <c r="Q64" s="25">
        <v>6.8400235301116152E-5</v>
      </c>
      <c r="R64" s="15"/>
    </row>
    <row r="65" spans="1:18" x14ac:dyDescent="0.25">
      <c r="A65" s="17" t="s">
        <v>2851</v>
      </c>
      <c r="B65" s="116" t="s">
        <v>2272</v>
      </c>
      <c r="C65" s="116" t="s">
        <v>2540</v>
      </c>
      <c r="D65" s="116"/>
      <c r="E65" s="116" t="s">
        <v>599</v>
      </c>
      <c r="F65" s="116" t="s">
        <v>2522</v>
      </c>
      <c r="G65" s="116" t="s">
        <v>521</v>
      </c>
      <c r="H65" s="117">
        <v>2.1800000000000002</v>
      </c>
      <c r="I65" s="116" t="s">
        <v>218</v>
      </c>
      <c r="J65" s="117" t="s">
        <v>257</v>
      </c>
      <c r="K65" s="116">
        <v>3.85E-2</v>
      </c>
      <c r="L65" s="116">
        <v>2.06E-2</v>
      </c>
      <c r="M65" s="111">
        <v>16638.189999999999</v>
      </c>
      <c r="N65" s="61">
        <v>143.66999999999999</v>
      </c>
      <c r="O65" s="85">
        <v>23.90408</v>
      </c>
      <c r="P65" s="25">
        <v>4.2570682789461818E-4</v>
      </c>
      <c r="Q65" s="25">
        <v>4.1496458346351823E-5</v>
      </c>
      <c r="R65" s="15"/>
    </row>
    <row r="66" spans="1:18" x14ac:dyDescent="0.25">
      <c r="A66" s="17" t="s">
        <v>2851</v>
      </c>
      <c r="B66" s="116" t="s">
        <v>2272</v>
      </c>
      <c r="C66" s="116" t="s">
        <v>2560</v>
      </c>
      <c r="D66" s="116"/>
      <c r="E66" s="116" t="s">
        <v>599</v>
      </c>
      <c r="F66" s="116" t="s">
        <v>2542</v>
      </c>
      <c r="G66" s="116" t="s">
        <v>521</v>
      </c>
      <c r="H66" s="117">
        <v>2.17</v>
      </c>
      <c r="I66" s="116" t="s">
        <v>218</v>
      </c>
      <c r="J66" s="117" t="s">
        <v>257</v>
      </c>
      <c r="K66" s="116">
        <v>5.1699999999999996E-2</v>
      </c>
      <c r="L66" s="116">
        <v>2.06E-2</v>
      </c>
      <c r="M66" s="111">
        <v>16638.330000000002</v>
      </c>
      <c r="N66" s="61">
        <v>147.66</v>
      </c>
      <c r="O66" s="85">
        <v>24.568150000000003</v>
      </c>
      <c r="P66" s="25">
        <v>4.3753322461015707E-4</v>
      </c>
      <c r="Q66" s="25">
        <v>4.2649255404178849E-5</v>
      </c>
      <c r="R66" s="15"/>
    </row>
    <row r="67" spans="1:18" x14ac:dyDescent="0.25">
      <c r="A67" s="17" t="s">
        <v>2851</v>
      </c>
      <c r="B67" s="116" t="s">
        <v>2272</v>
      </c>
      <c r="C67" s="116" t="s">
        <v>2529</v>
      </c>
      <c r="D67" s="116"/>
      <c r="E67" s="116" t="s">
        <v>599</v>
      </c>
      <c r="F67" s="116" t="s">
        <v>2522</v>
      </c>
      <c r="G67" s="116" t="s">
        <v>521</v>
      </c>
      <c r="H67" s="117">
        <v>2.1800000000000002</v>
      </c>
      <c r="I67" s="116" t="s">
        <v>218</v>
      </c>
      <c r="J67" s="117" t="s">
        <v>257</v>
      </c>
      <c r="K67" s="116">
        <v>3.85E-2</v>
      </c>
      <c r="L67" s="116">
        <v>2.06E-2</v>
      </c>
      <c r="M67" s="111">
        <v>7121.31</v>
      </c>
      <c r="N67" s="61">
        <v>150.86000000000001</v>
      </c>
      <c r="O67" s="85">
        <v>10.7432</v>
      </c>
      <c r="P67" s="25">
        <v>1.9132522956070519E-4</v>
      </c>
      <c r="Q67" s="25">
        <v>1.8649734744300006E-5</v>
      </c>
      <c r="R67" s="15"/>
    </row>
    <row r="68" spans="1:18" x14ac:dyDescent="0.25">
      <c r="A68" s="17" t="s">
        <v>2851</v>
      </c>
      <c r="B68" s="116" t="s">
        <v>2272</v>
      </c>
      <c r="C68" s="116" t="s">
        <v>2549</v>
      </c>
      <c r="D68" s="116"/>
      <c r="E68" s="116" t="s">
        <v>599</v>
      </c>
      <c r="F68" s="116" t="s">
        <v>2542</v>
      </c>
      <c r="G68" s="116" t="s">
        <v>521</v>
      </c>
      <c r="H68" s="117">
        <v>2.17</v>
      </c>
      <c r="I68" s="116" t="s">
        <v>218</v>
      </c>
      <c r="J68" s="117" t="s">
        <v>257</v>
      </c>
      <c r="K68" s="116">
        <v>5.1699999999999996E-2</v>
      </c>
      <c r="L68" s="116">
        <v>2.06E-2</v>
      </c>
      <c r="M68" s="111">
        <v>7121.35</v>
      </c>
      <c r="N68" s="61">
        <v>155.04</v>
      </c>
      <c r="O68" s="85">
        <v>11.040940000000001</v>
      </c>
      <c r="P68" s="25">
        <v>1.9662766960179206E-4</v>
      </c>
      <c r="Q68" s="25">
        <v>1.9166598623104075E-5</v>
      </c>
      <c r="R68" s="15"/>
    </row>
    <row r="69" spans="1:18" x14ac:dyDescent="0.25">
      <c r="A69" s="17" t="s">
        <v>2851</v>
      </c>
      <c r="B69" s="116" t="s">
        <v>2272</v>
      </c>
      <c r="C69" s="116" t="s">
        <v>2521</v>
      </c>
      <c r="D69" s="116"/>
      <c r="E69" s="116" t="s">
        <v>599</v>
      </c>
      <c r="F69" s="116" t="s">
        <v>2522</v>
      </c>
      <c r="G69" s="116" t="s">
        <v>521</v>
      </c>
      <c r="H69" s="117">
        <v>2.1800000000000002</v>
      </c>
      <c r="I69" s="116" t="s">
        <v>218</v>
      </c>
      <c r="J69" s="117" t="s">
        <v>257</v>
      </c>
      <c r="K69" s="116">
        <v>3.85E-2</v>
      </c>
      <c r="L69" s="116">
        <v>2.06E-2</v>
      </c>
      <c r="M69" s="111">
        <v>50834.44</v>
      </c>
      <c r="N69" s="61">
        <v>152.80000000000001</v>
      </c>
      <c r="O69" s="85">
        <v>77.675020000000004</v>
      </c>
      <c r="P69" s="25">
        <v>1.3833114000141827E-3</v>
      </c>
      <c r="Q69" s="25">
        <v>1.3484050555311245E-4</v>
      </c>
      <c r="R69" s="15"/>
    </row>
    <row r="70" spans="1:18" x14ac:dyDescent="0.25">
      <c r="A70" s="17" t="s">
        <v>2851</v>
      </c>
      <c r="B70" s="116" t="s">
        <v>2272</v>
      </c>
      <c r="C70" s="116" t="s">
        <v>2541</v>
      </c>
      <c r="D70" s="116"/>
      <c r="E70" s="116" t="s">
        <v>599</v>
      </c>
      <c r="F70" s="116" t="s">
        <v>2542</v>
      </c>
      <c r="G70" s="116" t="s">
        <v>521</v>
      </c>
      <c r="H70" s="117">
        <v>2.17</v>
      </c>
      <c r="I70" s="116" t="s">
        <v>218</v>
      </c>
      <c r="J70" s="117" t="s">
        <v>257</v>
      </c>
      <c r="K70" s="116">
        <v>5.1699999999999996E-2</v>
      </c>
      <c r="L70" s="116">
        <v>2.06E-2</v>
      </c>
      <c r="M70" s="111">
        <v>50859.69</v>
      </c>
      <c r="N70" s="61">
        <v>157.04</v>
      </c>
      <c r="O70" s="85">
        <v>79.870050000000006</v>
      </c>
      <c r="P70" s="25">
        <v>1.4224026036260148E-3</v>
      </c>
      <c r="Q70" s="25">
        <v>1.386509835536878E-4</v>
      </c>
      <c r="R70" s="15"/>
    </row>
    <row r="71" spans="1:18" x14ac:dyDescent="0.25">
      <c r="A71" s="17" t="s">
        <v>2851</v>
      </c>
      <c r="B71" s="116" t="s">
        <v>2272</v>
      </c>
      <c r="C71" s="116" t="s">
        <v>2528</v>
      </c>
      <c r="D71" s="116"/>
      <c r="E71" s="116" t="s">
        <v>599</v>
      </c>
      <c r="F71" s="116" t="s">
        <v>2522</v>
      </c>
      <c r="G71" s="116" t="s">
        <v>521</v>
      </c>
      <c r="H71" s="117">
        <v>2.1800000000000002</v>
      </c>
      <c r="I71" s="116" t="s">
        <v>218</v>
      </c>
      <c r="J71" s="117" t="s">
        <v>257</v>
      </c>
      <c r="K71" s="116">
        <v>3.85E-2</v>
      </c>
      <c r="L71" s="116">
        <v>2.06E-2</v>
      </c>
      <c r="M71" s="111">
        <v>28039.29</v>
      </c>
      <c r="N71" s="61">
        <v>153.13999999999999</v>
      </c>
      <c r="O71" s="85">
        <v>42.939360000000001</v>
      </c>
      <c r="P71" s="25">
        <v>7.6470538658777293E-4</v>
      </c>
      <c r="Q71" s="25">
        <v>7.4540888570445103E-5</v>
      </c>
      <c r="R71" s="15"/>
    </row>
    <row r="72" spans="1:18" x14ac:dyDescent="0.25">
      <c r="A72" s="17" t="s">
        <v>2851</v>
      </c>
      <c r="B72" s="116" t="s">
        <v>2272</v>
      </c>
      <c r="C72" s="116" t="s">
        <v>2548</v>
      </c>
      <c r="D72" s="116"/>
      <c r="E72" s="116" t="s">
        <v>599</v>
      </c>
      <c r="F72" s="116" t="s">
        <v>2542</v>
      </c>
      <c r="G72" s="116" t="s">
        <v>521</v>
      </c>
      <c r="H72" s="117">
        <v>2.17</v>
      </c>
      <c r="I72" s="116" t="s">
        <v>218</v>
      </c>
      <c r="J72" s="117" t="s">
        <v>257</v>
      </c>
      <c r="K72" s="116">
        <v>5.1699999999999996E-2</v>
      </c>
      <c r="L72" s="116">
        <v>2.06E-2</v>
      </c>
      <c r="M72" s="111">
        <v>28039.52</v>
      </c>
      <c r="N72" s="61">
        <v>157.38</v>
      </c>
      <c r="O72" s="85">
        <v>44.128589999999996</v>
      </c>
      <c r="P72" s="25">
        <v>7.8588433724963126E-4</v>
      </c>
      <c r="Q72" s="25">
        <v>7.6605340879809517E-5</v>
      </c>
      <c r="R72" s="15"/>
    </row>
    <row r="73" spans="1:18" x14ac:dyDescent="0.25">
      <c r="A73" s="17" t="s">
        <v>2851</v>
      </c>
      <c r="B73" s="116" t="s">
        <v>2272</v>
      </c>
      <c r="C73" s="116" t="s">
        <v>2524</v>
      </c>
      <c r="D73" s="116"/>
      <c r="E73" s="116" t="s">
        <v>599</v>
      </c>
      <c r="F73" s="116" t="s">
        <v>2522</v>
      </c>
      <c r="G73" s="116" t="s">
        <v>521</v>
      </c>
      <c r="H73" s="117">
        <v>2.1800000000000002</v>
      </c>
      <c r="I73" s="116" t="s">
        <v>218</v>
      </c>
      <c r="J73" s="117" t="s">
        <v>257</v>
      </c>
      <c r="K73" s="116">
        <v>3.85E-2</v>
      </c>
      <c r="L73" s="116">
        <v>2.06E-2</v>
      </c>
      <c r="M73" s="111">
        <v>22018.880000000001</v>
      </c>
      <c r="N73" s="61">
        <v>153.53</v>
      </c>
      <c r="O73" s="85">
        <v>33.805579999999999</v>
      </c>
      <c r="P73" s="25">
        <v>6.020422550015623E-4</v>
      </c>
      <c r="Q73" s="25">
        <v>5.8685037966082113E-5</v>
      </c>
      <c r="R73" s="15"/>
    </row>
    <row r="74" spans="1:18" x14ac:dyDescent="0.25">
      <c r="A74" s="17" t="s">
        <v>2851</v>
      </c>
      <c r="B74" s="116" t="s">
        <v>2272</v>
      </c>
      <c r="C74" s="116" t="s">
        <v>2544</v>
      </c>
      <c r="D74" s="116"/>
      <c r="E74" s="116" t="s">
        <v>599</v>
      </c>
      <c r="F74" s="116" t="s">
        <v>2542</v>
      </c>
      <c r="G74" s="116" t="s">
        <v>521</v>
      </c>
      <c r="H74" s="117">
        <v>2.17</v>
      </c>
      <c r="I74" s="116" t="s">
        <v>218</v>
      </c>
      <c r="J74" s="117" t="s">
        <v>257</v>
      </c>
      <c r="K74" s="116">
        <v>5.1699999999999996E-2</v>
      </c>
      <c r="L74" s="116">
        <v>2.06E-2</v>
      </c>
      <c r="M74" s="111">
        <v>22019.05</v>
      </c>
      <c r="N74" s="61">
        <v>157.78</v>
      </c>
      <c r="O74" s="85">
        <v>34.74165</v>
      </c>
      <c r="P74" s="25">
        <v>6.1871268910265785E-4</v>
      </c>
      <c r="Q74" s="25">
        <v>6.0310015365934758E-5</v>
      </c>
      <c r="R74" s="15"/>
    </row>
    <row r="75" spans="1:18" x14ac:dyDescent="0.25">
      <c r="A75" s="17" t="s">
        <v>2851</v>
      </c>
      <c r="B75" s="116" t="s">
        <v>2272</v>
      </c>
      <c r="C75" s="116" t="s">
        <v>2533</v>
      </c>
      <c r="D75" s="116"/>
      <c r="E75" s="116" t="s">
        <v>599</v>
      </c>
      <c r="F75" s="116" t="s">
        <v>2522</v>
      </c>
      <c r="G75" s="116" t="s">
        <v>521</v>
      </c>
      <c r="H75" s="117">
        <v>2.1800000000000002</v>
      </c>
      <c r="I75" s="116" t="s">
        <v>218</v>
      </c>
      <c r="J75" s="117" t="s">
        <v>257</v>
      </c>
      <c r="K75" s="116">
        <v>3.85E-2</v>
      </c>
      <c r="L75" s="116">
        <v>2.06E-2</v>
      </c>
      <c r="M75" s="111">
        <v>35366.43</v>
      </c>
      <c r="N75" s="61">
        <v>142.93</v>
      </c>
      <c r="O75" s="85">
        <v>50.549230000000001</v>
      </c>
      <c r="P75" s="25">
        <v>9.0022926445257334E-4</v>
      </c>
      <c r="Q75" s="25">
        <v>8.7751296729895396E-5</v>
      </c>
      <c r="R75" s="15"/>
    </row>
    <row r="76" spans="1:18" x14ac:dyDescent="0.25">
      <c r="A76" s="17" t="s">
        <v>2851</v>
      </c>
      <c r="B76" s="116" t="s">
        <v>2272</v>
      </c>
      <c r="C76" s="116" t="s">
        <v>2553</v>
      </c>
      <c r="D76" s="116"/>
      <c r="E76" s="116" t="s">
        <v>599</v>
      </c>
      <c r="F76" s="116" t="s">
        <v>2542</v>
      </c>
      <c r="G76" s="116" t="s">
        <v>521</v>
      </c>
      <c r="H76" s="117">
        <v>2.17</v>
      </c>
      <c r="I76" s="116" t="s">
        <v>218</v>
      </c>
      <c r="J76" s="117" t="s">
        <v>257</v>
      </c>
      <c r="K76" s="116">
        <v>5.1699999999999996E-2</v>
      </c>
      <c r="L76" s="116">
        <v>2.06E-2</v>
      </c>
      <c r="M76" s="111">
        <v>35366.699999999997</v>
      </c>
      <c r="N76" s="61">
        <v>146.9</v>
      </c>
      <c r="O76" s="85">
        <v>51.953679999999999</v>
      </c>
      <c r="P76" s="25">
        <v>9.2524105969575337E-4</v>
      </c>
      <c r="Q76" s="25">
        <v>9.0189361734887582E-5</v>
      </c>
      <c r="R76" s="15"/>
    </row>
    <row r="77" spans="1:18" x14ac:dyDescent="0.25">
      <c r="A77" s="17" t="s">
        <v>2851</v>
      </c>
      <c r="B77" s="116" t="s">
        <v>2272</v>
      </c>
      <c r="C77" s="116" t="s">
        <v>2537</v>
      </c>
      <c r="D77" s="116"/>
      <c r="E77" s="116" t="s">
        <v>599</v>
      </c>
      <c r="F77" s="116" t="s">
        <v>2522</v>
      </c>
      <c r="G77" s="116" t="s">
        <v>521</v>
      </c>
      <c r="H77" s="117">
        <v>2.1800000000000002</v>
      </c>
      <c r="I77" s="116" t="s">
        <v>218</v>
      </c>
      <c r="J77" s="117" t="s">
        <v>257</v>
      </c>
      <c r="K77" s="116">
        <v>3.85E-2</v>
      </c>
      <c r="L77" s="116">
        <v>2.06E-2</v>
      </c>
      <c r="M77" s="111">
        <v>38703.919999999998</v>
      </c>
      <c r="N77" s="61">
        <v>140.69999999999999</v>
      </c>
      <c r="O77" s="85">
        <v>54.456410000000005</v>
      </c>
      <c r="P77" s="25">
        <v>9.6981208059999653E-4</v>
      </c>
      <c r="Q77" s="25">
        <v>9.45339937473794E-5</v>
      </c>
      <c r="R77" s="15"/>
    </row>
    <row r="78" spans="1:18" x14ac:dyDescent="0.25">
      <c r="A78" s="17" t="s">
        <v>2851</v>
      </c>
      <c r="B78" s="116" t="s">
        <v>2272</v>
      </c>
      <c r="C78" s="116" t="s">
        <v>2557</v>
      </c>
      <c r="D78" s="116"/>
      <c r="E78" s="116" t="s">
        <v>599</v>
      </c>
      <c r="F78" s="116" t="s">
        <v>2542</v>
      </c>
      <c r="G78" s="116" t="s">
        <v>521</v>
      </c>
      <c r="H78" s="117">
        <v>2.17</v>
      </c>
      <c r="I78" s="116" t="s">
        <v>218</v>
      </c>
      <c r="J78" s="117" t="s">
        <v>257</v>
      </c>
      <c r="K78" s="116">
        <v>5.1699999999999996E-2</v>
      </c>
      <c r="L78" s="116">
        <v>2.06E-2</v>
      </c>
      <c r="M78" s="111">
        <v>38704.25</v>
      </c>
      <c r="N78" s="61">
        <v>144.6</v>
      </c>
      <c r="O78" s="85">
        <v>55.966339999999995</v>
      </c>
      <c r="P78" s="25">
        <v>9.9670236504695786E-4</v>
      </c>
      <c r="Q78" s="25">
        <v>9.7155167511477685E-5</v>
      </c>
      <c r="R78" s="15"/>
    </row>
    <row r="79" spans="1:18" x14ac:dyDescent="0.25">
      <c r="A79" s="17" t="s">
        <v>2851</v>
      </c>
      <c r="B79" s="116" t="s">
        <v>2272</v>
      </c>
      <c r="C79" s="116" t="s">
        <v>2530</v>
      </c>
      <c r="D79" s="116"/>
      <c r="E79" s="116" t="s">
        <v>599</v>
      </c>
      <c r="F79" s="116" t="s">
        <v>2522</v>
      </c>
      <c r="G79" s="116" t="s">
        <v>521</v>
      </c>
      <c r="H79" s="117">
        <v>2.1800000000000002</v>
      </c>
      <c r="I79" s="116" t="s">
        <v>218</v>
      </c>
      <c r="J79" s="117" t="s">
        <v>257</v>
      </c>
      <c r="K79" s="116">
        <v>3.85E-2</v>
      </c>
      <c r="L79" s="116">
        <v>2.06E-2</v>
      </c>
      <c r="M79" s="111">
        <v>92294.2</v>
      </c>
      <c r="N79" s="61">
        <v>149.38</v>
      </c>
      <c r="O79" s="85">
        <v>137.86906999999999</v>
      </c>
      <c r="P79" s="25">
        <v>2.4553048874703005E-3</v>
      </c>
      <c r="Q79" s="25">
        <v>2.3933479642409425E-4</v>
      </c>
      <c r="R79" s="15"/>
    </row>
    <row r="80" spans="1:18" x14ac:dyDescent="0.25">
      <c r="A80" s="17" t="s">
        <v>2851</v>
      </c>
      <c r="B80" s="116" t="s">
        <v>2272</v>
      </c>
      <c r="C80" s="116" t="s">
        <v>2550</v>
      </c>
      <c r="D80" s="116"/>
      <c r="E80" s="116" t="s">
        <v>599</v>
      </c>
      <c r="F80" s="116" t="s">
        <v>2542</v>
      </c>
      <c r="G80" s="116" t="s">
        <v>521</v>
      </c>
      <c r="H80" s="117">
        <v>2.17</v>
      </c>
      <c r="I80" s="116" t="s">
        <v>218</v>
      </c>
      <c r="J80" s="117" t="s">
        <v>257</v>
      </c>
      <c r="K80" s="116">
        <v>5.1699999999999996E-2</v>
      </c>
      <c r="L80" s="116">
        <v>2.06E-2</v>
      </c>
      <c r="M80" s="111">
        <v>92289.63</v>
      </c>
      <c r="N80" s="61">
        <v>153.52000000000001</v>
      </c>
      <c r="O80" s="85">
        <v>141.68303</v>
      </c>
      <c r="P80" s="25">
        <v>2.5232275522755121E-3</v>
      </c>
      <c r="Q80" s="25">
        <v>2.4595566751700609E-4</v>
      </c>
      <c r="R80" s="15"/>
    </row>
    <row r="81" spans="1:18" x14ac:dyDescent="0.25">
      <c r="A81" s="17" t="s">
        <v>2851</v>
      </c>
      <c r="B81" s="116" t="s">
        <v>2272</v>
      </c>
      <c r="C81" s="116" t="s">
        <v>2534</v>
      </c>
      <c r="D81" s="116"/>
      <c r="E81" s="116" t="s">
        <v>599</v>
      </c>
      <c r="F81" s="116" t="s">
        <v>2522</v>
      </c>
      <c r="G81" s="116" t="s">
        <v>521</v>
      </c>
      <c r="H81" s="117">
        <v>2.1800000000000002</v>
      </c>
      <c r="I81" s="116" t="s">
        <v>218</v>
      </c>
      <c r="J81" s="117" t="s">
        <v>257</v>
      </c>
      <c r="K81" s="116">
        <v>3.85E-2</v>
      </c>
      <c r="L81" s="116">
        <v>2.06E-2</v>
      </c>
      <c r="M81" s="111">
        <v>43999.97</v>
      </c>
      <c r="N81" s="61">
        <v>140.69</v>
      </c>
      <c r="O81" s="85">
        <v>61.903550000000003</v>
      </c>
      <c r="P81" s="25">
        <v>1.1024379062451219E-3</v>
      </c>
      <c r="Q81" s="25">
        <v>1.0746190960147001E-4</v>
      </c>
      <c r="R81" s="15"/>
    </row>
    <row r="82" spans="1:18" x14ac:dyDescent="0.25">
      <c r="A82" s="17" t="s">
        <v>2851</v>
      </c>
      <c r="B82" s="116" t="s">
        <v>2272</v>
      </c>
      <c r="C82" s="116" t="s">
        <v>2554</v>
      </c>
      <c r="D82" s="116"/>
      <c r="E82" s="116" t="s">
        <v>599</v>
      </c>
      <c r="F82" s="116" t="s">
        <v>2542</v>
      </c>
      <c r="G82" s="116" t="s">
        <v>521</v>
      </c>
      <c r="H82" s="117">
        <v>2.17</v>
      </c>
      <c r="I82" s="116" t="s">
        <v>218</v>
      </c>
      <c r="J82" s="117" t="s">
        <v>257</v>
      </c>
      <c r="K82" s="116">
        <v>5.1699999999999996E-2</v>
      </c>
      <c r="L82" s="116">
        <v>2.06E-2</v>
      </c>
      <c r="M82" s="111">
        <v>44000.32</v>
      </c>
      <c r="N82" s="61">
        <v>144.59</v>
      </c>
      <c r="O82" s="85">
        <v>63.620059999999995</v>
      </c>
      <c r="P82" s="25">
        <v>1.1330071658505695E-3</v>
      </c>
      <c r="Q82" s="25">
        <v>1.104416973915082E-4</v>
      </c>
      <c r="R82" s="15"/>
    </row>
    <row r="83" spans="1:18" x14ac:dyDescent="0.25">
      <c r="A83" s="17" t="s">
        <v>2851</v>
      </c>
      <c r="B83" s="116" t="s">
        <v>2272</v>
      </c>
      <c r="C83" s="116" t="s">
        <v>2538</v>
      </c>
      <c r="D83" s="116"/>
      <c r="E83" s="116" t="s">
        <v>599</v>
      </c>
      <c r="F83" s="116" t="s">
        <v>2522</v>
      </c>
      <c r="G83" s="116" t="s">
        <v>521</v>
      </c>
      <c r="H83" s="117">
        <v>2.1800000000000002</v>
      </c>
      <c r="I83" s="116" t="s">
        <v>218</v>
      </c>
      <c r="J83" s="117" t="s">
        <v>257</v>
      </c>
      <c r="K83" s="116">
        <v>3.85E-2</v>
      </c>
      <c r="L83" s="116">
        <v>2.06E-2</v>
      </c>
      <c r="M83" s="111">
        <v>27455.13</v>
      </c>
      <c r="N83" s="61">
        <v>142.24</v>
      </c>
      <c r="O83" s="85">
        <v>39.052169999999997</v>
      </c>
      <c r="P83" s="25">
        <v>6.9547857157026619E-4</v>
      </c>
      <c r="Q83" s="25">
        <v>6.779289333618571E-5</v>
      </c>
      <c r="R83" s="15"/>
    </row>
    <row r="84" spans="1:18" x14ac:dyDescent="0.25">
      <c r="A84" s="17" t="s">
        <v>2851</v>
      </c>
      <c r="B84" s="116" t="s">
        <v>2272</v>
      </c>
      <c r="C84" s="116" t="s">
        <v>2558</v>
      </c>
      <c r="D84" s="116"/>
      <c r="E84" s="116" t="s">
        <v>599</v>
      </c>
      <c r="F84" s="116" t="s">
        <v>2542</v>
      </c>
      <c r="G84" s="116" t="s">
        <v>521</v>
      </c>
      <c r="H84" s="117">
        <v>2.17</v>
      </c>
      <c r="I84" s="116" t="s">
        <v>218</v>
      </c>
      <c r="J84" s="117" t="s">
        <v>257</v>
      </c>
      <c r="K84" s="116">
        <v>5.1699999999999996E-2</v>
      </c>
      <c r="L84" s="116">
        <v>2.07E-2</v>
      </c>
      <c r="M84" s="111">
        <v>27455.360000000001</v>
      </c>
      <c r="N84" s="61">
        <v>146.18</v>
      </c>
      <c r="O84" s="85">
        <v>40.134239999999998</v>
      </c>
      <c r="P84" s="25">
        <v>7.1474911397390311E-4</v>
      </c>
      <c r="Q84" s="25">
        <v>6.9671320478449162E-5</v>
      </c>
      <c r="R84" s="15"/>
    </row>
    <row r="85" spans="1:18" x14ac:dyDescent="0.25">
      <c r="A85" s="17" t="s">
        <v>2851</v>
      </c>
      <c r="B85" s="116" t="s">
        <v>2272</v>
      </c>
      <c r="C85" s="116" t="s">
        <v>2532</v>
      </c>
      <c r="D85" s="116"/>
      <c r="E85" s="116" t="s">
        <v>599</v>
      </c>
      <c r="F85" s="116" t="s">
        <v>2522</v>
      </c>
      <c r="G85" s="116" t="s">
        <v>521</v>
      </c>
      <c r="H85" s="117">
        <v>2.1800000000000002</v>
      </c>
      <c r="I85" s="116" t="s">
        <v>218</v>
      </c>
      <c r="J85" s="117" t="s">
        <v>257</v>
      </c>
      <c r="K85" s="116">
        <v>3.85E-2</v>
      </c>
      <c r="L85" s="116">
        <v>2.06E-2</v>
      </c>
      <c r="M85" s="111">
        <v>45449.9</v>
      </c>
      <c r="N85" s="61">
        <v>147.22</v>
      </c>
      <c r="O85" s="85">
        <v>66.911339999999996</v>
      </c>
      <c r="P85" s="25">
        <v>1.1916214429326826E-3</v>
      </c>
      <c r="Q85" s="25">
        <v>1.1615521840658934E-4</v>
      </c>
      <c r="R85" s="15"/>
    </row>
    <row r="86" spans="1:18" x14ac:dyDescent="0.25">
      <c r="A86" s="17" t="s">
        <v>2851</v>
      </c>
      <c r="B86" s="116" t="s">
        <v>2272</v>
      </c>
      <c r="C86" s="116" t="s">
        <v>2552</v>
      </c>
      <c r="D86" s="116"/>
      <c r="E86" s="116" t="s">
        <v>599</v>
      </c>
      <c r="F86" s="116" t="s">
        <v>2542</v>
      </c>
      <c r="G86" s="116" t="s">
        <v>521</v>
      </c>
      <c r="H86" s="117">
        <v>2.17</v>
      </c>
      <c r="I86" s="116" t="s">
        <v>218</v>
      </c>
      <c r="J86" s="117" t="s">
        <v>257</v>
      </c>
      <c r="K86" s="116">
        <v>5.1699999999999996E-2</v>
      </c>
      <c r="L86" s="116">
        <v>2.06E-2</v>
      </c>
      <c r="M86" s="111">
        <v>45450.27</v>
      </c>
      <c r="N86" s="61">
        <v>151.30000000000001</v>
      </c>
      <c r="O86" s="85">
        <v>68.766249999999999</v>
      </c>
      <c r="P86" s="25">
        <v>1.2246554627372518E-3</v>
      </c>
      <c r="Q86" s="25">
        <v>1.1937526266477588E-4</v>
      </c>
      <c r="R86" s="15"/>
    </row>
    <row r="87" spans="1:18" x14ac:dyDescent="0.25">
      <c r="A87" s="17" t="s">
        <v>2851</v>
      </c>
      <c r="B87" s="116" t="s">
        <v>2272</v>
      </c>
      <c r="C87" s="116" t="s">
        <v>2536</v>
      </c>
      <c r="D87" s="116"/>
      <c r="E87" s="116" t="s">
        <v>599</v>
      </c>
      <c r="F87" s="116" t="s">
        <v>2522</v>
      </c>
      <c r="G87" s="116" t="s">
        <v>521</v>
      </c>
      <c r="H87" s="117">
        <v>2.1800000000000002</v>
      </c>
      <c r="I87" s="116" t="s">
        <v>218</v>
      </c>
      <c r="J87" s="117" t="s">
        <v>257</v>
      </c>
      <c r="K87" s="116">
        <v>3.85E-2</v>
      </c>
      <c r="L87" s="116">
        <v>2.06E-2</v>
      </c>
      <c r="M87" s="111">
        <v>37332.01</v>
      </c>
      <c r="N87" s="61">
        <v>140.01</v>
      </c>
      <c r="O87" s="85">
        <v>52.268540000000002</v>
      </c>
      <c r="P87" s="25">
        <v>9.3084838914875474E-4</v>
      </c>
      <c r="Q87" s="25">
        <v>9.0735945199925034E-5</v>
      </c>
      <c r="R87" s="15"/>
    </row>
    <row r="88" spans="1:18" x14ac:dyDescent="0.25">
      <c r="A88" s="17" t="s">
        <v>2851</v>
      </c>
      <c r="B88" s="116" t="s">
        <v>2272</v>
      </c>
      <c r="C88" s="116" t="s">
        <v>2556</v>
      </c>
      <c r="D88" s="116"/>
      <c r="E88" s="116" t="s">
        <v>599</v>
      </c>
      <c r="F88" s="116" t="s">
        <v>2542</v>
      </c>
      <c r="G88" s="116" t="s">
        <v>521</v>
      </c>
      <c r="H88" s="117">
        <v>2.17</v>
      </c>
      <c r="I88" s="116" t="s">
        <v>218</v>
      </c>
      <c r="J88" s="117" t="s">
        <v>257</v>
      </c>
      <c r="K88" s="116">
        <v>5.1699999999999996E-2</v>
      </c>
      <c r="L88" s="116">
        <v>2.06E-2</v>
      </c>
      <c r="M88" s="111">
        <v>37332.28</v>
      </c>
      <c r="N88" s="61">
        <v>143.88999999999999</v>
      </c>
      <c r="O88" s="85">
        <v>53.717410000000001</v>
      </c>
      <c r="P88" s="25">
        <v>9.5665125843850257E-4</v>
      </c>
      <c r="Q88" s="25">
        <v>9.3251121421067149E-5</v>
      </c>
      <c r="R88" s="15"/>
    </row>
    <row r="89" spans="1:18" x14ac:dyDescent="0.25">
      <c r="A89" s="17" t="s">
        <v>2851</v>
      </c>
      <c r="B89" s="116" t="s">
        <v>2272</v>
      </c>
      <c r="C89" s="116" t="s">
        <v>2527</v>
      </c>
      <c r="D89" s="116"/>
      <c r="E89" s="116" t="s">
        <v>599</v>
      </c>
      <c r="F89" s="116" t="s">
        <v>2522</v>
      </c>
      <c r="G89" s="116" t="s">
        <v>521</v>
      </c>
      <c r="H89" s="117">
        <v>2.1800000000000002</v>
      </c>
      <c r="I89" s="116" t="s">
        <v>218</v>
      </c>
      <c r="J89" s="117" t="s">
        <v>257</v>
      </c>
      <c r="K89" s="116">
        <v>3.85E-2</v>
      </c>
      <c r="L89" s="116">
        <v>2.06E-2</v>
      </c>
      <c r="M89" s="111">
        <v>29887.15</v>
      </c>
      <c r="N89" s="61">
        <v>151.94</v>
      </c>
      <c r="O89" s="85">
        <v>45.410530000000001</v>
      </c>
      <c r="P89" s="25">
        <v>8.0871435668360353E-4</v>
      </c>
      <c r="Q89" s="25">
        <v>7.8830733775604828E-5</v>
      </c>
      <c r="R89" s="15"/>
    </row>
    <row r="90" spans="1:18" x14ac:dyDescent="0.25">
      <c r="A90" s="17" t="s">
        <v>2851</v>
      </c>
      <c r="B90" s="116" t="s">
        <v>2272</v>
      </c>
      <c r="C90" s="116" t="s">
        <v>2547</v>
      </c>
      <c r="D90" s="116"/>
      <c r="E90" s="116" t="s">
        <v>599</v>
      </c>
      <c r="F90" s="116" t="s">
        <v>2542</v>
      </c>
      <c r="G90" s="116" t="s">
        <v>521</v>
      </c>
      <c r="H90" s="117">
        <v>2.17</v>
      </c>
      <c r="I90" s="116" t="s">
        <v>218</v>
      </c>
      <c r="J90" s="117" t="s">
        <v>257</v>
      </c>
      <c r="K90" s="116">
        <v>5.1699999999999996E-2</v>
      </c>
      <c r="L90" s="116">
        <v>2.06E-2</v>
      </c>
      <c r="M90" s="111">
        <v>29853.74</v>
      </c>
      <c r="N90" s="61">
        <v>156.15</v>
      </c>
      <c r="O90" s="85">
        <v>46.616610000000001</v>
      </c>
      <c r="P90" s="25">
        <v>8.3019338833791284E-4</v>
      </c>
      <c r="Q90" s="25">
        <v>8.0924436962774882E-5</v>
      </c>
      <c r="R90" s="15"/>
    </row>
    <row r="91" spans="1:18" x14ac:dyDescent="0.25">
      <c r="A91" s="17" t="s">
        <v>2851</v>
      </c>
      <c r="B91" s="116" t="s">
        <v>2272</v>
      </c>
      <c r="C91" s="116" t="s">
        <v>2531</v>
      </c>
      <c r="D91" s="116"/>
      <c r="E91" s="116" t="s">
        <v>599</v>
      </c>
      <c r="F91" s="116" t="s">
        <v>2522</v>
      </c>
      <c r="G91" s="116" t="s">
        <v>521</v>
      </c>
      <c r="H91" s="117">
        <v>2.1800000000000002</v>
      </c>
      <c r="I91" s="116" t="s">
        <v>218</v>
      </c>
      <c r="J91" s="117" t="s">
        <v>257</v>
      </c>
      <c r="K91" s="116">
        <v>3.85E-2</v>
      </c>
      <c r="L91" s="116">
        <v>2.06E-2</v>
      </c>
      <c r="M91" s="111">
        <v>61300.26</v>
      </c>
      <c r="N91" s="61">
        <v>149.82</v>
      </c>
      <c r="O91" s="85">
        <v>91.840039999999988</v>
      </c>
      <c r="P91" s="25">
        <v>1.6355756884228485E-3</v>
      </c>
      <c r="Q91" s="25">
        <v>1.5943037315752309E-4</v>
      </c>
      <c r="R91" s="15"/>
    </row>
    <row r="92" spans="1:18" x14ac:dyDescent="0.25">
      <c r="A92" s="17" t="s">
        <v>2851</v>
      </c>
      <c r="B92" s="116" t="s">
        <v>2272</v>
      </c>
      <c r="C92" s="116" t="s">
        <v>2551</v>
      </c>
      <c r="D92" s="116"/>
      <c r="E92" s="116" t="s">
        <v>599</v>
      </c>
      <c r="F92" s="116" t="s">
        <v>2542</v>
      </c>
      <c r="G92" s="116" t="s">
        <v>521</v>
      </c>
      <c r="H92" s="117">
        <v>2.17</v>
      </c>
      <c r="I92" s="116" t="s">
        <v>218</v>
      </c>
      <c r="J92" s="117" t="s">
        <v>257</v>
      </c>
      <c r="K92" s="116">
        <v>5.1699999999999996E-2</v>
      </c>
      <c r="L92" s="116">
        <v>2.06E-2</v>
      </c>
      <c r="M92" s="111">
        <v>61300.7</v>
      </c>
      <c r="N92" s="61">
        <v>153.97999999999999</v>
      </c>
      <c r="O92" s="85">
        <v>94.390810000000002</v>
      </c>
      <c r="P92" s="25">
        <v>1.6810022518123937E-3</v>
      </c>
      <c r="Q92" s="25">
        <v>1.6385840055101091E-4</v>
      </c>
      <c r="R92" s="15"/>
    </row>
    <row r="93" spans="1:18" x14ac:dyDescent="0.25">
      <c r="A93" s="17" t="s">
        <v>2851</v>
      </c>
      <c r="B93" s="116" t="s">
        <v>2272</v>
      </c>
      <c r="C93" s="116" t="s">
        <v>2535</v>
      </c>
      <c r="D93" s="116"/>
      <c r="E93" s="116" t="s">
        <v>599</v>
      </c>
      <c r="F93" s="116" t="s">
        <v>2522</v>
      </c>
      <c r="G93" s="116" t="s">
        <v>521</v>
      </c>
      <c r="H93" s="117">
        <v>2.1800000000000002</v>
      </c>
      <c r="I93" s="116" t="s">
        <v>218</v>
      </c>
      <c r="J93" s="117" t="s">
        <v>257</v>
      </c>
      <c r="K93" s="116">
        <v>3.85E-2</v>
      </c>
      <c r="L93" s="116">
        <v>2.06E-2</v>
      </c>
      <c r="M93" s="111">
        <v>42370.85</v>
      </c>
      <c r="N93" s="61">
        <v>140.43</v>
      </c>
      <c r="O93" s="85">
        <v>59.501379999999997</v>
      </c>
      <c r="P93" s="25">
        <v>1.0596577544566565E-3</v>
      </c>
      <c r="Q93" s="25">
        <v>1.032918454389565E-4</v>
      </c>
      <c r="R93" s="15"/>
    </row>
    <row r="94" spans="1:18" x14ac:dyDescent="0.25">
      <c r="A94" s="17" t="s">
        <v>2851</v>
      </c>
      <c r="B94" s="116" t="s">
        <v>2272</v>
      </c>
      <c r="C94" s="116" t="s">
        <v>2555</v>
      </c>
      <c r="D94" s="116"/>
      <c r="E94" s="116" t="s">
        <v>599</v>
      </c>
      <c r="F94" s="116" t="s">
        <v>2542</v>
      </c>
      <c r="G94" s="116" t="s">
        <v>521</v>
      </c>
      <c r="H94" s="117">
        <v>2.17</v>
      </c>
      <c r="I94" s="116" t="s">
        <v>218</v>
      </c>
      <c r="J94" s="117" t="s">
        <v>257</v>
      </c>
      <c r="K94" s="116">
        <v>5.1699999999999996E-2</v>
      </c>
      <c r="L94" s="116">
        <v>2.07E-2</v>
      </c>
      <c r="M94" s="111">
        <v>42371.21</v>
      </c>
      <c r="N94" s="61">
        <v>144.32</v>
      </c>
      <c r="O94" s="85">
        <v>61.150129999999997</v>
      </c>
      <c r="P94" s="25">
        <v>1.0890202788663493E-3</v>
      </c>
      <c r="Q94" s="25">
        <v>1.0615400477320184E-4</v>
      </c>
      <c r="R94" s="15"/>
    </row>
    <row r="95" spans="1:18" x14ac:dyDescent="0.25">
      <c r="A95" s="17" t="s">
        <v>2851</v>
      </c>
      <c r="B95" s="116" t="s">
        <v>2272</v>
      </c>
      <c r="C95" s="116" t="s">
        <v>2539</v>
      </c>
      <c r="D95" s="116"/>
      <c r="E95" s="116" t="s">
        <v>599</v>
      </c>
      <c r="F95" s="116" t="s">
        <v>2522</v>
      </c>
      <c r="G95" s="116" t="s">
        <v>521</v>
      </c>
      <c r="H95" s="117">
        <v>2.1800000000000002</v>
      </c>
      <c r="I95" s="116" t="s">
        <v>218</v>
      </c>
      <c r="J95" s="117" t="s">
        <v>257</v>
      </c>
      <c r="K95" s="116">
        <v>3.85E-2</v>
      </c>
      <c r="L95" s="116">
        <v>2.06E-2</v>
      </c>
      <c r="M95" s="111">
        <v>16546.48</v>
      </c>
      <c r="N95" s="61">
        <v>143.24</v>
      </c>
      <c r="O95" s="85">
        <v>23.701169999999998</v>
      </c>
      <c r="P95" s="25">
        <v>4.2209321162291484E-4</v>
      </c>
      <c r="Q95" s="25">
        <v>4.1144215283114982E-5</v>
      </c>
      <c r="R95" s="15"/>
    </row>
    <row r="96" spans="1:18" x14ac:dyDescent="0.25">
      <c r="A96" s="17" t="s">
        <v>2851</v>
      </c>
      <c r="B96" s="116" t="s">
        <v>2272</v>
      </c>
      <c r="C96" s="116" t="s">
        <v>2559</v>
      </c>
      <c r="D96" s="116"/>
      <c r="E96" s="116" t="s">
        <v>599</v>
      </c>
      <c r="F96" s="116" t="s">
        <v>2542</v>
      </c>
      <c r="G96" s="116" t="s">
        <v>521</v>
      </c>
      <c r="H96" s="117">
        <v>2.17</v>
      </c>
      <c r="I96" s="116" t="s">
        <v>218</v>
      </c>
      <c r="J96" s="117" t="s">
        <v>257</v>
      </c>
      <c r="K96" s="116">
        <v>5.1699999999999996E-2</v>
      </c>
      <c r="L96" s="116">
        <v>2.06E-2</v>
      </c>
      <c r="M96" s="111">
        <v>16546.599999999999</v>
      </c>
      <c r="N96" s="61">
        <v>147.21</v>
      </c>
      <c r="O96" s="85">
        <v>24.358240000000002</v>
      </c>
      <c r="P96" s="25">
        <v>4.3379494561161959E-4</v>
      </c>
      <c r="Q96" s="25">
        <v>4.2284860640963421E-5</v>
      </c>
      <c r="R96" s="15"/>
    </row>
    <row r="97" spans="1:18" x14ac:dyDescent="0.25">
      <c r="A97" s="17" t="s">
        <v>2852</v>
      </c>
      <c r="B97" s="116" t="s">
        <v>2272</v>
      </c>
      <c r="C97" s="116" t="s">
        <v>2569</v>
      </c>
      <c r="D97" s="116"/>
      <c r="E97" s="116" t="s">
        <v>582</v>
      </c>
      <c r="F97" s="116" t="s">
        <v>2570</v>
      </c>
      <c r="G97" s="116" t="s">
        <v>256</v>
      </c>
      <c r="H97" s="117">
        <v>0.56000000000000005</v>
      </c>
      <c r="I97" s="116" t="s">
        <v>220</v>
      </c>
      <c r="J97" s="117" t="s">
        <v>257</v>
      </c>
      <c r="K97" s="116">
        <v>0.03</v>
      </c>
      <c r="L97" s="116">
        <v>2.5699999999999997E-2</v>
      </c>
      <c r="M97" s="111">
        <v>184489.76</v>
      </c>
      <c r="N97" s="61">
        <v>112.16</v>
      </c>
      <c r="O97" s="85">
        <v>206.92371</v>
      </c>
      <c r="P97" s="25">
        <v>3.6850962764635106E-3</v>
      </c>
      <c r="Q97" s="25">
        <v>3.5921069176841707E-4</v>
      </c>
      <c r="R97" s="15"/>
    </row>
    <row r="98" spans="1:18" x14ac:dyDescent="0.25">
      <c r="A98" s="17" t="s">
        <v>2853</v>
      </c>
      <c r="B98" s="116" t="s">
        <v>2272</v>
      </c>
      <c r="C98" s="116" t="s">
        <v>2571</v>
      </c>
      <c r="D98" s="116"/>
      <c r="E98" s="116" t="s">
        <v>582</v>
      </c>
      <c r="F98" s="116" t="s">
        <v>2570</v>
      </c>
      <c r="G98" s="116" t="s">
        <v>256</v>
      </c>
      <c r="H98" s="117">
        <v>0.56000000000000005</v>
      </c>
      <c r="I98" s="116" t="s">
        <v>220</v>
      </c>
      <c r="J98" s="117" t="s">
        <v>257</v>
      </c>
      <c r="K98" s="116">
        <v>0.03</v>
      </c>
      <c r="L98" s="116">
        <v>2.5699999999999997E-2</v>
      </c>
      <c r="M98" s="111">
        <v>184489.76</v>
      </c>
      <c r="N98" s="61">
        <v>112.16</v>
      </c>
      <c r="O98" s="85">
        <v>206.92371</v>
      </c>
      <c r="P98" s="25">
        <v>3.6850962764635106E-3</v>
      </c>
      <c r="Q98" s="25">
        <v>3.5921069176841707E-4</v>
      </c>
      <c r="R98" s="15"/>
    </row>
    <row r="99" spans="1:18" x14ac:dyDescent="0.25">
      <c r="A99" s="17" t="s">
        <v>2852</v>
      </c>
      <c r="B99" s="116" t="s">
        <v>2272</v>
      </c>
      <c r="C99" s="116" t="s">
        <v>2490</v>
      </c>
      <c r="D99" s="116"/>
      <c r="E99" s="116" t="s">
        <v>582</v>
      </c>
      <c r="F99" s="116" t="s">
        <v>2491</v>
      </c>
      <c r="G99" s="116" t="s">
        <v>256</v>
      </c>
      <c r="H99" s="117">
        <v>0.57999999999999996</v>
      </c>
      <c r="I99" s="116" t="s">
        <v>220</v>
      </c>
      <c r="J99" s="117" t="s">
        <v>257</v>
      </c>
      <c r="K99" s="116">
        <v>0.03</v>
      </c>
      <c r="L99" s="116">
        <v>2.58E-2</v>
      </c>
      <c r="M99" s="111">
        <v>821397.98</v>
      </c>
      <c r="N99" s="61">
        <v>110.7</v>
      </c>
      <c r="O99" s="85">
        <v>909.2875600000001</v>
      </c>
      <c r="P99" s="25">
        <v>1.619346667228512E-2</v>
      </c>
      <c r="Q99" s="25">
        <v>1.5784842319133757E-3</v>
      </c>
      <c r="R99" s="15"/>
    </row>
    <row r="100" spans="1:18" x14ac:dyDescent="0.25">
      <c r="A100" s="17" t="s">
        <v>2853</v>
      </c>
      <c r="B100" s="116" t="s">
        <v>2272</v>
      </c>
      <c r="C100" s="116" t="s">
        <v>2492</v>
      </c>
      <c r="D100" s="116"/>
      <c r="E100" s="116" t="s">
        <v>582</v>
      </c>
      <c r="F100" s="116" t="s">
        <v>2491</v>
      </c>
      <c r="G100" s="116" t="s">
        <v>256</v>
      </c>
      <c r="H100" s="117">
        <v>0.57999999999999996</v>
      </c>
      <c r="I100" s="116" t="s">
        <v>220</v>
      </c>
      <c r="J100" s="117" t="s">
        <v>257</v>
      </c>
      <c r="K100" s="116">
        <v>0.03</v>
      </c>
      <c r="L100" s="116">
        <v>2.58E-2</v>
      </c>
      <c r="M100" s="111">
        <v>821397.98</v>
      </c>
      <c r="N100" s="61">
        <v>110.7</v>
      </c>
      <c r="O100" s="85">
        <v>909.2875600000001</v>
      </c>
      <c r="P100" s="25">
        <v>1.619346667228512E-2</v>
      </c>
      <c r="Q100" s="25">
        <v>1.5784842319133757E-3</v>
      </c>
      <c r="R100" s="15"/>
    </row>
    <row r="101" spans="1:18" x14ac:dyDescent="0.25">
      <c r="A101" s="17" t="s">
        <v>2854</v>
      </c>
      <c r="B101" s="116" t="s">
        <v>2272</v>
      </c>
      <c r="C101" s="116" t="s">
        <v>2582</v>
      </c>
      <c r="D101" s="116"/>
      <c r="E101" s="116" t="s">
        <v>520</v>
      </c>
      <c r="F101" s="116" t="s">
        <v>2583</v>
      </c>
      <c r="G101" s="116" t="s">
        <v>521</v>
      </c>
      <c r="H101" s="117">
        <v>7.57</v>
      </c>
      <c r="I101" s="116" t="s">
        <v>220</v>
      </c>
      <c r="J101" s="117" t="s">
        <v>257</v>
      </c>
      <c r="K101" s="116">
        <v>2.2700000000000001E-2</v>
      </c>
      <c r="L101" s="116">
        <v>2.2700000000000001E-2</v>
      </c>
      <c r="M101" s="111">
        <v>1391054.85</v>
      </c>
      <c r="N101" s="61">
        <v>110.26</v>
      </c>
      <c r="O101" s="85">
        <v>1533.7770700000001</v>
      </c>
      <c r="P101" s="25">
        <v>2.7314975985990749E-2</v>
      </c>
      <c r="Q101" s="25">
        <v>2.6625712555281168E-3</v>
      </c>
      <c r="R101" s="15"/>
    </row>
    <row r="102" spans="1:18" x14ac:dyDescent="0.25">
      <c r="A102" s="17" t="s">
        <v>2855</v>
      </c>
      <c r="B102" s="116" t="s">
        <v>2272</v>
      </c>
      <c r="C102" s="116" t="s">
        <v>2436</v>
      </c>
      <c r="D102" s="116"/>
      <c r="E102" s="116" t="s">
        <v>545</v>
      </c>
      <c r="F102" s="116" t="s">
        <v>2437</v>
      </c>
      <c r="G102" s="116" t="s">
        <v>256</v>
      </c>
      <c r="H102" s="117">
        <v>2.93</v>
      </c>
      <c r="I102" s="116" t="s">
        <v>204</v>
      </c>
      <c r="J102" s="117" t="s">
        <v>257</v>
      </c>
      <c r="K102" s="116">
        <v>3.4799999999999998E-2</v>
      </c>
      <c r="L102" s="116">
        <v>3.5400000000000001E-2</v>
      </c>
      <c r="M102" s="111">
        <v>2263354.86</v>
      </c>
      <c r="N102" s="61">
        <v>113.63</v>
      </c>
      <c r="O102" s="85">
        <v>2571.8501200000001</v>
      </c>
      <c r="P102" s="25">
        <v>4.5801978424000966E-2</v>
      </c>
      <c r="Q102" s="25">
        <v>4.4646215783096408E-3</v>
      </c>
      <c r="R102" s="15"/>
    </row>
    <row r="103" spans="1:18" x14ac:dyDescent="0.25">
      <c r="A103" s="17" t="s">
        <v>2856</v>
      </c>
      <c r="B103" s="116" t="s">
        <v>2272</v>
      </c>
      <c r="C103" s="116" t="s">
        <v>2650</v>
      </c>
      <c r="D103" s="116"/>
      <c r="E103" s="116" t="s">
        <v>520</v>
      </c>
      <c r="F103" s="116" t="s">
        <v>2651</v>
      </c>
      <c r="G103" s="116" t="s">
        <v>521</v>
      </c>
      <c r="H103" s="117">
        <v>1.08</v>
      </c>
      <c r="I103" s="116" t="s">
        <v>204</v>
      </c>
      <c r="J103" s="117" t="s">
        <v>125</v>
      </c>
      <c r="K103" s="116">
        <v>7.7834299999999995E-2</v>
      </c>
      <c r="L103" s="116">
        <v>8.0799999999999997E-2</v>
      </c>
      <c r="M103" s="111">
        <v>56454.04</v>
      </c>
      <c r="N103" s="61">
        <v>99.88</v>
      </c>
      <c r="O103" s="85">
        <v>208.62929</v>
      </c>
      <c r="P103" s="25">
        <v>3.7154708841254875E-3</v>
      </c>
      <c r="Q103" s="25">
        <v>3.6217150554691726E-4</v>
      </c>
      <c r="R103" s="15"/>
    </row>
    <row r="104" spans="1:18" x14ac:dyDescent="0.25">
      <c r="A104" s="17" t="s">
        <v>2856</v>
      </c>
      <c r="B104" s="116" t="s">
        <v>2272</v>
      </c>
      <c r="C104" s="116" t="s">
        <v>2662</v>
      </c>
      <c r="D104" s="116"/>
      <c r="E104" s="116" t="s">
        <v>520</v>
      </c>
      <c r="F104" s="116" t="s">
        <v>2663</v>
      </c>
      <c r="G104" s="116" t="s">
        <v>521</v>
      </c>
      <c r="H104" s="117">
        <v>3.64</v>
      </c>
      <c r="I104" s="116" t="s">
        <v>204</v>
      </c>
      <c r="J104" s="117" t="s">
        <v>126</v>
      </c>
      <c r="K104" s="116">
        <v>4.8869999523162837E-2</v>
      </c>
      <c r="L104" s="116">
        <v>4.7599999999999996E-2</v>
      </c>
      <c r="M104" s="111">
        <v>119137.54</v>
      </c>
      <c r="N104" s="61">
        <v>99.62</v>
      </c>
      <c r="O104" s="85">
        <v>476.93493000000001</v>
      </c>
      <c r="P104" s="25">
        <v>8.4937155566096566E-3</v>
      </c>
      <c r="Q104" s="25">
        <v>8.279385969535419E-4</v>
      </c>
      <c r="R104" s="15"/>
    </row>
    <row r="105" spans="1:18" x14ac:dyDescent="0.25">
      <c r="A105" s="17" t="s">
        <v>2856</v>
      </c>
      <c r="B105" s="116" t="s">
        <v>2272</v>
      </c>
      <c r="C105" s="116" t="s">
        <v>2664</v>
      </c>
      <c r="D105" s="116"/>
      <c r="E105" s="116" t="s">
        <v>520</v>
      </c>
      <c r="F105" s="116" t="s">
        <v>2663</v>
      </c>
      <c r="G105" s="116" t="s">
        <v>521</v>
      </c>
      <c r="H105" s="117">
        <v>3.64</v>
      </c>
      <c r="I105" s="116" t="s">
        <v>204</v>
      </c>
      <c r="J105" s="117" t="s">
        <v>126</v>
      </c>
      <c r="K105" s="116">
        <v>4.8869999523162837E-2</v>
      </c>
      <c r="L105" s="116">
        <v>4.7599999999999996E-2</v>
      </c>
      <c r="M105" s="111">
        <v>3954.05</v>
      </c>
      <c r="N105" s="61">
        <v>99.62</v>
      </c>
      <c r="O105" s="85">
        <v>15.82897</v>
      </c>
      <c r="P105" s="25">
        <v>2.8189750902519876E-4</v>
      </c>
      <c r="Q105" s="25">
        <v>2.7478413487180957E-5</v>
      </c>
      <c r="R105" s="15"/>
    </row>
    <row r="106" spans="1:18" x14ac:dyDescent="0.25">
      <c r="A106" s="17" t="s">
        <v>2856</v>
      </c>
      <c r="B106" s="116" t="s">
        <v>2272</v>
      </c>
      <c r="C106" s="116" t="s">
        <v>2665</v>
      </c>
      <c r="D106" s="116"/>
      <c r="E106" s="116" t="s">
        <v>520</v>
      </c>
      <c r="F106" s="116" t="s">
        <v>2666</v>
      </c>
      <c r="G106" s="116" t="s">
        <v>521</v>
      </c>
      <c r="H106" s="117">
        <v>3.64</v>
      </c>
      <c r="I106" s="116" t="s">
        <v>204</v>
      </c>
      <c r="J106" s="117" t="s">
        <v>126</v>
      </c>
      <c r="K106" s="116">
        <v>4.8869999523162837E-2</v>
      </c>
      <c r="L106" s="116">
        <v>4.7599999999999996E-2</v>
      </c>
      <c r="M106" s="111">
        <v>52971.7</v>
      </c>
      <c r="N106" s="61">
        <v>99.62</v>
      </c>
      <c r="O106" s="85">
        <v>212.05788000000001</v>
      </c>
      <c r="P106" s="25">
        <v>3.776530509639258E-3</v>
      </c>
      <c r="Q106" s="25">
        <v>3.6812339083686438E-4</v>
      </c>
      <c r="R106" s="15"/>
    </row>
    <row r="107" spans="1:18" x14ac:dyDescent="0.25">
      <c r="A107" s="17" t="s">
        <v>2857</v>
      </c>
      <c r="B107" s="116" t="s">
        <v>2915</v>
      </c>
      <c r="C107" s="116" t="s">
        <v>2611</v>
      </c>
      <c r="D107" s="116"/>
      <c r="E107" s="116" t="s">
        <v>2612</v>
      </c>
      <c r="F107" s="116" t="s">
        <v>2613</v>
      </c>
      <c r="G107" s="116" t="s">
        <v>2382</v>
      </c>
      <c r="H107" s="117">
        <v>3.99</v>
      </c>
      <c r="I107" s="116" t="s">
        <v>220</v>
      </c>
      <c r="J107" s="117" t="s">
        <v>257</v>
      </c>
      <c r="K107" s="116">
        <v>3.95E-2</v>
      </c>
      <c r="L107" s="116">
        <v>2.5699999999999997E-2</v>
      </c>
      <c r="M107" s="111">
        <v>505103.81</v>
      </c>
      <c r="N107" s="61">
        <v>117.54</v>
      </c>
      <c r="O107" s="85">
        <v>593.69901000000004</v>
      </c>
      <c r="P107" s="25">
        <v>1.0573162500764522E-2</v>
      </c>
      <c r="Q107" s="25">
        <v>1.0306360353017274E-3</v>
      </c>
      <c r="R107" s="15"/>
    </row>
    <row r="108" spans="1:18" x14ac:dyDescent="0.25">
      <c r="A108" s="17" t="s">
        <v>2857</v>
      </c>
      <c r="B108" s="116" t="s">
        <v>2915</v>
      </c>
      <c r="C108" s="116" t="s">
        <v>2614</v>
      </c>
      <c r="D108" s="116"/>
      <c r="E108" s="116" t="s">
        <v>2612</v>
      </c>
      <c r="F108" s="116" t="s">
        <v>2613</v>
      </c>
      <c r="G108" s="116" t="s">
        <v>2382</v>
      </c>
      <c r="H108" s="117">
        <v>4.3600000000000003</v>
      </c>
      <c r="I108" s="116" t="s">
        <v>220</v>
      </c>
      <c r="J108" s="117" t="s">
        <v>257</v>
      </c>
      <c r="K108" s="116">
        <v>3.95E-2</v>
      </c>
      <c r="L108" s="116">
        <v>2.58E-2</v>
      </c>
      <c r="M108" s="111">
        <v>92715.02</v>
      </c>
      <c r="N108" s="61">
        <v>118.06</v>
      </c>
      <c r="O108" s="85">
        <v>109.45935</v>
      </c>
      <c r="P108" s="25">
        <v>1.9493572926423763E-3</v>
      </c>
      <c r="Q108" s="25">
        <v>1.9001674015037371E-4</v>
      </c>
      <c r="R108" s="15"/>
    </row>
    <row r="109" spans="1:18" x14ac:dyDescent="0.25">
      <c r="A109" s="17" t="s">
        <v>2858</v>
      </c>
      <c r="B109" s="116" t="s">
        <v>2272</v>
      </c>
      <c r="C109" s="116" t="s">
        <v>2517</v>
      </c>
      <c r="D109" s="116"/>
      <c r="E109" s="116" t="s">
        <v>528</v>
      </c>
      <c r="F109" s="116" t="s">
        <v>2518</v>
      </c>
      <c r="G109" s="116" t="s">
        <v>256</v>
      </c>
      <c r="H109" s="117">
        <v>3.93</v>
      </c>
      <c r="I109" s="116" t="s">
        <v>211</v>
      </c>
      <c r="J109" s="117" t="s">
        <v>257</v>
      </c>
      <c r="K109" s="116">
        <v>5.0999999999999997E-2</v>
      </c>
      <c r="L109" s="116">
        <v>2.5399999999999999E-2</v>
      </c>
      <c r="M109" s="111">
        <v>338631.74</v>
      </c>
      <c r="N109" s="61">
        <v>123.95</v>
      </c>
      <c r="O109" s="85">
        <v>419.73404999999997</v>
      </c>
      <c r="P109" s="25">
        <v>7.4750273168790035E-3</v>
      </c>
      <c r="Q109" s="25">
        <v>7.2864032091469533E-4</v>
      </c>
      <c r="R109" s="15"/>
    </row>
    <row r="110" spans="1:18" x14ac:dyDescent="0.25">
      <c r="A110" s="17" t="s">
        <v>2858</v>
      </c>
      <c r="B110" s="116" t="s">
        <v>2272</v>
      </c>
      <c r="C110" s="116" t="s">
        <v>2488</v>
      </c>
      <c r="D110" s="116"/>
      <c r="E110" s="116" t="s">
        <v>528</v>
      </c>
      <c r="F110" s="116" t="s">
        <v>2489</v>
      </c>
      <c r="G110" s="116" t="s">
        <v>256</v>
      </c>
      <c r="H110" s="117">
        <v>3.93</v>
      </c>
      <c r="I110" s="116" t="s">
        <v>211</v>
      </c>
      <c r="J110" s="117" t="s">
        <v>257</v>
      </c>
      <c r="K110" s="116">
        <v>5.0999999999999997E-2</v>
      </c>
      <c r="L110" s="116">
        <v>2.5399999999999999E-2</v>
      </c>
      <c r="M110" s="111">
        <v>141042.09</v>
      </c>
      <c r="N110" s="61">
        <v>122.37</v>
      </c>
      <c r="O110" s="85">
        <v>172.59320000000002</v>
      </c>
      <c r="P110" s="25">
        <v>3.0737055635766536E-3</v>
      </c>
      <c r="Q110" s="25">
        <v>2.9961439782093979E-4</v>
      </c>
      <c r="R110" s="15"/>
    </row>
    <row r="111" spans="1:18" x14ac:dyDescent="0.25">
      <c r="A111" s="17" t="s">
        <v>2858</v>
      </c>
      <c r="B111" s="116" t="s">
        <v>2272</v>
      </c>
      <c r="C111" s="116" t="s">
        <v>2493</v>
      </c>
      <c r="D111" s="116"/>
      <c r="E111" s="116" t="s">
        <v>528</v>
      </c>
      <c r="F111" s="116" t="s">
        <v>2494</v>
      </c>
      <c r="G111" s="116" t="s">
        <v>256</v>
      </c>
      <c r="H111" s="117">
        <v>3.93</v>
      </c>
      <c r="I111" s="116" t="s">
        <v>211</v>
      </c>
      <c r="J111" s="117" t="s">
        <v>257</v>
      </c>
      <c r="K111" s="116">
        <v>5.0999999999999997E-2</v>
      </c>
      <c r="L111" s="116">
        <v>2.5399999999999999E-2</v>
      </c>
      <c r="M111" s="111">
        <v>275542.86</v>
      </c>
      <c r="N111" s="61">
        <v>123.45</v>
      </c>
      <c r="O111" s="85">
        <v>340.15765999999996</v>
      </c>
      <c r="P111" s="25">
        <v>6.0578544927332922E-3</v>
      </c>
      <c r="Q111" s="25">
        <v>5.9049911853468117E-4</v>
      </c>
      <c r="R111" s="15"/>
    </row>
    <row r="112" spans="1:18" x14ac:dyDescent="0.25">
      <c r="A112" s="17" t="s">
        <v>2858</v>
      </c>
      <c r="B112" s="116" t="s">
        <v>2272</v>
      </c>
      <c r="C112" s="116" t="s">
        <v>2447</v>
      </c>
      <c r="D112" s="116"/>
      <c r="E112" s="116" t="s">
        <v>528</v>
      </c>
      <c r="F112" s="116" t="s">
        <v>2443</v>
      </c>
      <c r="G112" s="116" t="s">
        <v>256</v>
      </c>
      <c r="H112" s="117">
        <v>3.93</v>
      </c>
      <c r="I112" s="116" t="s">
        <v>211</v>
      </c>
      <c r="J112" s="117" t="s">
        <v>257</v>
      </c>
      <c r="K112" s="116">
        <v>5.0999999999999997E-2</v>
      </c>
      <c r="L112" s="116">
        <v>2.5399999999999999E-2</v>
      </c>
      <c r="M112" s="111">
        <v>103031.21</v>
      </c>
      <c r="N112" s="61">
        <v>124.8</v>
      </c>
      <c r="O112" s="85">
        <v>128.58295000000001</v>
      </c>
      <c r="P112" s="25">
        <v>2.2899287387689589E-3</v>
      </c>
      <c r="Q112" s="25">
        <v>2.2321449010905415E-4</v>
      </c>
      <c r="R112" s="15"/>
    </row>
    <row r="113" spans="1:18" x14ac:dyDescent="0.25">
      <c r="A113" s="17" t="s">
        <v>2858</v>
      </c>
      <c r="B113" s="116" t="s">
        <v>2272</v>
      </c>
      <c r="C113" s="116" t="s">
        <v>2448</v>
      </c>
      <c r="D113" s="116"/>
      <c r="E113" s="116" t="s">
        <v>528</v>
      </c>
      <c r="F113" s="116" t="s">
        <v>2443</v>
      </c>
      <c r="G113" s="116" t="s">
        <v>256</v>
      </c>
      <c r="H113" s="117">
        <v>3.93</v>
      </c>
      <c r="I113" s="116" t="s">
        <v>211</v>
      </c>
      <c r="J113" s="117" t="s">
        <v>257</v>
      </c>
      <c r="K113" s="116">
        <v>5.0999999999999997E-2</v>
      </c>
      <c r="L113" s="116">
        <v>2.5399999999999999E-2</v>
      </c>
      <c r="M113" s="111">
        <v>189584.82</v>
      </c>
      <c r="N113" s="61">
        <v>124.8</v>
      </c>
      <c r="O113" s="85">
        <v>236.60185000000001</v>
      </c>
      <c r="P113" s="25">
        <v>4.2136331135730074E-3</v>
      </c>
      <c r="Q113" s="25">
        <v>4.1073067079740286E-4</v>
      </c>
      <c r="R113" s="15"/>
    </row>
    <row r="114" spans="1:18" x14ac:dyDescent="0.25">
      <c r="A114" s="17" t="s">
        <v>2858</v>
      </c>
      <c r="B114" s="116" t="s">
        <v>2272</v>
      </c>
      <c r="C114" s="116" t="s">
        <v>2440</v>
      </c>
      <c r="D114" s="116"/>
      <c r="E114" s="116" t="s">
        <v>528</v>
      </c>
      <c r="F114" s="116" t="s">
        <v>2441</v>
      </c>
      <c r="G114" s="116" t="s">
        <v>256</v>
      </c>
      <c r="H114" s="117">
        <v>3.96</v>
      </c>
      <c r="I114" s="116" t="s">
        <v>211</v>
      </c>
      <c r="J114" s="117" t="s">
        <v>257</v>
      </c>
      <c r="K114" s="116">
        <v>5.0999999999999997E-2</v>
      </c>
      <c r="L114" s="116">
        <v>2.12E-2</v>
      </c>
      <c r="M114" s="111">
        <v>1705286.97</v>
      </c>
      <c r="N114" s="61">
        <v>131.22</v>
      </c>
      <c r="O114" s="85">
        <v>2237.6775699999998</v>
      </c>
      <c r="P114" s="25">
        <v>3.9850712521696599E-2</v>
      </c>
      <c r="Q114" s="25">
        <v>3.8845123542119485E-3</v>
      </c>
      <c r="R114" s="15"/>
    </row>
    <row r="115" spans="1:18" x14ac:dyDescent="0.25">
      <c r="A115" s="17" t="s">
        <v>2858</v>
      </c>
      <c r="B115" s="116" t="s">
        <v>2272</v>
      </c>
      <c r="C115" s="116" t="s">
        <v>2445</v>
      </c>
      <c r="D115" s="116"/>
      <c r="E115" s="116" t="s">
        <v>528</v>
      </c>
      <c r="F115" s="116" t="s">
        <v>2443</v>
      </c>
      <c r="G115" s="116" t="s">
        <v>256</v>
      </c>
      <c r="H115" s="117">
        <v>3.93</v>
      </c>
      <c r="I115" s="116" t="s">
        <v>211</v>
      </c>
      <c r="J115" s="117" t="s">
        <v>257</v>
      </c>
      <c r="K115" s="116">
        <v>5.1299999999999998E-2</v>
      </c>
      <c r="L115" s="116">
        <v>2.5399999999999999E-2</v>
      </c>
      <c r="M115" s="111">
        <v>251339.7</v>
      </c>
      <c r="N115" s="61">
        <v>126.53</v>
      </c>
      <c r="O115" s="85">
        <v>318.02012000000002</v>
      </c>
      <c r="P115" s="25">
        <v>5.6636079067617666E-3</v>
      </c>
      <c r="Q115" s="25">
        <v>5.5206929791407186E-4</v>
      </c>
      <c r="R115" s="15"/>
    </row>
    <row r="116" spans="1:18" x14ac:dyDescent="0.25">
      <c r="A116" s="17" t="s">
        <v>2858</v>
      </c>
      <c r="B116" s="116" t="s">
        <v>2272</v>
      </c>
      <c r="C116" s="116" t="s">
        <v>2446</v>
      </c>
      <c r="D116" s="116"/>
      <c r="E116" s="116" t="s">
        <v>528</v>
      </c>
      <c r="F116" s="116" t="s">
        <v>2443</v>
      </c>
      <c r="G116" s="116" t="s">
        <v>256</v>
      </c>
      <c r="H116" s="117">
        <v>3.93</v>
      </c>
      <c r="I116" s="116" t="s">
        <v>211</v>
      </c>
      <c r="J116" s="117" t="s">
        <v>257</v>
      </c>
      <c r="K116" s="116">
        <v>5.1500000000000004E-2</v>
      </c>
      <c r="L116" s="116">
        <v>2.5399999999999999E-2</v>
      </c>
      <c r="M116" s="111">
        <v>146273.31</v>
      </c>
      <c r="N116" s="61">
        <v>126.6</v>
      </c>
      <c r="O116" s="85">
        <v>185.18201999999999</v>
      </c>
      <c r="P116" s="25">
        <v>3.2978993676944577E-3</v>
      </c>
      <c r="Q116" s="25">
        <v>3.2146804978159751E-4</v>
      </c>
      <c r="R116" s="15"/>
    </row>
    <row r="117" spans="1:18" x14ac:dyDescent="0.25">
      <c r="A117" s="17" t="s">
        <v>2858</v>
      </c>
      <c r="B117" s="116" t="s">
        <v>2272</v>
      </c>
      <c r="C117" s="116" t="s">
        <v>2449</v>
      </c>
      <c r="D117" s="116"/>
      <c r="E117" s="116" t="s">
        <v>528</v>
      </c>
      <c r="F117" s="116" t="s">
        <v>2443</v>
      </c>
      <c r="G117" s="116" t="s">
        <v>256</v>
      </c>
      <c r="H117" s="117">
        <v>3.93</v>
      </c>
      <c r="I117" s="116" t="s">
        <v>211</v>
      </c>
      <c r="J117" s="117" t="s">
        <v>257</v>
      </c>
      <c r="K117" s="116">
        <v>5.0999999999999997E-2</v>
      </c>
      <c r="L117" s="116">
        <v>2.5600000000000001E-2</v>
      </c>
      <c r="M117" s="111">
        <v>84071.45</v>
      </c>
      <c r="N117" s="61">
        <v>125.08</v>
      </c>
      <c r="O117" s="85">
        <v>105.15657</v>
      </c>
      <c r="P117" s="25">
        <v>1.8727292515327244E-3</v>
      </c>
      <c r="Q117" s="25">
        <v>1.8254729848838481E-4</v>
      </c>
      <c r="R117" s="15"/>
    </row>
    <row r="118" spans="1:18" x14ac:dyDescent="0.25">
      <c r="A118" s="17" t="s">
        <v>2858</v>
      </c>
      <c r="B118" s="116" t="s">
        <v>2272</v>
      </c>
      <c r="C118" s="116" t="s">
        <v>2450</v>
      </c>
      <c r="D118" s="116"/>
      <c r="E118" s="116" t="s">
        <v>528</v>
      </c>
      <c r="F118" s="116" t="s">
        <v>2443</v>
      </c>
      <c r="G118" s="116" t="s">
        <v>256</v>
      </c>
      <c r="H118" s="117">
        <v>3.93</v>
      </c>
      <c r="I118" s="116" t="s">
        <v>211</v>
      </c>
      <c r="J118" s="117" t="s">
        <v>257</v>
      </c>
      <c r="K118" s="116">
        <v>5.0999999999999997E-2</v>
      </c>
      <c r="L118" s="116">
        <v>2.5399999999999999E-2</v>
      </c>
      <c r="M118" s="111">
        <v>106013.69</v>
      </c>
      <c r="N118" s="61">
        <v>123.74</v>
      </c>
      <c r="O118" s="85">
        <v>131.18134000000001</v>
      </c>
      <c r="P118" s="25">
        <v>2.3362033648801957E-3</v>
      </c>
      <c r="Q118" s="25">
        <v>2.2772518378153921E-4</v>
      </c>
      <c r="R118" s="15"/>
    </row>
    <row r="119" spans="1:18" x14ac:dyDescent="0.25">
      <c r="A119" s="17" t="s">
        <v>2858</v>
      </c>
      <c r="B119" s="116" t="s">
        <v>2272</v>
      </c>
      <c r="C119" s="116" t="s">
        <v>2451</v>
      </c>
      <c r="D119" s="116"/>
      <c r="E119" s="116" t="s">
        <v>528</v>
      </c>
      <c r="F119" s="116" t="s">
        <v>2443</v>
      </c>
      <c r="G119" s="116" t="s">
        <v>256</v>
      </c>
      <c r="H119" s="117">
        <v>3.96</v>
      </c>
      <c r="I119" s="116" t="s">
        <v>211</v>
      </c>
      <c r="J119" s="117" t="s">
        <v>257</v>
      </c>
      <c r="K119" s="116">
        <v>5.0999999999999997E-2</v>
      </c>
      <c r="L119" s="116">
        <v>2.1099999999999997E-2</v>
      </c>
      <c r="M119" s="111">
        <v>24238.86</v>
      </c>
      <c r="N119" s="61">
        <v>125.8</v>
      </c>
      <c r="O119" s="85">
        <v>30.49248</v>
      </c>
      <c r="P119" s="25">
        <v>5.4303938639094608E-4</v>
      </c>
      <c r="Q119" s="25">
        <v>5.2933638366210536E-5</v>
      </c>
      <c r="R119" s="15"/>
    </row>
    <row r="120" spans="1:18" x14ac:dyDescent="0.25">
      <c r="A120" s="17" t="s">
        <v>2858</v>
      </c>
      <c r="B120" s="116" t="s">
        <v>2272</v>
      </c>
      <c r="C120" s="116" t="s">
        <v>2452</v>
      </c>
      <c r="D120" s="116"/>
      <c r="E120" s="116" t="s">
        <v>528</v>
      </c>
      <c r="F120" s="116" t="s">
        <v>2443</v>
      </c>
      <c r="G120" s="116" t="s">
        <v>256</v>
      </c>
      <c r="H120" s="117">
        <v>3.93</v>
      </c>
      <c r="I120" s="116" t="s">
        <v>211</v>
      </c>
      <c r="J120" s="117" t="s">
        <v>257</v>
      </c>
      <c r="K120" s="116">
        <v>5.0999999999999997E-2</v>
      </c>
      <c r="L120" s="116">
        <v>2.5399999999999999E-2</v>
      </c>
      <c r="M120" s="111">
        <v>213911.51</v>
      </c>
      <c r="N120" s="61">
        <v>123.98</v>
      </c>
      <c r="O120" s="85">
        <v>265.20749000000001</v>
      </c>
      <c r="P120" s="25">
        <v>4.7230698400354109E-3</v>
      </c>
      <c r="Q120" s="25">
        <v>4.6038883579395303E-4</v>
      </c>
      <c r="R120" s="15"/>
    </row>
    <row r="121" spans="1:18" x14ac:dyDescent="0.25">
      <c r="A121" s="17" t="s">
        <v>2858</v>
      </c>
      <c r="B121" s="116" t="s">
        <v>2272</v>
      </c>
      <c r="C121" s="116" t="s">
        <v>2453</v>
      </c>
      <c r="D121" s="116"/>
      <c r="E121" s="116" t="s">
        <v>528</v>
      </c>
      <c r="F121" s="116" t="s">
        <v>2443</v>
      </c>
      <c r="G121" s="116" t="s">
        <v>256</v>
      </c>
      <c r="H121" s="117">
        <v>3.96</v>
      </c>
      <c r="I121" s="116" t="s">
        <v>211</v>
      </c>
      <c r="J121" s="117" t="s">
        <v>257</v>
      </c>
      <c r="K121" s="116">
        <v>5.0999999999999997E-2</v>
      </c>
      <c r="L121" s="116">
        <v>2.12E-2</v>
      </c>
      <c r="M121" s="111">
        <v>58198.15</v>
      </c>
      <c r="N121" s="61">
        <v>126.61</v>
      </c>
      <c r="O121" s="85">
        <v>73.684679999999986</v>
      </c>
      <c r="P121" s="25">
        <v>1.3122475906719693E-3</v>
      </c>
      <c r="Q121" s="25">
        <v>1.2791344633988265E-4</v>
      </c>
      <c r="R121" s="15"/>
    </row>
    <row r="122" spans="1:18" x14ac:dyDescent="0.25">
      <c r="A122" s="17" t="s">
        <v>2858</v>
      </c>
      <c r="B122" s="116" t="s">
        <v>2272</v>
      </c>
      <c r="C122" s="116" t="s">
        <v>2454</v>
      </c>
      <c r="D122" s="116"/>
      <c r="E122" s="116" t="s">
        <v>528</v>
      </c>
      <c r="F122" s="116" t="s">
        <v>2443</v>
      </c>
      <c r="G122" s="116" t="s">
        <v>256</v>
      </c>
      <c r="H122" s="117">
        <v>3.93</v>
      </c>
      <c r="I122" s="116" t="s">
        <v>211</v>
      </c>
      <c r="J122" s="117" t="s">
        <v>257</v>
      </c>
      <c r="K122" s="116">
        <v>5.0999999999999997E-2</v>
      </c>
      <c r="L122" s="116">
        <v>2.5399999999999999E-2</v>
      </c>
      <c r="M122" s="111">
        <v>117764.67</v>
      </c>
      <c r="N122" s="61">
        <v>124.32</v>
      </c>
      <c r="O122" s="85">
        <v>146.40504000000001</v>
      </c>
      <c r="P122" s="25">
        <v>2.6073216440952629E-3</v>
      </c>
      <c r="Q122" s="25">
        <v>2.5415287449071341E-4</v>
      </c>
      <c r="R122" s="15"/>
    </row>
    <row r="123" spans="1:18" x14ac:dyDescent="0.25">
      <c r="A123" s="17" t="s">
        <v>2858</v>
      </c>
      <c r="B123" s="116" t="s">
        <v>2272</v>
      </c>
      <c r="C123" s="116" t="s">
        <v>2455</v>
      </c>
      <c r="D123" s="116"/>
      <c r="E123" s="116" t="s">
        <v>528</v>
      </c>
      <c r="F123" s="116" t="s">
        <v>2443</v>
      </c>
      <c r="G123" s="116" t="s">
        <v>256</v>
      </c>
      <c r="H123" s="117">
        <v>3.93</v>
      </c>
      <c r="I123" s="116" t="s">
        <v>211</v>
      </c>
      <c r="J123" s="117" t="s">
        <v>257</v>
      </c>
      <c r="K123" s="116">
        <v>5.0999999999999997E-2</v>
      </c>
      <c r="L123" s="116">
        <v>2.5399999999999999E-2</v>
      </c>
      <c r="M123" s="111">
        <v>182555.18</v>
      </c>
      <c r="N123" s="61">
        <v>124.55</v>
      </c>
      <c r="O123" s="85">
        <v>227.37248000000002</v>
      </c>
      <c r="P123" s="25">
        <v>4.0492676234070712E-3</v>
      </c>
      <c r="Q123" s="25">
        <v>3.9470888005004642E-4</v>
      </c>
      <c r="R123" s="15"/>
    </row>
    <row r="124" spans="1:18" x14ac:dyDescent="0.25">
      <c r="A124" s="17" t="s">
        <v>2858</v>
      </c>
      <c r="B124" s="116" t="s">
        <v>2272</v>
      </c>
      <c r="C124" s="116" t="s">
        <v>2456</v>
      </c>
      <c r="D124" s="116"/>
      <c r="E124" s="116" t="s">
        <v>528</v>
      </c>
      <c r="F124" s="116" t="s">
        <v>2443</v>
      </c>
      <c r="G124" s="116" t="s">
        <v>256</v>
      </c>
      <c r="H124" s="117">
        <v>3.96</v>
      </c>
      <c r="I124" s="116" t="s">
        <v>211</v>
      </c>
      <c r="J124" s="117" t="s">
        <v>257</v>
      </c>
      <c r="K124" s="116">
        <v>5.0999999999999997E-2</v>
      </c>
      <c r="L124" s="116">
        <v>2.12E-2</v>
      </c>
      <c r="M124" s="111">
        <v>79907.259999999995</v>
      </c>
      <c r="N124" s="61">
        <v>126.34</v>
      </c>
      <c r="O124" s="85">
        <v>100.95483</v>
      </c>
      <c r="P124" s="25">
        <v>1.7979006278401191E-3</v>
      </c>
      <c r="Q124" s="25">
        <v>1.752532579358013E-4</v>
      </c>
      <c r="R124" s="15"/>
    </row>
    <row r="125" spans="1:18" x14ac:dyDescent="0.25">
      <c r="A125" s="17" t="s">
        <v>2858</v>
      </c>
      <c r="B125" s="116" t="s">
        <v>2272</v>
      </c>
      <c r="C125" s="116" t="s">
        <v>2457</v>
      </c>
      <c r="D125" s="116"/>
      <c r="E125" s="116" t="s">
        <v>528</v>
      </c>
      <c r="F125" s="116" t="s">
        <v>2443</v>
      </c>
      <c r="G125" s="116" t="s">
        <v>256</v>
      </c>
      <c r="H125" s="117">
        <v>3.96</v>
      </c>
      <c r="I125" s="116" t="s">
        <v>211</v>
      </c>
      <c r="J125" s="117" t="s">
        <v>257</v>
      </c>
      <c r="K125" s="116">
        <v>5.0999999999999997E-2</v>
      </c>
      <c r="L125" s="116">
        <v>2.1299999999999999E-2</v>
      </c>
      <c r="M125" s="111">
        <v>29267.02</v>
      </c>
      <c r="N125" s="61">
        <v>125.79</v>
      </c>
      <c r="O125" s="85">
        <v>36.814980000000006</v>
      </c>
      <c r="P125" s="25">
        <v>6.5563654216367292E-4</v>
      </c>
      <c r="Q125" s="25">
        <v>6.3909227382596422E-5</v>
      </c>
      <c r="R125" s="15"/>
    </row>
    <row r="126" spans="1:18" x14ac:dyDescent="0.25">
      <c r="A126" s="17" t="s">
        <v>2858</v>
      </c>
      <c r="B126" s="116" t="s">
        <v>2272</v>
      </c>
      <c r="C126" s="116" t="s">
        <v>2458</v>
      </c>
      <c r="D126" s="116"/>
      <c r="E126" s="116" t="s">
        <v>528</v>
      </c>
      <c r="F126" s="116" t="s">
        <v>2443</v>
      </c>
      <c r="G126" s="116" t="s">
        <v>256</v>
      </c>
      <c r="H126" s="117">
        <v>3.96</v>
      </c>
      <c r="I126" s="116" t="s">
        <v>211</v>
      </c>
      <c r="J126" s="117" t="s">
        <v>257</v>
      </c>
      <c r="K126" s="116">
        <v>5.0999999999999997E-2</v>
      </c>
      <c r="L126" s="116">
        <v>2.1400000000000002E-2</v>
      </c>
      <c r="M126" s="111">
        <v>48214.07</v>
      </c>
      <c r="N126" s="61">
        <v>125.63</v>
      </c>
      <c r="O126" s="85">
        <v>60.571330000000003</v>
      </c>
      <c r="P126" s="25">
        <v>1.0787124522532606E-3</v>
      </c>
      <c r="Q126" s="25">
        <v>1.0514923278068558E-4</v>
      </c>
      <c r="R126" s="15"/>
    </row>
    <row r="127" spans="1:18" x14ac:dyDescent="0.25">
      <c r="A127" s="17" t="s">
        <v>2858</v>
      </c>
      <c r="B127" s="116" t="s">
        <v>2272</v>
      </c>
      <c r="C127" s="116" t="s">
        <v>2459</v>
      </c>
      <c r="D127" s="116"/>
      <c r="E127" s="116" t="s">
        <v>528</v>
      </c>
      <c r="F127" s="116" t="s">
        <v>2443</v>
      </c>
      <c r="G127" s="116" t="s">
        <v>256</v>
      </c>
      <c r="H127" s="117">
        <v>3.95</v>
      </c>
      <c r="I127" s="116" t="s">
        <v>211</v>
      </c>
      <c r="J127" s="117" t="s">
        <v>257</v>
      </c>
      <c r="K127" s="116">
        <v>5.0999999999999997E-2</v>
      </c>
      <c r="L127" s="116">
        <v>2.2200000000000001E-2</v>
      </c>
      <c r="M127" s="111">
        <v>42341.8</v>
      </c>
      <c r="N127" s="61">
        <v>124.24</v>
      </c>
      <c r="O127" s="85">
        <v>52.605449999999998</v>
      </c>
      <c r="P127" s="25">
        <v>9.3684840619128362E-4</v>
      </c>
      <c r="Q127" s="25">
        <v>9.1320806519895058E-5</v>
      </c>
      <c r="R127" s="15"/>
    </row>
    <row r="128" spans="1:18" x14ac:dyDescent="0.25">
      <c r="A128" s="17" t="s">
        <v>2858</v>
      </c>
      <c r="B128" s="116" t="s">
        <v>2272</v>
      </c>
      <c r="C128" s="116" t="s">
        <v>2460</v>
      </c>
      <c r="D128" s="116"/>
      <c r="E128" s="116" t="s">
        <v>528</v>
      </c>
      <c r="F128" s="116" t="s">
        <v>2443</v>
      </c>
      <c r="G128" s="116" t="s">
        <v>256</v>
      </c>
      <c r="H128" s="117">
        <v>3.89</v>
      </c>
      <c r="I128" s="116" t="s">
        <v>211</v>
      </c>
      <c r="J128" s="117" t="s">
        <v>257</v>
      </c>
      <c r="K128" s="116">
        <v>5.0999999999999997E-2</v>
      </c>
      <c r="L128" s="116">
        <v>3.39E-2</v>
      </c>
      <c r="M128" s="111">
        <v>132007.19</v>
      </c>
      <c r="N128" s="61">
        <v>118.49</v>
      </c>
      <c r="O128" s="85">
        <v>156.41532000000001</v>
      </c>
      <c r="P128" s="25">
        <v>2.7855943299772102E-3</v>
      </c>
      <c r="Q128" s="25">
        <v>2.7153029152811114E-4</v>
      </c>
      <c r="R128" s="15"/>
    </row>
    <row r="129" spans="1:18" x14ac:dyDescent="0.25">
      <c r="A129" s="17" t="s">
        <v>2858</v>
      </c>
      <c r="B129" s="116" t="s">
        <v>2272</v>
      </c>
      <c r="C129" s="116" t="s">
        <v>2461</v>
      </c>
      <c r="D129" s="116"/>
      <c r="E129" s="116" t="s">
        <v>528</v>
      </c>
      <c r="F129" s="116" t="s">
        <v>2443</v>
      </c>
      <c r="G129" s="116" t="s">
        <v>256</v>
      </c>
      <c r="H129" s="117">
        <v>3.89</v>
      </c>
      <c r="I129" s="116" t="s">
        <v>211</v>
      </c>
      <c r="J129" s="117" t="s">
        <v>257</v>
      </c>
      <c r="K129" s="116">
        <v>5.0999999999999997E-2</v>
      </c>
      <c r="L129" s="116">
        <v>3.39E-2</v>
      </c>
      <c r="M129" s="111">
        <v>96590.55</v>
      </c>
      <c r="N129" s="61">
        <v>118.25</v>
      </c>
      <c r="O129" s="85">
        <v>114.21832000000001</v>
      </c>
      <c r="P129" s="25">
        <v>2.0341096036598115E-3</v>
      </c>
      <c r="Q129" s="25">
        <v>1.98278108099968E-4</v>
      </c>
      <c r="R129" s="15"/>
    </row>
    <row r="130" spans="1:18" x14ac:dyDescent="0.25">
      <c r="A130" s="17" t="s">
        <v>2858</v>
      </c>
      <c r="B130" s="116" t="s">
        <v>2272</v>
      </c>
      <c r="C130" s="116" t="s">
        <v>2438</v>
      </c>
      <c r="D130" s="116"/>
      <c r="E130" s="116" t="s">
        <v>528</v>
      </c>
      <c r="F130" s="116" t="s">
        <v>2439</v>
      </c>
      <c r="G130" s="116" t="s">
        <v>256</v>
      </c>
      <c r="H130" s="117">
        <v>3.95</v>
      </c>
      <c r="I130" s="116" t="s">
        <v>211</v>
      </c>
      <c r="J130" s="117" t="s">
        <v>257</v>
      </c>
      <c r="K130" s="116">
        <v>5.0999999999999997E-2</v>
      </c>
      <c r="L130" s="116">
        <v>2.3E-2</v>
      </c>
      <c r="M130" s="111">
        <v>47097.22</v>
      </c>
      <c r="N130" s="61">
        <v>123.24</v>
      </c>
      <c r="O130" s="85">
        <v>58.042619999999999</v>
      </c>
      <c r="P130" s="25">
        <v>1.033678754542853E-3</v>
      </c>
      <c r="Q130" s="25">
        <v>1.0075950060170176E-4</v>
      </c>
      <c r="R130" s="15"/>
    </row>
    <row r="131" spans="1:18" x14ac:dyDescent="0.25">
      <c r="A131" s="17" t="s">
        <v>2858</v>
      </c>
      <c r="B131" s="116" t="s">
        <v>2272</v>
      </c>
      <c r="C131" s="116" t="s">
        <v>2462</v>
      </c>
      <c r="D131" s="116"/>
      <c r="E131" s="116" t="s">
        <v>528</v>
      </c>
      <c r="F131" s="116" t="s">
        <v>2463</v>
      </c>
      <c r="G131" s="116" t="s">
        <v>256</v>
      </c>
      <c r="H131" s="117">
        <v>3.95</v>
      </c>
      <c r="I131" s="116" t="s">
        <v>211</v>
      </c>
      <c r="J131" s="117" t="s">
        <v>257</v>
      </c>
      <c r="K131" s="116">
        <v>5.0999999999999997E-2</v>
      </c>
      <c r="L131" s="116">
        <v>2.3300000000000001E-2</v>
      </c>
      <c r="M131" s="111">
        <v>12163.14</v>
      </c>
      <c r="N131" s="61">
        <v>122.76</v>
      </c>
      <c r="O131" s="85">
        <v>14.931479999999999</v>
      </c>
      <c r="P131" s="25">
        <v>2.6591414463856937E-4</v>
      </c>
      <c r="Q131" s="25">
        <v>2.5920409313781798E-5</v>
      </c>
      <c r="R131" s="15"/>
    </row>
    <row r="132" spans="1:18" x14ac:dyDescent="0.25">
      <c r="A132" s="17" t="s">
        <v>2858</v>
      </c>
      <c r="B132" s="116" t="s">
        <v>2272</v>
      </c>
      <c r="C132" s="116" t="s">
        <v>2464</v>
      </c>
      <c r="D132" s="116"/>
      <c r="E132" s="116" t="s">
        <v>528</v>
      </c>
      <c r="F132" s="116" t="s">
        <v>2465</v>
      </c>
      <c r="G132" s="116" t="s">
        <v>256</v>
      </c>
      <c r="H132" s="117">
        <v>3.93</v>
      </c>
      <c r="I132" s="116" t="s">
        <v>211</v>
      </c>
      <c r="J132" s="117" t="s">
        <v>257</v>
      </c>
      <c r="K132" s="116">
        <v>5.0999999999999997E-2</v>
      </c>
      <c r="L132" s="116">
        <v>2.5399999999999999E-2</v>
      </c>
      <c r="M132" s="111">
        <v>138379.24</v>
      </c>
      <c r="N132" s="61">
        <v>122.22</v>
      </c>
      <c r="O132" s="85">
        <v>169.12710999999999</v>
      </c>
      <c r="P132" s="25">
        <v>3.0119781020262709E-3</v>
      </c>
      <c r="Q132" s="25">
        <v>2.935974141382501E-4</v>
      </c>
      <c r="R132" s="15"/>
    </row>
    <row r="133" spans="1:18" x14ac:dyDescent="0.25">
      <c r="A133" s="17" t="s">
        <v>2858</v>
      </c>
      <c r="B133" s="116" t="s">
        <v>2272</v>
      </c>
      <c r="C133" s="116" t="s">
        <v>2466</v>
      </c>
      <c r="D133" s="116"/>
      <c r="E133" s="116" t="s">
        <v>528</v>
      </c>
      <c r="F133" s="116" t="s">
        <v>2467</v>
      </c>
      <c r="G133" s="116" t="s">
        <v>256</v>
      </c>
      <c r="H133" s="117">
        <v>3.93</v>
      </c>
      <c r="I133" s="116" t="s">
        <v>211</v>
      </c>
      <c r="J133" s="117" t="s">
        <v>257</v>
      </c>
      <c r="K133" s="116">
        <v>5.0999999999999997E-2</v>
      </c>
      <c r="L133" s="116">
        <v>2.5399999999999999E-2</v>
      </c>
      <c r="M133" s="111">
        <v>26765.24</v>
      </c>
      <c r="N133" s="61">
        <v>122.12</v>
      </c>
      <c r="O133" s="85">
        <v>32.68571</v>
      </c>
      <c r="P133" s="25">
        <v>5.8209853387302085E-4</v>
      </c>
      <c r="Q133" s="25">
        <v>5.6740991643934219E-5</v>
      </c>
      <c r="R133" s="15"/>
    </row>
    <row r="134" spans="1:18" x14ac:dyDescent="0.25">
      <c r="A134" s="17" t="s">
        <v>2858</v>
      </c>
      <c r="B134" s="116" t="s">
        <v>2272</v>
      </c>
      <c r="C134" s="116" t="s">
        <v>2468</v>
      </c>
      <c r="D134" s="116"/>
      <c r="E134" s="116" t="s">
        <v>528</v>
      </c>
      <c r="F134" s="116" t="s">
        <v>2469</v>
      </c>
      <c r="G134" s="116" t="s">
        <v>256</v>
      </c>
      <c r="H134" s="117">
        <v>3.93</v>
      </c>
      <c r="I134" s="116" t="s">
        <v>211</v>
      </c>
      <c r="J134" s="117" t="s">
        <v>257</v>
      </c>
      <c r="K134" s="116">
        <v>5.0999999999999997E-2</v>
      </c>
      <c r="L134" s="116">
        <v>2.5399999999999999E-2</v>
      </c>
      <c r="M134" s="111">
        <v>25761.43</v>
      </c>
      <c r="N134" s="61">
        <v>122.85</v>
      </c>
      <c r="O134" s="85">
        <v>31.64791</v>
      </c>
      <c r="P134" s="25">
        <v>5.6361639417180519E-4</v>
      </c>
      <c r="Q134" s="25">
        <v>5.493941532424972E-5</v>
      </c>
      <c r="R134" s="15"/>
    </row>
    <row r="135" spans="1:18" x14ac:dyDescent="0.25">
      <c r="A135" s="17" t="s">
        <v>2858</v>
      </c>
      <c r="B135" s="116" t="s">
        <v>2272</v>
      </c>
      <c r="C135" s="116" t="s">
        <v>2470</v>
      </c>
      <c r="D135" s="116"/>
      <c r="E135" s="116" t="s">
        <v>528</v>
      </c>
      <c r="F135" s="116" t="s">
        <v>2471</v>
      </c>
      <c r="G135" s="116" t="s">
        <v>256</v>
      </c>
      <c r="H135" s="117">
        <v>3.93</v>
      </c>
      <c r="I135" s="116" t="s">
        <v>211</v>
      </c>
      <c r="J135" s="117" t="s">
        <v>257</v>
      </c>
      <c r="K135" s="116">
        <v>5.0999999999999997E-2</v>
      </c>
      <c r="L135" s="116">
        <v>2.5399999999999999E-2</v>
      </c>
      <c r="M135" s="111">
        <v>51305.08</v>
      </c>
      <c r="N135" s="61">
        <v>123.08</v>
      </c>
      <c r="O135" s="85">
        <v>63.14629</v>
      </c>
      <c r="P135" s="25">
        <v>1.1245698144088227E-3</v>
      </c>
      <c r="Q135" s="25">
        <v>1.0961925297738513E-4</v>
      </c>
      <c r="R135" s="15"/>
    </row>
    <row r="136" spans="1:18" x14ac:dyDescent="0.25">
      <c r="A136" s="17" t="s">
        <v>2858</v>
      </c>
      <c r="B136" s="116" t="s">
        <v>2272</v>
      </c>
      <c r="C136" s="116" t="s">
        <v>2442</v>
      </c>
      <c r="D136" s="116"/>
      <c r="E136" s="116" t="s">
        <v>528</v>
      </c>
      <c r="F136" s="116" t="s">
        <v>2443</v>
      </c>
      <c r="G136" s="116" t="s">
        <v>256</v>
      </c>
      <c r="H136" s="117">
        <v>3.93</v>
      </c>
      <c r="I136" s="116" t="s">
        <v>211</v>
      </c>
      <c r="J136" s="117" t="s">
        <v>257</v>
      </c>
      <c r="K136" s="116">
        <v>5.1900000000000002E-2</v>
      </c>
      <c r="L136" s="116">
        <v>2.5399999999999999E-2</v>
      </c>
      <c r="M136" s="111">
        <v>66434.149999999994</v>
      </c>
      <c r="N136" s="61">
        <v>126.67</v>
      </c>
      <c r="O136" s="85">
        <v>84.15213</v>
      </c>
      <c r="P136" s="25">
        <v>1.4986619992434569E-3</v>
      </c>
      <c r="Q136" s="25">
        <v>1.4608449090288282E-4</v>
      </c>
      <c r="R136" s="15"/>
    </row>
    <row r="137" spans="1:18" x14ac:dyDescent="0.25">
      <c r="A137" s="17" t="s">
        <v>2858</v>
      </c>
      <c r="B137" s="116" t="s">
        <v>2272</v>
      </c>
      <c r="C137" s="116" t="s">
        <v>2474</v>
      </c>
      <c r="D137" s="116"/>
      <c r="E137" s="116" t="s">
        <v>528</v>
      </c>
      <c r="F137" s="116" t="s">
        <v>2475</v>
      </c>
      <c r="G137" s="116" t="s">
        <v>256</v>
      </c>
      <c r="H137" s="117">
        <v>3.93</v>
      </c>
      <c r="I137" s="116" t="s">
        <v>211</v>
      </c>
      <c r="J137" s="117" t="s">
        <v>257</v>
      </c>
      <c r="K137" s="116">
        <v>5.0999999999999997E-2</v>
      </c>
      <c r="L137" s="116">
        <v>2.5399999999999999E-2</v>
      </c>
      <c r="M137" s="111">
        <v>32299.97</v>
      </c>
      <c r="N137" s="61">
        <v>122.6</v>
      </c>
      <c r="O137" s="85">
        <v>39.599769999999999</v>
      </c>
      <c r="P137" s="25">
        <v>7.0523075860089417E-4</v>
      </c>
      <c r="Q137" s="25">
        <v>6.8743503465940219E-5</v>
      </c>
      <c r="R137" s="15"/>
    </row>
    <row r="138" spans="1:18" x14ac:dyDescent="0.25">
      <c r="A138" s="17" t="s">
        <v>2858</v>
      </c>
      <c r="B138" s="116" t="s">
        <v>2272</v>
      </c>
      <c r="C138" s="116" t="s">
        <v>2476</v>
      </c>
      <c r="D138" s="116"/>
      <c r="E138" s="116" t="s">
        <v>528</v>
      </c>
      <c r="F138" s="116" t="s">
        <v>2477</v>
      </c>
      <c r="G138" s="116" t="s">
        <v>256</v>
      </c>
      <c r="H138" s="117">
        <v>3.93</v>
      </c>
      <c r="I138" s="116" t="s">
        <v>211</v>
      </c>
      <c r="J138" s="117" t="s">
        <v>257</v>
      </c>
      <c r="K138" s="116">
        <v>5.0999999999999997E-2</v>
      </c>
      <c r="L138" s="116">
        <v>2.5399999999999999E-2</v>
      </c>
      <c r="M138" s="111">
        <v>18160.650000000001</v>
      </c>
      <c r="N138" s="61">
        <v>122.49</v>
      </c>
      <c r="O138" s="85">
        <v>22.244979999999998</v>
      </c>
      <c r="P138" s="25">
        <v>3.9615998073882044E-4</v>
      </c>
      <c r="Q138" s="25">
        <v>3.8616331855709536E-5</v>
      </c>
      <c r="R138" s="15"/>
    </row>
    <row r="139" spans="1:18" x14ac:dyDescent="0.25">
      <c r="A139" s="17" t="s">
        <v>2858</v>
      </c>
      <c r="B139" s="116" t="s">
        <v>2272</v>
      </c>
      <c r="C139" s="116" t="s">
        <v>2481</v>
      </c>
      <c r="D139" s="116"/>
      <c r="E139" s="116" t="s">
        <v>528</v>
      </c>
      <c r="F139" s="116" t="s">
        <v>2482</v>
      </c>
      <c r="G139" s="116" t="s">
        <v>256</v>
      </c>
      <c r="H139" s="117">
        <v>3.93</v>
      </c>
      <c r="I139" s="116" t="s">
        <v>211</v>
      </c>
      <c r="J139" s="117" t="s">
        <v>257</v>
      </c>
      <c r="K139" s="116">
        <v>5.0999999999999997E-2</v>
      </c>
      <c r="L139" s="116">
        <v>2.5399999999999999E-2</v>
      </c>
      <c r="M139" s="111">
        <v>53989.77</v>
      </c>
      <c r="N139" s="61">
        <v>122.13</v>
      </c>
      <c r="O139" s="85">
        <v>65.937699999999992</v>
      </c>
      <c r="P139" s="25">
        <v>1.1742819261677071E-3</v>
      </c>
      <c r="Q139" s="25">
        <v>1.144650210969944E-4</v>
      </c>
      <c r="R139" s="15"/>
    </row>
    <row r="140" spans="1:18" x14ac:dyDescent="0.25">
      <c r="A140" s="17" t="s">
        <v>2858</v>
      </c>
      <c r="B140" s="116" t="s">
        <v>2272</v>
      </c>
      <c r="C140" s="116" t="s">
        <v>2486</v>
      </c>
      <c r="D140" s="116"/>
      <c r="E140" s="116" t="s">
        <v>528</v>
      </c>
      <c r="F140" s="116" t="s">
        <v>2487</v>
      </c>
      <c r="G140" s="116" t="s">
        <v>256</v>
      </c>
      <c r="H140" s="117">
        <v>3.93</v>
      </c>
      <c r="I140" s="116" t="s">
        <v>211</v>
      </c>
      <c r="J140" s="117" t="s">
        <v>257</v>
      </c>
      <c r="K140" s="116">
        <v>5.0999999999999997E-2</v>
      </c>
      <c r="L140" s="116">
        <v>2.5399999999999999E-2</v>
      </c>
      <c r="M140" s="111">
        <v>21190.83</v>
      </c>
      <c r="N140" s="61">
        <v>122.13</v>
      </c>
      <c r="O140" s="85">
        <v>25.88036</v>
      </c>
      <c r="P140" s="25">
        <v>4.6090232129288223E-4</v>
      </c>
      <c r="Q140" s="25">
        <v>4.4927195722595878E-5</v>
      </c>
      <c r="R140" s="15"/>
    </row>
    <row r="141" spans="1:18" x14ac:dyDescent="0.25">
      <c r="A141" s="17" t="s">
        <v>2858</v>
      </c>
      <c r="B141" s="116" t="s">
        <v>2272</v>
      </c>
      <c r="C141" s="116" t="s">
        <v>2444</v>
      </c>
      <c r="D141" s="116"/>
      <c r="E141" s="116" t="s">
        <v>528</v>
      </c>
      <c r="F141" s="116" t="s">
        <v>2443</v>
      </c>
      <c r="G141" s="116" t="s">
        <v>256</v>
      </c>
      <c r="H141" s="117">
        <v>3.89</v>
      </c>
      <c r="I141" s="116" t="s">
        <v>211</v>
      </c>
      <c r="J141" s="117" t="s">
        <v>257</v>
      </c>
      <c r="K141" s="116">
        <v>5.2600000000000001E-2</v>
      </c>
      <c r="L141" s="116">
        <v>3.3700000000000001E-2</v>
      </c>
      <c r="M141" s="111">
        <v>68158.789999999994</v>
      </c>
      <c r="N141" s="61">
        <v>123.19</v>
      </c>
      <c r="O141" s="85">
        <v>83.96481</v>
      </c>
      <c r="P141" s="25">
        <v>1.4953260246733742E-3</v>
      </c>
      <c r="Q141" s="25">
        <v>1.4575931141145549E-4</v>
      </c>
      <c r="R141" s="15"/>
    </row>
    <row r="142" spans="1:18" x14ac:dyDescent="0.25">
      <c r="A142" s="17" t="s">
        <v>2859</v>
      </c>
      <c r="B142" s="116" t="s">
        <v>2272</v>
      </c>
      <c r="C142" s="116" t="s">
        <v>2434</v>
      </c>
      <c r="D142" s="116"/>
      <c r="E142" s="116" t="s">
        <v>591</v>
      </c>
      <c r="F142" s="116" t="s">
        <v>2435</v>
      </c>
      <c r="G142" s="116" t="s">
        <v>521</v>
      </c>
      <c r="H142" s="117">
        <v>2.56</v>
      </c>
      <c r="I142" s="116" t="s">
        <v>204</v>
      </c>
      <c r="J142" s="117" t="s">
        <v>257</v>
      </c>
      <c r="K142" s="116">
        <v>5.5E-2</v>
      </c>
      <c r="L142" s="116">
        <v>4.4400000000000002E-2</v>
      </c>
      <c r="M142" s="111">
        <v>443920.65</v>
      </c>
      <c r="N142" s="61">
        <v>135.85</v>
      </c>
      <c r="O142" s="85">
        <v>603.06619999999998</v>
      </c>
      <c r="P142" s="25">
        <v>1.0739982421932212E-2</v>
      </c>
      <c r="Q142" s="25">
        <v>1.0468970756620909E-3</v>
      </c>
      <c r="R142" s="15"/>
    </row>
    <row r="143" spans="1:18" x14ac:dyDescent="0.25">
      <c r="A143" s="17" t="s">
        <v>2859</v>
      </c>
      <c r="B143" s="116" t="s">
        <v>2272</v>
      </c>
      <c r="C143" s="116" t="s">
        <v>2512</v>
      </c>
      <c r="D143" s="116"/>
      <c r="E143" s="116" t="s">
        <v>591</v>
      </c>
      <c r="F143" s="116" t="s">
        <v>2513</v>
      </c>
      <c r="G143" s="116" t="s">
        <v>521</v>
      </c>
      <c r="H143" s="117">
        <v>2.57</v>
      </c>
      <c r="I143" s="116" t="s">
        <v>204</v>
      </c>
      <c r="J143" s="117" t="s">
        <v>257</v>
      </c>
      <c r="K143" s="116">
        <v>2.5600000000000001E-2</v>
      </c>
      <c r="L143" s="116">
        <v>2.6499999999999999E-2</v>
      </c>
      <c r="M143" s="111">
        <v>188341.25</v>
      </c>
      <c r="N143" s="61">
        <v>110.49</v>
      </c>
      <c r="O143" s="85">
        <v>208.09824</v>
      </c>
      <c r="P143" s="25">
        <v>3.7060134353990174E-3</v>
      </c>
      <c r="Q143" s="25">
        <v>3.6124962550782643E-4</v>
      </c>
      <c r="R143" s="15"/>
    </row>
    <row r="144" spans="1:18" x14ac:dyDescent="0.25">
      <c r="A144" s="17" t="s">
        <v>2860</v>
      </c>
      <c r="B144" s="116" t="s">
        <v>2272</v>
      </c>
      <c r="C144" s="116" t="s">
        <v>2597</v>
      </c>
      <c r="D144" s="116"/>
      <c r="E144" s="116" t="s">
        <v>528</v>
      </c>
      <c r="F144" s="116" t="s">
        <v>2596</v>
      </c>
      <c r="G144" s="116" t="s">
        <v>256</v>
      </c>
      <c r="H144" s="117">
        <v>8.23</v>
      </c>
      <c r="I144" s="116" t="s">
        <v>204</v>
      </c>
      <c r="J144" s="117" t="s">
        <v>257</v>
      </c>
      <c r="K144" s="116">
        <v>2.98E-2</v>
      </c>
      <c r="L144" s="116">
        <v>3.2099999999999997E-2</v>
      </c>
      <c r="M144" s="111">
        <v>1758746.89</v>
      </c>
      <c r="N144" s="61">
        <v>107.72</v>
      </c>
      <c r="O144" s="85">
        <v>1894.5221399999998</v>
      </c>
      <c r="P144" s="25">
        <v>3.3739470860017357E-2</v>
      </c>
      <c r="Q144" s="25">
        <v>3.2888092354422887E-3</v>
      </c>
      <c r="R144" s="15"/>
    </row>
    <row r="145" spans="1:18" x14ac:dyDescent="0.25">
      <c r="A145" s="17" t="s">
        <v>2861</v>
      </c>
      <c r="B145" s="116" t="s">
        <v>2272</v>
      </c>
      <c r="C145" s="116" t="s">
        <v>2292</v>
      </c>
      <c r="D145" s="116"/>
      <c r="E145" s="116" t="s">
        <v>528</v>
      </c>
      <c r="F145" s="116" t="s">
        <v>2293</v>
      </c>
      <c r="G145" s="116" t="s">
        <v>256</v>
      </c>
      <c r="H145" s="117">
        <v>7.37</v>
      </c>
      <c r="I145" s="116" t="s">
        <v>211</v>
      </c>
      <c r="J145" s="117" t="s">
        <v>257</v>
      </c>
      <c r="K145" s="116">
        <v>7.1999999880790713E-2</v>
      </c>
      <c r="L145" s="116">
        <v>6.3899999999999998E-2</v>
      </c>
      <c r="M145" s="111">
        <v>1486.1031930505042</v>
      </c>
      <c r="N145" s="61">
        <v>98.3</v>
      </c>
      <c r="O145" s="85">
        <v>1.4608394373881748</v>
      </c>
      <c r="P145" s="25">
        <v>2.6016032533102236E-5</v>
      </c>
      <c r="Q145" s="25">
        <v>2.5359546514355048E-6</v>
      </c>
      <c r="R145" s="15"/>
    </row>
    <row r="146" spans="1:18" x14ac:dyDescent="0.25">
      <c r="A146" s="17" t="s">
        <v>2861</v>
      </c>
      <c r="B146" s="116" t="s">
        <v>2272</v>
      </c>
      <c r="C146" s="116" t="s">
        <v>2330</v>
      </c>
      <c r="D146" s="116"/>
      <c r="E146" s="116" t="s">
        <v>528</v>
      </c>
      <c r="F146" s="116" t="s">
        <v>2331</v>
      </c>
      <c r="G146" s="116" t="s">
        <v>256</v>
      </c>
      <c r="H146" s="117">
        <v>7.32</v>
      </c>
      <c r="I146" s="116" t="s">
        <v>211</v>
      </c>
      <c r="J146" s="117" t="s">
        <v>257</v>
      </c>
      <c r="K146" s="116">
        <v>7.1999999880790713E-2</v>
      </c>
      <c r="L146" s="116">
        <v>6.5599999999999992E-2</v>
      </c>
      <c r="M146" s="111">
        <v>2101.9544946065421</v>
      </c>
      <c r="N146" s="61">
        <v>97.13</v>
      </c>
      <c r="O146" s="85">
        <v>2.0416283992522817</v>
      </c>
      <c r="P146" s="25">
        <v>3.6359280490412339E-5</v>
      </c>
      <c r="Q146" s="25">
        <v>3.5441793965005661E-6</v>
      </c>
      <c r="R146" s="15"/>
    </row>
    <row r="147" spans="1:18" x14ac:dyDescent="0.25">
      <c r="A147" s="17" t="s">
        <v>2861</v>
      </c>
      <c r="B147" s="116" t="s">
        <v>2272</v>
      </c>
      <c r="C147" s="116" t="s">
        <v>2338</v>
      </c>
      <c r="D147" s="116"/>
      <c r="E147" s="116" t="s">
        <v>528</v>
      </c>
      <c r="F147" s="116" t="s">
        <v>922</v>
      </c>
      <c r="G147" s="116" t="s">
        <v>256</v>
      </c>
      <c r="H147" s="117">
        <v>7.27</v>
      </c>
      <c r="I147" s="116" t="s">
        <v>211</v>
      </c>
      <c r="J147" s="117" t="s">
        <v>257</v>
      </c>
      <c r="K147" s="116">
        <v>7.1999999880790713E-2</v>
      </c>
      <c r="L147" s="116">
        <v>6.7599999999999993E-2</v>
      </c>
      <c r="M147" s="111">
        <v>1698.8283529386395</v>
      </c>
      <c r="N147" s="61">
        <v>95.84</v>
      </c>
      <c r="O147" s="85">
        <v>1.6281570930636693</v>
      </c>
      <c r="P147" s="25">
        <v>2.8995786133674972E-5</v>
      </c>
      <c r="Q147" s="25">
        <v>2.8264109304199875E-6</v>
      </c>
      <c r="R147" s="15"/>
    </row>
    <row r="148" spans="1:18" x14ac:dyDescent="0.25">
      <c r="A148" s="17" t="s">
        <v>2861</v>
      </c>
      <c r="B148" s="116" t="s">
        <v>2272</v>
      </c>
      <c r="C148" s="116" t="s">
        <v>2343</v>
      </c>
      <c r="D148" s="116"/>
      <c r="E148" s="116" t="s">
        <v>528</v>
      </c>
      <c r="F148" s="116" t="s">
        <v>2344</v>
      </c>
      <c r="G148" s="116" t="s">
        <v>256</v>
      </c>
      <c r="H148" s="117">
        <v>7.25</v>
      </c>
      <c r="I148" s="116" t="s">
        <v>211</v>
      </c>
      <c r="J148" s="117" t="s">
        <v>257</v>
      </c>
      <c r="K148" s="116">
        <v>7.1999999880790713E-2</v>
      </c>
      <c r="L148" s="116">
        <v>6.8000000000000005E-2</v>
      </c>
      <c r="M148" s="111">
        <v>2940.3422035166818</v>
      </c>
      <c r="N148" s="61">
        <v>95.57</v>
      </c>
      <c r="O148" s="85">
        <v>2.810085043340262</v>
      </c>
      <c r="P148" s="25">
        <v>5.0044694876962154E-5</v>
      </c>
      <c r="Q148" s="25">
        <v>4.8781871944318886E-6</v>
      </c>
      <c r="R148" s="15"/>
    </row>
    <row r="149" spans="1:18" x14ac:dyDescent="0.25">
      <c r="A149" s="17" t="s">
        <v>2861</v>
      </c>
      <c r="B149" s="116" t="s">
        <v>2272</v>
      </c>
      <c r="C149" s="116" t="s">
        <v>2352</v>
      </c>
      <c r="D149" s="116"/>
      <c r="E149" s="116" t="s">
        <v>528</v>
      </c>
      <c r="F149" s="116" t="s">
        <v>948</v>
      </c>
      <c r="G149" s="116" t="s">
        <v>256</v>
      </c>
      <c r="H149" s="117">
        <v>7.38</v>
      </c>
      <c r="I149" s="116" t="s">
        <v>211</v>
      </c>
      <c r="J149" s="117" t="s">
        <v>257</v>
      </c>
      <c r="K149" s="116">
        <v>7.1999999880790713E-2</v>
      </c>
      <c r="L149" s="116">
        <v>6.3099999999999989E-2</v>
      </c>
      <c r="M149" s="111">
        <v>5869.7042774892643</v>
      </c>
      <c r="N149" s="61">
        <v>98.85</v>
      </c>
      <c r="O149" s="85">
        <v>5.8022026772999151</v>
      </c>
      <c r="P149" s="25">
        <v>1.0333120105668186E-4</v>
      </c>
      <c r="Q149" s="25">
        <v>1.0072375164225811E-5</v>
      </c>
      <c r="R149" s="15"/>
    </row>
    <row r="150" spans="1:18" x14ac:dyDescent="0.25">
      <c r="A150" s="17" t="s">
        <v>2861</v>
      </c>
      <c r="B150" s="116" t="s">
        <v>2272</v>
      </c>
      <c r="C150" s="116" t="s">
        <v>2361</v>
      </c>
      <c r="D150" s="116"/>
      <c r="E150" s="116" t="s">
        <v>528</v>
      </c>
      <c r="F150" s="116" t="s">
        <v>2362</v>
      </c>
      <c r="G150" s="116" t="s">
        <v>256</v>
      </c>
      <c r="H150" s="117">
        <v>7.39</v>
      </c>
      <c r="I150" s="116" t="s">
        <v>211</v>
      </c>
      <c r="J150" s="117" t="s">
        <v>257</v>
      </c>
      <c r="K150" s="116">
        <v>7.1999999880790713E-2</v>
      </c>
      <c r="L150" s="116">
        <v>6.2400000000000004E-2</v>
      </c>
      <c r="M150" s="111">
        <v>2418.3645258051079</v>
      </c>
      <c r="N150" s="61">
        <v>99.36</v>
      </c>
      <c r="O150" s="85">
        <v>2.4028869924697451</v>
      </c>
      <c r="P150" s="25">
        <v>4.2792920679379184E-5</v>
      </c>
      <c r="Q150" s="25">
        <v>4.1713088307105474E-6</v>
      </c>
      <c r="R150" s="15"/>
    </row>
    <row r="151" spans="1:18" x14ac:dyDescent="0.25">
      <c r="A151" s="17" t="s">
        <v>2861</v>
      </c>
      <c r="B151" s="116" t="s">
        <v>2272</v>
      </c>
      <c r="C151" s="116" t="s">
        <v>2371</v>
      </c>
      <c r="D151" s="116"/>
      <c r="E151" s="116" t="s">
        <v>528</v>
      </c>
      <c r="F151" s="116" t="s">
        <v>2372</v>
      </c>
      <c r="G151" s="116" t="s">
        <v>256</v>
      </c>
      <c r="H151" s="117">
        <v>7.43</v>
      </c>
      <c r="I151" s="116" t="s">
        <v>211</v>
      </c>
      <c r="J151" s="117" t="s">
        <v>257</v>
      </c>
      <c r="K151" s="116">
        <v>7.1999999880790713E-2</v>
      </c>
      <c r="L151" s="116">
        <v>6.0199999999999997E-2</v>
      </c>
      <c r="M151" s="111">
        <v>3029.6352513705451</v>
      </c>
      <c r="N151" s="61">
        <v>100.83</v>
      </c>
      <c r="O151" s="85">
        <v>3.0547812230041922</v>
      </c>
      <c r="P151" s="25">
        <v>5.4402479591649494E-5</v>
      </c>
      <c r="Q151" s="25">
        <v>5.3029692746012867E-6</v>
      </c>
      <c r="R151" s="15"/>
    </row>
    <row r="152" spans="1:18" x14ac:dyDescent="0.25">
      <c r="A152" s="17" t="s">
        <v>2861</v>
      </c>
      <c r="B152" s="116" t="s">
        <v>2272</v>
      </c>
      <c r="C152" s="116" t="s">
        <v>2397</v>
      </c>
      <c r="D152" s="116"/>
      <c r="E152" s="116" t="s">
        <v>528</v>
      </c>
      <c r="F152" s="116" t="s">
        <v>2398</v>
      </c>
      <c r="G152" s="116" t="s">
        <v>256</v>
      </c>
      <c r="H152" s="117">
        <v>7.29</v>
      </c>
      <c r="I152" s="116" t="s">
        <v>211</v>
      </c>
      <c r="J152" s="117" t="s">
        <v>257</v>
      </c>
      <c r="K152" s="116">
        <v>7.1999999880790713E-2</v>
      </c>
      <c r="L152" s="116">
        <v>6.2400000000000004E-2</v>
      </c>
      <c r="M152" s="111">
        <v>2083.3164614711959</v>
      </c>
      <c r="N152" s="61">
        <v>99.36</v>
      </c>
      <c r="O152" s="85">
        <v>2.0699832356325047</v>
      </c>
      <c r="P152" s="25">
        <v>3.6864250664997417E-5</v>
      </c>
      <c r="Q152" s="25">
        <v>3.5934021771626768E-6</v>
      </c>
      <c r="R152" s="15"/>
    </row>
    <row r="153" spans="1:18" x14ac:dyDescent="0.25">
      <c r="A153" s="17" t="s">
        <v>2861</v>
      </c>
      <c r="B153" s="116" t="s">
        <v>2272</v>
      </c>
      <c r="C153" s="116" t="s">
        <v>2405</v>
      </c>
      <c r="D153" s="116"/>
      <c r="E153" s="116" t="s">
        <v>528</v>
      </c>
      <c r="F153" s="116" t="s">
        <v>2406</v>
      </c>
      <c r="G153" s="116" t="s">
        <v>256</v>
      </c>
      <c r="H153" s="117">
        <v>7.26</v>
      </c>
      <c r="I153" s="116" t="s">
        <v>211</v>
      </c>
      <c r="J153" s="117" t="s">
        <v>257</v>
      </c>
      <c r="K153" s="116">
        <v>7.1999999880790713E-2</v>
      </c>
      <c r="L153" s="116">
        <v>6.3399999999999998E-2</v>
      </c>
      <c r="M153" s="111">
        <v>1695.9906613288667</v>
      </c>
      <c r="N153" s="61">
        <v>98.63</v>
      </c>
      <c r="O153" s="85">
        <v>1.6727555881722578</v>
      </c>
      <c r="P153" s="25">
        <v>2.9790038992666027E-5</v>
      </c>
      <c r="Q153" s="25">
        <v>2.9038320064280798E-6</v>
      </c>
      <c r="R153" s="15"/>
    </row>
    <row r="154" spans="1:18" x14ac:dyDescent="0.25">
      <c r="A154" s="17" t="s">
        <v>2861</v>
      </c>
      <c r="B154" s="116" t="s">
        <v>2272</v>
      </c>
      <c r="C154" s="116" t="s">
        <v>2415</v>
      </c>
      <c r="D154" s="116"/>
      <c r="E154" s="116" t="s">
        <v>528</v>
      </c>
      <c r="F154" s="116" t="s">
        <v>2062</v>
      </c>
      <c r="G154" s="116" t="s">
        <v>256</v>
      </c>
      <c r="H154" s="117">
        <v>7.25</v>
      </c>
      <c r="I154" s="116" t="s">
        <v>211</v>
      </c>
      <c r="J154" s="117" t="s">
        <v>257</v>
      </c>
      <c r="K154" s="116">
        <v>7.1999999880790713E-2</v>
      </c>
      <c r="L154" s="116">
        <v>6.0299999999999999E-2</v>
      </c>
      <c r="M154" s="111">
        <v>3730.058470026514</v>
      </c>
      <c r="N154" s="61">
        <v>100.8</v>
      </c>
      <c r="O154" s="85">
        <v>3.7598989369862719</v>
      </c>
      <c r="P154" s="25">
        <v>6.6959893443662024E-5</v>
      </c>
      <c r="Q154" s="25">
        <v>6.5270234045879748E-6</v>
      </c>
      <c r="R154" s="15"/>
    </row>
    <row r="155" spans="1:18" x14ac:dyDescent="0.25">
      <c r="A155" s="17" t="s">
        <v>2861</v>
      </c>
      <c r="B155" s="116" t="s">
        <v>2272</v>
      </c>
      <c r="C155" s="116" t="s">
        <v>2421</v>
      </c>
      <c r="D155" s="116"/>
      <c r="E155" s="116" t="s">
        <v>528</v>
      </c>
      <c r="F155" s="116" t="s">
        <v>2422</v>
      </c>
      <c r="G155" s="116" t="s">
        <v>256</v>
      </c>
      <c r="H155" s="117">
        <v>7.25</v>
      </c>
      <c r="I155" s="116" t="s">
        <v>211</v>
      </c>
      <c r="J155" s="117" t="s">
        <v>257</v>
      </c>
      <c r="K155" s="116">
        <v>7.1999999880790713E-2</v>
      </c>
      <c r="L155" s="116">
        <v>6.0199999999999997E-2</v>
      </c>
      <c r="M155" s="111">
        <v>2575.8454664370565</v>
      </c>
      <c r="N155" s="61">
        <v>100.82</v>
      </c>
      <c r="O155" s="85">
        <v>2.5969673982209374</v>
      </c>
      <c r="P155" s="25">
        <v>4.6249291051668793E-5</v>
      </c>
      <c r="Q155" s="25">
        <v>4.5082240967696222E-6</v>
      </c>
      <c r="R155" s="15"/>
    </row>
    <row r="156" spans="1:18" x14ac:dyDescent="0.25">
      <c r="A156" s="17" t="s">
        <v>2861</v>
      </c>
      <c r="B156" s="116" t="s">
        <v>2272</v>
      </c>
      <c r="C156" s="116" t="s">
        <v>2298</v>
      </c>
      <c r="D156" s="116"/>
      <c r="E156" s="116" t="s">
        <v>528</v>
      </c>
      <c r="F156" s="116" t="s">
        <v>2299</v>
      </c>
      <c r="G156" s="116" t="s">
        <v>256</v>
      </c>
      <c r="H156" s="117">
        <v>7.46</v>
      </c>
      <c r="I156" s="116" t="s">
        <v>211</v>
      </c>
      <c r="J156" s="117" t="s">
        <v>257</v>
      </c>
      <c r="K156" s="116">
        <v>7.1999999880790713E-2</v>
      </c>
      <c r="L156" s="116">
        <v>6.0199999999999997E-2</v>
      </c>
      <c r="M156" s="111">
        <v>1410.8735744805119</v>
      </c>
      <c r="N156" s="61">
        <v>100.84</v>
      </c>
      <c r="O156" s="85">
        <v>1.4227249124886383</v>
      </c>
      <c r="P156" s="25">
        <v>2.5337252446535754E-5</v>
      </c>
      <c r="Q156" s="25">
        <v>2.4697894698060673E-6</v>
      </c>
      <c r="R156" s="15"/>
    </row>
    <row r="157" spans="1:18" x14ac:dyDescent="0.25">
      <c r="A157" s="17" t="s">
        <v>2861</v>
      </c>
      <c r="B157" s="116" t="s">
        <v>2272</v>
      </c>
      <c r="C157" s="116" t="s">
        <v>2433</v>
      </c>
      <c r="D157" s="116"/>
      <c r="E157" s="116" t="s">
        <v>528</v>
      </c>
      <c r="F157" s="116" t="s">
        <v>2162</v>
      </c>
      <c r="G157" s="116" t="s">
        <v>256</v>
      </c>
      <c r="H157" s="117">
        <v>2.21</v>
      </c>
      <c r="I157" s="116" t="s">
        <v>211</v>
      </c>
      <c r="J157" s="117" t="s">
        <v>257</v>
      </c>
      <c r="K157" s="116">
        <v>7.1999999880790713E-2</v>
      </c>
      <c r="L157" s="116">
        <v>6.3899999999999998E-2</v>
      </c>
      <c r="M157" s="111">
        <v>1323.9109960182136</v>
      </c>
      <c r="N157" s="61">
        <v>100</v>
      </c>
      <c r="O157" s="85">
        <v>1.3239109960182136</v>
      </c>
      <c r="P157" s="25">
        <v>2.3577479264197499E-5</v>
      </c>
      <c r="Q157" s="25">
        <v>2.2982527459976266E-6</v>
      </c>
      <c r="R157" s="15"/>
    </row>
    <row r="158" spans="1:18" x14ac:dyDescent="0.25">
      <c r="A158" s="17" t="s">
        <v>2861</v>
      </c>
      <c r="B158" s="116" t="s">
        <v>2272</v>
      </c>
      <c r="C158" s="116" t="s">
        <v>2300</v>
      </c>
      <c r="D158" s="116"/>
      <c r="E158" s="116" t="s">
        <v>528</v>
      </c>
      <c r="F158" s="116" t="s">
        <v>2301</v>
      </c>
      <c r="G158" s="116" t="s">
        <v>256</v>
      </c>
      <c r="H158" s="117">
        <v>7.46</v>
      </c>
      <c r="I158" s="116" t="s">
        <v>211</v>
      </c>
      <c r="J158" s="117" t="s">
        <v>257</v>
      </c>
      <c r="K158" s="116">
        <v>7.1999999880790713E-2</v>
      </c>
      <c r="L158" s="116">
        <v>6.0299999999999999E-2</v>
      </c>
      <c r="M158" s="111">
        <v>5145.7143928137675</v>
      </c>
      <c r="N158" s="61">
        <v>100.8</v>
      </c>
      <c r="O158" s="85">
        <v>5.1868801070432591</v>
      </c>
      <c r="P158" s="25">
        <v>9.2372945415137631E-5</v>
      </c>
      <c r="Q158" s="25">
        <v>9.0042015551086446E-6</v>
      </c>
      <c r="R158" s="15"/>
    </row>
    <row r="159" spans="1:18" x14ac:dyDescent="0.25">
      <c r="A159" s="17" t="s">
        <v>2861</v>
      </c>
      <c r="B159" s="116" t="s">
        <v>2272</v>
      </c>
      <c r="C159" s="116" t="s">
        <v>2302</v>
      </c>
      <c r="D159" s="116"/>
      <c r="E159" s="116" t="s">
        <v>528</v>
      </c>
      <c r="F159" s="116" t="s">
        <v>2303</v>
      </c>
      <c r="G159" s="116" t="s">
        <v>256</v>
      </c>
      <c r="H159" s="117">
        <v>7.44</v>
      </c>
      <c r="I159" s="116" t="s">
        <v>211</v>
      </c>
      <c r="J159" s="117" t="s">
        <v>257</v>
      </c>
      <c r="K159" s="116">
        <v>7.1999999880790713E-2</v>
      </c>
      <c r="L159" s="116">
        <v>6.13E-2</v>
      </c>
      <c r="M159" s="111">
        <v>2913.9862186509094</v>
      </c>
      <c r="N159" s="61">
        <v>100.13</v>
      </c>
      <c r="O159" s="85">
        <v>2.9177743996532919</v>
      </c>
      <c r="P159" s="25">
        <v>5.1962530421104962E-5</v>
      </c>
      <c r="Q159" s="25">
        <v>5.065131301403966E-6</v>
      </c>
      <c r="R159" s="15"/>
    </row>
    <row r="160" spans="1:18" x14ac:dyDescent="0.25">
      <c r="A160" s="17" t="s">
        <v>2861</v>
      </c>
      <c r="B160" s="116" t="s">
        <v>2272</v>
      </c>
      <c r="C160" s="116" t="s">
        <v>2306</v>
      </c>
      <c r="D160" s="116"/>
      <c r="E160" s="116" t="s">
        <v>528</v>
      </c>
      <c r="F160" s="116" t="s">
        <v>2307</v>
      </c>
      <c r="G160" s="116" t="s">
        <v>256</v>
      </c>
      <c r="H160" s="117">
        <v>7.3</v>
      </c>
      <c r="I160" s="116" t="s">
        <v>211</v>
      </c>
      <c r="J160" s="117" t="s">
        <v>257</v>
      </c>
      <c r="K160" s="116">
        <v>7.1999999880790713E-2</v>
      </c>
      <c r="L160" s="116">
        <v>6.6199999999999995E-2</v>
      </c>
      <c r="M160" s="111">
        <v>4353.2117591327351</v>
      </c>
      <c r="N160" s="61">
        <v>96.77</v>
      </c>
      <c r="O160" s="85">
        <v>4.2126030182945131</v>
      </c>
      <c r="P160" s="25">
        <v>7.5022082761497255E-5</v>
      </c>
      <c r="Q160" s="25">
        <v>7.3128982867516433E-6</v>
      </c>
      <c r="R160" s="15"/>
    </row>
    <row r="161" spans="1:18" x14ac:dyDescent="0.25">
      <c r="A161" s="17" t="s">
        <v>2861</v>
      </c>
      <c r="B161" s="116" t="s">
        <v>2272</v>
      </c>
      <c r="C161" s="116" t="s">
        <v>2316</v>
      </c>
      <c r="D161" s="116"/>
      <c r="E161" s="116" t="s">
        <v>528</v>
      </c>
      <c r="F161" s="116" t="s">
        <v>2317</v>
      </c>
      <c r="G161" s="116" t="s">
        <v>256</v>
      </c>
      <c r="H161" s="117">
        <v>7.33</v>
      </c>
      <c r="I161" s="116" t="s">
        <v>211</v>
      </c>
      <c r="J161" s="117" t="s">
        <v>257</v>
      </c>
      <c r="K161" s="116">
        <v>7.1999999880790713E-2</v>
      </c>
      <c r="L161" s="116">
        <v>6.5099999999999991E-2</v>
      </c>
      <c r="M161" s="111">
        <v>3703.7649315358944</v>
      </c>
      <c r="N161" s="61">
        <v>97.46</v>
      </c>
      <c r="O161" s="85">
        <v>3.6096893008672093</v>
      </c>
      <c r="P161" s="25">
        <v>6.4284815895751754E-5</v>
      </c>
      <c r="Q161" s="25">
        <v>6.2662659143003192E-6</v>
      </c>
      <c r="R161" s="15"/>
    </row>
    <row r="162" spans="1:18" x14ac:dyDescent="0.25">
      <c r="A162" s="17" t="s">
        <v>2861</v>
      </c>
      <c r="B162" s="116" t="s">
        <v>2272</v>
      </c>
      <c r="C162" s="116" t="s">
        <v>2320</v>
      </c>
      <c r="D162" s="116"/>
      <c r="E162" s="116" t="s">
        <v>528</v>
      </c>
      <c r="F162" s="116" t="s">
        <v>2321</v>
      </c>
      <c r="G162" s="116" t="s">
        <v>256</v>
      </c>
      <c r="H162" s="117">
        <v>7.36</v>
      </c>
      <c r="I162" s="116" t="s">
        <v>211</v>
      </c>
      <c r="J162" s="117" t="s">
        <v>257</v>
      </c>
      <c r="K162" s="116">
        <v>7.1999999880790713E-2</v>
      </c>
      <c r="L162" s="116">
        <v>6.4199999999999993E-2</v>
      </c>
      <c r="M162" s="111">
        <v>3829.1061660393398</v>
      </c>
      <c r="N162" s="61">
        <v>98.1</v>
      </c>
      <c r="O162" s="85">
        <v>3.7563531482264061</v>
      </c>
      <c r="P162" s="25">
        <v>6.6896746630007336E-5</v>
      </c>
      <c r="Q162" s="25">
        <v>6.5208680672740626E-6</v>
      </c>
      <c r="R162" s="15"/>
    </row>
    <row r="163" spans="1:18" x14ac:dyDescent="0.25">
      <c r="A163" s="17" t="s">
        <v>2861</v>
      </c>
      <c r="B163" s="116" t="s">
        <v>2272</v>
      </c>
      <c r="C163" s="116" t="s">
        <v>2324</v>
      </c>
      <c r="D163" s="116"/>
      <c r="E163" s="116" t="s">
        <v>528</v>
      </c>
      <c r="F163" s="116" t="s">
        <v>2325</v>
      </c>
      <c r="G163" s="116" t="s">
        <v>256</v>
      </c>
      <c r="H163" s="117">
        <v>7.35</v>
      </c>
      <c r="I163" s="116" t="s">
        <v>211</v>
      </c>
      <c r="J163" s="117" t="s">
        <v>257</v>
      </c>
      <c r="K163" s="116">
        <v>7.1999999880790713E-2</v>
      </c>
      <c r="L163" s="116">
        <v>6.4299999999999996E-2</v>
      </c>
      <c r="M163" s="111">
        <v>3136.0691420952217</v>
      </c>
      <c r="N163" s="61">
        <v>98.05</v>
      </c>
      <c r="O163" s="85">
        <v>3.0749157929082198</v>
      </c>
      <c r="P163" s="25">
        <v>5.4761055361345126E-5</v>
      </c>
      <c r="Q163" s="25">
        <v>5.3379220249829873E-6</v>
      </c>
      <c r="R163" s="15"/>
    </row>
    <row r="164" spans="1:18" x14ac:dyDescent="0.25">
      <c r="A164" s="17" t="s">
        <v>2861</v>
      </c>
      <c r="B164" s="116" t="s">
        <v>2272</v>
      </c>
      <c r="C164" s="116" t="s">
        <v>2328</v>
      </c>
      <c r="D164" s="116"/>
      <c r="E164" s="116" t="s">
        <v>528</v>
      </c>
      <c r="F164" s="116" t="s">
        <v>2329</v>
      </c>
      <c r="G164" s="116" t="s">
        <v>256</v>
      </c>
      <c r="H164" s="117">
        <v>7.33</v>
      </c>
      <c r="I164" s="116" t="s">
        <v>211</v>
      </c>
      <c r="J164" s="117" t="s">
        <v>257</v>
      </c>
      <c r="K164" s="116">
        <v>7.1999999880790713E-2</v>
      </c>
      <c r="L164" s="116">
        <v>6.5299999999999997E-2</v>
      </c>
      <c r="M164" s="111">
        <v>1137.4576779330582</v>
      </c>
      <c r="N164" s="61">
        <v>97.34</v>
      </c>
      <c r="O164" s="85">
        <v>1.1072013030749968</v>
      </c>
      <c r="P164" s="25">
        <v>1.9718104799383395E-5</v>
      </c>
      <c r="Q164" s="25">
        <v>1.922054007268971E-6</v>
      </c>
      <c r="R164" s="15"/>
    </row>
    <row r="165" spans="1:18" x14ac:dyDescent="0.25">
      <c r="A165" s="17" t="s">
        <v>2862</v>
      </c>
      <c r="B165" s="116" t="s">
        <v>2272</v>
      </c>
      <c r="C165" s="116" t="s">
        <v>2667</v>
      </c>
      <c r="D165" s="116"/>
      <c r="E165" s="116" t="s">
        <v>669</v>
      </c>
      <c r="F165" s="116" t="s">
        <v>2668</v>
      </c>
      <c r="G165" s="116" t="s">
        <v>521</v>
      </c>
      <c r="H165" s="117">
        <v>6.29</v>
      </c>
      <c r="I165" s="116" t="s">
        <v>211</v>
      </c>
      <c r="J165" s="117" t="s">
        <v>126</v>
      </c>
      <c r="K165" s="116">
        <v>2.35E-2</v>
      </c>
      <c r="L165" s="116">
        <v>6.1500000000000006E-2</v>
      </c>
      <c r="M165" s="111">
        <v>13361.543072482196</v>
      </c>
      <c r="N165" s="61">
        <v>78.77</v>
      </c>
      <c r="O165" s="85">
        <v>42.294260329887209</v>
      </c>
      <c r="P165" s="25">
        <v>7.53216831736903E-4</v>
      </c>
      <c r="Q165" s="25">
        <v>7.3421023192230146E-5</v>
      </c>
      <c r="R165" s="15"/>
    </row>
    <row r="166" spans="1:18" x14ac:dyDescent="0.25">
      <c r="A166" s="17" t="s">
        <v>2863</v>
      </c>
      <c r="B166" s="116" t="s">
        <v>2915</v>
      </c>
      <c r="C166" s="116" t="s">
        <v>2618</v>
      </c>
      <c r="D166" s="116"/>
      <c r="E166" s="116" t="s">
        <v>2380</v>
      </c>
      <c r="F166" s="116" t="s">
        <v>2619</v>
      </c>
      <c r="G166" s="116" t="s">
        <v>2382</v>
      </c>
      <c r="H166" s="117">
        <v>4.5</v>
      </c>
      <c r="I166" s="116" t="s">
        <v>223</v>
      </c>
      <c r="J166" s="117" t="s">
        <v>257</v>
      </c>
      <c r="K166" s="116">
        <v>6.9999999999999993E-3</v>
      </c>
      <c r="L166" s="116">
        <v>3.6200000000000003E-2</v>
      </c>
      <c r="M166" s="111">
        <v>19689.200677358458</v>
      </c>
      <c r="N166" s="61">
        <v>96.15</v>
      </c>
      <c r="O166" s="85">
        <v>18.931166451006565</v>
      </c>
      <c r="P166" s="25">
        <v>3.3714440456202542E-4</v>
      </c>
      <c r="Q166" s="25">
        <v>3.286369356536821E-5</v>
      </c>
      <c r="R166" s="15"/>
    </row>
    <row r="167" spans="1:18" x14ac:dyDescent="0.25">
      <c r="A167" s="17" t="s">
        <v>2864</v>
      </c>
      <c r="B167" s="116" t="s">
        <v>2272</v>
      </c>
      <c r="C167" s="116" t="s">
        <v>2385</v>
      </c>
      <c r="D167" s="116"/>
      <c r="E167" s="116" t="s">
        <v>2380</v>
      </c>
      <c r="F167" s="116" t="s">
        <v>2381</v>
      </c>
      <c r="G167" s="116" t="s">
        <v>2382</v>
      </c>
      <c r="H167" s="117">
        <v>4.7300000000000004</v>
      </c>
      <c r="I167" s="116" t="s">
        <v>221</v>
      </c>
      <c r="J167" s="117" t="s">
        <v>257</v>
      </c>
      <c r="K167" s="116">
        <v>7.0000000000000007E-2</v>
      </c>
      <c r="L167" s="116">
        <v>6.3200000000000006E-2</v>
      </c>
      <c r="M167" s="111">
        <v>8476.1691779415887</v>
      </c>
      <c r="N167" s="61">
        <v>99.67</v>
      </c>
      <c r="O167" s="85">
        <v>8.4481978185554762</v>
      </c>
      <c r="P167" s="25">
        <v>1.5045362527081087E-4</v>
      </c>
      <c r="Q167" s="25">
        <v>1.4665709321564671E-5</v>
      </c>
      <c r="R167" s="15"/>
    </row>
    <row r="168" spans="1:18" x14ac:dyDescent="0.25">
      <c r="A168" s="17" t="s">
        <v>2865</v>
      </c>
      <c r="B168" s="116" t="s">
        <v>2272</v>
      </c>
      <c r="C168" s="116" t="s">
        <v>2384</v>
      </c>
      <c r="D168" s="116"/>
      <c r="E168" s="116" t="s">
        <v>2380</v>
      </c>
      <c r="F168" s="116" t="s">
        <v>2381</v>
      </c>
      <c r="G168" s="116" t="s">
        <v>2382</v>
      </c>
      <c r="H168" s="117">
        <v>4.7300000000000004</v>
      </c>
      <c r="I168" s="116" t="s">
        <v>221</v>
      </c>
      <c r="J168" s="117" t="s">
        <v>257</v>
      </c>
      <c r="K168" s="116">
        <v>7.0000000000000007E-2</v>
      </c>
      <c r="L168" s="116">
        <v>6.3200000000000006E-2</v>
      </c>
      <c r="M168" s="111">
        <v>1722.7986104920653</v>
      </c>
      <c r="N168" s="61">
        <v>99.67</v>
      </c>
      <c r="O168" s="85">
        <v>1.7171133748063501</v>
      </c>
      <c r="P168" s="25">
        <v>3.0580005083828109E-5</v>
      </c>
      <c r="Q168" s="25">
        <v>2.98083522284126E-6</v>
      </c>
      <c r="R168" s="15"/>
    </row>
    <row r="169" spans="1:18" x14ac:dyDescent="0.25">
      <c r="A169" s="17" t="s">
        <v>2866</v>
      </c>
      <c r="B169" s="116" t="s">
        <v>2272</v>
      </c>
      <c r="C169" s="116" t="s">
        <v>2386</v>
      </c>
      <c r="D169" s="116"/>
      <c r="E169" s="116" t="s">
        <v>2380</v>
      </c>
      <c r="F169" s="116" t="s">
        <v>2381</v>
      </c>
      <c r="G169" s="116" t="s">
        <v>2382</v>
      </c>
      <c r="H169" s="117">
        <v>4.7300000000000004</v>
      </c>
      <c r="I169" s="116" t="s">
        <v>221</v>
      </c>
      <c r="J169" s="117" t="s">
        <v>257</v>
      </c>
      <c r="K169" s="116">
        <v>7.0000000000000007E-2</v>
      </c>
      <c r="L169" s="116">
        <v>6.3200000000000006E-2</v>
      </c>
      <c r="M169" s="111">
        <v>1895.0784743553688</v>
      </c>
      <c r="N169" s="61">
        <v>99.67</v>
      </c>
      <c r="O169" s="85">
        <v>1.8888247144757273</v>
      </c>
      <c r="P169" s="25">
        <v>3.3638005631190141E-5</v>
      </c>
      <c r="Q169" s="25">
        <v>3.2789187489249484E-6</v>
      </c>
      <c r="R169" s="15"/>
    </row>
    <row r="170" spans="1:18" x14ac:dyDescent="0.25">
      <c r="A170" s="17" t="s">
        <v>2867</v>
      </c>
      <c r="B170" s="116" t="s">
        <v>2272</v>
      </c>
      <c r="C170" s="116" t="s">
        <v>2383</v>
      </c>
      <c r="D170" s="116"/>
      <c r="E170" s="116" t="s">
        <v>2380</v>
      </c>
      <c r="F170" s="116" t="s">
        <v>2381</v>
      </c>
      <c r="G170" s="116" t="s">
        <v>2382</v>
      </c>
      <c r="H170" s="117">
        <v>4.7300000000000004</v>
      </c>
      <c r="I170" s="116" t="s">
        <v>221</v>
      </c>
      <c r="J170" s="117" t="s">
        <v>257</v>
      </c>
      <c r="K170" s="116">
        <v>7.0000000000000007E-2</v>
      </c>
      <c r="L170" s="116">
        <v>6.3200000000000006E-2</v>
      </c>
      <c r="M170" s="111">
        <v>16952.338354319789</v>
      </c>
      <c r="N170" s="61">
        <v>99.67</v>
      </c>
      <c r="O170" s="85">
        <v>16.896395637110952</v>
      </c>
      <c r="P170" s="25">
        <v>3.0090725054162173E-4</v>
      </c>
      <c r="Q170" s="25">
        <v>2.9331418643129343E-5</v>
      </c>
      <c r="R170" s="15"/>
    </row>
    <row r="171" spans="1:18" x14ac:dyDescent="0.25">
      <c r="A171" s="17" t="s">
        <v>2868</v>
      </c>
      <c r="B171" s="116" t="s">
        <v>2272</v>
      </c>
      <c r="C171" s="116" t="s">
        <v>2379</v>
      </c>
      <c r="D171" s="116"/>
      <c r="E171" s="116" t="s">
        <v>2380</v>
      </c>
      <c r="F171" s="116" t="s">
        <v>2381</v>
      </c>
      <c r="G171" s="116" t="s">
        <v>2382</v>
      </c>
      <c r="H171" s="117">
        <v>4.7300000000000004</v>
      </c>
      <c r="I171" s="116" t="s">
        <v>221</v>
      </c>
      <c r="J171" s="117" t="s">
        <v>257</v>
      </c>
      <c r="K171" s="116">
        <v>7.0000000000000007E-2</v>
      </c>
      <c r="L171" s="116">
        <v>6.3200000000000006E-2</v>
      </c>
      <c r="M171" s="111">
        <v>7580.3138974214753</v>
      </c>
      <c r="N171" s="61">
        <v>99.67</v>
      </c>
      <c r="O171" s="85">
        <v>7.5552988610296836</v>
      </c>
      <c r="P171" s="25">
        <v>1.3455202258044519E-4</v>
      </c>
      <c r="Q171" s="25">
        <v>1.311567500112774E-5</v>
      </c>
      <c r="R171" s="15"/>
    </row>
    <row r="172" spans="1:18" x14ac:dyDescent="0.25">
      <c r="A172" s="17" t="s">
        <v>2869</v>
      </c>
      <c r="B172" s="116" t="s">
        <v>2915</v>
      </c>
      <c r="C172" s="116" t="s">
        <v>2601</v>
      </c>
      <c r="D172" s="116"/>
      <c r="E172" s="116" t="s">
        <v>669</v>
      </c>
      <c r="F172" s="116" t="s">
        <v>2602</v>
      </c>
      <c r="G172" s="116" t="s">
        <v>521</v>
      </c>
      <c r="H172" s="117">
        <v>7.73</v>
      </c>
      <c r="I172" s="116" t="s">
        <v>211</v>
      </c>
      <c r="J172" s="117" t="s">
        <v>257</v>
      </c>
      <c r="K172" s="116">
        <v>3.4200000000000001E-2</v>
      </c>
      <c r="L172" s="116">
        <v>5.7099999999999998E-2</v>
      </c>
      <c r="M172" s="111">
        <v>3780044.68</v>
      </c>
      <c r="N172" s="61">
        <v>92.09</v>
      </c>
      <c r="O172" s="85">
        <v>3481.0431400000002</v>
      </c>
      <c r="P172" s="25">
        <v>6.1993761437115387E-2</v>
      </c>
      <c r="Q172" s="25">
        <v>6.0429416928350207E-3</v>
      </c>
      <c r="R172" s="15"/>
    </row>
    <row r="173" spans="1:18" x14ac:dyDescent="0.25">
      <c r="A173" s="17" t="s">
        <v>2870</v>
      </c>
      <c r="B173" s="116" t="s">
        <v>2272</v>
      </c>
      <c r="C173" s="116" t="s">
        <v>2495</v>
      </c>
      <c r="D173" s="116"/>
      <c r="E173" s="116" t="s">
        <v>669</v>
      </c>
      <c r="F173" s="116" t="s">
        <v>2496</v>
      </c>
      <c r="G173" s="116" t="s">
        <v>521</v>
      </c>
      <c r="H173" s="117">
        <v>4.22</v>
      </c>
      <c r="I173" s="116" t="s">
        <v>211</v>
      </c>
      <c r="J173" s="117" t="s">
        <v>257</v>
      </c>
      <c r="K173" s="116">
        <v>4.7E-2</v>
      </c>
      <c r="L173" s="116">
        <v>2.12E-2</v>
      </c>
      <c r="M173" s="111">
        <v>40387.5</v>
      </c>
      <c r="N173" s="61">
        <v>124.81</v>
      </c>
      <c r="O173" s="85">
        <v>50.407629999999997</v>
      </c>
      <c r="P173" s="25">
        <v>8.9770751557832762E-4</v>
      </c>
      <c r="Q173" s="25">
        <v>8.750548519889969E-5</v>
      </c>
      <c r="R173" s="15"/>
    </row>
    <row r="174" spans="1:18" x14ac:dyDescent="0.25">
      <c r="A174" s="17" t="s">
        <v>2870</v>
      </c>
      <c r="B174" s="116" t="s">
        <v>2272</v>
      </c>
      <c r="C174" s="116" t="s">
        <v>2497</v>
      </c>
      <c r="D174" s="116"/>
      <c r="E174" s="116" t="s">
        <v>669</v>
      </c>
      <c r="F174" s="116" t="s">
        <v>2498</v>
      </c>
      <c r="G174" s="116" t="s">
        <v>521</v>
      </c>
      <c r="H174" s="117">
        <v>4.2300000000000004</v>
      </c>
      <c r="I174" s="116" t="s">
        <v>211</v>
      </c>
      <c r="J174" s="117" t="s">
        <v>257</v>
      </c>
      <c r="K174" s="116">
        <v>4.6100000000000002E-2</v>
      </c>
      <c r="L174" s="116">
        <v>2.12E-2</v>
      </c>
      <c r="M174" s="111">
        <v>60215.28</v>
      </c>
      <c r="N174" s="61">
        <v>123.9</v>
      </c>
      <c r="O174" s="85">
        <v>74.606729999999999</v>
      </c>
      <c r="P174" s="25">
        <v>1.3286683431401769E-3</v>
      </c>
      <c r="Q174" s="25">
        <v>1.2951408562063532E-4</v>
      </c>
      <c r="R174" s="15"/>
    </row>
    <row r="175" spans="1:18" x14ac:dyDescent="0.25">
      <c r="A175" s="17" t="s">
        <v>2870</v>
      </c>
      <c r="B175" s="116" t="s">
        <v>2272</v>
      </c>
      <c r="C175" s="116" t="s">
        <v>2499</v>
      </c>
      <c r="D175" s="116"/>
      <c r="E175" s="116" t="s">
        <v>669</v>
      </c>
      <c r="F175" s="116" t="s">
        <v>2500</v>
      </c>
      <c r="G175" s="116" t="s">
        <v>521</v>
      </c>
      <c r="H175" s="117">
        <v>4.22</v>
      </c>
      <c r="I175" s="116" t="s">
        <v>211</v>
      </c>
      <c r="J175" s="117" t="s">
        <v>257</v>
      </c>
      <c r="K175" s="116">
        <v>4.7699999999999992E-2</v>
      </c>
      <c r="L175" s="116">
        <v>2.12E-2</v>
      </c>
      <c r="M175" s="111">
        <v>68332.52</v>
      </c>
      <c r="N175" s="61">
        <v>123.57</v>
      </c>
      <c r="O175" s="85">
        <v>84.438490000000002</v>
      </c>
      <c r="P175" s="25">
        <v>1.5037617733086334E-3</v>
      </c>
      <c r="Q175" s="25">
        <v>1.4658159958943597E-4</v>
      </c>
      <c r="R175" s="15"/>
    </row>
    <row r="176" spans="1:18" x14ac:dyDescent="0.25">
      <c r="A176" s="17" t="s">
        <v>2870</v>
      </c>
      <c r="B176" s="116" t="s">
        <v>2272</v>
      </c>
      <c r="C176" s="116" t="s">
        <v>2501</v>
      </c>
      <c r="D176" s="116"/>
      <c r="E176" s="116" t="s">
        <v>669</v>
      </c>
      <c r="F176" s="116" t="s">
        <v>2502</v>
      </c>
      <c r="G176" s="116" t="s">
        <v>521</v>
      </c>
      <c r="H176" s="117">
        <v>4.22</v>
      </c>
      <c r="I176" s="116" t="s">
        <v>211</v>
      </c>
      <c r="J176" s="117" t="s">
        <v>257</v>
      </c>
      <c r="K176" s="116">
        <v>4.7800000000000002E-2</v>
      </c>
      <c r="L176" s="116">
        <v>2.12E-2</v>
      </c>
      <c r="M176" s="111">
        <v>72974.77</v>
      </c>
      <c r="N176" s="61">
        <v>123.62</v>
      </c>
      <c r="O176" s="85">
        <v>90.211410000000001</v>
      </c>
      <c r="P176" s="25">
        <v>1.6065714803079991E-3</v>
      </c>
      <c r="Q176" s="25">
        <v>1.5660314128093054E-4</v>
      </c>
      <c r="R176" s="15"/>
    </row>
    <row r="177" spans="1:18" x14ac:dyDescent="0.25">
      <c r="A177" s="17" t="s">
        <v>2870</v>
      </c>
      <c r="B177" s="116" t="s">
        <v>2272</v>
      </c>
      <c r="C177" s="116" t="s">
        <v>2503</v>
      </c>
      <c r="D177" s="116"/>
      <c r="E177" s="116" t="s">
        <v>669</v>
      </c>
      <c r="F177" s="116" t="s">
        <v>2504</v>
      </c>
      <c r="G177" s="116" t="s">
        <v>521</v>
      </c>
      <c r="H177" s="117">
        <v>4.2300000000000004</v>
      </c>
      <c r="I177" s="116" t="s">
        <v>211</v>
      </c>
      <c r="J177" s="117" t="s">
        <v>257</v>
      </c>
      <c r="K177" s="116">
        <v>4.5899999999999996E-2</v>
      </c>
      <c r="L177" s="116">
        <v>2.12E-2</v>
      </c>
      <c r="M177" s="111">
        <v>33324.01</v>
      </c>
      <c r="N177" s="61">
        <v>122.07</v>
      </c>
      <c r="O177" s="85">
        <v>40.678609999999999</v>
      </c>
      <c r="P177" s="25">
        <v>7.2444377806057763E-4</v>
      </c>
      <c r="Q177" s="25">
        <v>7.0616323466642119E-5</v>
      </c>
      <c r="R177" s="15"/>
    </row>
    <row r="178" spans="1:18" x14ac:dyDescent="0.25">
      <c r="A178" s="17" t="s">
        <v>2870</v>
      </c>
      <c r="B178" s="116" t="s">
        <v>2272</v>
      </c>
      <c r="C178" s="116" t="s">
        <v>2505</v>
      </c>
      <c r="D178" s="116"/>
      <c r="E178" s="116" t="s">
        <v>669</v>
      </c>
      <c r="F178" s="116" t="s">
        <v>2506</v>
      </c>
      <c r="G178" s="116" t="s">
        <v>521</v>
      </c>
      <c r="H178" s="117">
        <v>4.24</v>
      </c>
      <c r="I178" s="116" t="s">
        <v>211</v>
      </c>
      <c r="J178" s="117" t="s">
        <v>257</v>
      </c>
      <c r="K178" s="116">
        <v>4.2000000000000003E-2</v>
      </c>
      <c r="L178" s="116">
        <v>2.12E-2</v>
      </c>
      <c r="M178" s="111">
        <v>42822.1</v>
      </c>
      <c r="N178" s="61">
        <v>121.17</v>
      </c>
      <c r="O178" s="85">
        <v>51.887529999999998</v>
      </c>
      <c r="P178" s="25">
        <v>9.2406299692717039E-4</v>
      </c>
      <c r="Q178" s="25">
        <v>9.0074528170089809E-5</v>
      </c>
      <c r="R178" s="15"/>
    </row>
    <row r="179" spans="1:18" x14ac:dyDescent="0.25">
      <c r="A179" s="17" t="s">
        <v>2870</v>
      </c>
      <c r="B179" s="116" t="s">
        <v>2272</v>
      </c>
      <c r="C179" s="116" t="s">
        <v>2507</v>
      </c>
      <c r="D179" s="116"/>
      <c r="E179" s="116" t="s">
        <v>669</v>
      </c>
      <c r="F179" s="116" t="s">
        <v>2508</v>
      </c>
      <c r="G179" s="116" t="s">
        <v>521</v>
      </c>
      <c r="H179" s="117">
        <v>1.9</v>
      </c>
      <c r="I179" s="116" t="s">
        <v>211</v>
      </c>
      <c r="J179" s="117" t="s">
        <v>257</v>
      </c>
      <c r="K179" s="116">
        <v>4.5199999999999997E-2</v>
      </c>
      <c r="L179" s="116">
        <v>2.3700000000000002E-2</v>
      </c>
      <c r="M179" s="111">
        <v>28826.58</v>
      </c>
      <c r="N179" s="61">
        <v>115.02</v>
      </c>
      <c r="O179" s="85">
        <v>33.156330000000004</v>
      </c>
      <c r="P179" s="25">
        <v>5.9047978708769231E-4</v>
      </c>
      <c r="Q179" s="25">
        <v>5.755796779306693E-5</v>
      </c>
      <c r="R179" s="15"/>
    </row>
    <row r="180" spans="1:18" x14ac:dyDescent="0.25">
      <c r="A180" s="17" t="s">
        <v>2871</v>
      </c>
      <c r="B180" s="116" t="s">
        <v>2915</v>
      </c>
      <c r="C180" s="116" t="s">
        <v>2401</v>
      </c>
      <c r="D180" s="116"/>
      <c r="E180" s="116" t="s">
        <v>2380</v>
      </c>
      <c r="F180" s="116" t="s">
        <v>2402</v>
      </c>
      <c r="G180" s="116" t="s">
        <v>2382</v>
      </c>
      <c r="H180" s="117">
        <v>1.41</v>
      </c>
      <c r="I180" s="116" t="s">
        <v>204</v>
      </c>
      <c r="J180" s="117" t="s">
        <v>257</v>
      </c>
      <c r="K180" s="116">
        <v>6.8999999761581415E-2</v>
      </c>
      <c r="L180" s="116">
        <v>6.8000000000000005E-2</v>
      </c>
      <c r="M180" s="111">
        <v>41100.382344968202</v>
      </c>
      <c r="N180" s="61">
        <v>100.04</v>
      </c>
      <c r="O180" s="85">
        <v>41.116822496454112</v>
      </c>
      <c r="P180" s="25">
        <v>7.3224788730926079E-4</v>
      </c>
      <c r="Q180" s="25">
        <v>7.1377041578611245E-5</v>
      </c>
      <c r="R180" s="15"/>
    </row>
    <row r="181" spans="1:18" x14ac:dyDescent="0.25">
      <c r="A181" s="17" t="s">
        <v>2860</v>
      </c>
      <c r="B181" s="116" t="s">
        <v>2272</v>
      </c>
      <c r="C181" s="116" t="s">
        <v>2595</v>
      </c>
      <c r="D181" s="116"/>
      <c r="E181" s="116" t="s">
        <v>623</v>
      </c>
      <c r="F181" s="116" t="s">
        <v>2596</v>
      </c>
      <c r="G181" s="116" t="s">
        <v>256</v>
      </c>
      <c r="H181" s="117">
        <v>2.91</v>
      </c>
      <c r="I181" s="116" t="s">
        <v>204</v>
      </c>
      <c r="J181" s="117" t="s">
        <v>257</v>
      </c>
      <c r="K181" s="116">
        <v>2.1099999999999997E-2</v>
      </c>
      <c r="L181" s="116">
        <v>3.8199999999999998E-2</v>
      </c>
      <c r="M181" s="111">
        <v>226448.64000000001</v>
      </c>
      <c r="N181" s="61">
        <v>104.31</v>
      </c>
      <c r="O181" s="85">
        <v>236.20857000000001</v>
      </c>
      <c r="P181" s="25">
        <v>4.2066292054002445E-3</v>
      </c>
      <c r="Q181" s="25">
        <v>4.100479535734623E-4</v>
      </c>
      <c r="R181" s="15"/>
    </row>
    <row r="182" spans="1:18" x14ac:dyDescent="0.25">
      <c r="A182" s="17" t="s">
        <v>2872</v>
      </c>
      <c r="B182" s="116" t="s">
        <v>2915</v>
      </c>
      <c r="C182" s="116" t="s">
        <v>2623</v>
      </c>
      <c r="D182" s="116"/>
      <c r="E182" s="116" t="s">
        <v>669</v>
      </c>
      <c r="F182" s="116" t="s">
        <v>2624</v>
      </c>
      <c r="G182" s="116" t="s">
        <v>521</v>
      </c>
      <c r="H182" s="117">
        <v>12.54</v>
      </c>
      <c r="I182" s="116" t="s">
        <v>220</v>
      </c>
      <c r="J182" s="117" t="s">
        <v>257</v>
      </c>
      <c r="K182" s="116">
        <v>2.9700000000000001E-2</v>
      </c>
      <c r="L182" s="116">
        <v>2.5499999999999998E-2</v>
      </c>
      <c r="M182" s="111">
        <v>271943.03756426123</v>
      </c>
      <c r="N182" s="61">
        <v>100.44</v>
      </c>
      <c r="O182" s="85">
        <v>273.13958294055902</v>
      </c>
      <c r="P182" s="25">
        <v>4.8643321736742988E-3</v>
      </c>
      <c r="Q182" s="25">
        <v>4.7415860916767412E-4</v>
      </c>
      <c r="R182" s="15"/>
    </row>
    <row r="183" spans="1:18" x14ac:dyDescent="0.25">
      <c r="A183" s="17" t="s">
        <v>2873</v>
      </c>
      <c r="B183" s="116" t="s">
        <v>2272</v>
      </c>
      <c r="C183" s="116" t="s">
        <v>2308</v>
      </c>
      <c r="D183" s="116"/>
      <c r="E183" s="116" t="s">
        <v>623</v>
      </c>
      <c r="F183" s="116" t="s">
        <v>2309</v>
      </c>
      <c r="G183" s="116" t="s">
        <v>256</v>
      </c>
      <c r="H183" s="117">
        <v>9.73</v>
      </c>
      <c r="I183" s="116" t="s">
        <v>204</v>
      </c>
      <c r="J183" s="117" t="s">
        <v>257</v>
      </c>
      <c r="K183" s="116">
        <v>7.399999976158142E-2</v>
      </c>
      <c r="L183" s="116">
        <v>6.8900000000000003E-2</v>
      </c>
      <c r="M183" s="111">
        <v>32612.870625567608</v>
      </c>
      <c r="N183" s="61">
        <v>97.55</v>
      </c>
      <c r="O183" s="85">
        <v>31.813855294437619</v>
      </c>
      <c r="P183" s="25">
        <v>5.6657170744464722E-4</v>
      </c>
      <c r="Q183" s="25">
        <v>5.5227489242944929E-5</v>
      </c>
      <c r="R183" s="15"/>
    </row>
    <row r="184" spans="1:18" x14ac:dyDescent="0.25">
      <c r="A184" s="17" t="s">
        <v>2873</v>
      </c>
      <c r="B184" s="116" t="s">
        <v>2272</v>
      </c>
      <c r="C184" s="116" t="s">
        <v>2322</v>
      </c>
      <c r="D184" s="116"/>
      <c r="E184" s="116" t="s">
        <v>623</v>
      </c>
      <c r="F184" s="116" t="s">
        <v>2323</v>
      </c>
      <c r="G184" s="116" t="s">
        <v>256</v>
      </c>
      <c r="H184" s="117">
        <v>9.73</v>
      </c>
      <c r="I184" s="116" t="s">
        <v>204</v>
      </c>
      <c r="J184" s="117" t="s">
        <v>257</v>
      </c>
      <c r="K184" s="116">
        <v>7.399999976158142E-2</v>
      </c>
      <c r="L184" s="116">
        <v>6.88E-2</v>
      </c>
      <c r="M184" s="111">
        <v>5629.2492499465025</v>
      </c>
      <c r="N184" s="61">
        <v>97.64</v>
      </c>
      <c r="O184" s="85">
        <v>5.4963989666378179</v>
      </c>
      <c r="P184" s="25">
        <v>9.788515470708944E-5</v>
      </c>
      <c r="Q184" s="25">
        <v>9.5415130293245913E-6</v>
      </c>
      <c r="R184" s="15"/>
    </row>
    <row r="185" spans="1:18" x14ac:dyDescent="0.25">
      <c r="A185" s="17" t="s">
        <v>2873</v>
      </c>
      <c r="B185" s="116" t="s">
        <v>2272</v>
      </c>
      <c r="C185" s="116" t="s">
        <v>2391</v>
      </c>
      <c r="D185" s="116"/>
      <c r="E185" s="116" t="s">
        <v>623</v>
      </c>
      <c r="F185" s="116" t="s">
        <v>2392</v>
      </c>
      <c r="G185" s="116" t="s">
        <v>256</v>
      </c>
      <c r="H185" s="117">
        <v>9.74</v>
      </c>
      <c r="I185" s="116" t="s">
        <v>204</v>
      </c>
      <c r="J185" s="117" t="s">
        <v>257</v>
      </c>
      <c r="K185" s="116">
        <v>7.399999976158142E-2</v>
      </c>
      <c r="L185" s="116">
        <v>6.5000000000000002E-2</v>
      </c>
      <c r="M185" s="111">
        <v>17133.210977294893</v>
      </c>
      <c r="N185" s="61">
        <v>101.11</v>
      </c>
      <c r="O185" s="85">
        <v>17.32338961883644</v>
      </c>
      <c r="P185" s="25">
        <v>3.0851156969929065E-4</v>
      </c>
      <c r="Q185" s="25">
        <v>3.007266189435736E-5</v>
      </c>
      <c r="R185" s="15"/>
    </row>
    <row r="186" spans="1:18" x14ac:dyDescent="0.25">
      <c r="A186" s="17" t="s">
        <v>2874</v>
      </c>
      <c r="B186" s="116" t="s">
        <v>2915</v>
      </c>
      <c r="C186" s="116" t="s">
        <v>2607</v>
      </c>
      <c r="D186" s="116"/>
      <c r="E186" s="116" t="s">
        <v>669</v>
      </c>
      <c r="F186" s="116" t="s">
        <v>2606</v>
      </c>
      <c r="G186" s="116" t="s">
        <v>521</v>
      </c>
      <c r="H186" s="117">
        <v>8.49</v>
      </c>
      <c r="I186" s="116" t="s">
        <v>211</v>
      </c>
      <c r="J186" s="117" t="s">
        <v>257</v>
      </c>
      <c r="K186" s="116">
        <v>1.7899999999999999E-2</v>
      </c>
      <c r="L186" s="116">
        <v>3.6900000000000002E-2</v>
      </c>
      <c r="M186" s="111">
        <v>1856.6600363633886</v>
      </c>
      <c r="N186" s="61">
        <v>96.23</v>
      </c>
      <c r="O186" s="85">
        <v>1.7866639518307359</v>
      </c>
      <c r="P186" s="25">
        <v>3.1818628595935313E-5</v>
      </c>
      <c r="Q186" s="25">
        <v>3.1015720436039565E-6</v>
      </c>
      <c r="R186" s="15"/>
    </row>
    <row r="187" spans="1:18" x14ac:dyDescent="0.25">
      <c r="A187" s="17" t="s">
        <v>2875</v>
      </c>
      <c r="B187" s="116" t="s">
        <v>2915</v>
      </c>
      <c r="C187" s="116" t="s">
        <v>2605</v>
      </c>
      <c r="D187" s="116"/>
      <c r="E187" s="116" t="s">
        <v>669</v>
      </c>
      <c r="F187" s="116" t="s">
        <v>2606</v>
      </c>
      <c r="G187" s="116" t="s">
        <v>521</v>
      </c>
      <c r="H187" s="117">
        <v>8.5299999999999994</v>
      </c>
      <c r="I187" s="116" t="s">
        <v>211</v>
      </c>
      <c r="J187" s="117" t="s">
        <v>257</v>
      </c>
      <c r="K187" s="116">
        <v>1.7899999999999999E-2</v>
      </c>
      <c r="L187" s="116">
        <v>3.61E-2</v>
      </c>
      <c r="M187" s="111">
        <v>2816.7998257827994</v>
      </c>
      <c r="N187" s="61">
        <v>96.8</v>
      </c>
      <c r="O187" s="85">
        <v>2.7266622299069265</v>
      </c>
      <c r="P187" s="25">
        <v>4.8559021247993803E-5</v>
      </c>
      <c r="Q187" s="25">
        <v>4.7333687658300817E-6</v>
      </c>
      <c r="R187" s="15"/>
    </row>
    <row r="188" spans="1:18" x14ac:dyDescent="0.25">
      <c r="A188" s="17" t="s">
        <v>2876</v>
      </c>
      <c r="B188" s="116" t="s">
        <v>2272</v>
      </c>
      <c r="C188" s="116" t="s">
        <v>2345</v>
      </c>
      <c r="D188" s="116"/>
      <c r="E188" s="116" t="s">
        <v>669</v>
      </c>
      <c r="F188" s="116" t="s">
        <v>2346</v>
      </c>
      <c r="G188" s="116" t="s">
        <v>521</v>
      </c>
      <c r="H188" s="117">
        <v>8.23</v>
      </c>
      <c r="I188" s="116" t="s">
        <v>219</v>
      </c>
      <c r="J188" s="117" t="s">
        <v>257</v>
      </c>
      <c r="K188" s="116">
        <v>6.8499999046325685E-2</v>
      </c>
      <c r="L188" s="116">
        <v>6.2699999999999992E-2</v>
      </c>
      <c r="M188" s="111">
        <v>392.121900002931</v>
      </c>
      <c r="N188" s="61">
        <v>98.25</v>
      </c>
      <c r="O188" s="85">
        <v>0.38525976675287971</v>
      </c>
      <c r="P188" s="25">
        <v>6.8610761518447441E-6</v>
      </c>
      <c r="Q188" s="25">
        <v>6.6879444277236733E-7</v>
      </c>
      <c r="R188" s="15"/>
    </row>
    <row r="189" spans="1:18" x14ac:dyDescent="0.25">
      <c r="A189" s="17" t="s">
        <v>2876</v>
      </c>
      <c r="B189" s="116" t="s">
        <v>2272</v>
      </c>
      <c r="C189" s="116" t="s">
        <v>2416</v>
      </c>
      <c r="D189" s="116"/>
      <c r="E189" s="116" t="s">
        <v>669</v>
      </c>
      <c r="F189" s="116" t="s">
        <v>2417</v>
      </c>
      <c r="G189" s="116" t="s">
        <v>521</v>
      </c>
      <c r="H189" s="117">
        <v>8.33</v>
      </c>
      <c r="I189" s="116" t="s">
        <v>219</v>
      </c>
      <c r="J189" s="117" t="s">
        <v>257</v>
      </c>
      <c r="K189" s="116">
        <v>6.8499999046325685E-2</v>
      </c>
      <c r="L189" s="116">
        <v>5.9699999999999996E-2</v>
      </c>
      <c r="M189" s="111">
        <v>1506.1046858722041</v>
      </c>
      <c r="N189" s="61">
        <v>100.61</v>
      </c>
      <c r="O189" s="85">
        <v>1.5152919229689308</v>
      </c>
      <c r="P189" s="25">
        <v>2.6985774723873063E-5</v>
      </c>
      <c r="Q189" s="25">
        <v>2.6304818325592779E-6</v>
      </c>
      <c r="R189" s="15"/>
    </row>
    <row r="190" spans="1:18" x14ac:dyDescent="0.25">
      <c r="A190" s="17" t="s">
        <v>2876</v>
      </c>
      <c r="B190" s="116" t="s">
        <v>2272</v>
      </c>
      <c r="C190" s="116" t="s">
        <v>2418</v>
      </c>
      <c r="D190" s="116"/>
      <c r="E190" s="116" t="s">
        <v>669</v>
      </c>
      <c r="F190" s="116" t="s">
        <v>448</v>
      </c>
      <c r="G190" s="116" t="s">
        <v>521</v>
      </c>
      <c r="H190" s="117">
        <v>8.33</v>
      </c>
      <c r="I190" s="116" t="s">
        <v>219</v>
      </c>
      <c r="J190" s="117" t="s">
        <v>257</v>
      </c>
      <c r="K190" s="116">
        <v>6.8499999046325685E-2</v>
      </c>
      <c r="L190" s="116">
        <v>5.96E-2</v>
      </c>
      <c r="M190" s="111">
        <v>1251.234735826913</v>
      </c>
      <c r="N190" s="61">
        <v>100.65</v>
      </c>
      <c r="O190" s="85">
        <v>1.2593677606068749</v>
      </c>
      <c r="P190" s="25">
        <v>2.2428031303472109E-5</v>
      </c>
      <c r="Q190" s="25">
        <v>2.1862084556595174E-6</v>
      </c>
      <c r="R190" s="15"/>
    </row>
    <row r="191" spans="1:18" x14ac:dyDescent="0.25">
      <c r="A191" s="17" t="s">
        <v>2876</v>
      </c>
      <c r="B191" s="116" t="s">
        <v>2272</v>
      </c>
      <c r="C191" s="116" t="s">
        <v>2419</v>
      </c>
      <c r="D191" s="116"/>
      <c r="E191" s="116" t="s">
        <v>669</v>
      </c>
      <c r="F191" s="116" t="s">
        <v>470</v>
      </c>
      <c r="G191" s="116" t="s">
        <v>521</v>
      </c>
      <c r="H191" s="117">
        <v>8.33</v>
      </c>
      <c r="I191" s="116" t="s">
        <v>219</v>
      </c>
      <c r="J191" s="117" t="s">
        <v>257</v>
      </c>
      <c r="K191" s="116">
        <v>6.8499999046325685E-2</v>
      </c>
      <c r="L191" s="116">
        <v>5.9699999999999996E-2</v>
      </c>
      <c r="M191" s="111">
        <v>1301.1415089517532</v>
      </c>
      <c r="N191" s="61">
        <v>100.61</v>
      </c>
      <c r="O191" s="85">
        <v>1.3090784709056491</v>
      </c>
      <c r="P191" s="25">
        <v>2.3313327403287683E-5</v>
      </c>
      <c r="Q191" s="25">
        <v>2.2725041181272067E-6</v>
      </c>
      <c r="R191" s="15"/>
    </row>
    <row r="192" spans="1:18" x14ac:dyDescent="0.25">
      <c r="A192" s="17" t="s">
        <v>2876</v>
      </c>
      <c r="B192" s="116" t="s">
        <v>2272</v>
      </c>
      <c r="C192" s="116" t="s">
        <v>2425</v>
      </c>
      <c r="D192" s="116"/>
      <c r="E192" s="116" t="s">
        <v>669</v>
      </c>
      <c r="F192" s="116" t="s">
        <v>1025</v>
      </c>
      <c r="G192" s="116" t="s">
        <v>521</v>
      </c>
      <c r="H192" s="117">
        <v>8.32</v>
      </c>
      <c r="I192" s="116" t="s">
        <v>219</v>
      </c>
      <c r="J192" s="117" t="s">
        <v>257</v>
      </c>
      <c r="K192" s="116">
        <v>6.8499999046325685E-2</v>
      </c>
      <c r="L192" s="116">
        <v>5.9900000000000002E-2</v>
      </c>
      <c r="M192" s="111">
        <v>1670.0952831649931</v>
      </c>
      <c r="N192" s="61">
        <v>100.4</v>
      </c>
      <c r="O192" s="85">
        <v>1.6767756632720712</v>
      </c>
      <c r="P192" s="25">
        <v>2.9861632353240443E-5</v>
      </c>
      <c r="Q192" s="25">
        <v>2.9108106845001331E-6</v>
      </c>
      <c r="R192" s="15"/>
    </row>
    <row r="193" spans="1:18" x14ac:dyDescent="0.25">
      <c r="A193" s="17" t="s">
        <v>2876</v>
      </c>
      <c r="B193" s="116" t="s">
        <v>2272</v>
      </c>
      <c r="C193" s="116" t="s">
        <v>2349</v>
      </c>
      <c r="D193" s="116"/>
      <c r="E193" s="116" t="s">
        <v>669</v>
      </c>
      <c r="F193" s="116" t="s">
        <v>1648</v>
      </c>
      <c r="G193" s="116" t="s">
        <v>521</v>
      </c>
      <c r="H193" s="117">
        <v>8.25</v>
      </c>
      <c r="I193" s="116" t="s">
        <v>219</v>
      </c>
      <c r="J193" s="117" t="s">
        <v>257</v>
      </c>
      <c r="K193" s="116">
        <v>6.8499999046325685E-2</v>
      </c>
      <c r="L193" s="116">
        <v>6.2100000000000002E-2</v>
      </c>
      <c r="M193" s="111">
        <v>597.34429902916679</v>
      </c>
      <c r="N193" s="61">
        <v>98.68</v>
      </c>
      <c r="O193" s="85">
        <v>0.58945935409437522</v>
      </c>
      <c r="P193" s="25">
        <v>1.0497658634188263E-5</v>
      </c>
      <c r="Q193" s="25">
        <v>1.0232761743620623E-6</v>
      </c>
      <c r="R193" s="15"/>
    </row>
    <row r="194" spans="1:18" x14ac:dyDescent="0.25">
      <c r="A194" s="17" t="s">
        <v>2876</v>
      </c>
      <c r="B194" s="116" t="s">
        <v>2272</v>
      </c>
      <c r="C194" s="116" t="s">
        <v>2353</v>
      </c>
      <c r="D194" s="116"/>
      <c r="E194" s="116" t="s">
        <v>669</v>
      </c>
      <c r="F194" s="116" t="s">
        <v>2354</v>
      </c>
      <c r="G194" s="116" t="s">
        <v>521</v>
      </c>
      <c r="H194" s="117">
        <v>8.31</v>
      </c>
      <c r="I194" s="116" t="s">
        <v>219</v>
      </c>
      <c r="J194" s="117" t="s">
        <v>257</v>
      </c>
      <c r="K194" s="116">
        <v>6.8499999046325685E-2</v>
      </c>
      <c r="L194" s="116">
        <v>6.0400000000000002E-2</v>
      </c>
      <c r="M194" s="111">
        <v>566.79430598341014</v>
      </c>
      <c r="N194" s="61">
        <v>100.04</v>
      </c>
      <c r="O194" s="85">
        <v>0.56702102370580354</v>
      </c>
      <c r="P194" s="25">
        <v>1.0098055283924613E-5</v>
      </c>
      <c r="Q194" s="25">
        <v>9.8432419451882879E-7</v>
      </c>
      <c r="R194" s="15"/>
    </row>
    <row r="195" spans="1:18" x14ac:dyDescent="0.25">
      <c r="A195" s="17" t="s">
        <v>2876</v>
      </c>
      <c r="B195" s="116" t="s">
        <v>2272</v>
      </c>
      <c r="C195" s="116" t="s">
        <v>2359</v>
      </c>
      <c r="D195" s="116"/>
      <c r="E195" s="116" t="s">
        <v>669</v>
      </c>
      <c r="F195" s="116" t="s">
        <v>2360</v>
      </c>
      <c r="G195" s="116" t="s">
        <v>521</v>
      </c>
      <c r="H195" s="117">
        <v>8.3000000000000007</v>
      </c>
      <c r="I195" s="116" t="s">
        <v>219</v>
      </c>
      <c r="J195" s="117" t="s">
        <v>257</v>
      </c>
      <c r="K195" s="116">
        <v>6.8499999046325685E-2</v>
      </c>
      <c r="L195" s="116">
        <v>6.0400000000000002E-2</v>
      </c>
      <c r="M195" s="111">
        <v>655.91303147368819</v>
      </c>
      <c r="N195" s="61">
        <v>100</v>
      </c>
      <c r="O195" s="85">
        <v>0.65591303147368818</v>
      </c>
      <c r="P195" s="25">
        <v>1.1681129581368814E-5</v>
      </c>
      <c r="Q195" s="25">
        <v>1.1386369100746505E-6</v>
      </c>
      <c r="R195" s="15"/>
    </row>
    <row r="196" spans="1:18" x14ac:dyDescent="0.25">
      <c r="A196" s="17" t="s">
        <v>2876</v>
      </c>
      <c r="B196" s="116" t="s">
        <v>2272</v>
      </c>
      <c r="C196" s="116" t="s">
        <v>2393</v>
      </c>
      <c r="D196" s="116"/>
      <c r="E196" s="116" t="s">
        <v>669</v>
      </c>
      <c r="F196" s="116" t="s">
        <v>2392</v>
      </c>
      <c r="G196" s="116" t="s">
        <v>521</v>
      </c>
      <c r="H196" s="117">
        <v>8.32</v>
      </c>
      <c r="I196" s="116" t="s">
        <v>219</v>
      </c>
      <c r="J196" s="117" t="s">
        <v>257</v>
      </c>
      <c r="K196" s="116">
        <v>6.8499999046325685E-2</v>
      </c>
      <c r="L196" s="116">
        <v>0.06</v>
      </c>
      <c r="M196" s="111">
        <v>76.855922730286267</v>
      </c>
      <c r="N196" s="61">
        <v>100.3</v>
      </c>
      <c r="O196" s="85">
        <v>7.7086489511979786E-2</v>
      </c>
      <c r="P196" s="25">
        <v>1.3728302835196613E-6</v>
      </c>
      <c r="Q196" s="25">
        <v>1.3381884185044376E-7</v>
      </c>
      <c r="R196" s="15"/>
    </row>
    <row r="197" spans="1:18" x14ac:dyDescent="0.25">
      <c r="A197" s="17" t="s">
        <v>2876</v>
      </c>
      <c r="B197" s="116" t="s">
        <v>2272</v>
      </c>
      <c r="C197" s="116" t="s">
        <v>2396</v>
      </c>
      <c r="D197" s="116"/>
      <c r="E197" s="116" t="s">
        <v>669</v>
      </c>
      <c r="F197" s="116" t="s">
        <v>1698</v>
      </c>
      <c r="G197" s="116" t="s">
        <v>521</v>
      </c>
      <c r="H197" s="117">
        <v>8.32</v>
      </c>
      <c r="I197" s="116" t="s">
        <v>219</v>
      </c>
      <c r="J197" s="117" t="s">
        <v>257</v>
      </c>
      <c r="K197" s="116">
        <v>6.8499999046325685E-2</v>
      </c>
      <c r="L197" s="116">
        <v>0.06</v>
      </c>
      <c r="M197" s="111">
        <v>882.27429220385397</v>
      </c>
      <c r="N197" s="61">
        <v>100.32</v>
      </c>
      <c r="O197" s="85">
        <v>0.88509756938359119</v>
      </c>
      <c r="P197" s="25">
        <v>1.5762668073380165E-5</v>
      </c>
      <c r="Q197" s="25">
        <v>1.5364914449911242E-6</v>
      </c>
      <c r="R197" s="15"/>
    </row>
    <row r="198" spans="1:18" x14ac:dyDescent="0.25">
      <c r="A198" s="17" t="s">
        <v>2876</v>
      </c>
      <c r="B198" s="116" t="s">
        <v>2272</v>
      </c>
      <c r="C198" s="116" t="s">
        <v>2399</v>
      </c>
      <c r="D198" s="116"/>
      <c r="E198" s="116" t="s">
        <v>669</v>
      </c>
      <c r="F198" s="116" t="s">
        <v>2400</v>
      </c>
      <c r="G198" s="116" t="s">
        <v>521</v>
      </c>
      <c r="H198" s="117">
        <v>8.31</v>
      </c>
      <c r="I198" s="116" t="s">
        <v>219</v>
      </c>
      <c r="J198" s="117" t="s">
        <v>257</v>
      </c>
      <c r="K198" s="116">
        <v>6.8499999046325685E-2</v>
      </c>
      <c r="L198" s="116">
        <v>6.0100000000000001E-2</v>
      </c>
      <c r="M198" s="111">
        <v>712.94898783410292</v>
      </c>
      <c r="N198" s="61">
        <v>100.27</v>
      </c>
      <c r="O198" s="85">
        <v>0.71487394897905565</v>
      </c>
      <c r="P198" s="25">
        <v>1.2731162260349399E-5</v>
      </c>
      <c r="Q198" s="25">
        <v>1.2409905357872554E-6</v>
      </c>
      <c r="R198" s="15"/>
    </row>
    <row r="199" spans="1:18" x14ac:dyDescent="0.25">
      <c r="A199" s="17" t="s">
        <v>2876</v>
      </c>
      <c r="B199" s="116" t="s">
        <v>2272</v>
      </c>
      <c r="C199" s="116" t="s">
        <v>2403</v>
      </c>
      <c r="D199" s="116"/>
      <c r="E199" s="116" t="s">
        <v>669</v>
      </c>
      <c r="F199" s="116" t="s">
        <v>2404</v>
      </c>
      <c r="G199" s="116" t="s">
        <v>521</v>
      </c>
      <c r="H199" s="117">
        <v>8.2799999999999994</v>
      </c>
      <c r="I199" s="116" t="s">
        <v>219</v>
      </c>
      <c r="J199" s="117" t="s">
        <v>257</v>
      </c>
      <c r="K199" s="116">
        <v>6.8499999046325685E-2</v>
      </c>
      <c r="L199" s="116">
        <v>6.13E-2</v>
      </c>
      <c r="M199" s="111">
        <v>1301.1318487822098</v>
      </c>
      <c r="N199" s="61">
        <v>99.34</v>
      </c>
      <c r="O199" s="85">
        <v>1.2925443770459391</v>
      </c>
      <c r="P199" s="25">
        <v>2.3018872370961441E-5</v>
      </c>
      <c r="Q199" s="25">
        <v>2.2438016398413186E-6</v>
      </c>
      <c r="R199" s="15"/>
    </row>
    <row r="200" spans="1:18" x14ac:dyDescent="0.25">
      <c r="A200" s="17" t="s">
        <v>2876</v>
      </c>
      <c r="B200" s="116" t="s">
        <v>2272</v>
      </c>
      <c r="C200" s="116" t="s">
        <v>2407</v>
      </c>
      <c r="D200" s="116"/>
      <c r="E200" s="116" t="s">
        <v>669</v>
      </c>
      <c r="F200" s="116" t="s">
        <v>1656</v>
      </c>
      <c r="G200" s="116" t="s">
        <v>521</v>
      </c>
      <c r="H200" s="117">
        <v>8.2899999999999991</v>
      </c>
      <c r="I200" s="116" t="s">
        <v>219</v>
      </c>
      <c r="J200" s="117" t="s">
        <v>257</v>
      </c>
      <c r="K200" s="116">
        <v>6.8499999046325685E-2</v>
      </c>
      <c r="L200" s="116">
        <v>6.0899999999999996E-2</v>
      </c>
      <c r="M200" s="111">
        <v>1026.6465140899966</v>
      </c>
      <c r="N200" s="61">
        <v>99.64</v>
      </c>
      <c r="O200" s="85">
        <v>1.022950585439842</v>
      </c>
      <c r="P200" s="25">
        <v>1.8217687056792717E-5</v>
      </c>
      <c r="Q200" s="25">
        <v>1.7757983724569451E-6</v>
      </c>
      <c r="R200" s="15"/>
    </row>
    <row r="201" spans="1:18" x14ac:dyDescent="0.25">
      <c r="A201" s="17" t="s">
        <v>2876</v>
      </c>
      <c r="B201" s="116" t="s">
        <v>2915</v>
      </c>
      <c r="C201" s="116" t="s">
        <v>2290</v>
      </c>
      <c r="D201" s="116"/>
      <c r="E201" s="116" t="s">
        <v>669</v>
      </c>
      <c r="F201" s="116" t="s">
        <v>2291</v>
      </c>
      <c r="G201" s="116" t="s">
        <v>521</v>
      </c>
      <c r="H201" s="117">
        <v>0</v>
      </c>
      <c r="I201" s="116" t="s">
        <v>219</v>
      </c>
      <c r="J201" s="117" t="s">
        <v>257</v>
      </c>
      <c r="K201" s="116">
        <v>0</v>
      </c>
      <c r="L201" s="116">
        <v>0</v>
      </c>
      <c r="M201" s="111">
        <v>-103.73269532504946</v>
      </c>
      <c r="N201" s="61">
        <v>1.923</v>
      </c>
      <c r="O201" s="85">
        <v>-1.9948586235275633E-3</v>
      </c>
      <c r="P201" s="25">
        <v>-3.5526359379660015E-8</v>
      </c>
      <c r="Q201" s="25">
        <v>-3.4629890704043933E-9</v>
      </c>
      <c r="R201" s="15"/>
    </row>
    <row r="202" spans="1:18" x14ac:dyDescent="0.25">
      <c r="A202" s="17" t="s">
        <v>2877</v>
      </c>
      <c r="B202" s="116" t="s">
        <v>2915</v>
      </c>
      <c r="C202" s="116" t="s">
        <v>2562</v>
      </c>
      <c r="D202" s="116"/>
      <c r="E202" s="116" t="s">
        <v>681</v>
      </c>
      <c r="F202" s="116" t="s">
        <v>2563</v>
      </c>
      <c r="G202" s="116" t="s">
        <v>521</v>
      </c>
      <c r="H202" s="117">
        <v>4.88</v>
      </c>
      <c r="I202" s="116" t="s">
        <v>211</v>
      </c>
      <c r="J202" s="117" t="s">
        <v>257</v>
      </c>
      <c r="K202" s="116">
        <v>3.44E-2</v>
      </c>
      <c r="L202" s="116">
        <v>3.2799999999999996E-2</v>
      </c>
      <c r="M202" s="111">
        <v>471956.15</v>
      </c>
      <c r="N202" s="61">
        <v>112.84</v>
      </c>
      <c r="O202" s="85">
        <v>532.55531000000008</v>
      </c>
      <c r="P202" s="25">
        <v>9.4842567335172503E-3</v>
      </c>
      <c r="Q202" s="25">
        <v>9.244931927329344E-4</v>
      </c>
      <c r="R202" s="15"/>
    </row>
    <row r="203" spans="1:18" x14ac:dyDescent="0.25">
      <c r="A203" s="17" t="s">
        <v>2878</v>
      </c>
      <c r="B203" s="116" t="s">
        <v>2915</v>
      </c>
      <c r="C203" s="116" t="s">
        <v>2592</v>
      </c>
      <c r="D203" s="116"/>
      <c r="E203" s="116" t="s">
        <v>681</v>
      </c>
      <c r="F203" s="116" t="s">
        <v>1218</v>
      </c>
      <c r="G203" s="116" t="s">
        <v>521</v>
      </c>
      <c r="H203" s="117">
        <v>8.34</v>
      </c>
      <c r="I203" s="116" t="s">
        <v>211</v>
      </c>
      <c r="J203" s="117" t="s">
        <v>257</v>
      </c>
      <c r="K203" s="116">
        <v>2.4300000000000002E-2</v>
      </c>
      <c r="L203" s="116">
        <v>2.52E-2</v>
      </c>
      <c r="M203" s="111">
        <v>901.68154311209571</v>
      </c>
      <c r="N203" s="61">
        <v>106.46</v>
      </c>
      <c r="O203" s="85">
        <v>0.95993017046288487</v>
      </c>
      <c r="P203" s="25">
        <v>1.7095358945757159E-5</v>
      </c>
      <c r="Q203" s="25">
        <v>1.6663976331245338E-6</v>
      </c>
      <c r="R203" s="15"/>
    </row>
    <row r="204" spans="1:18" x14ac:dyDescent="0.25">
      <c r="A204" s="17" t="s">
        <v>2879</v>
      </c>
      <c r="B204" s="116" t="s">
        <v>2915</v>
      </c>
      <c r="C204" s="116" t="s">
        <v>2589</v>
      </c>
      <c r="D204" s="116"/>
      <c r="E204" s="116" t="s">
        <v>681</v>
      </c>
      <c r="F204" s="116" t="s">
        <v>2590</v>
      </c>
      <c r="G204" s="116" t="s">
        <v>521</v>
      </c>
      <c r="H204" s="117">
        <v>5.19</v>
      </c>
      <c r="I204" s="116" t="s">
        <v>211</v>
      </c>
      <c r="J204" s="117" t="s">
        <v>257</v>
      </c>
      <c r="K204" s="116">
        <v>2.2099999999999998E-2</v>
      </c>
      <c r="L204" s="116">
        <v>2.5499999999999998E-2</v>
      </c>
      <c r="M204" s="111">
        <v>207.73998241550194</v>
      </c>
      <c r="N204" s="61">
        <v>108.45</v>
      </c>
      <c r="O204" s="85">
        <v>0.22529400976410668</v>
      </c>
      <c r="P204" s="25">
        <v>4.0122522280856228E-6</v>
      </c>
      <c r="Q204" s="25">
        <v>3.9110074480418542E-7</v>
      </c>
      <c r="R204" s="15"/>
    </row>
    <row r="205" spans="1:18" x14ac:dyDescent="0.25">
      <c r="A205" s="17" t="s">
        <v>2880</v>
      </c>
      <c r="B205" s="116" t="s">
        <v>2915</v>
      </c>
      <c r="C205" s="116" t="s">
        <v>2472</v>
      </c>
      <c r="D205" s="116"/>
      <c r="E205" s="116" t="s">
        <v>681</v>
      </c>
      <c r="F205" s="116" t="s">
        <v>2473</v>
      </c>
      <c r="G205" s="116" t="s">
        <v>521</v>
      </c>
      <c r="H205" s="117">
        <v>0.6</v>
      </c>
      <c r="I205" s="116" t="s">
        <v>220</v>
      </c>
      <c r="J205" s="117" t="s">
        <v>257</v>
      </c>
      <c r="K205" s="116">
        <v>0.03</v>
      </c>
      <c r="L205" s="116">
        <v>2.6000000000000002E-2</v>
      </c>
      <c r="M205" s="111">
        <v>1340010</v>
      </c>
      <c r="N205" s="61">
        <v>111.85</v>
      </c>
      <c r="O205" s="85">
        <v>1498.8011799999999</v>
      </c>
      <c r="P205" s="25">
        <v>2.6692091725868998E-2</v>
      </c>
      <c r="Q205" s="25">
        <v>2.6018546095617546E-3</v>
      </c>
      <c r="R205" s="15"/>
    </row>
    <row r="206" spans="1:18" x14ac:dyDescent="0.25">
      <c r="A206" s="17" t="s">
        <v>2880</v>
      </c>
      <c r="B206" s="116" t="s">
        <v>2915</v>
      </c>
      <c r="C206" s="116" t="s">
        <v>2483</v>
      </c>
      <c r="D206" s="116"/>
      <c r="E206" s="116" t="s">
        <v>681</v>
      </c>
      <c r="F206" s="116" t="s">
        <v>2484</v>
      </c>
      <c r="G206" s="116" t="s">
        <v>521</v>
      </c>
      <c r="H206" s="117">
        <v>0.83</v>
      </c>
      <c r="I206" s="116" t="s">
        <v>220</v>
      </c>
      <c r="J206" s="117" t="s">
        <v>257</v>
      </c>
      <c r="K206" s="116">
        <v>0.03</v>
      </c>
      <c r="L206" s="116">
        <v>2.9500000000000002E-2</v>
      </c>
      <c r="M206" s="111">
        <v>472960</v>
      </c>
      <c r="N206" s="61">
        <v>110.77</v>
      </c>
      <c r="O206" s="85">
        <v>523.89778999999999</v>
      </c>
      <c r="P206" s="25">
        <v>9.3300752976856159E-3</v>
      </c>
      <c r="Q206" s="25">
        <v>9.0946410907597245E-4</v>
      </c>
      <c r="R206" s="15"/>
    </row>
    <row r="207" spans="1:18" x14ac:dyDescent="0.25">
      <c r="A207" s="17" t="s">
        <v>2881</v>
      </c>
      <c r="B207" s="116" t="s">
        <v>2915</v>
      </c>
      <c r="C207" s="116" t="s">
        <v>2609</v>
      </c>
      <c r="D207" s="116"/>
      <c r="E207" s="116" t="s">
        <v>681</v>
      </c>
      <c r="F207" s="116" t="s">
        <v>2610</v>
      </c>
      <c r="G207" s="116" t="s">
        <v>521</v>
      </c>
      <c r="H207" s="117">
        <v>8.5</v>
      </c>
      <c r="I207" s="116" t="s">
        <v>211</v>
      </c>
      <c r="J207" s="117" t="s">
        <v>257</v>
      </c>
      <c r="K207" s="116">
        <v>1.6500000000000001E-2</v>
      </c>
      <c r="L207" s="116">
        <v>2.86E-2</v>
      </c>
      <c r="M207" s="111">
        <v>1165.4623843682657</v>
      </c>
      <c r="N207" s="61">
        <v>99.25</v>
      </c>
      <c r="O207" s="85">
        <v>1.1567214161493755</v>
      </c>
      <c r="P207" s="25">
        <v>2.0600006560667516E-5</v>
      </c>
      <c r="Q207" s="25">
        <v>2.008018801124145E-6</v>
      </c>
      <c r="R207" s="15"/>
    </row>
    <row r="208" spans="1:18" x14ac:dyDescent="0.25">
      <c r="A208" s="17" t="s">
        <v>2882</v>
      </c>
      <c r="B208" s="116" t="s">
        <v>2272</v>
      </c>
      <c r="C208" s="116" t="s">
        <v>2586</v>
      </c>
      <c r="D208" s="116"/>
      <c r="E208" s="116" t="s">
        <v>681</v>
      </c>
      <c r="F208" s="116" t="s">
        <v>2585</v>
      </c>
      <c r="G208" s="116" t="s">
        <v>521</v>
      </c>
      <c r="H208" s="117">
        <v>7.95</v>
      </c>
      <c r="I208" s="116" t="s">
        <v>211</v>
      </c>
      <c r="J208" s="117" t="s">
        <v>257</v>
      </c>
      <c r="K208" s="116">
        <v>2.81E-2</v>
      </c>
      <c r="L208" s="116">
        <v>2.7999999999999997E-2</v>
      </c>
      <c r="M208" s="111">
        <v>3093.2728869261082</v>
      </c>
      <c r="N208" s="61">
        <v>112.29</v>
      </c>
      <c r="O208" s="85">
        <v>3.4734361239526361</v>
      </c>
      <c r="P208" s="25">
        <v>6.1858288385181705E-5</v>
      </c>
      <c r="Q208" s="25">
        <v>6.0297362390150246E-6</v>
      </c>
      <c r="R208" s="15"/>
    </row>
    <row r="209" spans="1:18" x14ac:dyDescent="0.25">
      <c r="A209" s="17" t="s">
        <v>2883</v>
      </c>
      <c r="B209" s="116" t="s">
        <v>2915</v>
      </c>
      <c r="C209" s="116" t="s">
        <v>2587</v>
      </c>
      <c r="D209" s="116"/>
      <c r="E209" s="116" t="s">
        <v>681</v>
      </c>
      <c r="F209" s="116" t="s">
        <v>2588</v>
      </c>
      <c r="G209" s="116" t="s">
        <v>521</v>
      </c>
      <c r="H209" s="117">
        <v>5.49</v>
      </c>
      <c r="I209" s="116" t="s">
        <v>211</v>
      </c>
      <c r="J209" s="117" t="s">
        <v>257</v>
      </c>
      <c r="K209" s="116">
        <v>2.2700000000000001E-2</v>
      </c>
      <c r="L209" s="116">
        <v>2.5499999999999998E-2</v>
      </c>
      <c r="M209" s="111">
        <v>898.36881629990376</v>
      </c>
      <c r="N209" s="61">
        <v>108.69</v>
      </c>
      <c r="O209" s="85">
        <v>0.97643706607537939</v>
      </c>
      <c r="P209" s="25">
        <v>1.7389329605560113E-5</v>
      </c>
      <c r="Q209" s="25">
        <v>1.6950528964189778E-6</v>
      </c>
      <c r="R209" s="15"/>
    </row>
    <row r="210" spans="1:18" x14ac:dyDescent="0.25">
      <c r="A210" s="17" t="s">
        <v>2884</v>
      </c>
      <c r="B210" s="116" t="s">
        <v>2915</v>
      </c>
      <c r="C210" s="116" t="s">
        <v>2591</v>
      </c>
      <c r="D210" s="116"/>
      <c r="E210" s="116" t="s">
        <v>681</v>
      </c>
      <c r="F210" s="116" t="s">
        <v>2590</v>
      </c>
      <c r="G210" s="116" t="s">
        <v>521</v>
      </c>
      <c r="H210" s="117">
        <v>5.31</v>
      </c>
      <c r="I210" s="116" t="s">
        <v>211</v>
      </c>
      <c r="J210" s="117" t="s">
        <v>257</v>
      </c>
      <c r="K210" s="116">
        <v>2.23E-2</v>
      </c>
      <c r="L210" s="116">
        <v>2.5499999999999998E-2</v>
      </c>
      <c r="M210" s="111">
        <v>254.03984459428668</v>
      </c>
      <c r="N210" s="61">
        <v>108.52</v>
      </c>
      <c r="O210" s="85">
        <v>0.27568403838129307</v>
      </c>
      <c r="P210" s="25">
        <v>4.9096462813242942E-6</v>
      </c>
      <c r="Q210" s="25">
        <v>4.7857567475691946E-7</v>
      </c>
      <c r="R210" s="15"/>
    </row>
    <row r="211" spans="1:18" x14ac:dyDescent="0.25">
      <c r="A211" s="17" t="s">
        <v>2885</v>
      </c>
      <c r="B211" s="116" t="s">
        <v>2272</v>
      </c>
      <c r="C211" s="116" t="s">
        <v>2584</v>
      </c>
      <c r="D211" s="116"/>
      <c r="E211" s="116" t="s">
        <v>681</v>
      </c>
      <c r="F211" s="116" t="s">
        <v>2585</v>
      </c>
      <c r="G211" s="116" t="s">
        <v>521</v>
      </c>
      <c r="H211" s="117">
        <v>7.91</v>
      </c>
      <c r="I211" s="116" t="s">
        <v>211</v>
      </c>
      <c r="J211" s="117" t="s">
        <v>257</v>
      </c>
      <c r="K211" s="116">
        <v>2.81E-2</v>
      </c>
      <c r="L211" s="116">
        <v>2.9100000000000001E-2</v>
      </c>
      <c r="M211" s="111">
        <v>3478.6590488443985</v>
      </c>
      <c r="N211" s="61">
        <v>111.32</v>
      </c>
      <c r="O211" s="85">
        <v>3.8724432531248065</v>
      </c>
      <c r="P211" s="25">
        <v>6.8964190777878805E-5</v>
      </c>
      <c r="Q211" s="25">
        <v>6.7223955137325788E-6</v>
      </c>
      <c r="R211" s="15"/>
    </row>
    <row r="212" spans="1:18" x14ac:dyDescent="0.25">
      <c r="A212" s="17" t="s">
        <v>2886</v>
      </c>
      <c r="B212" s="116" t="s">
        <v>2915</v>
      </c>
      <c r="C212" s="116" t="s">
        <v>2564</v>
      </c>
      <c r="D212" s="116"/>
      <c r="E212" s="116" t="s">
        <v>566</v>
      </c>
      <c r="F212" s="116" t="s">
        <v>2563</v>
      </c>
      <c r="G212" s="116" t="s">
        <v>521</v>
      </c>
      <c r="H212" s="117">
        <v>4.83</v>
      </c>
      <c r="I212" s="116" t="s">
        <v>211</v>
      </c>
      <c r="J212" s="117" t="s">
        <v>257</v>
      </c>
      <c r="K212" s="116">
        <v>3.4300000000000004E-2</v>
      </c>
      <c r="L212" s="116">
        <v>3.3000000000000002E-2</v>
      </c>
      <c r="M212" s="111">
        <v>319698.3</v>
      </c>
      <c r="N212" s="61">
        <v>112.72</v>
      </c>
      <c r="O212" s="85">
        <v>360.36392000000001</v>
      </c>
      <c r="P212" s="25">
        <v>6.4177069885504876E-3</v>
      </c>
      <c r="Q212" s="25">
        <v>6.2557631985033771E-4</v>
      </c>
      <c r="R212" s="15"/>
    </row>
    <row r="213" spans="1:18" x14ac:dyDescent="0.25">
      <c r="A213" s="17" t="s">
        <v>2887</v>
      </c>
      <c r="B213" s="116" t="s">
        <v>2915</v>
      </c>
      <c r="C213" s="116" t="s">
        <v>2603</v>
      </c>
      <c r="D213" s="116"/>
      <c r="E213" s="116" t="s">
        <v>566</v>
      </c>
      <c r="F213" s="116" t="s">
        <v>2604</v>
      </c>
      <c r="G213" s="116" t="s">
        <v>521</v>
      </c>
      <c r="H213" s="117">
        <v>6.3</v>
      </c>
      <c r="I213" s="116" t="s">
        <v>221</v>
      </c>
      <c r="J213" s="117" t="s">
        <v>257</v>
      </c>
      <c r="K213" s="116">
        <v>1.24E-2</v>
      </c>
      <c r="L213" s="116">
        <v>3.44E-2</v>
      </c>
      <c r="M213" s="111">
        <v>52505.711025675366</v>
      </c>
      <c r="N213" s="61">
        <v>95.79</v>
      </c>
      <c r="O213" s="85">
        <v>50.295220591203645</v>
      </c>
      <c r="P213" s="25">
        <v>8.9570562080370315E-4</v>
      </c>
      <c r="Q213" s="25">
        <v>8.7310347283118959E-5</v>
      </c>
      <c r="R213" s="15"/>
    </row>
    <row r="214" spans="1:18" x14ac:dyDescent="0.25">
      <c r="A214" s="17" t="s">
        <v>2887</v>
      </c>
      <c r="B214" s="116" t="s">
        <v>2915</v>
      </c>
      <c r="C214" s="116" t="s">
        <v>2608</v>
      </c>
      <c r="D214" s="116"/>
      <c r="E214" s="116" t="s">
        <v>566</v>
      </c>
      <c r="F214" s="116" t="s">
        <v>2297</v>
      </c>
      <c r="G214" s="116" t="s">
        <v>521</v>
      </c>
      <c r="H214" s="117">
        <v>5.75</v>
      </c>
      <c r="I214" s="116" t="s">
        <v>221</v>
      </c>
      <c r="J214" s="117" t="s">
        <v>257</v>
      </c>
      <c r="K214" s="116">
        <v>9.4999999999999998E-3</v>
      </c>
      <c r="L214" s="116">
        <v>1.4800000000000001E-2</v>
      </c>
      <c r="M214" s="111">
        <v>57478.000017045451</v>
      </c>
      <c r="N214" s="61">
        <v>106.91</v>
      </c>
      <c r="O214" s="85">
        <v>61.449729817353585</v>
      </c>
      <c r="P214" s="25">
        <v>1.0943558403221094E-3</v>
      </c>
      <c r="Q214" s="25">
        <v>1.066740972152196E-4</v>
      </c>
      <c r="R214" s="15"/>
    </row>
    <row r="215" spans="1:18" x14ac:dyDescent="0.25">
      <c r="A215" s="17" t="s">
        <v>2887</v>
      </c>
      <c r="B215" s="116" t="s">
        <v>2915</v>
      </c>
      <c r="C215" s="116" t="s">
        <v>2639</v>
      </c>
      <c r="D215" s="116"/>
      <c r="E215" s="116" t="s">
        <v>566</v>
      </c>
      <c r="F215" s="116" t="s">
        <v>1986</v>
      </c>
      <c r="G215" s="116" t="s">
        <v>521</v>
      </c>
      <c r="H215" s="117">
        <v>3.25</v>
      </c>
      <c r="I215" s="116" t="s">
        <v>221</v>
      </c>
      <c r="J215" s="117" t="s">
        <v>257</v>
      </c>
      <c r="K215" s="116">
        <v>2.6000000000000002E-2</v>
      </c>
      <c r="L215" s="116">
        <v>2.4E-2</v>
      </c>
      <c r="M215" s="111">
        <v>15236.900703906689</v>
      </c>
      <c r="N215" s="61">
        <v>103.03</v>
      </c>
      <c r="O215" s="85">
        <v>15.698578795057461</v>
      </c>
      <c r="P215" s="25">
        <v>2.7957537714472296E-4</v>
      </c>
      <c r="Q215" s="25">
        <v>2.7252059943993822E-5</v>
      </c>
      <c r="R215" s="15"/>
    </row>
    <row r="216" spans="1:18" x14ac:dyDescent="0.25">
      <c r="A216" s="17" t="s">
        <v>2888</v>
      </c>
      <c r="B216" s="116" t="s">
        <v>2915</v>
      </c>
      <c r="C216" s="116" t="s">
        <v>2615</v>
      </c>
      <c r="D216" s="116"/>
      <c r="E216" s="116" t="s">
        <v>566</v>
      </c>
      <c r="F216" s="116" t="s">
        <v>2616</v>
      </c>
      <c r="G216" s="116" t="s">
        <v>521</v>
      </c>
      <c r="H216" s="117">
        <v>14.21</v>
      </c>
      <c r="I216" s="116" t="s">
        <v>223</v>
      </c>
      <c r="J216" s="117" t="s">
        <v>257</v>
      </c>
      <c r="K216" s="116">
        <v>2.7200000000000002E-2</v>
      </c>
      <c r="L216" s="116">
        <v>3.95E-2</v>
      </c>
      <c r="M216" s="111">
        <v>31824.037466461825</v>
      </c>
      <c r="N216" s="61">
        <v>90.34</v>
      </c>
      <c r="O216" s="85">
        <v>28.749835445799253</v>
      </c>
      <c r="P216" s="25">
        <v>5.12004697529604E-4</v>
      </c>
      <c r="Q216" s="25">
        <v>4.9908482110212054E-5</v>
      </c>
      <c r="R216" s="15"/>
    </row>
    <row r="217" spans="1:18" x14ac:dyDescent="0.25">
      <c r="A217" s="17" t="s">
        <v>2888</v>
      </c>
      <c r="B217" s="116" t="s">
        <v>2915</v>
      </c>
      <c r="C217" s="116" t="s">
        <v>2631</v>
      </c>
      <c r="D217" s="116"/>
      <c r="E217" s="116" t="s">
        <v>566</v>
      </c>
      <c r="F217" s="116" t="s">
        <v>2632</v>
      </c>
      <c r="G217" s="116" t="s">
        <v>521</v>
      </c>
      <c r="H217" s="117">
        <v>13.71</v>
      </c>
      <c r="I217" s="116" t="s">
        <v>223</v>
      </c>
      <c r="J217" s="117" t="s">
        <v>257</v>
      </c>
      <c r="K217" s="116">
        <v>3.4300000000000004E-2</v>
      </c>
      <c r="L217" s="116">
        <v>3.5900000000000001E-2</v>
      </c>
      <c r="M217" s="111">
        <v>7772.5320244743361</v>
      </c>
      <c r="N217" s="61">
        <v>99.26</v>
      </c>
      <c r="O217" s="85">
        <v>7.7150152874635216</v>
      </c>
      <c r="P217" s="25">
        <v>1.3739640618608127E-4</v>
      </c>
      <c r="Q217" s="25">
        <v>1.3392935871938913E-5</v>
      </c>
      <c r="R217" s="15"/>
    </row>
    <row r="218" spans="1:18" x14ac:dyDescent="0.25">
      <c r="A218" s="17" t="s">
        <v>2888</v>
      </c>
      <c r="B218" s="116" t="s">
        <v>2915</v>
      </c>
      <c r="C218" s="116" t="s">
        <v>2617</v>
      </c>
      <c r="D218" s="116"/>
      <c r="E218" s="116" t="s">
        <v>566</v>
      </c>
      <c r="F218" s="116" t="s">
        <v>2616</v>
      </c>
      <c r="G218" s="116" t="s">
        <v>521</v>
      </c>
      <c r="H218" s="117">
        <v>0</v>
      </c>
      <c r="I218" s="116" t="s">
        <v>223</v>
      </c>
      <c r="J218" s="117" t="s">
        <v>257</v>
      </c>
      <c r="K218" s="116">
        <v>2.7000000000000003E-2</v>
      </c>
      <c r="L218" s="116">
        <v>0</v>
      </c>
      <c r="M218" s="111">
        <v>-249.57156983343816</v>
      </c>
      <c r="N218" s="61">
        <v>89.0749</v>
      </c>
      <c r="O218" s="85">
        <v>-0.22230572019159364</v>
      </c>
      <c r="P218" s="25">
        <v>-3.9590338957028217E-6</v>
      </c>
      <c r="Q218" s="25">
        <v>-3.8591320218499137E-7</v>
      </c>
      <c r="R218" s="15"/>
    </row>
    <row r="219" spans="1:18" x14ac:dyDescent="0.25">
      <c r="A219" s="17" t="s">
        <v>2888</v>
      </c>
      <c r="B219" s="116" t="s">
        <v>2915</v>
      </c>
      <c r="C219" s="116" t="s">
        <v>2633</v>
      </c>
      <c r="D219" s="116"/>
      <c r="E219" s="116" t="s">
        <v>566</v>
      </c>
      <c r="F219" s="116" t="s">
        <v>2632</v>
      </c>
      <c r="G219" s="116" t="s">
        <v>521</v>
      </c>
      <c r="H219" s="117">
        <v>0</v>
      </c>
      <c r="I219" s="116" t="s">
        <v>223</v>
      </c>
      <c r="J219" s="117" t="s">
        <v>257</v>
      </c>
      <c r="K219" s="116">
        <v>2.7000000000000003E-2</v>
      </c>
      <c r="L219" s="116">
        <v>0</v>
      </c>
      <c r="M219" s="111">
        <v>-46.611886124051239</v>
      </c>
      <c r="N219" s="61">
        <v>95.793300000000002</v>
      </c>
      <c r="O219" s="85">
        <v>-4.4651090580959119E-2</v>
      </c>
      <c r="P219" s="25">
        <v>-7.9518952970603219E-7</v>
      </c>
      <c r="Q219" s="25">
        <v>-7.7512379493875197E-8</v>
      </c>
      <c r="R219" s="15"/>
    </row>
    <row r="220" spans="1:18" x14ac:dyDescent="0.25">
      <c r="A220" s="17" t="s">
        <v>2860</v>
      </c>
      <c r="B220" s="116" t="s">
        <v>2915</v>
      </c>
      <c r="C220" s="116" t="s">
        <v>2598</v>
      </c>
      <c r="D220" s="116"/>
      <c r="E220" s="116" t="s">
        <v>785</v>
      </c>
      <c r="F220" s="116" t="s">
        <v>2596</v>
      </c>
      <c r="G220" s="116" t="s">
        <v>256</v>
      </c>
      <c r="H220" s="117">
        <v>6.96</v>
      </c>
      <c r="I220" s="116" t="s">
        <v>204</v>
      </c>
      <c r="J220" s="117" t="s">
        <v>257</v>
      </c>
      <c r="K220" s="116">
        <v>4.4500000000000005E-2</v>
      </c>
      <c r="L220" s="116">
        <v>7.2700000000000001E-2</v>
      </c>
      <c r="M220" s="111">
        <v>17312.7251434227</v>
      </c>
      <c r="N220" s="61">
        <v>91.07</v>
      </c>
      <c r="O220" s="85">
        <v>15.766698786802433</v>
      </c>
      <c r="P220" s="25">
        <v>2.807885234194158E-4</v>
      </c>
      <c r="Q220" s="25">
        <v>2.7370313330026628E-5</v>
      </c>
      <c r="R220" s="15"/>
    </row>
    <row r="221" spans="1:18" x14ac:dyDescent="0.25">
      <c r="A221" s="17" t="s">
        <v>2889</v>
      </c>
      <c r="B221" s="116" t="s">
        <v>2272</v>
      </c>
      <c r="C221" s="116" t="s">
        <v>2620</v>
      </c>
      <c r="D221" s="116"/>
      <c r="E221" s="116" t="s">
        <v>566</v>
      </c>
      <c r="F221" s="116" t="s">
        <v>2621</v>
      </c>
      <c r="G221" s="116" t="s">
        <v>521</v>
      </c>
      <c r="H221" s="117">
        <v>7.59</v>
      </c>
      <c r="I221" s="116" t="s">
        <v>211</v>
      </c>
      <c r="J221" s="117" t="s">
        <v>257</v>
      </c>
      <c r="K221" s="116">
        <v>0.03</v>
      </c>
      <c r="L221" s="116">
        <v>5.3600000000000002E-2</v>
      </c>
      <c r="M221" s="111">
        <v>484059.02</v>
      </c>
      <c r="N221" s="61">
        <v>92.64</v>
      </c>
      <c r="O221" s="85">
        <v>448.43227000000002</v>
      </c>
      <c r="P221" s="25">
        <v>7.986112796948594E-3</v>
      </c>
      <c r="Q221" s="25">
        <v>7.7845920082324834E-4</v>
      </c>
      <c r="R221" s="15"/>
    </row>
    <row r="222" spans="1:18" x14ac:dyDescent="0.25">
      <c r="A222" s="17" t="s">
        <v>2889</v>
      </c>
      <c r="B222" s="116" t="s">
        <v>2272</v>
      </c>
      <c r="C222" s="116" t="s">
        <v>2657</v>
      </c>
      <c r="D222" s="116"/>
      <c r="E222" s="116" t="s">
        <v>566</v>
      </c>
      <c r="F222" s="116" t="s">
        <v>2282</v>
      </c>
      <c r="G222" s="116" t="s">
        <v>521</v>
      </c>
      <c r="H222" s="117">
        <v>5.79</v>
      </c>
      <c r="I222" s="116" t="s">
        <v>211</v>
      </c>
      <c r="J222" s="117" t="s">
        <v>125</v>
      </c>
      <c r="K222" s="116">
        <v>0.10033429999999999</v>
      </c>
      <c r="L222" s="116">
        <v>9.820000000000001E-2</v>
      </c>
      <c r="M222" s="111">
        <v>142792.47</v>
      </c>
      <c r="N222" s="61">
        <v>94.91</v>
      </c>
      <c r="O222" s="85">
        <v>501.44003000000004</v>
      </c>
      <c r="P222" s="25">
        <v>8.930125926230258E-3</v>
      </c>
      <c r="Q222" s="25">
        <v>8.7047840026005638E-4</v>
      </c>
      <c r="R222" s="15"/>
    </row>
    <row r="223" spans="1:18" x14ac:dyDescent="0.25">
      <c r="A223" s="17" t="s">
        <v>2889</v>
      </c>
      <c r="B223" s="116" t="s">
        <v>2272</v>
      </c>
      <c r="C223" s="116" t="s">
        <v>2661</v>
      </c>
      <c r="D223" s="116"/>
      <c r="E223" s="116" t="s">
        <v>566</v>
      </c>
      <c r="F223" s="116" t="s">
        <v>2337</v>
      </c>
      <c r="G223" s="116" t="s">
        <v>521</v>
      </c>
      <c r="H223" s="117">
        <v>5.81</v>
      </c>
      <c r="I223" s="116" t="s">
        <v>211</v>
      </c>
      <c r="J223" s="117" t="s">
        <v>125</v>
      </c>
      <c r="K223" s="116">
        <v>0.10033429999999999</v>
      </c>
      <c r="L223" s="116">
        <v>9.7299999999999998E-2</v>
      </c>
      <c r="M223" s="111">
        <v>221320.44</v>
      </c>
      <c r="N223" s="61">
        <v>95.36</v>
      </c>
      <c r="O223" s="85">
        <v>780.88932999999997</v>
      </c>
      <c r="P223" s="25">
        <v>1.3906827604787704E-2</v>
      </c>
      <c r="Q223" s="25">
        <v>1.3555904078071852E-3</v>
      </c>
      <c r="R223" s="15"/>
    </row>
    <row r="224" spans="1:18" x14ac:dyDescent="0.25">
      <c r="A224" s="17" t="s">
        <v>2889</v>
      </c>
      <c r="B224" s="116" t="s">
        <v>2272</v>
      </c>
      <c r="C224" s="116" t="s">
        <v>2654</v>
      </c>
      <c r="D224" s="116"/>
      <c r="E224" s="116" t="s">
        <v>566</v>
      </c>
      <c r="F224" s="116" t="s">
        <v>2276</v>
      </c>
      <c r="G224" s="116" t="s">
        <v>521</v>
      </c>
      <c r="H224" s="117">
        <v>5.79</v>
      </c>
      <c r="I224" s="116" t="s">
        <v>211</v>
      </c>
      <c r="J224" s="117" t="s">
        <v>125</v>
      </c>
      <c r="K224" s="116">
        <v>0.10033429999999999</v>
      </c>
      <c r="L224" s="116">
        <v>9.820000000000001E-2</v>
      </c>
      <c r="M224" s="111">
        <v>179472.9</v>
      </c>
      <c r="N224" s="61">
        <v>94.9</v>
      </c>
      <c r="O224" s="85">
        <v>630.18318999999997</v>
      </c>
      <c r="P224" s="25">
        <v>1.122290783863723E-2</v>
      </c>
      <c r="Q224" s="25">
        <v>1.0939710080624778E-3</v>
      </c>
      <c r="R224" s="15"/>
    </row>
    <row r="225" spans="1:18" x14ac:dyDescent="0.25">
      <c r="A225" s="17" t="s">
        <v>2889</v>
      </c>
      <c r="B225" s="116" t="s">
        <v>2272</v>
      </c>
      <c r="C225" s="116" t="s">
        <v>2655</v>
      </c>
      <c r="D225" s="116"/>
      <c r="E225" s="116" t="s">
        <v>566</v>
      </c>
      <c r="F225" s="116" t="s">
        <v>2278</v>
      </c>
      <c r="G225" s="116" t="s">
        <v>521</v>
      </c>
      <c r="H225" s="117">
        <v>5.79</v>
      </c>
      <c r="I225" s="116" t="s">
        <v>211</v>
      </c>
      <c r="J225" s="117" t="s">
        <v>125</v>
      </c>
      <c r="K225" s="116">
        <v>0.10033429999999999</v>
      </c>
      <c r="L225" s="116">
        <v>9.8299999999999998E-2</v>
      </c>
      <c r="M225" s="111">
        <v>164844.57</v>
      </c>
      <c r="N225" s="61">
        <v>94.87</v>
      </c>
      <c r="O225" s="85">
        <v>578.63576</v>
      </c>
      <c r="P225" s="25">
        <v>1.0304901669338104E-2</v>
      </c>
      <c r="Q225" s="25">
        <v>1.004486878915634E-3</v>
      </c>
      <c r="R225" s="15"/>
    </row>
    <row r="226" spans="1:18" x14ac:dyDescent="0.25">
      <c r="A226" s="17" t="s">
        <v>2889</v>
      </c>
      <c r="B226" s="116" t="s">
        <v>2272</v>
      </c>
      <c r="C226" s="116" t="s">
        <v>2652</v>
      </c>
      <c r="D226" s="116"/>
      <c r="E226" s="116" t="s">
        <v>566</v>
      </c>
      <c r="F226" s="116" t="s">
        <v>2653</v>
      </c>
      <c r="G226" s="116" t="s">
        <v>521</v>
      </c>
      <c r="H226" s="117">
        <v>5.79</v>
      </c>
      <c r="I226" s="116" t="s">
        <v>211</v>
      </c>
      <c r="J226" s="117" t="s">
        <v>125</v>
      </c>
      <c r="K226" s="116">
        <v>0.10033429999999999</v>
      </c>
      <c r="L226" s="116">
        <v>9.8299999999999998E-2</v>
      </c>
      <c r="M226" s="111">
        <v>41312.81</v>
      </c>
      <c r="N226" s="61">
        <v>94.84</v>
      </c>
      <c r="O226" s="85">
        <v>144.96995000000001</v>
      </c>
      <c r="P226" s="25">
        <v>2.5817641822877685E-3</v>
      </c>
      <c r="Q226" s="25">
        <v>2.5166161975895772E-4</v>
      </c>
      <c r="R226" s="15"/>
    </row>
    <row r="227" spans="1:18" x14ac:dyDescent="0.25">
      <c r="A227" s="17" t="s">
        <v>2889</v>
      </c>
      <c r="B227" s="116" t="s">
        <v>2272</v>
      </c>
      <c r="C227" s="116" t="s">
        <v>2656</v>
      </c>
      <c r="D227" s="116"/>
      <c r="E227" s="116" t="s">
        <v>566</v>
      </c>
      <c r="F227" s="116" t="s">
        <v>2280</v>
      </c>
      <c r="G227" s="116" t="s">
        <v>521</v>
      </c>
      <c r="H227" s="117">
        <v>5.79</v>
      </c>
      <c r="I227" s="116" t="s">
        <v>211</v>
      </c>
      <c r="J227" s="117" t="s">
        <v>125</v>
      </c>
      <c r="K227" s="116">
        <v>0.10033429999999999</v>
      </c>
      <c r="L227" s="116">
        <v>9.820000000000001E-2</v>
      </c>
      <c r="M227" s="111">
        <v>113160.42</v>
      </c>
      <c r="N227" s="61">
        <v>94.9</v>
      </c>
      <c r="O227" s="85">
        <v>397.34017999999998</v>
      </c>
      <c r="P227" s="25">
        <v>7.0762157599404199E-3</v>
      </c>
      <c r="Q227" s="25">
        <v>6.89765522400441E-4</v>
      </c>
      <c r="R227" s="15"/>
    </row>
    <row r="228" spans="1:18" x14ac:dyDescent="0.25">
      <c r="A228" s="17" t="s">
        <v>2889</v>
      </c>
      <c r="B228" s="116" t="s">
        <v>2272</v>
      </c>
      <c r="C228" s="116" t="s">
        <v>2658</v>
      </c>
      <c r="D228" s="116"/>
      <c r="E228" s="116" t="s">
        <v>566</v>
      </c>
      <c r="F228" s="116" t="s">
        <v>2289</v>
      </c>
      <c r="G228" s="116" t="s">
        <v>521</v>
      </c>
      <c r="H228" s="117">
        <v>5.82</v>
      </c>
      <c r="I228" s="116" t="s">
        <v>211</v>
      </c>
      <c r="J228" s="117" t="s">
        <v>125</v>
      </c>
      <c r="K228" s="116">
        <v>0.10033429999999999</v>
      </c>
      <c r="L228" s="116">
        <v>9.7100000000000006E-2</v>
      </c>
      <c r="M228" s="111">
        <v>88179.74</v>
      </c>
      <c r="N228" s="61">
        <v>95.47</v>
      </c>
      <c r="O228" s="85">
        <v>311.48523</v>
      </c>
      <c r="P228" s="25">
        <v>5.5472283057672808E-3</v>
      </c>
      <c r="Q228" s="25">
        <v>5.4072500896076381E-4</v>
      </c>
      <c r="R228" s="15"/>
    </row>
    <row r="229" spans="1:18" x14ac:dyDescent="0.25">
      <c r="A229" s="17" t="s">
        <v>2889</v>
      </c>
      <c r="B229" s="116" t="s">
        <v>2272</v>
      </c>
      <c r="C229" s="116" t="s">
        <v>2281</v>
      </c>
      <c r="D229" s="116"/>
      <c r="E229" s="116" t="s">
        <v>566</v>
      </c>
      <c r="F229" s="116" t="s">
        <v>2282</v>
      </c>
      <c r="G229" s="116" t="s">
        <v>521</v>
      </c>
      <c r="H229" s="117">
        <v>6.18</v>
      </c>
      <c r="I229" s="116" t="s">
        <v>211</v>
      </c>
      <c r="J229" s="117" t="s">
        <v>257</v>
      </c>
      <c r="K229" s="116">
        <v>8.0499999523162835E-2</v>
      </c>
      <c r="L229" s="116">
        <v>8.929999999999999E-2</v>
      </c>
      <c r="M229" s="111">
        <v>152388.29999999999</v>
      </c>
      <c r="N229" s="61">
        <v>92.97</v>
      </c>
      <c r="O229" s="85">
        <v>141.6754</v>
      </c>
      <c r="P229" s="25">
        <v>2.5230916699032625E-3</v>
      </c>
      <c r="Q229" s="25">
        <v>2.459424221640294E-4</v>
      </c>
      <c r="R229" s="15"/>
    </row>
    <row r="230" spans="1:18" x14ac:dyDescent="0.25">
      <c r="A230" s="17" t="s">
        <v>2889</v>
      </c>
      <c r="B230" s="116" t="s">
        <v>2272</v>
      </c>
      <c r="C230" s="116" t="s">
        <v>2336</v>
      </c>
      <c r="D230" s="116"/>
      <c r="E230" s="116" t="s">
        <v>566</v>
      </c>
      <c r="F230" s="116" t="s">
        <v>2337</v>
      </c>
      <c r="G230" s="116" t="s">
        <v>521</v>
      </c>
      <c r="H230" s="117">
        <v>6.17</v>
      </c>
      <c r="I230" s="116" t="s">
        <v>211</v>
      </c>
      <c r="J230" s="117" t="s">
        <v>257</v>
      </c>
      <c r="K230" s="116">
        <v>8.0499999523162835E-2</v>
      </c>
      <c r="L230" s="116">
        <v>8.9600000000000013E-2</v>
      </c>
      <c r="M230" s="111">
        <v>269244.78999999998</v>
      </c>
      <c r="N230" s="61">
        <v>92.8</v>
      </c>
      <c r="O230" s="85">
        <v>249.85916</v>
      </c>
      <c r="P230" s="25">
        <v>4.449732030013866E-3</v>
      </c>
      <c r="Q230" s="25">
        <v>4.337447927464456E-4</v>
      </c>
      <c r="R230" s="15"/>
    </row>
    <row r="231" spans="1:18" x14ac:dyDescent="0.25">
      <c r="A231" s="17" t="s">
        <v>2889</v>
      </c>
      <c r="B231" s="116" t="s">
        <v>2272</v>
      </c>
      <c r="C231" s="116" t="s">
        <v>2275</v>
      </c>
      <c r="D231" s="116"/>
      <c r="E231" s="116" t="s">
        <v>566</v>
      </c>
      <c r="F231" s="116" t="s">
        <v>2276</v>
      </c>
      <c r="G231" s="116" t="s">
        <v>521</v>
      </c>
      <c r="H231" s="117">
        <v>6.2</v>
      </c>
      <c r="I231" s="116" t="s">
        <v>211</v>
      </c>
      <c r="J231" s="117" t="s">
        <v>257</v>
      </c>
      <c r="K231" s="116">
        <v>8.0499999523162835E-2</v>
      </c>
      <c r="L231" s="116">
        <v>8.8800000000000004E-2</v>
      </c>
      <c r="M231" s="111">
        <v>200730.23999999999</v>
      </c>
      <c r="N231" s="61">
        <v>93.23</v>
      </c>
      <c r="O231" s="85">
        <v>187.14079999999998</v>
      </c>
      <c r="P231" s="25">
        <v>3.3327832042756361E-3</v>
      </c>
      <c r="Q231" s="25">
        <v>3.2486840790789504E-4</v>
      </c>
      <c r="R231" s="15"/>
    </row>
    <row r="232" spans="1:18" x14ac:dyDescent="0.25">
      <c r="A232" s="17" t="s">
        <v>2889</v>
      </c>
      <c r="B232" s="116" t="s">
        <v>2272</v>
      </c>
      <c r="C232" s="116" t="s">
        <v>2277</v>
      </c>
      <c r="D232" s="116"/>
      <c r="E232" s="116" t="s">
        <v>566</v>
      </c>
      <c r="F232" s="116" t="s">
        <v>2278</v>
      </c>
      <c r="G232" s="116" t="s">
        <v>521</v>
      </c>
      <c r="H232" s="117">
        <v>6.19</v>
      </c>
      <c r="I232" s="116" t="s">
        <v>211</v>
      </c>
      <c r="J232" s="117" t="s">
        <v>257</v>
      </c>
      <c r="K232" s="116">
        <v>8.0499999523162835E-2</v>
      </c>
      <c r="L232" s="116">
        <v>8.8699999999999987E-2</v>
      </c>
      <c r="M232" s="111">
        <v>184131.06</v>
      </c>
      <c r="N232" s="61">
        <v>93.28</v>
      </c>
      <c r="O232" s="85">
        <v>171.75745000000001</v>
      </c>
      <c r="P232" s="25">
        <v>3.0588217244407016E-3</v>
      </c>
      <c r="Q232" s="25">
        <v>2.9816357164135182E-4</v>
      </c>
      <c r="R232" s="15"/>
    </row>
    <row r="233" spans="1:18" x14ac:dyDescent="0.25">
      <c r="A233" s="17" t="s">
        <v>2889</v>
      </c>
      <c r="B233" s="116" t="s">
        <v>2272</v>
      </c>
      <c r="C233" s="116" t="s">
        <v>2273</v>
      </c>
      <c r="D233" s="116"/>
      <c r="E233" s="116" t="s">
        <v>566</v>
      </c>
      <c r="F233" s="116" t="s">
        <v>2274</v>
      </c>
      <c r="G233" s="116" t="s">
        <v>521</v>
      </c>
      <c r="H233" s="117">
        <v>6.19</v>
      </c>
      <c r="I233" s="116" t="s">
        <v>211</v>
      </c>
      <c r="J233" s="117" t="s">
        <v>257</v>
      </c>
      <c r="K233" s="116">
        <v>8.0499999523162835E-2</v>
      </c>
      <c r="L233" s="116">
        <v>8.8599999999999998E-2</v>
      </c>
      <c r="M233" s="111">
        <v>47721.58</v>
      </c>
      <c r="N233" s="61">
        <v>93.32</v>
      </c>
      <c r="O233" s="85">
        <v>44.533769999999997</v>
      </c>
      <c r="P233" s="25">
        <v>7.9310017205801305E-4</v>
      </c>
      <c r="Q233" s="25">
        <v>7.7308715993713712E-5</v>
      </c>
      <c r="R233" s="15"/>
    </row>
    <row r="234" spans="1:18" x14ac:dyDescent="0.25">
      <c r="A234" s="17" t="s">
        <v>2889</v>
      </c>
      <c r="B234" s="116" t="s">
        <v>2272</v>
      </c>
      <c r="C234" s="116" t="s">
        <v>2279</v>
      </c>
      <c r="D234" s="116"/>
      <c r="E234" s="116" t="s">
        <v>566</v>
      </c>
      <c r="F234" s="116" t="s">
        <v>2280</v>
      </c>
      <c r="G234" s="116" t="s">
        <v>521</v>
      </c>
      <c r="H234" s="117">
        <v>6.19</v>
      </c>
      <c r="I234" s="116" t="s">
        <v>211</v>
      </c>
      <c r="J234" s="117" t="s">
        <v>257</v>
      </c>
      <c r="K234" s="116">
        <v>8.0499999523162835E-2</v>
      </c>
      <c r="L234" s="116">
        <v>8.8699999999999987E-2</v>
      </c>
      <c r="M234" s="111">
        <v>128647.39</v>
      </c>
      <c r="N234" s="61">
        <v>93.27</v>
      </c>
      <c r="O234" s="85">
        <v>119.98942</v>
      </c>
      <c r="P234" s="25">
        <v>2.1368868983502E-3</v>
      </c>
      <c r="Q234" s="25">
        <v>2.082964903494681E-4</v>
      </c>
      <c r="R234" s="15"/>
    </row>
    <row r="235" spans="1:18" x14ac:dyDescent="0.25">
      <c r="A235" s="17" t="s">
        <v>2889</v>
      </c>
      <c r="B235" s="116" t="s">
        <v>2272</v>
      </c>
      <c r="C235" s="116" t="s">
        <v>2288</v>
      </c>
      <c r="D235" s="116"/>
      <c r="E235" s="116" t="s">
        <v>566</v>
      </c>
      <c r="F235" s="116" t="s">
        <v>2289</v>
      </c>
      <c r="G235" s="116" t="s">
        <v>521</v>
      </c>
      <c r="H235" s="117">
        <v>6.18</v>
      </c>
      <c r="I235" s="116" t="s">
        <v>211</v>
      </c>
      <c r="J235" s="117" t="s">
        <v>257</v>
      </c>
      <c r="K235" s="116">
        <v>8.0499999523162835E-2</v>
      </c>
      <c r="L235" s="116">
        <v>8.9499999999999996E-2</v>
      </c>
      <c r="M235" s="111">
        <v>94557.81</v>
      </c>
      <c r="N235" s="61">
        <v>92.86</v>
      </c>
      <c r="O235" s="85">
        <v>87.806380000000004</v>
      </c>
      <c r="P235" s="25">
        <v>1.5637403948911418E-3</v>
      </c>
      <c r="Q235" s="25">
        <v>1.5242811228099722E-4</v>
      </c>
      <c r="R235" s="15"/>
    </row>
    <row r="236" spans="1:18" x14ac:dyDescent="0.25">
      <c r="A236" s="17" t="s">
        <v>2890</v>
      </c>
      <c r="B236" s="116" t="s">
        <v>2915</v>
      </c>
      <c r="C236" s="116" t="s">
        <v>2599</v>
      </c>
      <c r="D236" s="116"/>
      <c r="E236" s="116" t="s">
        <v>1608</v>
      </c>
      <c r="F236" s="116" t="s">
        <v>2600</v>
      </c>
      <c r="G236" s="116" t="s">
        <v>2382</v>
      </c>
      <c r="H236" s="117">
        <v>5.17</v>
      </c>
      <c r="I236" s="116" t="s">
        <v>220</v>
      </c>
      <c r="J236" s="117" t="s">
        <v>257</v>
      </c>
      <c r="K236" s="116">
        <v>1.8200000000000001E-2</v>
      </c>
      <c r="L236" s="116">
        <v>3.4200000000000001E-2</v>
      </c>
      <c r="M236" s="111">
        <v>11802.277463664779</v>
      </c>
      <c r="N236" s="61">
        <v>101.07</v>
      </c>
      <c r="O236" s="85">
        <v>11.92856183182403</v>
      </c>
      <c r="P236" s="25">
        <v>2.1243529216646796E-4</v>
      </c>
      <c r="Q236" s="25">
        <v>2.0707472079501409E-5</v>
      </c>
      <c r="R236" s="15"/>
    </row>
    <row r="237" spans="1:18" x14ac:dyDescent="0.25">
      <c r="A237" s="17" t="s">
        <v>2891</v>
      </c>
      <c r="B237" s="116" t="s">
        <v>2915</v>
      </c>
      <c r="C237" s="116" t="s">
        <v>2389</v>
      </c>
      <c r="D237" s="116"/>
      <c r="E237" s="116" t="s">
        <v>2390</v>
      </c>
      <c r="F237" s="116" t="s">
        <v>2030</v>
      </c>
      <c r="G237" s="116" t="s">
        <v>256</v>
      </c>
      <c r="H237" s="117">
        <v>2.0099999999999998</v>
      </c>
      <c r="I237" s="116" t="s">
        <v>221</v>
      </c>
      <c r="J237" s="117" t="s">
        <v>257</v>
      </c>
      <c r="K237" s="116">
        <v>0.09</v>
      </c>
      <c r="L237" s="116">
        <v>0.1072</v>
      </c>
      <c r="M237" s="111">
        <v>339384.12263420341</v>
      </c>
      <c r="N237" s="61">
        <v>99.32</v>
      </c>
      <c r="O237" s="85">
        <v>337.07631019963861</v>
      </c>
      <c r="P237" s="25">
        <v>6.0029788543842924E-3</v>
      </c>
      <c r="Q237" s="25">
        <v>5.8515002734852242E-4</v>
      </c>
      <c r="R237" s="15"/>
    </row>
    <row r="238" spans="1:18" x14ac:dyDescent="0.25">
      <c r="A238" s="17" t="s">
        <v>2892</v>
      </c>
      <c r="B238" s="116" t="s">
        <v>2915</v>
      </c>
      <c r="C238" s="116" t="s">
        <v>2622</v>
      </c>
      <c r="D238" s="116"/>
      <c r="E238" s="116" t="s">
        <v>2390</v>
      </c>
      <c r="F238" s="116" t="s">
        <v>1943</v>
      </c>
      <c r="G238" s="116" t="s">
        <v>256</v>
      </c>
      <c r="H238" s="117">
        <v>4.7300000000000004</v>
      </c>
      <c r="I238" s="116" t="s">
        <v>223</v>
      </c>
      <c r="J238" s="117" t="s">
        <v>257</v>
      </c>
      <c r="K238" s="116">
        <v>1.37E-2</v>
      </c>
      <c r="L238" s="116">
        <v>5.4400000000000004E-2</v>
      </c>
      <c r="M238" s="111">
        <v>3396.0825531873888</v>
      </c>
      <c r="N238" s="61">
        <v>89.71</v>
      </c>
      <c r="O238" s="85">
        <v>3.0466256573075001</v>
      </c>
      <c r="P238" s="25">
        <v>5.4257237440417363E-5</v>
      </c>
      <c r="Q238" s="25">
        <v>5.2888115621010056E-6</v>
      </c>
      <c r="R238" s="15"/>
    </row>
    <row r="239" spans="1:18" x14ac:dyDescent="0.25">
      <c r="A239" s="17" t="s">
        <v>2892</v>
      </c>
      <c r="B239" s="116" t="s">
        <v>2915</v>
      </c>
      <c r="C239" s="116" t="s">
        <v>2634</v>
      </c>
      <c r="D239" s="116"/>
      <c r="E239" s="116" t="s">
        <v>2390</v>
      </c>
      <c r="F239" s="116" t="s">
        <v>2635</v>
      </c>
      <c r="G239" s="116" t="s">
        <v>256</v>
      </c>
      <c r="H239" s="117">
        <v>4.49</v>
      </c>
      <c r="I239" s="116" t="s">
        <v>221</v>
      </c>
      <c r="J239" s="117" t="s">
        <v>257</v>
      </c>
      <c r="K239" s="116">
        <v>3.6400000000000002E-2</v>
      </c>
      <c r="L239" s="116">
        <v>3.95E-2</v>
      </c>
      <c r="M239" s="111">
        <v>693.55500851984948</v>
      </c>
      <c r="N239" s="61">
        <v>102.18</v>
      </c>
      <c r="O239" s="85">
        <v>0.70867450742448523</v>
      </c>
      <c r="P239" s="25">
        <v>1.2620756647629134E-5</v>
      </c>
      <c r="Q239" s="25">
        <v>1.2302285709578259E-6</v>
      </c>
      <c r="R239" s="15"/>
    </row>
    <row r="240" spans="1:18" x14ac:dyDescent="0.25">
      <c r="A240" s="17" t="s">
        <v>2892</v>
      </c>
      <c r="B240" s="116" t="s">
        <v>2915</v>
      </c>
      <c r="C240" s="116" t="s">
        <v>2640</v>
      </c>
      <c r="D240" s="116"/>
      <c r="E240" s="116" t="s">
        <v>2390</v>
      </c>
      <c r="F240" s="116" t="s">
        <v>2641</v>
      </c>
      <c r="G240" s="116" t="s">
        <v>256</v>
      </c>
      <c r="H240" s="117">
        <v>4.47</v>
      </c>
      <c r="I240" s="116" t="s">
        <v>221</v>
      </c>
      <c r="J240" s="117" t="s">
        <v>257</v>
      </c>
      <c r="K240" s="116">
        <v>3.9100000000000003E-2</v>
      </c>
      <c r="L240" s="116">
        <v>3.4300000000000004E-2</v>
      </c>
      <c r="M240" s="111">
        <v>692.46130347888447</v>
      </c>
      <c r="N240" s="61">
        <v>104.55</v>
      </c>
      <c r="O240" s="85">
        <v>0.72396829273480034</v>
      </c>
      <c r="P240" s="25">
        <v>1.2893123073400616E-5</v>
      </c>
      <c r="Q240" s="25">
        <v>1.2567779267618366E-6</v>
      </c>
      <c r="R240" s="15"/>
    </row>
    <row r="241" spans="1:18" x14ac:dyDescent="0.25">
      <c r="A241" s="17" t="s">
        <v>2892</v>
      </c>
      <c r="B241" s="116" t="s">
        <v>2915</v>
      </c>
      <c r="C241" s="116" t="s">
        <v>2649</v>
      </c>
      <c r="D241" s="116"/>
      <c r="E241" s="116" t="s">
        <v>2390</v>
      </c>
      <c r="F241" s="116" t="s">
        <v>2142</v>
      </c>
      <c r="G241" s="116" t="s">
        <v>256</v>
      </c>
      <c r="H241" s="117">
        <v>4.4800000000000004</v>
      </c>
      <c r="I241" s="116" t="s">
        <v>221</v>
      </c>
      <c r="J241" s="117" t="s">
        <v>257</v>
      </c>
      <c r="K241" s="116">
        <v>3.9900000000000005E-2</v>
      </c>
      <c r="L241" s="116">
        <v>3.95E-2</v>
      </c>
      <c r="M241" s="111">
        <v>701.16527726632887</v>
      </c>
      <c r="N241" s="61">
        <v>100.94</v>
      </c>
      <c r="O241" s="85">
        <v>0.70775623006185973</v>
      </c>
      <c r="P241" s="25">
        <v>1.2604403081912706E-5</v>
      </c>
      <c r="Q241" s="25">
        <v>1.2286344808138592E-6</v>
      </c>
      <c r="R241" s="15"/>
    </row>
    <row r="242" spans="1:18" x14ac:dyDescent="0.25">
      <c r="A242" s="17" t="s">
        <v>2893</v>
      </c>
      <c r="B242" s="116" t="s">
        <v>2915</v>
      </c>
      <c r="C242" s="116" t="s">
        <v>2625</v>
      </c>
      <c r="D242" s="116"/>
      <c r="E242" s="116" t="s">
        <v>2390</v>
      </c>
      <c r="F242" s="116" t="s">
        <v>2626</v>
      </c>
      <c r="G242" s="116" t="s">
        <v>256</v>
      </c>
      <c r="H242" s="117">
        <v>4.5599999999999996</v>
      </c>
      <c r="I242" s="116" t="s">
        <v>223</v>
      </c>
      <c r="J242" s="117" t="s">
        <v>257</v>
      </c>
      <c r="K242" s="116">
        <v>3.0699999999999998E-2</v>
      </c>
      <c r="L242" s="116">
        <v>3.9599999999999996E-2</v>
      </c>
      <c r="M242" s="111">
        <v>6076.5596438320645</v>
      </c>
      <c r="N242" s="61">
        <v>101.22</v>
      </c>
      <c r="O242" s="85">
        <v>6.1506936703527346</v>
      </c>
      <c r="P242" s="25">
        <v>1.0953746355255541E-4</v>
      </c>
      <c r="Q242" s="25">
        <v>1.0677340591771867E-5</v>
      </c>
      <c r="R242" s="15"/>
    </row>
    <row r="243" spans="1:18" x14ac:dyDescent="0.25">
      <c r="A243" s="17" t="s">
        <v>2893</v>
      </c>
      <c r="B243" s="116" t="s">
        <v>2915</v>
      </c>
      <c r="C243" s="116" t="s">
        <v>2627</v>
      </c>
      <c r="D243" s="116"/>
      <c r="E243" s="116" t="s">
        <v>2390</v>
      </c>
      <c r="F243" s="116" t="s">
        <v>2628</v>
      </c>
      <c r="G243" s="116" t="s">
        <v>256</v>
      </c>
      <c r="H243" s="117">
        <v>4.59</v>
      </c>
      <c r="I243" s="116" t="s">
        <v>223</v>
      </c>
      <c r="J243" s="117" t="s">
        <v>257</v>
      </c>
      <c r="K243" s="116">
        <v>2.6000000000000002E-2</v>
      </c>
      <c r="L243" s="116">
        <v>5.0599999999999999E-2</v>
      </c>
      <c r="M243" s="111">
        <v>14.607669384332898</v>
      </c>
      <c r="N243" s="61">
        <v>94.17</v>
      </c>
      <c r="O243" s="85">
        <v>1.3756040781669041E-2</v>
      </c>
      <c r="P243" s="25">
        <v>2.4498079346928773E-7</v>
      </c>
      <c r="Q243" s="25">
        <v>2.3879897210319171E-8</v>
      </c>
      <c r="R243" s="15"/>
    </row>
    <row r="244" spans="1:18" x14ac:dyDescent="0.25">
      <c r="A244" s="17" t="s">
        <v>2893</v>
      </c>
      <c r="B244" s="116" t="s">
        <v>2915</v>
      </c>
      <c r="C244" s="116" t="s">
        <v>2636</v>
      </c>
      <c r="D244" s="116"/>
      <c r="E244" s="116" t="s">
        <v>2390</v>
      </c>
      <c r="F244" s="116" t="s">
        <v>2635</v>
      </c>
      <c r="G244" s="116" t="s">
        <v>256</v>
      </c>
      <c r="H244" s="117">
        <v>4.6100000000000003</v>
      </c>
      <c r="I244" s="116" t="s">
        <v>221</v>
      </c>
      <c r="J244" s="117" t="s">
        <v>257</v>
      </c>
      <c r="K244" s="116">
        <v>3.6400000000000002E-2</v>
      </c>
      <c r="L244" s="116">
        <v>3.0699999999999998E-2</v>
      </c>
      <c r="M244" s="111">
        <v>1606.4504091266681</v>
      </c>
      <c r="N244" s="61">
        <v>101.12</v>
      </c>
      <c r="O244" s="85">
        <v>1.6244426523456132</v>
      </c>
      <c r="P244" s="25">
        <v>2.892963580387829E-5</v>
      </c>
      <c r="Q244" s="25">
        <v>2.8199628205351142E-6</v>
      </c>
      <c r="R244" s="15"/>
    </row>
    <row r="245" spans="1:18" x14ac:dyDescent="0.25">
      <c r="A245" s="17" t="s">
        <v>2893</v>
      </c>
      <c r="B245" s="116" t="s">
        <v>2915</v>
      </c>
      <c r="C245" s="116" t="s">
        <v>2647</v>
      </c>
      <c r="D245" s="116"/>
      <c r="E245" s="116" t="s">
        <v>2390</v>
      </c>
      <c r="F245" s="116" t="s">
        <v>2648</v>
      </c>
      <c r="G245" s="116" t="s">
        <v>256</v>
      </c>
      <c r="H245" s="117">
        <v>4.47</v>
      </c>
      <c r="I245" s="116" t="s">
        <v>221</v>
      </c>
      <c r="J245" s="117" t="s">
        <v>257</v>
      </c>
      <c r="K245" s="116">
        <v>3.9399999999999998E-2</v>
      </c>
      <c r="L245" s="116">
        <v>4.0899999999999999E-2</v>
      </c>
      <c r="M245" s="111">
        <v>1977.0119910661726</v>
      </c>
      <c r="N245" s="61">
        <v>101.1</v>
      </c>
      <c r="O245" s="85">
        <v>1.9987591229569568</v>
      </c>
      <c r="P245" s="25">
        <v>3.5595823221786204E-5</v>
      </c>
      <c r="Q245" s="25">
        <v>3.469760170237635E-6</v>
      </c>
      <c r="R245" s="15"/>
    </row>
    <row r="246" spans="1:18" x14ac:dyDescent="0.25">
      <c r="A246" s="17" t="s">
        <v>2894</v>
      </c>
      <c r="B246" s="116" t="s">
        <v>2915</v>
      </c>
      <c r="C246" s="116" t="s">
        <v>2629</v>
      </c>
      <c r="D246" s="116"/>
      <c r="E246" s="116" t="s">
        <v>1608</v>
      </c>
      <c r="F246" s="116" t="s">
        <v>2630</v>
      </c>
      <c r="G246" s="116" t="s">
        <v>2382</v>
      </c>
      <c r="H246" s="117">
        <v>2.87</v>
      </c>
      <c r="I246" s="116" t="s">
        <v>221</v>
      </c>
      <c r="J246" s="117" t="s">
        <v>257</v>
      </c>
      <c r="K246" s="116">
        <v>3.73E-2</v>
      </c>
      <c r="L246" s="116">
        <v>5.5800000000000002E-2</v>
      </c>
      <c r="M246" s="111">
        <v>13338.476341733111</v>
      </c>
      <c r="N246" s="61">
        <v>96.49</v>
      </c>
      <c r="O246" s="85">
        <v>12.87029582146055</v>
      </c>
      <c r="P246" s="25">
        <v>2.2920659603797047E-4</v>
      </c>
      <c r="Q246" s="25">
        <v>2.2342281922603318E-5</v>
      </c>
      <c r="R246" s="15"/>
    </row>
    <row r="247" spans="1:18" x14ac:dyDescent="0.25">
      <c r="A247" s="17" t="s">
        <v>2894</v>
      </c>
      <c r="B247" s="116" t="s">
        <v>2915</v>
      </c>
      <c r="C247" s="116" t="s">
        <v>2645</v>
      </c>
      <c r="D247" s="116"/>
      <c r="E247" s="116" t="s">
        <v>1608</v>
      </c>
      <c r="F247" s="116" t="s">
        <v>2646</v>
      </c>
      <c r="G247" s="116" t="s">
        <v>2382</v>
      </c>
      <c r="H247" s="117">
        <v>3.17</v>
      </c>
      <c r="I247" s="116" t="s">
        <v>221</v>
      </c>
      <c r="J247" s="117" t="s">
        <v>257</v>
      </c>
      <c r="K247" s="116">
        <v>4.7800000000000002E-2</v>
      </c>
      <c r="L247" s="116">
        <v>6.3200000000000006E-2</v>
      </c>
      <c r="M247" s="111">
        <v>6196.3053998360419</v>
      </c>
      <c r="N247" s="61">
        <v>99.74</v>
      </c>
      <c r="O247" s="85">
        <v>6.1801950057964676</v>
      </c>
      <c r="P247" s="25">
        <v>1.1006285168422192E-4</v>
      </c>
      <c r="Q247" s="25">
        <v>1.0728553645669051E-5</v>
      </c>
      <c r="R247" s="15"/>
    </row>
    <row r="248" spans="1:18" x14ac:dyDescent="0.25">
      <c r="A248" s="17" t="s">
        <v>2895</v>
      </c>
      <c r="B248" s="116" t="s">
        <v>2915</v>
      </c>
      <c r="C248" s="116" t="s">
        <v>2431</v>
      </c>
      <c r="D248" s="116"/>
      <c r="E248" s="116" t="s">
        <v>499</v>
      </c>
      <c r="F248" s="116" t="s">
        <v>2197</v>
      </c>
      <c r="G248" s="116" t="s">
        <v>499</v>
      </c>
      <c r="H248" s="117">
        <v>5.89</v>
      </c>
      <c r="I248" s="116" t="s">
        <v>221</v>
      </c>
      <c r="J248" s="117" t="s">
        <v>257</v>
      </c>
      <c r="K248" s="116">
        <v>7.4999999999999997E-2</v>
      </c>
      <c r="L248" s="116">
        <v>8.2100000000000006E-2</v>
      </c>
      <c r="M248" s="111">
        <v>5755.6786300860094</v>
      </c>
      <c r="N248" s="61">
        <v>100.94</v>
      </c>
      <c r="O248" s="85">
        <v>5.809782008176982</v>
      </c>
      <c r="P248" s="25">
        <v>1.034661810644981E-4</v>
      </c>
      <c r="Q248" s="25">
        <v>1.0085532557776762E-5</v>
      </c>
      <c r="R248" s="15"/>
    </row>
    <row r="249" spans="1:18" x14ac:dyDescent="0.25">
      <c r="A249" s="17" t="s">
        <v>2895</v>
      </c>
      <c r="B249" s="116" t="s">
        <v>2915</v>
      </c>
      <c r="C249" s="116" t="s">
        <v>2426</v>
      </c>
      <c r="D249" s="116"/>
      <c r="E249" s="116" t="s">
        <v>499</v>
      </c>
      <c r="F249" s="116" t="s">
        <v>2427</v>
      </c>
      <c r="G249" s="116" t="s">
        <v>499</v>
      </c>
      <c r="H249" s="117">
        <v>7.77</v>
      </c>
      <c r="I249" s="116" t="s">
        <v>221</v>
      </c>
      <c r="J249" s="117" t="s">
        <v>257</v>
      </c>
      <c r="K249" s="116">
        <v>7.4999999999999997E-2</v>
      </c>
      <c r="L249" s="116">
        <v>8.1099999999999992E-2</v>
      </c>
      <c r="M249" s="111">
        <v>418.40963051008163</v>
      </c>
      <c r="N249" s="61">
        <v>102.23</v>
      </c>
      <c r="O249" s="85">
        <v>0.42774016455129832</v>
      </c>
      <c r="P249" s="25">
        <v>7.617607898494952E-6</v>
      </c>
      <c r="Q249" s="25">
        <v>7.4253859263207886E-7</v>
      </c>
      <c r="R249" s="15"/>
    </row>
    <row r="250" spans="1:18" x14ac:dyDescent="0.25">
      <c r="A250" s="17" t="s">
        <v>2895</v>
      </c>
      <c r="B250" s="116" t="s">
        <v>2915</v>
      </c>
      <c r="C250" s="116" t="s">
        <v>2342</v>
      </c>
      <c r="D250" s="116"/>
      <c r="E250" s="116" t="s">
        <v>499</v>
      </c>
      <c r="F250" s="116" t="s">
        <v>928</v>
      </c>
      <c r="G250" s="116" t="s">
        <v>499</v>
      </c>
      <c r="H250" s="117">
        <v>5.77</v>
      </c>
      <c r="I250" s="116" t="s">
        <v>221</v>
      </c>
      <c r="J250" s="117" t="s">
        <v>257</v>
      </c>
      <c r="K250" s="116">
        <v>7.4999999999999997E-2</v>
      </c>
      <c r="L250" s="116">
        <v>8.5000000000000006E-2</v>
      </c>
      <c r="M250" s="111">
        <v>2188.9405410741833</v>
      </c>
      <c r="N250" s="61">
        <v>92.26</v>
      </c>
      <c r="O250" s="85">
        <v>2.0195165416335303</v>
      </c>
      <c r="P250" s="25">
        <v>3.5965491280966251E-5</v>
      </c>
      <c r="Q250" s="25">
        <v>3.5057941593930521E-6</v>
      </c>
      <c r="R250" s="15"/>
    </row>
    <row r="251" spans="1:18" x14ac:dyDescent="0.25">
      <c r="A251" s="17" t="s">
        <v>2895</v>
      </c>
      <c r="B251" s="116" t="s">
        <v>2915</v>
      </c>
      <c r="C251" s="116" t="s">
        <v>2334</v>
      </c>
      <c r="D251" s="116"/>
      <c r="E251" s="116" t="s">
        <v>499</v>
      </c>
      <c r="F251" s="116" t="s">
        <v>2335</v>
      </c>
      <c r="G251" s="116" t="s">
        <v>499</v>
      </c>
      <c r="H251" s="117">
        <v>5.7</v>
      </c>
      <c r="I251" s="116" t="s">
        <v>221</v>
      </c>
      <c r="J251" s="117" t="s">
        <v>257</v>
      </c>
      <c r="K251" s="116">
        <v>7.4999999999999997E-2</v>
      </c>
      <c r="L251" s="116">
        <v>8.4399999999999989E-2</v>
      </c>
      <c r="M251" s="111">
        <v>1916.8640139796328</v>
      </c>
      <c r="N251" s="61">
        <v>92.69</v>
      </c>
      <c r="O251" s="85">
        <v>1.7767412536176568</v>
      </c>
      <c r="P251" s="25">
        <v>3.1641915650678879E-5</v>
      </c>
      <c r="Q251" s="25">
        <v>3.0843466647948804E-6</v>
      </c>
      <c r="R251" s="15"/>
    </row>
    <row r="252" spans="1:18" x14ac:dyDescent="0.25">
      <c r="A252" s="17" t="s">
        <v>2895</v>
      </c>
      <c r="B252" s="116" t="s">
        <v>2915</v>
      </c>
      <c r="C252" s="116" t="s">
        <v>2350</v>
      </c>
      <c r="D252" s="116"/>
      <c r="E252" s="116" t="s">
        <v>499</v>
      </c>
      <c r="F252" s="116" t="s">
        <v>2351</v>
      </c>
      <c r="G252" s="116" t="s">
        <v>499</v>
      </c>
      <c r="H252" s="117">
        <v>6.61</v>
      </c>
      <c r="I252" s="116" t="s">
        <v>221</v>
      </c>
      <c r="J252" s="117" t="s">
        <v>257</v>
      </c>
      <c r="K252" s="116">
        <v>7.4999999999999997E-2</v>
      </c>
      <c r="L252" s="116">
        <v>8.5800000000000001E-2</v>
      </c>
      <c r="M252" s="111">
        <v>1811.1819514719641</v>
      </c>
      <c r="N252" s="61">
        <v>95.96</v>
      </c>
      <c r="O252" s="85">
        <v>1.7380101991566592</v>
      </c>
      <c r="P252" s="25">
        <v>3.0952155813211588E-5</v>
      </c>
      <c r="Q252" s="25">
        <v>3.0171112142713268E-6</v>
      </c>
      <c r="R252" s="15"/>
    </row>
    <row r="253" spans="1:18" x14ac:dyDescent="0.25">
      <c r="A253" s="17" t="s">
        <v>2895</v>
      </c>
      <c r="B253" s="116" t="s">
        <v>2915</v>
      </c>
      <c r="C253" s="116" t="s">
        <v>2355</v>
      </c>
      <c r="D253" s="116"/>
      <c r="E253" s="116" t="s">
        <v>499</v>
      </c>
      <c r="F253" s="116" t="s">
        <v>2356</v>
      </c>
      <c r="G253" s="116" t="s">
        <v>499</v>
      </c>
      <c r="H253" s="117">
        <v>6.7</v>
      </c>
      <c r="I253" s="116" t="s">
        <v>221</v>
      </c>
      <c r="J253" s="117" t="s">
        <v>257</v>
      </c>
      <c r="K253" s="116">
        <v>7.4999999999999997E-2</v>
      </c>
      <c r="L253" s="116">
        <v>8.3699999999999997E-2</v>
      </c>
      <c r="M253" s="111">
        <v>1927.7908773582508</v>
      </c>
      <c r="N253" s="61">
        <v>94.59</v>
      </c>
      <c r="O253" s="85">
        <v>1.8234973903523937</v>
      </c>
      <c r="P253" s="25">
        <v>3.247459386519087E-5</v>
      </c>
      <c r="Q253" s="25">
        <v>3.1655133141890148E-6</v>
      </c>
      <c r="R253" s="15"/>
    </row>
    <row r="254" spans="1:18" x14ac:dyDescent="0.25">
      <c r="A254" s="17" t="s">
        <v>2895</v>
      </c>
      <c r="B254" s="116" t="s">
        <v>2915</v>
      </c>
      <c r="C254" s="116" t="s">
        <v>2314</v>
      </c>
      <c r="D254" s="116"/>
      <c r="E254" s="116" t="s">
        <v>499</v>
      </c>
      <c r="F254" s="116" t="s">
        <v>2315</v>
      </c>
      <c r="G254" s="116" t="s">
        <v>499</v>
      </c>
      <c r="H254" s="117">
        <v>5.99</v>
      </c>
      <c r="I254" s="116" t="s">
        <v>221</v>
      </c>
      <c r="J254" s="117" t="s">
        <v>257</v>
      </c>
      <c r="K254" s="116">
        <v>7.4999999999999997E-2</v>
      </c>
      <c r="L254" s="116">
        <v>8.9499999999999996E-2</v>
      </c>
      <c r="M254" s="111">
        <v>2272.5505560549041</v>
      </c>
      <c r="N254" s="61">
        <v>94.73</v>
      </c>
      <c r="O254" s="85">
        <v>2.1527871415924396</v>
      </c>
      <c r="P254" s="25">
        <v>3.8338902194924032E-5</v>
      </c>
      <c r="Q254" s="25">
        <v>3.737146208917158E-6</v>
      </c>
      <c r="R254" s="15"/>
    </row>
    <row r="255" spans="1:18" x14ac:dyDescent="0.25">
      <c r="A255" s="17" t="s">
        <v>2895</v>
      </c>
      <c r="B255" s="116" t="s">
        <v>2915</v>
      </c>
      <c r="C255" s="116" t="s">
        <v>2318</v>
      </c>
      <c r="D255" s="116"/>
      <c r="E255" s="116" t="s">
        <v>499</v>
      </c>
      <c r="F255" s="116" t="s">
        <v>2319</v>
      </c>
      <c r="G255" s="116" t="s">
        <v>499</v>
      </c>
      <c r="H255" s="117">
        <v>5.56</v>
      </c>
      <c r="I255" s="116" t="s">
        <v>221</v>
      </c>
      <c r="J255" s="117" t="s">
        <v>257</v>
      </c>
      <c r="K255" s="116">
        <v>7.4999999999999997E-2</v>
      </c>
      <c r="L255" s="116">
        <v>7.4499999999999997E-2</v>
      </c>
      <c r="M255" s="111">
        <v>1541.0667827398995</v>
      </c>
      <c r="N255" s="61">
        <v>97.79</v>
      </c>
      <c r="O255" s="85">
        <v>1.5070092054274202</v>
      </c>
      <c r="P255" s="25">
        <v>2.6838268130398496E-5</v>
      </c>
      <c r="Q255" s="25">
        <v>2.6161033899061454E-6</v>
      </c>
      <c r="R255" s="15"/>
    </row>
    <row r="256" spans="1:18" x14ac:dyDescent="0.25">
      <c r="A256" s="17" t="s">
        <v>2895</v>
      </c>
      <c r="B256" s="116" t="s">
        <v>2915</v>
      </c>
      <c r="C256" s="116" t="s">
        <v>2368</v>
      </c>
      <c r="D256" s="116"/>
      <c r="E256" s="116" t="s">
        <v>499</v>
      </c>
      <c r="F256" s="116" t="s">
        <v>2369</v>
      </c>
      <c r="G256" s="116" t="s">
        <v>499</v>
      </c>
      <c r="H256" s="117">
        <v>6.1</v>
      </c>
      <c r="I256" s="116" t="s">
        <v>221</v>
      </c>
      <c r="J256" s="117" t="s">
        <v>257</v>
      </c>
      <c r="K256" s="116">
        <v>7.4999999999999997E-2</v>
      </c>
      <c r="L256" s="116">
        <v>6.6400000000000001E-2</v>
      </c>
      <c r="M256" s="111">
        <v>1719.5516397457407</v>
      </c>
      <c r="N256" s="61">
        <v>102.06</v>
      </c>
      <c r="O256" s="85">
        <v>1.7549744027240486</v>
      </c>
      <c r="P256" s="25">
        <v>3.1254270652537426E-5</v>
      </c>
      <c r="Q256" s="25">
        <v>3.0465603445751582E-6</v>
      </c>
      <c r="R256" s="15"/>
    </row>
    <row r="257" spans="1:18" x14ac:dyDescent="0.25">
      <c r="A257" s="17" t="s">
        <v>2895</v>
      </c>
      <c r="B257" s="116" t="s">
        <v>2915</v>
      </c>
      <c r="C257" s="116" t="s">
        <v>2312</v>
      </c>
      <c r="D257" s="116"/>
      <c r="E257" s="116" t="s">
        <v>499</v>
      </c>
      <c r="F257" s="116" t="s">
        <v>2313</v>
      </c>
      <c r="G257" s="116" t="s">
        <v>499</v>
      </c>
      <c r="H257" s="117">
        <v>6</v>
      </c>
      <c r="I257" s="116" t="s">
        <v>221</v>
      </c>
      <c r="J257" s="117" t="s">
        <v>257</v>
      </c>
      <c r="K257" s="116">
        <v>7.4999999999999997E-2</v>
      </c>
      <c r="L257" s="116">
        <v>8.2599999999999993E-2</v>
      </c>
      <c r="M257" s="111">
        <v>1277.3182692043667</v>
      </c>
      <c r="N257" s="61">
        <v>100.16</v>
      </c>
      <c r="O257" s="85">
        <v>1.2793619774245204</v>
      </c>
      <c r="P257" s="25">
        <v>2.2784107530529458E-5</v>
      </c>
      <c r="Q257" s="25">
        <v>2.2209175590988196E-6</v>
      </c>
      <c r="R257" s="15"/>
    </row>
    <row r="258" spans="1:18" x14ac:dyDescent="0.25">
      <c r="A258" s="17" t="s">
        <v>2895</v>
      </c>
      <c r="B258" s="116" t="s">
        <v>2915</v>
      </c>
      <c r="C258" s="116" t="s">
        <v>2429</v>
      </c>
      <c r="D258" s="116"/>
      <c r="E258" s="116" t="s">
        <v>499</v>
      </c>
      <c r="F258" s="116" t="s">
        <v>2430</v>
      </c>
      <c r="G258" s="116" t="s">
        <v>499</v>
      </c>
      <c r="H258" s="117">
        <v>7.77</v>
      </c>
      <c r="I258" s="116" t="s">
        <v>221</v>
      </c>
      <c r="J258" s="117" t="s">
        <v>257</v>
      </c>
      <c r="K258" s="116">
        <v>7.4999999999999997E-2</v>
      </c>
      <c r="L258" s="116">
        <v>8.1099999999999992E-2</v>
      </c>
      <c r="M258" s="111">
        <v>2864.8540554214369</v>
      </c>
      <c r="N258" s="61">
        <v>102.22</v>
      </c>
      <c r="O258" s="85">
        <v>2.9284538147951702</v>
      </c>
      <c r="P258" s="25">
        <v>5.21527197086165E-5</v>
      </c>
      <c r="Q258" s="25">
        <v>5.0836703083683988E-6</v>
      </c>
      <c r="R258" s="15"/>
    </row>
    <row r="259" spans="1:18" x14ac:dyDescent="0.25">
      <c r="A259" s="17" t="s">
        <v>2895</v>
      </c>
      <c r="B259" s="116" t="s">
        <v>2915</v>
      </c>
      <c r="C259" s="116" t="s">
        <v>2375</v>
      </c>
      <c r="D259" s="116"/>
      <c r="E259" s="116" t="s">
        <v>499</v>
      </c>
      <c r="F259" s="116" t="s">
        <v>2376</v>
      </c>
      <c r="G259" s="116" t="s">
        <v>499</v>
      </c>
      <c r="H259" s="117">
        <v>5.86</v>
      </c>
      <c r="I259" s="116" t="s">
        <v>221</v>
      </c>
      <c r="J259" s="117" t="s">
        <v>257</v>
      </c>
      <c r="K259" s="116">
        <v>7.4999999999999997E-2</v>
      </c>
      <c r="L259" s="116">
        <v>6.8699999999999997E-2</v>
      </c>
      <c r="M259" s="111">
        <v>3595.7272619337823</v>
      </c>
      <c r="N259" s="61">
        <v>100.76</v>
      </c>
      <c r="O259" s="85">
        <v>3.6230547887642746</v>
      </c>
      <c r="P259" s="25">
        <v>6.4522841348139951E-5</v>
      </c>
      <c r="Q259" s="25">
        <v>6.2894678284421405E-6</v>
      </c>
      <c r="R259" s="15"/>
    </row>
    <row r="260" spans="1:18" x14ac:dyDescent="0.25">
      <c r="A260" s="17" t="s">
        <v>2895</v>
      </c>
      <c r="B260" s="116" t="s">
        <v>2915</v>
      </c>
      <c r="C260" s="116" t="s">
        <v>2364</v>
      </c>
      <c r="D260" s="116"/>
      <c r="E260" s="116" t="s">
        <v>499</v>
      </c>
      <c r="F260" s="116" t="s">
        <v>2365</v>
      </c>
      <c r="G260" s="116" t="s">
        <v>499</v>
      </c>
      <c r="H260" s="117">
        <v>6.47</v>
      </c>
      <c r="I260" s="116" t="s">
        <v>221</v>
      </c>
      <c r="J260" s="117" t="s">
        <v>257</v>
      </c>
      <c r="K260" s="116">
        <v>7.4999999999999997E-2</v>
      </c>
      <c r="L260" s="116">
        <v>7.0000000000000007E-2</v>
      </c>
      <c r="M260" s="111">
        <v>1921.1417681220589</v>
      </c>
      <c r="N260" s="61">
        <v>102.77</v>
      </c>
      <c r="O260" s="85">
        <v>1.9743573939855958</v>
      </c>
      <c r="P260" s="25">
        <v>3.5161253782780717E-5</v>
      </c>
      <c r="Q260" s="25">
        <v>3.4273998146063354E-6</v>
      </c>
      <c r="R260" s="15"/>
    </row>
    <row r="261" spans="1:18" x14ac:dyDescent="0.25">
      <c r="A261" s="17" t="s">
        <v>2895</v>
      </c>
      <c r="B261" s="116" t="s">
        <v>2915</v>
      </c>
      <c r="C261" s="116" t="s">
        <v>2366</v>
      </c>
      <c r="D261" s="116"/>
      <c r="E261" s="116" t="s">
        <v>499</v>
      </c>
      <c r="F261" s="116" t="s">
        <v>2367</v>
      </c>
      <c r="G261" s="116" t="s">
        <v>499</v>
      </c>
      <c r="H261" s="117">
        <v>5.83</v>
      </c>
      <c r="I261" s="116" t="s">
        <v>221</v>
      </c>
      <c r="J261" s="117" t="s">
        <v>257</v>
      </c>
      <c r="K261" s="116">
        <v>7.4999999999999997E-2</v>
      </c>
      <c r="L261" s="116">
        <v>8.6999999999999994E-2</v>
      </c>
      <c r="M261" s="111">
        <v>1199.5629563922857</v>
      </c>
      <c r="N261" s="61">
        <v>91.5</v>
      </c>
      <c r="O261" s="85">
        <v>1.0976001044970374</v>
      </c>
      <c r="P261" s="25">
        <v>1.9547117428582701E-5</v>
      </c>
      <c r="Q261" s="25">
        <v>1.9053867380469241E-6</v>
      </c>
      <c r="R261" s="15"/>
    </row>
    <row r="262" spans="1:18" x14ac:dyDescent="0.25">
      <c r="A262" s="17" t="s">
        <v>2895</v>
      </c>
      <c r="B262" s="116" t="s">
        <v>2915</v>
      </c>
      <c r="C262" s="116" t="s">
        <v>2432</v>
      </c>
      <c r="D262" s="116"/>
      <c r="E262" s="116" t="s">
        <v>499</v>
      </c>
      <c r="F262" s="116" t="s">
        <v>2197</v>
      </c>
      <c r="G262" s="116" t="s">
        <v>499</v>
      </c>
      <c r="H262" s="117">
        <v>5.78</v>
      </c>
      <c r="I262" s="116" t="s">
        <v>221</v>
      </c>
      <c r="J262" s="117" t="s">
        <v>257</v>
      </c>
      <c r="K262" s="116">
        <v>7.4999999999999997E-2</v>
      </c>
      <c r="L262" s="116">
        <v>8.2200000000000009E-2</v>
      </c>
      <c r="M262" s="111">
        <v>451.86163916879786</v>
      </c>
      <c r="N262" s="61">
        <v>100.93</v>
      </c>
      <c r="O262" s="85">
        <v>0.45606395206161826</v>
      </c>
      <c r="P262" s="25">
        <v>8.1220251249675662E-6</v>
      </c>
      <c r="Q262" s="25">
        <v>7.9170747378679851E-7</v>
      </c>
      <c r="R262" s="15"/>
    </row>
    <row r="263" spans="1:18" x14ac:dyDescent="0.25">
      <c r="A263" s="17" t="s">
        <v>2895</v>
      </c>
      <c r="B263" s="116" t="s">
        <v>2915</v>
      </c>
      <c r="C263" s="116" t="s">
        <v>2326</v>
      </c>
      <c r="D263" s="116"/>
      <c r="E263" s="116" t="s">
        <v>499</v>
      </c>
      <c r="F263" s="116" t="s">
        <v>2327</v>
      </c>
      <c r="G263" s="116" t="s">
        <v>499</v>
      </c>
      <c r="H263" s="117">
        <v>6</v>
      </c>
      <c r="I263" s="116" t="s">
        <v>221</v>
      </c>
      <c r="J263" s="117" t="s">
        <v>257</v>
      </c>
      <c r="K263" s="116">
        <v>7.4999999999999997E-2</v>
      </c>
      <c r="L263" s="116">
        <v>8.6899999999999991E-2</v>
      </c>
      <c r="M263" s="111">
        <v>1605.5835406255242</v>
      </c>
      <c r="N263" s="61">
        <v>95.32</v>
      </c>
      <c r="O263" s="85">
        <v>1.5304422299818399</v>
      </c>
      <c r="P263" s="25">
        <v>2.725558595024509E-5</v>
      </c>
      <c r="Q263" s="25">
        <v>2.6567821161885005E-6</v>
      </c>
      <c r="R263" s="15"/>
    </row>
    <row r="264" spans="1:18" x14ac:dyDescent="0.25">
      <c r="A264" s="17" t="s">
        <v>2895</v>
      </c>
      <c r="B264" s="116" t="s">
        <v>2915</v>
      </c>
      <c r="C264" s="116" t="s">
        <v>2339</v>
      </c>
      <c r="D264" s="116"/>
      <c r="E264" s="116" t="s">
        <v>499</v>
      </c>
      <c r="F264" s="116" t="s">
        <v>2340</v>
      </c>
      <c r="G264" s="116" t="s">
        <v>499</v>
      </c>
      <c r="H264" s="117">
        <v>5.51</v>
      </c>
      <c r="I264" s="116" t="s">
        <v>221</v>
      </c>
      <c r="J264" s="117" t="s">
        <v>257</v>
      </c>
      <c r="K264" s="116">
        <v>7.4999999999999997E-2</v>
      </c>
      <c r="L264" s="116">
        <v>8.4100000000000008E-2</v>
      </c>
      <c r="M264" s="111">
        <v>2536.2641716612338</v>
      </c>
      <c r="N264" s="61">
        <v>93.11</v>
      </c>
      <c r="O264" s="85">
        <v>2.3615155693151282</v>
      </c>
      <c r="P264" s="25">
        <v>4.2056138618884158E-5</v>
      </c>
      <c r="Q264" s="25">
        <v>4.0994898133016001E-6</v>
      </c>
      <c r="R264" s="15"/>
    </row>
    <row r="265" spans="1:18" x14ac:dyDescent="0.25">
      <c r="A265" s="17" t="s">
        <v>2895</v>
      </c>
      <c r="B265" s="116" t="s">
        <v>2915</v>
      </c>
      <c r="C265" s="116" t="s">
        <v>2413</v>
      </c>
      <c r="D265" s="116"/>
      <c r="E265" s="116" t="s">
        <v>499</v>
      </c>
      <c r="F265" s="116" t="s">
        <v>445</v>
      </c>
      <c r="G265" s="116" t="s">
        <v>499</v>
      </c>
      <c r="H265" s="117">
        <v>6.11</v>
      </c>
      <c r="I265" s="116" t="s">
        <v>221</v>
      </c>
      <c r="J265" s="117" t="s">
        <v>257</v>
      </c>
      <c r="K265" s="116">
        <v>7.4999999999999997E-2</v>
      </c>
      <c r="L265" s="116">
        <v>6.4899999999999999E-2</v>
      </c>
      <c r="M265" s="111">
        <v>3075.4286433203679</v>
      </c>
      <c r="N265" s="61">
        <v>102.94</v>
      </c>
      <c r="O265" s="85">
        <v>3.1658462449715365</v>
      </c>
      <c r="P265" s="25">
        <v>5.6380432233699061E-5</v>
      </c>
      <c r="Q265" s="25">
        <v>5.4957733924675486E-6</v>
      </c>
      <c r="R265" s="15"/>
    </row>
    <row r="266" spans="1:18" x14ac:dyDescent="0.25">
      <c r="A266" s="17" t="s">
        <v>2895</v>
      </c>
      <c r="B266" s="116" t="s">
        <v>2915</v>
      </c>
      <c r="C266" s="116" t="s">
        <v>2332</v>
      </c>
      <c r="D266" s="116"/>
      <c r="E266" s="116" t="s">
        <v>499</v>
      </c>
      <c r="F266" s="116" t="s">
        <v>2333</v>
      </c>
      <c r="G266" s="116" t="s">
        <v>499</v>
      </c>
      <c r="H266" s="117">
        <v>5.99</v>
      </c>
      <c r="I266" s="116" t="s">
        <v>221</v>
      </c>
      <c r="J266" s="117" t="s">
        <v>257</v>
      </c>
      <c r="K266" s="116">
        <v>7.4999999999999997E-2</v>
      </c>
      <c r="L266" s="116">
        <v>8.7100000000000011E-2</v>
      </c>
      <c r="M266" s="111">
        <v>1101.7791463713027</v>
      </c>
      <c r="N266" s="61">
        <v>97.66</v>
      </c>
      <c r="O266" s="85">
        <v>1.0759975140069591</v>
      </c>
      <c r="P266" s="25">
        <v>1.9162397737557669E-5</v>
      </c>
      <c r="Q266" s="25">
        <v>1.8678855668474957E-6</v>
      </c>
      <c r="R266" s="15"/>
    </row>
    <row r="267" spans="1:18" x14ac:dyDescent="0.25">
      <c r="A267" s="17" t="s">
        <v>2895</v>
      </c>
      <c r="B267" s="116" t="s">
        <v>2915</v>
      </c>
      <c r="C267" s="116" t="s">
        <v>2414</v>
      </c>
      <c r="D267" s="116"/>
      <c r="E267" s="116" t="s">
        <v>499</v>
      </c>
      <c r="F267" s="116" t="s">
        <v>445</v>
      </c>
      <c r="G267" s="116" t="s">
        <v>499</v>
      </c>
      <c r="H267" s="117">
        <v>5.89</v>
      </c>
      <c r="I267" s="116" t="s">
        <v>221</v>
      </c>
      <c r="J267" s="117" t="s">
        <v>257</v>
      </c>
      <c r="K267" s="116">
        <v>7.4999999999999997E-2</v>
      </c>
      <c r="L267" s="116">
        <v>6.480000000000001E-2</v>
      </c>
      <c r="M267" s="111">
        <v>3471.885451775187</v>
      </c>
      <c r="N267" s="61">
        <v>102.91</v>
      </c>
      <c r="O267" s="85">
        <v>3.5729173175332156</v>
      </c>
      <c r="P267" s="25">
        <v>6.3629945079535095E-5</v>
      </c>
      <c r="Q267" s="25">
        <v>6.2024313272870636E-6</v>
      </c>
      <c r="R267" s="15"/>
    </row>
    <row r="268" spans="1:18" x14ac:dyDescent="0.25">
      <c r="A268" s="17" t="s">
        <v>2895</v>
      </c>
      <c r="B268" s="116" t="s">
        <v>2915</v>
      </c>
      <c r="C268" s="116" t="s">
        <v>2410</v>
      </c>
      <c r="D268" s="116"/>
      <c r="E268" s="116" t="s">
        <v>499</v>
      </c>
      <c r="F268" s="116" t="s">
        <v>2411</v>
      </c>
      <c r="G268" s="116" t="s">
        <v>499</v>
      </c>
      <c r="H268" s="117">
        <v>5.78</v>
      </c>
      <c r="I268" s="116" t="s">
        <v>221</v>
      </c>
      <c r="J268" s="117" t="s">
        <v>257</v>
      </c>
      <c r="K268" s="116">
        <v>7.4999999999999997E-2</v>
      </c>
      <c r="L268" s="116">
        <v>6.9500000000000006E-2</v>
      </c>
      <c r="M268" s="111">
        <v>1818.5794056984694</v>
      </c>
      <c r="N268" s="61">
        <v>100.31</v>
      </c>
      <c r="O268" s="85">
        <v>1.8242170018492556</v>
      </c>
      <c r="P268" s="25">
        <v>3.248740939825659E-5</v>
      </c>
      <c r="Q268" s="25">
        <v>3.1667625289048746E-6</v>
      </c>
      <c r="R268" s="15"/>
    </row>
    <row r="269" spans="1:18" x14ac:dyDescent="0.25">
      <c r="A269" s="17" t="s">
        <v>2895</v>
      </c>
      <c r="B269" s="116" t="s">
        <v>2915</v>
      </c>
      <c r="C269" s="116" t="s">
        <v>2357</v>
      </c>
      <c r="D269" s="116"/>
      <c r="E269" s="116" t="s">
        <v>499</v>
      </c>
      <c r="F269" s="116" t="s">
        <v>2358</v>
      </c>
      <c r="G269" s="116" t="s">
        <v>499</v>
      </c>
      <c r="H269" s="117">
        <v>6.09</v>
      </c>
      <c r="I269" s="116" t="s">
        <v>221</v>
      </c>
      <c r="J269" s="117" t="s">
        <v>257</v>
      </c>
      <c r="K269" s="116">
        <v>7.4999999999999997E-2</v>
      </c>
      <c r="L269" s="116">
        <v>8.3900000000000002E-2</v>
      </c>
      <c r="M269" s="111">
        <v>1584.3656637688362</v>
      </c>
      <c r="N269" s="61">
        <v>95.33</v>
      </c>
      <c r="O269" s="85">
        <v>1.5103757862386833</v>
      </c>
      <c r="P269" s="25">
        <v>2.6898223436689875E-5</v>
      </c>
      <c r="Q269" s="25">
        <v>2.6219476299021715E-6</v>
      </c>
      <c r="R269" s="15"/>
    </row>
    <row r="270" spans="1:18" x14ac:dyDescent="0.25">
      <c r="A270" s="17" t="s">
        <v>2895</v>
      </c>
      <c r="B270" s="116" t="s">
        <v>2915</v>
      </c>
      <c r="C270" s="116" t="s">
        <v>2341</v>
      </c>
      <c r="D270" s="116"/>
      <c r="E270" s="116" t="s">
        <v>499</v>
      </c>
      <c r="F270" s="116" t="s">
        <v>928</v>
      </c>
      <c r="G270" s="116" t="s">
        <v>499</v>
      </c>
      <c r="H270" s="117">
        <v>5.75</v>
      </c>
      <c r="I270" s="116" t="s">
        <v>221</v>
      </c>
      <c r="J270" s="117" t="s">
        <v>257</v>
      </c>
      <c r="K270" s="116">
        <v>7.4999999999999997E-2</v>
      </c>
      <c r="L270" s="116">
        <v>8.72E-2</v>
      </c>
      <c r="M270" s="111">
        <v>1230.3733565913292</v>
      </c>
      <c r="N270" s="61">
        <v>91.16</v>
      </c>
      <c r="O270" s="85">
        <v>1.121608350796172</v>
      </c>
      <c r="P270" s="25">
        <v>1.9974679350033658E-5</v>
      </c>
      <c r="Q270" s="25">
        <v>1.9470640246239854E-6</v>
      </c>
      <c r="R270" s="15"/>
    </row>
    <row r="271" spans="1:18" x14ac:dyDescent="0.25">
      <c r="A271" s="17" t="s">
        <v>2895</v>
      </c>
      <c r="B271" s="116" t="s">
        <v>2915</v>
      </c>
      <c r="C271" s="116" t="s">
        <v>2412</v>
      </c>
      <c r="D271" s="116"/>
      <c r="E271" s="116" t="s">
        <v>499</v>
      </c>
      <c r="F271" s="116" t="s">
        <v>2411</v>
      </c>
      <c r="G271" s="116" t="s">
        <v>499</v>
      </c>
      <c r="H271" s="117">
        <v>5.98</v>
      </c>
      <c r="I271" s="116" t="s">
        <v>221</v>
      </c>
      <c r="J271" s="117" t="s">
        <v>257</v>
      </c>
      <c r="K271" s="116">
        <v>7.4999999999999997E-2</v>
      </c>
      <c r="L271" s="116">
        <v>6.8000000000000005E-2</v>
      </c>
      <c r="M271" s="111">
        <v>1592.5809711808158</v>
      </c>
      <c r="N271" s="61">
        <v>105.16</v>
      </c>
      <c r="O271" s="85">
        <v>1.67475814804116</v>
      </c>
      <c r="P271" s="25">
        <v>2.9825702503224033E-5</v>
      </c>
      <c r="Q271" s="25">
        <v>2.9073083645303777E-6</v>
      </c>
      <c r="R271" s="15"/>
    </row>
    <row r="272" spans="1:18" x14ac:dyDescent="0.25">
      <c r="A272" s="17" t="s">
        <v>2895</v>
      </c>
      <c r="B272" s="116" t="s">
        <v>2915</v>
      </c>
      <c r="C272" s="116" t="s">
        <v>2363</v>
      </c>
      <c r="D272" s="116"/>
      <c r="E272" s="116" t="s">
        <v>499</v>
      </c>
      <c r="F272" s="116" t="s">
        <v>968</v>
      </c>
      <c r="G272" s="116" t="s">
        <v>499</v>
      </c>
      <c r="H272" s="117">
        <v>6.02</v>
      </c>
      <c r="I272" s="116" t="s">
        <v>221</v>
      </c>
      <c r="J272" s="117" t="s">
        <v>257</v>
      </c>
      <c r="K272" s="116">
        <v>7.4999999999999997E-2</v>
      </c>
      <c r="L272" s="116">
        <v>7.6600000000000001E-2</v>
      </c>
      <c r="M272" s="111">
        <v>1086.1451664416634</v>
      </c>
      <c r="N272" s="61">
        <v>101.02</v>
      </c>
      <c r="O272" s="85">
        <v>1.097223845661655</v>
      </c>
      <c r="P272" s="25">
        <v>1.9540416649666384E-5</v>
      </c>
      <c r="Q272" s="25">
        <v>1.9047335688352291E-6</v>
      </c>
      <c r="R272" s="15"/>
    </row>
    <row r="273" spans="1:18" x14ac:dyDescent="0.25">
      <c r="A273" s="17" t="s">
        <v>2895</v>
      </c>
      <c r="B273" s="116" t="s">
        <v>2915</v>
      </c>
      <c r="C273" s="116" t="s">
        <v>2420</v>
      </c>
      <c r="D273" s="116"/>
      <c r="E273" s="116" t="s">
        <v>499</v>
      </c>
      <c r="F273" s="116" t="s">
        <v>470</v>
      </c>
      <c r="G273" s="116" t="s">
        <v>499</v>
      </c>
      <c r="H273" s="117">
        <v>5.98</v>
      </c>
      <c r="I273" s="116" t="s">
        <v>221</v>
      </c>
      <c r="J273" s="117" t="s">
        <v>257</v>
      </c>
      <c r="K273" s="116">
        <v>7.4999999999999997E-2</v>
      </c>
      <c r="L273" s="116">
        <v>6.8099999999999994E-2</v>
      </c>
      <c r="M273" s="111">
        <v>722.28472326455255</v>
      </c>
      <c r="N273" s="61">
        <v>104.39</v>
      </c>
      <c r="O273" s="85">
        <v>0.75399302207399643</v>
      </c>
      <c r="P273" s="25">
        <v>1.3427832306526661E-5</v>
      </c>
      <c r="Q273" s="25">
        <v>1.3088995700287784E-6</v>
      </c>
      <c r="R273" s="15"/>
    </row>
    <row r="274" spans="1:18" x14ac:dyDescent="0.25">
      <c r="A274" s="17" t="s">
        <v>2895</v>
      </c>
      <c r="B274" s="116" t="s">
        <v>2915</v>
      </c>
      <c r="C274" s="116" t="s">
        <v>2370</v>
      </c>
      <c r="D274" s="116"/>
      <c r="E274" s="116" t="s">
        <v>499</v>
      </c>
      <c r="F274" s="116" t="s">
        <v>2245</v>
      </c>
      <c r="G274" s="116" t="s">
        <v>499</v>
      </c>
      <c r="H274" s="117">
        <v>6.53</v>
      </c>
      <c r="I274" s="116" t="s">
        <v>221</v>
      </c>
      <c r="J274" s="117" t="s">
        <v>257</v>
      </c>
      <c r="K274" s="116">
        <v>7.4999999999999997E-2</v>
      </c>
      <c r="L274" s="116">
        <v>8.1300000000000011E-2</v>
      </c>
      <c r="M274" s="111">
        <v>1297.7259065712717</v>
      </c>
      <c r="N274" s="61">
        <v>96.18</v>
      </c>
      <c r="O274" s="85">
        <v>1.2481527759099771</v>
      </c>
      <c r="P274" s="25">
        <v>2.2228304078655127E-5</v>
      </c>
      <c r="Q274" s="25">
        <v>2.166739722902189E-6</v>
      </c>
      <c r="R274" s="15"/>
    </row>
    <row r="275" spans="1:18" x14ac:dyDescent="0.25">
      <c r="A275" s="17" t="s">
        <v>2895</v>
      </c>
      <c r="B275" s="116" t="s">
        <v>2915</v>
      </c>
      <c r="C275" s="116" t="s">
        <v>2428</v>
      </c>
      <c r="D275" s="116"/>
      <c r="E275" s="116" t="s">
        <v>499</v>
      </c>
      <c r="F275" s="116" t="s">
        <v>2427</v>
      </c>
      <c r="G275" s="116" t="s">
        <v>499</v>
      </c>
      <c r="H275" s="117">
        <v>5.86</v>
      </c>
      <c r="I275" s="116" t="s">
        <v>221</v>
      </c>
      <c r="J275" s="117" t="s">
        <v>257</v>
      </c>
      <c r="K275" s="116">
        <v>7.4999999999999997E-2</v>
      </c>
      <c r="L275" s="116">
        <v>8.1099999999999992E-2</v>
      </c>
      <c r="M275" s="111">
        <v>722.28472482793984</v>
      </c>
      <c r="N275" s="61">
        <v>101.89</v>
      </c>
      <c r="O275" s="85">
        <v>0.73593590610295545</v>
      </c>
      <c r="P275" s="25">
        <v>1.3106253832853668E-5</v>
      </c>
      <c r="Q275" s="25">
        <v>1.277553190634652E-6</v>
      </c>
      <c r="R275" s="15"/>
    </row>
    <row r="276" spans="1:18" x14ac:dyDescent="0.25">
      <c r="A276" s="17" t="s">
        <v>2895</v>
      </c>
      <c r="B276" s="116" t="s">
        <v>2915</v>
      </c>
      <c r="C276" s="116" t="s">
        <v>2377</v>
      </c>
      <c r="D276" s="116"/>
      <c r="E276" s="116" t="s">
        <v>499</v>
      </c>
      <c r="F276" s="116" t="s">
        <v>2378</v>
      </c>
      <c r="G276" s="116" t="s">
        <v>499</v>
      </c>
      <c r="H276" s="117">
        <v>6.53</v>
      </c>
      <c r="I276" s="116" t="s">
        <v>221</v>
      </c>
      <c r="J276" s="117" t="s">
        <v>257</v>
      </c>
      <c r="K276" s="116">
        <v>7.4999999999999997E-2</v>
      </c>
      <c r="L276" s="116">
        <v>8.1099999999999992E-2</v>
      </c>
      <c r="M276" s="111">
        <v>1293.1414721410476</v>
      </c>
      <c r="N276" s="61">
        <v>95.97</v>
      </c>
      <c r="O276" s="85">
        <v>1.2410278701017969</v>
      </c>
      <c r="P276" s="25">
        <v>2.2101416909157358E-5</v>
      </c>
      <c r="Q276" s="25">
        <v>2.1543711917940759E-6</v>
      </c>
      <c r="R276" s="15"/>
    </row>
    <row r="277" spans="1:18" x14ac:dyDescent="0.25">
      <c r="A277" s="17" t="s">
        <v>2895</v>
      </c>
      <c r="B277" s="116" t="s">
        <v>2915</v>
      </c>
      <c r="C277" s="116" t="s">
        <v>2423</v>
      </c>
      <c r="D277" s="116"/>
      <c r="E277" s="116" t="s">
        <v>499</v>
      </c>
      <c r="F277" s="116" t="s">
        <v>2424</v>
      </c>
      <c r="G277" s="116" t="s">
        <v>499</v>
      </c>
      <c r="H277" s="117">
        <v>4.49</v>
      </c>
      <c r="I277" s="116" t="s">
        <v>221</v>
      </c>
      <c r="J277" s="117" t="s">
        <v>257</v>
      </c>
      <c r="K277" s="116">
        <v>7.4999999999999997E-2</v>
      </c>
      <c r="L277" s="116">
        <v>9.2699999999999991E-2</v>
      </c>
      <c r="M277" s="111">
        <v>12251.59025639036</v>
      </c>
      <c r="N277" s="61">
        <v>91.43</v>
      </c>
      <c r="O277" s="85">
        <v>11.201628970790788</v>
      </c>
      <c r="P277" s="25">
        <v>1.9948937321192877E-4</v>
      </c>
      <c r="Q277" s="25">
        <v>1.9445547789235465E-5</v>
      </c>
      <c r="R277" s="15"/>
    </row>
    <row r="278" spans="1:18" x14ac:dyDescent="0.25">
      <c r="A278" s="17" t="s">
        <v>2896</v>
      </c>
      <c r="B278" s="116" t="s">
        <v>2915</v>
      </c>
      <c r="C278" s="116" t="s">
        <v>2702</v>
      </c>
      <c r="D278" s="116"/>
      <c r="E278" s="116" t="s">
        <v>499</v>
      </c>
      <c r="F278" s="116" t="s">
        <v>2703</v>
      </c>
      <c r="G278" s="116" t="s">
        <v>499</v>
      </c>
      <c r="H278" s="117">
        <v>5.19</v>
      </c>
      <c r="I278" s="116" t="s">
        <v>221</v>
      </c>
      <c r="J278" s="117" t="s">
        <v>257</v>
      </c>
      <c r="K278" s="116">
        <v>0.05</v>
      </c>
      <c r="L278" s="116">
        <v>6.5199999999999994E-2</v>
      </c>
      <c r="M278" s="111">
        <v>123285.8150699854</v>
      </c>
      <c r="N278" s="61">
        <v>96.87</v>
      </c>
      <c r="O278" s="85">
        <v>119.42696422077212</v>
      </c>
      <c r="P278" s="25">
        <v>2.1268701453270302E-3</v>
      </c>
      <c r="Q278" s="25">
        <v>2.0732009122369568E-4</v>
      </c>
      <c r="R278" s="15"/>
    </row>
    <row r="279" spans="1:18" x14ac:dyDescent="0.25">
      <c r="A279" s="17" t="s">
        <v>2896</v>
      </c>
      <c r="B279" s="116" t="s">
        <v>2915</v>
      </c>
      <c r="C279" s="116" t="s">
        <v>2704</v>
      </c>
      <c r="D279" s="116"/>
      <c r="E279" s="116" t="s">
        <v>499</v>
      </c>
      <c r="F279" s="116" t="s">
        <v>2643</v>
      </c>
      <c r="G279" s="116" t="s">
        <v>499</v>
      </c>
      <c r="H279" s="117">
        <v>5.19</v>
      </c>
      <c r="I279" s="116" t="s">
        <v>221</v>
      </c>
      <c r="J279" s="117" t="s">
        <v>257</v>
      </c>
      <c r="K279" s="116">
        <v>0.05</v>
      </c>
      <c r="L279" s="116">
        <v>6.1699999999999998E-2</v>
      </c>
      <c r="M279" s="111">
        <v>89038.917715776799</v>
      </c>
      <c r="N279" s="61">
        <v>97.64</v>
      </c>
      <c r="O279" s="85">
        <v>86.937591545116021</v>
      </c>
      <c r="P279" s="25">
        <v>1.5482681752014434E-3</v>
      </c>
      <c r="Q279" s="25">
        <v>1.5091993275976549E-4</v>
      </c>
      <c r="R279" s="15"/>
    </row>
    <row r="280" spans="1:18" x14ac:dyDescent="0.25">
      <c r="A280" s="17" t="s">
        <v>2896</v>
      </c>
      <c r="B280" s="116" t="s">
        <v>2915</v>
      </c>
      <c r="C280" s="116" t="s">
        <v>2705</v>
      </c>
      <c r="D280" s="116"/>
      <c r="E280" s="116" t="s">
        <v>499</v>
      </c>
      <c r="F280" s="116" t="s">
        <v>2424</v>
      </c>
      <c r="G280" s="116" t="s">
        <v>499</v>
      </c>
      <c r="H280" s="117">
        <v>5.19</v>
      </c>
      <c r="I280" s="116" t="s">
        <v>202</v>
      </c>
      <c r="J280" s="117" t="s">
        <v>257</v>
      </c>
      <c r="K280" s="116">
        <v>0.05</v>
      </c>
      <c r="L280" s="116">
        <v>4.3299999999999998E-2</v>
      </c>
      <c r="M280" s="111">
        <v>42129.417891325465</v>
      </c>
      <c r="N280" s="61">
        <v>106.08</v>
      </c>
      <c r="O280" s="85">
        <v>44.690878962910439</v>
      </c>
      <c r="P280" s="25">
        <v>7.9589811944751369E-4</v>
      </c>
      <c r="Q280" s="25">
        <v>7.7581450419604678E-5</v>
      </c>
      <c r="R280" s="15"/>
    </row>
    <row r="281" spans="1:18" x14ac:dyDescent="0.25">
      <c r="A281" s="17" t="s">
        <v>2896</v>
      </c>
      <c r="B281" s="116" t="s">
        <v>2915</v>
      </c>
      <c r="C281" s="116" t="s">
        <v>2642</v>
      </c>
      <c r="D281" s="116"/>
      <c r="E281" s="116" t="s">
        <v>499</v>
      </c>
      <c r="F281" s="116" t="s">
        <v>2643</v>
      </c>
      <c r="G281" s="116" t="s">
        <v>499</v>
      </c>
      <c r="H281" s="117">
        <v>5.21</v>
      </c>
      <c r="I281" s="116" t="s">
        <v>221</v>
      </c>
      <c r="J281" s="117" t="s">
        <v>257</v>
      </c>
      <c r="K281" s="116">
        <v>0.04</v>
      </c>
      <c r="L281" s="116">
        <v>4.5999999999999999E-2</v>
      </c>
      <c r="M281" s="111">
        <v>17727.60113054411</v>
      </c>
      <c r="N281" s="61">
        <v>100.97</v>
      </c>
      <c r="O281" s="85">
        <v>17.89955234561441</v>
      </c>
      <c r="P281" s="25">
        <v>3.187724292164845E-4</v>
      </c>
      <c r="Q281" s="25">
        <v>3.1072855693594246E-5</v>
      </c>
      <c r="R281" s="15"/>
    </row>
    <row r="282" spans="1:18" x14ac:dyDescent="0.25">
      <c r="A282" s="17" t="s">
        <v>2896</v>
      </c>
      <c r="B282" s="116" t="s">
        <v>2915</v>
      </c>
      <c r="C282" s="116" t="s">
        <v>2644</v>
      </c>
      <c r="D282" s="116"/>
      <c r="E282" s="116" t="s">
        <v>499</v>
      </c>
      <c r="F282" s="116" t="s">
        <v>2424</v>
      </c>
      <c r="G282" s="116" t="s">
        <v>499</v>
      </c>
      <c r="H282" s="117">
        <v>5.19</v>
      </c>
      <c r="I282" s="116" t="s">
        <v>202</v>
      </c>
      <c r="J282" s="117" t="s">
        <v>257</v>
      </c>
      <c r="K282" s="116">
        <v>0.04</v>
      </c>
      <c r="L282" s="116">
        <v>4.2999999999999997E-2</v>
      </c>
      <c r="M282" s="111">
        <v>18723.150310857105</v>
      </c>
      <c r="N282" s="61">
        <v>106.52</v>
      </c>
      <c r="O282" s="85">
        <v>19.943899189833004</v>
      </c>
      <c r="P282" s="25">
        <v>3.5518012238721817E-4</v>
      </c>
      <c r="Q282" s="25">
        <v>3.4621754194043236E-5</v>
      </c>
      <c r="R282" s="15"/>
    </row>
    <row r="283" spans="1:18" x14ac:dyDescent="0.25">
      <c r="A283" s="17" t="s">
        <v>2896</v>
      </c>
      <c r="B283" s="116" t="s">
        <v>2915</v>
      </c>
      <c r="C283" s="116" t="s">
        <v>2698</v>
      </c>
      <c r="D283" s="116"/>
      <c r="E283" s="116" t="s">
        <v>499</v>
      </c>
      <c r="F283" s="116" t="s">
        <v>2374</v>
      </c>
      <c r="G283" s="116" t="s">
        <v>499</v>
      </c>
      <c r="H283" s="117">
        <v>1.32</v>
      </c>
      <c r="I283" s="116" t="s">
        <v>221</v>
      </c>
      <c r="J283" s="117" t="s">
        <v>257</v>
      </c>
      <c r="K283" s="116">
        <v>6.5000000000000002E-2</v>
      </c>
      <c r="L283" s="116">
        <v>7.5399999999999995E-2</v>
      </c>
      <c r="M283" s="111">
        <v>249.07849783282805</v>
      </c>
      <c r="N283" s="61">
        <v>103.89</v>
      </c>
      <c r="O283" s="85">
        <v>0.25876765101158672</v>
      </c>
      <c r="P283" s="25">
        <v>4.6083829987970328E-6</v>
      </c>
      <c r="Q283" s="25">
        <v>4.4920955132285417E-7</v>
      </c>
      <c r="R283" s="15"/>
    </row>
    <row r="284" spans="1:18" x14ac:dyDescent="0.25">
      <c r="A284" s="17" t="s">
        <v>2896</v>
      </c>
      <c r="B284" s="116" t="s">
        <v>2915</v>
      </c>
      <c r="C284" s="116" t="s">
        <v>2701</v>
      </c>
      <c r="D284" s="116"/>
      <c r="E284" s="116" t="s">
        <v>499</v>
      </c>
      <c r="F284" s="116" t="s">
        <v>2700</v>
      </c>
      <c r="G284" s="116" t="s">
        <v>499</v>
      </c>
      <c r="H284" s="117">
        <v>1.33</v>
      </c>
      <c r="I284" s="116" t="s">
        <v>221</v>
      </c>
      <c r="J284" s="117" t="s">
        <v>257</v>
      </c>
      <c r="K284" s="116">
        <v>6.5000000000000002E-2</v>
      </c>
      <c r="L284" s="116">
        <v>6.5599999999999992E-2</v>
      </c>
      <c r="M284" s="111">
        <v>475.99464376693868</v>
      </c>
      <c r="N284" s="61">
        <v>103.88</v>
      </c>
      <c r="O284" s="85">
        <v>0.49446323543355564</v>
      </c>
      <c r="P284" s="25">
        <v>8.8058764640567097E-6</v>
      </c>
      <c r="Q284" s="25">
        <v>8.5836698391951895E-7</v>
      </c>
      <c r="R284" s="15"/>
    </row>
    <row r="285" spans="1:18" x14ac:dyDescent="0.25">
      <c r="A285" s="17" t="s">
        <v>2896</v>
      </c>
      <c r="B285" s="116" t="s">
        <v>2915</v>
      </c>
      <c r="C285" s="116" t="s">
        <v>2679</v>
      </c>
      <c r="D285" s="116"/>
      <c r="E285" s="116" t="s">
        <v>499</v>
      </c>
      <c r="F285" s="116" t="s">
        <v>2676</v>
      </c>
      <c r="G285" s="116" t="s">
        <v>499</v>
      </c>
      <c r="H285" s="117">
        <v>1.39</v>
      </c>
      <c r="I285" s="116" t="s">
        <v>221</v>
      </c>
      <c r="J285" s="117" t="s">
        <v>257</v>
      </c>
      <c r="K285" s="116">
        <v>6.5000000000000002E-2</v>
      </c>
      <c r="L285" s="116">
        <v>7.5199999999999989E-2</v>
      </c>
      <c r="M285" s="111">
        <v>81.899578701344907</v>
      </c>
      <c r="N285" s="61">
        <v>109.66</v>
      </c>
      <c r="O285" s="85">
        <v>8.981107776782335E-2</v>
      </c>
      <c r="P285" s="25">
        <v>1.5994419792076057E-6</v>
      </c>
      <c r="Q285" s="25">
        <v>1.5590818168419138E-7</v>
      </c>
      <c r="R285" s="15"/>
    </row>
    <row r="286" spans="1:18" x14ac:dyDescent="0.25">
      <c r="A286" s="17" t="s">
        <v>2896</v>
      </c>
      <c r="B286" s="116" t="s">
        <v>2915</v>
      </c>
      <c r="C286" s="116" t="s">
        <v>2680</v>
      </c>
      <c r="D286" s="116"/>
      <c r="E286" s="116" t="s">
        <v>499</v>
      </c>
      <c r="F286" s="116" t="s">
        <v>2681</v>
      </c>
      <c r="G286" s="116" t="s">
        <v>499</v>
      </c>
      <c r="H286" s="117">
        <v>1.39</v>
      </c>
      <c r="I286" s="116" t="s">
        <v>221</v>
      </c>
      <c r="J286" s="117" t="s">
        <v>257</v>
      </c>
      <c r="K286" s="116">
        <v>6.5000000000000002E-2</v>
      </c>
      <c r="L286" s="116">
        <v>7.5300000000000006E-2</v>
      </c>
      <c r="M286" s="111">
        <v>259.02063207564686</v>
      </c>
      <c r="N286" s="61">
        <v>109.79</v>
      </c>
      <c r="O286" s="85">
        <v>0.28437875066293145</v>
      </c>
      <c r="P286" s="25">
        <v>5.0644900730482447E-6</v>
      </c>
      <c r="Q286" s="25">
        <v>4.936693226207369E-7</v>
      </c>
      <c r="R286" s="15"/>
    </row>
    <row r="287" spans="1:18" x14ac:dyDescent="0.25">
      <c r="A287" s="17" t="s">
        <v>2896</v>
      </c>
      <c r="B287" s="116" t="s">
        <v>2915</v>
      </c>
      <c r="C287" s="116" t="s">
        <v>2685</v>
      </c>
      <c r="D287" s="116"/>
      <c r="E287" s="116" t="s">
        <v>499</v>
      </c>
      <c r="F287" s="116" t="s">
        <v>2684</v>
      </c>
      <c r="G287" s="116" t="s">
        <v>499</v>
      </c>
      <c r="H287" s="117">
        <v>1.39</v>
      </c>
      <c r="I287" s="116" t="s">
        <v>221</v>
      </c>
      <c r="J287" s="117" t="s">
        <v>257</v>
      </c>
      <c r="K287" s="116">
        <v>6.5000000000000002E-2</v>
      </c>
      <c r="L287" s="116">
        <v>7.5300000000000006E-2</v>
      </c>
      <c r="M287" s="111">
        <v>287.35243507216984</v>
      </c>
      <c r="N287" s="61">
        <v>109.82</v>
      </c>
      <c r="O287" s="85">
        <v>0.31557044380415944</v>
      </c>
      <c r="P287" s="25">
        <v>5.6199817189854436E-6</v>
      </c>
      <c r="Q287" s="25">
        <v>5.4781676503170424E-7</v>
      </c>
      <c r="R287" s="15"/>
    </row>
    <row r="288" spans="1:18" x14ac:dyDescent="0.25">
      <c r="A288" s="17" t="s">
        <v>2896</v>
      </c>
      <c r="B288" s="116" t="s">
        <v>2915</v>
      </c>
      <c r="C288" s="116" t="s">
        <v>2687</v>
      </c>
      <c r="D288" s="116"/>
      <c r="E288" s="116" t="s">
        <v>499</v>
      </c>
      <c r="F288" s="116" t="s">
        <v>2311</v>
      </c>
      <c r="G288" s="116" t="s">
        <v>499</v>
      </c>
      <c r="H288" s="117">
        <v>1.39</v>
      </c>
      <c r="I288" s="116" t="s">
        <v>221</v>
      </c>
      <c r="J288" s="117" t="s">
        <v>257</v>
      </c>
      <c r="K288" s="116">
        <v>6.5000000000000002E-2</v>
      </c>
      <c r="L288" s="116">
        <v>7.5300000000000006E-2</v>
      </c>
      <c r="M288" s="111">
        <v>617.68102271581313</v>
      </c>
      <c r="N288" s="61">
        <v>108.55</v>
      </c>
      <c r="O288" s="85">
        <v>0.67049274905817235</v>
      </c>
      <c r="P288" s="25">
        <v>1.1940779202876527E-5</v>
      </c>
      <c r="Q288" s="25">
        <v>1.1639466749117042E-6</v>
      </c>
      <c r="R288" s="15"/>
    </row>
    <row r="289" spans="1:18" x14ac:dyDescent="0.25">
      <c r="A289" s="17" t="s">
        <v>2896</v>
      </c>
      <c r="B289" s="116" t="s">
        <v>2915</v>
      </c>
      <c r="C289" s="116" t="s">
        <v>2690</v>
      </c>
      <c r="D289" s="116"/>
      <c r="E289" s="116" t="s">
        <v>499</v>
      </c>
      <c r="F289" s="116" t="s">
        <v>2689</v>
      </c>
      <c r="G289" s="116" t="s">
        <v>499</v>
      </c>
      <c r="H289" s="117">
        <v>1.39</v>
      </c>
      <c r="I289" s="116" t="s">
        <v>221</v>
      </c>
      <c r="J289" s="117" t="s">
        <v>257</v>
      </c>
      <c r="K289" s="116">
        <v>6.5000000000000002E-2</v>
      </c>
      <c r="L289" s="116">
        <v>7.5399999999999995E-2</v>
      </c>
      <c r="M289" s="111">
        <v>378.62550500497952</v>
      </c>
      <c r="N289" s="61">
        <v>107.7</v>
      </c>
      <c r="O289" s="85">
        <v>0.40777966843229047</v>
      </c>
      <c r="P289" s="25">
        <v>7.2621322020437315E-6</v>
      </c>
      <c r="Q289" s="25">
        <v>7.0788802688033575E-7</v>
      </c>
      <c r="R289" s="15"/>
    </row>
    <row r="290" spans="1:18" x14ac:dyDescent="0.25">
      <c r="A290" s="17" t="s">
        <v>2896</v>
      </c>
      <c r="B290" s="116" t="s">
        <v>2915</v>
      </c>
      <c r="C290" s="116" t="s">
        <v>2693</v>
      </c>
      <c r="D290" s="116"/>
      <c r="E290" s="116" t="s">
        <v>499</v>
      </c>
      <c r="F290" s="116" t="s">
        <v>2692</v>
      </c>
      <c r="G290" s="116" t="s">
        <v>499</v>
      </c>
      <c r="H290" s="117">
        <v>1.39</v>
      </c>
      <c r="I290" s="116" t="s">
        <v>221</v>
      </c>
      <c r="J290" s="117" t="s">
        <v>257</v>
      </c>
      <c r="K290" s="116">
        <v>6.5000000000000002E-2</v>
      </c>
      <c r="L290" s="116">
        <v>7.5399999999999995E-2</v>
      </c>
      <c r="M290" s="111">
        <v>205.13806992036615</v>
      </c>
      <c r="N290" s="61">
        <v>107.64</v>
      </c>
      <c r="O290" s="85">
        <v>0.22081061704898008</v>
      </c>
      <c r="P290" s="25">
        <v>3.932407662180456E-6</v>
      </c>
      <c r="Q290" s="25">
        <v>3.8331776720983385E-7</v>
      </c>
      <c r="R290" s="15"/>
    </row>
    <row r="291" spans="1:18" x14ac:dyDescent="0.25">
      <c r="A291" s="17" t="s">
        <v>2896</v>
      </c>
      <c r="B291" s="116" t="s">
        <v>2915</v>
      </c>
      <c r="C291" s="116" t="s">
        <v>2696</v>
      </c>
      <c r="D291" s="116"/>
      <c r="E291" s="116" t="s">
        <v>499</v>
      </c>
      <c r="F291" s="116" t="s">
        <v>2695</v>
      </c>
      <c r="G291" s="116" t="s">
        <v>499</v>
      </c>
      <c r="H291" s="117">
        <v>1.39</v>
      </c>
      <c r="I291" s="116" t="s">
        <v>221</v>
      </c>
      <c r="J291" s="117" t="s">
        <v>257</v>
      </c>
      <c r="K291" s="116">
        <v>6.5000000000000002E-2</v>
      </c>
      <c r="L291" s="116">
        <v>7.5300000000000006E-2</v>
      </c>
      <c r="M291" s="111">
        <v>394.05094784203914</v>
      </c>
      <c r="N291" s="61">
        <v>106.56</v>
      </c>
      <c r="O291" s="85">
        <v>0.41990068916999429</v>
      </c>
      <c r="P291" s="25">
        <v>7.4779949873545561E-6</v>
      </c>
      <c r="Q291" s="25">
        <v>7.2892959937161731E-7</v>
      </c>
      <c r="R291" s="15"/>
    </row>
    <row r="292" spans="1:18" x14ac:dyDescent="0.25">
      <c r="A292" s="17" t="s">
        <v>2896</v>
      </c>
      <c r="B292" s="116" t="s">
        <v>2915</v>
      </c>
      <c r="C292" s="116" t="s">
        <v>2675</v>
      </c>
      <c r="D292" s="116"/>
      <c r="E292" s="116" t="s">
        <v>499</v>
      </c>
      <c r="F292" s="116" t="s">
        <v>2676</v>
      </c>
      <c r="G292" s="116" t="s">
        <v>499</v>
      </c>
      <c r="H292" s="117">
        <v>1.32</v>
      </c>
      <c r="I292" s="116" t="s">
        <v>221</v>
      </c>
      <c r="J292" s="117" t="s">
        <v>257</v>
      </c>
      <c r="K292" s="116">
        <v>6.5000000000000002E-2</v>
      </c>
      <c r="L292" s="116">
        <v>7.4900000000000008E-2</v>
      </c>
      <c r="M292" s="111">
        <v>279.9085107243655</v>
      </c>
      <c r="N292" s="61">
        <v>110.84</v>
      </c>
      <c r="O292" s="85">
        <v>0.31025059203242483</v>
      </c>
      <c r="P292" s="25">
        <v>5.5252406863828628E-6</v>
      </c>
      <c r="Q292" s="25">
        <v>5.3858173036588353E-7</v>
      </c>
      <c r="R292" s="15"/>
    </row>
    <row r="293" spans="1:18" x14ac:dyDescent="0.25">
      <c r="A293" s="17" t="s">
        <v>2896</v>
      </c>
      <c r="B293" s="116" t="s">
        <v>2915</v>
      </c>
      <c r="C293" s="116" t="s">
        <v>2697</v>
      </c>
      <c r="D293" s="116"/>
      <c r="E293" s="116" t="s">
        <v>499</v>
      </c>
      <c r="F293" s="116" t="s">
        <v>2374</v>
      </c>
      <c r="G293" s="116" t="s">
        <v>499</v>
      </c>
      <c r="H293" s="117">
        <v>1.32</v>
      </c>
      <c r="I293" s="116" t="s">
        <v>221</v>
      </c>
      <c r="J293" s="117" t="s">
        <v>257</v>
      </c>
      <c r="K293" s="116">
        <v>6.5000000000000002E-2</v>
      </c>
      <c r="L293" s="116">
        <v>7.4999999999999997E-2</v>
      </c>
      <c r="M293" s="111">
        <v>312.36015481183949</v>
      </c>
      <c r="N293" s="61">
        <v>105.16</v>
      </c>
      <c r="O293" s="85">
        <v>0.32847793741934678</v>
      </c>
      <c r="P293" s="25">
        <v>5.8498507690802997E-6</v>
      </c>
      <c r="Q293" s="25">
        <v>5.7022362072991231E-7</v>
      </c>
      <c r="R293" s="15"/>
    </row>
    <row r="294" spans="1:18" x14ac:dyDescent="0.25">
      <c r="A294" s="17" t="s">
        <v>2896</v>
      </c>
      <c r="B294" s="116" t="s">
        <v>2915</v>
      </c>
      <c r="C294" s="116" t="s">
        <v>2699</v>
      </c>
      <c r="D294" s="116"/>
      <c r="E294" s="116" t="s">
        <v>499</v>
      </c>
      <c r="F294" s="116" t="s">
        <v>2700</v>
      </c>
      <c r="G294" s="116" t="s">
        <v>499</v>
      </c>
      <c r="H294" s="117">
        <v>1.32</v>
      </c>
      <c r="I294" s="116" t="s">
        <v>221</v>
      </c>
      <c r="J294" s="117" t="s">
        <v>257</v>
      </c>
      <c r="K294" s="116">
        <v>6.5000000000000002E-2</v>
      </c>
      <c r="L294" s="116">
        <v>7.4900000000000008E-2</v>
      </c>
      <c r="M294" s="111">
        <v>388.1338696506707</v>
      </c>
      <c r="N294" s="61">
        <v>103.89</v>
      </c>
      <c r="O294" s="85">
        <v>0.40323227689851576</v>
      </c>
      <c r="P294" s="25">
        <v>7.1811478836747302E-6</v>
      </c>
      <c r="Q294" s="25">
        <v>6.9999395007981321E-7</v>
      </c>
      <c r="R294" s="15"/>
    </row>
    <row r="295" spans="1:18" x14ac:dyDescent="0.25">
      <c r="A295" s="17" t="s">
        <v>2896</v>
      </c>
      <c r="B295" s="116" t="s">
        <v>2915</v>
      </c>
      <c r="C295" s="116" t="s">
        <v>2677</v>
      </c>
      <c r="D295" s="116"/>
      <c r="E295" s="116" t="s">
        <v>499</v>
      </c>
      <c r="F295" s="116" t="s">
        <v>2676</v>
      </c>
      <c r="G295" s="116" t="s">
        <v>499</v>
      </c>
      <c r="H295" s="117">
        <v>1.32</v>
      </c>
      <c r="I295" s="116" t="s">
        <v>221</v>
      </c>
      <c r="J295" s="117" t="s">
        <v>257</v>
      </c>
      <c r="K295" s="116">
        <v>6.5000000000000002E-2</v>
      </c>
      <c r="L295" s="116">
        <v>7.4900000000000008E-2</v>
      </c>
      <c r="M295" s="111">
        <v>86.602317768190488</v>
      </c>
      <c r="N295" s="61">
        <v>111.17</v>
      </c>
      <c r="O295" s="85">
        <v>9.6275796426825905E-2</v>
      </c>
      <c r="P295" s="25">
        <v>1.7145719015286122E-6</v>
      </c>
      <c r="Q295" s="25">
        <v>1.6713065619708555E-7</v>
      </c>
      <c r="R295" s="15"/>
    </row>
    <row r="296" spans="1:18" x14ac:dyDescent="0.25">
      <c r="A296" s="17" t="s">
        <v>2896</v>
      </c>
      <c r="B296" s="116" t="s">
        <v>2915</v>
      </c>
      <c r="C296" s="116" t="s">
        <v>2678</v>
      </c>
      <c r="D296" s="116"/>
      <c r="E296" s="116" t="s">
        <v>499</v>
      </c>
      <c r="F296" s="116" t="s">
        <v>2676</v>
      </c>
      <c r="G296" s="116" t="s">
        <v>499</v>
      </c>
      <c r="H296" s="117">
        <v>1.32</v>
      </c>
      <c r="I296" s="116" t="s">
        <v>221</v>
      </c>
      <c r="J296" s="117" t="s">
        <v>257</v>
      </c>
      <c r="K296" s="116">
        <v>6.5000000000000002E-2</v>
      </c>
      <c r="L296" s="116">
        <v>7.4900000000000008E-2</v>
      </c>
      <c r="M296" s="111">
        <v>217.9129195114823</v>
      </c>
      <c r="N296" s="61">
        <v>111.06</v>
      </c>
      <c r="O296" s="85">
        <v>0.2420140872925684</v>
      </c>
      <c r="P296" s="25">
        <v>4.3100194363108941E-6</v>
      </c>
      <c r="Q296" s="25">
        <v>4.2012608276772908E-7</v>
      </c>
      <c r="R296" s="15"/>
    </row>
    <row r="297" spans="1:18" x14ac:dyDescent="0.25">
      <c r="A297" s="17" t="s">
        <v>2896</v>
      </c>
      <c r="B297" s="116" t="s">
        <v>2915</v>
      </c>
      <c r="C297" s="116" t="s">
        <v>2682</v>
      </c>
      <c r="D297" s="116"/>
      <c r="E297" s="116" t="s">
        <v>499</v>
      </c>
      <c r="F297" s="116" t="s">
        <v>2681</v>
      </c>
      <c r="G297" s="116" t="s">
        <v>499</v>
      </c>
      <c r="H297" s="117">
        <v>1.32</v>
      </c>
      <c r="I297" s="116" t="s">
        <v>221</v>
      </c>
      <c r="J297" s="117" t="s">
        <v>257</v>
      </c>
      <c r="K297" s="116">
        <v>6.5000000000000002E-2</v>
      </c>
      <c r="L297" s="116">
        <v>7.4900000000000008E-2</v>
      </c>
      <c r="M297" s="111">
        <v>252.01564588307176</v>
      </c>
      <c r="N297" s="61">
        <v>111.06</v>
      </c>
      <c r="O297" s="85">
        <v>0.27988857597410699</v>
      </c>
      <c r="P297" s="25">
        <v>4.98452472723815E-6</v>
      </c>
      <c r="Q297" s="25">
        <v>4.8587457181072261E-7</v>
      </c>
      <c r="R297" s="15"/>
    </row>
    <row r="298" spans="1:18" x14ac:dyDescent="0.25">
      <c r="A298" s="17" t="s">
        <v>2896</v>
      </c>
      <c r="B298" s="116" t="s">
        <v>2915</v>
      </c>
      <c r="C298" s="116" t="s">
        <v>2683</v>
      </c>
      <c r="D298" s="116"/>
      <c r="E298" s="116" t="s">
        <v>499</v>
      </c>
      <c r="F298" s="116" t="s">
        <v>2684</v>
      </c>
      <c r="G298" s="116" t="s">
        <v>499</v>
      </c>
      <c r="H298" s="117">
        <v>1.32</v>
      </c>
      <c r="I298" s="116" t="s">
        <v>221</v>
      </c>
      <c r="J298" s="117" t="s">
        <v>257</v>
      </c>
      <c r="K298" s="116">
        <v>6.5000000000000002E-2</v>
      </c>
      <c r="L298" s="116">
        <v>7.4900000000000008E-2</v>
      </c>
      <c r="M298" s="111">
        <v>344.74162313781602</v>
      </c>
      <c r="N298" s="61">
        <v>110.95</v>
      </c>
      <c r="O298" s="85">
        <v>0.38249082978563448</v>
      </c>
      <c r="P298" s="25">
        <v>6.8117642614492083E-6</v>
      </c>
      <c r="Q298" s="25">
        <v>6.6398768687442168E-7</v>
      </c>
      <c r="R298" s="15"/>
    </row>
    <row r="299" spans="1:18" x14ac:dyDescent="0.25">
      <c r="A299" s="17" t="s">
        <v>2896</v>
      </c>
      <c r="B299" s="116" t="s">
        <v>2915</v>
      </c>
      <c r="C299" s="116" t="s">
        <v>2686</v>
      </c>
      <c r="D299" s="116"/>
      <c r="E299" s="116" t="s">
        <v>499</v>
      </c>
      <c r="F299" s="116" t="s">
        <v>2311</v>
      </c>
      <c r="G299" s="116" t="s">
        <v>499</v>
      </c>
      <c r="H299" s="117">
        <v>1.32</v>
      </c>
      <c r="I299" s="116" t="s">
        <v>221</v>
      </c>
      <c r="J299" s="117" t="s">
        <v>257</v>
      </c>
      <c r="K299" s="116">
        <v>6.5000000000000002E-2</v>
      </c>
      <c r="L299" s="116">
        <v>7.4900000000000008E-2</v>
      </c>
      <c r="M299" s="111">
        <v>191.21954474303271</v>
      </c>
      <c r="N299" s="61">
        <v>109.53</v>
      </c>
      <c r="O299" s="85">
        <v>0.20944276591450633</v>
      </c>
      <c r="P299" s="25">
        <v>3.7299580449420998E-6</v>
      </c>
      <c r="Q299" s="25">
        <v>3.6358366486875991E-7</v>
      </c>
      <c r="R299" s="15"/>
    </row>
    <row r="300" spans="1:18" x14ac:dyDescent="0.25">
      <c r="A300" s="17" t="s">
        <v>2896</v>
      </c>
      <c r="B300" s="116" t="s">
        <v>2915</v>
      </c>
      <c r="C300" s="116" t="s">
        <v>2688</v>
      </c>
      <c r="D300" s="116"/>
      <c r="E300" s="116" t="s">
        <v>499</v>
      </c>
      <c r="F300" s="116" t="s">
        <v>2689</v>
      </c>
      <c r="G300" s="116" t="s">
        <v>499</v>
      </c>
      <c r="H300" s="117">
        <v>1.32</v>
      </c>
      <c r="I300" s="116" t="s">
        <v>221</v>
      </c>
      <c r="J300" s="117" t="s">
        <v>257</v>
      </c>
      <c r="K300" s="116">
        <v>6.5000000000000002E-2</v>
      </c>
      <c r="L300" s="116">
        <v>7.4900000000000008E-2</v>
      </c>
      <c r="M300" s="111">
        <v>405.67962199079625</v>
      </c>
      <c r="N300" s="61">
        <v>108.67</v>
      </c>
      <c r="O300" s="85">
        <v>0.44085204446603438</v>
      </c>
      <c r="P300" s="25">
        <v>7.8511168562225624E-6</v>
      </c>
      <c r="Q300" s="25">
        <v>7.6530025418626591E-7</v>
      </c>
      <c r="R300" s="15"/>
    </row>
    <row r="301" spans="1:18" x14ac:dyDescent="0.25">
      <c r="A301" s="17" t="s">
        <v>2896</v>
      </c>
      <c r="B301" s="116" t="s">
        <v>2915</v>
      </c>
      <c r="C301" s="116" t="s">
        <v>2691</v>
      </c>
      <c r="D301" s="116"/>
      <c r="E301" s="116" t="s">
        <v>499</v>
      </c>
      <c r="F301" s="116" t="s">
        <v>2692</v>
      </c>
      <c r="G301" s="116" t="s">
        <v>499</v>
      </c>
      <c r="H301" s="117">
        <v>1.32</v>
      </c>
      <c r="I301" s="116" t="s">
        <v>221</v>
      </c>
      <c r="J301" s="117" t="s">
        <v>257</v>
      </c>
      <c r="K301" s="116">
        <v>6.5000000000000002E-2</v>
      </c>
      <c r="L301" s="116">
        <v>7.4900000000000008E-2</v>
      </c>
      <c r="M301" s="111">
        <v>260.00951356786402</v>
      </c>
      <c r="N301" s="61">
        <v>108.46</v>
      </c>
      <c r="O301" s="85">
        <v>0.28200631839538132</v>
      </c>
      <c r="P301" s="25">
        <v>5.0222395193765026E-6</v>
      </c>
      <c r="Q301" s="25">
        <v>4.8955088188719116E-7</v>
      </c>
      <c r="R301" s="15"/>
    </row>
    <row r="302" spans="1:18" x14ac:dyDescent="0.25">
      <c r="A302" s="17" t="s">
        <v>2896</v>
      </c>
      <c r="B302" s="116" t="s">
        <v>2915</v>
      </c>
      <c r="C302" s="116" t="s">
        <v>2694</v>
      </c>
      <c r="D302" s="116"/>
      <c r="E302" s="116" t="s">
        <v>499</v>
      </c>
      <c r="F302" s="116" t="s">
        <v>2695</v>
      </c>
      <c r="G302" s="116" t="s">
        <v>499</v>
      </c>
      <c r="H302" s="117">
        <v>1.32</v>
      </c>
      <c r="I302" s="116" t="s">
        <v>221</v>
      </c>
      <c r="J302" s="117" t="s">
        <v>257</v>
      </c>
      <c r="K302" s="116">
        <v>6.5000000000000002E-2</v>
      </c>
      <c r="L302" s="116">
        <v>7.4900000000000008E-2</v>
      </c>
      <c r="M302" s="111">
        <v>482.35571298098489</v>
      </c>
      <c r="N302" s="61">
        <v>107.2</v>
      </c>
      <c r="O302" s="85">
        <v>0.51708532322749834</v>
      </c>
      <c r="P302" s="25">
        <v>9.2087523427817173E-6</v>
      </c>
      <c r="Q302" s="25">
        <v>8.9763795874259753E-7</v>
      </c>
      <c r="R302" s="15"/>
    </row>
    <row r="303" spans="1:18" x14ac:dyDescent="0.25">
      <c r="A303" s="17" t="s">
        <v>2897</v>
      </c>
      <c r="B303" s="116" t="s">
        <v>2915</v>
      </c>
      <c r="C303" s="116" t="s">
        <v>2285</v>
      </c>
      <c r="D303" s="116"/>
      <c r="E303" s="116" t="s">
        <v>499</v>
      </c>
      <c r="F303" s="116" t="s">
        <v>2284</v>
      </c>
      <c r="G303" s="116" t="s">
        <v>499</v>
      </c>
      <c r="H303" s="117">
        <v>2.4900000000000002</v>
      </c>
      <c r="I303" s="116" t="s">
        <v>222</v>
      </c>
      <c r="J303" s="117" t="s">
        <v>257</v>
      </c>
      <c r="K303" s="116">
        <v>1.72E-2</v>
      </c>
      <c r="L303" s="116">
        <v>6.2300000000000001E-2</v>
      </c>
      <c r="M303" s="111">
        <v>885258.38</v>
      </c>
      <c r="N303" s="61">
        <v>100.75</v>
      </c>
      <c r="O303" s="85">
        <v>891.89781999999991</v>
      </c>
      <c r="P303" s="25">
        <v>1.5883773471236921E-2</v>
      </c>
      <c r="Q303" s="25">
        <v>1.5482963886011085E-3</v>
      </c>
      <c r="R303" s="15"/>
    </row>
    <row r="304" spans="1:18" x14ac:dyDescent="0.25">
      <c r="A304" s="17" t="s">
        <v>2897</v>
      </c>
      <c r="B304" s="116" t="s">
        <v>2915</v>
      </c>
      <c r="C304" s="116" t="s">
        <v>2568</v>
      </c>
      <c r="D304" s="116"/>
      <c r="E304" s="116" t="s">
        <v>499</v>
      </c>
      <c r="F304" s="116" t="s">
        <v>2284</v>
      </c>
      <c r="G304" s="116" t="s">
        <v>499</v>
      </c>
      <c r="H304" s="117">
        <v>2.31</v>
      </c>
      <c r="I304" s="116" t="s">
        <v>222</v>
      </c>
      <c r="J304" s="117" t="s">
        <v>257</v>
      </c>
      <c r="K304" s="116">
        <v>2.8300000000000002E-2</v>
      </c>
      <c r="L304" s="116">
        <v>2.3700000000000002E-2</v>
      </c>
      <c r="M304" s="111">
        <v>581242.25</v>
      </c>
      <c r="N304" s="61">
        <v>112.75</v>
      </c>
      <c r="O304" s="85">
        <v>655.35063000000002</v>
      </c>
      <c r="P304" s="25">
        <v>1.167111379547088E-2</v>
      </c>
      <c r="Q304" s="25">
        <v>1.1376606052209675E-3</v>
      </c>
      <c r="R304" s="15"/>
    </row>
    <row r="305" spans="1:18" x14ac:dyDescent="0.25">
      <c r="A305" s="17" t="s">
        <v>2897</v>
      </c>
      <c r="B305" s="116" t="s">
        <v>2915</v>
      </c>
      <c r="C305" s="116" t="s">
        <v>2283</v>
      </c>
      <c r="D305" s="116"/>
      <c r="E305" s="116" t="s">
        <v>499</v>
      </c>
      <c r="F305" s="116" t="s">
        <v>2284</v>
      </c>
      <c r="G305" s="116" t="s">
        <v>499</v>
      </c>
      <c r="H305" s="117">
        <v>2.4900000000000002</v>
      </c>
      <c r="I305" s="116" t="s">
        <v>222</v>
      </c>
      <c r="J305" s="117" t="s">
        <v>257</v>
      </c>
      <c r="K305" s="116">
        <v>3.78E-2</v>
      </c>
      <c r="L305" s="116">
        <v>5.4900000000000004E-2</v>
      </c>
      <c r="M305" s="111">
        <v>81011.78</v>
      </c>
      <c r="N305" s="61">
        <v>96.3</v>
      </c>
      <c r="O305" s="85">
        <v>78.01433999999999</v>
      </c>
      <c r="P305" s="25">
        <v>1.3893543366526645E-3</v>
      </c>
      <c r="Q305" s="25">
        <v>1.3542955052978941E-4</v>
      </c>
      <c r="R305" s="15"/>
    </row>
    <row r="306" spans="1:18" x14ac:dyDescent="0.25">
      <c r="A306" s="17" t="s">
        <v>2898</v>
      </c>
      <c r="B306" s="116" t="s">
        <v>2915</v>
      </c>
      <c r="C306" s="116" t="s">
        <v>2672</v>
      </c>
      <c r="D306" s="116"/>
      <c r="E306" s="116" t="s">
        <v>499</v>
      </c>
      <c r="F306" s="116" t="s">
        <v>2673</v>
      </c>
      <c r="G306" s="116" t="s">
        <v>499</v>
      </c>
      <c r="H306" s="117">
        <v>0.76</v>
      </c>
      <c r="I306" s="116" t="s">
        <v>202</v>
      </c>
      <c r="J306" s="117" t="s">
        <v>257</v>
      </c>
      <c r="K306" s="116">
        <v>0.05</v>
      </c>
      <c r="L306" s="116">
        <v>9.6000000000000002E-2</v>
      </c>
      <c r="M306" s="111">
        <v>2076.0700000000002</v>
      </c>
      <c r="N306" s="61">
        <v>12599.62</v>
      </c>
      <c r="O306" s="85">
        <v>261.57704999999999</v>
      </c>
      <c r="P306" s="25">
        <v>4.6584154757485716E-3</v>
      </c>
      <c r="Q306" s="25">
        <v>4.5408654755533726E-4</v>
      </c>
      <c r="R306" s="15"/>
    </row>
    <row r="307" spans="1:18" x14ac:dyDescent="0.25">
      <c r="A307" s="17" t="s">
        <v>2898</v>
      </c>
      <c r="B307" s="116" t="s">
        <v>2915</v>
      </c>
      <c r="C307" s="116" t="s">
        <v>2669</v>
      </c>
      <c r="D307" s="116"/>
      <c r="E307" s="116" t="s">
        <v>499</v>
      </c>
      <c r="F307" s="116" t="s">
        <v>2670</v>
      </c>
      <c r="G307" s="116" t="s">
        <v>499</v>
      </c>
      <c r="H307" s="117">
        <v>0.76</v>
      </c>
      <c r="I307" s="116" t="s">
        <v>202</v>
      </c>
      <c r="J307" s="117" t="s">
        <v>257</v>
      </c>
      <c r="K307" s="116">
        <v>0.05</v>
      </c>
      <c r="L307" s="116">
        <v>0</v>
      </c>
      <c r="M307" s="111">
        <v>10015.44</v>
      </c>
      <c r="N307" s="61">
        <v>25.292300000000001</v>
      </c>
      <c r="O307" s="85">
        <v>253.31405999999998</v>
      </c>
      <c r="P307" s="25">
        <v>4.5112602092909236E-3</v>
      </c>
      <c r="Q307" s="25">
        <v>4.3974235106874077E-4</v>
      </c>
      <c r="R307" s="15"/>
    </row>
    <row r="308" spans="1:18" x14ac:dyDescent="0.25">
      <c r="A308" s="17" t="s">
        <v>2899</v>
      </c>
      <c r="B308" s="116" t="s">
        <v>2915</v>
      </c>
      <c r="C308" s="116" t="s">
        <v>2387</v>
      </c>
      <c r="D308" s="116"/>
      <c r="E308" s="116" t="s">
        <v>499</v>
      </c>
      <c r="F308" s="116" t="s">
        <v>2023</v>
      </c>
      <c r="G308" s="116" t="s">
        <v>499</v>
      </c>
      <c r="H308" s="117">
        <v>3.53</v>
      </c>
      <c r="I308" s="116" t="s">
        <v>202</v>
      </c>
      <c r="J308" s="117" t="s">
        <v>257</v>
      </c>
      <c r="K308" s="116">
        <v>8.7499999999999994E-2</v>
      </c>
      <c r="L308" s="116">
        <v>9.8000000000000004E-2</v>
      </c>
      <c r="M308" s="111">
        <v>73447.015462949421</v>
      </c>
      <c r="N308" s="61">
        <v>91.49</v>
      </c>
      <c r="O308" s="85">
        <v>67.196668118004737</v>
      </c>
      <c r="P308" s="25">
        <v>1.1967028402516732E-3</v>
      </c>
      <c r="Q308" s="25">
        <v>1.1665053579022538E-4</v>
      </c>
      <c r="R308" s="15"/>
    </row>
    <row r="309" spans="1:18" x14ac:dyDescent="0.25">
      <c r="A309" s="17" t="s">
        <v>2899</v>
      </c>
      <c r="B309" s="116" t="s">
        <v>2915</v>
      </c>
      <c r="C309" s="116" t="s">
        <v>2394</v>
      </c>
      <c r="D309" s="116"/>
      <c r="E309" s="116" t="s">
        <v>499</v>
      </c>
      <c r="F309" s="116" t="s">
        <v>1653</v>
      </c>
      <c r="G309" s="116" t="s">
        <v>499</v>
      </c>
      <c r="H309" s="117">
        <v>3.49</v>
      </c>
      <c r="I309" s="116" t="s">
        <v>202</v>
      </c>
      <c r="J309" s="117" t="s">
        <v>257</v>
      </c>
      <c r="K309" s="116">
        <v>8.7499999999999994E-2</v>
      </c>
      <c r="L309" s="116">
        <v>0.1152</v>
      </c>
      <c r="M309" s="111">
        <v>27720.534924546238</v>
      </c>
      <c r="N309" s="61">
        <v>90.19</v>
      </c>
      <c r="O309" s="85">
        <v>25.001141147557121</v>
      </c>
      <c r="P309" s="25">
        <v>4.4524434706009E-4</v>
      </c>
      <c r="Q309" s="25">
        <v>4.3400909478250853E-5</v>
      </c>
      <c r="R309" s="15"/>
    </row>
    <row r="310" spans="1:18" x14ac:dyDescent="0.25">
      <c r="A310" s="17" t="s">
        <v>2899</v>
      </c>
      <c r="B310" s="116" t="s">
        <v>2915</v>
      </c>
      <c r="C310" s="116" t="s">
        <v>2408</v>
      </c>
      <c r="D310" s="116"/>
      <c r="E310" s="116" t="s">
        <v>499</v>
      </c>
      <c r="F310" s="116" t="s">
        <v>1011</v>
      </c>
      <c r="G310" s="116" t="s">
        <v>499</v>
      </c>
      <c r="H310" s="117">
        <v>3.71</v>
      </c>
      <c r="I310" s="116" t="s">
        <v>202</v>
      </c>
      <c r="J310" s="117" t="s">
        <v>257</v>
      </c>
      <c r="K310" s="116">
        <v>8.7499999999999994E-2</v>
      </c>
      <c r="L310" s="116">
        <v>8.6400000000000005E-2</v>
      </c>
      <c r="M310" s="111">
        <v>27720.534924546238</v>
      </c>
      <c r="N310" s="61">
        <v>100.1</v>
      </c>
      <c r="O310" s="85">
        <v>27.748248459001772</v>
      </c>
      <c r="P310" s="25">
        <v>4.941674739673466E-4</v>
      </c>
      <c r="Q310" s="25">
        <v>4.8169770029350138E-5</v>
      </c>
      <c r="R310" s="15"/>
    </row>
    <row r="311" spans="1:18" x14ac:dyDescent="0.25">
      <c r="A311" s="17" t="s">
        <v>2899</v>
      </c>
      <c r="B311" s="116" t="s">
        <v>2915</v>
      </c>
      <c r="C311" s="116" t="s">
        <v>2388</v>
      </c>
      <c r="D311" s="116"/>
      <c r="E311" s="116" t="s">
        <v>499</v>
      </c>
      <c r="F311" s="116" t="s">
        <v>2023</v>
      </c>
      <c r="G311" s="116" t="s">
        <v>499</v>
      </c>
      <c r="H311" s="117">
        <v>3.13</v>
      </c>
      <c r="I311" s="116" t="s">
        <v>202</v>
      </c>
      <c r="J311" s="117" t="s">
        <v>257</v>
      </c>
      <c r="K311" s="116">
        <v>0.13349999904632567</v>
      </c>
      <c r="L311" s="116">
        <v>0.18579999999999999</v>
      </c>
      <c r="M311" s="111">
        <v>8640.8294576766948</v>
      </c>
      <c r="N311" s="61">
        <v>85.07</v>
      </c>
      <c r="O311" s="85">
        <v>7.3507484394125209</v>
      </c>
      <c r="P311" s="25">
        <v>1.3090919210417715E-4</v>
      </c>
      <c r="Q311" s="25">
        <v>1.2760584236272315E-5</v>
      </c>
      <c r="R311" s="15"/>
    </row>
    <row r="312" spans="1:18" x14ac:dyDescent="0.25">
      <c r="A312" s="17" t="s">
        <v>2899</v>
      </c>
      <c r="B312" s="116" t="s">
        <v>2915</v>
      </c>
      <c r="C312" s="116" t="s">
        <v>2395</v>
      </c>
      <c r="D312" s="116"/>
      <c r="E312" s="116" t="s">
        <v>499</v>
      </c>
      <c r="F312" s="116" t="s">
        <v>1653</v>
      </c>
      <c r="G312" s="116" t="s">
        <v>499</v>
      </c>
      <c r="H312" s="117">
        <v>3.13</v>
      </c>
      <c r="I312" s="116" t="s">
        <v>202</v>
      </c>
      <c r="J312" s="117" t="s">
        <v>257</v>
      </c>
      <c r="K312" s="116">
        <v>0.13349999904632567</v>
      </c>
      <c r="L312" s="116">
        <v>0.2014</v>
      </c>
      <c r="M312" s="111">
        <v>3261.2394028877929</v>
      </c>
      <c r="N312" s="61">
        <v>83.97</v>
      </c>
      <c r="O312" s="85">
        <v>2.7384573258857219</v>
      </c>
      <c r="P312" s="25">
        <v>4.8769079651992013E-5</v>
      </c>
      <c r="Q312" s="25">
        <v>4.753844546909099E-6</v>
      </c>
      <c r="R312" s="15"/>
    </row>
    <row r="313" spans="1:18" x14ac:dyDescent="0.25">
      <c r="A313" s="17" t="s">
        <v>2899</v>
      </c>
      <c r="B313" s="116" t="s">
        <v>2915</v>
      </c>
      <c r="C313" s="116" t="s">
        <v>2409</v>
      </c>
      <c r="D313" s="116"/>
      <c r="E313" s="116" t="s">
        <v>499</v>
      </c>
      <c r="F313" s="116" t="s">
        <v>1011</v>
      </c>
      <c r="G313" s="116" t="s">
        <v>499</v>
      </c>
      <c r="H313" s="117">
        <v>3.32</v>
      </c>
      <c r="I313" s="116" t="s">
        <v>202</v>
      </c>
      <c r="J313" s="117" t="s">
        <v>257</v>
      </c>
      <c r="K313" s="116">
        <v>0.13349999904632567</v>
      </c>
      <c r="L313" s="116">
        <v>0.14810000000000001</v>
      </c>
      <c r="M313" s="111">
        <v>3261.2394028877929</v>
      </c>
      <c r="N313" s="61">
        <v>98.89</v>
      </c>
      <c r="O313" s="85">
        <v>3.2250298454844706</v>
      </c>
      <c r="P313" s="25">
        <v>5.7434430665671486E-5</v>
      </c>
      <c r="Q313" s="25">
        <v>5.5985135863370511E-6</v>
      </c>
      <c r="R313" s="15"/>
    </row>
    <row r="314" spans="1:18" x14ac:dyDescent="0.25">
      <c r="A314" s="17" t="s">
        <v>2871</v>
      </c>
      <c r="B314" s="116" t="s">
        <v>2915</v>
      </c>
      <c r="C314" s="116" t="s">
        <v>2294</v>
      </c>
      <c r="D314" s="116"/>
      <c r="E314" s="116" t="s">
        <v>499</v>
      </c>
      <c r="F314" s="116" t="s">
        <v>2295</v>
      </c>
      <c r="G314" s="116" t="s">
        <v>499</v>
      </c>
      <c r="H314" s="117">
        <v>0</v>
      </c>
      <c r="I314" s="116" t="s">
        <v>204</v>
      </c>
      <c r="J314" s="117" t="s">
        <v>257</v>
      </c>
      <c r="K314" s="116">
        <v>0</v>
      </c>
      <c r="L314" s="116">
        <v>0</v>
      </c>
      <c r="M314" s="111">
        <v>-51.920300154989718</v>
      </c>
      <c r="N314" s="61">
        <v>28.4695</v>
      </c>
      <c r="O314" s="85">
        <v>-1.4781477393527403E-2</v>
      </c>
      <c r="P314" s="25">
        <v>-2.6324275407355391E-7</v>
      </c>
      <c r="Q314" s="25">
        <v>-2.5660011218087078E-8</v>
      </c>
      <c r="R314" s="15"/>
    </row>
    <row r="315" spans="1:18" x14ac:dyDescent="0.25">
      <c r="A315" s="17" t="s">
        <v>2893</v>
      </c>
      <c r="B315" s="116" t="s">
        <v>2915</v>
      </c>
      <c r="C315" s="116" t="s">
        <v>2637</v>
      </c>
      <c r="D315" s="116"/>
      <c r="E315" s="116" t="s">
        <v>499</v>
      </c>
      <c r="F315" s="116" t="s">
        <v>2638</v>
      </c>
      <c r="G315" s="116" t="s">
        <v>499</v>
      </c>
      <c r="H315" s="117">
        <v>4.4800000000000004</v>
      </c>
      <c r="I315" s="116" t="s">
        <v>221</v>
      </c>
      <c r="J315" s="117" t="s">
        <v>257</v>
      </c>
      <c r="K315" s="116">
        <v>3.7400000000000003E-2</v>
      </c>
      <c r="L315" s="116">
        <v>3.8699999999999998E-2</v>
      </c>
      <c r="M315" s="111">
        <v>3969.810506441796</v>
      </c>
      <c r="N315" s="61">
        <v>102.43</v>
      </c>
      <c r="O315" s="85">
        <v>4.066276901656404</v>
      </c>
      <c r="P315" s="25">
        <v>7.2416166660474029E-5</v>
      </c>
      <c r="Q315" s="25">
        <v>7.0588824198345012E-6</v>
      </c>
      <c r="R315" s="15"/>
    </row>
    <row r="316" spans="1:18" x14ac:dyDescent="0.25">
      <c r="A316" s="17" t="s">
        <v>2900</v>
      </c>
      <c r="B316" s="116" t="s">
        <v>2915</v>
      </c>
      <c r="C316" s="116" t="s">
        <v>2593</v>
      </c>
      <c r="D316" s="116"/>
      <c r="E316" s="116" t="s">
        <v>499</v>
      </c>
      <c r="F316" s="116" t="s">
        <v>2594</v>
      </c>
      <c r="G316" s="116" t="s">
        <v>499</v>
      </c>
      <c r="H316" s="117">
        <v>1.05</v>
      </c>
      <c r="I316" s="116" t="s">
        <v>202</v>
      </c>
      <c r="J316" s="117" t="s">
        <v>257</v>
      </c>
      <c r="K316" s="116">
        <v>3.5000000000000003E-2</v>
      </c>
      <c r="L316" s="116">
        <v>3.8800000000000001E-2</v>
      </c>
      <c r="M316" s="111">
        <v>2754.119045732547</v>
      </c>
      <c r="N316" s="61">
        <v>109.21</v>
      </c>
      <c r="O316" s="85">
        <v>3.007773409070325</v>
      </c>
      <c r="P316" s="25">
        <v>5.3565319267719554E-5</v>
      </c>
      <c r="Q316" s="25">
        <v>5.2213657243763972E-6</v>
      </c>
      <c r="R316" s="15"/>
    </row>
    <row r="317" spans="1:18" x14ac:dyDescent="0.25">
      <c r="A317" s="17" t="s">
        <v>2898</v>
      </c>
      <c r="B317" s="116" t="s">
        <v>2915</v>
      </c>
      <c r="C317" s="116" t="s">
        <v>2671</v>
      </c>
      <c r="D317" s="116"/>
      <c r="E317" s="116" t="s">
        <v>499</v>
      </c>
      <c r="F317" s="116" t="s">
        <v>2670</v>
      </c>
      <c r="G317" s="116" t="s">
        <v>499</v>
      </c>
      <c r="H317" s="117">
        <v>0.76</v>
      </c>
      <c r="I317" s="116" t="s">
        <v>202</v>
      </c>
      <c r="J317" s="117" t="s">
        <v>257</v>
      </c>
      <c r="K317" s="116">
        <v>0.05</v>
      </c>
      <c r="L317" s="116">
        <v>9.6000000000000002E-2</v>
      </c>
      <c r="M317" s="111">
        <v>-10015.44</v>
      </c>
      <c r="N317" s="61">
        <v>26.117000000000001</v>
      </c>
      <c r="O317" s="85">
        <v>-261.57373999999999</v>
      </c>
      <c r="P317" s="25">
        <v>-4.65835652808774E-3</v>
      </c>
      <c r="Q317" s="25">
        <v>-4.5408080153720455E-4</v>
      </c>
      <c r="R317" s="15"/>
    </row>
    <row r="318" spans="1:18" x14ac:dyDescent="0.25">
      <c r="A318" s="17" t="s">
        <v>2898</v>
      </c>
      <c r="B318" s="116" t="s">
        <v>2915</v>
      </c>
      <c r="C318" s="116" t="s">
        <v>2674</v>
      </c>
      <c r="D318" s="116"/>
      <c r="E318" s="116" t="s">
        <v>499</v>
      </c>
      <c r="F318" s="116" t="s">
        <v>1701</v>
      </c>
      <c r="G318" s="116" t="s">
        <v>499</v>
      </c>
      <c r="H318" s="117">
        <v>1.81</v>
      </c>
      <c r="I318" s="116" t="s">
        <v>202</v>
      </c>
      <c r="J318" s="117" t="s">
        <v>257</v>
      </c>
      <c r="K318" s="116">
        <v>0.05</v>
      </c>
      <c r="L318" s="116">
        <v>9.6000000000000002E-2</v>
      </c>
      <c r="M318" s="111">
        <v>-8162.93</v>
      </c>
      <c r="N318" s="61">
        <v>16.1355</v>
      </c>
      <c r="O318" s="85">
        <v>-131.71364000000003</v>
      </c>
      <c r="P318" s="25">
        <v>-2.3456830748078863E-3</v>
      </c>
      <c r="Q318" s="25">
        <v>-2.2864923376705483E-4</v>
      </c>
      <c r="R318" s="15"/>
    </row>
    <row r="319" spans="1:18" x14ac:dyDescent="0.25">
      <c r="A319" s="17" t="s">
        <v>2901</v>
      </c>
      <c r="B319" s="116" t="s">
        <v>2272</v>
      </c>
      <c r="C319" s="116" t="s">
        <v>2515</v>
      </c>
      <c r="D319" s="116"/>
      <c r="E319" s="116" t="s">
        <v>2479</v>
      </c>
      <c r="F319" s="116" t="s">
        <v>2480</v>
      </c>
      <c r="G319" s="116" t="s">
        <v>521</v>
      </c>
      <c r="H319" s="117">
        <v>5.83</v>
      </c>
      <c r="I319" s="116" t="s">
        <v>211</v>
      </c>
      <c r="J319" s="117" t="s">
        <v>257</v>
      </c>
      <c r="K319" s="116">
        <v>4.4999999999999998E-2</v>
      </c>
      <c r="L319" s="116">
        <v>8.1199999999999994E-2</v>
      </c>
      <c r="M319" s="111">
        <v>360060.38</v>
      </c>
      <c r="N319" s="61">
        <v>91.55</v>
      </c>
      <c r="O319" s="85">
        <v>329.63526999999999</v>
      </c>
      <c r="P319" s="25">
        <v>5.870461659845767E-3</v>
      </c>
      <c r="Q319" s="25">
        <v>5.7223270048642049E-4</v>
      </c>
      <c r="R319" s="15"/>
    </row>
    <row r="320" spans="1:18" x14ac:dyDescent="0.25">
      <c r="A320" s="17" t="s">
        <v>2902</v>
      </c>
      <c r="B320" s="116" t="s">
        <v>2272</v>
      </c>
      <c r="C320" s="116" t="s">
        <v>2578</v>
      </c>
      <c r="D320" s="116"/>
      <c r="E320" s="116" t="s">
        <v>2479</v>
      </c>
      <c r="F320" s="116" t="s">
        <v>2579</v>
      </c>
      <c r="G320" s="116" t="s">
        <v>521</v>
      </c>
      <c r="H320" s="117">
        <v>5.83</v>
      </c>
      <c r="I320" s="116" t="s">
        <v>211</v>
      </c>
      <c r="J320" s="117" t="s">
        <v>257</v>
      </c>
      <c r="K320" s="116">
        <v>4.4999999999999998E-2</v>
      </c>
      <c r="L320" s="116">
        <v>8.1199999999999994E-2</v>
      </c>
      <c r="M320" s="111">
        <v>93402.75</v>
      </c>
      <c r="N320" s="61">
        <v>90.01</v>
      </c>
      <c r="O320" s="85">
        <v>84.071809999999999</v>
      </c>
      <c r="P320" s="25">
        <v>1.4972315834978396E-3</v>
      </c>
      <c r="Q320" s="25">
        <v>1.4594505882541408E-4</v>
      </c>
      <c r="R320" s="15"/>
    </row>
    <row r="321" spans="1:18" x14ac:dyDescent="0.25">
      <c r="A321" s="17" t="s">
        <v>2901</v>
      </c>
      <c r="B321" s="116" t="s">
        <v>2272</v>
      </c>
      <c r="C321" s="116" t="s">
        <v>2565</v>
      </c>
      <c r="D321" s="116"/>
      <c r="E321" s="116" t="s">
        <v>2479</v>
      </c>
      <c r="F321" s="116" t="s">
        <v>2566</v>
      </c>
      <c r="G321" s="116" t="s">
        <v>521</v>
      </c>
      <c r="H321" s="117">
        <v>5.83</v>
      </c>
      <c r="I321" s="116" t="s">
        <v>211</v>
      </c>
      <c r="J321" s="117" t="s">
        <v>257</v>
      </c>
      <c r="K321" s="116">
        <v>4.4999999999999998E-2</v>
      </c>
      <c r="L321" s="116">
        <v>8.1199999999999994E-2</v>
      </c>
      <c r="M321" s="111">
        <v>657962.87</v>
      </c>
      <c r="N321" s="61">
        <v>91.46</v>
      </c>
      <c r="O321" s="85">
        <v>601.77283999999997</v>
      </c>
      <c r="P321" s="25">
        <v>1.0716949024163891E-2</v>
      </c>
      <c r="Q321" s="25">
        <v>1.044651858135759E-3</v>
      </c>
      <c r="R321" s="15"/>
    </row>
    <row r="322" spans="1:18" x14ac:dyDescent="0.25">
      <c r="A322" s="17" t="s">
        <v>2901</v>
      </c>
      <c r="B322" s="116" t="s">
        <v>2272</v>
      </c>
      <c r="C322" s="116" t="s">
        <v>2576</v>
      </c>
      <c r="D322" s="116"/>
      <c r="E322" s="116" t="s">
        <v>2479</v>
      </c>
      <c r="F322" s="116" t="s">
        <v>2577</v>
      </c>
      <c r="G322" s="116" t="s">
        <v>521</v>
      </c>
      <c r="H322" s="117">
        <v>5.83</v>
      </c>
      <c r="I322" s="116" t="s">
        <v>211</v>
      </c>
      <c r="J322" s="117" t="s">
        <v>257</v>
      </c>
      <c r="K322" s="116">
        <v>4.4999999999999998E-2</v>
      </c>
      <c r="L322" s="116">
        <v>8.1199999999999994E-2</v>
      </c>
      <c r="M322" s="111">
        <v>36099.589999999997</v>
      </c>
      <c r="N322" s="61">
        <v>91.37</v>
      </c>
      <c r="O322" s="85">
        <v>32.984190000000005</v>
      </c>
      <c r="P322" s="25">
        <v>5.8741415254523022E-4</v>
      </c>
      <c r="Q322" s="25">
        <v>5.7259140131021751E-5</v>
      </c>
      <c r="R322" s="15"/>
    </row>
    <row r="323" spans="1:18" x14ac:dyDescent="0.25">
      <c r="A323" s="17" t="s">
        <v>2901</v>
      </c>
      <c r="B323" s="116" t="s">
        <v>2272</v>
      </c>
      <c r="C323" s="116" t="s">
        <v>2509</v>
      </c>
      <c r="D323" s="116"/>
      <c r="E323" s="116" t="s">
        <v>2479</v>
      </c>
      <c r="F323" s="116" t="s">
        <v>2480</v>
      </c>
      <c r="G323" s="116" t="s">
        <v>521</v>
      </c>
      <c r="H323" s="117">
        <v>5.83</v>
      </c>
      <c r="I323" s="116" t="s">
        <v>211</v>
      </c>
      <c r="J323" s="117" t="s">
        <v>257</v>
      </c>
      <c r="K323" s="116">
        <v>4.4999999999999998E-2</v>
      </c>
      <c r="L323" s="116">
        <v>8.1199999999999994E-2</v>
      </c>
      <c r="M323" s="111">
        <v>350138.89</v>
      </c>
      <c r="N323" s="61">
        <v>90.82</v>
      </c>
      <c r="O323" s="85">
        <v>317.99612999999999</v>
      </c>
      <c r="P323" s="25">
        <v>5.663180669787945E-3</v>
      </c>
      <c r="Q323" s="25">
        <v>5.520276523022881E-4</v>
      </c>
      <c r="R323" s="15"/>
    </row>
    <row r="324" spans="1:18" x14ac:dyDescent="0.25">
      <c r="A324" s="17" t="s">
        <v>2901</v>
      </c>
      <c r="B324" s="116" t="s">
        <v>2272</v>
      </c>
      <c r="C324" s="116" t="s">
        <v>2478</v>
      </c>
      <c r="D324" s="116"/>
      <c r="E324" s="116" t="s">
        <v>2479</v>
      </c>
      <c r="F324" s="116" t="s">
        <v>2480</v>
      </c>
      <c r="G324" s="116" t="s">
        <v>521</v>
      </c>
      <c r="H324" s="117">
        <v>5.83</v>
      </c>
      <c r="I324" s="116" t="s">
        <v>211</v>
      </c>
      <c r="J324" s="117" t="s">
        <v>257</v>
      </c>
      <c r="K324" s="116">
        <v>4.4999999999999998E-2</v>
      </c>
      <c r="L324" s="116">
        <v>8.1199999999999994E-2</v>
      </c>
      <c r="M324" s="111">
        <v>485883.59</v>
      </c>
      <c r="N324" s="61">
        <v>90.27</v>
      </c>
      <c r="O324" s="85">
        <v>438.60710999999998</v>
      </c>
      <c r="P324" s="25">
        <v>7.8111369059225806E-3</v>
      </c>
      <c r="Q324" s="25">
        <v>7.6140314417157031E-4</v>
      </c>
      <c r="R324" s="15"/>
    </row>
    <row r="325" spans="1:18" x14ac:dyDescent="0.25">
      <c r="A325" s="17" t="s">
        <v>2901</v>
      </c>
      <c r="B325" s="116" t="s">
        <v>2272</v>
      </c>
      <c r="C325" s="116" t="s">
        <v>2510</v>
      </c>
      <c r="D325" s="116"/>
      <c r="E325" s="116" t="s">
        <v>2479</v>
      </c>
      <c r="F325" s="116" t="s">
        <v>2480</v>
      </c>
      <c r="G325" s="116" t="s">
        <v>521</v>
      </c>
      <c r="H325" s="117">
        <v>5.83</v>
      </c>
      <c r="I325" s="116" t="s">
        <v>211</v>
      </c>
      <c r="J325" s="117" t="s">
        <v>257</v>
      </c>
      <c r="K325" s="116">
        <v>4.4999999999999998E-2</v>
      </c>
      <c r="L325" s="116">
        <v>8.1199999999999994E-2</v>
      </c>
      <c r="M325" s="111">
        <v>329442.23</v>
      </c>
      <c r="N325" s="61">
        <v>90.82</v>
      </c>
      <c r="O325" s="85">
        <v>299.19943000000001</v>
      </c>
      <c r="P325" s="25">
        <v>5.3284309730045184E-3</v>
      </c>
      <c r="Q325" s="25">
        <v>5.1939738673260829E-4</v>
      </c>
      <c r="R325" s="15"/>
    </row>
    <row r="326" spans="1:18" x14ac:dyDescent="0.25">
      <c r="A326" s="17" t="s">
        <v>2901</v>
      </c>
      <c r="B326" s="116" t="s">
        <v>2272</v>
      </c>
      <c r="C326" s="116" t="s">
        <v>2516</v>
      </c>
      <c r="D326" s="116"/>
      <c r="E326" s="116" t="s">
        <v>2479</v>
      </c>
      <c r="F326" s="116" t="s">
        <v>2480</v>
      </c>
      <c r="G326" s="116" t="s">
        <v>521</v>
      </c>
      <c r="H326" s="117">
        <v>5.85</v>
      </c>
      <c r="I326" s="116" t="s">
        <v>211</v>
      </c>
      <c r="J326" s="117" t="s">
        <v>257</v>
      </c>
      <c r="K326" s="116">
        <v>4.4999999999999998E-2</v>
      </c>
      <c r="L326" s="116">
        <v>8.0100000000000005E-2</v>
      </c>
      <c r="M326" s="111">
        <v>253262.04</v>
      </c>
      <c r="N326" s="61">
        <v>91.95</v>
      </c>
      <c r="O326" s="85">
        <v>232.87443999999999</v>
      </c>
      <c r="P326" s="25">
        <v>4.147251814340296E-3</v>
      </c>
      <c r="Q326" s="25">
        <v>4.0426004679494068E-4</v>
      </c>
      <c r="R326" s="15"/>
    </row>
    <row r="327" spans="1:18" x14ac:dyDescent="0.25">
      <c r="A327" s="17" t="s">
        <v>2901</v>
      </c>
      <c r="B327" s="116" t="s">
        <v>2272</v>
      </c>
      <c r="C327" s="116" t="s">
        <v>2567</v>
      </c>
      <c r="D327" s="116"/>
      <c r="E327" s="116" t="s">
        <v>2479</v>
      </c>
      <c r="F327" s="116" t="s">
        <v>648</v>
      </c>
      <c r="G327" s="116" t="s">
        <v>521</v>
      </c>
      <c r="H327" s="117">
        <v>5.83</v>
      </c>
      <c r="I327" s="116" t="s">
        <v>211</v>
      </c>
      <c r="J327" s="117" t="s">
        <v>257</v>
      </c>
      <c r="K327" s="116">
        <v>4.4999999999999998E-2</v>
      </c>
      <c r="L327" s="116">
        <v>8.1199999999999994E-2</v>
      </c>
      <c r="M327" s="111">
        <v>123745.84</v>
      </c>
      <c r="N327" s="61">
        <v>91</v>
      </c>
      <c r="O327" s="85">
        <v>112.60871</v>
      </c>
      <c r="P327" s="25">
        <v>2.0054441219827315E-3</v>
      </c>
      <c r="Q327" s="25">
        <v>1.9548389412817443E-4</v>
      </c>
      <c r="R327" s="15"/>
    </row>
    <row r="328" spans="1:18" x14ac:dyDescent="0.25">
      <c r="A328" s="17" t="s">
        <v>2901</v>
      </c>
      <c r="B328" s="116" t="s">
        <v>2272</v>
      </c>
      <c r="C328" s="116" t="s">
        <v>2519</v>
      </c>
      <c r="D328" s="116"/>
      <c r="E328" s="116" t="s">
        <v>2479</v>
      </c>
      <c r="F328" s="116" t="s">
        <v>2480</v>
      </c>
      <c r="G328" s="116" t="s">
        <v>521</v>
      </c>
      <c r="H328" s="117">
        <v>5.83</v>
      </c>
      <c r="I328" s="116" t="s">
        <v>211</v>
      </c>
      <c r="J328" s="117" t="s">
        <v>257</v>
      </c>
      <c r="K328" s="116">
        <v>4.4999999999999998E-2</v>
      </c>
      <c r="L328" s="116">
        <v>8.1199999999999994E-2</v>
      </c>
      <c r="M328" s="111">
        <v>331184.05</v>
      </c>
      <c r="N328" s="61">
        <v>90.73</v>
      </c>
      <c r="O328" s="85">
        <v>300.48328000000004</v>
      </c>
      <c r="P328" s="25">
        <v>5.3512950075539556E-3</v>
      </c>
      <c r="Q328" s="25">
        <v>5.2162609530654062E-4</v>
      </c>
      <c r="R328" s="15"/>
    </row>
    <row r="329" spans="1:18" x14ac:dyDescent="0.25">
      <c r="A329" s="17" t="s">
        <v>2901</v>
      </c>
      <c r="B329" s="116" t="s">
        <v>2272</v>
      </c>
      <c r="C329" s="116" t="s">
        <v>2580</v>
      </c>
      <c r="D329" s="116"/>
      <c r="E329" s="116" t="s">
        <v>2479</v>
      </c>
      <c r="F329" s="116" t="s">
        <v>2581</v>
      </c>
      <c r="G329" s="116" t="s">
        <v>521</v>
      </c>
      <c r="H329" s="117">
        <v>5.83</v>
      </c>
      <c r="I329" s="116" t="s">
        <v>211</v>
      </c>
      <c r="J329" s="117" t="s">
        <v>257</v>
      </c>
      <c r="K329" s="116">
        <v>4.4999999999999998E-2</v>
      </c>
      <c r="L329" s="116">
        <v>8.1199999999999994E-2</v>
      </c>
      <c r="M329" s="111">
        <v>90565.27</v>
      </c>
      <c r="N329" s="61">
        <v>91.37</v>
      </c>
      <c r="O329" s="85">
        <v>82.749479999999991</v>
      </c>
      <c r="P329" s="25">
        <v>1.4736822601300341E-3</v>
      </c>
      <c r="Q329" s="25">
        <v>1.4364955062074226E-4</v>
      </c>
      <c r="R329" s="15"/>
    </row>
    <row r="330" spans="1:18" x14ac:dyDescent="0.25">
      <c r="A330" s="17" t="s">
        <v>2901</v>
      </c>
      <c r="B330" s="116" t="s">
        <v>2272</v>
      </c>
      <c r="C330" s="116" t="s">
        <v>2485</v>
      </c>
      <c r="D330" s="116"/>
      <c r="E330" s="116" t="s">
        <v>2479</v>
      </c>
      <c r="F330" s="116" t="s">
        <v>2480</v>
      </c>
      <c r="G330" s="116" t="s">
        <v>521</v>
      </c>
      <c r="H330" s="117">
        <v>5.83</v>
      </c>
      <c r="I330" s="116" t="s">
        <v>211</v>
      </c>
      <c r="J330" s="117" t="s">
        <v>257</v>
      </c>
      <c r="K330" s="116">
        <v>4.4999999999999998E-2</v>
      </c>
      <c r="L330" s="116">
        <v>8.1199999999999994E-2</v>
      </c>
      <c r="M330" s="111">
        <v>95325.48</v>
      </c>
      <c r="N330" s="61">
        <v>89.92</v>
      </c>
      <c r="O330" s="85">
        <v>85.716669999999993</v>
      </c>
      <c r="P330" s="25">
        <v>1.5265248310493346E-3</v>
      </c>
      <c r="Q330" s="25">
        <v>1.488004652863856E-4</v>
      </c>
      <c r="R330" s="15"/>
    </row>
    <row r="331" spans="1:18" x14ac:dyDescent="0.25">
      <c r="A331" s="17" t="s">
        <v>2901</v>
      </c>
      <c r="B331" s="116" t="s">
        <v>2272</v>
      </c>
      <c r="C331" s="116" t="s">
        <v>2511</v>
      </c>
      <c r="D331" s="116"/>
      <c r="E331" s="116" t="s">
        <v>2479</v>
      </c>
      <c r="F331" s="116" t="s">
        <v>2480</v>
      </c>
      <c r="G331" s="116" t="s">
        <v>521</v>
      </c>
      <c r="H331" s="117">
        <v>5.83</v>
      </c>
      <c r="I331" s="116" t="s">
        <v>211</v>
      </c>
      <c r="J331" s="117" t="s">
        <v>257</v>
      </c>
      <c r="K331" s="116">
        <v>4.4999999999999998E-2</v>
      </c>
      <c r="L331" s="116">
        <v>8.1199999999999994E-2</v>
      </c>
      <c r="M331" s="111">
        <v>175066.58</v>
      </c>
      <c r="N331" s="61">
        <v>90.18</v>
      </c>
      <c r="O331" s="85">
        <v>157.87504000000001</v>
      </c>
      <c r="P331" s="25">
        <v>2.8115904264935511E-3</v>
      </c>
      <c r="Q331" s="25">
        <v>2.7406430288422012E-4</v>
      </c>
      <c r="R331" s="15"/>
    </row>
    <row r="332" spans="1:18" x14ac:dyDescent="0.25">
      <c r="A332" s="17" t="s">
        <v>2901</v>
      </c>
      <c r="B332" s="116" t="s">
        <v>2272</v>
      </c>
      <c r="C332" s="116" t="s">
        <v>2520</v>
      </c>
      <c r="D332" s="116"/>
      <c r="E332" s="116" t="s">
        <v>2479</v>
      </c>
      <c r="F332" s="116" t="s">
        <v>2480</v>
      </c>
      <c r="G332" s="116" t="s">
        <v>521</v>
      </c>
      <c r="H332" s="117">
        <v>5.83</v>
      </c>
      <c r="I332" s="116" t="s">
        <v>211</v>
      </c>
      <c r="J332" s="117" t="s">
        <v>257</v>
      </c>
      <c r="K332" s="116">
        <v>4.4999999999999998E-2</v>
      </c>
      <c r="L332" s="116">
        <v>8.1199999999999994E-2</v>
      </c>
      <c r="M332" s="111">
        <v>135702.14000000001</v>
      </c>
      <c r="N332" s="61">
        <v>90.73</v>
      </c>
      <c r="O332" s="85">
        <v>123.12255</v>
      </c>
      <c r="P332" s="25">
        <v>2.1926846882539099E-3</v>
      </c>
      <c r="Q332" s="25">
        <v>2.1373546974288988E-4</v>
      </c>
      <c r="R332" s="15"/>
    </row>
    <row r="333" spans="1:18" x14ac:dyDescent="0.25">
      <c r="A333" s="17" t="s">
        <v>2901</v>
      </c>
      <c r="B333" s="116" t="s">
        <v>2272</v>
      </c>
      <c r="C333" s="116" t="s">
        <v>2572</v>
      </c>
      <c r="D333" s="116"/>
      <c r="E333" s="116" t="s">
        <v>2479</v>
      </c>
      <c r="F333" s="116" t="s">
        <v>2573</v>
      </c>
      <c r="G333" s="116" t="s">
        <v>521</v>
      </c>
      <c r="H333" s="117">
        <v>5.83</v>
      </c>
      <c r="I333" s="116" t="s">
        <v>211</v>
      </c>
      <c r="J333" s="117" t="s">
        <v>257</v>
      </c>
      <c r="K333" s="116">
        <v>4.4999999999999998E-2</v>
      </c>
      <c r="L333" s="116">
        <v>8.1199999999999994E-2</v>
      </c>
      <c r="M333" s="111">
        <v>155935.32999999999</v>
      </c>
      <c r="N333" s="61">
        <v>91.37</v>
      </c>
      <c r="O333" s="85">
        <v>142.47810999999999</v>
      </c>
      <c r="P333" s="25">
        <v>2.5373871009685572E-3</v>
      </c>
      <c r="Q333" s="25">
        <v>2.4733589231971828E-4</v>
      </c>
      <c r="R333" s="15"/>
    </row>
    <row r="334" spans="1:18" x14ac:dyDescent="0.25">
      <c r="A334" s="17" t="s">
        <v>2901</v>
      </c>
      <c r="B334" s="116" t="s">
        <v>2272</v>
      </c>
      <c r="C334" s="116" t="s">
        <v>2514</v>
      </c>
      <c r="D334" s="116"/>
      <c r="E334" s="116" t="s">
        <v>2479</v>
      </c>
      <c r="F334" s="116" t="s">
        <v>2480</v>
      </c>
      <c r="G334" s="116" t="s">
        <v>521</v>
      </c>
      <c r="H334" s="117">
        <v>5.83</v>
      </c>
      <c r="I334" s="116" t="s">
        <v>211</v>
      </c>
      <c r="J334" s="117" t="s">
        <v>257</v>
      </c>
      <c r="K334" s="116">
        <v>4.4999999999999998E-2</v>
      </c>
      <c r="L334" s="116">
        <v>8.1199999999999994E-2</v>
      </c>
      <c r="M334" s="111">
        <v>303161.84000000003</v>
      </c>
      <c r="N334" s="61">
        <v>90.64</v>
      </c>
      <c r="O334" s="85">
        <v>274.78588999999999</v>
      </c>
      <c r="P334" s="25">
        <v>4.893651191850909E-3</v>
      </c>
      <c r="Q334" s="25">
        <v>4.770165276618139E-4</v>
      </c>
      <c r="R334" s="15"/>
    </row>
    <row r="335" spans="1:18" x14ac:dyDescent="0.25">
      <c r="A335" s="17" t="s">
        <v>2901</v>
      </c>
      <c r="B335" s="116" t="s">
        <v>2272</v>
      </c>
      <c r="C335" s="116" t="s">
        <v>2561</v>
      </c>
      <c r="D335" s="116"/>
      <c r="E335" s="116" t="s">
        <v>2479</v>
      </c>
      <c r="F335" s="116" t="s">
        <v>2480</v>
      </c>
      <c r="G335" s="116" t="s">
        <v>521</v>
      </c>
      <c r="H335" s="117">
        <v>5.83</v>
      </c>
      <c r="I335" s="116" t="s">
        <v>211</v>
      </c>
      <c r="J335" s="117" t="s">
        <v>257</v>
      </c>
      <c r="K335" s="116">
        <v>4.4999999999999998E-2</v>
      </c>
      <c r="L335" s="116">
        <v>8.1199999999999994E-2</v>
      </c>
      <c r="M335" s="111">
        <v>102666.36</v>
      </c>
      <c r="N335" s="61">
        <v>90.91</v>
      </c>
      <c r="O335" s="85">
        <v>93.333979999999997</v>
      </c>
      <c r="P335" s="25">
        <v>1.6621812075837987E-3</v>
      </c>
      <c r="Q335" s="25">
        <v>1.6202378896695599E-4</v>
      </c>
      <c r="R335" s="15"/>
    </row>
    <row r="336" spans="1:18" x14ac:dyDescent="0.25">
      <c r="A336" s="17" t="s">
        <v>2901</v>
      </c>
      <c r="B336" s="116" t="s">
        <v>2272</v>
      </c>
      <c r="C336" s="116" t="s">
        <v>2574</v>
      </c>
      <c r="D336" s="116"/>
      <c r="E336" s="116" t="s">
        <v>2479</v>
      </c>
      <c r="F336" s="116" t="s">
        <v>2575</v>
      </c>
      <c r="G336" s="116" t="s">
        <v>521</v>
      </c>
      <c r="H336" s="117">
        <v>5.83</v>
      </c>
      <c r="I336" s="116" t="s">
        <v>211</v>
      </c>
      <c r="J336" s="117" t="s">
        <v>257</v>
      </c>
      <c r="K336" s="116">
        <v>4.4999999999999998E-2</v>
      </c>
      <c r="L336" s="116">
        <v>8.1199999999999994E-2</v>
      </c>
      <c r="M336" s="111">
        <v>48314.16</v>
      </c>
      <c r="N336" s="61">
        <v>90.73</v>
      </c>
      <c r="O336" s="85">
        <v>43.835430000000002</v>
      </c>
      <c r="P336" s="25">
        <v>7.8066346224981602E-4</v>
      </c>
      <c r="Q336" s="25">
        <v>7.609642768470575E-5</v>
      </c>
      <c r="R336" s="15"/>
    </row>
    <row r="337" spans="1:18" s="118" customFormat="1" x14ac:dyDescent="0.25">
      <c r="A337" s="93" t="s">
        <v>2706</v>
      </c>
      <c r="B337" s="130" t="s">
        <v>251</v>
      </c>
      <c r="C337" s="130" t="s">
        <v>251</v>
      </c>
      <c r="D337" s="130"/>
      <c r="E337" s="130" t="s">
        <v>251</v>
      </c>
      <c r="F337" s="130" t="s">
        <v>251</v>
      </c>
      <c r="G337" s="130" t="s">
        <v>251</v>
      </c>
      <c r="H337" s="131" t="s">
        <v>251</v>
      </c>
      <c r="I337" s="130" t="s">
        <v>251</v>
      </c>
      <c r="J337" s="131" t="s">
        <v>251</v>
      </c>
      <c r="K337" s="130" t="s">
        <v>251</v>
      </c>
      <c r="L337" s="130" t="s">
        <v>251</v>
      </c>
      <c r="M337" s="160" t="s">
        <v>251</v>
      </c>
      <c r="N337" s="135" t="s">
        <v>251</v>
      </c>
      <c r="O337" s="123">
        <v>0</v>
      </c>
      <c r="P337" s="136">
        <v>0</v>
      </c>
      <c r="Q337" s="136">
        <v>0</v>
      </c>
      <c r="R337" s="15"/>
    </row>
    <row r="338" spans="1:18" s="118" customFormat="1" x14ac:dyDescent="0.25">
      <c r="A338" s="93" t="s">
        <v>2707</v>
      </c>
      <c r="B338" s="130" t="s">
        <v>251</v>
      </c>
      <c r="C338" s="130" t="s">
        <v>251</v>
      </c>
      <c r="D338" s="130"/>
      <c r="E338" s="130" t="s">
        <v>251</v>
      </c>
      <c r="F338" s="130" t="s">
        <v>251</v>
      </c>
      <c r="G338" s="130" t="s">
        <v>251</v>
      </c>
      <c r="H338" s="131" t="s">
        <v>251</v>
      </c>
      <c r="I338" s="130" t="s">
        <v>251</v>
      </c>
      <c r="J338" s="131" t="s">
        <v>251</v>
      </c>
      <c r="K338" s="130" t="s">
        <v>251</v>
      </c>
      <c r="L338" s="130" t="s">
        <v>251</v>
      </c>
      <c r="M338" s="160">
        <v>0</v>
      </c>
      <c r="N338" s="135" t="s">
        <v>251</v>
      </c>
      <c r="O338" s="123">
        <v>0</v>
      </c>
      <c r="P338" s="136">
        <v>0</v>
      </c>
      <c r="Q338" s="136">
        <v>0</v>
      </c>
      <c r="R338" s="15"/>
    </row>
    <row r="339" spans="1:18" s="118" customFormat="1" x14ac:dyDescent="0.25">
      <c r="A339" s="93" t="s">
        <v>2708</v>
      </c>
      <c r="B339" s="130" t="s">
        <v>251</v>
      </c>
      <c r="C339" s="130" t="s">
        <v>251</v>
      </c>
      <c r="D339" s="130"/>
      <c r="E339" s="130" t="s">
        <v>251</v>
      </c>
      <c r="F339" s="130" t="s">
        <v>251</v>
      </c>
      <c r="G339" s="130" t="s">
        <v>251</v>
      </c>
      <c r="H339" s="131" t="s">
        <v>251</v>
      </c>
      <c r="I339" s="130" t="s">
        <v>251</v>
      </c>
      <c r="J339" s="131" t="s">
        <v>251</v>
      </c>
      <c r="K339" s="130" t="s">
        <v>251</v>
      </c>
      <c r="L339" s="130" t="s">
        <v>251</v>
      </c>
      <c r="M339" s="160" t="s">
        <v>251</v>
      </c>
      <c r="N339" s="135" t="s">
        <v>251</v>
      </c>
      <c r="O339" s="123">
        <v>0</v>
      </c>
      <c r="P339" s="136">
        <v>0</v>
      </c>
      <c r="Q339" s="136">
        <v>0</v>
      </c>
      <c r="R339" s="15"/>
    </row>
    <row r="340" spans="1:18" s="118" customFormat="1" x14ac:dyDescent="0.25">
      <c r="A340" s="93" t="s">
        <v>2709</v>
      </c>
      <c r="B340" s="130" t="s">
        <v>251</v>
      </c>
      <c r="C340" s="130" t="s">
        <v>251</v>
      </c>
      <c r="D340" s="130"/>
      <c r="E340" s="130" t="s">
        <v>251</v>
      </c>
      <c r="F340" s="130" t="s">
        <v>251</v>
      </c>
      <c r="G340" s="130" t="s">
        <v>251</v>
      </c>
      <c r="H340" s="131" t="s">
        <v>251</v>
      </c>
      <c r="I340" s="130" t="s">
        <v>251</v>
      </c>
      <c r="J340" s="131" t="s">
        <v>251</v>
      </c>
      <c r="K340" s="130" t="s">
        <v>251</v>
      </c>
      <c r="L340" s="130" t="s">
        <v>251</v>
      </c>
      <c r="M340" s="160" t="s">
        <v>251</v>
      </c>
      <c r="N340" s="135" t="s">
        <v>251</v>
      </c>
      <c r="O340" s="123">
        <v>0</v>
      </c>
      <c r="P340" s="136">
        <v>0</v>
      </c>
      <c r="Q340" s="136">
        <v>0</v>
      </c>
      <c r="R340" s="15"/>
    </row>
    <row r="341" spans="1:18" s="118" customFormat="1" x14ac:dyDescent="0.25">
      <c r="A341" s="93" t="s">
        <v>2710</v>
      </c>
      <c r="B341" s="130" t="s">
        <v>251</v>
      </c>
      <c r="C341" s="130" t="s">
        <v>251</v>
      </c>
      <c r="D341" s="130"/>
      <c r="E341" s="130" t="s">
        <v>251</v>
      </c>
      <c r="F341" s="130" t="s">
        <v>251</v>
      </c>
      <c r="G341" s="130" t="s">
        <v>251</v>
      </c>
      <c r="H341" s="131" t="s">
        <v>251</v>
      </c>
      <c r="I341" s="130" t="s">
        <v>251</v>
      </c>
      <c r="J341" s="131" t="s">
        <v>251</v>
      </c>
      <c r="K341" s="130" t="s">
        <v>251</v>
      </c>
      <c r="L341" s="130" t="s">
        <v>251</v>
      </c>
      <c r="M341" s="160" t="s">
        <v>251</v>
      </c>
      <c r="N341" s="135" t="s">
        <v>251</v>
      </c>
      <c r="O341" s="123">
        <v>0</v>
      </c>
      <c r="P341" s="136">
        <v>0</v>
      </c>
      <c r="Q341" s="136">
        <v>0</v>
      </c>
      <c r="R341" s="15"/>
    </row>
    <row r="342" spans="1:18" s="118" customFormat="1" x14ac:dyDescent="0.25">
      <c r="A342" s="93" t="s">
        <v>2711</v>
      </c>
      <c r="B342" s="130" t="s">
        <v>251</v>
      </c>
      <c r="C342" s="130" t="s">
        <v>251</v>
      </c>
      <c r="D342" s="130"/>
      <c r="E342" s="130" t="s">
        <v>251</v>
      </c>
      <c r="F342" s="130" t="s">
        <v>251</v>
      </c>
      <c r="G342" s="130" t="s">
        <v>251</v>
      </c>
      <c r="H342" s="131" t="s">
        <v>251</v>
      </c>
      <c r="I342" s="130" t="s">
        <v>251</v>
      </c>
      <c r="J342" s="131" t="s">
        <v>251</v>
      </c>
      <c r="K342" s="130" t="s">
        <v>251</v>
      </c>
      <c r="L342" s="130" t="s">
        <v>251</v>
      </c>
      <c r="M342" s="160" t="s">
        <v>251</v>
      </c>
      <c r="N342" s="135" t="s">
        <v>251</v>
      </c>
      <c r="O342" s="123">
        <v>0</v>
      </c>
      <c r="P342" s="136">
        <v>0</v>
      </c>
      <c r="Q342" s="136">
        <v>0</v>
      </c>
      <c r="R342" s="15"/>
    </row>
    <row r="343" spans="1:18" s="118" customFormat="1" x14ac:dyDescent="0.25">
      <c r="A343" s="93" t="s">
        <v>2712</v>
      </c>
      <c r="B343" s="130" t="s">
        <v>251</v>
      </c>
      <c r="C343" s="130" t="s">
        <v>251</v>
      </c>
      <c r="D343" s="130"/>
      <c r="E343" s="130" t="s">
        <v>251</v>
      </c>
      <c r="F343" s="130" t="s">
        <v>251</v>
      </c>
      <c r="G343" s="130" t="s">
        <v>251</v>
      </c>
      <c r="H343" s="131" t="s">
        <v>251</v>
      </c>
      <c r="I343" s="130" t="s">
        <v>251</v>
      </c>
      <c r="J343" s="131" t="s">
        <v>251</v>
      </c>
      <c r="K343" s="130" t="s">
        <v>251</v>
      </c>
      <c r="L343" s="130" t="s">
        <v>251</v>
      </c>
      <c r="M343" s="160" t="s">
        <v>251</v>
      </c>
      <c r="N343" s="135" t="s">
        <v>251</v>
      </c>
      <c r="O343" s="123">
        <v>0</v>
      </c>
      <c r="P343" s="136">
        <v>0</v>
      </c>
      <c r="Q343" s="136">
        <v>0</v>
      </c>
      <c r="R343" s="15"/>
    </row>
    <row r="344" spans="1:18" s="118" customFormat="1" x14ac:dyDescent="0.25">
      <c r="A344" s="93" t="s">
        <v>488</v>
      </c>
      <c r="B344" s="130" t="s">
        <v>251</v>
      </c>
      <c r="C344" s="130" t="s">
        <v>251</v>
      </c>
      <c r="D344" s="130"/>
      <c r="E344" s="130" t="s">
        <v>251</v>
      </c>
      <c r="F344" s="130" t="s">
        <v>251</v>
      </c>
      <c r="G344" s="130" t="s">
        <v>251</v>
      </c>
      <c r="H344" s="131" t="s">
        <v>251</v>
      </c>
      <c r="I344" s="130" t="s">
        <v>251</v>
      </c>
      <c r="J344" s="131" t="s">
        <v>251</v>
      </c>
      <c r="K344" s="130" t="s">
        <v>251</v>
      </c>
      <c r="L344" s="130" t="s">
        <v>251</v>
      </c>
      <c r="M344" s="160" t="s">
        <v>251</v>
      </c>
      <c r="N344" s="135" t="s">
        <v>251</v>
      </c>
      <c r="O344" s="123">
        <v>99.135594655079771</v>
      </c>
      <c r="P344" s="136">
        <v>1.7655019365757087E-3</v>
      </c>
      <c r="Q344" s="136">
        <v>1.7209514334981039E-4</v>
      </c>
      <c r="R344" s="15"/>
    </row>
    <row r="345" spans="1:18" s="118" customFormat="1" x14ac:dyDescent="0.25">
      <c r="A345" s="93" t="s">
        <v>2229</v>
      </c>
      <c r="B345" s="130" t="s">
        <v>251</v>
      </c>
      <c r="C345" s="130" t="s">
        <v>251</v>
      </c>
      <c r="D345" s="130"/>
      <c r="E345" s="130" t="s">
        <v>251</v>
      </c>
      <c r="F345" s="130" t="s">
        <v>251</v>
      </c>
      <c r="G345" s="130" t="s">
        <v>251</v>
      </c>
      <c r="H345" s="131" t="s">
        <v>251</v>
      </c>
      <c r="I345" s="130" t="s">
        <v>251</v>
      </c>
      <c r="J345" s="131" t="s">
        <v>251</v>
      </c>
      <c r="K345" s="130" t="s">
        <v>251</v>
      </c>
      <c r="L345" s="130" t="s">
        <v>251</v>
      </c>
      <c r="M345" s="160" t="s">
        <v>251</v>
      </c>
      <c r="N345" s="135" t="s">
        <v>251</v>
      </c>
      <c r="O345" s="123">
        <v>0</v>
      </c>
      <c r="P345" s="136">
        <v>0</v>
      </c>
      <c r="Q345" s="136">
        <v>0</v>
      </c>
      <c r="R345" s="15"/>
    </row>
    <row r="346" spans="1:18" s="118" customFormat="1" x14ac:dyDescent="0.25">
      <c r="A346" s="93" t="s">
        <v>2711</v>
      </c>
      <c r="B346" s="130" t="s">
        <v>251</v>
      </c>
      <c r="C346" s="130" t="s">
        <v>251</v>
      </c>
      <c r="D346" s="130"/>
      <c r="E346" s="130" t="s">
        <v>251</v>
      </c>
      <c r="F346" s="130" t="s">
        <v>251</v>
      </c>
      <c r="G346" s="130" t="s">
        <v>251</v>
      </c>
      <c r="H346" s="131" t="s">
        <v>251</v>
      </c>
      <c r="I346" s="130" t="s">
        <v>251</v>
      </c>
      <c r="J346" s="131" t="s">
        <v>251</v>
      </c>
      <c r="K346" s="130" t="s">
        <v>251</v>
      </c>
      <c r="L346" s="130" t="s">
        <v>251</v>
      </c>
      <c r="M346" s="160" t="s">
        <v>251</v>
      </c>
      <c r="N346" s="135" t="s">
        <v>251</v>
      </c>
      <c r="O346" s="123">
        <v>0</v>
      </c>
      <c r="P346" s="136">
        <v>0</v>
      </c>
      <c r="Q346" s="136">
        <v>0</v>
      </c>
      <c r="R346" s="15"/>
    </row>
    <row r="347" spans="1:18" s="118" customFormat="1" x14ac:dyDescent="0.25">
      <c r="A347" s="93" t="s">
        <v>2271</v>
      </c>
      <c r="B347" s="130" t="s">
        <v>251</v>
      </c>
      <c r="C347" s="130" t="s">
        <v>251</v>
      </c>
      <c r="D347" s="130"/>
      <c r="E347" s="130" t="s">
        <v>251</v>
      </c>
      <c r="F347" s="130" t="s">
        <v>251</v>
      </c>
      <c r="G347" s="130" t="s">
        <v>251</v>
      </c>
      <c r="H347" s="131" t="s">
        <v>251</v>
      </c>
      <c r="I347" s="130" t="s">
        <v>251</v>
      </c>
      <c r="J347" s="131" t="s">
        <v>251</v>
      </c>
      <c r="K347" s="130" t="s">
        <v>251</v>
      </c>
      <c r="L347" s="130" t="s">
        <v>251</v>
      </c>
      <c r="M347" s="160" t="s">
        <v>251</v>
      </c>
      <c r="N347" s="135" t="s">
        <v>251</v>
      </c>
      <c r="O347" s="123">
        <v>99.13559435507976</v>
      </c>
      <c r="P347" s="136">
        <v>1.7655019312330204E-3</v>
      </c>
      <c r="Q347" s="136">
        <v>1.7209514282902322E-4</v>
      </c>
      <c r="R347" s="15"/>
    </row>
    <row r="348" spans="1:18" x14ac:dyDescent="0.25">
      <c r="A348" s="17" t="s">
        <v>2903</v>
      </c>
      <c r="B348" s="116" t="s">
        <v>2272</v>
      </c>
      <c r="C348" s="116" t="s">
        <v>2719</v>
      </c>
      <c r="D348" s="116"/>
      <c r="E348" s="116" t="s">
        <v>499</v>
      </c>
      <c r="F348" s="116" t="s">
        <v>2720</v>
      </c>
      <c r="G348" s="116" t="s">
        <v>499</v>
      </c>
      <c r="H348" s="117">
        <v>2.35</v>
      </c>
      <c r="I348" s="116" t="s">
        <v>164</v>
      </c>
      <c r="J348" s="117" t="s">
        <v>125</v>
      </c>
      <c r="K348" s="116">
        <v>9.0334299999999992E-2</v>
      </c>
      <c r="L348" s="116">
        <v>8.1300000000000011E-2</v>
      </c>
      <c r="M348" s="111">
        <v>2894.4978123128258</v>
      </c>
      <c r="N348" s="61">
        <v>100.57</v>
      </c>
      <c r="O348" s="85">
        <v>10.770686864171461</v>
      </c>
      <c r="P348" s="25">
        <v>1.9181474205209591E-4</v>
      </c>
      <c r="Q348" s="25">
        <v>1.8697450762409167E-5</v>
      </c>
      <c r="R348" s="15"/>
    </row>
    <row r="349" spans="1:18" x14ac:dyDescent="0.25">
      <c r="A349" s="17" t="s">
        <v>2903</v>
      </c>
      <c r="B349" s="116" t="s">
        <v>2915</v>
      </c>
      <c r="C349" s="116" t="s">
        <v>2721</v>
      </c>
      <c r="D349" s="116"/>
      <c r="E349" s="116" t="s">
        <v>499</v>
      </c>
      <c r="F349" s="116" t="s">
        <v>2722</v>
      </c>
      <c r="G349" s="116" t="s">
        <v>499</v>
      </c>
      <c r="H349" s="117">
        <v>5.32</v>
      </c>
      <c r="I349" s="116" t="s">
        <v>164</v>
      </c>
      <c r="J349" s="117" t="s">
        <v>125</v>
      </c>
      <c r="K349" s="116">
        <v>3.7499999999999999E-2</v>
      </c>
      <c r="L349" s="116">
        <v>0</v>
      </c>
      <c r="M349" s="111">
        <v>-36.466846109367467</v>
      </c>
      <c r="N349" s="61">
        <v>39.4574</v>
      </c>
      <c r="O349" s="85">
        <v>-5.3238896882091907E-2</v>
      </c>
      <c r="P349" s="25">
        <v>-9.4812943699502435E-7</v>
      </c>
      <c r="Q349" s="25">
        <v>-9.2420443157546602E-8</v>
      </c>
      <c r="R349" s="15"/>
    </row>
    <row r="350" spans="1:18" x14ac:dyDescent="0.25">
      <c r="A350" s="17" t="s">
        <v>2904</v>
      </c>
      <c r="B350" s="116" t="s">
        <v>2915</v>
      </c>
      <c r="C350" s="116" t="s">
        <v>2726</v>
      </c>
      <c r="D350" s="116"/>
      <c r="E350" s="116" t="s">
        <v>499</v>
      </c>
      <c r="F350" s="116" t="s">
        <v>2727</v>
      </c>
      <c r="G350" s="116" t="s">
        <v>499</v>
      </c>
      <c r="H350" s="117">
        <v>2.4</v>
      </c>
      <c r="I350" s="116" t="s">
        <v>164</v>
      </c>
      <c r="J350" s="117" t="s">
        <v>131</v>
      </c>
      <c r="K350" s="116">
        <v>8.7725000000000011E-2</v>
      </c>
      <c r="L350" s="116">
        <v>8.6999999999999994E-2</v>
      </c>
      <c r="M350" s="111">
        <v>6201.6568163954571</v>
      </c>
      <c r="N350" s="61">
        <v>99.47</v>
      </c>
      <c r="O350" s="85">
        <v>17.209684859783909</v>
      </c>
      <c r="P350" s="25">
        <v>3.0648660608250327E-4</v>
      </c>
      <c r="Q350" s="25">
        <v>2.9875275306050873E-5</v>
      </c>
      <c r="R350" s="15"/>
    </row>
    <row r="351" spans="1:18" x14ac:dyDescent="0.25">
      <c r="A351" s="17" t="s">
        <v>2904</v>
      </c>
      <c r="B351" s="116" t="s">
        <v>2915</v>
      </c>
      <c r="C351" s="116" t="s">
        <v>2723</v>
      </c>
      <c r="D351" s="116"/>
      <c r="E351" s="116" t="s">
        <v>499</v>
      </c>
      <c r="F351" s="116" t="s">
        <v>2724</v>
      </c>
      <c r="G351" s="116" t="s">
        <v>499</v>
      </c>
      <c r="H351" s="117">
        <v>0</v>
      </c>
      <c r="I351" s="116" t="s">
        <v>164</v>
      </c>
      <c r="J351" s="117" t="s">
        <v>131</v>
      </c>
      <c r="K351" s="116">
        <v>8.7725000000000011E-2</v>
      </c>
      <c r="L351" s="116">
        <v>0</v>
      </c>
      <c r="M351" s="111">
        <v>-108.52899529921372</v>
      </c>
      <c r="N351" s="61">
        <v>69.971199999999996</v>
      </c>
      <c r="O351" s="85">
        <v>-0.21185475031497078</v>
      </c>
      <c r="P351" s="25">
        <v>-3.7729129810054421E-6</v>
      </c>
      <c r="Q351" s="25">
        <v>-3.6777076640983254E-7</v>
      </c>
      <c r="R351" s="15"/>
    </row>
    <row r="352" spans="1:18" x14ac:dyDescent="0.25">
      <c r="A352" s="17" t="s">
        <v>2905</v>
      </c>
      <c r="B352" s="116" t="s">
        <v>2272</v>
      </c>
      <c r="C352" s="116" t="s">
        <v>2715</v>
      </c>
      <c r="D352" s="116"/>
      <c r="E352" s="116" t="s">
        <v>499</v>
      </c>
      <c r="F352" s="116" t="s">
        <v>2716</v>
      </c>
      <c r="G352" s="116" t="s">
        <v>499</v>
      </c>
      <c r="H352" s="117">
        <v>2.2200000000000002</v>
      </c>
      <c r="I352" s="116" t="s">
        <v>164</v>
      </c>
      <c r="J352" s="117" t="s">
        <v>125</v>
      </c>
      <c r="K352" s="116">
        <v>8.8099999999999984E-2</v>
      </c>
      <c r="L352" s="116">
        <v>8.5699999999999998E-2</v>
      </c>
      <c r="M352" s="111">
        <v>5238.7919008084637</v>
      </c>
      <c r="N352" s="61">
        <v>100.44</v>
      </c>
      <c r="O352" s="85">
        <v>19.468817563850685</v>
      </c>
      <c r="P352" s="25">
        <v>3.4671941224953659E-4</v>
      </c>
      <c r="Q352" s="25">
        <v>3.379703285343141E-5</v>
      </c>
      <c r="R352" s="15"/>
    </row>
    <row r="353" spans="1:18" x14ac:dyDescent="0.25">
      <c r="A353" s="17" t="s">
        <v>2905</v>
      </c>
      <c r="B353" s="116" t="s">
        <v>2915</v>
      </c>
      <c r="C353" s="116" t="s">
        <v>2717</v>
      </c>
      <c r="D353" s="116"/>
      <c r="E353" s="116" t="s">
        <v>499</v>
      </c>
      <c r="F353" s="116" t="s">
        <v>2718</v>
      </c>
      <c r="G353" s="116" t="s">
        <v>499</v>
      </c>
      <c r="H353" s="117">
        <v>3.95</v>
      </c>
      <c r="I353" s="116" t="s">
        <v>164</v>
      </c>
      <c r="J353" s="117" t="s">
        <v>125</v>
      </c>
      <c r="K353" s="116">
        <v>9.2834299999999995E-2</v>
      </c>
      <c r="L353" s="116">
        <v>0</v>
      </c>
      <c r="M353" s="111">
        <v>-60.465152392648854</v>
      </c>
      <c r="N353" s="61">
        <v>36.6813</v>
      </c>
      <c r="O353" s="85">
        <v>-8.2064012640854681E-2</v>
      </c>
      <c r="P353" s="25">
        <v>-1.4614747986804802E-6</v>
      </c>
      <c r="Q353" s="25">
        <v>-1.4245960866453406E-7</v>
      </c>
      <c r="R353" s="15"/>
    </row>
    <row r="354" spans="1:18" x14ac:dyDescent="0.25">
      <c r="A354" s="17" t="s">
        <v>2906</v>
      </c>
      <c r="B354" s="116" t="s">
        <v>2915</v>
      </c>
      <c r="C354" s="116" t="s">
        <v>2728</v>
      </c>
      <c r="D354" s="116"/>
      <c r="E354" s="116" t="s">
        <v>499</v>
      </c>
      <c r="F354" s="116" t="s">
        <v>1635</v>
      </c>
      <c r="G354" s="116" t="s">
        <v>499</v>
      </c>
      <c r="H354" s="117">
        <v>1.1200000000000001</v>
      </c>
      <c r="I354" s="116" t="s">
        <v>224</v>
      </c>
      <c r="J354" s="117" t="s">
        <v>125</v>
      </c>
      <c r="K354" s="116">
        <v>0.10954999999999999</v>
      </c>
      <c r="L354" s="116">
        <v>0.11869999999999999</v>
      </c>
      <c r="M354" s="111">
        <v>5309.7449424665956</v>
      </c>
      <c r="N354" s="61">
        <v>100.98</v>
      </c>
      <c r="O354" s="85">
        <v>19.838587637242515</v>
      </c>
      <c r="P354" s="25">
        <v>3.5330463305677939E-4</v>
      </c>
      <c r="Q354" s="25">
        <v>3.4438937852420349E-5</v>
      </c>
      <c r="R354" s="15"/>
    </row>
    <row r="355" spans="1:18" x14ac:dyDescent="0.25">
      <c r="A355" s="17" t="s">
        <v>2907</v>
      </c>
      <c r="B355" s="116" t="s">
        <v>2915</v>
      </c>
      <c r="C355" s="116" t="s">
        <v>2729</v>
      </c>
      <c r="D355" s="116"/>
      <c r="E355" s="116" t="s">
        <v>499</v>
      </c>
      <c r="F355" s="116" t="s">
        <v>2730</v>
      </c>
      <c r="G355" s="116" t="s">
        <v>499</v>
      </c>
      <c r="H355" s="117">
        <v>6</v>
      </c>
      <c r="I355" s="116" t="s">
        <v>182</v>
      </c>
      <c r="J355" s="117" t="s">
        <v>125</v>
      </c>
      <c r="K355" s="116">
        <v>0.14205000000000001</v>
      </c>
      <c r="L355" s="116">
        <v>0</v>
      </c>
      <c r="M355" s="111">
        <v>520.64496516139263</v>
      </c>
      <c r="N355" s="61">
        <v>106.21</v>
      </c>
      <c r="O355" s="85">
        <v>2.0460149635808298</v>
      </c>
      <c r="P355" s="25">
        <v>3.6437400643359529E-5</v>
      </c>
      <c r="Q355" s="25">
        <v>3.5517942841659012E-6</v>
      </c>
      <c r="R355" s="15"/>
    </row>
    <row r="356" spans="1:18" x14ac:dyDescent="0.25">
      <c r="A356" s="17" t="s">
        <v>2908</v>
      </c>
      <c r="B356" s="116" t="s">
        <v>2915</v>
      </c>
      <c r="C356" s="116" t="s">
        <v>2731</v>
      </c>
      <c r="D356" s="116"/>
      <c r="E356" s="116" t="s">
        <v>499</v>
      </c>
      <c r="F356" s="116" t="s">
        <v>2305</v>
      </c>
      <c r="G356" s="116" t="s">
        <v>499</v>
      </c>
      <c r="H356" s="117">
        <v>6</v>
      </c>
      <c r="I356" s="116" t="s">
        <v>182</v>
      </c>
      <c r="J356" s="117" t="s">
        <v>125</v>
      </c>
      <c r="K356" s="116">
        <v>0.14205000000000001</v>
      </c>
      <c r="L356" s="116">
        <v>0</v>
      </c>
      <c r="M356" s="111">
        <v>654.06249537665769</v>
      </c>
      <c r="N356" s="61">
        <v>105.57</v>
      </c>
      <c r="O356" s="85">
        <v>2.5548269714774725</v>
      </c>
      <c r="P356" s="25">
        <v>4.5498813836269328E-5</v>
      </c>
      <c r="Q356" s="25">
        <v>4.4350701220900827E-6</v>
      </c>
      <c r="R356" s="15"/>
    </row>
    <row r="357" spans="1:18" x14ac:dyDescent="0.25">
      <c r="A357" s="17" t="s">
        <v>2908</v>
      </c>
      <c r="B357" s="116" t="s">
        <v>2915</v>
      </c>
      <c r="C357" s="116" t="s">
        <v>2732</v>
      </c>
      <c r="D357" s="116"/>
      <c r="E357" s="116" t="s">
        <v>499</v>
      </c>
      <c r="F357" s="116" t="s">
        <v>2305</v>
      </c>
      <c r="G357" s="116" t="s">
        <v>499</v>
      </c>
      <c r="H357" s="117">
        <v>6</v>
      </c>
      <c r="I357" s="116" t="s">
        <v>182</v>
      </c>
      <c r="J357" s="117" t="s">
        <v>125</v>
      </c>
      <c r="K357" s="116">
        <v>0.14205000000000001</v>
      </c>
      <c r="L357" s="116">
        <v>0</v>
      </c>
      <c r="M357" s="111">
        <v>612.86540396594944</v>
      </c>
      <c r="N357" s="61">
        <v>105.57</v>
      </c>
      <c r="O357" s="85">
        <v>2.3939074247856986</v>
      </c>
      <c r="P357" s="25">
        <v>4.2633003908909861E-5</v>
      </c>
      <c r="Q357" s="25">
        <v>4.1557206860771085E-6</v>
      </c>
      <c r="R357" s="15"/>
    </row>
    <row r="358" spans="1:18" x14ac:dyDescent="0.25">
      <c r="A358" s="17" t="s">
        <v>2909</v>
      </c>
      <c r="B358" s="116" t="s">
        <v>2915</v>
      </c>
      <c r="C358" s="116" t="s">
        <v>2725</v>
      </c>
      <c r="D358" s="116"/>
      <c r="E358" s="116" t="s">
        <v>499</v>
      </c>
      <c r="F358" s="116" t="s">
        <v>2287</v>
      </c>
      <c r="G358" s="116" t="s">
        <v>499</v>
      </c>
      <c r="H358" s="117">
        <v>2.65</v>
      </c>
      <c r="I358" s="116" t="s">
        <v>164</v>
      </c>
      <c r="J358" s="117" t="s">
        <v>125</v>
      </c>
      <c r="K358" s="116">
        <v>9.0334299999999992E-2</v>
      </c>
      <c r="L358" s="116">
        <v>8.3499999999999991E-2</v>
      </c>
      <c r="M358" s="111">
        <v>6889.6887750182996</v>
      </c>
      <c r="N358" s="61">
        <v>99.6</v>
      </c>
      <c r="O358" s="85">
        <v>25.389881073094596</v>
      </c>
      <c r="P358" s="25">
        <v>4.521674012239209E-4</v>
      </c>
      <c r="Q358" s="25">
        <v>4.4075745327512972E-5</v>
      </c>
      <c r="R358" s="15"/>
    </row>
    <row r="359" spans="1:18" x14ac:dyDescent="0.25">
      <c r="A359" s="17" t="s">
        <v>2909</v>
      </c>
      <c r="B359" s="116" t="s">
        <v>2915</v>
      </c>
      <c r="C359" s="116" t="s">
        <v>2713</v>
      </c>
      <c r="D359" s="116"/>
      <c r="E359" s="116" t="s">
        <v>499</v>
      </c>
      <c r="F359" s="116" t="s">
        <v>2714</v>
      </c>
      <c r="G359" s="116" t="s">
        <v>499</v>
      </c>
      <c r="H359" s="117">
        <v>3.91</v>
      </c>
      <c r="I359" s="116" t="s">
        <v>164</v>
      </c>
      <c r="J359" s="117" t="s">
        <v>257</v>
      </c>
      <c r="K359" s="116">
        <v>0</v>
      </c>
      <c r="L359" s="116">
        <v>0</v>
      </c>
      <c r="M359" s="111">
        <v>-472.54218609647251</v>
      </c>
      <c r="N359" s="61">
        <v>40.135100000000001</v>
      </c>
      <c r="O359" s="85">
        <v>-0.18965544306948753</v>
      </c>
      <c r="P359" s="25">
        <v>-3.3775663845694913E-6</v>
      </c>
      <c r="Q359" s="25">
        <v>-3.2923372049842069E-7</v>
      </c>
      <c r="R359" s="15"/>
    </row>
    <row r="360" spans="1:18" s="118" customFormat="1" x14ac:dyDescent="0.25">
      <c r="A360" s="93" t="s">
        <v>2712</v>
      </c>
      <c r="B360" s="130" t="s">
        <v>251</v>
      </c>
      <c r="C360" s="130" t="s">
        <v>251</v>
      </c>
      <c r="D360" s="130"/>
      <c r="E360" s="130" t="s">
        <v>251</v>
      </c>
      <c r="F360" s="130" t="s">
        <v>251</v>
      </c>
      <c r="G360" s="130" t="s">
        <v>251</v>
      </c>
      <c r="H360" s="131" t="s">
        <v>251</v>
      </c>
      <c r="I360" s="130" t="s">
        <v>251</v>
      </c>
      <c r="J360" s="131" t="s">
        <v>251</v>
      </c>
      <c r="K360" s="130" t="s">
        <v>251</v>
      </c>
      <c r="L360" s="130" t="s">
        <v>251</v>
      </c>
      <c r="M360" s="160" t="s">
        <v>251</v>
      </c>
      <c r="N360" s="135" t="s">
        <v>251</v>
      </c>
      <c r="O360" s="123">
        <v>0</v>
      </c>
      <c r="P360" s="136">
        <v>0</v>
      </c>
      <c r="Q360" s="136">
        <v>0</v>
      </c>
      <c r="R360" s="15"/>
    </row>
    <row r="361" spans="1:18" s="118" customFormat="1" x14ac:dyDescent="0.25">
      <c r="A361" s="79" t="s">
        <v>242</v>
      </c>
      <c r="B361" s="79"/>
      <c r="C361" s="124"/>
      <c r="D361" s="124"/>
      <c r="E361" s="124"/>
      <c r="F361" s="125"/>
      <c r="G361" s="125"/>
      <c r="H361" s="125"/>
      <c r="I361" s="125"/>
      <c r="J361" s="125"/>
      <c r="K361" s="126"/>
      <c r="L361" s="127"/>
      <c r="M361" s="128"/>
      <c r="N361" s="128"/>
      <c r="O361" s="128"/>
      <c r="P361" s="128"/>
      <c r="Q361" s="127"/>
      <c r="R361" s="15"/>
    </row>
    <row r="362" spans="1:18" s="118" customFormat="1" x14ac:dyDescent="0.25">
      <c r="A362" s="79" t="s">
        <v>243</v>
      </c>
      <c r="B362" s="79"/>
      <c r="C362" s="124"/>
      <c r="D362" s="124"/>
      <c r="E362" s="124"/>
      <c r="F362" s="125"/>
      <c r="G362" s="125"/>
      <c r="H362" s="125"/>
      <c r="I362" s="125"/>
      <c r="J362" s="125"/>
      <c r="K362" s="126"/>
      <c r="L362" s="127"/>
      <c r="M362" s="128"/>
      <c r="N362" s="128"/>
      <c r="O362" s="128"/>
      <c r="P362" s="128"/>
      <c r="Q362" s="127"/>
      <c r="R362" s="15"/>
    </row>
    <row r="363" spans="1:18" s="118" customFormat="1" x14ac:dyDescent="0.25">
      <c r="A363" s="79" t="s">
        <v>244</v>
      </c>
      <c r="B363" s="79"/>
      <c r="C363" s="124"/>
      <c r="D363" s="124"/>
      <c r="E363" s="124"/>
      <c r="F363" s="125"/>
      <c r="G363" s="125"/>
      <c r="H363" s="125"/>
      <c r="I363" s="125"/>
      <c r="J363" s="125"/>
      <c r="K363" s="126"/>
      <c r="L363" s="127"/>
      <c r="M363" s="128"/>
      <c r="N363" s="128"/>
      <c r="O363" s="128"/>
      <c r="P363" s="128"/>
      <c r="Q363" s="127"/>
      <c r="R363" s="15"/>
    </row>
    <row r="364" spans="1:18" s="118" customFormat="1" x14ac:dyDescent="0.25">
      <c r="A364" s="79" t="s">
        <v>245</v>
      </c>
      <c r="B364" s="79"/>
      <c r="C364" s="124"/>
      <c r="D364" s="124"/>
      <c r="E364" s="124"/>
      <c r="F364" s="125"/>
      <c r="G364" s="125"/>
      <c r="H364" s="125"/>
      <c r="I364" s="125"/>
      <c r="J364" s="125"/>
      <c r="K364" s="126"/>
      <c r="L364" s="127"/>
      <c r="M364" s="128"/>
      <c r="N364" s="128"/>
      <c r="O364" s="128"/>
      <c r="P364" s="128"/>
      <c r="Q364" s="127"/>
      <c r="R364" s="15"/>
    </row>
    <row r="365" spans="1:18" s="118" customFormat="1" x14ac:dyDescent="0.25">
      <c r="A365" s="79" t="s">
        <v>246</v>
      </c>
      <c r="B365" s="79"/>
      <c r="C365" s="124"/>
      <c r="D365" s="124"/>
      <c r="E365" s="124"/>
      <c r="F365" s="125"/>
      <c r="G365" s="125"/>
      <c r="H365" s="125"/>
      <c r="I365" s="125"/>
      <c r="J365" s="125"/>
      <c r="K365" s="126"/>
      <c r="L365" s="127"/>
      <c r="M365" s="128"/>
      <c r="N365" s="128"/>
      <c r="O365" s="128"/>
      <c r="P365" s="128"/>
      <c r="Q365" s="127"/>
      <c r="R365" s="15"/>
    </row>
  </sheetData>
  <sortState xmlns:xlrd2="http://schemas.microsoft.com/office/spreadsheetml/2017/richdata2" ref="A348:Z359">
    <sortCondition ref="A348:A359" customList="א,ב,ג,ד,ה,ו,ז,ח,ט,י,כ,ל,מ,נ,ס,ע,פ,צ,ק,ר,ש,ת"/>
  </sortState>
  <mergeCells count="1">
    <mergeCell ref="A5:Q5"/>
  </mergeCells>
  <phoneticPr fontId="3" type="noConversion"/>
  <conditionalFormatting sqref="A10:A360">
    <cfRule type="expression" dxfId="42" priority="1" stopIfTrue="1">
      <formula>#REF!&gt;0</formula>
    </cfRule>
  </conditionalFormatting>
  <conditionalFormatting sqref="B10:L360">
    <cfRule type="expression" dxfId="41" priority="375" stopIfTrue="1">
      <formula>LEFT(#REF!,3)="TIR"</formula>
    </cfRule>
  </conditionalFormatting>
  <conditionalFormatting sqref="O10:P360">
    <cfRule type="expression" dxfId="40" priority="373" stopIfTrue="1">
      <formula>#REF!&gt;0</formula>
    </cfRule>
  </conditionalFormatting>
  <conditionalFormatting sqref="P10:Q360">
    <cfRule type="expression" dxfId="39" priority="37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22"/>
  <sheetViews>
    <sheetView rightToLeft="1" zoomScale="80" workbookViewId="0"/>
  </sheetViews>
  <sheetFormatPr defaultColWidth="9.109375" defaultRowHeight="13.2" x14ac:dyDescent="0.25"/>
  <cols>
    <col min="1" max="1" width="30.88671875" style="10" bestFit="1" customWidth="1"/>
    <col min="2" max="2" width="13.5546875" style="10" bestFit="1" customWidth="1"/>
    <col min="3" max="3" width="13.33203125" style="9" customWidth="1"/>
    <col min="4" max="4" width="7.5546875" style="9" customWidth="1"/>
    <col min="5" max="5" width="11.109375" style="60" customWidth="1"/>
    <col min="6" max="6" width="7.88671875" style="60" customWidth="1"/>
    <col min="7" max="7" width="11.33203125" style="60" customWidth="1"/>
    <col min="8" max="8" width="17.6640625" style="37" customWidth="1"/>
    <col min="9" max="9" width="14.109375" style="62" customWidth="1"/>
    <col min="10" max="10" width="12.44140625" style="64" bestFit="1" customWidth="1"/>
    <col min="11" max="11" width="7.109375" style="64" bestFit="1" customWidth="1"/>
    <col min="12" max="12" width="10.44140625" style="64" customWidth="1"/>
    <col min="13" max="13" width="25.44140625" style="64" customWidth="1"/>
    <col min="14" max="14" width="20.6640625" style="62" customWidth="1"/>
    <col min="15" max="15" width="10.5546875" style="13" customWidth="1"/>
    <col min="16" max="16" width="11.44140625" style="15" customWidth="1"/>
    <col min="17" max="17" width="15.44140625" style="15" customWidth="1"/>
    <col min="18" max="16384" width="9.109375" style="15"/>
  </cols>
  <sheetData>
    <row r="1" spans="1:17" s="7" customFormat="1" x14ac:dyDescent="0.25">
      <c r="A1" s="7" t="s">
        <v>237</v>
      </c>
      <c r="B1" s="10" t="s">
        <v>247</v>
      </c>
      <c r="C1" s="9"/>
      <c r="D1" s="44"/>
      <c r="E1" s="60"/>
      <c r="F1" s="60"/>
      <c r="G1" s="60"/>
      <c r="H1" s="37"/>
      <c r="I1" s="62"/>
      <c r="J1" s="63"/>
      <c r="K1" s="63"/>
      <c r="L1" s="63"/>
      <c r="M1" s="63"/>
      <c r="N1" s="62"/>
      <c r="O1" s="13"/>
      <c r="P1" s="15"/>
    </row>
    <row r="2" spans="1:17" s="7" customFormat="1" x14ac:dyDescent="0.25">
      <c r="A2" s="10" t="s">
        <v>238</v>
      </c>
      <c r="B2" s="10" t="s">
        <v>150</v>
      </c>
      <c r="C2" s="9"/>
      <c r="D2" s="44"/>
      <c r="E2" s="60"/>
      <c r="F2" s="60"/>
      <c r="G2" s="60"/>
      <c r="H2" s="37"/>
      <c r="I2" s="62"/>
      <c r="J2" s="63"/>
      <c r="K2" s="63"/>
      <c r="L2" s="63"/>
      <c r="M2" s="63"/>
      <c r="N2" s="62"/>
      <c r="O2" s="13"/>
      <c r="P2" s="15"/>
    </row>
    <row r="3" spans="1:17" s="7" customFormat="1" x14ac:dyDescent="0.25">
      <c r="A3" s="10" t="s">
        <v>239</v>
      </c>
      <c r="B3" s="9" t="s">
        <v>240</v>
      </c>
      <c r="C3" s="9"/>
      <c r="D3" s="44"/>
      <c r="E3" s="60"/>
      <c r="F3" s="60"/>
      <c r="G3" s="60"/>
      <c r="H3" s="37"/>
      <c r="I3" s="62"/>
      <c r="J3" s="63"/>
      <c r="K3" s="63"/>
      <c r="L3" s="63"/>
      <c r="M3" s="63"/>
      <c r="N3" s="62"/>
      <c r="O3" s="13"/>
      <c r="P3" s="15"/>
    </row>
    <row r="4" spans="1:17" s="7" customFormat="1" ht="13.8" thickBot="1" x14ac:dyDescent="0.3">
      <c r="A4" s="10" t="s">
        <v>241</v>
      </c>
      <c r="B4" s="9" t="s">
        <v>249</v>
      </c>
      <c r="C4" s="9"/>
      <c r="D4" s="44"/>
      <c r="E4" s="60"/>
      <c r="F4" s="60"/>
      <c r="G4" s="60"/>
      <c r="H4" s="37"/>
      <c r="I4" s="62"/>
      <c r="J4" s="63"/>
      <c r="K4" s="63"/>
      <c r="L4" s="63"/>
      <c r="M4" s="63"/>
      <c r="N4" s="62"/>
      <c r="O4" s="13"/>
      <c r="P4" s="15"/>
    </row>
    <row r="5" spans="1:17" s="7" customFormat="1" x14ac:dyDescent="0.25">
      <c r="A5" s="220" t="s">
        <v>37</v>
      </c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2"/>
      <c r="O5" s="13"/>
      <c r="P5" s="13"/>
      <c r="Q5" s="13"/>
    </row>
    <row r="6" spans="1:17" s="7" customFormat="1" ht="30.75" customHeight="1" x14ac:dyDescent="0.25">
      <c r="A6" s="87" t="s">
        <v>157</v>
      </c>
      <c r="B6" s="203" t="s">
        <v>69</v>
      </c>
      <c r="C6" s="203" t="s">
        <v>74</v>
      </c>
      <c r="D6" s="203" t="s">
        <v>70</v>
      </c>
      <c r="E6" s="203" t="s">
        <v>5</v>
      </c>
      <c r="F6" s="203" t="s">
        <v>14</v>
      </c>
      <c r="G6" s="203" t="s">
        <v>6</v>
      </c>
      <c r="H6" s="204" t="s">
        <v>89</v>
      </c>
      <c r="I6" s="204" t="s">
        <v>71</v>
      </c>
      <c r="J6" s="204" t="s">
        <v>67</v>
      </c>
      <c r="K6" s="204" t="s">
        <v>68</v>
      </c>
      <c r="L6" s="204" t="s">
        <v>29</v>
      </c>
      <c r="M6" s="90" t="s">
        <v>75</v>
      </c>
      <c r="N6" s="91" t="s">
        <v>8</v>
      </c>
    </row>
    <row r="7" spans="1:17" s="7" customFormat="1" x14ac:dyDescent="0.25">
      <c r="A7" s="27"/>
      <c r="B7" s="1"/>
      <c r="C7" s="4"/>
      <c r="D7" s="3"/>
      <c r="E7" s="28"/>
      <c r="F7" s="29" t="s">
        <v>16</v>
      </c>
      <c r="G7" s="30"/>
      <c r="H7" s="2" t="s">
        <v>9</v>
      </c>
      <c r="I7" s="2" t="s">
        <v>9</v>
      </c>
      <c r="J7" s="2" t="s">
        <v>133</v>
      </c>
      <c r="K7" s="2"/>
      <c r="L7" s="2" t="s">
        <v>135</v>
      </c>
      <c r="M7" s="31" t="s">
        <v>9</v>
      </c>
      <c r="N7" s="6" t="s">
        <v>9</v>
      </c>
    </row>
    <row r="8" spans="1:17" s="16" customFormat="1" ht="12.75" customHeight="1" x14ac:dyDescent="0.25">
      <c r="A8" s="21"/>
      <c r="B8" s="48">
        <v>1</v>
      </c>
      <c r="C8" s="22">
        <v>2</v>
      </c>
      <c r="D8" s="22">
        <v>3</v>
      </c>
      <c r="E8" s="22">
        <v>4</v>
      </c>
      <c r="F8" s="22">
        <v>5</v>
      </c>
      <c r="G8" s="22">
        <v>6</v>
      </c>
      <c r="H8" s="22">
        <v>7</v>
      </c>
      <c r="I8" s="22">
        <v>8</v>
      </c>
      <c r="J8" s="22">
        <v>9</v>
      </c>
      <c r="K8" s="22">
        <v>10</v>
      </c>
      <c r="L8" s="22">
        <v>11</v>
      </c>
      <c r="M8" s="57">
        <v>12</v>
      </c>
      <c r="N8" s="36">
        <v>13</v>
      </c>
    </row>
    <row r="9" spans="1:17" s="118" customFormat="1" ht="12.75" customHeight="1" thickBot="1" x14ac:dyDescent="0.3">
      <c r="A9" s="100" t="s">
        <v>122</v>
      </c>
      <c r="B9" s="68" t="s">
        <v>251</v>
      </c>
      <c r="C9" s="101" t="s">
        <v>251</v>
      </c>
      <c r="D9" s="101"/>
      <c r="E9" s="101" t="s">
        <v>251</v>
      </c>
      <c r="F9" s="101" t="s">
        <v>251</v>
      </c>
      <c r="G9" s="101" t="s">
        <v>251</v>
      </c>
      <c r="H9" s="68" t="s">
        <v>251</v>
      </c>
      <c r="I9" s="68" t="s">
        <v>251</v>
      </c>
      <c r="J9" s="102" t="s">
        <v>251</v>
      </c>
      <c r="K9" s="101" t="s">
        <v>251</v>
      </c>
      <c r="L9" s="103">
        <v>1625.9338816844017</v>
      </c>
      <c r="M9" s="68">
        <v>1</v>
      </c>
      <c r="N9" s="82">
        <v>2.8225515307528631E-3</v>
      </c>
    </row>
    <row r="10" spans="1:17" s="118" customFormat="1" x14ac:dyDescent="0.25">
      <c r="A10" s="92" t="s">
        <v>137</v>
      </c>
      <c r="B10" s="120" t="s">
        <v>251</v>
      </c>
      <c r="C10" s="121" t="s">
        <v>251</v>
      </c>
      <c r="D10" s="121" t="s">
        <v>251</v>
      </c>
      <c r="E10" s="121" t="s">
        <v>251</v>
      </c>
      <c r="F10" s="121" t="s">
        <v>251</v>
      </c>
      <c r="G10" s="121" t="s">
        <v>251</v>
      </c>
      <c r="H10" s="120" t="s">
        <v>251</v>
      </c>
      <c r="I10" s="120" t="s">
        <v>251</v>
      </c>
      <c r="J10" s="132" t="s">
        <v>251</v>
      </c>
      <c r="K10" s="121" t="s">
        <v>251</v>
      </c>
      <c r="L10" s="122">
        <v>1625.9338815844019</v>
      </c>
      <c r="M10" s="120">
        <v>0.99999999993849698</v>
      </c>
      <c r="N10" s="120">
        <v>2.822551530579268E-3</v>
      </c>
    </row>
    <row r="11" spans="1:17" s="118" customFormat="1" x14ac:dyDescent="0.25">
      <c r="A11" s="93" t="s">
        <v>2733</v>
      </c>
      <c r="B11" s="136" t="s">
        <v>251</v>
      </c>
      <c r="C11" s="135" t="s">
        <v>251</v>
      </c>
      <c r="D11" s="135" t="s">
        <v>251</v>
      </c>
      <c r="E11" s="135" t="s">
        <v>251</v>
      </c>
      <c r="F11" s="135" t="s">
        <v>251</v>
      </c>
      <c r="G11" s="135" t="s">
        <v>251</v>
      </c>
      <c r="H11" s="136" t="s">
        <v>251</v>
      </c>
      <c r="I11" s="136" t="s">
        <v>251</v>
      </c>
      <c r="J11" s="134" t="s">
        <v>251</v>
      </c>
      <c r="K11" s="135" t="s">
        <v>251</v>
      </c>
      <c r="L11" s="123">
        <v>0</v>
      </c>
      <c r="M11" s="136">
        <v>0</v>
      </c>
      <c r="N11" s="136">
        <v>0</v>
      </c>
    </row>
    <row r="12" spans="1:17" s="118" customFormat="1" x14ac:dyDescent="0.25">
      <c r="A12" s="93" t="s">
        <v>1853</v>
      </c>
      <c r="B12" s="136" t="s">
        <v>251</v>
      </c>
      <c r="C12" s="135" t="s">
        <v>251</v>
      </c>
      <c r="D12" s="135" t="s">
        <v>251</v>
      </c>
      <c r="E12" s="135" t="s">
        <v>251</v>
      </c>
      <c r="F12" s="135" t="s">
        <v>251</v>
      </c>
      <c r="G12" s="135" t="s">
        <v>251</v>
      </c>
      <c r="H12" s="136" t="s">
        <v>251</v>
      </c>
      <c r="I12" s="136" t="s">
        <v>251</v>
      </c>
      <c r="J12" s="134" t="s">
        <v>251</v>
      </c>
      <c r="K12" s="135" t="s">
        <v>251</v>
      </c>
      <c r="L12" s="123">
        <v>1625.933881184402</v>
      </c>
      <c r="M12" s="136">
        <v>0.99999999969248454</v>
      </c>
      <c r="N12" s="136">
        <v>2.8225515298848851E-3</v>
      </c>
    </row>
    <row r="13" spans="1:17" x14ac:dyDescent="0.25">
      <c r="A13" s="17" t="s">
        <v>2734</v>
      </c>
      <c r="B13" s="25" t="s">
        <v>2735</v>
      </c>
      <c r="C13" s="61" t="s">
        <v>254</v>
      </c>
      <c r="D13" s="61" t="s">
        <v>255</v>
      </c>
      <c r="E13" s="61" t="s">
        <v>256</v>
      </c>
      <c r="F13" s="61">
        <v>0.45</v>
      </c>
      <c r="G13" s="61" t="s">
        <v>257</v>
      </c>
      <c r="H13" s="25">
        <v>4.8300000429153445E-2</v>
      </c>
      <c r="I13" s="25">
        <v>4.9299999999999997E-2</v>
      </c>
      <c r="J13" s="70">
        <v>1622202.814610797</v>
      </c>
      <c r="K13" s="61">
        <v>100.23</v>
      </c>
      <c r="L13" s="85">
        <v>1625.9338810844019</v>
      </c>
      <c r="M13" s="25">
        <v>0.99999999963098141</v>
      </c>
      <c r="N13" s="25">
        <v>2.8225515297112891E-3</v>
      </c>
      <c r="O13" s="15"/>
    </row>
    <row r="14" spans="1:17" s="118" customFormat="1" x14ac:dyDescent="0.25">
      <c r="A14" s="93" t="s">
        <v>2736</v>
      </c>
      <c r="B14" s="136" t="s">
        <v>251</v>
      </c>
      <c r="C14" s="135" t="s">
        <v>251</v>
      </c>
      <c r="D14" s="135" t="s">
        <v>251</v>
      </c>
      <c r="E14" s="135" t="s">
        <v>251</v>
      </c>
      <c r="F14" s="135" t="s">
        <v>251</v>
      </c>
      <c r="G14" s="135" t="s">
        <v>251</v>
      </c>
      <c r="H14" s="136" t="s">
        <v>251</v>
      </c>
      <c r="I14" s="136" t="s">
        <v>251</v>
      </c>
      <c r="J14" s="134" t="s">
        <v>251</v>
      </c>
      <c r="K14" s="135" t="s">
        <v>251</v>
      </c>
      <c r="L14" s="123">
        <v>0</v>
      </c>
      <c r="M14" s="136">
        <v>0</v>
      </c>
      <c r="N14" s="136">
        <v>0</v>
      </c>
    </row>
    <row r="15" spans="1:17" s="118" customFormat="1" x14ac:dyDescent="0.25">
      <c r="A15" s="93" t="s">
        <v>2737</v>
      </c>
      <c r="B15" s="136" t="s">
        <v>251</v>
      </c>
      <c r="C15" s="135" t="s">
        <v>251</v>
      </c>
      <c r="D15" s="135" t="s">
        <v>251</v>
      </c>
      <c r="E15" s="135" t="s">
        <v>251</v>
      </c>
      <c r="F15" s="135" t="s">
        <v>251</v>
      </c>
      <c r="G15" s="135" t="s">
        <v>251</v>
      </c>
      <c r="H15" s="136" t="s">
        <v>251</v>
      </c>
      <c r="I15" s="136" t="s">
        <v>251</v>
      </c>
      <c r="J15" s="134" t="s">
        <v>251</v>
      </c>
      <c r="K15" s="135" t="s">
        <v>251</v>
      </c>
      <c r="L15" s="123">
        <v>0</v>
      </c>
      <c r="M15" s="136">
        <v>0</v>
      </c>
      <c r="N15" s="136">
        <v>0</v>
      </c>
    </row>
    <row r="16" spans="1:17" s="118" customFormat="1" x14ac:dyDescent="0.25">
      <c r="A16" s="93" t="s">
        <v>141</v>
      </c>
      <c r="B16" s="136" t="s">
        <v>251</v>
      </c>
      <c r="C16" s="135" t="s">
        <v>251</v>
      </c>
      <c r="D16" s="135" t="s">
        <v>251</v>
      </c>
      <c r="E16" s="135" t="s">
        <v>251</v>
      </c>
      <c r="F16" s="135" t="s">
        <v>251</v>
      </c>
      <c r="G16" s="135" t="s">
        <v>251</v>
      </c>
      <c r="H16" s="136" t="s">
        <v>251</v>
      </c>
      <c r="I16" s="136" t="s">
        <v>251</v>
      </c>
      <c r="J16" s="134" t="s">
        <v>251</v>
      </c>
      <c r="K16" s="135" t="s">
        <v>251</v>
      </c>
      <c r="L16" s="123">
        <v>0</v>
      </c>
      <c r="M16" s="136">
        <v>0</v>
      </c>
      <c r="N16" s="136">
        <v>0</v>
      </c>
    </row>
    <row r="17" spans="1:15" s="118" customFormat="1" x14ac:dyDescent="0.25">
      <c r="A17" s="93" t="s">
        <v>509</v>
      </c>
      <c r="B17" s="136" t="s">
        <v>251</v>
      </c>
      <c r="C17" s="135" t="s">
        <v>251</v>
      </c>
      <c r="D17" s="135" t="s">
        <v>251</v>
      </c>
      <c r="E17" s="135" t="s">
        <v>251</v>
      </c>
      <c r="F17" s="135" t="s">
        <v>251</v>
      </c>
      <c r="G17" s="135" t="s">
        <v>251</v>
      </c>
      <c r="H17" s="136" t="s">
        <v>251</v>
      </c>
      <c r="I17" s="136" t="s">
        <v>251</v>
      </c>
      <c r="J17" s="134" t="s">
        <v>251</v>
      </c>
      <c r="K17" s="135" t="s">
        <v>251</v>
      </c>
      <c r="L17" s="123">
        <v>0</v>
      </c>
      <c r="M17" s="136">
        <v>0</v>
      </c>
      <c r="N17" s="136">
        <v>0</v>
      </c>
    </row>
    <row r="18" spans="1:15" s="118" customFormat="1" x14ac:dyDescent="0.25">
      <c r="A18" s="79" t="s">
        <v>242</v>
      </c>
      <c r="B18" s="79"/>
      <c r="C18" s="124"/>
      <c r="D18" s="124"/>
      <c r="E18" s="125"/>
      <c r="F18" s="125"/>
      <c r="G18" s="125"/>
      <c r="H18" s="126"/>
      <c r="I18" s="127"/>
      <c r="J18" s="128"/>
      <c r="K18" s="128"/>
      <c r="L18" s="128"/>
      <c r="M18" s="128"/>
      <c r="N18" s="127"/>
      <c r="O18" s="129"/>
    </row>
    <row r="19" spans="1:15" s="118" customFormat="1" x14ac:dyDescent="0.25">
      <c r="A19" s="79" t="s">
        <v>243</v>
      </c>
      <c r="B19" s="79"/>
      <c r="C19" s="124"/>
      <c r="D19" s="124"/>
      <c r="E19" s="125"/>
      <c r="F19" s="125"/>
      <c r="G19" s="125"/>
      <c r="H19" s="126"/>
      <c r="I19" s="127"/>
      <c r="J19" s="128"/>
      <c r="K19" s="128"/>
      <c r="L19" s="128"/>
      <c r="M19" s="128"/>
      <c r="N19" s="127"/>
      <c r="O19" s="129"/>
    </row>
    <row r="20" spans="1:15" s="118" customFormat="1" x14ac:dyDescent="0.25">
      <c r="A20" s="79" t="s">
        <v>244</v>
      </c>
      <c r="B20" s="79"/>
      <c r="C20" s="124"/>
      <c r="D20" s="124"/>
      <c r="E20" s="125"/>
      <c r="F20" s="125"/>
      <c r="G20" s="125"/>
      <c r="H20" s="126"/>
      <c r="I20" s="127"/>
      <c r="J20" s="128"/>
      <c r="K20" s="128"/>
      <c r="L20" s="128"/>
      <c r="M20" s="128"/>
      <c r="N20" s="127"/>
      <c r="O20" s="129"/>
    </row>
    <row r="21" spans="1:15" s="118" customFormat="1" x14ac:dyDescent="0.25">
      <c r="A21" s="79" t="s">
        <v>245</v>
      </c>
      <c r="B21" s="79"/>
      <c r="C21" s="124"/>
      <c r="D21" s="124"/>
      <c r="E21" s="125"/>
      <c r="F21" s="125"/>
      <c r="G21" s="125"/>
      <c r="H21" s="126"/>
      <c r="I21" s="127"/>
      <c r="J21" s="128"/>
      <c r="K21" s="128"/>
      <c r="L21" s="128"/>
      <c r="M21" s="128"/>
      <c r="N21" s="127"/>
      <c r="O21" s="129"/>
    </row>
    <row r="22" spans="1:15" s="118" customFormat="1" x14ac:dyDescent="0.25">
      <c r="A22" s="79" t="s">
        <v>246</v>
      </c>
      <c r="B22" s="79"/>
      <c r="C22" s="124"/>
      <c r="D22" s="124"/>
      <c r="E22" s="125"/>
      <c r="F22" s="125"/>
      <c r="G22" s="125"/>
      <c r="H22" s="126"/>
      <c r="I22" s="127"/>
      <c r="J22" s="128"/>
      <c r="K22" s="128"/>
      <c r="L22" s="128"/>
      <c r="M22" s="128"/>
      <c r="N22" s="127"/>
      <c r="O22" s="129"/>
    </row>
  </sheetData>
  <mergeCells count="1">
    <mergeCell ref="A5:N5"/>
  </mergeCells>
  <phoneticPr fontId="3" type="noConversion"/>
  <conditionalFormatting sqref="B10:E17 G10:G17 M10:N17">
    <cfRule type="expression" dxfId="38" priority="378" stopIfTrue="1">
      <formula>OR(LEFT(#REF!,3)="TIR",LEFT(#REF!,2)="IR")</formula>
    </cfRule>
  </conditionalFormatting>
  <conditionalFormatting sqref="L9:M17 A9:A17">
    <cfRule type="expression" dxfId="37" priority="38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20"/>
  <sheetViews>
    <sheetView rightToLeft="1" zoomScale="85" zoomScaleNormal="85" workbookViewId="0"/>
  </sheetViews>
  <sheetFormatPr defaultColWidth="9.109375" defaultRowHeight="13.2" x14ac:dyDescent="0.25"/>
  <cols>
    <col min="1" max="1" width="23" style="10" bestFit="1" customWidth="1"/>
    <col min="2" max="2" width="18.109375" style="9" customWidth="1"/>
    <col min="3" max="3" width="10.5546875" style="10" customWidth="1"/>
    <col min="4" max="4" width="25.5546875" style="11" customWidth="1"/>
    <col min="5" max="5" width="10.6640625" style="60" customWidth="1"/>
    <col min="6" max="6" width="13" style="60" customWidth="1"/>
    <col min="7" max="7" width="24" style="60" customWidth="1"/>
    <col min="8" max="8" width="18.6640625" style="60" customWidth="1"/>
    <col min="9" max="9" width="13.33203125" style="60" customWidth="1"/>
    <col min="10" max="10" width="9.5546875" style="12" customWidth="1"/>
    <col min="11" max="11" width="12.109375" style="13" customWidth="1"/>
    <col min="12" max="12" width="10" style="20" customWidth="1"/>
    <col min="13" max="13" width="11.44140625" style="20" bestFit="1" customWidth="1"/>
    <col min="14" max="14" width="7.33203125" style="20" customWidth="1"/>
    <col min="15" max="16" width="10.5546875" style="13" customWidth="1"/>
    <col min="17" max="17" width="11.44140625" style="15" customWidth="1"/>
    <col min="18" max="18" width="15.44140625" style="15" customWidth="1"/>
    <col min="19" max="16384" width="9.109375" style="15"/>
  </cols>
  <sheetData>
    <row r="1" spans="1:17" s="7" customFormat="1" x14ac:dyDescent="0.25">
      <c r="A1" s="7" t="s">
        <v>237</v>
      </c>
      <c r="B1" s="9" t="s">
        <v>247</v>
      </c>
      <c r="C1" s="10"/>
      <c r="D1" s="11"/>
      <c r="E1" s="60"/>
      <c r="F1" s="60"/>
      <c r="G1" s="60"/>
      <c r="H1" s="60"/>
      <c r="I1" s="60"/>
      <c r="J1" s="12"/>
      <c r="K1" s="13"/>
      <c r="L1" s="14"/>
      <c r="M1" s="14"/>
      <c r="N1" s="14"/>
      <c r="O1" s="13"/>
      <c r="P1" s="13"/>
      <c r="Q1" s="15"/>
    </row>
    <row r="2" spans="1:17" s="7" customFormat="1" x14ac:dyDescent="0.25">
      <c r="A2" s="10" t="s">
        <v>238</v>
      </c>
      <c r="B2" s="9" t="s">
        <v>150</v>
      </c>
      <c r="C2" s="10"/>
      <c r="D2" s="11"/>
      <c r="E2" s="60"/>
      <c r="F2" s="60"/>
      <c r="G2" s="60"/>
      <c r="H2" s="60"/>
      <c r="I2" s="60"/>
      <c r="J2" s="12"/>
      <c r="K2" s="13"/>
      <c r="L2" s="14"/>
      <c r="M2" s="14"/>
      <c r="N2" s="14"/>
      <c r="O2" s="13"/>
      <c r="P2" s="13"/>
      <c r="Q2" s="15"/>
    </row>
    <row r="3" spans="1:17" s="7" customFormat="1" x14ac:dyDescent="0.25">
      <c r="A3" s="10" t="s">
        <v>239</v>
      </c>
      <c r="B3" s="9" t="s">
        <v>240</v>
      </c>
      <c r="C3" s="10"/>
      <c r="D3" s="11"/>
      <c r="E3" s="60"/>
      <c r="F3" s="60"/>
      <c r="G3" s="60"/>
      <c r="H3" s="60"/>
      <c r="I3" s="60"/>
      <c r="J3" s="12"/>
      <c r="K3" s="13"/>
      <c r="L3" s="14"/>
      <c r="M3" s="14"/>
      <c r="N3" s="14"/>
      <c r="O3" s="13"/>
      <c r="P3" s="13"/>
      <c r="Q3" s="15"/>
    </row>
    <row r="4" spans="1:17" s="7" customFormat="1" ht="13.8" thickBot="1" x14ac:dyDescent="0.3">
      <c r="A4" s="10" t="s">
        <v>241</v>
      </c>
      <c r="B4" s="9" t="s">
        <v>249</v>
      </c>
      <c r="C4" s="10"/>
      <c r="D4" s="11"/>
      <c r="E4" s="60"/>
      <c r="F4" s="60"/>
      <c r="G4" s="60"/>
      <c r="H4" s="60"/>
      <c r="I4" s="60"/>
      <c r="J4" s="12"/>
      <c r="K4" s="13"/>
      <c r="L4" s="14"/>
      <c r="M4" s="14"/>
      <c r="N4" s="14"/>
      <c r="O4" s="13"/>
      <c r="P4" s="13"/>
      <c r="Q4" s="15"/>
    </row>
    <row r="5" spans="1:17" s="7" customFormat="1" x14ac:dyDescent="0.25">
      <c r="A5" s="233" t="s">
        <v>38</v>
      </c>
      <c r="B5" s="234"/>
      <c r="C5" s="234"/>
      <c r="D5" s="234"/>
      <c r="E5" s="234"/>
      <c r="F5" s="234"/>
      <c r="G5" s="234"/>
      <c r="H5" s="234"/>
      <c r="I5" s="235"/>
      <c r="J5" s="12"/>
      <c r="K5" s="12"/>
      <c r="L5" s="12"/>
    </row>
    <row r="6" spans="1:17" s="7" customFormat="1" ht="33" customHeight="1" x14ac:dyDescent="0.25">
      <c r="A6" s="87" t="s">
        <v>157</v>
      </c>
      <c r="B6" s="88" t="s">
        <v>39</v>
      </c>
      <c r="C6" s="88" t="s">
        <v>41</v>
      </c>
      <c r="D6" s="88" t="s">
        <v>42</v>
      </c>
      <c r="E6" s="88" t="s">
        <v>6</v>
      </c>
      <c r="F6" s="89" t="s">
        <v>82</v>
      </c>
      <c r="G6" s="90" t="s">
        <v>75</v>
      </c>
      <c r="H6" s="90" t="s">
        <v>8</v>
      </c>
      <c r="I6" s="91" t="s">
        <v>136</v>
      </c>
    </row>
    <row r="7" spans="1:17" s="7" customFormat="1" x14ac:dyDescent="0.25">
      <c r="A7" s="27"/>
      <c r="B7" s="3" t="s">
        <v>40</v>
      </c>
      <c r="C7" s="3"/>
      <c r="D7" s="30" t="s">
        <v>9</v>
      </c>
      <c r="E7" s="30"/>
      <c r="F7" s="2" t="s">
        <v>135</v>
      </c>
      <c r="G7" s="31" t="s">
        <v>9</v>
      </c>
      <c r="H7" s="31" t="s">
        <v>9</v>
      </c>
      <c r="I7" s="6"/>
    </row>
    <row r="8" spans="1:17" s="16" customFormat="1" ht="12.75" customHeight="1" x14ac:dyDescent="0.25">
      <c r="A8" s="27"/>
      <c r="B8" s="3">
        <v>1</v>
      </c>
      <c r="C8" s="3">
        <v>2</v>
      </c>
      <c r="D8" s="3">
        <v>3</v>
      </c>
      <c r="E8" s="3">
        <v>4</v>
      </c>
      <c r="F8" s="3">
        <v>5</v>
      </c>
      <c r="G8" s="58">
        <v>6</v>
      </c>
      <c r="H8" s="58">
        <v>7</v>
      </c>
      <c r="I8" s="45">
        <v>8</v>
      </c>
    </row>
    <row r="9" spans="1:17" s="118" customFormat="1" ht="12.75" customHeight="1" thickBot="1" x14ac:dyDescent="0.3">
      <c r="A9" s="148" t="s">
        <v>73</v>
      </c>
      <c r="B9" s="71"/>
      <c r="C9" s="71" t="s">
        <v>251</v>
      </c>
      <c r="D9" s="161"/>
      <c r="E9" s="149"/>
      <c r="F9" s="152">
        <v>4.0000000000000003E-7</v>
      </c>
      <c r="G9" s="71">
        <v>1</v>
      </c>
      <c r="H9" s="71">
        <v>0</v>
      </c>
      <c r="I9" s="83"/>
    </row>
    <row r="10" spans="1:17" s="118" customFormat="1" x14ac:dyDescent="0.25">
      <c r="A10" s="92" t="s">
        <v>2738</v>
      </c>
      <c r="B10" s="120" t="s">
        <v>251</v>
      </c>
      <c r="C10" s="120" t="s">
        <v>251</v>
      </c>
      <c r="D10" s="120" t="s">
        <v>251</v>
      </c>
      <c r="E10" s="121" t="s">
        <v>251</v>
      </c>
      <c r="F10" s="122">
        <v>0</v>
      </c>
      <c r="G10" s="120">
        <v>0</v>
      </c>
      <c r="H10" s="120">
        <v>0</v>
      </c>
      <c r="I10" s="120" t="s">
        <v>251</v>
      </c>
    </row>
    <row r="11" spans="1:17" s="118" customFormat="1" x14ac:dyDescent="0.25">
      <c r="A11" s="93" t="s">
        <v>2739</v>
      </c>
      <c r="B11" s="120" t="s">
        <v>251</v>
      </c>
      <c r="C11" s="120" t="s">
        <v>251</v>
      </c>
      <c r="D11" s="120" t="s">
        <v>251</v>
      </c>
      <c r="E11" s="121" t="s">
        <v>251</v>
      </c>
      <c r="F11" s="122">
        <v>0</v>
      </c>
      <c r="G11" s="120">
        <v>0</v>
      </c>
      <c r="H11" s="120">
        <v>0</v>
      </c>
      <c r="I11" s="120" t="s">
        <v>251</v>
      </c>
    </row>
    <row r="12" spans="1:17" s="118" customFormat="1" x14ac:dyDescent="0.25">
      <c r="A12" s="93" t="s">
        <v>2740</v>
      </c>
      <c r="B12" s="120" t="s">
        <v>251</v>
      </c>
      <c r="C12" s="120" t="s">
        <v>251</v>
      </c>
      <c r="D12" s="120" t="s">
        <v>251</v>
      </c>
      <c r="E12" s="121" t="s">
        <v>251</v>
      </c>
      <c r="F12" s="122">
        <v>0</v>
      </c>
      <c r="G12" s="120">
        <v>0</v>
      </c>
      <c r="H12" s="120">
        <v>0</v>
      </c>
      <c r="I12" s="120" t="s">
        <v>251</v>
      </c>
    </row>
    <row r="13" spans="1:17" s="118" customFormat="1" x14ac:dyDescent="0.25">
      <c r="A13" s="93" t="s">
        <v>2741</v>
      </c>
      <c r="B13" s="120" t="s">
        <v>251</v>
      </c>
      <c r="C13" s="120" t="s">
        <v>251</v>
      </c>
      <c r="D13" s="120" t="s">
        <v>251</v>
      </c>
      <c r="E13" s="121" t="s">
        <v>251</v>
      </c>
      <c r="F13" s="122">
        <v>0</v>
      </c>
      <c r="G13" s="120">
        <v>0</v>
      </c>
      <c r="H13" s="120">
        <v>0</v>
      </c>
      <c r="I13" s="120" t="s">
        <v>251</v>
      </c>
    </row>
    <row r="14" spans="1:17" s="118" customFormat="1" x14ac:dyDescent="0.25">
      <c r="A14" s="93" t="s">
        <v>2739</v>
      </c>
      <c r="B14" s="120" t="s">
        <v>251</v>
      </c>
      <c r="C14" s="120" t="s">
        <v>251</v>
      </c>
      <c r="D14" s="120" t="s">
        <v>251</v>
      </c>
      <c r="E14" s="121" t="s">
        <v>251</v>
      </c>
      <c r="F14" s="122">
        <v>0</v>
      </c>
      <c r="G14" s="120">
        <v>0</v>
      </c>
      <c r="H14" s="120">
        <v>0</v>
      </c>
      <c r="I14" s="120" t="s">
        <v>251</v>
      </c>
    </row>
    <row r="15" spans="1:17" s="118" customFormat="1" x14ac:dyDescent="0.25">
      <c r="A15" s="93" t="s">
        <v>2740</v>
      </c>
      <c r="B15" s="120" t="s">
        <v>251</v>
      </c>
      <c r="C15" s="120" t="s">
        <v>251</v>
      </c>
      <c r="D15" s="120" t="s">
        <v>251</v>
      </c>
      <c r="E15" s="121" t="s">
        <v>251</v>
      </c>
      <c r="F15" s="122">
        <v>0</v>
      </c>
      <c r="G15" s="120">
        <v>0</v>
      </c>
      <c r="H15" s="120">
        <v>0</v>
      </c>
      <c r="I15" s="120" t="s">
        <v>251</v>
      </c>
    </row>
    <row r="16" spans="1:17" s="118" customFormat="1" x14ac:dyDescent="0.25">
      <c r="A16" s="79" t="s">
        <v>242</v>
      </c>
      <c r="B16" s="124"/>
      <c r="C16" s="79"/>
      <c r="D16" s="145"/>
      <c r="E16" s="125"/>
      <c r="F16" s="125"/>
      <c r="G16" s="125"/>
      <c r="H16" s="125"/>
      <c r="I16" s="125"/>
      <c r="J16" s="146"/>
      <c r="K16" s="129"/>
      <c r="L16" s="147"/>
      <c r="M16" s="147"/>
      <c r="N16" s="147"/>
      <c r="O16" s="129"/>
      <c r="P16" s="129"/>
    </row>
    <row r="17" spans="1:16" s="118" customFormat="1" x14ac:dyDescent="0.25">
      <c r="A17" s="79" t="s">
        <v>243</v>
      </c>
      <c r="B17" s="124"/>
      <c r="C17" s="79"/>
      <c r="D17" s="145"/>
      <c r="E17" s="125"/>
      <c r="F17" s="125"/>
      <c r="G17" s="125"/>
      <c r="H17" s="125"/>
      <c r="I17" s="125"/>
      <c r="J17" s="146"/>
      <c r="K17" s="129"/>
      <c r="L17" s="147"/>
      <c r="M17" s="147"/>
      <c r="N17" s="147"/>
      <c r="O17" s="129"/>
      <c r="P17" s="129"/>
    </row>
    <row r="18" spans="1:16" s="118" customFormat="1" x14ac:dyDescent="0.25">
      <c r="A18" s="79" t="s">
        <v>244</v>
      </c>
      <c r="B18" s="124"/>
      <c r="C18" s="79"/>
      <c r="D18" s="145"/>
      <c r="E18" s="125"/>
      <c r="F18" s="125"/>
      <c r="G18" s="125"/>
      <c r="H18" s="125"/>
      <c r="I18" s="125"/>
      <c r="J18" s="146"/>
      <c r="K18" s="129"/>
      <c r="L18" s="147"/>
      <c r="M18" s="147"/>
      <c r="N18" s="147"/>
      <c r="O18" s="129"/>
      <c r="P18" s="129"/>
    </row>
    <row r="19" spans="1:16" s="118" customFormat="1" x14ac:dyDescent="0.25">
      <c r="A19" s="79" t="s">
        <v>245</v>
      </c>
      <c r="B19" s="124"/>
      <c r="C19" s="79"/>
      <c r="D19" s="145"/>
      <c r="E19" s="125"/>
      <c r="F19" s="125"/>
      <c r="G19" s="125"/>
      <c r="H19" s="125"/>
      <c r="I19" s="125"/>
      <c r="J19" s="146"/>
      <c r="K19" s="129"/>
      <c r="L19" s="147"/>
      <c r="M19" s="147"/>
      <c r="N19" s="147"/>
      <c r="O19" s="129"/>
      <c r="P19" s="129"/>
    </row>
    <row r="20" spans="1:16" s="118" customFormat="1" x14ac:dyDescent="0.25">
      <c r="A20" s="79" t="s">
        <v>246</v>
      </c>
      <c r="B20" s="124"/>
      <c r="C20" s="79"/>
      <c r="D20" s="145"/>
      <c r="E20" s="125"/>
      <c r="F20" s="125"/>
      <c r="G20" s="125"/>
      <c r="H20" s="125"/>
      <c r="I20" s="125"/>
      <c r="J20" s="146"/>
      <c r="K20" s="129"/>
      <c r="L20" s="147"/>
      <c r="M20" s="147"/>
      <c r="N20" s="147"/>
      <c r="O20" s="129"/>
      <c r="P20" s="129"/>
    </row>
  </sheetData>
  <mergeCells count="1">
    <mergeCell ref="A5:I5"/>
  </mergeCells>
  <phoneticPr fontId="3" type="noConversion"/>
  <conditionalFormatting sqref="A9:A15 F9:I15">
    <cfRule type="expression" dxfId="36" priority="393" stopIfTrue="1">
      <formula>LEFT(#REF!,3)="TIR"</formula>
    </cfRule>
  </conditionalFormatting>
  <conditionalFormatting sqref="B9:E15 G9:I15">
    <cfRule type="expression" dxfId="35" priority="390" stopIfTrue="1">
      <formula>LEFT(#REF!,3)="TIR"</formula>
    </cfRule>
  </conditionalFormatting>
  <conditionalFormatting sqref="F9:I15 A9:A15">
    <cfRule type="expression" dxfId="34" priority="392" stopIfTrue="1">
      <formula>#REF!&gt;0</formula>
    </cfRule>
  </conditionalFormatting>
  <conditionalFormatting sqref="K1:K4 K16:K55550">
    <cfRule type="expression" dxfId="33" priority="38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6"/>
  <sheetViews>
    <sheetView rightToLeft="1" zoomScale="85" zoomScaleNormal="85" workbookViewId="0"/>
  </sheetViews>
  <sheetFormatPr defaultColWidth="9.109375" defaultRowHeight="13.2" x14ac:dyDescent="0.25"/>
  <cols>
    <col min="1" max="1" width="25.6640625" style="10" bestFit="1" customWidth="1"/>
    <col min="2" max="2" width="12.6640625" style="9" bestFit="1" customWidth="1"/>
    <col min="3" max="3" width="7.33203125" style="10" customWidth="1"/>
    <col min="4" max="4" width="11.6640625" style="11" customWidth="1"/>
    <col min="5" max="5" width="13.109375" style="60" customWidth="1"/>
    <col min="6" max="6" width="10.6640625" style="60" customWidth="1"/>
    <col min="7" max="7" width="13.44140625" style="60" customWidth="1"/>
    <col min="8" max="8" width="9.88671875" style="60" customWidth="1"/>
    <col min="9" max="9" width="24" style="60" customWidth="1"/>
    <col min="10" max="10" width="22.33203125" style="60" customWidth="1"/>
    <col min="11" max="11" width="9.5546875" style="12" customWidth="1"/>
    <col min="12" max="12" width="12.109375" style="13" customWidth="1"/>
    <col min="13" max="13" width="10" style="20" customWidth="1"/>
    <col min="14" max="14" width="11.44140625" style="20" bestFit="1" customWidth="1"/>
    <col min="15" max="15" width="7.33203125" style="20" customWidth="1"/>
    <col min="16" max="17" width="10.5546875" style="13" customWidth="1"/>
    <col min="18" max="18" width="11.44140625" style="15" customWidth="1"/>
    <col min="19" max="19" width="15.44140625" style="15" customWidth="1"/>
    <col min="20" max="16384" width="9.109375" style="15"/>
  </cols>
  <sheetData>
    <row r="1" spans="1:18" s="7" customFormat="1" x14ac:dyDescent="0.25">
      <c r="A1" s="7" t="s">
        <v>237</v>
      </c>
      <c r="B1" s="9" t="s">
        <v>247</v>
      </c>
      <c r="C1" s="10"/>
      <c r="D1" s="11"/>
      <c r="E1" s="60"/>
      <c r="F1" s="60"/>
      <c r="G1" s="60"/>
      <c r="H1" s="60"/>
      <c r="I1" s="60"/>
      <c r="J1" s="60"/>
      <c r="K1" s="12"/>
      <c r="L1" s="13"/>
      <c r="M1" s="14"/>
      <c r="N1" s="14"/>
      <c r="O1" s="14"/>
      <c r="P1" s="13"/>
      <c r="Q1" s="13"/>
      <c r="R1" s="15"/>
    </row>
    <row r="2" spans="1:18" s="7" customFormat="1" x14ac:dyDescent="0.25">
      <c r="A2" s="10" t="s">
        <v>238</v>
      </c>
      <c r="B2" s="9" t="s">
        <v>150</v>
      </c>
      <c r="C2" s="10"/>
      <c r="D2" s="11"/>
      <c r="E2" s="60"/>
      <c r="F2" s="60"/>
      <c r="G2" s="60"/>
      <c r="H2" s="60"/>
      <c r="I2" s="60"/>
      <c r="J2" s="60"/>
      <c r="K2" s="12"/>
      <c r="L2" s="13"/>
      <c r="M2" s="14"/>
      <c r="N2" s="14"/>
      <c r="O2" s="14"/>
      <c r="P2" s="13"/>
      <c r="Q2" s="13"/>
      <c r="R2" s="15"/>
    </row>
    <row r="3" spans="1:18" s="7" customFormat="1" x14ac:dyDescent="0.25">
      <c r="A3" s="10" t="s">
        <v>239</v>
      </c>
      <c r="B3" s="9" t="s">
        <v>240</v>
      </c>
      <c r="C3" s="10"/>
      <c r="D3" s="11"/>
      <c r="E3" s="60"/>
      <c r="F3" s="60"/>
      <c r="G3" s="60"/>
      <c r="H3" s="60"/>
      <c r="I3" s="60"/>
      <c r="J3" s="60"/>
      <c r="K3" s="12"/>
      <c r="L3" s="13"/>
      <c r="M3" s="14"/>
      <c r="N3" s="14"/>
      <c r="O3" s="14"/>
      <c r="P3" s="13"/>
      <c r="Q3" s="13"/>
      <c r="R3" s="15"/>
    </row>
    <row r="4" spans="1:18" s="7" customFormat="1" ht="13.8" thickBot="1" x14ac:dyDescent="0.3">
      <c r="A4" s="10" t="s">
        <v>241</v>
      </c>
      <c r="B4" s="9" t="s">
        <v>249</v>
      </c>
      <c r="C4" s="10"/>
      <c r="D4" s="11"/>
      <c r="E4" s="60"/>
      <c r="F4" s="60"/>
      <c r="G4" s="60"/>
      <c r="H4" s="60"/>
      <c r="I4" s="60"/>
      <c r="J4" s="60"/>
      <c r="K4" s="12"/>
      <c r="L4" s="13"/>
      <c r="M4" s="14"/>
      <c r="N4" s="14"/>
      <c r="O4" s="14"/>
      <c r="P4" s="13"/>
      <c r="Q4" s="13"/>
      <c r="R4" s="15"/>
    </row>
    <row r="5" spans="1:18" s="7" customFormat="1" x14ac:dyDescent="0.25">
      <c r="A5" s="220" t="s">
        <v>86</v>
      </c>
      <c r="B5" s="221"/>
      <c r="C5" s="221"/>
      <c r="D5" s="221"/>
      <c r="E5" s="221"/>
      <c r="F5" s="221"/>
      <c r="G5" s="221"/>
      <c r="H5" s="221"/>
      <c r="I5" s="221"/>
      <c r="J5" s="222"/>
      <c r="K5" s="12"/>
      <c r="L5" s="12"/>
      <c r="M5" s="12"/>
    </row>
    <row r="6" spans="1:18" s="7" customFormat="1" ht="33" customHeight="1" x14ac:dyDescent="0.25">
      <c r="A6" s="87" t="s">
        <v>157</v>
      </c>
      <c r="B6" s="203" t="s">
        <v>74</v>
      </c>
      <c r="C6" s="203" t="s">
        <v>70</v>
      </c>
      <c r="D6" s="203" t="s">
        <v>83</v>
      </c>
      <c r="E6" s="203" t="s">
        <v>84</v>
      </c>
      <c r="F6" s="204" t="s">
        <v>6</v>
      </c>
      <c r="G6" s="90" t="s">
        <v>71</v>
      </c>
      <c r="H6" s="90" t="s">
        <v>29</v>
      </c>
      <c r="I6" s="90" t="s">
        <v>75</v>
      </c>
      <c r="J6" s="91" t="s">
        <v>85</v>
      </c>
    </row>
    <row r="7" spans="1:18" s="7" customFormat="1" x14ac:dyDescent="0.25">
      <c r="A7" s="27"/>
      <c r="B7" s="3"/>
      <c r="C7" s="3"/>
      <c r="D7" s="30"/>
      <c r="E7" s="30" t="s">
        <v>9</v>
      </c>
      <c r="F7" s="2"/>
      <c r="G7" s="31" t="s">
        <v>9</v>
      </c>
      <c r="H7" s="31" t="s">
        <v>135</v>
      </c>
      <c r="I7" s="31" t="s">
        <v>9</v>
      </c>
      <c r="J7" s="6" t="s">
        <v>9</v>
      </c>
    </row>
    <row r="8" spans="1:18" s="16" customFormat="1" ht="12.75" customHeight="1" x14ac:dyDescent="0.25">
      <c r="A8" s="27"/>
      <c r="B8" s="3">
        <v>1</v>
      </c>
      <c r="C8" s="3">
        <v>2</v>
      </c>
      <c r="D8" s="3">
        <v>3</v>
      </c>
      <c r="E8" s="3">
        <v>4</v>
      </c>
      <c r="F8" s="3">
        <v>5</v>
      </c>
      <c r="G8" s="58">
        <v>6</v>
      </c>
      <c r="H8" s="58">
        <v>7</v>
      </c>
      <c r="I8" s="58">
        <v>8</v>
      </c>
      <c r="J8" s="45">
        <v>9</v>
      </c>
    </row>
    <row r="9" spans="1:18" s="118" customFormat="1" ht="12.75" customHeight="1" thickBot="1" x14ac:dyDescent="0.3">
      <c r="A9" s="100" t="s">
        <v>123</v>
      </c>
      <c r="B9" s="71"/>
      <c r="C9" s="71"/>
      <c r="D9" s="161"/>
      <c r="E9" s="149"/>
      <c r="F9" s="107"/>
      <c r="G9" s="107"/>
      <c r="H9" s="152">
        <v>2.0000000000000002E-7</v>
      </c>
      <c r="I9" s="71">
        <v>1</v>
      </c>
      <c r="J9" s="82">
        <v>3.4719142796001203E-13</v>
      </c>
    </row>
    <row r="10" spans="1:18" s="118" customFormat="1" x14ac:dyDescent="0.25">
      <c r="A10" s="92" t="s">
        <v>137</v>
      </c>
      <c r="B10" s="120" t="s">
        <v>251</v>
      </c>
      <c r="C10" s="120" t="s">
        <v>251</v>
      </c>
      <c r="D10" s="120" t="s">
        <v>251</v>
      </c>
      <c r="E10" s="120" t="s">
        <v>251</v>
      </c>
      <c r="F10" s="133" t="s">
        <v>251</v>
      </c>
      <c r="G10" s="162" t="s">
        <v>251</v>
      </c>
      <c r="H10" s="122">
        <v>0</v>
      </c>
      <c r="I10" s="120">
        <v>0</v>
      </c>
      <c r="J10" s="120">
        <v>0</v>
      </c>
    </row>
    <row r="11" spans="1:18" s="118" customFormat="1" x14ac:dyDescent="0.25">
      <c r="A11" s="92" t="s">
        <v>488</v>
      </c>
      <c r="B11" s="120" t="s">
        <v>251</v>
      </c>
      <c r="C11" s="120" t="s">
        <v>251</v>
      </c>
      <c r="D11" s="120" t="s">
        <v>251</v>
      </c>
      <c r="E11" s="120" t="s">
        <v>251</v>
      </c>
      <c r="F11" s="133" t="s">
        <v>251</v>
      </c>
      <c r="G11" s="162" t="s">
        <v>251</v>
      </c>
      <c r="H11" s="122">
        <v>0</v>
      </c>
      <c r="I11" s="120">
        <v>0</v>
      </c>
      <c r="J11" s="120">
        <v>0</v>
      </c>
    </row>
    <row r="12" spans="1:18" s="118" customFormat="1" x14ac:dyDescent="0.25">
      <c r="A12" s="79" t="s">
        <v>242</v>
      </c>
      <c r="B12" s="124"/>
      <c r="C12" s="79"/>
      <c r="D12" s="145"/>
      <c r="E12" s="125"/>
      <c r="F12" s="125"/>
      <c r="G12" s="125"/>
      <c r="H12" s="125"/>
      <c r="I12" s="125"/>
      <c r="J12" s="125"/>
      <c r="K12" s="146"/>
      <c r="L12" s="129"/>
      <c r="M12" s="147"/>
      <c r="N12" s="147"/>
      <c r="O12" s="147"/>
      <c r="P12" s="129"/>
      <c r="Q12" s="129"/>
    </row>
    <row r="13" spans="1:18" s="118" customFormat="1" x14ac:dyDescent="0.25">
      <c r="A13" s="79" t="s">
        <v>243</v>
      </c>
      <c r="B13" s="124"/>
      <c r="C13" s="79"/>
      <c r="D13" s="145"/>
      <c r="E13" s="125"/>
      <c r="F13" s="125"/>
      <c r="G13" s="125"/>
      <c r="H13" s="125"/>
      <c r="I13" s="125"/>
      <c r="J13" s="125"/>
      <c r="K13" s="146"/>
      <c r="L13" s="129"/>
      <c r="M13" s="147"/>
      <c r="N13" s="147"/>
      <c r="O13" s="147"/>
      <c r="P13" s="129"/>
      <c r="Q13" s="129"/>
    </row>
    <row r="14" spans="1:18" s="118" customFormat="1" x14ac:dyDescent="0.25">
      <c r="A14" s="79" t="s">
        <v>244</v>
      </c>
      <c r="B14" s="124"/>
      <c r="C14" s="79"/>
      <c r="D14" s="145"/>
      <c r="E14" s="125"/>
      <c r="F14" s="125"/>
      <c r="G14" s="125"/>
      <c r="H14" s="125"/>
      <c r="I14" s="125"/>
      <c r="J14" s="125"/>
      <c r="K14" s="146"/>
      <c r="L14" s="129"/>
      <c r="M14" s="147"/>
      <c r="N14" s="147"/>
      <c r="O14" s="147"/>
      <c r="P14" s="129"/>
      <c r="Q14" s="129"/>
    </row>
    <row r="15" spans="1:18" s="118" customFormat="1" x14ac:dyDescent="0.25">
      <c r="A15" s="79" t="s">
        <v>245</v>
      </c>
      <c r="B15" s="124"/>
      <c r="C15" s="79"/>
      <c r="D15" s="145"/>
      <c r="E15" s="125"/>
      <c r="F15" s="125"/>
      <c r="G15" s="125"/>
      <c r="H15" s="125"/>
      <c r="I15" s="125"/>
      <c r="J15" s="125"/>
      <c r="K15" s="146"/>
      <c r="L15" s="129"/>
      <c r="M15" s="147"/>
      <c r="N15" s="147"/>
      <c r="O15" s="147"/>
      <c r="P15" s="129"/>
      <c r="Q15" s="129"/>
    </row>
    <row r="16" spans="1:18" s="118" customFormat="1" x14ac:dyDescent="0.25">
      <c r="A16" s="79" t="s">
        <v>246</v>
      </c>
      <c r="B16" s="124"/>
      <c r="C16" s="79"/>
      <c r="D16" s="145"/>
      <c r="E16" s="125"/>
      <c r="F16" s="125"/>
      <c r="G16" s="125"/>
      <c r="H16" s="125"/>
      <c r="I16" s="125"/>
      <c r="J16" s="125"/>
      <c r="K16" s="146"/>
      <c r="L16" s="129"/>
      <c r="M16" s="147"/>
      <c r="N16" s="147"/>
      <c r="O16" s="147"/>
      <c r="P16" s="129"/>
      <c r="Q16" s="129"/>
    </row>
  </sheetData>
  <mergeCells count="1">
    <mergeCell ref="A5:J5"/>
  </mergeCells>
  <conditionalFormatting sqref="A9:A11 F9:J11">
    <cfRule type="expression" dxfId="32" priority="405" stopIfTrue="1">
      <formula>LEFT(#REF!,3)="TIR"</formula>
    </cfRule>
  </conditionalFormatting>
  <conditionalFormatting sqref="B9:E11 I9:J11">
    <cfRule type="expression" dxfId="31" priority="402" stopIfTrue="1">
      <formula>LEFT(#REF!,3)="TIR"</formula>
    </cfRule>
  </conditionalFormatting>
  <conditionalFormatting sqref="F9:J11 A9:A11">
    <cfRule type="expression" dxfId="30" priority="404" stopIfTrue="1">
      <formula>#REF!&gt;0</formula>
    </cfRule>
  </conditionalFormatting>
  <conditionalFormatting sqref="L1:L4 L12:L55546">
    <cfRule type="expression" dxfId="29" priority="400" stopIfTrue="1">
      <formula>LEFT(#REF!,3)="TIR"</formula>
    </cfRule>
  </conditionalFormatting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24"/>
  <sheetViews>
    <sheetView rightToLeft="1" zoomScale="85" workbookViewId="0"/>
  </sheetViews>
  <sheetFormatPr defaultColWidth="9.109375" defaultRowHeight="13.2" x14ac:dyDescent="0.25"/>
  <cols>
    <col min="1" max="1" width="36.5546875" style="10" bestFit="1" customWidth="1"/>
    <col min="2" max="2" width="12.6640625" style="10" bestFit="1" customWidth="1"/>
    <col min="3" max="3" width="7.33203125" style="9" customWidth="1"/>
    <col min="4" max="4" width="10.5546875" style="10" customWidth="1"/>
    <col min="5" max="5" width="12" style="11" customWidth="1"/>
    <col min="6" max="6" width="10.6640625" style="11" customWidth="1"/>
    <col min="7" max="7" width="13.44140625" style="11" customWidth="1"/>
    <col min="8" max="8" width="9.88671875" style="11" customWidth="1"/>
    <col min="9" max="9" width="24" style="11" customWidth="1"/>
    <col min="10" max="10" width="19.6640625" style="37" customWidth="1"/>
    <col min="11" max="11" width="12.109375" style="13" customWidth="1"/>
    <col min="12" max="12" width="10" style="20" customWidth="1"/>
    <col min="13" max="13" width="11.44140625" style="20" bestFit="1" customWidth="1"/>
    <col min="14" max="14" width="7.33203125" style="20" customWidth="1"/>
    <col min="15" max="16" width="10.5546875" style="13" customWidth="1"/>
    <col min="17" max="17" width="11.44140625" style="15" customWidth="1"/>
    <col min="18" max="18" width="15.44140625" style="15" customWidth="1"/>
    <col min="19" max="16384" width="9.109375" style="15"/>
  </cols>
  <sheetData>
    <row r="1" spans="1:20" s="7" customFormat="1" x14ac:dyDescent="0.25">
      <c r="A1" s="7" t="s">
        <v>237</v>
      </c>
      <c r="B1" s="8" t="s">
        <v>247</v>
      </c>
      <c r="C1" s="9"/>
      <c r="D1" s="10"/>
      <c r="E1" s="11"/>
      <c r="F1" s="11"/>
      <c r="G1" s="11"/>
      <c r="H1" s="11"/>
      <c r="I1" s="11"/>
      <c r="J1" s="37"/>
      <c r="K1" s="13"/>
      <c r="L1" s="14"/>
      <c r="M1" s="14"/>
      <c r="N1" s="14"/>
      <c r="O1" s="13"/>
      <c r="P1" s="13"/>
      <c r="Q1" s="15"/>
    </row>
    <row r="2" spans="1:20" s="7" customFormat="1" x14ac:dyDescent="0.25">
      <c r="A2" s="10" t="s">
        <v>238</v>
      </c>
      <c r="B2" s="10" t="s">
        <v>150</v>
      </c>
      <c r="C2" s="9"/>
      <c r="D2" s="10"/>
      <c r="E2" s="11"/>
      <c r="F2" s="11"/>
      <c r="G2" s="11"/>
      <c r="H2" s="11"/>
      <c r="I2" s="11"/>
      <c r="J2" s="37"/>
      <c r="K2" s="13"/>
      <c r="L2" s="14"/>
      <c r="M2" s="14"/>
      <c r="N2" s="14"/>
      <c r="O2" s="13"/>
      <c r="P2" s="13"/>
      <c r="Q2" s="15"/>
    </row>
    <row r="3" spans="1:20" s="7" customFormat="1" x14ac:dyDescent="0.25">
      <c r="A3" s="10" t="s">
        <v>239</v>
      </c>
      <c r="B3" s="9" t="s">
        <v>240</v>
      </c>
      <c r="C3" s="9"/>
      <c r="D3" s="10"/>
      <c r="E3" s="11"/>
      <c r="F3" s="11"/>
      <c r="G3" s="11"/>
      <c r="H3" s="11"/>
      <c r="I3" s="11"/>
      <c r="J3" s="37"/>
      <c r="K3" s="13"/>
      <c r="L3" s="14"/>
      <c r="M3" s="14"/>
      <c r="N3" s="14"/>
      <c r="O3" s="13"/>
      <c r="P3" s="13"/>
      <c r="Q3" s="15"/>
    </row>
    <row r="4" spans="1:20" s="7" customFormat="1" ht="13.8" thickBot="1" x14ac:dyDescent="0.3">
      <c r="A4" s="10" t="s">
        <v>241</v>
      </c>
      <c r="B4" s="9" t="s">
        <v>249</v>
      </c>
      <c r="C4" s="9"/>
      <c r="D4" s="10"/>
      <c r="E4" s="11"/>
      <c r="F4" s="11"/>
      <c r="G4" s="11"/>
      <c r="H4" s="11"/>
      <c r="I4" s="11"/>
      <c r="J4" s="37"/>
      <c r="K4" s="13"/>
      <c r="L4" s="14"/>
      <c r="M4" s="14"/>
      <c r="N4" s="14"/>
      <c r="O4" s="13"/>
      <c r="P4" s="13"/>
      <c r="Q4" s="15"/>
    </row>
    <row r="5" spans="1:20" s="7" customFormat="1" x14ac:dyDescent="0.25">
      <c r="A5" s="220" t="s">
        <v>87</v>
      </c>
      <c r="B5" s="221"/>
      <c r="C5" s="221"/>
      <c r="D5" s="221"/>
      <c r="E5" s="221"/>
      <c r="F5" s="221"/>
      <c r="G5" s="221"/>
      <c r="H5" s="221"/>
      <c r="I5" s="221"/>
      <c r="J5" s="222"/>
      <c r="K5" s="13"/>
      <c r="L5" s="13"/>
      <c r="M5" s="13"/>
      <c r="N5" s="13"/>
      <c r="O5" s="13"/>
      <c r="P5" s="13"/>
      <c r="Q5" s="13"/>
      <c r="R5" s="13"/>
      <c r="S5" s="13"/>
      <c r="T5" s="13"/>
    </row>
    <row r="6" spans="1:20" s="7" customFormat="1" x14ac:dyDescent="0.25">
      <c r="A6" s="87" t="s">
        <v>157</v>
      </c>
      <c r="B6" s="203" t="s">
        <v>81</v>
      </c>
      <c r="C6" s="203" t="s">
        <v>70</v>
      </c>
      <c r="D6" s="203" t="s">
        <v>5</v>
      </c>
      <c r="E6" s="204" t="s">
        <v>66</v>
      </c>
      <c r="F6" s="204" t="s">
        <v>6</v>
      </c>
      <c r="G6" s="204" t="s">
        <v>71</v>
      </c>
      <c r="H6" s="204" t="s">
        <v>29</v>
      </c>
      <c r="I6" s="90" t="s">
        <v>75</v>
      </c>
      <c r="J6" s="91" t="s">
        <v>8</v>
      </c>
    </row>
    <row r="7" spans="1:20" s="7" customFormat="1" x14ac:dyDescent="0.25">
      <c r="A7" s="27"/>
      <c r="B7" s="3"/>
      <c r="C7" s="3"/>
      <c r="D7" s="28"/>
      <c r="E7" s="2" t="s">
        <v>9</v>
      </c>
      <c r="F7" s="2"/>
      <c r="G7" s="2" t="s">
        <v>9</v>
      </c>
      <c r="H7" s="2" t="s">
        <v>135</v>
      </c>
      <c r="I7" s="31" t="s">
        <v>9</v>
      </c>
      <c r="J7" s="6" t="s">
        <v>9</v>
      </c>
    </row>
    <row r="8" spans="1:20" s="16" customFormat="1" ht="12.75" customHeight="1" x14ac:dyDescent="0.25">
      <c r="A8" s="21"/>
      <c r="B8" s="22">
        <v>1</v>
      </c>
      <c r="C8" s="22">
        <v>2</v>
      </c>
      <c r="D8" s="22">
        <v>3</v>
      </c>
      <c r="E8" s="22">
        <v>4</v>
      </c>
      <c r="F8" s="22">
        <v>5</v>
      </c>
      <c r="G8" s="22">
        <v>6</v>
      </c>
      <c r="H8" s="22">
        <v>7</v>
      </c>
      <c r="I8" s="22">
        <v>8</v>
      </c>
      <c r="J8" s="23">
        <v>9</v>
      </c>
    </row>
    <row r="9" spans="1:20" s="118" customFormat="1" ht="12.75" customHeight="1" thickBot="1" x14ac:dyDescent="0.3">
      <c r="A9" s="73" t="s">
        <v>124</v>
      </c>
      <c r="B9" s="119"/>
      <c r="C9" s="119"/>
      <c r="D9" s="119" t="s">
        <v>251</v>
      </c>
      <c r="E9" s="119" t="s">
        <v>251</v>
      </c>
      <c r="F9" s="119" t="s">
        <v>251</v>
      </c>
      <c r="G9" s="119" t="s">
        <v>251</v>
      </c>
      <c r="H9" s="94">
        <v>99.330271922595969</v>
      </c>
      <c r="I9" s="78">
        <v>1</v>
      </c>
      <c r="J9" s="59">
        <v>1.7243309474231192E-4</v>
      </c>
    </row>
    <row r="10" spans="1:20" s="118" customFormat="1" x14ac:dyDescent="0.25">
      <c r="A10" s="92" t="s">
        <v>137</v>
      </c>
      <c r="B10" s="163"/>
      <c r="C10" s="121" t="s">
        <v>251</v>
      </c>
      <c r="D10" s="142" t="s">
        <v>251</v>
      </c>
      <c r="E10" s="156" t="s">
        <v>251</v>
      </c>
      <c r="F10" s="133" t="s">
        <v>251</v>
      </c>
      <c r="G10" s="156" t="s">
        <v>251</v>
      </c>
      <c r="H10" s="122">
        <v>99.330271822595975</v>
      </c>
      <c r="I10" s="120">
        <v>0.99999999899325753</v>
      </c>
      <c r="J10" s="120">
        <v>1.7243309456871621E-4</v>
      </c>
    </row>
    <row r="11" spans="1:20" x14ac:dyDescent="0.25">
      <c r="A11" s="17" t="s">
        <v>2756</v>
      </c>
      <c r="B11" s="24" t="s">
        <v>2757</v>
      </c>
      <c r="C11" s="67" t="s">
        <v>499</v>
      </c>
      <c r="D11" s="26" t="s">
        <v>251</v>
      </c>
      <c r="E11" s="18">
        <v>0</v>
      </c>
      <c r="F11" s="69" t="s">
        <v>257</v>
      </c>
      <c r="G11" s="18">
        <v>0</v>
      </c>
      <c r="H11" s="86">
        <v>-327.25634000000002</v>
      </c>
      <c r="I11" s="77">
        <v>-3.2946284517877644</v>
      </c>
      <c r="J11" s="33">
        <v>-5.6810297996783606E-4</v>
      </c>
      <c r="K11" s="15"/>
      <c r="L11" s="15"/>
      <c r="M11" s="15"/>
      <c r="N11" s="15"/>
      <c r="O11" s="15"/>
      <c r="P11" s="15"/>
    </row>
    <row r="12" spans="1:20" x14ac:dyDescent="0.25">
      <c r="A12" s="17" t="s">
        <v>2742</v>
      </c>
      <c r="B12" s="24" t="s">
        <v>2743</v>
      </c>
      <c r="C12" s="67" t="s">
        <v>499</v>
      </c>
      <c r="D12" s="26" t="s">
        <v>499</v>
      </c>
      <c r="E12" s="18">
        <v>7.5999999999999998E-2</v>
      </c>
      <c r="F12" s="69" t="s">
        <v>257</v>
      </c>
      <c r="G12" s="18">
        <v>0</v>
      </c>
      <c r="H12" s="86">
        <v>32.708063690566092</v>
      </c>
      <c r="I12" s="77">
        <v>0.32928595741743411</v>
      </c>
      <c r="J12" s="33">
        <v>5.6779796692673312E-5</v>
      </c>
      <c r="K12" s="15"/>
      <c r="L12" s="15"/>
      <c r="M12" s="15"/>
      <c r="N12" s="15"/>
      <c r="O12" s="15"/>
      <c r="P12" s="15"/>
    </row>
    <row r="13" spans="1:20" x14ac:dyDescent="0.25">
      <c r="A13" s="17" t="s">
        <v>2744</v>
      </c>
      <c r="B13" s="24" t="s">
        <v>2745</v>
      </c>
      <c r="C13" s="67" t="s">
        <v>499</v>
      </c>
      <c r="D13" s="26" t="s">
        <v>499</v>
      </c>
      <c r="E13" s="18">
        <v>4.4500000000000005E-2</v>
      </c>
      <c r="F13" s="69" t="s">
        <v>257</v>
      </c>
      <c r="G13" s="18">
        <v>0</v>
      </c>
      <c r="H13" s="86">
        <v>299.65495204643611</v>
      </c>
      <c r="I13" s="77">
        <v>3.0167535661227722</v>
      </c>
      <c r="J13" s="33">
        <v>5.201881534814554E-4</v>
      </c>
      <c r="K13" s="15"/>
      <c r="L13" s="15"/>
      <c r="M13" s="15"/>
      <c r="N13" s="15"/>
      <c r="O13" s="15"/>
      <c r="P13" s="15"/>
    </row>
    <row r="14" spans="1:20" x14ac:dyDescent="0.25">
      <c r="A14" s="17" t="s">
        <v>2746</v>
      </c>
      <c r="B14" s="24" t="s">
        <v>2747</v>
      </c>
      <c r="C14" s="67" t="s">
        <v>499</v>
      </c>
      <c r="D14" s="26" t="s">
        <v>499</v>
      </c>
      <c r="E14" s="18">
        <v>6.8499999999999991E-2</v>
      </c>
      <c r="F14" s="69" t="s">
        <v>257</v>
      </c>
      <c r="G14" s="18">
        <v>0</v>
      </c>
      <c r="H14" s="86">
        <v>8.1997352839683071</v>
      </c>
      <c r="I14" s="77">
        <v>8.2550214806197508E-2</v>
      </c>
      <c r="J14" s="33">
        <v>1.4234389010675255E-5</v>
      </c>
      <c r="K14" s="15"/>
      <c r="L14" s="15"/>
      <c r="M14" s="15"/>
      <c r="N14" s="15"/>
      <c r="O14" s="15"/>
      <c r="P14" s="15"/>
    </row>
    <row r="15" spans="1:20" x14ac:dyDescent="0.25">
      <c r="A15" s="17" t="s">
        <v>2748</v>
      </c>
      <c r="B15" s="24" t="s">
        <v>2749</v>
      </c>
      <c r="C15" s="67" t="s">
        <v>499</v>
      </c>
      <c r="D15" s="26" t="s">
        <v>499</v>
      </c>
      <c r="E15" s="18">
        <v>3.5000000000000003E-2</v>
      </c>
      <c r="F15" s="69" t="s">
        <v>257</v>
      </c>
      <c r="G15" s="18">
        <v>0</v>
      </c>
      <c r="H15" s="86">
        <v>1.2872507016254886</v>
      </c>
      <c r="I15" s="77">
        <v>1.2959299080833993E-2</v>
      </c>
      <c r="J15" s="33">
        <v>2.2346120461994039E-6</v>
      </c>
      <c r="K15" s="15"/>
      <c r="L15" s="15"/>
      <c r="M15" s="15"/>
      <c r="N15" s="15"/>
      <c r="O15" s="15"/>
      <c r="P15" s="15"/>
    </row>
    <row r="16" spans="1:20" x14ac:dyDescent="0.25">
      <c r="A16" s="17" t="s">
        <v>2750</v>
      </c>
      <c r="B16" s="24" t="s">
        <v>2751</v>
      </c>
      <c r="C16" s="67" t="s">
        <v>499</v>
      </c>
      <c r="D16" s="26" t="s">
        <v>499</v>
      </c>
      <c r="E16" s="18">
        <v>5.3499999999999999E-2</v>
      </c>
      <c r="F16" s="69" t="s">
        <v>257</v>
      </c>
      <c r="G16" s="18">
        <v>0</v>
      </c>
      <c r="H16" s="86">
        <v>47.372750000000003</v>
      </c>
      <c r="I16" s="77">
        <v>0.4769215777131432</v>
      </c>
      <c r="J16" s="33">
        <v>8.2237063594463306E-5</v>
      </c>
      <c r="K16" s="15"/>
      <c r="L16" s="15"/>
      <c r="M16" s="15"/>
      <c r="N16" s="15"/>
      <c r="O16" s="15"/>
      <c r="P16" s="15"/>
    </row>
    <row r="17" spans="1:16" x14ac:dyDescent="0.25">
      <c r="A17" s="17" t="s">
        <v>2752</v>
      </c>
      <c r="B17" s="24" t="s">
        <v>2753</v>
      </c>
      <c r="C17" s="67" t="s">
        <v>499</v>
      </c>
      <c r="D17" s="26" t="s">
        <v>499</v>
      </c>
      <c r="E17" s="18">
        <v>5.5E-2</v>
      </c>
      <c r="F17" s="69" t="s">
        <v>257</v>
      </c>
      <c r="G17" s="18">
        <v>0</v>
      </c>
      <c r="H17" s="86">
        <v>34.66798</v>
      </c>
      <c r="I17" s="77">
        <v>0.34901726662960658</v>
      </c>
      <c r="J17" s="33">
        <v>6.0182127403445684E-5</v>
      </c>
      <c r="K17" s="15"/>
      <c r="L17" s="15"/>
      <c r="M17" s="15"/>
      <c r="N17" s="15"/>
      <c r="O17" s="15"/>
      <c r="P17" s="15"/>
    </row>
    <row r="18" spans="1:16" x14ac:dyDescent="0.25">
      <c r="A18" s="17" t="s">
        <v>2754</v>
      </c>
      <c r="B18" s="24" t="s">
        <v>2755</v>
      </c>
      <c r="C18" s="67" t="s">
        <v>499</v>
      </c>
      <c r="D18" s="26" t="s">
        <v>499</v>
      </c>
      <c r="E18" s="18">
        <v>0.11099999904632568</v>
      </c>
      <c r="F18" s="69" t="s">
        <v>257</v>
      </c>
      <c r="G18" s="18">
        <v>0</v>
      </c>
      <c r="H18" s="86">
        <v>2.6958800000000003</v>
      </c>
      <c r="I18" s="77">
        <v>2.7140568004291675E-2</v>
      </c>
      <c r="J18" s="33">
        <v>4.6799321340441861E-6</v>
      </c>
      <c r="K18" s="15"/>
      <c r="L18" s="15"/>
      <c r="M18" s="15"/>
      <c r="N18" s="15"/>
      <c r="O18" s="15"/>
      <c r="P18" s="15"/>
    </row>
    <row r="19" spans="1:16" s="118" customFormat="1" x14ac:dyDescent="0.25">
      <c r="A19" s="93" t="s">
        <v>488</v>
      </c>
      <c r="B19" s="164" t="s">
        <v>251</v>
      </c>
      <c r="C19" s="121" t="s">
        <v>251</v>
      </c>
      <c r="D19" s="144" t="s">
        <v>251</v>
      </c>
      <c r="E19" s="157" t="s">
        <v>251</v>
      </c>
      <c r="F19" s="133" t="s">
        <v>251</v>
      </c>
      <c r="G19" s="157" t="s">
        <v>251</v>
      </c>
      <c r="H19" s="122">
        <v>0</v>
      </c>
      <c r="I19" s="120">
        <v>0</v>
      </c>
      <c r="J19" s="120">
        <v>0</v>
      </c>
    </row>
    <row r="20" spans="1:16" s="118" customFormat="1" x14ac:dyDescent="0.25">
      <c r="A20" s="79" t="s">
        <v>242</v>
      </c>
      <c r="B20" s="79"/>
      <c r="C20" s="124"/>
      <c r="D20" s="79"/>
      <c r="E20" s="145"/>
      <c r="F20" s="145"/>
      <c r="G20" s="145"/>
      <c r="H20" s="145"/>
      <c r="I20" s="145"/>
      <c r="J20" s="126"/>
      <c r="K20" s="129"/>
      <c r="L20" s="147"/>
      <c r="M20" s="147"/>
      <c r="N20" s="147"/>
      <c r="O20" s="129"/>
      <c r="P20" s="129"/>
    </row>
    <row r="21" spans="1:16" s="118" customFormat="1" x14ac:dyDescent="0.25">
      <c r="A21" s="79" t="s">
        <v>243</v>
      </c>
      <c r="B21" s="79"/>
      <c r="C21" s="124"/>
      <c r="D21" s="79"/>
      <c r="E21" s="145"/>
      <c r="F21" s="145"/>
      <c r="G21" s="145"/>
      <c r="H21" s="145"/>
      <c r="I21" s="145"/>
      <c r="J21" s="126"/>
      <c r="K21" s="129"/>
      <c r="L21" s="147"/>
      <c r="M21" s="147"/>
      <c r="N21" s="147"/>
      <c r="O21" s="129"/>
      <c r="P21" s="129"/>
    </row>
    <row r="22" spans="1:16" s="118" customFormat="1" x14ac:dyDescent="0.25">
      <c r="A22" s="79" t="s">
        <v>244</v>
      </c>
      <c r="B22" s="79"/>
      <c r="C22" s="124"/>
      <c r="D22" s="79"/>
      <c r="E22" s="145"/>
      <c r="F22" s="145"/>
      <c r="G22" s="145"/>
      <c r="H22" s="145"/>
      <c r="I22" s="145"/>
      <c r="J22" s="126"/>
      <c r="K22" s="129"/>
      <c r="L22" s="147"/>
      <c r="M22" s="147"/>
      <c r="N22" s="147"/>
      <c r="O22" s="129"/>
      <c r="P22" s="129"/>
    </row>
    <row r="23" spans="1:16" s="118" customFormat="1" x14ac:dyDescent="0.25">
      <c r="A23" s="79" t="s">
        <v>245</v>
      </c>
      <c r="B23" s="79"/>
      <c r="C23" s="124"/>
      <c r="D23" s="79"/>
      <c r="E23" s="145"/>
      <c r="F23" s="145"/>
      <c r="G23" s="145"/>
      <c r="H23" s="145"/>
      <c r="I23" s="145"/>
      <c r="J23" s="126"/>
      <c r="K23" s="129"/>
      <c r="L23" s="147"/>
      <c r="M23" s="147"/>
      <c r="N23" s="147"/>
      <c r="O23" s="129"/>
      <c r="P23" s="129"/>
    </row>
    <row r="24" spans="1:16" s="118" customFormat="1" x14ac:dyDescent="0.25">
      <c r="A24" s="79" t="s">
        <v>246</v>
      </c>
      <c r="B24" s="79"/>
      <c r="C24" s="124"/>
      <c r="D24" s="79"/>
      <c r="E24" s="145"/>
      <c r="F24" s="145"/>
      <c r="G24" s="145"/>
      <c r="H24" s="145"/>
      <c r="I24" s="145"/>
      <c r="J24" s="126"/>
      <c r="K24" s="129"/>
      <c r="L24" s="147"/>
      <c r="M24" s="147"/>
      <c r="N24" s="147"/>
      <c r="O24" s="129"/>
      <c r="P24" s="129"/>
    </row>
  </sheetData>
  <mergeCells count="1">
    <mergeCell ref="A5:J5"/>
  </mergeCells>
  <phoneticPr fontId="3" type="noConversion"/>
  <conditionalFormatting sqref="A10:A19 F10:F19 H10:J19">
    <cfRule type="expression" dxfId="28" priority="423" stopIfTrue="1">
      <formula>LEFT(#REF!,3)="TIR"</formula>
    </cfRule>
  </conditionalFormatting>
  <conditionalFormatting sqref="B10:D19 J10:J19">
    <cfRule type="expression" dxfId="27" priority="420" stopIfTrue="1">
      <formula>LEFT(#REF!,3)="TIR"</formula>
    </cfRule>
  </conditionalFormatting>
  <conditionalFormatting sqref="E6:F6">
    <cfRule type="expression" dxfId="26" priority="419" stopIfTrue="1">
      <formula>LEFT(#REF!,3)="TIR"</formula>
    </cfRule>
  </conditionalFormatting>
  <conditionalFormatting sqref="H10:J19 F10:F19 A10:A19">
    <cfRule type="expression" dxfId="25" priority="422" stopIfTrue="1">
      <formula>#REF!&gt;0</formula>
    </cfRule>
  </conditionalFormatting>
  <conditionalFormatting sqref="K1:K5 L5:T5 E10:G19 K20:K55554">
    <cfRule type="expression" dxfId="24" priority="41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48"/>
  <sheetViews>
    <sheetView showGridLines="0" rightToLeft="1" workbookViewId="0"/>
  </sheetViews>
  <sheetFormatPr defaultRowHeight="13.2" x14ac:dyDescent="0.25"/>
  <cols>
    <col min="1" max="1" width="47.5546875" bestFit="1" customWidth="1"/>
    <col min="2" max="2" width="16.109375" customWidth="1"/>
    <col min="3" max="3" width="21.44140625" customWidth="1"/>
  </cols>
  <sheetData>
    <row r="1" spans="1:3" x14ac:dyDescent="0.25">
      <c r="A1" t="s">
        <v>237</v>
      </c>
      <c r="B1" t="s">
        <v>247</v>
      </c>
    </row>
    <row r="2" spans="1:3" x14ac:dyDescent="0.25">
      <c r="A2" t="s">
        <v>238</v>
      </c>
      <c r="B2" t="s">
        <v>150</v>
      </c>
    </row>
    <row r="3" spans="1:3" x14ac:dyDescent="0.25">
      <c r="A3" t="s">
        <v>239</v>
      </c>
      <c r="B3" t="s">
        <v>240</v>
      </c>
    </row>
    <row r="4" spans="1:3" ht="13.8" thickBot="1" x14ac:dyDescent="0.3">
      <c r="A4" t="s">
        <v>241</v>
      </c>
      <c r="B4" t="s">
        <v>249</v>
      </c>
    </row>
    <row r="5" spans="1:3" x14ac:dyDescent="0.25">
      <c r="A5" s="220" t="s">
        <v>128</v>
      </c>
      <c r="B5" s="221"/>
      <c r="C5" s="222"/>
    </row>
    <row r="6" spans="1:3" x14ac:dyDescent="0.25">
      <c r="A6" s="87" t="s">
        <v>157</v>
      </c>
      <c r="B6" s="203" t="s">
        <v>63</v>
      </c>
      <c r="C6" s="95" t="s">
        <v>64</v>
      </c>
    </row>
    <row r="7" spans="1:3" x14ac:dyDescent="0.25">
      <c r="A7" s="27"/>
      <c r="B7" s="3" t="s">
        <v>10</v>
      </c>
      <c r="C7" s="45" t="s">
        <v>40</v>
      </c>
    </row>
    <row r="8" spans="1:3" s="112" customFormat="1" x14ac:dyDescent="0.25">
      <c r="A8" s="165"/>
      <c r="B8" s="166">
        <v>1</v>
      </c>
      <c r="C8" s="167">
        <v>2</v>
      </c>
    </row>
    <row r="9" spans="1:3" s="112" customFormat="1" ht="13.8" thickBot="1" x14ac:dyDescent="0.3">
      <c r="A9" s="73" t="s">
        <v>2800</v>
      </c>
      <c r="B9" s="168">
        <v>30721.495587467005</v>
      </c>
      <c r="C9" s="115" t="s">
        <v>251</v>
      </c>
    </row>
    <row r="10" spans="1:3" s="112" customFormat="1" x14ac:dyDescent="0.25">
      <c r="A10" s="114" t="s">
        <v>137</v>
      </c>
      <c r="B10" s="169">
        <v>11312.617007367</v>
      </c>
      <c r="C10" s="170" t="s">
        <v>251</v>
      </c>
    </row>
    <row r="11" spans="1:3" x14ac:dyDescent="0.25">
      <c r="A11" s="46" t="s">
        <v>2801</v>
      </c>
      <c r="B11" s="113">
        <v>1511.19326</v>
      </c>
      <c r="C11" s="41" t="s">
        <v>2802</v>
      </c>
    </row>
    <row r="12" spans="1:3" x14ac:dyDescent="0.25">
      <c r="A12" s="46" t="s">
        <v>2803</v>
      </c>
      <c r="B12" s="113">
        <v>1104.8360700000001</v>
      </c>
      <c r="C12" s="41" t="s">
        <v>2802</v>
      </c>
    </row>
    <row r="13" spans="1:3" x14ac:dyDescent="0.25">
      <c r="A13" s="46" t="s">
        <v>2804</v>
      </c>
      <c r="B13" s="113">
        <v>2313.37853</v>
      </c>
      <c r="C13" s="41" t="s">
        <v>2802</v>
      </c>
    </row>
    <row r="14" spans="1:3" x14ac:dyDescent="0.25">
      <c r="A14" s="46" t="s">
        <v>2805</v>
      </c>
      <c r="B14" s="113">
        <v>2072.6802600000001</v>
      </c>
      <c r="C14" s="41" t="s">
        <v>248</v>
      </c>
    </row>
    <row r="15" spans="1:3" x14ac:dyDescent="0.25">
      <c r="A15" s="46" t="s">
        <v>2806</v>
      </c>
      <c r="B15" s="113">
        <v>125.79621</v>
      </c>
      <c r="C15" s="41" t="s">
        <v>2807</v>
      </c>
    </row>
    <row r="16" spans="1:3" x14ac:dyDescent="0.25">
      <c r="A16" s="46" t="s">
        <v>2808</v>
      </c>
      <c r="B16" s="113">
        <v>106.26135000000001</v>
      </c>
      <c r="C16" s="41" t="s">
        <v>2807</v>
      </c>
    </row>
    <row r="17" spans="1:3" x14ac:dyDescent="0.25">
      <c r="A17" s="46" t="s">
        <v>2809</v>
      </c>
      <c r="B17" s="113">
        <v>467.14784000000003</v>
      </c>
      <c r="C17" s="41" t="s">
        <v>2810</v>
      </c>
    </row>
    <row r="18" spans="1:3" x14ac:dyDescent="0.25">
      <c r="A18" s="46" t="s">
        <v>2811</v>
      </c>
      <c r="B18" s="113">
        <v>24.438441409999999</v>
      </c>
      <c r="C18" s="41" t="s">
        <v>2810</v>
      </c>
    </row>
    <row r="19" spans="1:3" x14ac:dyDescent="0.25">
      <c r="A19" s="46" t="s">
        <v>2812</v>
      </c>
      <c r="B19" s="113">
        <v>2.87527</v>
      </c>
      <c r="C19" s="41" t="s">
        <v>2810</v>
      </c>
    </row>
    <row r="20" spans="1:3" x14ac:dyDescent="0.25">
      <c r="A20" s="46" t="s">
        <v>2813</v>
      </c>
      <c r="B20" s="113">
        <v>2.4286360380000001</v>
      </c>
      <c r="C20" s="41" t="s">
        <v>248</v>
      </c>
    </row>
    <row r="21" spans="1:3" x14ac:dyDescent="0.25">
      <c r="A21" s="46" t="s">
        <v>2814</v>
      </c>
      <c r="B21" s="113">
        <v>95.986779999999996</v>
      </c>
      <c r="C21" s="41" t="s">
        <v>2810</v>
      </c>
    </row>
    <row r="22" spans="1:3" x14ac:dyDescent="0.25">
      <c r="A22" s="46" t="s">
        <v>2815</v>
      </c>
      <c r="B22" s="113">
        <v>8.9675700000000003</v>
      </c>
      <c r="C22" s="41" t="s">
        <v>2816</v>
      </c>
    </row>
    <row r="23" spans="1:3" x14ac:dyDescent="0.25">
      <c r="A23" s="46" t="s">
        <v>2817</v>
      </c>
      <c r="B23" s="113">
        <v>2.8946499999999999</v>
      </c>
      <c r="C23" s="41" t="s">
        <v>2816</v>
      </c>
    </row>
    <row r="24" spans="1:3" x14ac:dyDescent="0.25">
      <c r="A24" s="46" t="s">
        <v>2818</v>
      </c>
      <c r="B24" s="113">
        <v>13.33222</v>
      </c>
      <c r="C24" s="41" t="s">
        <v>248</v>
      </c>
    </row>
    <row r="25" spans="1:3" x14ac:dyDescent="0.25">
      <c r="A25" s="46" t="s">
        <v>2819</v>
      </c>
      <c r="B25" s="113">
        <v>81.559259999999995</v>
      </c>
      <c r="C25" s="41" t="s">
        <v>248</v>
      </c>
    </row>
    <row r="26" spans="1:3" x14ac:dyDescent="0.25">
      <c r="A26" s="46" t="s">
        <v>2820</v>
      </c>
      <c r="B26" s="113">
        <v>1211.36349</v>
      </c>
      <c r="C26" s="41" t="s">
        <v>2821</v>
      </c>
    </row>
    <row r="27" spans="1:3" x14ac:dyDescent="0.25">
      <c r="A27" s="46" t="s">
        <v>2822</v>
      </c>
      <c r="B27" s="113">
        <v>424.96939000000003</v>
      </c>
      <c r="C27" s="41" t="s">
        <v>2810</v>
      </c>
    </row>
    <row r="28" spans="1:3" x14ac:dyDescent="0.25">
      <c r="A28" s="46" t="s">
        <v>2823</v>
      </c>
      <c r="B28" s="113">
        <v>6.6694098190000002</v>
      </c>
      <c r="C28" s="41" t="s">
        <v>248</v>
      </c>
    </row>
    <row r="29" spans="1:3" x14ac:dyDescent="0.25">
      <c r="A29" s="46" t="s">
        <v>2824</v>
      </c>
      <c r="B29" s="113">
        <v>66.693640000000002</v>
      </c>
      <c r="C29" s="41" t="s">
        <v>2825</v>
      </c>
    </row>
    <row r="30" spans="1:3" x14ac:dyDescent="0.25">
      <c r="A30" s="46" t="s">
        <v>2826</v>
      </c>
      <c r="B30" s="113">
        <v>31.222709999999999</v>
      </c>
      <c r="C30" s="41" t="s">
        <v>2810</v>
      </c>
    </row>
    <row r="31" spans="1:3" x14ac:dyDescent="0.25">
      <c r="A31" s="46" t="s">
        <v>2827</v>
      </c>
      <c r="B31" s="113">
        <v>1637.92202</v>
      </c>
      <c r="C31" s="41" t="s">
        <v>2828</v>
      </c>
    </row>
    <row r="32" spans="1:3" s="112" customFormat="1" x14ac:dyDescent="0.25">
      <c r="A32" s="171" t="s">
        <v>488</v>
      </c>
      <c r="B32" s="172">
        <v>19408.878580100001</v>
      </c>
      <c r="C32" s="173" t="s">
        <v>251</v>
      </c>
    </row>
    <row r="33" spans="1:3" x14ac:dyDescent="0.25">
      <c r="A33" s="46" t="s">
        <v>2829</v>
      </c>
      <c r="B33" s="113">
        <v>78.746470000000002</v>
      </c>
      <c r="C33" s="41" t="s">
        <v>2816</v>
      </c>
    </row>
    <row r="34" spans="1:3" x14ac:dyDescent="0.25">
      <c r="A34" s="46" t="s">
        <v>2830</v>
      </c>
      <c r="B34" s="113">
        <v>171.75294</v>
      </c>
      <c r="C34" s="41" t="s">
        <v>2802</v>
      </c>
    </row>
    <row r="35" spans="1:3" x14ac:dyDescent="0.25">
      <c r="A35" s="46" t="s">
        <v>2831</v>
      </c>
      <c r="B35" s="113">
        <v>272.89654999999999</v>
      </c>
      <c r="C35" s="41" t="s">
        <v>2802</v>
      </c>
    </row>
    <row r="36" spans="1:3" x14ac:dyDescent="0.25">
      <c r="A36" s="46" t="s">
        <v>2832</v>
      </c>
      <c r="B36" s="113">
        <v>5131.8999999999996</v>
      </c>
      <c r="C36" s="41" t="s">
        <v>2825</v>
      </c>
    </row>
    <row r="37" spans="1:3" x14ac:dyDescent="0.25">
      <c r="A37" s="46" t="s">
        <v>2833</v>
      </c>
      <c r="B37" s="113">
        <v>1147.4015300000001</v>
      </c>
      <c r="C37" s="41" t="s">
        <v>2828</v>
      </c>
    </row>
    <row r="38" spans="1:3" x14ac:dyDescent="0.25">
      <c r="A38" s="46" t="s">
        <v>2834</v>
      </c>
      <c r="B38" s="113">
        <v>2422.8957599999999</v>
      </c>
      <c r="C38" s="41" t="s">
        <v>2802</v>
      </c>
    </row>
    <row r="39" spans="1:3" x14ac:dyDescent="0.25">
      <c r="A39" s="46" t="s">
        <v>2835</v>
      </c>
      <c r="B39" s="113">
        <v>1780.625</v>
      </c>
      <c r="C39" s="41" t="s">
        <v>2828</v>
      </c>
    </row>
    <row r="40" spans="1:3" x14ac:dyDescent="0.25">
      <c r="A40" s="46" t="s">
        <v>2836</v>
      </c>
      <c r="B40" s="113">
        <v>731.11980000000005</v>
      </c>
      <c r="C40" s="41" t="s">
        <v>2837</v>
      </c>
    </row>
    <row r="41" spans="1:3" x14ac:dyDescent="0.25">
      <c r="A41" s="46" t="s">
        <v>2838</v>
      </c>
      <c r="B41" s="113">
        <v>1080.9549199999999</v>
      </c>
      <c r="C41" s="41" t="s">
        <v>2839</v>
      </c>
    </row>
    <row r="42" spans="1:3" x14ac:dyDescent="0.25">
      <c r="A42" s="46" t="s">
        <v>2840</v>
      </c>
      <c r="B42" s="113">
        <v>82.514880000000005</v>
      </c>
      <c r="C42" s="41" t="s">
        <v>2810</v>
      </c>
    </row>
    <row r="43" spans="1:3" x14ac:dyDescent="0.25">
      <c r="A43" s="46" t="s">
        <v>2841</v>
      </c>
      <c r="B43" s="113">
        <v>927.95997999999997</v>
      </c>
      <c r="C43" s="41" t="s">
        <v>2810</v>
      </c>
    </row>
    <row r="44" spans="1:3" x14ac:dyDescent="0.25">
      <c r="A44" s="46" t="s">
        <v>2842</v>
      </c>
      <c r="B44" s="113">
        <v>2132.0770400000001</v>
      </c>
      <c r="C44" s="41" t="s">
        <v>2843</v>
      </c>
    </row>
    <row r="45" spans="1:3" x14ac:dyDescent="0.25">
      <c r="A45" s="46" t="s">
        <v>2844</v>
      </c>
      <c r="B45" s="113">
        <v>1808.64473</v>
      </c>
      <c r="C45" s="41" t="s">
        <v>2845</v>
      </c>
    </row>
    <row r="46" spans="1:3" x14ac:dyDescent="0.25">
      <c r="A46" s="46" t="s">
        <v>2846</v>
      </c>
      <c r="B46" s="113">
        <v>1634.5335400000001</v>
      </c>
      <c r="C46" s="41" t="s">
        <v>248</v>
      </c>
    </row>
    <row r="47" spans="1:3" x14ac:dyDescent="0.25">
      <c r="A47" s="46" t="s">
        <v>2847</v>
      </c>
      <c r="B47" s="113">
        <v>4.8554399999999998</v>
      </c>
      <c r="C47" s="41" t="s">
        <v>248</v>
      </c>
    </row>
    <row r="48" spans="1:3" x14ac:dyDescent="0.25">
      <c r="A48" t="s">
        <v>2799</v>
      </c>
    </row>
  </sheetData>
  <mergeCells count="1">
    <mergeCell ref="A5:C5"/>
  </mergeCells>
  <phoneticPr fontId="3" type="noConversion"/>
  <conditionalFormatting sqref="A9:C47">
    <cfRule type="expression" dxfId="23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49"/>
  <sheetViews>
    <sheetView rightToLeft="1" workbookViewId="0"/>
  </sheetViews>
  <sheetFormatPr defaultColWidth="9.109375" defaultRowHeight="13.2" x14ac:dyDescent="0.25"/>
  <cols>
    <col min="1" max="1" width="24.6640625" style="10" bestFit="1" customWidth="1"/>
    <col min="2" max="5" width="12.5546875" style="10" customWidth="1"/>
    <col min="6" max="6" width="13.6640625" style="10" customWidth="1"/>
    <col min="7" max="7" width="12.5546875" style="10" customWidth="1"/>
    <col min="8" max="8" width="10.5546875" style="9" customWidth="1"/>
    <col min="9" max="9" width="12.6640625" style="10" customWidth="1"/>
    <col min="10" max="10" width="16.109375" style="11" customWidth="1"/>
    <col min="11" max="11" width="11.5546875" style="11" bestFit="1" customWidth="1"/>
    <col min="12" max="12" width="14" style="11" customWidth="1"/>
    <col min="13" max="13" width="21.109375" style="11" customWidth="1"/>
    <col min="14" max="14" width="24.33203125" style="11" customWidth="1"/>
    <col min="15" max="15" width="22.6640625" style="37" customWidth="1"/>
    <col min="16" max="16" width="12.109375" style="13" customWidth="1"/>
    <col min="17" max="17" width="10" style="20" customWidth="1"/>
    <col min="18" max="18" width="11.44140625" style="20" bestFit="1" customWidth="1"/>
    <col min="19" max="19" width="7.33203125" style="20" customWidth="1"/>
    <col min="20" max="21" width="10.5546875" style="13" customWidth="1"/>
    <col min="22" max="22" width="11.44140625" style="15" customWidth="1"/>
    <col min="23" max="23" width="15.44140625" style="15" customWidth="1"/>
    <col min="24" max="16384" width="9.109375" style="15"/>
  </cols>
  <sheetData>
    <row r="1" spans="1:25" s="7" customFormat="1" x14ac:dyDescent="0.25">
      <c r="A1" s="7" t="s">
        <v>237</v>
      </c>
      <c r="B1" s="8" t="s">
        <v>247</v>
      </c>
      <c r="C1" s="8"/>
      <c r="D1" s="8"/>
      <c r="E1" s="8"/>
      <c r="F1" s="8"/>
      <c r="G1" s="8"/>
      <c r="H1" s="9"/>
      <c r="I1" s="10"/>
      <c r="J1" s="11"/>
      <c r="K1" s="11"/>
      <c r="L1" s="11"/>
      <c r="M1" s="11"/>
      <c r="N1" s="11"/>
      <c r="O1" s="37"/>
      <c r="P1" s="13"/>
      <c r="Q1" s="14"/>
      <c r="R1" s="14"/>
      <c r="S1" s="14"/>
      <c r="T1" s="13"/>
      <c r="U1" s="13"/>
      <c r="V1" s="15"/>
    </row>
    <row r="2" spans="1:25" s="7" customFormat="1" x14ac:dyDescent="0.25">
      <c r="A2" s="10" t="s">
        <v>238</v>
      </c>
      <c r="B2" s="10" t="s">
        <v>150</v>
      </c>
      <c r="C2" s="10"/>
      <c r="D2" s="10"/>
      <c r="E2" s="10"/>
      <c r="F2" s="10"/>
      <c r="G2" s="10"/>
      <c r="H2" s="9"/>
      <c r="I2" s="10"/>
      <c r="J2" s="11"/>
      <c r="K2" s="11"/>
      <c r="L2" s="11"/>
      <c r="M2" s="11"/>
      <c r="N2" s="11"/>
      <c r="O2" s="37"/>
      <c r="P2" s="13"/>
      <c r="Q2" s="14"/>
      <c r="R2" s="14"/>
      <c r="S2" s="14"/>
      <c r="T2" s="13"/>
      <c r="U2" s="13"/>
      <c r="V2" s="15"/>
    </row>
    <row r="3" spans="1:25" s="7" customFormat="1" x14ac:dyDescent="0.25">
      <c r="A3" s="10" t="s">
        <v>239</v>
      </c>
      <c r="B3" s="10" t="s">
        <v>240</v>
      </c>
      <c r="C3" s="10"/>
      <c r="D3" s="10"/>
      <c r="E3" s="10"/>
      <c r="F3" s="10"/>
      <c r="G3" s="10"/>
      <c r="H3" s="9"/>
      <c r="I3" s="10"/>
      <c r="J3" s="11"/>
      <c r="K3" s="11"/>
      <c r="L3" s="11"/>
      <c r="M3" s="11"/>
      <c r="N3" s="11"/>
      <c r="O3" s="37"/>
      <c r="P3" s="13"/>
      <c r="Q3" s="14"/>
      <c r="R3" s="14"/>
      <c r="S3" s="14"/>
      <c r="T3" s="13"/>
      <c r="U3" s="13"/>
      <c r="V3" s="15"/>
    </row>
    <row r="4" spans="1:25" s="7" customFormat="1" ht="13.8" thickBot="1" x14ac:dyDescent="0.3">
      <c r="A4" s="10" t="s">
        <v>241</v>
      </c>
      <c r="B4" s="10" t="s">
        <v>249</v>
      </c>
      <c r="C4" s="10"/>
      <c r="D4" s="10"/>
      <c r="E4" s="10"/>
      <c r="F4" s="10"/>
      <c r="G4" s="10"/>
      <c r="H4" s="9"/>
      <c r="I4" s="10"/>
      <c r="J4" s="11"/>
      <c r="K4" s="11"/>
      <c r="L4" s="11"/>
      <c r="M4" s="11"/>
      <c r="N4" s="11"/>
      <c r="O4" s="37"/>
      <c r="P4" s="13"/>
      <c r="Q4" s="14"/>
      <c r="R4" s="14"/>
      <c r="S4" s="14"/>
      <c r="T4" s="13"/>
      <c r="U4" s="13"/>
      <c r="V4" s="15"/>
    </row>
    <row r="5" spans="1:25" s="7" customFormat="1" x14ac:dyDescent="0.25">
      <c r="A5" s="233" t="s">
        <v>98</v>
      </c>
      <c r="B5" s="234"/>
      <c r="C5" s="234"/>
      <c r="D5" s="234"/>
      <c r="E5" s="234"/>
      <c r="F5" s="234"/>
      <c r="G5" s="234"/>
      <c r="H5" s="234"/>
      <c r="I5" s="234"/>
      <c r="J5" s="234"/>
      <c r="K5" s="234"/>
      <c r="L5" s="234"/>
      <c r="M5" s="234"/>
      <c r="N5" s="234"/>
      <c r="O5" s="235"/>
      <c r="P5" s="13"/>
      <c r="Q5" s="13"/>
      <c r="R5" s="13"/>
      <c r="S5" s="13"/>
      <c r="T5" s="13"/>
      <c r="U5" s="13"/>
      <c r="V5" s="13"/>
      <c r="W5" s="13"/>
      <c r="X5" s="13"/>
      <c r="Y5" s="13"/>
    </row>
    <row r="6" spans="1:25" s="7" customFormat="1" x14ac:dyDescent="0.25">
      <c r="A6" s="80" t="s">
        <v>157</v>
      </c>
      <c r="B6" s="87" t="s">
        <v>99</v>
      </c>
      <c r="C6" s="88" t="s">
        <v>19</v>
      </c>
      <c r="D6" s="88" t="s">
        <v>70</v>
      </c>
      <c r="E6" s="88" t="s">
        <v>5</v>
      </c>
      <c r="F6" s="88" t="s">
        <v>13</v>
      </c>
      <c r="G6" s="88" t="s">
        <v>14</v>
      </c>
      <c r="H6" s="89" t="s">
        <v>6</v>
      </c>
      <c r="I6" s="90" t="s">
        <v>100</v>
      </c>
      <c r="J6" s="90" t="s">
        <v>101</v>
      </c>
      <c r="K6" s="90" t="s">
        <v>67</v>
      </c>
      <c r="L6" s="96" t="s">
        <v>102</v>
      </c>
      <c r="M6" s="88" t="s">
        <v>17</v>
      </c>
      <c r="N6" s="88" t="s">
        <v>75</v>
      </c>
      <c r="O6" s="95" t="s">
        <v>103</v>
      </c>
    </row>
    <row r="7" spans="1:25" s="7" customFormat="1" x14ac:dyDescent="0.25">
      <c r="A7" s="27"/>
      <c r="B7" s="3"/>
      <c r="C7" s="3"/>
      <c r="D7" s="3"/>
      <c r="E7" s="3"/>
      <c r="F7" s="3" t="s">
        <v>40</v>
      </c>
      <c r="G7" s="3" t="s">
        <v>16</v>
      </c>
      <c r="H7" s="3"/>
      <c r="I7" s="28" t="s">
        <v>9</v>
      </c>
      <c r="J7" s="2" t="s">
        <v>9</v>
      </c>
      <c r="K7" s="2" t="s">
        <v>133</v>
      </c>
      <c r="L7" s="2" t="s">
        <v>10</v>
      </c>
      <c r="M7" s="2" t="s">
        <v>9</v>
      </c>
      <c r="N7" s="31" t="s">
        <v>9</v>
      </c>
      <c r="O7" s="6" t="s">
        <v>9</v>
      </c>
    </row>
    <row r="8" spans="1:25" s="16" customFormat="1" ht="12.75" customHeight="1" x14ac:dyDescent="0.25">
      <c r="A8" s="21"/>
      <c r="B8" s="22" t="s">
        <v>49</v>
      </c>
      <c r="C8" s="22" t="s">
        <v>50</v>
      </c>
      <c r="D8" s="22" t="s">
        <v>104</v>
      </c>
      <c r="E8" s="22" t="s">
        <v>105</v>
      </c>
      <c r="F8" s="22" t="s">
        <v>106</v>
      </c>
      <c r="G8" s="22" t="s">
        <v>107</v>
      </c>
      <c r="H8" s="22" t="s">
        <v>108</v>
      </c>
      <c r="I8" s="22" t="s">
        <v>109</v>
      </c>
      <c r="J8" s="22" t="s">
        <v>110</v>
      </c>
      <c r="K8" s="22" t="s">
        <v>111</v>
      </c>
      <c r="L8" s="22" t="s">
        <v>112</v>
      </c>
      <c r="M8" s="22" t="s">
        <v>113</v>
      </c>
      <c r="N8" s="22" t="s">
        <v>114</v>
      </c>
      <c r="O8" s="23" t="s">
        <v>115</v>
      </c>
    </row>
    <row r="9" spans="1:25" ht="12.75" customHeight="1" thickBot="1" x14ac:dyDescent="0.3">
      <c r="A9" s="97" t="s">
        <v>116</v>
      </c>
      <c r="B9" s="74"/>
      <c r="C9" s="74"/>
      <c r="D9" s="74"/>
      <c r="E9" s="74"/>
      <c r="F9" s="74"/>
      <c r="G9" s="74"/>
      <c r="H9" s="74"/>
      <c r="I9" s="74"/>
      <c r="J9" s="74"/>
      <c r="K9" s="74"/>
      <c r="L9" s="98">
        <v>0</v>
      </c>
      <c r="M9" s="75"/>
      <c r="N9" s="78"/>
      <c r="O9" s="59"/>
      <c r="P9" s="15"/>
      <c r="Q9" s="15"/>
      <c r="R9" s="15"/>
      <c r="S9" s="15"/>
      <c r="T9" s="15"/>
      <c r="U9" s="15"/>
    </row>
    <row r="10" spans="1:25" x14ac:dyDescent="0.25">
      <c r="A10" s="92" t="s">
        <v>137</v>
      </c>
      <c r="B10" s="32"/>
      <c r="C10" s="32"/>
      <c r="D10" s="32"/>
      <c r="E10" s="32"/>
      <c r="F10" s="32"/>
      <c r="G10" s="32"/>
      <c r="H10" s="67"/>
      <c r="I10" s="34"/>
      <c r="J10" s="35"/>
      <c r="K10" s="69"/>
      <c r="L10" s="35"/>
      <c r="M10" s="72"/>
      <c r="N10" s="76"/>
      <c r="O10" s="33"/>
      <c r="P10" s="15"/>
      <c r="Q10" s="15"/>
      <c r="R10" s="15"/>
      <c r="S10" s="15"/>
      <c r="T10" s="15"/>
      <c r="U10" s="15"/>
    </row>
    <row r="11" spans="1:25" x14ac:dyDescent="0.25">
      <c r="A11" s="93" t="s">
        <v>138</v>
      </c>
      <c r="B11" s="24"/>
      <c r="C11" s="24"/>
      <c r="D11" s="24"/>
      <c r="E11" s="24"/>
      <c r="F11" s="24"/>
      <c r="G11" s="24"/>
      <c r="H11" s="61"/>
      <c r="I11" s="26"/>
      <c r="J11" s="18"/>
      <c r="K11" s="69"/>
      <c r="L11" s="18"/>
      <c r="M11" s="47"/>
      <c r="N11" s="77"/>
      <c r="O11" s="25"/>
      <c r="P11" s="15"/>
      <c r="Q11" s="15"/>
      <c r="R11" s="15"/>
      <c r="S11" s="15"/>
      <c r="T11" s="15"/>
      <c r="U11" s="15"/>
    </row>
    <row r="12" spans="1:25" x14ac:dyDescent="0.25">
      <c r="A12" s="93" t="s">
        <v>139</v>
      </c>
      <c r="B12" s="24"/>
      <c r="C12" s="24"/>
      <c r="D12" s="24"/>
      <c r="E12" s="24"/>
      <c r="F12" s="24"/>
      <c r="G12" s="24"/>
      <c r="H12" s="61"/>
      <c r="I12" s="26"/>
      <c r="J12" s="18"/>
      <c r="K12" s="69"/>
      <c r="L12" s="18"/>
      <c r="M12" s="47"/>
      <c r="N12" s="77"/>
      <c r="O12" s="25"/>
      <c r="P12" s="15"/>
      <c r="Q12" s="15"/>
      <c r="R12" s="15"/>
      <c r="S12" s="15"/>
      <c r="T12" s="15"/>
      <c r="U12" s="15"/>
    </row>
    <row r="13" spans="1:25" x14ac:dyDescent="0.25">
      <c r="A13" s="93" t="s">
        <v>140</v>
      </c>
      <c r="B13" s="24"/>
      <c r="C13" s="24"/>
      <c r="D13" s="24"/>
      <c r="E13" s="24"/>
      <c r="F13" s="24"/>
      <c r="G13" s="24"/>
      <c r="H13" s="61"/>
      <c r="I13" s="26"/>
      <c r="J13" s="18"/>
      <c r="K13" s="69"/>
      <c r="L13" s="18"/>
      <c r="M13" s="47"/>
      <c r="N13" s="77"/>
      <c r="O13" s="25"/>
      <c r="P13" s="15"/>
      <c r="Q13" s="15"/>
      <c r="R13" s="15"/>
      <c r="S13" s="15"/>
      <c r="T13" s="15"/>
      <c r="U13" s="15"/>
    </row>
    <row r="14" spans="1:25" x14ac:dyDescent="0.25">
      <c r="A14" s="93" t="s">
        <v>141</v>
      </c>
      <c r="B14" s="24"/>
      <c r="C14" s="24"/>
      <c r="D14" s="24"/>
      <c r="E14" s="24"/>
      <c r="F14" s="24"/>
      <c r="G14" s="24"/>
      <c r="H14" s="61"/>
      <c r="I14" s="26"/>
      <c r="J14" s="18"/>
      <c r="K14" s="69"/>
      <c r="L14" s="18"/>
      <c r="M14" s="47"/>
      <c r="N14" s="77"/>
      <c r="O14" s="25"/>
      <c r="P14" s="15"/>
      <c r="Q14" s="15"/>
      <c r="R14" s="15"/>
      <c r="S14" s="15"/>
      <c r="T14" s="15"/>
      <c r="U14" s="15"/>
    </row>
    <row r="15" spans="1:25" x14ac:dyDescent="0.25">
      <c r="A15" s="93" t="s">
        <v>142</v>
      </c>
      <c r="B15" s="24"/>
      <c r="C15" s="24"/>
      <c r="D15" s="24"/>
      <c r="E15" s="24"/>
      <c r="F15" s="24"/>
      <c r="G15" s="24"/>
      <c r="H15" s="61"/>
      <c r="I15" s="26"/>
      <c r="J15" s="18"/>
      <c r="K15" s="69"/>
      <c r="L15" s="18"/>
      <c r="M15" s="47"/>
      <c r="N15" s="77"/>
      <c r="O15" s="25"/>
      <c r="P15" s="15"/>
      <c r="Q15" s="15"/>
      <c r="R15" s="15"/>
      <c r="S15" s="15"/>
      <c r="T15" s="15"/>
      <c r="U15" s="15"/>
    </row>
    <row r="16" spans="1:25" x14ac:dyDescent="0.25">
      <c r="A16" s="93" t="s">
        <v>143</v>
      </c>
      <c r="B16" s="24"/>
      <c r="C16" s="24"/>
      <c r="D16" s="24"/>
      <c r="E16" s="24"/>
      <c r="F16" s="24"/>
      <c r="G16" s="24"/>
      <c r="H16" s="61"/>
      <c r="I16" s="26"/>
      <c r="J16" s="18"/>
      <c r="K16" s="69"/>
      <c r="L16" s="18"/>
      <c r="M16" s="47"/>
      <c r="N16" s="77"/>
      <c r="O16" s="25"/>
      <c r="P16" s="15"/>
      <c r="Q16" s="15"/>
      <c r="R16" s="15"/>
      <c r="S16" s="15"/>
      <c r="T16" s="15"/>
      <c r="U16" s="15"/>
    </row>
    <row r="17" spans="1:21" x14ac:dyDescent="0.25">
      <c r="A17" s="206" t="s">
        <v>144</v>
      </c>
      <c r="B17" s="207"/>
      <c r="C17" s="207"/>
      <c r="D17" s="207"/>
      <c r="E17" s="207"/>
      <c r="F17" s="207"/>
      <c r="G17" s="207"/>
      <c r="H17" s="208"/>
      <c r="I17" s="209"/>
      <c r="J17" s="210"/>
      <c r="K17" s="211"/>
      <c r="L17" s="210"/>
      <c r="M17" s="212"/>
      <c r="N17" s="213"/>
      <c r="O17" s="214"/>
      <c r="P17" s="15"/>
      <c r="Q17" s="15"/>
      <c r="R17" s="15"/>
      <c r="S17" s="15"/>
      <c r="T17" s="15"/>
      <c r="U17" s="15"/>
    </row>
    <row r="18" spans="1:21" x14ac:dyDescent="0.25">
      <c r="A18" s="109" t="s">
        <v>145</v>
      </c>
      <c r="O18" s="38"/>
      <c r="Q18" s="19"/>
      <c r="R18" s="19"/>
      <c r="S18" s="19"/>
    </row>
    <row r="19" spans="1:21" x14ac:dyDescent="0.25">
      <c r="A19" s="109" t="s">
        <v>146</v>
      </c>
      <c r="O19" s="38"/>
      <c r="Q19" s="19"/>
      <c r="R19" s="19"/>
      <c r="S19" s="19"/>
    </row>
    <row r="20" spans="1:21" x14ac:dyDescent="0.25">
      <c r="A20" s="109" t="s">
        <v>147</v>
      </c>
      <c r="O20" s="38"/>
      <c r="Q20" s="19"/>
      <c r="R20" s="19"/>
      <c r="S20" s="19"/>
    </row>
    <row r="21" spans="1:21" x14ac:dyDescent="0.25">
      <c r="A21" s="109" t="s">
        <v>148</v>
      </c>
      <c r="O21" s="38"/>
      <c r="Q21" s="19"/>
      <c r="R21" s="19"/>
      <c r="S21" s="19"/>
    </row>
    <row r="22" spans="1:21" x14ac:dyDescent="0.25">
      <c r="A22" s="109" t="s">
        <v>149</v>
      </c>
      <c r="O22" s="38"/>
      <c r="Q22" s="19"/>
      <c r="R22" s="19"/>
      <c r="S22" s="19"/>
    </row>
    <row r="23" spans="1:21" x14ac:dyDescent="0.25">
      <c r="O23" s="38"/>
      <c r="Q23" s="19"/>
      <c r="R23" s="19"/>
      <c r="S23" s="19"/>
    </row>
    <row r="24" spans="1:21" x14ac:dyDescent="0.25">
      <c r="O24" s="38"/>
      <c r="Q24" s="19"/>
      <c r="R24" s="19"/>
      <c r="S24" s="19"/>
    </row>
    <row r="25" spans="1:21" x14ac:dyDescent="0.25">
      <c r="O25" s="38"/>
      <c r="Q25" s="19"/>
      <c r="R25" s="19"/>
      <c r="S25" s="19"/>
    </row>
    <row r="26" spans="1:21" x14ac:dyDescent="0.25">
      <c r="O26" s="38"/>
      <c r="Q26" s="19"/>
      <c r="R26" s="19"/>
      <c r="S26" s="19"/>
    </row>
    <row r="27" spans="1:21" x14ac:dyDescent="0.25">
      <c r="O27" s="38"/>
      <c r="Q27" s="19"/>
      <c r="R27" s="19"/>
      <c r="S27" s="19"/>
    </row>
    <row r="28" spans="1:21" x14ac:dyDescent="0.25">
      <c r="O28" s="38"/>
      <c r="Q28" s="19"/>
      <c r="R28" s="19"/>
      <c r="S28" s="19"/>
    </row>
    <row r="29" spans="1:21" x14ac:dyDescent="0.25">
      <c r="O29" s="38"/>
      <c r="Q29" s="19"/>
      <c r="R29" s="19"/>
      <c r="S29" s="19"/>
    </row>
    <row r="30" spans="1:21" x14ac:dyDescent="0.25">
      <c r="O30" s="38"/>
      <c r="Q30" s="19"/>
      <c r="R30" s="19"/>
      <c r="S30" s="19"/>
    </row>
    <row r="31" spans="1:21" x14ac:dyDescent="0.25">
      <c r="O31" s="38"/>
      <c r="Q31" s="19"/>
      <c r="R31" s="19"/>
      <c r="S31" s="19"/>
    </row>
    <row r="32" spans="1:21" x14ac:dyDescent="0.25">
      <c r="O32" s="38"/>
      <c r="Q32" s="19"/>
      <c r="R32" s="19"/>
      <c r="S32" s="19"/>
    </row>
    <row r="33" spans="15:19" x14ac:dyDescent="0.25">
      <c r="O33" s="38"/>
      <c r="Q33" s="19"/>
      <c r="R33" s="19"/>
      <c r="S33" s="19"/>
    </row>
    <row r="34" spans="15:19" x14ac:dyDescent="0.25">
      <c r="O34" s="38"/>
      <c r="Q34" s="19"/>
      <c r="R34" s="19"/>
      <c r="S34" s="19"/>
    </row>
    <row r="35" spans="15:19" x14ac:dyDescent="0.25">
      <c r="O35" s="38"/>
      <c r="Q35" s="19"/>
      <c r="R35" s="19"/>
      <c r="S35" s="19"/>
    </row>
    <row r="36" spans="15:19" x14ac:dyDescent="0.25">
      <c r="O36" s="38"/>
      <c r="Q36" s="19"/>
      <c r="R36" s="19"/>
      <c r="S36" s="19"/>
    </row>
    <row r="37" spans="15:19" x14ac:dyDescent="0.25">
      <c r="O37" s="38"/>
      <c r="Q37" s="19"/>
      <c r="R37" s="19"/>
      <c r="S37" s="19"/>
    </row>
    <row r="38" spans="15:19" x14ac:dyDescent="0.25">
      <c r="O38" s="38"/>
      <c r="Q38" s="19"/>
      <c r="R38" s="19"/>
      <c r="S38" s="19"/>
    </row>
    <row r="39" spans="15:19" x14ac:dyDescent="0.25">
      <c r="O39" s="38"/>
      <c r="Q39" s="19"/>
      <c r="R39" s="19"/>
      <c r="S39" s="19"/>
    </row>
    <row r="40" spans="15:19" x14ac:dyDescent="0.25">
      <c r="O40" s="38"/>
      <c r="Q40" s="19"/>
      <c r="R40" s="19"/>
      <c r="S40" s="19"/>
    </row>
    <row r="41" spans="15:19" x14ac:dyDescent="0.25">
      <c r="O41" s="38"/>
      <c r="Q41" s="19"/>
      <c r="R41" s="19"/>
      <c r="S41" s="19"/>
    </row>
    <row r="42" spans="15:19" x14ac:dyDescent="0.25">
      <c r="O42" s="38"/>
      <c r="Q42" s="19"/>
      <c r="R42" s="19"/>
      <c r="S42" s="19"/>
    </row>
    <row r="43" spans="15:19" x14ac:dyDescent="0.25">
      <c r="O43" s="38"/>
      <c r="Q43" s="19"/>
      <c r="R43" s="19"/>
      <c r="S43" s="19"/>
    </row>
    <row r="44" spans="15:19" x14ac:dyDescent="0.25">
      <c r="O44" s="38"/>
      <c r="Q44" s="19"/>
      <c r="R44" s="19"/>
      <c r="S44" s="19"/>
    </row>
    <row r="45" spans="15:19" x14ac:dyDescent="0.25">
      <c r="O45" s="38"/>
      <c r="Q45" s="19"/>
      <c r="R45" s="19"/>
      <c r="S45" s="19"/>
    </row>
    <row r="46" spans="15:19" x14ac:dyDescent="0.25">
      <c r="O46" s="38"/>
      <c r="Q46" s="19"/>
      <c r="R46" s="19"/>
      <c r="S46" s="19"/>
    </row>
    <row r="47" spans="15:19" x14ac:dyDescent="0.25">
      <c r="O47" s="38"/>
      <c r="Q47" s="19"/>
      <c r="R47" s="19"/>
      <c r="S47" s="19"/>
    </row>
    <row r="48" spans="15:19" x14ac:dyDescent="0.25">
      <c r="O48" s="38"/>
      <c r="Q48" s="19"/>
      <c r="R48" s="19"/>
      <c r="S48" s="19"/>
    </row>
    <row r="49" spans="15:19" x14ac:dyDescent="0.25">
      <c r="O49" s="38"/>
      <c r="Q49" s="19"/>
      <c r="R49" s="19"/>
      <c r="S49" s="19"/>
    </row>
    <row r="50" spans="15:19" x14ac:dyDescent="0.25">
      <c r="O50" s="38"/>
      <c r="Q50" s="19"/>
      <c r="R50" s="19"/>
      <c r="S50" s="19"/>
    </row>
    <row r="51" spans="15:19" x14ac:dyDescent="0.25">
      <c r="O51" s="38"/>
      <c r="Q51" s="19"/>
      <c r="R51" s="19"/>
      <c r="S51" s="19"/>
    </row>
    <row r="52" spans="15:19" x14ac:dyDescent="0.25">
      <c r="O52" s="38"/>
      <c r="Q52" s="19"/>
      <c r="R52" s="19"/>
      <c r="S52" s="19"/>
    </row>
    <row r="53" spans="15:19" x14ac:dyDescent="0.25">
      <c r="O53" s="38"/>
      <c r="Q53" s="19"/>
      <c r="R53" s="19"/>
      <c r="S53" s="19"/>
    </row>
    <row r="54" spans="15:19" x14ac:dyDescent="0.25">
      <c r="O54" s="38"/>
      <c r="Q54" s="19"/>
      <c r="R54" s="19"/>
      <c r="S54" s="19"/>
    </row>
    <row r="55" spans="15:19" x14ac:dyDescent="0.25">
      <c r="O55" s="38"/>
      <c r="Q55" s="19"/>
      <c r="R55" s="19"/>
      <c r="S55" s="19"/>
    </row>
    <row r="56" spans="15:19" x14ac:dyDescent="0.25">
      <c r="O56" s="38"/>
      <c r="Q56" s="19"/>
      <c r="R56" s="19"/>
      <c r="S56" s="19"/>
    </row>
    <row r="57" spans="15:19" x14ac:dyDescent="0.25">
      <c r="O57" s="38"/>
      <c r="Q57" s="19"/>
      <c r="R57" s="19"/>
      <c r="S57" s="19"/>
    </row>
    <row r="58" spans="15:19" x14ac:dyDescent="0.25">
      <c r="O58" s="38"/>
      <c r="Q58" s="19"/>
      <c r="R58" s="19"/>
      <c r="S58" s="19"/>
    </row>
    <row r="59" spans="15:19" x14ac:dyDescent="0.25">
      <c r="O59" s="38"/>
      <c r="Q59" s="19"/>
      <c r="R59" s="19"/>
      <c r="S59" s="19"/>
    </row>
    <row r="60" spans="15:19" x14ac:dyDescent="0.25">
      <c r="O60" s="38"/>
      <c r="Q60" s="19"/>
      <c r="R60" s="19"/>
      <c r="S60" s="19"/>
    </row>
    <row r="61" spans="15:19" x14ac:dyDescent="0.25">
      <c r="O61" s="38"/>
      <c r="Q61" s="19"/>
      <c r="R61" s="19"/>
      <c r="S61" s="19"/>
    </row>
    <row r="62" spans="15:19" x14ac:dyDescent="0.25">
      <c r="O62" s="38"/>
      <c r="Q62" s="19"/>
      <c r="R62" s="19"/>
      <c r="S62" s="19"/>
    </row>
    <row r="63" spans="15:19" x14ac:dyDescent="0.25">
      <c r="O63" s="38"/>
      <c r="Q63" s="19"/>
      <c r="R63" s="19"/>
      <c r="S63" s="19"/>
    </row>
    <row r="64" spans="15:19" x14ac:dyDescent="0.25">
      <c r="O64" s="38"/>
      <c r="Q64" s="19"/>
      <c r="R64" s="19"/>
      <c r="S64" s="19"/>
    </row>
    <row r="65" spans="15:19" x14ac:dyDescent="0.25">
      <c r="O65" s="38"/>
      <c r="Q65" s="19"/>
      <c r="R65" s="19"/>
      <c r="S65" s="19"/>
    </row>
    <row r="66" spans="15:19" x14ac:dyDescent="0.25">
      <c r="O66" s="38"/>
      <c r="Q66" s="19"/>
      <c r="R66" s="19"/>
      <c r="S66" s="19"/>
    </row>
    <row r="67" spans="15:19" x14ac:dyDescent="0.25">
      <c r="O67" s="38"/>
      <c r="Q67" s="19"/>
      <c r="R67" s="19"/>
      <c r="S67" s="19"/>
    </row>
    <row r="68" spans="15:19" x14ac:dyDescent="0.25">
      <c r="O68" s="38"/>
      <c r="Q68" s="19"/>
      <c r="R68" s="19"/>
      <c r="S68" s="19"/>
    </row>
    <row r="69" spans="15:19" x14ac:dyDescent="0.25">
      <c r="O69" s="38"/>
      <c r="Q69" s="19"/>
      <c r="R69" s="19"/>
      <c r="S69" s="19"/>
    </row>
    <row r="70" spans="15:19" x14ac:dyDescent="0.25">
      <c r="O70" s="38"/>
      <c r="Q70" s="19"/>
      <c r="R70" s="19"/>
      <c r="S70" s="19"/>
    </row>
    <row r="71" spans="15:19" x14ac:dyDescent="0.25">
      <c r="O71" s="38"/>
      <c r="Q71" s="19"/>
      <c r="R71" s="19"/>
      <c r="S71" s="19"/>
    </row>
    <row r="72" spans="15:19" x14ac:dyDescent="0.25">
      <c r="O72" s="38"/>
      <c r="Q72" s="19"/>
      <c r="R72" s="19"/>
      <c r="S72" s="19"/>
    </row>
    <row r="73" spans="15:19" x14ac:dyDescent="0.25">
      <c r="O73" s="38"/>
      <c r="Q73" s="19"/>
      <c r="R73" s="19"/>
      <c r="S73" s="19"/>
    </row>
    <row r="74" spans="15:19" x14ac:dyDescent="0.25">
      <c r="O74" s="38"/>
      <c r="Q74" s="19"/>
      <c r="R74" s="19"/>
      <c r="S74" s="19"/>
    </row>
    <row r="75" spans="15:19" x14ac:dyDescent="0.25">
      <c r="O75" s="38"/>
      <c r="Q75" s="19"/>
      <c r="R75" s="19"/>
      <c r="S75" s="19"/>
    </row>
    <row r="76" spans="15:19" x14ac:dyDescent="0.25">
      <c r="O76" s="38"/>
      <c r="Q76" s="19"/>
      <c r="R76" s="19"/>
      <c r="S76" s="19"/>
    </row>
    <row r="77" spans="15:19" x14ac:dyDescent="0.25">
      <c r="O77" s="38"/>
      <c r="Q77" s="19"/>
      <c r="R77" s="19"/>
      <c r="S77" s="19"/>
    </row>
    <row r="78" spans="15:19" x14ac:dyDescent="0.25">
      <c r="O78" s="38"/>
      <c r="Q78" s="19"/>
      <c r="R78" s="19"/>
      <c r="S78" s="19"/>
    </row>
    <row r="79" spans="15:19" x14ac:dyDescent="0.25">
      <c r="O79" s="38"/>
      <c r="Q79" s="19"/>
      <c r="R79" s="19"/>
      <c r="S79" s="19"/>
    </row>
    <row r="80" spans="15:19" x14ac:dyDescent="0.25">
      <c r="O80" s="38"/>
      <c r="Q80" s="19"/>
      <c r="R80" s="19"/>
      <c r="S80" s="19"/>
    </row>
    <row r="81" spans="15:19" x14ac:dyDescent="0.25">
      <c r="O81" s="38"/>
      <c r="Q81" s="19"/>
      <c r="R81" s="19"/>
      <c r="S81" s="19"/>
    </row>
    <row r="82" spans="15:19" x14ac:dyDescent="0.25">
      <c r="O82" s="38"/>
      <c r="Q82" s="19"/>
      <c r="R82" s="19"/>
      <c r="S82" s="19"/>
    </row>
    <row r="83" spans="15:19" x14ac:dyDescent="0.25">
      <c r="O83" s="38"/>
      <c r="Q83" s="19"/>
      <c r="R83" s="19"/>
      <c r="S83" s="19"/>
    </row>
    <row r="84" spans="15:19" x14ac:dyDescent="0.25">
      <c r="O84" s="38"/>
      <c r="Q84" s="19"/>
      <c r="R84" s="19"/>
      <c r="S84" s="19"/>
    </row>
    <row r="85" spans="15:19" x14ac:dyDescent="0.25">
      <c r="O85" s="38"/>
      <c r="Q85" s="19"/>
      <c r="R85" s="19"/>
      <c r="S85" s="19"/>
    </row>
    <row r="86" spans="15:19" x14ac:dyDescent="0.25">
      <c r="O86" s="38"/>
      <c r="Q86" s="19"/>
      <c r="R86" s="19"/>
      <c r="S86" s="19"/>
    </row>
    <row r="87" spans="15:19" x14ac:dyDescent="0.25">
      <c r="O87" s="38"/>
      <c r="Q87" s="19"/>
      <c r="R87" s="19"/>
      <c r="S87" s="19"/>
    </row>
    <row r="88" spans="15:19" x14ac:dyDescent="0.25">
      <c r="O88" s="38"/>
      <c r="Q88" s="19"/>
      <c r="R88" s="19"/>
      <c r="S88" s="19"/>
    </row>
    <row r="89" spans="15:19" x14ac:dyDescent="0.25">
      <c r="O89" s="38"/>
      <c r="Q89" s="19"/>
      <c r="R89" s="19"/>
      <c r="S89" s="19"/>
    </row>
    <row r="90" spans="15:19" x14ac:dyDescent="0.25">
      <c r="O90" s="38"/>
      <c r="Q90" s="19"/>
      <c r="R90" s="19"/>
      <c r="S90" s="19"/>
    </row>
    <row r="91" spans="15:19" x14ac:dyDescent="0.25">
      <c r="O91" s="38"/>
      <c r="Q91" s="19"/>
      <c r="R91" s="19"/>
      <c r="S91" s="19"/>
    </row>
    <row r="92" spans="15:19" x14ac:dyDescent="0.25">
      <c r="O92" s="38"/>
      <c r="Q92" s="19"/>
      <c r="R92" s="19"/>
      <c r="S92" s="19"/>
    </row>
    <row r="93" spans="15:19" x14ac:dyDescent="0.25">
      <c r="O93" s="38"/>
      <c r="Q93" s="19"/>
      <c r="R93" s="19"/>
      <c r="S93" s="19"/>
    </row>
    <row r="94" spans="15:19" x14ac:dyDescent="0.25">
      <c r="O94" s="38"/>
      <c r="Q94" s="19"/>
      <c r="R94" s="19"/>
      <c r="S94" s="19"/>
    </row>
    <row r="95" spans="15:19" x14ac:dyDescent="0.25">
      <c r="O95" s="38"/>
      <c r="Q95" s="19"/>
      <c r="R95" s="19"/>
      <c r="S95" s="19"/>
    </row>
    <row r="96" spans="15:19" x14ac:dyDescent="0.25">
      <c r="O96" s="38"/>
      <c r="Q96" s="19"/>
      <c r="R96" s="19"/>
      <c r="S96" s="19"/>
    </row>
    <row r="97" spans="15:19" x14ac:dyDescent="0.25">
      <c r="O97" s="38"/>
      <c r="Q97" s="19"/>
      <c r="R97" s="19"/>
      <c r="S97" s="19"/>
    </row>
    <row r="98" spans="15:19" x14ac:dyDescent="0.25">
      <c r="O98" s="38"/>
      <c r="Q98" s="19"/>
      <c r="R98" s="19"/>
      <c r="S98" s="19"/>
    </row>
    <row r="99" spans="15:19" x14ac:dyDescent="0.25">
      <c r="O99" s="38"/>
      <c r="Q99" s="19"/>
      <c r="R99" s="19"/>
      <c r="S99" s="19"/>
    </row>
    <row r="100" spans="15:19" x14ac:dyDescent="0.25">
      <c r="O100" s="38"/>
      <c r="Q100" s="19"/>
      <c r="R100" s="19"/>
      <c r="S100" s="19"/>
    </row>
    <row r="101" spans="15:19" x14ac:dyDescent="0.25">
      <c r="O101" s="38"/>
      <c r="Q101" s="19"/>
      <c r="R101" s="19"/>
      <c r="S101" s="19"/>
    </row>
    <row r="102" spans="15:19" x14ac:dyDescent="0.25">
      <c r="O102" s="38"/>
      <c r="Q102" s="19"/>
      <c r="R102" s="19"/>
      <c r="S102" s="19"/>
    </row>
    <row r="103" spans="15:19" x14ac:dyDescent="0.25">
      <c r="O103" s="38"/>
      <c r="Q103" s="19"/>
      <c r="R103" s="19"/>
      <c r="S103" s="19"/>
    </row>
    <row r="104" spans="15:19" x14ac:dyDescent="0.25">
      <c r="O104" s="38"/>
      <c r="Q104" s="19"/>
      <c r="R104" s="19"/>
      <c r="S104" s="19"/>
    </row>
    <row r="105" spans="15:19" x14ac:dyDescent="0.25">
      <c r="O105" s="38"/>
      <c r="Q105" s="19"/>
      <c r="R105" s="19"/>
      <c r="S105" s="19"/>
    </row>
    <row r="106" spans="15:19" x14ac:dyDescent="0.25">
      <c r="O106" s="38"/>
      <c r="Q106" s="19"/>
      <c r="R106" s="19"/>
      <c r="S106" s="19"/>
    </row>
    <row r="107" spans="15:19" x14ac:dyDescent="0.25">
      <c r="O107" s="38"/>
      <c r="Q107" s="19"/>
      <c r="R107" s="19"/>
      <c r="S107" s="19"/>
    </row>
    <row r="108" spans="15:19" x14ac:dyDescent="0.25">
      <c r="O108" s="38"/>
      <c r="Q108" s="19"/>
      <c r="R108" s="19"/>
      <c r="S108" s="19"/>
    </row>
    <row r="109" spans="15:19" x14ac:dyDescent="0.25">
      <c r="O109" s="38"/>
      <c r="Q109" s="19"/>
      <c r="R109" s="19"/>
      <c r="S109" s="19"/>
    </row>
    <row r="110" spans="15:19" x14ac:dyDescent="0.25">
      <c r="O110" s="38"/>
      <c r="Q110" s="19"/>
      <c r="R110" s="19"/>
      <c r="S110" s="19"/>
    </row>
    <row r="111" spans="15:19" x14ac:dyDescent="0.25">
      <c r="O111" s="38"/>
      <c r="Q111" s="19"/>
      <c r="R111" s="19"/>
      <c r="S111" s="19"/>
    </row>
    <row r="112" spans="15:19" x14ac:dyDescent="0.25">
      <c r="O112" s="38"/>
      <c r="Q112" s="19"/>
      <c r="R112" s="19"/>
      <c r="S112" s="19"/>
    </row>
    <row r="113" spans="15:19" x14ac:dyDescent="0.25">
      <c r="O113" s="38"/>
      <c r="Q113" s="19"/>
      <c r="R113" s="19"/>
      <c r="S113" s="19"/>
    </row>
    <row r="114" spans="15:19" x14ac:dyDescent="0.25">
      <c r="O114" s="38"/>
      <c r="Q114" s="19"/>
      <c r="R114" s="19"/>
      <c r="S114" s="19"/>
    </row>
    <row r="115" spans="15:19" x14ac:dyDescent="0.25">
      <c r="O115" s="38"/>
      <c r="Q115" s="19"/>
      <c r="R115" s="19"/>
      <c r="S115" s="19"/>
    </row>
    <row r="116" spans="15:19" x14ac:dyDescent="0.25">
      <c r="O116" s="38"/>
      <c r="Q116" s="19"/>
      <c r="R116" s="19"/>
      <c r="S116" s="19"/>
    </row>
    <row r="117" spans="15:19" x14ac:dyDescent="0.25">
      <c r="O117" s="38"/>
      <c r="Q117" s="19"/>
      <c r="R117" s="19"/>
      <c r="S117" s="19"/>
    </row>
    <row r="118" spans="15:19" x14ac:dyDescent="0.25">
      <c r="O118" s="38"/>
      <c r="Q118" s="19"/>
      <c r="R118" s="19"/>
      <c r="S118" s="19"/>
    </row>
    <row r="119" spans="15:19" x14ac:dyDescent="0.25">
      <c r="O119" s="38"/>
      <c r="Q119" s="19"/>
      <c r="R119" s="19"/>
      <c r="S119" s="19"/>
    </row>
    <row r="120" spans="15:19" x14ac:dyDescent="0.25">
      <c r="O120" s="38"/>
      <c r="Q120" s="19"/>
      <c r="R120" s="19"/>
      <c r="S120" s="19"/>
    </row>
    <row r="121" spans="15:19" x14ac:dyDescent="0.25">
      <c r="O121" s="38"/>
      <c r="Q121" s="19"/>
      <c r="R121" s="19"/>
      <c r="S121" s="19"/>
    </row>
    <row r="122" spans="15:19" x14ac:dyDescent="0.25">
      <c r="O122" s="38"/>
      <c r="Q122" s="19"/>
      <c r="R122" s="19"/>
      <c r="S122" s="19"/>
    </row>
    <row r="123" spans="15:19" x14ac:dyDescent="0.25">
      <c r="O123" s="38"/>
      <c r="Q123" s="19"/>
      <c r="R123" s="19"/>
      <c r="S123" s="19"/>
    </row>
    <row r="124" spans="15:19" x14ac:dyDescent="0.25">
      <c r="O124" s="38"/>
      <c r="Q124" s="19"/>
      <c r="R124" s="19"/>
      <c r="S124" s="19"/>
    </row>
    <row r="125" spans="15:19" x14ac:dyDescent="0.25">
      <c r="O125" s="38"/>
      <c r="Q125" s="19"/>
      <c r="R125" s="19"/>
      <c r="S125" s="19"/>
    </row>
    <row r="126" spans="15:19" x14ac:dyDescent="0.25">
      <c r="O126" s="38"/>
      <c r="Q126" s="19"/>
      <c r="R126" s="19"/>
      <c r="S126" s="19"/>
    </row>
    <row r="127" spans="15:19" x14ac:dyDescent="0.25">
      <c r="O127" s="38"/>
      <c r="Q127" s="19"/>
      <c r="R127" s="19"/>
      <c r="S127" s="19"/>
    </row>
    <row r="128" spans="15:19" x14ac:dyDescent="0.25">
      <c r="O128" s="38"/>
      <c r="Q128" s="19"/>
      <c r="R128" s="19"/>
      <c r="S128" s="19"/>
    </row>
    <row r="129" spans="15:19" x14ac:dyDescent="0.25">
      <c r="O129" s="38"/>
      <c r="Q129" s="19"/>
      <c r="R129" s="19"/>
      <c r="S129" s="19"/>
    </row>
    <row r="130" spans="15:19" x14ac:dyDescent="0.25">
      <c r="O130" s="38"/>
      <c r="Q130" s="19"/>
      <c r="R130" s="19"/>
      <c r="S130" s="19"/>
    </row>
    <row r="131" spans="15:19" x14ac:dyDescent="0.25">
      <c r="O131" s="38"/>
      <c r="Q131" s="19"/>
      <c r="R131" s="19"/>
      <c r="S131" s="19"/>
    </row>
    <row r="132" spans="15:19" x14ac:dyDescent="0.25">
      <c r="O132" s="38"/>
      <c r="Q132" s="19"/>
      <c r="R132" s="19"/>
      <c r="S132" s="19"/>
    </row>
    <row r="133" spans="15:19" x14ac:dyDescent="0.25">
      <c r="O133" s="38"/>
      <c r="Q133" s="19"/>
      <c r="R133" s="19"/>
      <c r="S133" s="19"/>
    </row>
    <row r="134" spans="15:19" x14ac:dyDescent="0.25">
      <c r="O134" s="38"/>
      <c r="Q134" s="19"/>
      <c r="R134" s="19"/>
      <c r="S134" s="19"/>
    </row>
    <row r="135" spans="15:19" x14ac:dyDescent="0.25">
      <c r="O135" s="38"/>
      <c r="Q135" s="19"/>
      <c r="R135" s="19"/>
      <c r="S135" s="19"/>
    </row>
    <row r="136" spans="15:19" x14ac:dyDescent="0.25">
      <c r="O136" s="38"/>
      <c r="Q136" s="19"/>
      <c r="R136" s="19"/>
      <c r="S136" s="19"/>
    </row>
    <row r="137" spans="15:19" x14ac:dyDescent="0.25">
      <c r="O137" s="38"/>
      <c r="Q137" s="19"/>
      <c r="R137" s="19"/>
      <c r="S137" s="19"/>
    </row>
    <row r="138" spans="15:19" x14ac:dyDescent="0.25">
      <c r="O138" s="38"/>
      <c r="Q138" s="19"/>
      <c r="R138" s="19"/>
      <c r="S138" s="19"/>
    </row>
    <row r="139" spans="15:19" x14ac:dyDescent="0.25">
      <c r="O139" s="38"/>
      <c r="Q139" s="19"/>
      <c r="R139" s="19"/>
      <c r="S139" s="19"/>
    </row>
    <row r="140" spans="15:19" x14ac:dyDescent="0.25">
      <c r="O140" s="38"/>
      <c r="Q140" s="19"/>
      <c r="R140" s="19"/>
      <c r="S140" s="19"/>
    </row>
    <row r="141" spans="15:19" x14ac:dyDescent="0.25">
      <c r="O141" s="38"/>
      <c r="Q141" s="19"/>
      <c r="R141" s="19"/>
      <c r="S141" s="19"/>
    </row>
    <row r="142" spans="15:19" x14ac:dyDescent="0.25">
      <c r="O142" s="38"/>
      <c r="Q142" s="19"/>
      <c r="R142" s="19"/>
      <c r="S142" s="19"/>
    </row>
    <row r="143" spans="15:19" x14ac:dyDescent="0.25">
      <c r="O143" s="38"/>
      <c r="Q143" s="19"/>
      <c r="R143" s="19"/>
      <c r="S143" s="19"/>
    </row>
    <row r="144" spans="15:19" x14ac:dyDescent="0.25">
      <c r="O144" s="38"/>
      <c r="Q144" s="19"/>
      <c r="R144" s="19"/>
      <c r="S144" s="19"/>
    </row>
    <row r="145" spans="15:19" x14ac:dyDescent="0.25">
      <c r="O145" s="38"/>
      <c r="Q145" s="19"/>
      <c r="R145" s="19"/>
      <c r="S145" s="19"/>
    </row>
    <row r="146" spans="15:19" x14ac:dyDescent="0.25">
      <c r="O146" s="38"/>
      <c r="Q146" s="19"/>
      <c r="R146" s="19"/>
      <c r="S146" s="19"/>
    </row>
    <row r="147" spans="15:19" x14ac:dyDescent="0.25">
      <c r="O147" s="38"/>
      <c r="Q147" s="19"/>
      <c r="R147" s="19"/>
      <c r="S147" s="19"/>
    </row>
    <row r="148" spans="15:19" x14ac:dyDescent="0.25">
      <c r="O148" s="38"/>
      <c r="Q148" s="19"/>
      <c r="R148" s="19"/>
      <c r="S148" s="19"/>
    </row>
    <row r="149" spans="15:19" x14ac:dyDescent="0.25">
      <c r="O149" s="38"/>
      <c r="Q149" s="19"/>
      <c r="R149" s="19"/>
      <c r="S149" s="19"/>
    </row>
    <row r="150" spans="15:19" x14ac:dyDescent="0.25">
      <c r="O150" s="38"/>
      <c r="Q150" s="19"/>
      <c r="R150" s="19"/>
      <c r="S150" s="19"/>
    </row>
    <row r="151" spans="15:19" x14ac:dyDescent="0.25">
      <c r="O151" s="38"/>
      <c r="Q151" s="19"/>
      <c r="R151" s="19"/>
      <c r="S151" s="19"/>
    </row>
    <row r="152" spans="15:19" x14ac:dyDescent="0.25">
      <c r="O152" s="38"/>
      <c r="Q152" s="19"/>
      <c r="R152" s="19"/>
      <c r="S152" s="19"/>
    </row>
    <row r="153" spans="15:19" x14ac:dyDescent="0.25">
      <c r="O153" s="38"/>
      <c r="Q153" s="19"/>
      <c r="R153" s="19"/>
      <c r="S153" s="19"/>
    </row>
    <row r="154" spans="15:19" x14ac:dyDescent="0.25">
      <c r="O154" s="38"/>
      <c r="Q154" s="19"/>
      <c r="R154" s="19"/>
      <c r="S154" s="19"/>
    </row>
    <row r="155" spans="15:19" x14ac:dyDescent="0.25">
      <c r="O155" s="38"/>
      <c r="Q155" s="19"/>
      <c r="R155" s="19"/>
      <c r="S155" s="19"/>
    </row>
    <row r="156" spans="15:19" x14ac:dyDescent="0.25">
      <c r="O156" s="38"/>
      <c r="Q156" s="19"/>
      <c r="R156" s="19"/>
      <c r="S156" s="19"/>
    </row>
    <row r="157" spans="15:19" x14ac:dyDescent="0.25">
      <c r="O157" s="38"/>
      <c r="Q157" s="19"/>
      <c r="R157" s="19"/>
      <c r="S157" s="19"/>
    </row>
    <row r="158" spans="15:19" x14ac:dyDescent="0.25">
      <c r="O158" s="38"/>
      <c r="Q158" s="19"/>
      <c r="R158" s="19"/>
      <c r="S158" s="19"/>
    </row>
    <row r="159" spans="15:19" x14ac:dyDescent="0.25">
      <c r="O159" s="38"/>
      <c r="Q159" s="19"/>
      <c r="R159" s="19"/>
      <c r="S159" s="19"/>
    </row>
    <row r="160" spans="15:19" x14ac:dyDescent="0.25">
      <c r="O160" s="38"/>
      <c r="Q160" s="19"/>
      <c r="R160" s="19"/>
      <c r="S160" s="19"/>
    </row>
    <row r="161" spans="15:19" x14ac:dyDescent="0.25">
      <c r="O161" s="38"/>
      <c r="Q161" s="19"/>
      <c r="R161" s="19"/>
      <c r="S161" s="19"/>
    </row>
    <row r="162" spans="15:19" x14ac:dyDescent="0.25">
      <c r="O162" s="38"/>
      <c r="Q162" s="19"/>
      <c r="R162" s="19"/>
      <c r="S162" s="19"/>
    </row>
    <row r="163" spans="15:19" x14ac:dyDescent="0.25">
      <c r="O163" s="38"/>
      <c r="Q163" s="19"/>
      <c r="R163" s="19"/>
      <c r="S163" s="19"/>
    </row>
    <row r="164" spans="15:19" x14ac:dyDescent="0.25">
      <c r="O164" s="38"/>
      <c r="Q164" s="19"/>
      <c r="R164" s="19"/>
      <c r="S164" s="19"/>
    </row>
    <row r="165" spans="15:19" x14ac:dyDescent="0.25">
      <c r="O165" s="38"/>
      <c r="Q165" s="19"/>
      <c r="R165" s="19"/>
      <c r="S165" s="19"/>
    </row>
    <row r="166" spans="15:19" x14ac:dyDescent="0.25">
      <c r="O166" s="38"/>
      <c r="Q166" s="19"/>
      <c r="R166" s="19"/>
      <c r="S166" s="19"/>
    </row>
    <row r="167" spans="15:19" x14ac:dyDescent="0.25">
      <c r="O167" s="38"/>
      <c r="Q167" s="19"/>
      <c r="R167" s="19"/>
      <c r="S167" s="19"/>
    </row>
    <row r="168" spans="15:19" x14ac:dyDescent="0.25">
      <c r="O168" s="38"/>
      <c r="Q168" s="19"/>
      <c r="R168" s="19"/>
      <c r="S168" s="19"/>
    </row>
    <row r="169" spans="15:19" x14ac:dyDescent="0.25">
      <c r="O169" s="38"/>
      <c r="Q169" s="19"/>
      <c r="R169" s="19"/>
      <c r="S169" s="19"/>
    </row>
    <row r="170" spans="15:19" x14ac:dyDescent="0.25">
      <c r="O170" s="38"/>
      <c r="Q170" s="19"/>
      <c r="R170" s="19"/>
      <c r="S170" s="19"/>
    </row>
    <row r="171" spans="15:19" x14ac:dyDescent="0.25">
      <c r="O171" s="38"/>
      <c r="Q171" s="19"/>
      <c r="R171" s="19"/>
      <c r="S171" s="19"/>
    </row>
    <row r="172" spans="15:19" x14ac:dyDescent="0.25">
      <c r="O172" s="38"/>
      <c r="Q172" s="19"/>
      <c r="R172" s="19"/>
      <c r="S172" s="19"/>
    </row>
    <row r="173" spans="15:19" x14ac:dyDescent="0.25">
      <c r="O173" s="38"/>
      <c r="Q173" s="19"/>
      <c r="R173" s="19"/>
      <c r="S173" s="19"/>
    </row>
    <row r="174" spans="15:19" x14ac:dyDescent="0.25">
      <c r="O174" s="38"/>
      <c r="Q174" s="19"/>
      <c r="R174" s="19"/>
      <c r="S174" s="19"/>
    </row>
    <row r="175" spans="15:19" x14ac:dyDescent="0.25">
      <c r="O175" s="38"/>
      <c r="Q175" s="19"/>
      <c r="R175" s="19"/>
      <c r="S175" s="19"/>
    </row>
    <row r="176" spans="15:19" x14ac:dyDescent="0.25">
      <c r="O176" s="38"/>
      <c r="Q176" s="19"/>
      <c r="R176" s="19"/>
      <c r="S176" s="19"/>
    </row>
    <row r="177" spans="15:19" x14ac:dyDescent="0.25">
      <c r="O177" s="38"/>
      <c r="Q177" s="19"/>
      <c r="R177" s="19"/>
      <c r="S177" s="19"/>
    </row>
    <row r="178" spans="15:19" x14ac:dyDescent="0.25">
      <c r="O178" s="38"/>
      <c r="Q178" s="19"/>
      <c r="R178" s="19"/>
      <c r="S178" s="19"/>
    </row>
    <row r="179" spans="15:19" x14ac:dyDescent="0.25">
      <c r="O179" s="38"/>
      <c r="Q179" s="19"/>
      <c r="R179" s="19"/>
      <c r="S179" s="19"/>
    </row>
    <row r="180" spans="15:19" x14ac:dyDescent="0.25">
      <c r="O180" s="38"/>
      <c r="Q180" s="19"/>
      <c r="R180" s="19"/>
      <c r="S180" s="19"/>
    </row>
    <row r="181" spans="15:19" x14ac:dyDescent="0.25">
      <c r="O181" s="38"/>
      <c r="Q181" s="19"/>
      <c r="R181" s="19"/>
      <c r="S181" s="19"/>
    </row>
    <row r="182" spans="15:19" x14ac:dyDescent="0.25">
      <c r="O182" s="38"/>
      <c r="Q182" s="19"/>
      <c r="R182" s="19"/>
      <c r="S182" s="19"/>
    </row>
    <row r="183" spans="15:19" x14ac:dyDescent="0.25">
      <c r="O183" s="38"/>
      <c r="Q183" s="19"/>
      <c r="R183" s="19"/>
      <c r="S183" s="19"/>
    </row>
    <row r="184" spans="15:19" x14ac:dyDescent="0.25">
      <c r="O184" s="38"/>
      <c r="Q184" s="19"/>
      <c r="R184" s="19"/>
      <c r="S184" s="19"/>
    </row>
    <row r="185" spans="15:19" x14ac:dyDescent="0.25">
      <c r="O185" s="38"/>
      <c r="Q185" s="19"/>
      <c r="R185" s="19"/>
      <c r="S185" s="19"/>
    </row>
    <row r="186" spans="15:19" x14ac:dyDescent="0.25">
      <c r="O186" s="38"/>
      <c r="Q186" s="19"/>
      <c r="R186" s="19"/>
      <c r="S186" s="19"/>
    </row>
    <row r="187" spans="15:19" x14ac:dyDescent="0.25">
      <c r="O187" s="38"/>
      <c r="Q187" s="19"/>
      <c r="R187" s="19"/>
      <c r="S187" s="19"/>
    </row>
    <row r="188" spans="15:19" x14ac:dyDescent="0.25">
      <c r="O188" s="38"/>
      <c r="Q188" s="19"/>
      <c r="R188" s="19"/>
      <c r="S188" s="19"/>
    </row>
    <row r="189" spans="15:19" x14ac:dyDescent="0.25">
      <c r="O189" s="38"/>
      <c r="Q189" s="19"/>
      <c r="R189" s="19"/>
      <c r="S189" s="19"/>
    </row>
    <row r="190" spans="15:19" x14ac:dyDescent="0.25">
      <c r="O190" s="38"/>
      <c r="Q190" s="19"/>
      <c r="R190" s="19"/>
      <c r="S190" s="19"/>
    </row>
    <row r="191" spans="15:19" x14ac:dyDescent="0.25">
      <c r="O191" s="38"/>
      <c r="Q191" s="19"/>
      <c r="R191" s="19"/>
      <c r="S191" s="19"/>
    </row>
    <row r="192" spans="15:19" x14ac:dyDescent="0.25">
      <c r="O192" s="38"/>
      <c r="Q192" s="19"/>
      <c r="R192" s="19"/>
      <c r="S192" s="19"/>
    </row>
    <row r="193" spans="15:19" x14ac:dyDescent="0.25">
      <c r="O193" s="38"/>
      <c r="Q193" s="19"/>
      <c r="R193" s="19"/>
      <c r="S193" s="19"/>
    </row>
    <row r="194" spans="15:19" x14ac:dyDescent="0.25">
      <c r="O194" s="38"/>
      <c r="Q194" s="19"/>
      <c r="R194" s="19"/>
      <c r="S194" s="19"/>
    </row>
    <row r="195" spans="15:19" x14ac:dyDescent="0.25">
      <c r="O195" s="38"/>
      <c r="Q195" s="19"/>
      <c r="R195" s="19"/>
      <c r="S195" s="19"/>
    </row>
    <row r="196" spans="15:19" x14ac:dyDescent="0.25">
      <c r="O196" s="38"/>
      <c r="Q196" s="19"/>
      <c r="R196" s="19"/>
      <c r="S196" s="19"/>
    </row>
    <row r="197" spans="15:19" x14ac:dyDescent="0.25">
      <c r="O197" s="38"/>
      <c r="Q197" s="19"/>
      <c r="R197" s="19"/>
      <c r="S197" s="19"/>
    </row>
    <row r="198" spans="15:19" x14ac:dyDescent="0.25">
      <c r="O198" s="38"/>
      <c r="Q198" s="19"/>
      <c r="R198" s="19"/>
      <c r="S198" s="19"/>
    </row>
    <row r="199" spans="15:19" x14ac:dyDescent="0.25">
      <c r="O199" s="38"/>
      <c r="Q199" s="19"/>
      <c r="R199" s="19"/>
      <c r="S199" s="19"/>
    </row>
    <row r="200" spans="15:19" x14ac:dyDescent="0.25">
      <c r="O200" s="38"/>
      <c r="Q200" s="19"/>
      <c r="R200" s="19"/>
      <c r="S200" s="19"/>
    </row>
    <row r="201" spans="15:19" x14ac:dyDescent="0.25">
      <c r="O201" s="38"/>
      <c r="Q201" s="19"/>
      <c r="R201" s="19"/>
      <c r="S201" s="19"/>
    </row>
    <row r="202" spans="15:19" x14ac:dyDescent="0.25">
      <c r="O202" s="38"/>
      <c r="Q202" s="19"/>
      <c r="R202" s="19"/>
      <c r="S202" s="19"/>
    </row>
    <row r="203" spans="15:19" x14ac:dyDescent="0.25">
      <c r="O203" s="38"/>
      <c r="Q203" s="19"/>
      <c r="R203" s="19"/>
      <c r="S203" s="19"/>
    </row>
    <row r="204" spans="15:19" x14ac:dyDescent="0.25">
      <c r="O204" s="38"/>
      <c r="Q204" s="19"/>
      <c r="R204" s="19"/>
      <c r="S204" s="19"/>
    </row>
    <row r="205" spans="15:19" x14ac:dyDescent="0.25">
      <c r="O205" s="38"/>
      <c r="Q205" s="19"/>
      <c r="R205" s="19"/>
      <c r="S205" s="19"/>
    </row>
    <row r="206" spans="15:19" x14ac:dyDescent="0.25">
      <c r="O206" s="38"/>
      <c r="Q206" s="19"/>
      <c r="R206" s="19"/>
      <c r="S206" s="19"/>
    </row>
    <row r="207" spans="15:19" x14ac:dyDescent="0.25">
      <c r="O207" s="38"/>
      <c r="Q207" s="19"/>
      <c r="R207" s="19"/>
      <c r="S207" s="19"/>
    </row>
    <row r="208" spans="15:19" x14ac:dyDescent="0.25">
      <c r="O208" s="38"/>
      <c r="Q208" s="19"/>
      <c r="R208" s="19"/>
      <c r="S208" s="19"/>
    </row>
    <row r="209" spans="15:19" x14ac:dyDescent="0.25">
      <c r="O209" s="38"/>
      <c r="Q209" s="19"/>
      <c r="R209" s="19"/>
      <c r="S209" s="19"/>
    </row>
    <row r="210" spans="15:19" x14ac:dyDescent="0.25">
      <c r="O210" s="38"/>
      <c r="Q210" s="19"/>
      <c r="R210" s="19"/>
      <c r="S210" s="19"/>
    </row>
    <row r="211" spans="15:19" x14ac:dyDescent="0.25">
      <c r="O211" s="38"/>
      <c r="Q211" s="19"/>
      <c r="R211" s="19"/>
      <c r="S211" s="19"/>
    </row>
    <row r="212" spans="15:19" x14ac:dyDescent="0.25">
      <c r="O212" s="38"/>
      <c r="Q212" s="19"/>
      <c r="R212" s="19"/>
      <c r="S212" s="19"/>
    </row>
    <row r="213" spans="15:19" x14ac:dyDescent="0.25">
      <c r="O213" s="38"/>
      <c r="Q213" s="19"/>
      <c r="R213" s="19"/>
      <c r="S213" s="19"/>
    </row>
    <row r="214" spans="15:19" x14ac:dyDescent="0.25">
      <c r="O214" s="38"/>
      <c r="Q214" s="19"/>
      <c r="R214" s="19"/>
      <c r="S214" s="19"/>
    </row>
    <row r="215" spans="15:19" x14ac:dyDescent="0.25">
      <c r="O215" s="38"/>
      <c r="Q215" s="19"/>
      <c r="R215" s="19"/>
      <c r="S215" s="19"/>
    </row>
    <row r="216" spans="15:19" x14ac:dyDescent="0.25">
      <c r="O216" s="38"/>
      <c r="Q216" s="19"/>
      <c r="R216" s="19"/>
      <c r="S216" s="19"/>
    </row>
    <row r="217" spans="15:19" x14ac:dyDescent="0.25">
      <c r="O217" s="38"/>
      <c r="Q217" s="19"/>
      <c r="R217" s="19"/>
      <c r="S217" s="19"/>
    </row>
    <row r="218" spans="15:19" x14ac:dyDescent="0.25">
      <c r="O218" s="38"/>
      <c r="Q218" s="19"/>
      <c r="R218" s="19"/>
      <c r="S218" s="19"/>
    </row>
    <row r="219" spans="15:19" x14ac:dyDescent="0.25">
      <c r="O219" s="38"/>
      <c r="Q219" s="19"/>
      <c r="R219" s="19"/>
      <c r="S219" s="19"/>
    </row>
    <row r="220" spans="15:19" x14ac:dyDescent="0.25">
      <c r="O220" s="38"/>
      <c r="Q220" s="19"/>
      <c r="R220" s="19"/>
      <c r="S220" s="19"/>
    </row>
    <row r="221" spans="15:19" x14ac:dyDescent="0.25">
      <c r="O221" s="38"/>
      <c r="Q221" s="19"/>
      <c r="R221" s="19"/>
      <c r="S221" s="19"/>
    </row>
    <row r="222" spans="15:19" x14ac:dyDescent="0.25">
      <c r="O222" s="38"/>
      <c r="Q222" s="19"/>
      <c r="R222" s="19"/>
      <c r="S222" s="19"/>
    </row>
    <row r="223" spans="15:19" x14ac:dyDescent="0.25">
      <c r="O223" s="38"/>
      <c r="Q223" s="19"/>
      <c r="R223" s="19"/>
      <c r="S223" s="19"/>
    </row>
    <row r="224" spans="15:19" x14ac:dyDescent="0.25">
      <c r="O224" s="38"/>
      <c r="Q224" s="19"/>
      <c r="R224" s="19"/>
      <c r="S224" s="19"/>
    </row>
    <row r="225" spans="15:19" x14ac:dyDescent="0.25">
      <c r="O225" s="38"/>
      <c r="Q225" s="19"/>
      <c r="R225" s="19"/>
      <c r="S225" s="19"/>
    </row>
    <row r="226" spans="15:19" x14ac:dyDescent="0.25">
      <c r="O226" s="38"/>
      <c r="Q226" s="19"/>
      <c r="R226" s="19"/>
      <c r="S226" s="19"/>
    </row>
    <row r="227" spans="15:19" x14ac:dyDescent="0.25">
      <c r="O227" s="38"/>
      <c r="Q227" s="19"/>
      <c r="R227" s="19"/>
      <c r="S227" s="19"/>
    </row>
    <row r="228" spans="15:19" x14ac:dyDescent="0.25">
      <c r="O228" s="38"/>
      <c r="Q228" s="19"/>
      <c r="R228" s="19"/>
      <c r="S228" s="19"/>
    </row>
    <row r="229" spans="15:19" x14ac:dyDescent="0.25">
      <c r="O229" s="38"/>
      <c r="Q229" s="19"/>
      <c r="R229" s="19"/>
      <c r="S229" s="19"/>
    </row>
    <row r="230" spans="15:19" x14ac:dyDescent="0.25">
      <c r="O230" s="38"/>
      <c r="Q230" s="19"/>
      <c r="R230" s="19"/>
      <c r="S230" s="19"/>
    </row>
    <row r="231" spans="15:19" x14ac:dyDescent="0.25">
      <c r="O231" s="38"/>
      <c r="Q231" s="19"/>
      <c r="R231" s="19"/>
      <c r="S231" s="19"/>
    </row>
    <row r="232" spans="15:19" x14ac:dyDescent="0.25">
      <c r="O232" s="38"/>
      <c r="Q232" s="19"/>
      <c r="R232" s="19"/>
      <c r="S232" s="19"/>
    </row>
    <row r="233" spans="15:19" x14ac:dyDescent="0.25">
      <c r="O233" s="38"/>
      <c r="Q233" s="19"/>
      <c r="R233" s="19"/>
      <c r="S233" s="19"/>
    </row>
    <row r="234" spans="15:19" x14ac:dyDescent="0.25">
      <c r="O234" s="38"/>
      <c r="Q234" s="19"/>
      <c r="R234" s="19"/>
      <c r="S234" s="19"/>
    </row>
    <row r="235" spans="15:19" x14ac:dyDescent="0.25">
      <c r="O235" s="38"/>
      <c r="Q235" s="19"/>
      <c r="R235" s="19"/>
      <c r="S235" s="19"/>
    </row>
    <row r="236" spans="15:19" x14ac:dyDescent="0.25">
      <c r="O236" s="38"/>
      <c r="Q236" s="19"/>
      <c r="R236" s="19"/>
      <c r="S236" s="19"/>
    </row>
    <row r="237" spans="15:19" x14ac:dyDescent="0.25">
      <c r="O237" s="38"/>
      <c r="Q237" s="19"/>
      <c r="R237" s="19"/>
      <c r="S237" s="19"/>
    </row>
    <row r="238" spans="15:19" x14ac:dyDescent="0.25">
      <c r="O238" s="38"/>
      <c r="Q238" s="19"/>
      <c r="R238" s="19"/>
      <c r="S238" s="19"/>
    </row>
    <row r="239" spans="15:19" x14ac:dyDescent="0.25">
      <c r="O239" s="38"/>
      <c r="Q239" s="19"/>
      <c r="R239" s="19"/>
      <c r="S239" s="19"/>
    </row>
    <row r="240" spans="15:19" x14ac:dyDescent="0.25">
      <c r="O240" s="38"/>
      <c r="Q240" s="19"/>
      <c r="R240" s="19"/>
      <c r="S240" s="19"/>
    </row>
    <row r="241" spans="15:19" x14ac:dyDescent="0.25">
      <c r="O241" s="38"/>
      <c r="Q241" s="19"/>
      <c r="R241" s="19"/>
      <c r="S241" s="19"/>
    </row>
    <row r="242" spans="15:19" x14ac:dyDescent="0.25">
      <c r="O242" s="38"/>
      <c r="Q242" s="19"/>
      <c r="R242" s="19"/>
      <c r="S242" s="19"/>
    </row>
    <row r="243" spans="15:19" x14ac:dyDescent="0.25">
      <c r="O243" s="38"/>
      <c r="Q243" s="19"/>
      <c r="R243" s="19"/>
      <c r="S243" s="19"/>
    </row>
    <row r="244" spans="15:19" x14ac:dyDescent="0.25">
      <c r="O244" s="38"/>
      <c r="Q244" s="19"/>
      <c r="R244" s="19"/>
      <c r="S244" s="19"/>
    </row>
    <row r="245" spans="15:19" x14ac:dyDescent="0.25">
      <c r="O245" s="38"/>
      <c r="Q245" s="19"/>
      <c r="R245" s="19"/>
      <c r="S245" s="19"/>
    </row>
    <row r="246" spans="15:19" x14ac:dyDescent="0.25">
      <c r="O246" s="38"/>
      <c r="Q246" s="19"/>
      <c r="R246" s="19"/>
      <c r="S246" s="19"/>
    </row>
    <row r="247" spans="15:19" x14ac:dyDescent="0.25">
      <c r="O247" s="38"/>
      <c r="Q247" s="19"/>
      <c r="R247" s="19"/>
      <c r="S247" s="19"/>
    </row>
    <row r="248" spans="15:19" x14ac:dyDescent="0.25">
      <c r="O248" s="38"/>
      <c r="Q248" s="19"/>
      <c r="R248" s="19"/>
      <c r="S248" s="19"/>
    </row>
    <row r="249" spans="15:19" x14ac:dyDescent="0.25">
      <c r="O249" s="38"/>
      <c r="Q249" s="19"/>
      <c r="R249" s="19"/>
      <c r="S249" s="19"/>
    </row>
    <row r="250" spans="15:19" x14ac:dyDescent="0.25">
      <c r="O250" s="38"/>
      <c r="Q250" s="19"/>
      <c r="R250" s="19"/>
      <c r="S250" s="19"/>
    </row>
    <row r="251" spans="15:19" x14ac:dyDescent="0.25">
      <c r="O251" s="38"/>
      <c r="Q251" s="19"/>
      <c r="R251" s="19"/>
      <c r="S251" s="19"/>
    </row>
    <row r="252" spans="15:19" x14ac:dyDescent="0.25">
      <c r="O252" s="38"/>
      <c r="Q252" s="19"/>
      <c r="R252" s="19"/>
      <c r="S252" s="19"/>
    </row>
    <row r="253" spans="15:19" x14ac:dyDescent="0.25">
      <c r="O253" s="38"/>
      <c r="Q253" s="19"/>
      <c r="R253" s="19"/>
      <c r="S253" s="19"/>
    </row>
    <row r="254" spans="15:19" x14ac:dyDescent="0.25">
      <c r="O254" s="38"/>
      <c r="Q254" s="19"/>
      <c r="R254" s="19"/>
      <c r="S254" s="19"/>
    </row>
    <row r="255" spans="15:19" x14ac:dyDescent="0.25">
      <c r="O255" s="38"/>
      <c r="Q255" s="19"/>
      <c r="R255" s="19"/>
      <c r="S255" s="19"/>
    </row>
    <row r="256" spans="15:19" x14ac:dyDescent="0.25">
      <c r="O256" s="38"/>
      <c r="Q256" s="19"/>
      <c r="R256" s="19"/>
      <c r="S256" s="19"/>
    </row>
    <row r="257" spans="15:19" x14ac:dyDescent="0.25">
      <c r="O257" s="38"/>
      <c r="Q257" s="19"/>
      <c r="R257" s="19"/>
      <c r="S257" s="19"/>
    </row>
    <row r="258" spans="15:19" x14ac:dyDescent="0.25">
      <c r="O258" s="38"/>
      <c r="Q258" s="19"/>
      <c r="R258" s="19"/>
      <c r="S258" s="19"/>
    </row>
    <row r="259" spans="15:19" x14ac:dyDescent="0.25">
      <c r="O259" s="38"/>
      <c r="Q259" s="19"/>
      <c r="R259" s="19"/>
      <c r="S259" s="19"/>
    </row>
    <row r="260" spans="15:19" x14ac:dyDescent="0.25">
      <c r="O260" s="38"/>
      <c r="Q260" s="19"/>
      <c r="R260" s="19"/>
      <c r="S260" s="19"/>
    </row>
    <row r="261" spans="15:19" x14ac:dyDescent="0.25">
      <c r="O261" s="38"/>
      <c r="Q261" s="19"/>
      <c r="R261" s="19"/>
      <c r="S261" s="19"/>
    </row>
    <row r="262" spans="15:19" x14ac:dyDescent="0.25">
      <c r="O262" s="38"/>
      <c r="Q262" s="19"/>
      <c r="R262" s="19"/>
      <c r="S262" s="19"/>
    </row>
    <row r="263" spans="15:19" x14ac:dyDescent="0.25">
      <c r="O263" s="38"/>
      <c r="Q263" s="19"/>
      <c r="R263" s="19"/>
      <c r="S263" s="19"/>
    </row>
    <row r="264" spans="15:19" x14ac:dyDescent="0.25">
      <c r="O264" s="38"/>
      <c r="Q264" s="19"/>
      <c r="R264" s="19"/>
      <c r="S264" s="19"/>
    </row>
    <row r="265" spans="15:19" x14ac:dyDescent="0.25">
      <c r="O265" s="38"/>
      <c r="Q265" s="19"/>
      <c r="R265" s="19"/>
      <c r="S265" s="19"/>
    </row>
    <row r="266" spans="15:19" x14ac:dyDescent="0.25">
      <c r="O266" s="38"/>
      <c r="Q266" s="19"/>
      <c r="R266" s="19"/>
      <c r="S266" s="19"/>
    </row>
    <row r="267" spans="15:19" x14ac:dyDescent="0.25">
      <c r="O267" s="38"/>
      <c r="Q267" s="19"/>
      <c r="R267" s="19"/>
      <c r="S267" s="19"/>
    </row>
    <row r="268" spans="15:19" x14ac:dyDescent="0.25">
      <c r="O268" s="38"/>
      <c r="Q268" s="19"/>
      <c r="R268" s="19"/>
      <c r="S268" s="19"/>
    </row>
    <row r="269" spans="15:19" x14ac:dyDescent="0.25">
      <c r="O269" s="38"/>
      <c r="Q269" s="19"/>
      <c r="R269" s="19"/>
      <c r="S269" s="19"/>
    </row>
    <row r="270" spans="15:19" x14ac:dyDescent="0.25">
      <c r="O270" s="38"/>
      <c r="Q270" s="19"/>
      <c r="R270" s="19"/>
      <c r="S270" s="19"/>
    </row>
    <row r="271" spans="15:19" x14ac:dyDescent="0.25">
      <c r="O271" s="38"/>
      <c r="Q271" s="19"/>
      <c r="R271" s="19"/>
      <c r="S271" s="19"/>
    </row>
    <row r="272" spans="15:19" x14ac:dyDescent="0.25">
      <c r="O272" s="38"/>
      <c r="Q272" s="19"/>
      <c r="R272" s="19"/>
      <c r="S272" s="19"/>
    </row>
    <row r="273" spans="15:19" x14ac:dyDescent="0.25">
      <c r="O273" s="38"/>
      <c r="Q273" s="19"/>
      <c r="R273" s="19"/>
      <c r="S273" s="19"/>
    </row>
    <row r="274" spans="15:19" x14ac:dyDescent="0.25">
      <c r="O274" s="38"/>
      <c r="Q274" s="19"/>
      <c r="R274" s="19"/>
      <c r="S274" s="19"/>
    </row>
    <row r="275" spans="15:19" x14ac:dyDescent="0.25">
      <c r="O275" s="38"/>
      <c r="Q275" s="19"/>
      <c r="R275" s="19"/>
      <c r="S275" s="19"/>
    </row>
    <row r="276" spans="15:19" x14ac:dyDescent="0.25">
      <c r="O276" s="38"/>
      <c r="Q276" s="19"/>
      <c r="R276" s="19"/>
      <c r="S276" s="19"/>
    </row>
    <row r="277" spans="15:19" x14ac:dyDescent="0.25">
      <c r="O277" s="38"/>
      <c r="Q277" s="19"/>
      <c r="R277" s="19"/>
      <c r="S277" s="19"/>
    </row>
    <row r="278" spans="15:19" x14ac:dyDescent="0.25">
      <c r="O278" s="38"/>
      <c r="Q278" s="19"/>
      <c r="R278" s="19"/>
      <c r="S278" s="19"/>
    </row>
    <row r="279" spans="15:19" x14ac:dyDescent="0.25">
      <c r="O279" s="38"/>
      <c r="Q279" s="19"/>
      <c r="R279" s="19"/>
      <c r="S279" s="19"/>
    </row>
    <row r="280" spans="15:19" x14ac:dyDescent="0.25">
      <c r="O280" s="38"/>
      <c r="Q280" s="19"/>
      <c r="R280" s="19"/>
      <c r="S280" s="19"/>
    </row>
    <row r="281" spans="15:19" x14ac:dyDescent="0.25">
      <c r="O281" s="38"/>
      <c r="Q281" s="19"/>
      <c r="R281" s="19"/>
      <c r="S281" s="19"/>
    </row>
    <row r="282" spans="15:19" x14ac:dyDescent="0.25">
      <c r="O282" s="38"/>
      <c r="Q282" s="19"/>
      <c r="R282" s="19"/>
      <c r="S282" s="19"/>
    </row>
    <row r="283" spans="15:19" x14ac:dyDescent="0.25">
      <c r="O283" s="38"/>
      <c r="Q283" s="19"/>
      <c r="R283" s="19"/>
      <c r="S283" s="19"/>
    </row>
    <row r="284" spans="15:19" x14ac:dyDescent="0.25">
      <c r="O284" s="38"/>
      <c r="Q284" s="19"/>
      <c r="R284" s="19"/>
      <c r="S284" s="19"/>
    </row>
    <row r="285" spans="15:19" x14ac:dyDescent="0.25">
      <c r="O285" s="38"/>
      <c r="Q285" s="19"/>
      <c r="R285" s="19"/>
      <c r="S285" s="19"/>
    </row>
    <row r="286" spans="15:19" x14ac:dyDescent="0.25">
      <c r="O286" s="38"/>
      <c r="Q286" s="19"/>
      <c r="R286" s="19"/>
      <c r="S286" s="19"/>
    </row>
    <row r="287" spans="15:19" x14ac:dyDescent="0.25">
      <c r="O287" s="38"/>
      <c r="Q287" s="19"/>
      <c r="R287" s="19"/>
      <c r="S287" s="19"/>
    </row>
    <row r="288" spans="15:19" x14ac:dyDescent="0.25">
      <c r="O288" s="38"/>
      <c r="Q288" s="19"/>
      <c r="R288" s="19"/>
      <c r="S288" s="19"/>
    </row>
    <row r="289" spans="15:19" x14ac:dyDescent="0.25">
      <c r="O289" s="38"/>
      <c r="Q289" s="19"/>
      <c r="R289" s="19"/>
      <c r="S289" s="19"/>
    </row>
    <row r="290" spans="15:19" x14ac:dyDescent="0.25">
      <c r="O290" s="38"/>
      <c r="Q290" s="19"/>
      <c r="R290" s="19"/>
      <c r="S290" s="19"/>
    </row>
    <row r="291" spans="15:19" x14ac:dyDescent="0.25">
      <c r="O291" s="38"/>
      <c r="Q291" s="19"/>
      <c r="R291" s="19"/>
      <c r="S291" s="19"/>
    </row>
    <row r="292" spans="15:19" x14ac:dyDescent="0.25">
      <c r="O292" s="38"/>
      <c r="Q292" s="19"/>
      <c r="R292" s="19"/>
      <c r="S292" s="19"/>
    </row>
    <row r="293" spans="15:19" x14ac:dyDescent="0.25">
      <c r="O293" s="38"/>
      <c r="Q293" s="19"/>
      <c r="R293" s="19"/>
      <c r="S293" s="19"/>
    </row>
    <row r="294" spans="15:19" x14ac:dyDescent="0.25">
      <c r="O294" s="38"/>
      <c r="Q294" s="19"/>
      <c r="R294" s="19"/>
      <c r="S294" s="19"/>
    </row>
    <row r="295" spans="15:19" x14ac:dyDescent="0.25">
      <c r="O295" s="38"/>
      <c r="Q295" s="19"/>
      <c r="R295" s="19"/>
      <c r="S295" s="19"/>
    </row>
    <row r="296" spans="15:19" x14ac:dyDescent="0.25">
      <c r="O296" s="38"/>
      <c r="Q296" s="19"/>
      <c r="R296" s="19"/>
      <c r="S296" s="19"/>
    </row>
    <row r="297" spans="15:19" x14ac:dyDescent="0.25">
      <c r="O297" s="38"/>
      <c r="Q297" s="19"/>
      <c r="R297" s="19"/>
      <c r="S297" s="19"/>
    </row>
    <row r="298" spans="15:19" x14ac:dyDescent="0.25">
      <c r="O298" s="38"/>
      <c r="Q298" s="19"/>
      <c r="R298" s="19"/>
      <c r="S298" s="19"/>
    </row>
    <row r="299" spans="15:19" x14ac:dyDescent="0.25">
      <c r="O299" s="38"/>
      <c r="Q299" s="19"/>
      <c r="R299" s="19"/>
      <c r="S299" s="19"/>
    </row>
    <row r="300" spans="15:19" x14ac:dyDescent="0.25">
      <c r="O300" s="38"/>
      <c r="Q300" s="19"/>
      <c r="R300" s="19"/>
      <c r="S300" s="19"/>
    </row>
    <row r="301" spans="15:19" x14ac:dyDescent="0.25">
      <c r="O301" s="38"/>
      <c r="Q301" s="19"/>
      <c r="R301" s="19"/>
      <c r="S301" s="19"/>
    </row>
    <row r="302" spans="15:19" x14ac:dyDescent="0.25">
      <c r="O302" s="38"/>
      <c r="Q302" s="19"/>
      <c r="R302" s="19"/>
      <c r="S302" s="19"/>
    </row>
    <row r="303" spans="15:19" x14ac:dyDescent="0.25">
      <c r="O303" s="38"/>
      <c r="Q303" s="19"/>
      <c r="R303" s="19"/>
      <c r="S303" s="19"/>
    </row>
    <row r="304" spans="15:19" x14ac:dyDescent="0.25">
      <c r="O304" s="38"/>
      <c r="Q304" s="19"/>
      <c r="R304" s="19"/>
      <c r="S304" s="19"/>
    </row>
    <row r="305" spans="15:19" x14ac:dyDescent="0.25">
      <c r="O305" s="38"/>
      <c r="Q305" s="19"/>
      <c r="R305" s="19"/>
      <c r="S305" s="19"/>
    </row>
    <row r="306" spans="15:19" x14ac:dyDescent="0.25">
      <c r="O306" s="38"/>
      <c r="Q306" s="19"/>
      <c r="R306" s="19"/>
      <c r="S306" s="19"/>
    </row>
    <row r="307" spans="15:19" x14ac:dyDescent="0.25">
      <c r="O307" s="38"/>
      <c r="Q307" s="19"/>
      <c r="R307" s="19"/>
      <c r="S307" s="19"/>
    </row>
    <row r="308" spans="15:19" x14ac:dyDescent="0.25">
      <c r="O308" s="38"/>
      <c r="Q308" s="19"/>
      <c r="R308" s="19"/>
      <c r="S308" s="19"/>
    </row>
    <row r="309" spans="15:19" x14ac:dyDescent="0.25">
      <c r="O309" s="38"/>
      <c r="Q309" s="19"/>
      <c r="R309" s="19"/>
      <c r="S309" s="19"/>
    </row>
    <row r="310" spans="15:19" x14ac:dyDescent="0.25">
      <c r="O310" s="38"/>
      <c r="Q310" s="19"/>
      <c r="R310" s="19"/>
      <c r="S310" s="19"/>
    </row>
    <row r="311" spans="15:19" x14ac:dyDescent="0.25">
      <c r="O311" s="38"/>
      <c r="Q311" s="19"/>
      <c r="R311" s="19"/>
      <c r="S311" s="19"/>
    </row>
    <row r="312" spans="15:19" x14ac:dyDescent="0.25">
      <c r="O312" s="38"/>
      <c r="Q312" s="19"/>
      <c r="R312" s="19"/>
      <c r="S312" s="19"/>
    </row>
    <row r="313" spans="15:19" x14ac:dyDescent="0.25">
      <c r="O313" s="38"/>
      <c r="Q313" s="19"/>
      <c r="R313" s="19"/>
      <c r="S313" s="19"/>
    </row>
    <row r="314" spans="15:19" x14ac:dyDescent="0.25">
      <c r="O314" s="38"/>
      <c r="Q314" s="19"/>
      <c r="R314" s="19"/>
      <c r="S314" s="19"/>
    </row>
    <row r="315" spans="15:19" x14ac:dyDescent="0.25">
      <c r="O315" s="38"/>
      <c r="Q315" s="19"/>
      <c r="R315" s="19"/>
      <c r="S315" s="19"/>
    </row>
    <row r="316" spans="15:19" x14ac:dyDescent="0.25">
      <c r="O316" s="38"/>
      <c r="Q316" s="19"/>
      <c r="R316" s="19"/>
      <c r="S316" s="19"/>
    </row>
    <row r="317" spans="15:19" x14ac:dyDescent="0.25">
      <c r="O317" s="38"/>
      <c r="Q317" s="19"/>
      <c r="R317" s="19"/>
      <c r="S317" s="19"/>
    </row>
    <row r="318" spans="15:19" x14ac:dyDescent="0.25">
      <c r="O318" s="38"/>
      <c r="Q318" s="19"/>
      <c r="R318" s="19"/>
      <c r="S318" s="19"/>
    </row>
    <row r="319" spans="15:19" x14ac:dyDescent="0.25">
      <c r="O319" s="38"/>
      <c r="Q319" s="19"/>
      <c r="R319" s="19"/>
      <c r="S319" s="19"/>
    </row>
    <row r="320" spans="15:19" x14ac:dyDescent="0.25">
      <c r="O320" s="38"/>
      <c r="Q320" s="19"/>
      <c r="R320" s="19"/>
      <c r="S320" s="19"/>
    </row>
    <row r="321" spans="15:19" x14ac:dyDescent="0.25">
      <c r="O321" s="38"/>
      <c r="Q321" s="19"/>
      <c r="R321" s="19"/>
      <c r="S321" s="19"/>
    </row>
    <row r="322" spans="15:19" x14ac:dyDescent="0.25">
      <c r="O322" s="38"/>
      <c r="Q322" s="19"/>
      <c r="R322" s="19"/>
      <c r="S322" s="19"/>
    </row>
    <row r="323" spans="15:19" x14ac:dyDescent="0.25">
      <c r="O323" s="38"/>
      <c r="Q323" s="19"/>
      <c r="R323" s="19"/>
      <c r="S323" s="19"/>
    </row>
    <row r="324" spans="15:19" x14ac:dyDescent="0.25">
      <c r="O324" s="38"/>
      <c r="Q324" s="19"/>
      <c r="R324" s="19"/>
      <c r="S324" s="19"/>
    </row>
    <row r="325" spans="15:19" x14ac:dyDescent="0.25">
      <c r="O325" s="38"/>
      <c r="Q325" s="19"/>
      <c r="R325" s="19"/>
      <c r="S325" s="19"/>
    </row>
    <row r="326" spans="15:19" x14ac:dyDescent="0.25">
      <c r="O326" s="38"/>
      <c r="Q326" s="19"/>
      <c r="R326" s="19"/>
      <c r="S326" s="19"/>
    </row>
    <row r="327" spans="15:19" x14ac:dyDescent="0.25">
      <c r="O327" s="38"/>
      <c r="Q327" s="19"/>
      <c r="R327" s="19"/>
      <c r="S327" s="19"/>
    </row>
    <row r="328" spans="15:19" x14ac:dyDescent="0.25">
      <c r="O328" s="38"/>
      <c r="Q328" s="19"/>
      <c r="R328" s="19"/>
      <c r="S328" s="19"/>
    </row>
    <row r="329" spans="15:19" x14ac:dyDescent="0.25">
      <c r="O329" s="38"/>
      <c r="Q329" s="19"/>
      <c r="R329" s="19"/>
      <c r="S329" s="19"/>
    </row>
    <row r="330" spans="15:19" x14ac:dyDescent="0.25">
      <c r="O330" s="38"/>
      <c r="Q330" s="19"/>
      <c r="R330" s="19"/>
      <c r="S330" s="19"/>
    </row>
    <row r="331" spans="15:19" x14ac:dyDescent="0.25">
      <c r="O331" s="38"/>
      <c r="Q331" s="19"/>
      <c r="R331" s="19"/>
      <c r="S331" s="19"/>
    </row>
    <row r="332" spans="15:19" x14ac:dyDescent="0.25">
      <c r="O332" s="38"/>
      <c r="Q332" s="19"/>
      <c r="R332" s="19"/>
      <c r="S332" s="19"/>
    </row>
    <row r="333" spans="15:19" x14ac:dyDescent="0.25">
      <c r="O333" s="38"/>
      <c r="Q333" s="19"/>
      <c r="R333" s="19"/>
      <c r="S333" s="19"/>
    </row>
    <row r="334" spans="15:19" x14ac:dyDescent="0.25">
      <c r="O334" s="38"/>
      <c r="Q334" s="19"/>
      <c r="R334" s="19"/>
      <c r="S334" s="19"/>
    </row>
    <row r="335" spans="15:19" x14ac:dyDescent="0.25">
      <c r="O335" s="38"/>
      <c r="Q335" s="19"/>
      <c r="R335" s="19"/>
      <c r="S335" s="19"/>
    </row>
    <row r="336" spans="15:19" x14ac:dyDescent="0.25">
      <c r="O336" s="38"/>
      <c r="Q336" s="19"/>
      <c r="R336" s="19"/>
      <c r="S336" s="19"/>
    </row>
    <row r="337" spans="15:19" x14ac:dyDescent="0.25">
      <c r="O337" s="38"/>
      <c r="Q337" s="19"/>
      <c r="R337" s="19"/>
      <c r="S337" s="19"/>
    </row>
    <row r="338" spans="15:19" x14ac:dyDescent="0.25">
      <c r="O338" s="38"/>
      <c r="Q338" s="19"/>
      <c r="R338" s="19"/>
      <c r="S338" s="19"/>
    </row>
    <row r="339" spans="15:19" x14ac:dyDescent="0.25">
      <c r="O339" s="38"/>
      <c r="Q339" s="19"/>
      <c r="R339" s="19"/>
      <c r="S339" s="19"/>
    </row>
    <row r="340" spans="15:19" x14ac:dyDescent="0.25">
      <c r="O340" s="38"/>
      <c r="Q340" s="19"/>
      <c r="R340" s="19"/>
      <c r="S340" s="19"/>
    </row>
    <row r="341" spans="15:19" x14ac:dyDescent="0.25">
      <c r="O341" s="38"/>
      <c r="Q341" s="19"/>
      <c r="R341" s="19"/>
      <c r="S341" s="19"/>
    </row>
    <row r="342" spans="15:19" x14ac:dyDescent="0.25">
      <c r="O342" s="38"/>
      <c r="Q342" s="19"/>
      <c r="R342" s="19"/>
      <c r="S342" s="19"/>
    </row>
    <row r="343" spans="15:19" x14ac:dyDescent="0.25">
      <c r="O343" s="38"/>
      <c r="Q343" s="19"/>
      <c r="R343" s="19"/>
      <c r="S343" s="19"/>
    </row>
    <row r="344" spans="15:19" x14ac:dyDescent="0.25">
      <c r="O344" s="38"/>
      <c r="Q344" s="19"/>
      <c r="R344" s="19"/>
      <c r="S344" s="19"/>
    </row>
    <row r="345" spans="15:19" x14ac:dyDescent="0.25">
      <c r="O345" s="38"/>
      <c r="Q345" s="19"/>
      <c r="R345" s="19"/>
      <c r="S345" s="19"/>
    </row>
    <row r="346" spans="15:19" x14ac:dyDescent="0.25">
      <c r="O346" s="38"/>
      <c r="Q346" s="19"/>
      <c r="R346" s="19"/>
      <c r="S346" s="19"/>
    </row>
    <row r="347" spans="15:19" x14ac:dyDescent="0.25">
      <c r="O347" s="38"/>
      <c r="Q347" s="19"/>
      <c r="R347" s="19"/>
      <c r="S347" s="19"/>
    </row>
    <row r="348" spans="15:19" x14ac:dyDescent="0.25">
      <c r="O348" s="38"/>
      <c r="Q348" s="19"/>
      <c r="R348" s="19"/>
      <c r="S348" s="19"/>
    </row>
    <row r="349" spans="15:19" x14ac:dyDescent="0.25">
      <c r="O349" s="38"/>
      <c r="Q349" s="19"/>
      <c r="R349" s="19"/>
      <c r="S349" s="19"/>
    </row>
    <row r="350" spans="15:19" x14ac:dyDescent="0.25">
      <c r="O350" s="38"/>
      <c r="Q350" s="19"/>
      <c r="R350" s="19"/>
      <c r="S350" s="19"/>
    </row>
    <row r="351" spans="15:19" x14ac:dyDescent="0.25">
      <c r="O351" s="38"/>
      <c r="Q351" s="19"/>
      <c r="R351" s="19"/>
      <c r="S351" s="19"/>
    </row>
    <row r="352" spans="15:19" x14ac:dyDescent="0.25">
      <c r="O352" s="38"/>
      <c r="Q352" s="19"/>
      <c r="R352" s="19"/>
      <c r="S352" s="19"/>
    </row>
    <row r="353" spans="15:19" x14ac:dyDescent="0.25">
      <c r="O353" s="38"/>
      <c r="Q353" s="19"/>
      <c r="R353" s="19"/>
      <c r="S353" s="19"/>
    </row>
    <row r="354" spans="15:19" x14ac:dyDescent="0.25">
      <c r="O354" s="38"/>
      <c r="Q354" s="19"/>
      <c r="R354" s="19"/>
      <c r="S354" s="19"/>
    </row>
    <row r="355" spans="15:19" x14ac:dyDescent="0.25">
      <c r="O355" s="38"/>
      <c r="Q355" s="19"/>
      <c r="R355" s="19"/>
      <c r="S355" s="19"/>
    </row>
    <row r="356" spans="15:19" x14ac:dyDescent="0.25">
      <c r="O356" s="38"/>
      <c r="Q356" s="19"/>
      <c r="R356" s="19"/>
      <c r="S356" s="19"/>
    </row>
    <row r="357" spans="15:19" x14ac:dyDescent="0.25">
      <c r="O357" s="38"/>
      <c r="Q357" s="19"/>
      <c r="R357" s="19"/>
      <c r="S357" s="19"/>
    </row>
    <row r="358" spans="15:19" x14ac:dyDescent="0.25">
      <c r="O358" s="38"/>
      <c r="Q358" s="19"/>
      <c r="R358" s="19"/>
      <c r="S358" s="19"/>
    </row>
    <row r="359" spans="15:19" x14ac:dyDescent="0.25">
      <c r="O359" s="38"/>
      <c r="Q359" s="19"/>
      <c r="R359" s="19"/>
      <c r="S359" s="19"/>
    </row>
    <row r="360" spans="15:19" x14ac:dyDescent="0.25">
      <c r="O360" s="38"/>
      <c r="Q360" s="19"/>
      <c r="R360" s="19"/>
      <c r="S360" s="19"/>
    </row>
    <row r="361" spans="15:19" x14ac:dyDescent="0.25">
      <c r="O361" s="38"/>
      <c r="Q361" s="19"/>
      <c r="R361" s="19"/>
      <c r="S361" s="19"/>
    </row>
    <row r="362" spans="15:19" x14ac:dyDescent="0.25">
      <c r="O362" s="38"/>
      <c r="Q362" s="19"/>
      <c r="R362" s="19"/>
      <c r="S362" s="19"/>
    </row>
    <row r="363" spans="15:19" x14ac:dyDescent="0.25">
      <c r="O363" s="38"/>
      <c r="Q363" s="19"/>
      <c r="R363" s="19"/>
      <c r="S363" s="19"/>
    </row>
    <row r="364" spans="15:19" x14ac:dyDescent="0.25">
      <c r="O364" s="38"/>
      <c r="Q364" s="19"/>
      <c r="R364" s="19"/>
      <c r="S364" s="19"/>
    </row>
    <row r="365" spans="15:19" x14ac:dyDescent="0.25">
      <c r="O365" s="38"/>
      <c r="Q365" s="19"/>
      <c r="R365" s="19"/>
      <c r="S365" s="19"/>
    </row>
    <row r="366" spans="15:19" x14ac:dyDescent="0.25">
      <c r="O366" s="38"/>
      <c r="Q366" s="19"/>
      <c r="R366" s="19"/>
      <c r="S366" s="19"/>
    </row>
    <row r="367" spans="15:19" x14ac:dyDescent="0.25">
      <c r="O367" s="38"/>
      <c r="Q367" s="19"/>
      <c r="R367" s="19"/>
      <c r="S367" s="19"/>
    </row>
    <row r="368" spans="15:19" x14ac:dyDescent="0.25">
      <c r="O368" s="38"/>
      <c r="Q368" s="19"/>
      <c r="R368" s="19"/>
      <c r="S368" s="19"/>
    </row>
    <row r="369" spans="15:19" x14ac:dyDescent="0.25">
      <c r="O369" s="38"/>
      <c r="Q369" s="19"/>
      <c r="R369" s="19"/>
      <c r="S369" s="19"/>
    </row>
    <row r="370" spans="15:19" x14ac:dyDescent="0.25">
      <c r="O370" s="38"/>
      <c r="Q370" s="19"/>
      <c r="R370" s="19"/>
      <c r="S370" s="19"/>
    </row>
    <row r="371" spans="15:19" x14ac:dyDescent="0.25">
      <c r="O371" s="38"/>
      <c r="Q371" s="19"/>
      <c r="R371" s="19"/>
      <c r="S371" s="19"/>
    </row>
    <row r="372" spans="15:19" x14ac:dyDescent="0.25">
      <c r="O372" s="38"/>
      <c r="Q372" s="19"/>
      <c r="R372" s="19"/>
      <c r="S372" s="19"/>
    </row>
    <row r="373" spans="15:19" x14ac:dyDescent="0.25">
      <c r="O373" s="38"/>
      <c r="Q373" s="19"/>
      <c r="R373" s="19"/>
      <c r="S373" s="19"/>
    </row>
    <row r="374" spans="15:19" x14ac:dyDescent="0.25">
      <c r="O374" s="38"/>
      <c r="Q374" s="19"/>
      <c r="R374" s="19"/>
      <c r="S374" s="19"/>
    </row>
    <row r="375" spans="15:19" x14ac:dyDescent="0.25">
      <c r="O375" s="38"/>
      <c r="Q375" s="19"/>
      <c r="R375" s="19"/>
      <c r="S375" s="19"/>
    </row>
    <row r="376" spans="15:19" x14ac:dyDescent="0.25">
      <c r="O376" s="38"/>
      <c r="Q376" s="19"/>
      <c r="R376" s="19"/>
      <c r="S376" s="19"/>
    </row>
    <row r="377" spans="15:19" x14ac:dyDescent="0.25">
      <c r="O377" s="38"/>
      <c r="Q377" s="19"/>
      <c r="R377" s="19"/>
      <c r="S377" s="19"/>
    </row>
    <row r="378" spans="15:19" x14ac:dyDescent="0.25">
      <c r="O378" s="38"/>
      <c r="Q378" s="19"/>
      <c r="R378" s="19"/>
      <c r="S378" s="19"/>
    </row>
    <row r="379" spans="15:19" x14ac:dyDescent="0.25">
      <c r="O379" s="38"/>
      <c r="Q379" s="19"/>
      <c r="R379" s="19"/>
      <c r="S379" s="19"/>
    </row>
    <row r="380" spans="15:19" x14ac:dyDescent="0.25">
      <c r="O380" s="38"/>
      <c r="Q380" s="19"/>
      <c r="R380" s="19"/>
      <c r="S380" s="19"/>
    </row>
    <row r="381" spans="15:19" x14ac:dyDescent="0.25">
      <c r="O381" s="38"/>
      <c r="Q381" s="19"/>
      <c r="R381" s="19"/>
      <c r="S381" s="19"/>
    </row>
    <row r="382" spans="15:19" x14ac:dyDescent="0.25">
      <c r="O382" s="38"/>
      <c r="Q382" s="19"/>
      <c r="R382" s="19"/>
      <c r="S382" s="19"/>
    </row>
    <row r="383" spans="15:19" x14ac:dyDescent="0.25">
      <c r="O383" s="38"/>
      <c r="Q383" s="19"/>
      <c r="R383" s="19"/>
      <c r="S383" s="19"/>
    </row>
    <row r="384" spans="15:19" x14ac:dyDescent="0.25">
      <c r="O384" s="38"/>
      <c r="Q384" s="19"/>
      <c r="R384" s="19"/>
      <c r="S384" s="19"/>
    </row>
    <row r="385" spans="15:19" x14ac:dyDescent="0.25">
      <c r="O385" s="38"/>
      <c r="Q385" s="19"/>
      <c r="R385" s="19"/>
      <c r="S385" s="19"/>
    </row>
    <row r="386" spans="15:19" x14ac:dyDescent="0.25">
      <c r="O386" s="38"/>
      <c r="Q386" s="19"/>
      <c r="R386" s="19"/>
      <c r="S386" s="19"/>
    </row>
    <row r="387" spans="15:19" x14ac:dyDescent="0.25">
      <c r="O387" s="38"/>
      <c r="Q387" s="19"/>
      <c r="R387" s="19"/>
      <c r="S387" s="19"/>
    </row>
    <row r="388" spans="15:19" x14ac:dyDescent="0.25">
      <c r="O388" s="38"/>
      <c r="Q388" s="19"/>
      <c r="R388" s="19"/>
      <c r="S388" s="19"/>
    </row>
    <row r="389" spans="15:19" x14ac:dyDescent="0.25">
      <c r="O389" s="38"/>
      <c r="Q389" s="19"/>
      <c r="R389" s="19"/>
      <c r="S389" s="19"/>
    </row>
    <row r="390" spans="15:19" x14ac:dyDescent="0.25">
      <c r="O390" s="38"/>
      <c r="Q390" s="19"/>
      <c r="R390" s="19"/>
      <c r="S390" s="19"/>
    </row>
    <row r="391" spans="15:19" x14ac:dyDescent="0.25">
      <c r="O391" s="38"/>
      <c r="Q391" s="19"/>
      <c r="R391" s="19"/>
      <c r="S391" s="19"/>
    </row>
    <row r="392" spans="15:19" x14ac:dyDescent="0.25">
      <c r="O392" s="38"/>
      <c r="Q392" s="19"/>
      <c r="R392" s="19"/>
      <c r="S392" s="19"/>
    </row>
    <row r="393" spans="15:19" x14ac:dyDescent="0.25">
      <c r="O393" s="38"/>
      <c r="Q393" s="19"/>
      <c r="R393" s="19"/>
      <c r="S393" s="19"/>
    </row>
    <row r="394" spans="15:19" x14ac:dyDescent="0.25">
      <c r="O394" s="38"/>
      <c r="Q394" s="19"/>
      <c r="R394" s="19"/>
      <c r="S394" s="19"/>
    </row>
    <row r="395" spans="15:19" x14ac:dyDescent="0.25">
      <c r="O395" s="38"/>
      <c r="Q395" s="19"/>
      <c r="R395" s="19"/>
      <c r="S395" s="19"/>
    </row>
    <row r="396" spans="15:19" x14ac:dyDescent="0.25">
      <c r="O396" s="38"/>
      <c r="Q396" s="19"/>
      <c r="R396" s="19"/>
      <c r="S396" s="19"/>
    </row>
    <row r="397" spans="15:19" x14ac:dyDescent="0.25">
      <c r="O397" s="38"/>
      <c r="Q397" s="19"/>
      <c r="R397" s="19"/>
      <c r="S397" s="19"/>
    </row>
    <row r="398" spans="15:19" x14ac:dyDescent="0.25">
      <c r="O398" s="38"/>
      <c r="Q398" s="19"/>
      <c r="R398" s="19"/>
      <c r="S398" s="19"/>
    </row>
    <row r="399" spans="15:19" x14ac:dyDescent="0.25">
      <c r="O399" s="38"/>
      <c r="Q399" s="19"/>
      <c r="R399" s="19"/>
      <c r="S399" s="19"/>
    </row>
    <row r="400" spans="15:19" x14ac:dyDescent="0.25">
      <c r="O400" s="38"/>
      <c r="Q400" s="19"/>
      <c r="R400" s="19"/>
      <c r="S400" s="19"/>
    </row>
    <row r="401" spans="15:19" x14ac:dyDescent="0.25">
      <c r="O401" s="38"/>
      <c r="Q401" s="19"/>
      <c r="R401" s="19"/>
      <c r="S401" s="19"/>
    </row>
    <row r="402" spans="15:19" x14ac:dyDescent="0.25">
      <c r="O402" s="38"/>
      <c r="Q402" s="19"/>
      <c r="R402" s="19"/>
      <c r="S402" s="19"/>
    </row>
    <row r="403" spans="15:19" x14ac:dyDescent="0.25">
      <c r="O403" s="38"/>
      <c r="Q403" s="19"/>
      <c r="R403" s="19"/>
      <c r="S403" s="19"/>
    </row>
    <row r="404" spans="15:19" x14ac:dyDescent="0.25">
      <c r="O404" s="38"/>
      <c r="Q404" s="19"/>
      <c r="R404" s="19"/>
      <c r="S404" s="19"/>
    </row>
    <row r="405" spans="15:19" x14ac:dyDescent="0.25">
      <c r="O405" s="38"/>
      <c r="Q405" s="19"/>
      <c r="R405" s="19"/>
      <c r="S405" s="19"/>
    </row>
    <row r="406" spans="15:19" x14ac:dyDescent="0.25">
      <c r="O406" s="38"/>
      <c r="Q406" s="19"/>
      <c r="R406" s="19"/>
      <c r="S406" s="19"/>
    </row>
    <row r="407" spans="15:19" x14ac:dyDescent="0.25">
      <c r="O407" s="38"/>
      <c r="Q407" s="19"/>
      <c r="R407" s="19"/>
      <c r="S407" s="19"/>
    </row>
    <row r="408" spans="15:19" x14ac:dyDescent="0.25">
      <c r="O408" s="38"/>
      <c r="Q408" s="19"/>
      <c r="R408" s="19"/>
      <c r="S408" s="19"/>
    </row>
    <row r="409" spans="15:19" x14ac:dyDescent="0.25">
      <c r="O409" s="38"/>
      <c r="Q409" s="19"/>
      <c r="R409" s="19"/>
      <c r="S409" s="19"/>
    </row>
    <row r="410" spans="15:19" x14ac:dyDescent="0.25">
      <c r="O410" s="38"/>
      <c r="Q410" s="19"/>
      <c r="R410" s="19"/>
      <c r="S410" s="19"/>
    </row>
    <row r="411" spans="15:19" x14ac:dyDescent="0.25">
      <c r="O411" s="38"/>
      <c r="Q411" s="19"/>
      <c r="R411" s="19"/>
      <c r="S411" s="19"/>
    </row>
    <row r="412" spans="15:19" x14ac:dyDescent="0.25">
      <c r="O412" s="38"/>
      <c r="Q412" s="19"/>
      <c r="R412" s="19"/>
      <c r="S412" s="19"/>
    </row>
    <row r="413" spans="15:19" x14ac:dyDescent="0.25">
      <c r="O413" s="38"/>
      <c r="Q413" s="19"/>
      <c r="R413" s="19"/>
      <c r="S413" s="19"/>
    </row>
    <row r="414" spans="15:19" x14ac:dyDescent="0.25">
      <c r="O414" s="38"/>
      <c r="Q414" s="19"/>
      <c r="R414" s="19"/>
      <c r="S414" s="19"/>
    </row>
    <row r="415" spans="15:19" x14ac:dyDescent="0.25">
      <c r="O415" s="38"/>
      <c r="Q415" s="19"/>
      <c r="R415" s="19"/>
      <c r="S415" s="19"/>
    </row>
    <row r="416" spans="15:19" x14ac:dyDescent="0.25">
      <c r="O416" s="38"/>
      <c r="Q416" s="19"/>
      <c r="R416" s="19"/>
      <c r="S416" s="19"/>
    </row>
    <row r="417" spans="15:19" x14ac:dyDescent="0.25">
      <c r="O417" s="38"/>
      <c r="Q417" s="19"/>
      <c r="R417" s="19"/>
      <c r="S417" s="19"/>
    </row>
    <row r="418" spans="15:19" x14ac:dyDescent="0.25">
      <c r="O418" s="38"/>
      <c r="Q418" s="19"/>
      <c r="R418" s="19"/>
      <c r="S418" s="19"/>
    </row>
    <row r="419" spans="15:19" x14ac:dyDescent="0.25">
      <c r="O419" s="38"/>
      <c r="Q419" s="19"/>
      <c r="R419" s="19"/>
      <c r="S419" s="19"/>
    </row>
    <row r="420" spans="15:19" x14ac:dyDescent="0.25">
      <c r="O420" s="38"/>
      <c r="Q420" s="19"/>
      <c r="R420" s="19"/>
      <c r="S420" s="19"/>
    </row>
    <row r="421" spans="15:19" x14ac:dyDescent="0.25">
      <c r="O421" s="38"/>
      <c r="Q421" s="19"/>
      <c r="R421" s="19"/>
      <c r="S421" s="19"/>
    </row>
    <row r="422" spans="15:19" x14ac:dyDescent="0.25">
      <c r="O422" s="38"/>
      <c r="Q422" s="19"/>
      <c r="R422" s="19"/>
      <c r="S422" s="19"/>
    </row>
    <row r="423" spans="15:19" x14ac:dyDescent="0.25">
      <c r="O423" s="38"/>
      <c r="Q423" s="19"/>
      <c r="R423" s="19"/>
      <c r="S423" s="19"/>
    </row>
    <row r="424" spans="15:19" x14ac:dyDescent="0.25">
      <c r="O424" s="38"/>
      <c r="Q424" s="19"/>
      <c r="R424" s="19"/>
      <c r="S424" s="19"/>
    </row>
    <row r="425" spans="15:19" x14ac:dyDescent="0.25">
      <c r="O425" s="38"/>
      <c r="Q425" s="19"/>
      <c r="R425" s="19"/>
      <c r="S425" s="19"/>
    </row>
    <row r="426" spans="15:19" x14ac:dyDescent="0.25">
      <c r="O426" s="38"/>
      <c r="Q426" s="19"/>
      <c r="R426" s="19"/>
      <c r="S426" s="19"/>
    </row>
    <row r="427" spans="15:19" x14ac:dyDescent="0.25">
      <c r="O427" s="38"/>
      <c r="Q427" s="19"/>
      <c r="R427" s="19"/>
      <c r="S427" s="19"/>
    </row>
    <row r="428" spans="15:19" x14ac:dyDescent="0.25">
      <c r="O428" s="38"/>
      <c r="Q428" s="19"/>
      <c r="R428" s="19"/>
      <c r="S428" s="19"/>
    </row>
    <row r="429" spans="15:19" x14ac:dyDescent="0.25">
      <c r="O429" s="38"/>
      <c r="Q429" s="19"/>
      <c r="R429" s="19"/>
      <c r="S429" s="19"/>
    </row>
    <row r="430" spans="15:19" x14ac:dyDescent="0.25">
      <c r="O430" s="38"/>
      <c r="Q430" s="19"/>
      <c r="R430" s="19"/>
      <c r="S430" s="19"/>
    </row>
    <row r="431" spans="15:19" x14ac:dyDescent="0.25">
      <c r="O431" s="38"/>
      <c r="Q431" s="19"/>
      <c r="R431" s="19"/>
      <c r="S431" s="19"/>
    </row>
    <row r="432" spans="15:19" x14ac:dyDescent="0.25">
      <c r="O432" s="38"/>
      <c r="Q432" s="19"/>
      <c r="R432" s="19"/>
      <c r="S432" s="19"/>
    </row>
    <row r="433" spans="15:19" x14ac:dyDescent="0.25">
      <c r="O433" s="38"/>
      <c r="Q433" s="19"/>
      <c r="R433" s="19"/>
      <c r="S433" s="19"/>
    </row>
    <row r="434" spans="15:19" x14ac:dyDescent="0.25">
      <c r="O434" s="38"/>
      <c r="Q434" s="19"/>
      <c r="R434" s="19"/>
      <c r="S434" s="19"/>
    </row>
    <row r="435" spans="15:19" x14ac:dyDescent="0.25">
      <c r="O435" s="38"/>
      <c r="Q435" s="19"/>
      <c r="R435" s="19"/>
      <c r="S435" s="19"/>
    </row>
    <row r="436" spans="15:19" x14ac:dyDescent="0.25">
      <c r="O436" s="38"/>
      <c r="Q436" s="19"/>
      <c r="R436" s="19"/>
      <c r="S436" s="19"/>
    </row>
    <row r="437" spans="15:19" x14ac:dyDescent="0.25">
      <c r="O437" s="38"/>
      <c r="Q437" s="19"/>
      <c r="R437" s="19"/>
      <c r="S437" s="19"/>
    </row>
    <row r="438" spans="15:19" x14ac:dyDescent="0.25">
      <c r="O438" s="38"/>
      <c r="Q438" s="19"/>
      <c r="R438" s="19"/>
      <c r="S438" s="19"/>
    </row>
    <row r="439" spans="15:19" x14ac:dyDescent="0.25">
      <c r="O439" s="38"/>
      <c r="Q439" s="19"/>
      <c r="R439" s="19"/>
      <c r="S439" s="19"/>
    </row>
    <row r="440" spans="15:19" x14ac:dyDescent="0.25">
      <c r="O440" s="38"/>
      <c r="Q440" s="19"/>
      <c r="R440" s="19"/>
      <c r="S440" s="19"/>
    </row>
    <row r="441" spans="15:19" x14ac:dyDescent="0.25">
      <c r="O441" s="38"/>
      <c r="Q441" s="19"/>
      <c r="R441" s="19"/>
      <c r="S441" s="19"/>
    </row>
    <row r="442" spans="15:19" x14ac:dyDescent="0.25">
      <c r="O442" s="38"/>
      <c r="Q442" s="19"/>
      <c r="R442" s="19"/>
      <c r="S442" s="19"/>
    </row>
    <row r="443" spans="15:19" x14ac:dyDescent="0.25">
      <c r="O443" s="38"/>
      <c r="Q443" s="19"/>
      <c r="R443" s="19"/>
      <c r="S443" s="19"/>
    </row>
    <row r="444" spans="15:19" x14ac:dyDescent="0.25">
      <c r="O444" s="38"/>
      <c r="Q444" s="19"/>
      <c r="R444" s="19"/>
      <c r="S444" s="19"/>
    </row>
    <row r="445" spans="15:19" x14ac:dyDescent="0.25">
      <c r="O445" s="38"/>
      <c r="Q445" s="19"/>
      <c r="R445" s="19"/>
      <c r="S445" s="19"/>
    </row>
    <row r="446" spans="15:19" x14ac:dyDescent="0.25">
      <c r="O446" s="38"/>
      <c r="Q446" s="19"/>
      <c r="R446" s="19"/>
      <c r="S446" s="19"/>
    </row>
    <row r="447" spans="15:19" x14ac:dyDescent="0.25">
      <c r="O447" s="38"/>
      <c r="Q447" s="19"/>
      <c r="R447" s="19"/>
      <c r="S447" s="19"/>
    </row>
    <row r="448" spans="15:19" x14ac:dyDescent="0.25">
      <c r="O448" s="38"/>
      <c r="Q448" s="19"/>
      <c r="R448" s="19"/>
      <c r="S448" s="19"/>
    </row>
    <row r="449" spans="15:19" x14ac:dyDescent="0.25">
      <c r="O449" s="38"/>
      <c r="Q449" s="19"/>
      <c r="R449" s="19"/>
      <c r="S449" s="19"/>
    </row>
    <row r="450" spans="15:19" x14ac:dyDescent="0.25">
      <c r="O450" s="38"/>
      <c r="Q450" s="19"/>
      <c r="R450" s="19"/>
      <c r="S450" s="19"/>
    </row>
    <row r="451" spans="15:19" x14ac:dyDescent="0.25">
      <c r="O451" s="38"/>
      <c r="Q451" s="19"/>
      <c r="R451" s="19"/>
      <c r="S451" s="19"/>
    </row>
    <row r="452" spans="15:19" x14ac:dyDescent="0.25">
      <c r="O452" s="38"/>
      <c r="Q452" s="19"/>
      <c r="R452" s="19"/>
      <c r="S452" s="19"/>
    </row>
    <row r="453" spans="15:19" x14ac:dyDescent="0.25">
      <c r="O453" s="38"/>
      <c r="Q453" s="19"/>
      <c r="R453" s="19"/>
      <c r="S453" s="19"/>
    </row>
    <row r="454" spans="15:19" x14ac:dyDescent="0.25">
      <c r="O454" s="38"/>
      <c r="Q454" s="19"/>
      <c r="R454" s="19"/>
      <c r="S454" s="19"/>
    </row>
    <row r="455" spans="15:19" x14ac:dyDescent="0.25">
      <c r="O455" s="38"/>
      <c r="Q455" s="19"/>
      <c r="R455" s="19"/>
      <c r="S455" s="19"/>
    </row>
    <row r="456" spans="15:19" x14ac:dyDescent="0.25">
      <c r="O456" s="38"/>
      <c r="Q456" s="19"/>
      <c r="R456" s="19"/>
      <c r="S456" s="19"/>
    </row>
    <row r="457" spans="15:19" x14ac:dyDescent="0.25">
      <c r="O457" s="38"/>
      <c r="Q457" s="19"/>
      <c r="R457" s="19"/>
      <c r="S457" s="19"/>
    </row>
    <row r="458" spans="15:19" x14ac:dyDescent="0.25">
      <c r="O458" s="38"/>
      <c r="Q458" s="19"/>
      <c r="R458" s="19"/>
      <c r="S458" s="19"/>
    </row>
    <row r="459" spans="15:19" x14ac:dyDescent="0.25">
      <c r="O459" s="38"/>
      <c r="Q459" s="19"/>
      <c r="R459" s="19"/>
      <c r="S459" s="19"/>
    </row>
    <row r="460" spans="15:19" x14ac:dyDescent="0.25">
      <c r="O460" s="38"/>
      <c r="Q460" s="19"/>
      <c r="R460" s="19"/>
      <c r="S460" s="19"/>
    </row>
    <row r="461" spans="15:19" x14ac:dyDescent="0.25">
      <c r="O461" s="38"/>
      <c r="Q461" s="19"/>
      <c r="R461" s="19"/>
      <c r="S461" s="19"/>
    </row>
    <row r="462" spans="15:19" x14ac:dyDescent="0.25">
      <c r="O462" s="38"/>
      <c r="Q462" s="19"/>
      <c r="R462" s="19"/>
      <c r="S462" s="19"/>
    </row>
    <row r="463" spans="15:19" x14ac:dyDescent="0.25">
      <c r="O463" s="38"/>
      <c r="Q463" s="19"/>
      <c r="R463" s="19"/>
      <c r="S463" s="19"/>
    </row>
    <row r="464" spans="15:19" x14ac:dyDescent="0.25">
      <c r="O464" s="38"/>
      <c r="Q464" s="19"/>
      <c r="R464" s="19"/>
      <c r="S464" s="19"/>
    </row>
    <row r="465" spans="15:19" x14ac:dyDescent="0.25">
      <c r="O465" s="38"/>
      <c r="Q465" s="19"/>
      <c r="R465" s="19"/>
      <c r="S465" s="19"/>
    </row>
    <row r="466" spans="15:19" x14ac:dyDescent="0.25">
      <c r="O466" s="38"/>
      <c r="Q466" s="19"/>
      <c r="R466" s="19"/>
      <c r="S466" s="19"/>
    </row>
    <row r="467" spans="15:19" x14ac:dyDescent="0.25">
      <c r="O467" s="38"/>
      <c r="Q467" s="19"/>
      <c r="R467" s="19"/>
      <c r="S467" s="19"/>
    </row>
    <row r="468" spans="15:19" x14ac:dyDescent="0.25">
      <c r="O468" s="38"/>
      <c r="Q468" s="19"/>
      <c r="R468" s="19"/>
      <c r="S468" s="19"/>
    </row>
    <row r="469" spans="15:19" x14ac:dyDescent="0.25">
      <c r="O469" s="38"/>
      <c r="Q469" s="19"/>
      <c r="R469" s="19"/>
      <c r="S469" s="19"/>
    </row>
    <row r="470" spans="15:19" x14ac:dyDescent="0.25">
      <c r="O470" s="38"/>
      <c r="Q470" s="19"/>
      <c r="R470" s="19"/>
      <c r="S470" s="19"/>
    </row>
    <row r="471" spans="15:19" x14ac:dyDescent="0.25">
      <c r="O471" s="38"/>
      <c r="Q471" s="19"/>
      <c r="R471" s="19"/>
      <c r="S471" s="19"/>
    </row>
    <row r="472" spans="15:19" x14ac:dyDescent="0.25">
      <c r="O472" s="38"/>
      <c r="Q472" s="19"/>
      <c r="R472" s="19"/>
      <c r="S472" s="19"/>
    </row>
    <row r="473" spans="15:19" x14ac:dyDescent="0.25">
      <c r="O473" s="38"/>
      <c r="Q473" s="19"/>
      <c r="R473" s="19"/>
      <c r="S473" s="19"/>
    </row>
    <row r="474" spans="15:19" x14ac:dyDescent="0.25">
      <c r="O474" s="38"/>
      <c r="Q474" s="19"/>
      <c r="R474" s="19"/>
      <c r="S474" s="19"/>
    </row>
    <row r="475" spans="15:19" x14ac:dyDescent="0.25">
      <c r="O475" s="38"/>
      <c r="Q475" s="19"/>
      <c r="R475" s="19"/>
      <c r="S475" s="19"/>
    </row>
    <row r="476" spans="15:19" x14ac:dyDescent="0.25">
      <c r="O476" s="38"/>
      <c r="Q476" s="19"/>
      <c r="R476" s="19"/>
      <c r="S476" s="19"/>
    </row>
    <row r="477" spans="15:19" x14ac:dyDescent="0.25">
      <c r="O477" s="38"/>
      <c r="Q477" s="19"/>
      <c r="R477" s="19"/>
      <c r="S477" s="19"/>
    </row>
    <row r="478" spans="15:19" x14ac:dyDescent="0.25">
      <c r="O478" s="38"/>
      <c r="Q478" s="19"/>
      <c r="R478" s="19"/>
      <c r="S478" s="19"/>
    </row>
    <row r="479" spans="15:19" x14ac:dyDescent="0.25">
      <c r="O479" s="38"/>
      <c r="Q479" s="19"/>
      <c r="R479" s="19"/>
      <c r="S479" s="19"/>
    </row>
    <row r="480" spans="15:19" x14ac:dyDescent="0.25">
      <c r="O480" s="38"/>
      <c r="Q480" s="19"/>
      <c r="R480" s="19"/>
      <c r="S480" s="19"/>
    </row>
    <row r="481" spans="15:19" x14ac:dyDescent="0.25">
      <c r="O481" s="38"/>
      <c r="Q481" s="19"/>
      <c r="R481" s="19"/>
      <c r="S481" s="19"/>
    </row>
    <row r="482" spans="15:19" x14ac:dyDescent="0.25">
      <c r="O482" s="38"/>
      <c r="Q482" s="19"/>
      <c r="R482" s="19"/>
      <c r="S482" s="19"/>
    </row>
    <row r="483" spans="15:19" x14ac:dyDescent="0.25">
      <c r="O483" s="38"/>
      <c r="Q483" s="19"/>
      <c r="R483" s="19"/>
      <c r="S483" s="19"/>
    </row>
    <row r="484" spans="15:19" x14ac:dyDescent="0.25">
      <c r="O484" s="38"/>
      <c r="Q484" s="19"/>
      <c r="R484" s="19"/>
      <c r="S484" s="19"/>
    </row>
    <row r="485" spans="15:19" x14ac:dyDescent="0.25">
      <c r="O485" s="38"/>
      <c r="Q485" s="19"/>
      <c r="R485" s="19"/>
      <c r="S485" s="19"/>
    </row>
    <row r="486" spans="15:19" x14ac:dyDescent="0.25">
      <c r="O486" s="38"/>
      <c r="Q486" s="19"/>
      <c r="R486" s="19"/>
      <c r="S486" s="19"/>
    </row>
    <row r="487" spans="15:19" x14ac:dyDescent="0.25">
      <c r="O487" s="38"/>
      <c r="Q487" s="19"/>
      <c r="R487" s="19"/>
      <c r="S487" s="19"/>
    </row>
    <row r="488" spans="15:19" x14ac:dyDescent="0.25">
      <c r="O488" s="38"/>
      <c r="Q488" s="19"/>
      <c r="R488" s="19"/>
      <c r="S488" s="19"/>
    </row>
    <row r="489" spans="15:19" x14ac:dyDescent="0.25">
      <c r="O489" s="38"/>
      <c r="Q489" s="19"/>
      <c r="R489" s="19"/>
      <c r="S489" s="19"/>
    </row>
    <row r="490" spans="15:19" x14ac:dyDescent="0.25">
      <c r="O490" s="38"/>
      <c r="Q490" s="19"/>
      <c r="R490" s="19"/>
      <c r="S490" s="19"/>
    </row>
    <row r="491" spans="15:19" x14ac:dyDescent="0.25">
      <c r="O491" s="38"/>
      <c r="Q491" s="19"/>
      <c r="R491" s="19"/>
      <c r="S491" s="19"/>
    </row>
    <row r="492" spans="15:19" x14ac:dyDescent="0.25">
      <c r="O492" s="38"/>
      <c r="Q492" s="19"/>
      <c r="R492" s="19"/>
      <c r="S492" s="19"/>
    </row>
    <row r="493" spans="15:19" x14ac:dyDescent="0.25">
      <c r="O493" s="38"/>
      <c r="Q493" s="19"/>
      <c r="R493" s="19"/>
      <c r="S493" s="19"/>
    </row>
    <row r="494" spans="15:19" x14ac:dyDescent="0.25">
      <c r="O494" s="38"/>
      <c r="Q494" s="19"/>
      <c r="R494" s="19"/>
      <c r="S494" s="19"/>
    </row>
    <row r="495" spans="15:19" x14ac:dyDescent="0.25">
      <c r="O495" s="38"/>
      <c r="Q495" s="19"/>
      <c r="R495" s="19"/>
      <c r="S495" s="19"/>
    </row>
    <row r="496" spans="15:19" x14ac:dyDescent="0.25">
      <c r="O496" s="38"/>
      <c r="Q496" s="19"/>
      <c r="R496" s="19"/>
      <c r="S496" s="19"/>
    </row>
    <row r="497" spans="15:19" x14ac:dyDescent="0.25">
      <c r="O497" s="38"/>
      <c r="Q497" s="19"/>
      <c r="R497" s="19"/>
      <c r="S497" s="19"/>
    </row>
    <row r="498" spans="15:19" x14ac:dyDescent="0.25">
      <c r="O498" s="38"/>
      <c r="Q498" s="19"/>
      <c r="R498" s="19"/>
      <c r="S498" s="19"/>
    </row>
    <row r="499" spans="15:19" x14ac:dyDescent="0.25">
      <c r="O499" s="38"/>
      <c r="Q499" s="19"/>
      <c r="R499" s="19"/>
      <c r="S499" s="19"/>
    </row>
    <row r="500" spans="15:19" x14ac:dyDescent="0.25">
      <c r="O500" s="38"/>
      <c r="Q500" s="19"/>
      <c r="R500" s="19"/>
      <c r="S500" s="19"/>
    </row>
    <row r="501" spans="15:19" x14ac:dyDescent="0.25">
      <c r="O501" s="38"/>
      <c r="Q501" s="19"/>
      <c r="R501" s="19"/>
      <c r="S501" s="19"/>
    </row>
    <row r="502" spans="15:19" x14ac:dyDescent="0.25">
      <c r="O502" s="38"/>
      <c r="Q502" s="19"/>
      <c r="R502" s="19"/>
      <c r="S502" s="19"/>
    </row>
    <row r="503" spans="15:19" x14ac:dyDescent="0.25">
      <c r="O503" s="38"/>
      <c r="Q503" s="19"/>
      <c r="R503" s="19"/>
      <c r="S503" s="19"/>
    </row>
    <row r="504" spans="15:19" x14ac:dyDescent="0.25">
      <c r="O504" s="38"/>
      <c r="Q504" s="19"/>
      <c r="R504" s="19"/>
      <c r="S504" s="19"/>
    </row>
    <row r="505" spans="15:19" x14ac:dyDescent="0.25">
      <c r="O505" s="38"/>
      <c r="Q505" s="19"/>
      <c r="R505" s="19"/>
      <c r="S505" s="19"/>
    </row>
    <row r="506" spans="15:19" x14ac:dyDescent="0.25">
      <c r="O506" s="38"/>
      <c r="Q506" s="19"/>
      <c r="R506" s="19"/>
      <c r="S506" s="19"/>
    </row>
    <row r="507" spans="15:19" x14ac:dyDescent="0.25">
      <c r="O507" s="38"/>
      <c r="Q507" s="19"/>
      <c r="R507" s="19"/>
      <c r="S507" s="19"/>
    </row>
    <row r="508" spans="15:19" x14ac:dyDescent="0.25">
      <c r="O508" s="38"/>
      <c r="Q508" s="19"/>
      <c r="R508" s="19"/>
      <c r="S508" s="19"/>
    </row>
    <row r="509" spans="15:19" x14ac:dyDescent="0.25">
      <c r="O509" s="38"/>
      <c r="Q509" s="19"/>
      <c r="R509" s="19"/>
      <c r="S509" s="19"/>
    </row>
    <row r="510" spans="15:19" x14ac:dyDescent="0.25">
      <c r="O510" s="38"/>
      <c r="Q510" s="19"/>
      <c r="R510" s="19"/>
      <c r="S510" s="19"/>
    </row>
    <row r="511" spans="15:19" x14ac:dyDescent="0.25">
      <c r="O511" s="38"/>
      <c r="Q511" s="19"/>
      <c r="R511" s="19"/>
      <c r="S511" s="19"/>
    </row>
    <row r="512" spans="15:19" x14ac:dyDescent="0.25">
      <c r="O512" s="38"/>
      <c r="Q512" s="19"/>
      <c r="R512" s="19"/>
      <c r="S512" s="19"/>
    </row>
    <row r="513" spans="15:19" x14ac:dyDescent="0.25">
      <c r="O513" s="38"/>
      <c r="Q513" s="19"/>
      <c r="R513" s="19"/>
      <c r="S513" s="19"/>
    </row>
    <row r="514" spans="15:19" x14ac:dyDescent="0.25">
      <c r="O514" s="38"/>
      <c r="Q514" s="19"/>
      <c r="R514" s="19"/>
      <c r="S514" s="19"/>
    </row>
    <row r="515" spans="15:19" x14ac:dyDescent="0.25">
      <c r="O515" s="38"/>
      <c r="Q515" s="19"/>
      <c r="R515" s="19"/>
      <c r="S515" s="19"/>
    </row>
    <row r="516" spans="15:19" x14ac:dyDescent="0.25">
      <c r="O516" s="38"/>
      <c r="Q516" s="19"/>
      <c r="R516" s="19"/>
      <c r="S516" s="19"/>
    </row>
    <row r="517" spans="15:19" x14ac:dyDescent="0.25">
      <c r="O517" s="38"/>
      <c r="Q517" s="19"/>
      <c r="R517" s="19"/>
      <c r="S517" s="19"/>
    </row>
    <row r="518" spans="15:19" x14ac:dyDescent="0.25">
      <c r="O518" s="38"/>
      <c r="Q518" s="19"/>
      <c r="R518" s="19"/>
      <c r="S518" s="19"/>
    </row>
    <row r="519" spans="15:19" x14ac:dyDescent="0.25">
      <c r="O519" s="38"/>
      <c r="Q519" s="19"/>
      <c r="R519" s="19"/>
      <c r="S519" s="19"/>
    </row>
    <row r="520" spans="15:19" x14ac:dyDescent="0.25">
      <c r="O520" s="38"/>
      <c r="Q520" s="19"/>
      <c r="R520" s="19"/>
      <c r="S520" s="19"/>
    </row>
    <row r="521" spans="15:19" x14ac:dyDescent="0.25">
      <c r="O521" s="38"/>
      <c r="Q521" s="19"/>
      <c r="R521" s="19"/>
      <c r="S521" s="19"/>
    </row>
    <row r="522" spans="15:19" x14ac:dyDescent="0.25">
      <c r="O522" s="38"/>
      <c r="Q522" s="19"/>
      <c r="R522" s="19"/>
      <c r="S522" s="19"/>
    </row>
    <row r="523" spans="15:19" x14ac:dyDescent="0.25">
      <c r="O523" s="38"/>
      <c r="Q523" s="19"/>
      <c r="R523" s="19"/>
      <c r="S523" s="19"/>
    </row>
    <row r="524" spans="15:19" x14ac:dyDescent="0.25">
      <c r="O524" s="38"/>
      <c r="Q524" s="19"/>
      <c r="R524" s="19"/>
      <c r="S524" s="19"/>
    </row>
    <row r="525" spans="15:19" x14ac:dyDescent="0.25">
      <c r="O525" s="38"/>
      <c r="Q525" s="19"/>
      <c r="R525" s="19"/>
      <c r="S525" s="19"/>
    </row>
    <row r="526" spans="15:19" x14ac:dyDescent="0.25">
      <c r="O526" s="38"/>
      <c r="Q526" s="19"/>
      <c r="R526" s="19"/>
      <c r="S526" s="19"/>
    </row>
    <row r="527" spans="15:19" x14ac:dyDescent="0.25">
      <c r="O527" s="38"/>
      <c r="Q527" s="19"/>
      <c r="R527" s="19"/>
      <c r="S527" s="19"/>
    </row>
    <row r="528" spans="15:19" x14ac:dyDescent="0.25">
      <c r="O528" s="38"/>
      <c r="Q528" s="19"/>
      <c r="R528" s="19"/>
      <c r="S528" s="19"/>
    </row>
    <row r="529" spans="15:19" x14ac:dyDescent="0.25">
      <c r="O529" s="38"/>
      <c r="Q529" s="19"/>
      <c r="R529" s="19"/>
      <c r="S529" s="19"/>
    </row>
    <row r="530" spans="15:19" x14ac:dyDescent="0.25">
      <c r="O530" s="38"/>
      <c r="Q530" s="19"/>
      <c r="R530" s="19"/>
      <c r="S530" s="19"/>
    </row>
    <row r="531" spans="15:19" x14ac:dyDescent="0.25">
      <c r="O531" s="38"/>
      <c r="Q531" s="19"/>
      <c r="R531" s="19"/>
      <c r="S531" s="19"/>
    </row>
    <row r="532" spans="15:19" x14ac:dyDescent="0.25">
      <c r="O532" s="38"/>
      <c r="Q532" s="19"/>
      <c r="R532" s="19"/>
      <c r="S532" s="19"/>
    </row>
    <row r="533" spans="15:19" x14ac:dyDescent="0.25">
      <c r="O533" s="38"/>
      <c r="Q533" s="19"/>
      <c r="R533" s="19"/>
      <c r="S533" s="19"/>
    </row>
    <row r="534" spans="15:19" x14ac:dyDescent="0.25">
      <c r="O534" s="38"/>
      <c r="Q534" s="19"/>
      <c r="R534" s="19"/>
      <c r="S534" s="19"/>
    </row>
    <row r="535" spans="15:19" x14ac:dyDescent="0.25">
      <c r="O535" s="38"/>
      <c r="Q535" s="19"/>
      <c r="R535" s="19"/>
      <c r="S535" s="19"/>
    </row>
    <row r="536" spans="15:19" x14ac:dyDescent="0.25">
      <c r="O536" s="38"/>
      <c r="Q536" s="19"/>
      <c r="R536" s="19"/>
      <c r="S536" s="19"/>
    </row>
    <row r="537" spans="15:19" x14ac:dyDescent="0.25">
      <c r="O537" s="38"/>
      <c r="Q537" s="19"/>
      <c r="R537" s="19"/>
      <c r="S537" s="19"/>
    </row>
    <row r="538" spans="15:19" x14ac:dyDescent="0.25">
      <c r="O538" s="38"/>
      <c r="Q538" s="19"/>
      <c r="R538" s="19"/>
      <c r="S538" s="19"/>
    </row>
    <row r="539" spans="15:19" x14ac:dyDescent="0.25">
      <c r="O539" s="38"/>
      <c r="Q539" s="19"/>
      <c r="R539" s="19"/>
      <c r="S539" s="19"/>
    </row>
    <row r="540" spans="15:19" x14ac:dyDescent="0.25">
      <c r="O540" s="38"/>
      <c r="Q540" s="19"/>
      <c r="R540" s="19"/>
      <c r="S540" s="19"/>
    </row>
    <row r="541" spans="15:19" x14ac:dyDescent="0.25">
      <c r="O541" s="38"/>
      <c r="Q541" s="19"/>
      <c r="R541" s="19"/>
      <c r="S541" s="19"/>
    </row>
    <row r="542" spans="15:19" x14ac:dyDescent="0.25">
      <c r="O542" s="38"/>
      <c r="Q542" s="19"/>
      <c r="R542" s="19"/>
      <c r="S542" s="19"/>
    </row>
    <row r="543" spans="15:19" x14ac:dyDescent="0.25">
      <c r="O543" s="38"/>
      <c r="Q543" s="19"/>
      <c r="R543" s="19"/>
      <c r="S543" s="19"/>
    </row>
    <row r="544" spans="15:19" x14ac:dyDescent="0.25">
      <c r="O544" s="38"/>
      <c r="Q544" s="19"/>
      <c r="R544" s="19"/>
      <c r="S544" s="19"/>
    </row>
    <row r="545" spans="15:19" x14ac:dyDescent="0.25">
      <c r="O545" s="38"/>
      <c r="Q545" s="19"/>
      <c r="R545" s="19"/>
      <c r="S545" s="19"/>
    </row>
    <row r="546" spans="15:19" x14ac:dyDescent="0.25">
      <c r="O546" s="38"/>
      <c r="Q546" s="19"/>
      <c r="R546" s="19"/>
      <c r="S546" s="19"/>
    </row>
    <row r="547" spans="15:19" x14ac:dyDescent="0.25">
      <c r="O547" s="38"/>
      <c r="Q547" s="19"/>
      <c r="R547" s="19"/>
      <c r="S547" s="19"/>
    </row>
    <row r="548" spans="15:19" x14ac:dyDescent="0.25">
      <c r="O548" s="38"/>
      <c r="Q548" s="19"/>
      <c r="R548" s="19"/>
      <c r="S548" s="19"/>
    </row>
    <row r="549" spans="15:19" x14ac:dyDescent="0.25">
      <c r="O549" s="38"/>
      <c r="Q549" s="19"/>
      <c r="R549" s="19"/>
      <c r="S549" s="19"/>
    </row>
    <row r="550" spans="15:19" x14ac:dyDescent="0.25">
      <c r="O550" s="38"/>
      <c r="Q550" s="19"/>
      <c r="R550" s="19"/>
      <c r="S550" s="19"/>
    </row>
    <row r="551" spans="15:19" x14ac:dyDescent="0.25">
      <c r="O551" s="38"/>
      <c r="Q551" s="19"/>
      <c r="R551" s="19"/>
      <c r="S551" s="19"/>
    </row>
    <row r="552" spans="15:19" x14ac:dyDescent="0.25">
      <c r="O552" s="38"/>
      <c r="Q552" s="19"/>
      <c r="R552" s="19"/>
      <c r="S552" s="19"/>
    </row>
    <row r="553" spans="15:19" x14ac:dyDescent="0.25">
      <c r="O553" s="38"/>
      <c r="Q553" s="19"/>
      <c r="R553" s="19"/>
      <c r="S553" s="19"/>
    </row>
    <row r="554" spans="15:19" x14ac:dyDescent="0.25">
      <c r="O554" s="38"/>
      <c r="Q554" s="19"/>
      <c r="R554" s="19"/>
      <c r="S554" s="19"/>
    </row>
    <row r="555" spans="15:19" x14ac:dyDescent="0.25">
      <c r="O555" s="38"/>
      <c r="Q555" s="19"/>
      <c r="R555" s="19"/>
      <c r="S555" s="19"/>
    </row>
    <row r="556" spans="15:19" x14ac:dyDescent="0.25">
      <c r="O556" s="38"/>
      <c r="Q556" s="19"/>
      <c r="R556" s="19"/>
      <c r="S556" s="19"/>
    </row>
    <row r="557" spans="15:19" x14ac:dyDescent="0.25">
      <c r="O557" s="38"/>
      <c r="Q557" s="19"/>
      <c r="R557" s="19"/>
      <c r="S557" s="19"/>
    </row>
    <row r="558" spans="15:19" x14ac:dyDescent="0.25">
      <c r="O558" s="38"/>
      <c r="Q558" s="19"/>
      <c r="R558" s="19"/>
      <c r="S558" s="19"/>
    </row>
    <row r="559" spans="15:19" x14ac:dyDescent="0.25">
      <c r="O559" s="38"/>
      <c r="Q559" s="19"/>
      <c r="R559" s="19"/>
      <c r="S559" s="19"/>
    </row>
    <row r="560" spans="15:19" x14ac:dyDescent="0.25">
      <c r="O560" s="38"/>
      <c r="Q560" s="19"/>
      <c r="R560" s="19"/>
      <c r="S560" s="19"/>
    </row>
    <row r="561" spans="15:19" x14ac:dyDescent="0.25">
      <c r="O561" s="38"/>
      <c r="Q561" s="19"/>
      <c r="R561" s="19"/>
      <c r="S561" s="19"/>
    </row>
    <row r="562" spans="15:19" x14ac:dyDescent="0.25">
      <c r="O562" s="38"/>
      <c r="Q562" s="19"/>
      <c r="R562" s="19"/>
      <c r="S562" s="19"/>
    </row>
    <row r="563" spans="15:19" x14ac:dyDescent="0.25">
      <c r="O563" s="38"/>
      <c r="Q563" s="19"/>
      <c r="R563" s="19"/>
      <c r="S563" s="19"/>
    </row>
    <row r="564" spans="15:19" x14ac:dyDescent="0.25">
      <c r="O564" s="38"/>
      <c r="Q564" s="19"/>
      <c r="R564" s="19"/>
      <c r="S564" s="19"/>
    </row>
    <row r="565" spans="15:19" x14ac:dyDescent="0.25">
      <c r="O565" s="38"/>
      <c r="Q565" s="19"/>
      <c r="R565" s="19"/>
      <c r="S565" s="19"/>
    </row>
    <row r="566" spans="15:19" x14ac:dyDescent="0.25">
      <c r="O566" s="38"/>
      <c r="Q566" s="19"/>
      <c r="R566" s="19"/>
      <c r="S566" s="19"/>
    </row>
    <row r="567" spans="15:19" x14ac:dyDescent="0.25">
      <c r="O567" s="38"/>
      <c r="Q567" s="19"/>
      <c r="R567" s="19"/>
      <c r="S567" s="19"/>
    </row>
    <row r="568" spans="15:19" x14ac:dyDescent="0.25">
      <c r="O568" s="38"/>
      <c r="Q568" s="19"/>
      <c r="R568" s="19"/>
      <c r="S568" s="19"/>
    </row>
    <row r="569" spans="15:19" x14ac:dyDescent="0.25">
      <c r="O569" s="38"/>
      <c r="Q569" s="19"/>
      <c r="R569" s="19"/>
      <c r="S569" s="19"/>
    </row>
    <row r="570" spans="15:19" x14ac:dyDescent="0.25">
      <c r="O570" s="38"/>
      <c r="Q570" s="19"/>
      <c r="R570" s="19"/>
      <c r="S570" s="19"/>
    </row>
    <row r="571" spans="15:19" x14ac:dyDescent="0.25">
      <c r="O571" s="38"/>
      <c r="Q571" s="19"/>
      <c r="R571" s="19"/>
      <c r="S571" s="19"/>
    </row>
    <row r="572" spans="15:19" x14ac:dyDescent="0.25">
      <c r="O572" s="38"/>
      <c r="Q572" s="19"/>
      <c r="R572" s="19"/>
      <c r="S572" s="19"/>
    </row>
    <row r="573" spans="15:19" x14ac:dyDescent="0.25">
      <c r="O573" s="38"/>
      <c r="Q573" s="19"/>
      <c r="R573" s="19"/>
      <c r="S573" s="19"/>
    </row>
    <row r="574" spans="15:19" x14ac:dyDescent="0.25">
      <c r="O574" s="38"/>
      <c r="Q574" s="19"/>
      <c r="R574" s="19"/>
      <c r="S574" s="19"/>
    </row>
    <row r="575" spans="15:19" x14ac:dyDescent="0.25">
      <c r="O575" s="38"/>
      <c r="Q575" s="19"/>
      <c r="R575" s="19"/>
      <c r="S575" s="19"/>
    </row>
    <row r="576" spans="15:19" x14ac:dyDescent="0.25">
      <c r="O576" s="38"/>
      <c r="Q576" s="19"/>
      <c r="R576" s="19"/>
      <c r="S576" s="19"/>
    </row>
    <row r="577" spans="15:19" x14ac:dyDescent="0.25">
      <c r="O577" s="38"/>
      <c r="Q577" s="19"/>
      <c r="R577" s="19"/>
      <c r="S577" s="19"/>
    </row>
    <row r="578" spans="15:19" x14ac:dyDescent="0.25">
      <c r="O578" s="38"/>
      <c r="Q578" s="19"/>
      <c r="R578" s="19"/>
      <c r="S578" s="19"/>
    </row>
    <row r="579" spans="15:19" x14ac:dyDescent="0.25">
      <c r="O579" s="38"/>
      <c r="Q579" s="19"/>
      <c r="R579" s="19"/>
      <c r="S579" s="19"/>
    </row>
    <row r="580" spans="15:19" x14ac:dyDescent="0.25">
      <c r="O580" s="38"/>
      <c r="Q580" s="19"/>
      <c r="R580" s="19"/>
      <c r="S580" s="19"/>
    </row>
    <row r="581" spans="15:19" x14ac:dyDescent="0.25">
      <c r="O581" s="38"/>
      <c r="Q581" s="19"/>
      <c r="R581" s="19"/>
      <c r="S581" s="19"/>
    </row>
    <row r="582" spans="15:19" x14ac:dyDescent="0.25">
      <c r="O582" s="38"/>
      <c r="Q582" s="19"/>
      <c r="R582" s="19"/>
      <c r="S582" s="19"/>
    </row>
    <row r="583" spans="15:19" x14ac:dyDescent="0.25">
      <c r="O583" s="38"/>
      <c r="Q583" s="19"/>
      <c r="R583" s="19"/>
      <c r="S583" s="19"/>
    </row>
    <row r="584" spans="15:19" x14ac:dyDescent="0.25">
      <c r="O584" s="38"/>
      <c r="Q584" s="19"/>
      <c r="R584" s="19"/>
      <c r="S584" s="19"/>
    </row>
    <row r="585" spans="15:19" x14ac:dyDescent="0.25">
      <c r="O585" s="38"/>
      <c r="Q585" s="19"/>
      <c r="R585" s="19"/>
      <c r="S585" s="19"/>
    </row>
    <row r="586" spans="15:19" x14ac:dyDescent="0.25">
      <c r="O586" s="38"/>
      <c r="Q586" s="19"/>
      <c r="R586" s="19"/>
      <c r="S586" s="19"/>
    </row>
    <row r="587" spans="15:19" x14ac:dyDescent="0.25">
      <c r="O587" s="38"/>
      <c r="Q587" s="19"/>
      <c r="R587" s="19"/>
      <c r="S587" s="19"/>
    </row>
    <row r="588" spans="15:19" x14ac:dyDescent="0.25">
      <c r="O588" s="38"/>
      <c r="Q588" s="19"/>
      <c r="R588" s="19"/>
      <c r="S588" s="19"/>
    </row>
    <row r="589" spans="15:19" x14ac:dyDescent="0.25">
      <c r="O589" s="38"/>
      <c r="Q589" s="19"/>
      <c r="R589" s="19"/>
      <c r="S589" s="19"/>
    </row>
    <row r="590" spans="15:19" x14ac:dyDescent="0.25">
      <c r="O590" s="38"/>
      <c r="Q590" s="19"/>
      <c r="R590" s="19"/>
      <c r="S590" s="19"/>
    </row>
    <row r="591" spans="15:19" x14ac:dyDescent="0.25">
      <c r="O591" s="38"/>
      <c r="Q591" s="19"/>
      <c r="R591" s="19"/>
      <c r="S591" s="19"/>
    </row>
    <row r="592" spans="15:19" x14ac:dyDescent="0.25">
      <c r="O592" s="38"/>
      <c r="Q592" s="19"/>
      <c r="R592" s="19"/>
      <c r="S592" s="19"/>
    </row>
    <row r="593" spans="15:19" x14ac:dyDescent="0.25">
      <c r="O593" s="38"/>
      <c r="Q593" s="19"/>
      <c r="R593" s="19"/>
      <c r="S593" s="19"/>
    </row>
    <row r="594" spans="15:19" x14ac:dyDescent="0.25">
      <c r="O594" s="38"/>
      <c r="Q594" s="19"/>
      <c r="R594" s="19"/>
      <c r="S594" s="19"/>
    </row>
    <row r="595" spans="15:19" x14ac:dyDescent="0.25">
      <c r="O595" s="38"/>
      <c r="Q595" s="19"/>
      <c r="R595" s="19"/>
      <c r="S595" s="19"/>
    </row>
    <row r="596" spans="15:19" x14ac:dyDescent="0.25">
      <c r="O596" s="38"/>
      <c r="Q596" s="19"/>
      <c r="R596" s="19"/>
      <c r="S596" s="19"/>
    </row>
    <row r="597" spans="15:19" x14ac:dyDescent="0.25">
      <c r="O597" s="38"/>
      <c r="Q597" s="19"/>
      <c r="R597" s="19"/>
      <c r="S597" s="19"/>
    </row>
    <row r="598" spans="15:19" x14ac:dyDescent="0.25">
      <c r="O598" s="38"/>
      <c r="Q598" s="19"/>
      <c r="R598" s="19"/>
      <c r="S598" s="19"/>
    </row>
    <row r="599" spans="15:19" x14ac:dyDescent="0.25">
      <c r="O599" s="38"/>
      <c r="Q599" s="19"/>
      <c r="R599" s="19"/>
      <c r="S599" s="19"/>
    </row>
    <row r="600" spans="15:19" x14ac:dyDescent="0.25">
      <c r="O600" s="38"/>
      <c r="Q600" s="19"/>
      <c r="R600" s="19"/>
      <c r="S600" s="19"/>
    </row>
    <row r="601" spans="15:19" x14ac:dyDescent="0.25">
      <c r="O601" s="38"/>
      <c r="Q601" s="19"/>
      <c r="R601" s="19"/>
      <c r="S601" s="19"/>
    </row>
    <row r="602" spans="15:19" x14ac:dyDescent="0.25">
      <c r="O602" s="38"/>
      <c r="Q602" s="19"/>
      <c r="R602" s="19"/>
      <c r="S602" s="19"/>
    </row>
    <row r="603" spans="15:19" x14ac:dyDescent="0.25">
      <c r="O603" s="38"/>
      <c r="Q603" s="19"/>
      <c r="R603" s="19"/>
      <c r="S603" s="19"/>
    </row>
    <row r="604" spans="15:19" x14ac:dyDescent="0.25">
      <c r="O604" s="38"/>
      <c r="Q604" s="19"/>
      <c r="R604" s="19"/>
      <c r="S604" s="19"/>
    </row>
    <row r="605" spans="15:19" x14ac:dyDescent="0.25">
      <c r="O605" s="38"/>
      <c r="Q605" s="19"/>
      <c r="R605" s="19"/>
      <c r="S605" s="19"/>
    </row>
    <row r="606" spans="15:19" x14ac:dyDescent="0.25">
      <c r="O606" s="38"/>
      <c r="Q606" s="19"/>
      <c r="R606" s="19"/>
      <c r="S606" s="19"/>
    </row>
    <row r="607" spans="15:19" x14ac:dyDescent="0.25">
      <c r="O607" s="38"/>
      <c r="Q607" s="19"/>
      <c r="R607" s="19"/>
      <c r="S607" s="19"/>
    </row>
    <row r="608" spans="15:19" x14ac:dyDescent="0.25">
      <c r="O608" s="38"/>
      <c r="Q608" s="19"/>
      <c r="R608" s="19"/>
      <c r="S608" s="19"/>
    </row>
    <row r="609" spans="15:19" x14ac:dyDescent="0.25">
      <c r="O609" s="38"/>
      <c r="Q609" s="19"/>
      <c r="R609" s="19"/>
      <c r="S609" s="19"/>
    </row>
    <row r="610" spans="15:19" x14ac:dyDescent="0.25">
      <c r="O610" s="38"/>
      <c r="Q610" s="19"/>
      <c r="R610" s="19"/>
      <c r="S610" s="19"/>
    </row>
    <row r="611" spans="15:19" x14ac:dyDescent="0.25">
      <c r="O611" s="38"/>
      <c r="Q611" s="19"/>
      <c r="R611" s="19"/>
      <c r="S611" s="19"/>
    </row>
    <row r="612" spans="15:19" x14ac:dyDescent="0.25">
      <c r="O612" s="38"/>
      <c r="Q612" s="19"/>
      <c r="R612" s="19"/>
      <c r="S612" s="19"/>
    </row>
    <row r="613" spans="15:19" x14ac:dyDescent="0.25">
      <c r="O613" s="38"/>
      <c r="Q613" s="19"/>
      <c r="R613" s="19"/>
      <c r="S613" s="19"/>
    </row>
    <row r="614" spans="15:19" x14ac:dyDescent="0.25">
      <c r="O614" s="38"/>
      <c r="Q614" s="19"/>
      <c r="R614" s="19"/>
      <c r="S614" s="19"/>
    </row>
    <row r="615" spans="15:19" x14ac:dyDescent="0.25">
      <c r="O615" s="38"/>
      <c r="Q615" s="19"/>
      <c r="R615" s="19"/>
      <c r="S615" s="19"/>
    </row>
    <row r="616" spans="15:19" x14ac:dyDescent="0.25">
      <c r="O616" s="38"/>
      <c r="Q616" s="19"/>
      <c r="R616" s="19"/>
      <c r="S616" s="19"/>
    </row>
    <row r="617" spans="15:19" x14ac:dyDescent="0.25">
      <c r="O617" s="38"/>
      <c r="Q617" s="19"/>
      <c r="R617" s="19"/>
      <c r="S617" s="19"/>
    </row>
    <row r="618" spans="15:19" x14ac:dyDescent="0.25">
      <c r="O618" s="38"/>
      <c r="Q618" s="19"/>
      <c r="R618" s="19"/>
      <c r="S618" s="19"/>
    </row>
    <row r="619" spans="15:19" x14ac:dyDescent="0.25">
      <c r="O619" s="38"/>
      <c r="Q619" s="19"/>
      <c r="R619" s="19"/>
      <c r="S619" s="19"/>
    </row>
    <row r="620" spans="15:19" x14ac:dyDescent="0.25">
      <c r="O620" s="38"/>
      <c r="Q620" s="19"/>
      <c r="R620" s="19"/>
      <c r="S620" s="19"/>
    </row>
    <row r="621" spans="15:19" x14ac:dyDescent="0.25">
      <c r="O621" s="38"/>
      <c r="Q621" s="19"/>
      <c r="R621" s="19"/>
      <c r="S621" s="19"/>
    </row>
    <row r="622" spans="15:19" x14ac:dyDescent="0.25">
      <c r="O622" s="38"/>
      <c r="Q622" s="19"/>
      <c r="R622" s="19"/>
      <c r="S622" s="19"/>
    </row>
    <row r="623" spans="15:19" x14ac:dyDescent="0.25">
      <c r="O623" s="38"/>
      <c r="Q623" s="19"/>
      <c r="R623" s="19"/>
      <c r="S623" s="19"/>
    </row>
    <row r="624" spans="15:19" x14ac:dyDescent="0.25">
      <c r="O624" s="38"/>
      <c r="Q624" s="19"/>
      <c r="R624" s="19"/>
      <c r="S624" s="19"/>
    </row>
    <row r="625" spans="15:19" x14ac:dyDescent="0.25">
      <c r="O625" s="38"/>
      <c r="Q625" s="19"/>
      <c r="R625" s="19"/>
      <c r="S625" s="19"/>
    </row>
    <row r="626" spans="15:19" x14ac:dyDescent="0.25">
      <c r="O626" s="38"/>
      <c r="Q626" s="19"/>
      <c r="R626" s="19"/>
      <c r="S626" s="19"/>
    </row>
    <row r="627" spans="15:19" x14ac:dyDescent="0.25">
      <c r="O627" s="38"/>
      <c r="Q627" s="19"/>
      <c r="R627" s="19"/>
      <c r="S627" s="19"/>
    </row>
    <row r="628" spans="15:19" x14ac:dyDescent="0.25">
      <c r="O628" s="38"/>
      <c r="Q628" s="19"/>
      <c r="R628" s="19"/>
      <c r="S628" s="19"/>
    </row>
    <row r="629" spans="15:19" x14ac:dyDescent="0.25">
      <c r="O629" s="38"/>
      <c r="Q629" s="19"/>
      <c r="R629" s="19"/>
      <c r="S629" s="19"/>
    </row>
    <row r="630" spans="15:19" x14ac:dyDescent="0.25">
      <c r="O630" s="38"/>
      <c r="Q630" s="19"/>
      <c r="R630" s="19"/>
      <c r="S630" s="19"/>
    </row>
    <row r="631" spans="15:19" x14ac:dyDescent="0.25">
      <c r="O631" s="38"/>
      <c r="Q631" s="19"/>
      <c r="R631" s="19"/>
      <c r="S631" s="19"/>
    </row>
    <row r="632" spans="15:19" x14ac:dyDescent="0.25">
      <c r="O632" s="38"/>
      <c r="Q632" s="19"/>
      <c r="R632" s="19"/>
      <c r="S632" s="19"/>
    </row>
    <row r="633" spans="15:19" x14ac:dyDescent="0.25">
      <c r="O633" s="38"/>
      <c r="Q633" s="19"/>
      <c r="R633" s="19"/>
      <c r="S633" s="19"/>
    </row>
    <row r="634" spans="15:19" x14ac:dyDescent="0.25">
      <c r="O634" s="38"/>
      <c r="Q634" s="19"/>
      <c r="R634" s="19"/>
      <c r="S634" s="19"/>
    </row>
    <row r="635" spans="15:19" x14ac:dyDescent="0.25">
      <c r="O635" s="38"/>
      <c r="Q635" s="19"/>
      <c r="R635" s="19"/>
      <c r="S635" s="19"/>
    </row>
    <row r="636" spans="15:19" x14ac:dyDescent="0.25">
      <c r="O636" s="38"/>
      <c r="Q636" s="19"/>
      <c r="R636" s="19"/>
      <c r="S636" s="19"/>
    </row>
    <row r="637" spans="15:19" x14ac:dyDescent="0.25">
      <c r="O637" s="38"/>
      <c r="Q637" s="19"/>
      <c r="R637" s="19"/>
      <c r="S637" s="19"/>
    </row>
    <row r="638" spans="15:19" x14ac:dyDescent="0.25">
      <c r="O638" s="38"/>
      <c r="Q638" s="19"/>
      <c r="R638" s="19"/>
      <c r="S638" s="19"/>
    </row>
    <row r="639" spans="15:19" x14ac:dyDescent="0.25">
      <c r="O639" s="38"/>
      <c r="Q639" s="19"/>
      <c r="R639" s="19"/>
      <c r="S639" s="19"/>
    </row>
    <row r="640" spans="15:19" x14ac:dyDescent="0.25">
      <c r="O640" s="38"/>
      <c r="Q640" s="19"/>
      <c r="R640" s="19"/>
      <c r="S640" s="19"/>
    </row>
    <row r="641" spans="15:19" x14ac:dyDescent="0.25">
      <c r="O641" s="38"/>
      <c r="Q641" s="19"/>
      <c r="R641" s="19"/>
      <c r="S641" s="19"/>
    </row>
    <row r="642" spans="15:19" x14ac:dyDescent="0.25">
      <c r="O642" s="38"/>
      <c r="Q642" s="19"/>
      <c r="R642" s="19"/>
      <c r="S642" s="19"/>
    </row>
    <row r="643" spans="15:19" x14ac:dyDescent="0.25">
      <c r="O643" s="38"/>
      <c r="Q643" s="19"/>
      <c r="R643" s="19"/>
      <c r="S643" s="19"/>
    </row>
    <row r="644" spans="15:19" x14ac:dyDescent="0.25">
      <c r="O644" s="38"/>
      <c r="Q644" s="19"/>
      <c r="R644" s="19"/>
      <c r="S644" s="19"/>
    </row>
    <row r="645" spans="15:19" x14ac:dyDescent="0.25">
      <c r="O645" s="38"/>
      <c r="Q645" s="19"/>
      <c r="R645" s="19"/>
      <c r="S645" s="19"/>
    </row>
    <row r="646" spans="15:19" x14ac:dyDescent="0.25">
      <c r="O646" s="38"/>
      <c r="Q646" s="19"/>
      <c r="R646" s="19"/>
      <c r="S646" s="19"/>
    </row>
    <row r="647" spans="15:19" x14ac:dyDescent="0.25">
      <c r="O647" s="38"/>
      <c r="Q647" s="19"/>
      <c r="R647" s="19"/>
      <c r="S647" s="19"/>
    </row>
    <row r="648" spans="15:19" x14ac:dyDescent="0.25">
      <c r="O648" s="38"/>
      <c r="Q648" s="19"/>
      <c r="R648" s="19"/>
      <c r="S648" s="19"/>
    </row>
    <row r="649" spans="15:19" x14ac:dyDescent="0.25">
      <c r="O649" s="38"/>
      <c r="Q649" s="19"/>
      <c r="R649" s="19"/>
      <c r="S649" s="19"/>
    </row>
    <row r="650" spans="15:19" x14ac:dyDescent="0.25">
      <c r="O650" s="38"/>
      <c r="Q650" s="19"/>
      <c r="R650" s="19"/>
      <c r="S650" s="19"/>
    </row>
    <row r="651" spans="15:19" x14ac:dyDescent="0.25">
      <c r="O651" s="38"/>
      <c r="Q651" s="19"/>
      <c r="R651" s="19"/>
      <c r="S651" s="19"/>
    </row>
    <row r="652" spans="15:19" x14ac:dyDescent="0.25">
      <c r="O652" s="38"/>
      <c r="Q652" s="19"/>
      <c r="R652" s="19"/>
      <c r="S652" s="19"/>
    </row>
    <row r="653" spans="15:19" x14ac:dyDescent="0.25">
      <c r="O653" s="38"/>
      <c r="Q653" s="19"/>
      <c r="R653" s="19"/>
      <c r="S653" s="19"/>
    </row>
    <row r="654" spans="15:19" x14ac:dyDescent="0.25">
      <c r="O654" s="38"/>
      <c r="Q654" s="19"/>
      <c r="R654" s="19"/>
      <c r="S654" s="19"/>
    </row>
    <row r="655" spans="15:19" x14ac:dyDescent="0.25">
      <c r="O655" s="38"/>
      <c r="Q655" s="19"/>
      <c r="R655" s="19"/>
      <c r="S655" s="19"/>
    </row>
    <row r="656" spans="15:19" x14ac:dyDescent="0.25">
      <c r="O656" s="38"/>
      <c r="Q656" s="19"/>
      <c r="R656" s="19"/>
      <c r="S656" s="19"/>
    </row>
    <row r="657" spans="15:19" x14ac:dyDescent="0.25">
      <c r="O657" s="38"/>
      <c r="Q657" s="19"/>
      <c r="R657" s="19"/>
      <c r="S657" s="19"/>
    </row>
    <row r="658" spans="15:19" x14ac:dyDescent="0.25">
      <c r="O658" s="38"/>
      <c r="Q658" s="19"/>
      <c r="R658" s="19"/>
      <c r="S658" s="19"/>
    </row>
    <row r="659" spans="15:19" x14ac:dyDescent="0.25">
      <c r="O659" s="38"/>
      <c r="Q659" s="19"/>
      <c r="R659" s="19"/>
      <c r="S659" s="19"/>
    </row>
    <row r="660" spans="15:19" x14ac:dyDescent="0.25">
      <c r="O660" s="38"/>
      <c r="Q660" s="19"/>
      <c r="R660" s="19"/>
      <c r="S660" s="19"/>
    </row>
    <row r="661" spans="15:19" x14ac:dyDescent="0.25">
      <c r="O661" s="38"/>
      <c r="Q661" s="19"/>
      <c r="R661" s="19"/>
      <c r="S661" s="19"/>
    </row>
    <row r="662" spans="15:19" x14ac:dyDescent="0.25">
      <c r="O662" s="38"/>
      <c r="Q662" s="19"/>
      <c r="R662" s="19"/>
      <c r="S662" s="19"/>
    </row>
    <row r="663" spans="15:19" x14ac:dyDescent="0.25">
      <c r="O663" s="38"/>
      <c r="Q663" s="19"/>
      <c r="R663" s="19"/>
      <c r="S663" s="19"/>
    </row>
    <row r="664" spans="15:19" x14ac:dyDescent="0.25">
      <c r="O664" s="38"/>
      <c r="Q664" s="19"/>
      <c r="R664" s="19"/>
      <c r="S664" s="19"/>
    </row>
    <row r="665" spans="15:19" x14ac:dyDescent="0.25">
      <c r="O665" s="38"/>
      <c r="Q665" s="19"/>
      <c r="R665" s="19"/>
      <c r="S665" s="19"/>
    </row>
    <row r="666" spans="15:19" x14ac:dyDescent="0.25">
      <c r="O666" s="38"/>
      <c r="Q666" s="19"/>
      <c r="R666" s="19"/>
      <c r="S666" s="19"/>
    </row>
    <row r="667" spans="15:19" x14ac:dyDescent="0.25">
      <c r="O667" s="38"/>
      <c r="Q667" s="19"/>
      <c r="R667" s="19"/>
      <c r="S667" s="19"/>
    </row>
    <row r="668" spans="15:19" x14ac:dyDescent="0.25">
      <c r="O668" s="38"/>
      <c r="Q668" s="19"/>
      <c r="R668" s="19"/>
      <c r="S668" s="19"/>
    </row>
    <row r="669" spans="15:19" x14ac:dyDescent="0.25">
      <c r="O669" s="38"/>
      <c r="Q669" s="19"/>
      <c r="R669" s="19"/>
      <c r="S669" s="19"/>
    </row>
    <row r="670" spans="15:19" x14ac:dyDescent="0.25">
      <c r="O670" s="38"/>
      <c r="Q670" s="19"/>
      <c r="R670" s="19"/>
      <c r="S670" s="19"/>
    </row>
    <row r="671" spans="15:19" x14ac:dyDescent="0.25">
      <c r="O671" s="38"/>
      <c r="Q671" s="19"/>
      <c r="R671" s="19"/>
      <c r="S671" s="19"/>
    </row>
    <row r="672" spans="15:19" x14ac:dyDescent="0.25">
      <c r="O672" s="38"/>
      <c r="Q672" s="19"/>
      <c r="R672" s="19"/>
      <c r="S672" s="19"/>
    </row>
    <row r="673" spans="15:19" x14ac:dyDescent="0.25">
      <c r="O673" s="38"/>
      <c r="Q673" s="19"/>
      <c r="R673" s="19"/>
      <c r="S673" s="19"/>
    </row>
    <row r="674" spans="15:19" x14ac:dyDescent="0.25">
      <c r="O674" s="38"/>
      <c r="Q674" s="19"/>
      <c r="R674" s="19"/>
      <c r="S674" s="19"/>
    </row>
    <row r="675" spans="15:19" x14ac:dyDescent="0.25">
      <c r="O675" s="38"/>
      <c r="Q675" s="19"/>
      <c r="R675" s="19"/>
      <c r="S675" s="19"/>
    </row>
    <row r="676" spans="15:19" x14ac:dyDescent="0.25">
      <c r="O676" s="38"/>
      <c r="Q676" s="19"/>
      <c r="R676" s="19"/>
      <c r="S676" s="19"/>
    </row>
    <row r="677" spans="15:19" x14ac:dyDescent="0.25">
      <c r="O677" s="38"/>
      <c r="Q677" s="19"/>
      <c r="R677" s="19"/>
      <c r="S677" s="19"/>
    </row>
    <row r="678" spans="15:19" x14ac:dyDescent="0.25">
      <c r="O678" s="38"/>
      <c r="Q678" s="19"/>
      <c r="R678" s="19"/>
      <c r="S678" s="19"/>
    </row>
    <row r="679" spans="15:19" x14ac:dyDescent="0.25">
      <c r="O679" s="38"/>
      <c r="Q679" s="19"/>
      <c r="R679" s="19"/>
      <c r="S679" s="19"/>
    </row>
    <row r="680" spans="15:19" x14ac:dyDescent="0.25">
      <c r="O680" s="38"/>
      <c r="Q680" s="19"/>
      <c r="R680" s="19"/>
      <c r="S680" s="19"/>
    </row>
    <row r="681" spans="15:19" x14ac:dyDescent="0.25">
      <c r="O681" s="38"/>
      <c r="Q681" s="19"/>
      <c r="R681" s="19"/>
      <c r="S681" s="19"/>
    </row>
    <row r="682" spans="15:19" x14ac:dyDescent="0.25">
      <c r="O682" s="38"/>
      <c r="Q682" s="19"/>
      <c r="R682" s="19"/>
      <c r="S682" s="19"/>
    </row>
    <row r="683" spans="15:19" x14ac:dyDescent="0.25">
      <c r="O683" s="38"/>
      <c r="Q683" s="19"/>
      <c r="R683" s="19"/>
      <c r="S683" s="19"/>
    </row>
    <row r="684" spans="15:19" x14ac:dyDescent="0.25">
      <c r="O684" s="38"/>
      <c r="Q684" s="19"/>
      <c r="R684" s="19"/>
      <c r="S684" s="19"/>
    </row>
    <row r="685" spans="15:19" x14ac:dyDescent="0.25">
      <c r="O685" s="38"/>
      <c r="Q685" s="19"/>
      <c r="R685" s="19"/>
      <c r="S685" s="19"/>
    </row>
    <row r="686" spans="15:19" x14ac:dyDescent="0.25">
      <c r="O686" s="38"/>
      <c r="Q686" s="19"/>
      <c r="R686" s="19"/>
      <c r="S686" s="19"/>
    </row>
    <row r="687" spans="15:19" x14ac:dyDescent="0.25">
      <c r="O687" s="38"/>
      <c r="Q687" s="19"/>
      <c r="R687" s="19"/>
      <c r="S687" s="19"/>
    </row>
    <row r="688" spans="15:19" x14ac:dyDescent="0.25">
      <c r="O688" s="38"/>
      <c r="Q688" s="19"/>
      <c r="R688" s="19"/>
      <c r="S688" s="19"/>
    </row>
    <row r="689" spans="15:19" x14ac:dyDescent="0.25">
      <c r="O689" s="38"/>
      <c r="Q689" s="19"/>
      <c r="R689" s="19"/>
      <c r="S689" s="19"/>
    </row>
    <row r="690" spans="15:19" x14ac:dyDescent="0.25">
      <c r="O690" s="38"/>
      <c r="Q690" s="19"/>
      <c r="R690" s="19"/>
      <c r="S690" s="19"/>
    </row>
    <row r="691" spans="15:19" x14ac:dyDescent="0.25">
      <c r="O691" s="38"/>
      <c r="Q691" s="19"/>
      <c r="R691" s="19"/>
      <c r="S691" s="19"/>
    </row>
    <row r="692" spans="15:19" x14ac:dyDescent="0.25">
      <c r="O692" s="38"/>
      <c r="Q692" s="19"/>
      <c r="R692" s="19"/>
      <c r="S692" s="19"/>
    </row>
    <row r="693" spans="15:19" x14ac:dyDescent="0.25">
      <c r="O693" s="38"/>
      <c r="Q693" s="19"/>
      <c r="R693" s="19"/>
      <c r="S693" s="19"/>
    </row>
    <row r="694" spans="15:19" x14ac:dyDescent="0.25">
      <c r="O694" s="38"/>
      <c r="Q694" s="19"/>
      <c r="R694" s="19"/>
      <c r="S694" s="19"/>
    </row>
    <row r="695" spans="15:19" x14ac:dyDescent="0.25">
      <c r="O695" s="38"/>
      <c r="Q695" s="19"/>
      <c r="R695" s="19"/>
      <c r="S695" s="19"/>
    </row>
    <row r="696" spans="15:19" x14ac:dyDescent="0.25">
      <c r="O696" s="38"/>
      <c r="Q696" s="19"/>
      <c r="R696" s="19"/>
      <c r="S696" s="19"/>
    </row>
    <row r="697" spans="15:19" x14ac:dyDescent="0.25">
      <c r="O697" s="38"/>
      <c r="Q697" s="19"/>
      <c r="R697" s="19"/>
      <c r="S697" s="19"/>
    </row>
    <row r="698" spans="15:19" x14ac:dyDescent="0.25">
      <c r="O698" s="38"/>
      <c r="Q698" s="19"/>
      <c r="R698" s="19"/>
      <c r="S698" s="19"/>
    </row>
    <row r="699" spans="15:19" x14ac:dyDescent="0.25">
      <c r="O699" s="38"/>
      <c r="Q699" s="19"/>
      <c r="R699" s="19"/>
      <c r="S699" s="19"/>
    </row>
    <row r="700" spans="15:19" x14ac:dyDescent="0.25">
      <c r="O700" s="38"/>
      <c r="Q700" s="19"/>
      <c r="R700" s="19"/>
      <c r="S700" s="19"/>
    </row>
    <row r="701" spans="15:19" x14ac:dyDescent="0.25">
      <c r="O701" s="38"/>
      <c r="Q701" s="19"/>
      <c r="R701" s="19"/>
      <c r="S701" s="19"/>
    </row>
    <row r="702" spans="15:19" x14ac:dyDescent="0.25">
      <c r="O702" s="38"/>
      <c r="Q702" s="19"/>
      <c r="R702" s="19"/>
      <c r="S702" s="19"/>
    </row>
    <row r="703" spans="15:19" x14ac:dyDescent="0.25">
      <c r="O703" s="38"/>
      <c r="Q703" s="19"/>
      <c r="R703" s="19"/>
      <c r="S703" s="19"/>
    </row>
    <row r="704" spans="15:19" x14ac:dyDescent="0.25">
      <c r="O704" s="38"/>
      <c r="Q704" s="19"/>
      <c r="R704" s="19"/>
      <c r="S704" s="19"/>
    </row>
    <row r="705" spans="15:19" x14ac:dyDescent="0.25">
      <c r="O705" s="38"/>
      <c r="Q705" s="19"/>
      <c r="R705" s="19"/>
      <c r="S705" s="19"/>
    </row>
    <row r="706" spans="15:19" x14ac:dyDescent="0.25">
      <c r="O706" s="38"/>
      <c r="Q706" s="19"/>
      <c r="R706" s="19"/>
      <c r="S706" s="19"/>
    </row>
    <row r="707" spans="15:19" x14ac:dyDescent="0.25">
      <c r="O707" s="38"/>
      <c r="Q707" s="19"/>
      <c r="R707" s="19"/>
      <c r="S707" s="19"/>
    </row>
    <row r="708" spans="15:19" x14ac:dyDescent="0.25">
      <c r="O708" s="38"/>
      <c r="Q708" s="19"/>
      <c r="R708" s="19"/>
      <c r="S708" s="19"/>
    </row>
    <row r="709" spans="15:19" x14ac:dyDescent="0.25">
      <c r="O709" s="38"/>
      <c r="Q709" s="19"/>
      <c r="R709" s="19"/>
      <c r="S709" s="19"/>
    </row>
    <row r="710" spans="15:19" x14ac:dyDescent="0.25">
      <c r="O710" s="38"/>
      <c r="Q710" s="19"/>
      <c r="R710" s="19"/>
      <c r="S710" s="19"/>
    </row>
    <row r="711" spans="15:19" x14ac:dyDescent="0.25">
      <c r="O711" s="38"/>
      <c r="Q711" s="19"/>
      <c r="R711" s="19"/>
      <c r="S711" s="19"/>
    </row>
    <row r="712" spans="15:19" x14ac:dyDescent="0.25">
      <c r="O712" s="38"/>
      <c r="Q712" s="19"/>
      <c r="R712" s="19"/>
      <c r="S712" s="19"/>
    </row>
    <row r="713" spans="15:19" x14ac:dyDescent="0.25">
      <c r="O713" s="38"/>
      <c r="Q713" s="19"/>
      <c r="R713" s="19"/>
      <c r="S713" s="19"/>
    </row>
    <row r="714" spans="15:19" x14ac:dyDescent="0.25">
      <c r="O714" s="38"/>
      <c r="Q714" s="19"/>
      <c r="R714" s="19"/>
      <c r="S714" s="19"/>
    </row>
    <row r="715" spans="15:19" x14ac:dyDescent="0.25">
      <c r="O715" s="38"/>
      <c r="Q715" s="19"/>
      <c r="R715" s="19"/>
      <c r="S715" s="19"/>
    </row>
    <row r="716" spans="15:19" x14ac:dyDescent="0.25">
      <c r="O716" s="38"/>
      <c r="Q716" s="19"/>
      <c r="R716" s="19"/>
      <c r="S716" s="19"/>
    </row>
    <row r="717" spans="15:19" x14ac:dyDescent="0.25">
      <c r="O717" s="38"/>
      <c r="Q717" s="19"/>
      <c r="R717" s="19"/>
      <c r="S717" s="19"/>
    </row>
    <row r="718" spans="15:19" x14ac:dyDescent="0.25">
      <c r="O718" s="38"/>
      <c r="Q718" s="19"/>
      <c r="R718" s="19"/>
      <c r="S718" s="19"/>
    </row>
    <row r="719" spans="15:19" x14ac:dyDescent="0.25">
      <c r="O719" s="38"/>
      <c r="Q719" s="19"/>
      <c r="R719" s="19"/>
      <c r="S719" s="19"/>
    </row>
    <row r="720" spans="15:19" x14ac:dyDescent="0.25">
      <c r="O720" s="38"/>
      <c r="Q720" s="19"/>
      <c r="R720" s="19"/>
      <c r="S720" s="19"/>
    </row>
    <row r="721" spans="15:19" x14ac:dyDescent="0.25">
      <c r="O721" s="38"/>
      <c r="Q721" s="19"/>
      <c r="R721" s="19"/>
      <c r="S721" s="19"/>
    </row>
    <row r="722" spans="15:19" x14ac:dyDescent="0.25">
      <c r="O722" s="38"/>
      <c r="Q722" s="19"/>
      <c r="R722" s="19"/>
      <c r="S722" s="19"/>
    </row>
    <row r="723" spans="15:19" x14ac:dyDescent="0.25">
      <c r="O723" s="38"/>
      <c r="Q723" s="19"/>
      <c r="R723" s="19"/>
      <c r="S723" s="19"/>
    </row>
    <row r="724" spans="15:19" x14ac:dyDescent="0.25">
      <c r="O724" s="38"/>
      <c r="Q724" s="19"/>
      <c r="R724" s="19"/>
      <c r="S724" s="19"/>
    </row>
    <row r="725" spans="15:19" x14ac:dyDescent="0.25">
      <c r="O725" s="38"/>
      <c r="Q725" s="19"/>
      <c r="R725" s="19"/>
      <c r="S725" s="19"/>
    </row>
    <row r="726" spans="15:19" x14ac:dyDescent="0.25">
      <c r="O726" s="38"/>
      <c r="Q726" s="19"/>
      <c r="R726" s="19"/>
      <c r="S726" s="19"/>
    </row>
    <row r="727" spans="15:19" x14ac:dyDescent="0.25">
      <c r="O727" s="38"/>
      <c r="Q727" s="19"/>
      <c r="R727" s="19"/>
      <c r="S727" s="19"/>
    </row>
    <row r="728" spans="15:19" x14ac:dyDescent="0.25">
      <c r="O728" s="38"/>
      <c r="Q728" s="19"/>
      <c r="R728" s="19"/>
      <c r="S728" s="19"/>
    </row>
    <row r="729" spans="15:19" x14ac:dyDescent="0.25">
      <c r="O729" s="38"/>
      <c r="Q729" s="19"/>
      <c r="R729" s="19"/>
      <c r="S729" s="19"/>
    </row>
    <row r="730" spans="15:19" x14ac:dyDescent="0.25">
      <c r="O730" s="38"/>
      <c r="Q730" s="19"/>
      <c r="R730" s="19"/>
      <c r="S730" s="19"/>
    </row>
    <row r="731" spans="15:19" x14ac:dyDescent="0.25">
      <c r="O731" s="38"/>
      <c r="Q731" s="19"/>
      <c r="R731" s="19"/>
      <c r="S731" s="19"/>
    </row>
    <row r="732" spans="15:19" x14ac:dyDescent="0.25">
      <c r="O732" s="38"/>
      <c r="Q732" s="19"/>
      <c r="R732" s="19"/>
      <c r="S732" s="19"/>
    </row>
    <row r="733" spans="15:19" x14ac:dyDescent="0.25">
      <c r="O733" s="38"/>
      <c r="Q733" s="19"/>
      <c r="R733" s="19"/>
      <c r="S733" s="19"/>
    </row>
    <row r="734" spans="15:19" x14ac:dyDescent="0.25">
      <c r="O734" s="38"/>
      <c r="Q734" s="19"/>
      <c r="R734" s="19"/>
      <c r="S734" s="19"/>
    </row>
    <row r="735" spans="15:19" x14ac:dyDescent="0.25">
      <c r="O735" s="38"/>
      <c r="Q735" s="19"/>
      <c r="R735" s="19"/>
      <c r="S735" s="19"/>
    </row>
    <row r="736" spans="15:19" x14ac:dyDescent="0.25">
      <c r="O736" s="38"/>
      <c r="Q736" s="19"/>
      <c r="R736" s="19"/>
      <c r="S736" s="19"/>
    </row>
    <row r="737" spans="15:19" x14ac:dyDescent="0.25">
      <c r="O737" s="38"/>
      <c r="Q737" s="19"/>
      <c r="R737" s="19"/>
      <c r="S737" s="19"/>
    </row>
    <row r="738" spans="15:19" x14ac:dyDescent="0.25">
      <c r="O738" s="38"/>
      <c r="Q738" s="19"/>
      <c r="R738" s="19"/>
      <c r="S738" s="19"/>
    </row>
    <row r="739" spans="15:19" x14ac:dyDescent="0.25">
      <c r="O739" s="38"/>
      <c r="Q739" s="19"/>
      <c r="R739" s="19"/>
      <c r="S739" s="19"/>
    </row>
    <row r="740" spans="15:19" x14ac:dyDescent="0.25">
      <c r="O740" s="38"/>
      <c r="Q740" s="19"/>
      <c r="R740" s="19"/>
      <c r="S740" s="19"/>
    </row>
    <row r="741" spans="15:19" x14ac:dyDescent="0.25">
      <c r="O741" s="38"/>
      <c r="Q741" s="19"/>
      <c r="R741" s="19"/>
      <c r="S741" s="19"/>
    </row>
    <row r="742" spans="15:19" x14ac:dyDescent="0.25">
      <c r="O742" s="38"/>
      <c r="Q742" s="19"/>
      <c r="R742" s="19"/>
      <c r="S742" s="19"/>
    </row>
    <row r="743" spans="15:19" x14ac:dyDescent="0.25">
      <c r="O743" s="38"/>
      <c r="Q743" s="19"/>
      <c r="R743" s="19"/>
      <c r="S743" s="19"/>
    </row>
    <row r="744" spans="15:19" x14ac:dyDescent="0.25">
      <c r="O744" s="38"/>
      <c r="Q744" s="19"/>
      <c r="R744" s="19"/>
      <c r="S744" s="19"/>
    </row>
    <row r="745" spans="15:19" x14ac:dyDescent="0.25">
      <c r="O745" s="38"/>
      <c r="Q745" s="19"/>
      <c r="R745" s="19"/>
      <c r="S745" s="19"/>
    </row>
    <row r="746" spans="15:19" x14ac:dyDescent="0.25">
      <c r="O746" s="38"/>
      <c r="Q746" s="19"/>
      <c r="R746" s="19"/>
      <c r="S746" s="19"/>
    </row>
    <row r="747" spans="15:19" x14ac:dyDescent="0.25">
      <c r="O747" s="38"/>
      <c r="Q747" s="19"/>
      <c r="R747" s="19"/>
      <c r="S747" s="19"/>
    </row>
    <row r="748" spans="15:19" x14ac:dyDescent="0.25">
      <c r="O748" s="38"/>
      <c r="Q748" s="19"/>
      <c r="R748" s="19"/>
      <c r="S748" s="19"/>
    </row>
    <row r="749" spans="15:19" x14ac:dyDescent="0.25">
      <c r="O749" s="38"/>
      <c r="Q749" s="19"/>
      <c r="R749" s="19"/>
      <c r="S749" s="19"/>
    </row>
  </sheetData>
  <mergeCells count="1">
    <mergeCell ref="A5:O5"/>
  </mergeCells>
  <conditionalFormatting sqref="A10:A17 M10:N17">
    <cfRule type="expression" dxfId="22" priority="5" stopIfTrue="1">
      <formula>#REF!&gt;0</formula>
    </cfRule>
    <cfRule type="expression" dxfId="21" priority="6" stopIfTrue="1">
      <formula>LEFT(#REF!,3)="TIR"</formula>
    </cfRule>
  </conditionalFormatting>
  <conditionalFormatting sqref="B10:I17 O10:O17">
    <cfRule type="expression" dxfId="20" priority="7" stopIfTrue="1">
      <formula>LEFT(#REF!,3)="TIR"</formula>
    </cfRule>
  </conditionalFormatting>
  <conditionalFormatting sqref="J10:L17 P1:P5 P18:P65503">
    <cfRule type="expression" dxfId="19" priority="11" stopIfTrue="1">
      <formula>LEFT(#REF!,3)="TIR"</formula>
    </cfRule>
  </conditionalFormatting>
  <conditionalFormatting sqref="K10:K17">
    <cfRule type="expression" dxfId="18" priority="3" stopIfTrue="1">
      <formula>#REF!&gt;0</formula>
    </cfRule>
    <cfRule type="expression" dxfId="17" priority="4" stopIfTrue="1">
      <formula>LEFT(#REF!,3)="TIR"</formula>
    </cfRule>
  </conditionalFormatting>
  <conditionalFormatting sqref="P5:Y5">
    <cfRule type="expression" dxfId="16" priority="9" stopIfTrue="1">
      <formula>LEFT(#REF!,3)="TIR"</formula>
    </cfRule>
  </conditionalFormatting>
  <dataValidations count="1">
    <dataValidation allowBlank="1" showInputMessage="1" showErrorMessage="1" sqref="B6:O6 A9" xr:uid="{00000000-0002-0000-1B00-000000000000}"/>
  </dataValidations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8"/>
  <sheetViews>
    <sheetView rightToLeft="1" workbookViewId="0"/>
  </sheetViews>
  <sheetFormatPr defaultColWidth="9.109375" defaultRowHeight="13.2" x14ac:dyDescent="0.25"/>
  <cols>
    <col min="1" max="1" width="26.5546875" style="10" bestFit="1" customWidth="1"/>
    <col min="2" max="5" width="12.5546875" style="10" customWidth="1"/>
    <col min="6" max="6" width="13.6640625" style="10" customWidth="1"/>
    <col min="7" max="7" width="12.5546875" style="10" customWidth="1"/>
    <col min="8" max="8" width="10.5546875" style="9" customWidth="1"/>
    <col min="9" max="9" width="12.6640625" style="10" customWidth="1"/>
    <col min="10" max="10" width="16.109375" style="11" customWidth="1"/>
    <col min="11" max="11" width="11.5546875" style="11" bestFit="1" customWidth="1"/>
    <col min="12" max="12" width="14" style="11" customWidth="1"/>
    <col min="13" max="13" width="21.109375" style="11" customWidth="1"/>
    <col min="14" max="14" width="24.33203125" style="11" customWidth="1"/>
    <col min="15" max="15" width="22.6640625" style="37" customWidth="1"/>
    <col min="16" max="16" width="12.109375" style="13" customWidth="1"/>
    <col min="17" max="17" width="10" style="20" customWidth="1"/>
    <col min="18" max="18" width="11.44140625" style="20" bestFit="1" customWidth="1"/>
    <col min="19" max="19" width="7.33203125" style="20" customWidth="1"/>
    <col min="20" max="21" width="10.5546875" style="13" customWidth="1"/>
    <col min="22" max="22" width="11.44140625" style="15" customWidth="1"/>
    <col min="23" max="23" width="15.44140625" style="15" customWidth="1"/>
    <col min="24" max="16384" width="9.109375" style="15"/>
  </cols>
  <sheetData>
    <row r="1" spans="1:25" s="7" customFormat="1" x14ac:dyDescent="0.25">
      <c r="A1" s="7" t="s">
        <v>237</v>
      </c>
      <c r="B1" s="8" t="s">
        <v>247</v>
      </c>
      <c r="C1" s="8"/>
      <c r="D1" s="8"/>
      <c r="E1" s="8"/>
      <c r="F1" s="8"/>
      <c r="G1" s="8"/>
      <c r="H1" s="9"/>
      <c r="I1" s="10"/>
      <c r="J1" s="11"/>
      <c r="K1" s="11"/>
      <c r="L1" s="11"/>
      <c r="M1" s="11"/>
      <c r="N1" s="11"/>
      <c r="O1" s="37"/>
      <c r="P1" s="13"/>
      <c r="Q1" s="14"/>
      <c r="R1" s="14"/>
      <c r="S1" s="14"/>
      <c r="T1" s="13"/>
      <c r="U1" s="13"/>
      <c r="V1" s="15"/>
    </row>
    <row r="2" spans="1:25" s="7" customFormat="1" x14ac:dyDescent="0.25">
      <c r="A2" s="10" t="s">
        <v>238</v>
      </c>
      <c r="B2" s="10" t="s">
        <v>150</v>
      </c>
      <c r="C2" s="10"/>
      <c r="D2" s="10"/>
      <c r="E2" s="10"/>
      <c r="F2" s="10"/>
      <c r="G2" s="10"/>
      <c r="H2" s="9"/>
      <c r="I2" s="10"/>
      <c r="J2" s="11"/>
      <c r="K2" s="11"/>
      <c r="L2" s="11"/>
      <c r="M2" s="11"/>
      <c r="N2" s="11"/>
      <c r="O2" s="37"/>
      <c r="P2" s="13"/>
      <c r="Q2" s="14"/>
      <c r="R2" s="14"/>
      <c r="S2" s="14"/>
      <c r="T2" s="13"/>
      <c r="U2" s="13"/>
      <c r="V2" s="15"/>
    </row>
    <row r="3" spans="1:25" s="7" customFormat="1" x14ac:dyDescent="0.25">
      <c r="A3" s="10" t="s">
        <v>239</v>
      </c>
      <c r="B3" s="10" t="s">
        <v>240</v>
      </c>
      <c r="C3" s="10"/>
      <c r="D3" s="10"/>
      <c r="E3" s="10"/>
      <c r="F3" s="10"/>
      <c r="G3" s="10"/>
      <c r="H3" s="9"/>
      <c r="I3" s="10"/>
      <c r="J3" s="11"/>
      <c r="K3" s="11"/>
      <c r="L3" s="11"/>
      <c r="M3" s="11"/>
      <c r="N3" s="11"/>
      <c r="O3" s="37"/>
      <c r="P3" s="13"/>
      <c r="Q3" s="14"/>
      <c r="R3" s="14"/>
      <c r="S3" s="14"/>
      <c r="T3" s="13"/>
      <c r="U3" s="13"/>
      <c r="V3" s="15"/>
    </row>
    <row r="4" spans="1:25" s="7" customFormat="1" ht="13.8" thickBot="1" x14ac:dyDescent="0.3">
      <c r="A4" s="10" t="s">
        <v>241</v>
      </c>
      <c r="B4" s="10" t="s">
        <v>249</v>
      </c>
      <c r="C4" s="10"/>
      <c r="D4" s="10"/>
      <c r="E4" s="10"/>
      <c r="F4" s="10"/>
      <c r="G4" s="10"/>
      <c r="H4" s="9"/>
      <c r="I4" s="10"/>
      <c r="J4" s="11"/>
      <c r="K4" s="11"/>
      <c r="L4" s="11"/>
      <c r="M4" s="11"/>
      <c r="N4" s="11"/>
      <c r="O4" s="37"/>
      <c r="P4" s="13"/>
      <c r="Q4" s="14"/>
      <c r="R4" s="14"/>
      <c r="S4" s="14"/>
      <c r="T4" s="13"/>
      <c r="U4" s="13"/>
      <c r="V4" s="15"/>
    </row>
    <row r="5" spans="1:25" s="7" customFormat="1" x14ac:dyDescent="0.25">
      <c r="A5" s="233" t="s">
        <v>117</v>
      </c>
      <c r="B5" s="234"/>
      <c r="C5" s="234"/>
      <c r="D5" s="234"/>
      <c r="E5" s="234"/>
      <c r="F5" s="234"/>
      <c r="G5" s="234"/>
      <c r="H5" s="234"/>
      <c r="I5" s="234"/>
      <c r="J5" s="234"/>
      <c r="K5" s="234"/>
      <c r="L5" s="234"/>
      <c r="M5" s="234"/>
      <c r="N5" s="234"/>
      <c r="O5" s="235"/>
      <c r="P5" s="13"/>
      <c r="Q5" s="13"/>
      <c r="R5" s="13"/>
      <c r="S5" s="13"/>
      <c r="T5" s="13"/>
      <c r="U5" s="13"/>
      <c r="V5" s="13"/>
      <c r="W5" s="13"/>
      <c r="X5" s="13"/>
      <c r="Y5" s="13"/>
    </row>
    <row r="6" spans="1:25" s="7" customFormat="1" x14ac:dyDescent="0.25">
      <c r="A6" s="80" t="s">
        <v>157</v>
      </c>
      <c r="B6" s="87" t="s">
        <v>99</v>
      </c>
      <c r="C6" s="88" t="s">
        <v>19</v>
      </c>
      <c r="D6" s="88" t="s">
        <v>70</v>
      </c>
      <c r="E6" s="88" t="s">
        <v>5</v>
      </c>
      <c r="F6" s="88" t="s">
        <v>13</v>
      </c>
      <c r="G6" s="88" t="s">
        <v>14</v>
      </c>
      <c r="H6" s="89" t="s">
        <v>6</v>
      </c>
      <c r="I6" s="90" t="s">
        <v>100</v>
      </c>
      <c r="J6" s="90" t="s">
        <v>101</v>
      </c>
      <c r="K6" s="90" t="s">
        <v>67</v>
      </c>
      <c r="L6" s="96" t="s">
        <v>102</v>
      </c>
      <c r="M6" s="88" t="s">
        <v>17</v>
      </c>
      <c r="N6" s="88" t="s">
        <v>75</v>
      </c>
      <c r="O6" s="95" t="s">
        <v>103</v>
      </c>
    </row>
    <row r="7" spans="1:25" s="7" customFormat="1" x14ac:dyDescent="0.25">
      <c r="A7" s="27"/>
      <c r="B7" s="3"/>
      <c r="C7" s="3"/>
      <c r="D7" s="3"/>
      <c r="E7" s="3"/>
      <c r="F7" s="3" t="s">
        <v>40</v>
      </c>
      <c r="G7" s="3" t="s">
        <v>16</v>
      </c>
      <c r="H7" s="3"/>
      <c r="I7" s="28" t="s">
        <v>9</v>
      </c>
      <c r="J7" s="2" t="s">
        <v>9</v>
      </c>
      <c r="K7" s="2" t="s">
        <v>133</v>
      </c>
      <c r="L7" s="2" t="s">
        <v>10</v>
      </c>
      <c r="M7" s="2" t="s">
        <v>9</v>
      </c>
      <c r="N7" s="31" t="s">
        <v>9</v>
      </c>
      <c r="O7" s="6" t="s">
        <v>9</v>
      </c>
    </row>
    <row r="8" spans="1:25" s="16" customFormat="1" x14ac:dyDescent="0.25">
      <c r="A8" s="21"/>
      <c r="B8" s="22" t="s">
        <v>49</v>
      </c>
      <c r="C8" s="22" t="s">
        <v>50</v>
      </c>
      <c r="D8" s="22" t="s">
        <v>104</v>
      </c>
      <c r="E8" s="22" t="s">
        <v>105</v>
      </c>
      <c r="F8" s="22" t="s">
        <v>106</v>
      </c>
      <c r="G8" s="22" t="s">
        <v>107</v>
      </c>
      <c r="H8" s="22" t="s">
        <v>108</v>
      </c>
      <c r="I8" s="22" t="s">
        <v>109</v>
      </c>
      <c r="J8" s="22" t="s">
        <v>110</v>
      </c>
      <c r="K8" s="22" t="s">
        <v>111</v>
      </c>
      <c r="L8" s="22" t="s">
        <v>112</v>
      </c>
      <c r="M8" s="22" t="s">
        <v>113</v>
      </c>
      <c r="N8" s="22" t="s">
        <v>114</v>
      </c>
      <c r="O8" s="23" t="s">
        <v>115</v>
      </c>
    </row>
    <row r="9" spans="1:25" ht="13.8" thickBot="1" x14ac:dyDescent="0.3">
      <c r="A9" s="97" t="s">
        <v>119</v>
      </c>
      <c r="B9" s="74"/>
      <c r="C9" s="74"/>
      <c r="D9" s="74"/>
      <c r="E9" s="74"/>
      <c r="F9" s="74"/>
      <c r="G9" s="74"/>
      <c r="H9" s="74"/>
      <c r="I9" s="74"/>
      <c r="J9" s="74"/>
      <c r="K9" s="74"/>
      <c r="L9" s="98">
        <v>0</v>
      </c>
      <c r="M9" s="75"/>
      <c r="N9" s="78"/>
      <c r="O9" s="59"/>
      <c r="P9" s="15"/>
      <c r="Q9" s="15"/>
      <c r="R9" s="15"/>
      <c r="S9" s="15"/>
      <c r="T9" s="15"/>
      <c r="U9" s="15"/>
    </row>
    <row r="10" spans="1:25" x14ac:dyDescent="0.25">
      <c r="A10" s="92" t="s">
        <v>137</v>
      </c>
      <c r="B10" s="32"/>
      <c r="C10" s="32"/>
      <c r="D10" s="32"/>
      <c r="E10" s="32"/>
      <c r="F10" s="32"/>
      <c r="G10" s="32"/>
      <c r="H10" s="67"/>
      <c r="I10" s="34"/>
      <c r="J10" s="35"/>
      <c r="K10" s="69"/>
      <c r="L10" s="35"/>
      <c r="M10" s="72"/>
      <c r="N10" s="76"/>
      <c r="O10" s="33"/>
      <c r="P10" s="15"/>
      <c r="Q10" s="15"/>
      <c r="R10" s="15"/>
      <c r="S10" s="15"/>
      <c r="T10" s="15"/>
      <c r="U10" s="15"/>
    </row>
    <row r="11" spans="1:25" x14ac:dyDescent="0.25">
      <c r="A11" s="93" t="s">
        <v>138</v>
      </c>
      <c r="B11" s="24"/>
      <c r="C11" s="24"/>
      <c r="D11" s="24"/>
      <c r="E11" s="24"/>
      <c r="F11" s="24"/>
      <c r="G11" s="24"/>
      <c r="H11" s="61"/>
      <c r="I11" s="26"/>
      <c r="J11" s="18"/>
      <c r="K11" s="69"/>
      <c r="L11" s="18"/>
      <c r="M11" s="47"/>
      <c r="N11" s="77"/>
      <c r="O11" s="25"/>
      <c r="P11" s="15"/>
      <c r="Q11" s="15"/>
      <c r="R11" s="15"/>
      <c r="S11" s="15"/>
      <c r="T11" s="15"/>
      <c r="U11" s="15"/>
    </row>
    <row r="12" spans="1:25" x14ac:dyDescent="0.25">
      <c r="A12" s="93" t="s">
        <v>139</v>
      </c>
      <c r="B12" s="24"/>
      <c r="C12" s="24"/>
      <c r="D12" s="24"/>
      <c r="E12" s="24"/>
      <c r="F12" s="24"/>
      <c r="G12" s="24"/>
      <c r="H12" s="61"/>
      <c r="I12" s="26"/>
      <c r="J12" s="18"/>
      <c r="K12" s="69"/>
      <c r="L12" s="18"/>
      <c r="M12" s="47"/>
      <c r="N12" s="77"/>
      <c r="O12" s="25"/>
      <c r="P12" s="15"/>
      <c r="Q12" s="15"/>
      <c r="R12" s="15"/>
      <c r="S12" s="15"/>
      <c r="T12" s="15"/>
      <c r="U12" s="15"/>
    </row>
    <row r="13" spans="1:25" x14ac:dyDescent="0.25">
      <c r="A13" s="93" t="s">
        <v>140</v>
      </c>
      <c r="B13" s="24"/>
      <c r="C13" s="24"/>
      <c r="D13" s="24"/>
      <c r="E13" s="24"/>
      <c r="F13" s="24"/>
      <c r="G13" s="24"/>
      <c r="H13" s="61"/>
      <c r="I13" s="26"/>
      <c r="J13" s="18"/>
      <c r="K13" s="69"/>
      <c r="L13" s="18"/>
      <c r="M13" s="47"/>
      <c r="N13" s="77"/>
      <c r="O13" s="25"/>
      <c r="P13" s="15"/>
      <c r="Q13" s="15"/>
      <c r="R13" s="15"/>
      <c r="S13" s="15"/>
      <c r="T13" s="15"/>
      <c r="U13" s="15"/>
    </row>
    <row r="14" spans="1:25" x14ac:dyDescent="0.25">
      <c r="A14" s="93" t="s">
        <v>141</v>
      </c>
      <c r="B14" s="24"/>
      <c r="C14" s="24"/>
      <c r="D14" s="24"/>
      <c r="E14" s="24"/>
      <c r="F14" s="24"/>
      <c r="G14" s="24"/>
      <c r="H14" s="61"/>
      <c r="I14" s="26"/>
      <c r="J14" s="18"/>
      <c r="K14" s="69"/>
      <c r="L14" s="18"/>
      <c r="M14" s="47"/>
      <c r="N14" s="77"/>
      <c r="O14" s="25"/>
      <c r="P14" s="15"/>
      <c r="Q14" s="15"/>
      <c r="R14" s="15"/>
      <c r="S14" s="15"/>
      <c r="T14" s="15"/>
      <c r="U14" s="15"/>
    </row>
    <row r="15" spans="1:25" x14ac:dyDescent="0.25">
      <c r="A15" s="93" t="s">
        <v>142</v>
      </c>
      <c r="B15" s="24"/>
      <c r="C15" s="24"/>
      <c r="D15" s="24"/>
      <c r="E15" s="24"/>
      <c r="F15" s="24"/>
      <c r="G15" s="24"/>
      <c r="H15" s="61"/>
      <c r="I15" s="26"/>
      <c r="J15" s="18"/>
      <c r="K15" s="69"/>
      <c r="L15" s="18"/>
      <c r="M15" s="47"/>
      <c r="N15" s="77"/>
      <c r="O15" s="25"/>
      <c r="P15" s="15"/>
      <c r="Q15" s="15"/>
      <c r="R15" s="15"/>
      <c r="S15" s="15"/>
      <c r="T15" s="15"/>
      <c r="U15" s="15"/>
    </row>
    <row r="16" spans="1:25" x14ac:dyDescent="0.25">
      <c r="A16" s="93" t="s">
        <v>143</v>
      </c>
      <c r="B16" s="24"/>
      <c r="C16" s="24"/>
      <c r="D16" s="24"/>
      <c r="E16" s="24"/>
      <c r="F16" s="24"/>
      <c r="G16" s="24"/>
      <c r="H16" s="61"/>
      <c r="I16" s="26"/>
      <c r="J16" s="18"/>
      <c r="K16" s="69"/>
      <c r="L16" s="18"/>
      <c r="M16" s="47"/>
      <c r="N16" s="77"/>
      <c r="O16" s="25"/>
      <c r="P16" s="15"/>
      <c r="Q16" s="15"/>
      <c r="R16" s="15"/>
      <c r="S16" s="15"/>
      <c r="T16" s="15"/>
      <c r="U16" s="15"/>
    </row>
    <row r="17" spans="1:21" x14ac:dyDescent="0.25">
      <c r="A17" s="206" t="s">
        <v>144</v>
      </c>
      <c r="B17" s="207"/>
      <c r="C17" s="207"/>
      <c r="D17" s="207"/>
      <c r="E17" s="207"/>
      <c r="F17" s="207"/>
      <c r="G17" s="207"/>
      <c r="H17" s="208"/>
      <c r="I17" s="209"/>
      <c r="J17" s="210"/>
      <c r="K17" s="211"/>
      <c r="L17" s="210"/>
      <c r="M17" s="212"/>
      <c r="N17" s="213"/>
      <c r="O17" s="214"/>
      <c r="P17" s="15"/>
      <c r="Q17" s="15"/>
      <c r="R17" s="15"/>
      <c r="S17" s="15"/>
      <c r="T17" s="15"/>
      <c r="U17" s="15"/>
    </row>
    <row r="18" spans="1:21" x14ac:dyDescent="0.25">
      <c r="A18" s="109" t="s">
        <v>145</v>
      </c>
      <c r="O18" s="38"/>
      <c r="Q18" s="19"/>
      <c r="R18" s="19"/>
      <c r="S18" s="19"/>
    </row>
    <row r="19" spans="1:21" x14ac:dyDescent="0.25">
      <c r="A19" s="109" t="s">
        <v>146</v>
      </c>
      <c r="O19" s="38"/>
      <c r="Q19" s="19"/>
      <c r="R19" s="19"/>
      <c r="S19" s="19"/>
    </row>
    <row r="20" spans="1:21" x14ac:dyDescent="0.25">
      <c r="A20" s="109" t="s">
        <v>147</v>
      </c>
      <c r="O20" s="38"/>
      <c r="Q20" s="19"/>
      <c r="R20" s="19"/>
      <c r="S20" s="19"/>
    </row>
    <row r="21" spans="1:21" x14ac:dyDescent="0.25">
      <c r="A21" s="109" t="s">
        <v>148</v>
      </c>
      <c r="O21" s="38"/>
      <c r="Q21" s="19"/>
      <c r="R21" s="19"/>
      <c r="S21" s="19"/>
    </row>
    <row r="22" spans="1:21" x14ac:dyDescent="0.25">
      <c r="A22" s="109" t="s">
        <v>149</v>
      </c>
      <c r="O22" s="38"/>
      <c r="Q22" s="19"/>
      <c r="R22" s="19"/>
      <c r="S22" s="19"/>
    </row>
    <row r="23" spans="1:21" x14ac:dyDescent="0.25">
      <c r="O23" s="38"/>
      <c r="Q23" s="19"/>
      <c r="R23" s="19"/>
      <c r="S23" s="19"/>
    </row>
    <row r="24" spans="1:21" x14ac:dyDescent="0.25">
      <c r="O24" s="38"/>
      <c r="Q24" s="19"/>
      <c r="R24" s="19"/>
      <c r="S24" s="19"/>
    </row>
    <row r="25" spans="1:21" x14ac:dyDescent="0.25">
      <c r="O25" s="38"/>
      <c r="Q25" s="19"/>
      <c r="R25" s="19"/>
      <c r="S25" s="19"/>
    </row>
    <row r="26" spans="1:21" x14ac:dyDescent="0.25">
      <c r="O26" s="38"/>
      <c r="Q26" s="19"/>
      <c r="R26" s="19"/>
      <c r="S26" s="19"/>
    </row>
    <row r="27" spans="1:21" x14ac:dyDescent="0.25">
      <c r="O27" s="38"/>
      <c r="Q27" s="19"/>
      <c r="R27" s="19"/>
      <c r="S27" s="19"/>
    </row>
    <row r="28" spans="1:21" x14ac:dyDescent="0.25">
      <c r="O28" s="38"/>
      <c r="Q28" s="19"/>
      <c r="R28" s="19"/>
      <c r="S28" s="19"/>
    </row>
    <row r="29" spans="1:21" x14ac:dyDescent="0.25">
      <c r="O29" s="38"/>
      <c r="Q29" s="19"/>
      <c r="R29" s="19"/>
      <c r="S29" s="19"/>
    </row>
    <row r="30" spans="1:21" x14ac:dyDescent="0.25">
      <c r="O30" s="38"/>
      <c r="Q30" s="19"/>
      <c r="R30" s="19"/>
      <c r="S30" s="19"/>
    </row>
    <row r="31" spans="1:21" x14ac:dyDescent="0.25">
      <c r="O31" s="38"/>
      <c r="Q31" s="19"/>
      <c r="R31" s="19"/>
      <c r="S31" s="19"/>
    </row>
    <row r="32" spans="1:21" x14ac:dyDescent="0.25">
      <c r="O32" s="38"/>
      <c r="Q32" s="19"/>
      <c r="R32" s="19"/>
      <c r="S32" s="19"/>
    </row>
    <row r="33" spans="15:19" x14ac:dyDescent="0.25">
      <c r="O33" s="38"/>
      <c r="Q33" s="19"/>
      <c r="R33" s="19"/>
      <c r="S33" s="19"/>
    </row>
    <row r="34" spans="15:19" x14ac:dyDescent="0.25">
      <c r="O34" s="38"/>
      <c r="Q34" s="19"/>
      <c r="R34" s="19"/>
      <c r="S34" s="19"/>
    </row>
    <row r="35" spans="15:19" x14ac:dyDescent="0.25">
      <c r="O35" s="38"/>
      <c r="Q35" s="19"/>
      <c r="R35" s="19"/>
      <c r="S35" s="19"/>
    </row>
    <row r="36" spans="15:19" x14ac:dyDescent="0.25">
      <c r="O36" s="38"/>
      <c r="Q36" s="19"/>
      <c r="R36" s="19"/>
      <c r="S36" s="19"/>
    </row>
    <row r="37" spans="15:19" x14ac:dyDescent="0.25">
      <c r="O37" s="38"/>
      <c r="Q37" s="19"/>
      <c r="R37" s="19"/>
      <c r="S37" s="19"/>
    </row>
    <row r="38" spans="15:19" x14ac:dyDescent="0.25">
      <c r="O38" s="38"/>
      <c r="Q38" s="19"/>
      <c r="R38" s="19"/>
      <c r="S38" s="19"/>
    </row>
    <row r="39" spans="15:19" x14ac:dyDescent="0.25">
      <c r="O39" s="38"/>
      <c r="Q39" s="19"/>
      <c r="R39" s="19"/>
      <c r="S39" s="19"/>
    </row>
    <row r="40" spans="15:19" x14ac:dyDescent="0.25">
      <c r="O40" s="38"/>
      <c r="Q40" s="19"/>
      <c r="R40" s="19"/>
      <c r="S40" s="19"/>
    </row>
    <row r="41" spans="15:19" x14ac:dyDescent="0.25">
      <c r="O41" s="38"/>
      <c r="Q41" s="19"/>
      <c r="R41" s="19"/>
      <c r="S41" s="19"/>
    </row>
    <row r="42" spans="15:19" x14ac:dyDescent="0.25">
      <c r="O42" s="38"/>
      <c r="Q42" s="19"/>
      <c r="R42" s="19"/>
      <c r="S42" s="19"/>
    </row>
    <row r="43" spans="15:19" x14ac:dyDescent="0.25">
      <c r="O43" s="38"/>
      <c r="Q43" s="19"/>
      <c r="R43" s="19"/>
      <c r="S43" s="19"/>
    </row>
    <row r="44" spans="15:19" x14ac:dyDescent="0.25">
      <c r="O44" s="38"/>
      <c r="Q44" s="19"/>
      <c r="R44" s="19"/>
      <c r="S44" s="19"/>
    </row>
    <row r="45" spans="15:19" x14ac:dyDescent="0.25">
      <c r="O45" s="38"/>
      <c r="Q45" s="19"/>
      <c r="R45" s="19"/>
      <c r="S45" s="19"/>
    </row>
    <row r="46" spans="15:19" x14ac:dyDescent="0.25">
      <c r="O46" s="38"/>
      <c r="Q46" s="19"/>
      <c r="R46" s="19"/>
      <c r="S46" s="19"/>
    </row>
    <row r="47" spans="15:19" x14ac:dyDescent="0.25">
      <c r="O47" s="38"/>
      <c r="Q47" s="19"/>
      <c r="R47" s="19"/>
      <c r="S47" s="19"/>
    </row>
    <row r="48" spans="15:19" x14ac:dyDescent="0.25">
      <c r="O48" s="38"/>
      <c r="Q48" s="19"/>
      <c r="R48" s="19"/>
      <c r="S48" s="19"/>
    </row>
    <row r="49" spans="15:19" x14ac:dyDescent="0.25">
      <c r="O49" s="38"/>
      <c r="Q49" s="19"/>
      <c r="R49" s="19"/>
      <c r="S49" s="19"/>
    </row>
    <row r="50" spans="15:19" x14ac:dyDescent="0.25">
      <c r="O50" s="38"/>
      <c r="Q50" s="19"/>
      <c r="R50" s="19"/>
      <c r="S50" s="19"/>
    </row>
    <row r="51" spans="15:19" x14ac:dyDescent="0.25">
      <c r="O51" s="38"/>
      <c r="Q51" s="19"/>
      <c r="R51" s="19"/>
      <c r="S51" s="19"/>
    </row>
    <row r="52" spans="15:19" x14ac:dyDescent="0.25">
      <c r="O52" s="38"/>
      <c r="Q52" s="19"/>
      <c r="R52" s="19"/>
      <c r="S52" s="19"/>
    </row>
    <row r="53" spans="15:19" x14ac:dyDescent="0.25">
      <c r="O53" s="38"/>
      <c r="Q53" s="19"/>
      <c r="R53" s="19"/>
      <c r="S53" s="19"/>
    </row>
    <row r="54" spans="15:19" x14ac:dyDescent="0.25">
      <c r="O54" s="38"/>
      <c r="Q54" s="19"/>
      <c r="R54" s="19"/>
      <c r="S54" s="19"/>
    </row>
    <row r="55" spans="15:19" x14ac:dyDescent="0.25">
      <c r="O55" s="38"/>
      <c r="Q55" s="19"/>
      <c r="R55" s="19"/>
      <c r="S55" s="19"/>
    </row>
    <row r="56" spans="15:19" x14ac:dyDescent="0.25">
      <c r="O56" s="38"/>
      <c r="Q56" s="19"/>
      <c r="R56" s="19"/>
      <c r="S56" s="19"/>
    </row>
    <row r="57" spans="15:19" x14ac:dyDescent="0.25">
      <c r="O57" s="38"/>
      <c r="Q57" s="19"/>
      <c r="R57" s="19"/>
      <c r="S57" s="19"/>
    </row>
    <row r="58" spans="15:19" x14ac:dyDescent="0.25">
      <c r="O58" s="38"/>
      <c r="Q58" s="19"/>
      <c r="R58" s="19"/>
      <c r="S58" s="19"/>
    </row>
    <row r="59" spans="15:19" x14ac:dyDescent="0.25">
      <c r="O59" s="38"/>
      <c r="Q59" s="19"/>
      <c r="R59" s="19"/>
      <c r="S59" s="19"/>
    </row>
    <row r="60" spans="15:19" x14ac:dyDescent="0.25">
      <c r="O60" s="38"/>
      <c r="Q60" s="19"/>
      <c r="R60" s="19"/>
      <c r="S60" s="19"/>
    </row>
    <row r="61" spans="15:19" x14ac:dyDescent="0.25">
      <c r="O61" s="38"/>
      <c r="Q61" s="19"/>
      <c r="R61" s="19"/>
      <c r="S61" s="19"/>
    </row>
    <row r="62" spans="15:19" x14ac:dyDescent="0.25">
      <c r="O62" s="38"/>
      <c r="Q62" s="19"/>
      <c r="R62" s="19"/>
      <c r="S62" s="19"/>
    </row>
    <row r="63" spans="15:19" x14ac:dyDescent="0.25">
      <c r="O63" s="38"/>
      <c r="Q63" s="19"/>
      <c r="R63" s="19"/>
      <c r="S63" s="19"/>
    </row>
    <row r="64" spans="15:19" x14ac:dyDescent="0.25">
      <c r="O64" s="38"/>
      <c r="Q64" s="19"/>
      <c r="R64" s="19"/>
      <c r="S64" s="19"/>
    </row>
    <row r="65" spans="15:19" x14ac:dyDescent="0.25">
      <c r="O65" s="38"/>
      <c r="Q65" s="19"/>
      <c r="R65" s="19"/>
      <c r="S65" s="19"/>
    </row>
    <row r="66" spans="15:19" x14ac:dyDescent="0.25">
      <c r="O66" s="38"/>
      <c r="Q66" s="19"/>
      <c r="R66" s="19"/>
      <c r="S66" s="19"/>
    </row>
    <row r="67" spans="15:19" x14ac:dyDescent="0.25">
      <c r="O67" s="38"/>
      <c r="Q67" s="19"/>
      <c r="R67" s="19"/>
      <c r="S67" s="19"/>
    </row>
    <row r="68" spans="15:19" x14ac:dyDescent="0.25">
      <c r="O68" s="38"/>
      <c r="Q68" s="19"/>
      <c r="R68" s="19"/>
      <c r="S68" s="19"/>
    </row>
    <row r="69" spans="15:19" x14ac:dyDescent="0.25">
      <c r="O69" s="38"/>
      <c r="Q69" s="19"/>
      <c r="R69" s="19"/>
      <c r="S69" s="19"/>
    </row>
    <row r="70" spans="15:19" x14ac:dyDescent="0.25">
      <c r="O70" s="38"/>
      <c r="Q70" s="19"/>
      <c r="R70" s="19"/>
      <c r="S70" s="19"/>
    </row>
    <row r="71" spans="15:19" x14ac:dyDescent="0.25">
      <c r="O71" s="38"/>
      <c r="Q71" s="19"/>
      <c r="R71" s="19"/>
      <c r="S71" s="19"/>
    </row>
    <row r="72" spans="15:19" x14ac:dyDescent="0.25">
      <c r="O72" s="38"/>
      <c r="Q72" s="19"/>
      <c r="R72" s="19"/>
      <c r="S72" s="19"/>
    </row>
    <row r="73" spans="15:19" x14ac:dyDescent="0.25">
      <c r="O73" s="38"/>
      <c r="Q73" s="19"/>
      <c r="R73" s="19"/>
      <c r="S73" s="19"/>
    </row>
    <row r="74" spans="15:19" x14ac:dyDescent="0.25">
      <c r="O74" s="38"/>
      <c r="Q74" s="19"/>
      <c r="R74" s="19"/>
      <c r="S74" s="19"/>
    </row>
    <row r="75" spans="15:19" x14ac:dyDescent="0.25">
      <c r="O75" s="38"/>
      <c r="Q75" s="19"/>
      <c r="R75" s="19"/>
      <c r="S75" s="19"/>
    </row>
    <row r="76" spans="15:19" x14ac:dyDescent="0.25">
      <c r="O76" s="38"/>
      <c r="Q76" s="19"/>
      <c r="R76" s="19"/>
      <c r="S76" s="19"/>
    </row>
    <row r="77" spans="15:19" x14ac:dyDescent="0.25">
      <c r="O77" s="38"/>
      <c r="Q77" s="19"/>
      <c r="R77" s="19"/>
      <c r="S77" s="19"/>
    </row>
    <row r="78" spans="15:19" x14ac:dyDescent="0.25">
      <c r="O78" s="38"/>
      <c r="Q78" s="19"/>
      <c r="R78" s="19"/>
      <c r="S78" s="19"/>
    </row>
    <row r="79" spans="15:19" x14ac:dyDescent="0.25">
      <c r="O79" s="38"/>
      <c r="Q79" s="19"/>
      <c r="R79" s="19"/>
      <c r="S79" s="19"/>
    </row>
    <row r="80" spans="15:19" x14ac:dyDescent="0.25">
      <c r="O80" s="38"/>
      <c r="Q80" s="19"/>
      <c r="R80" s="19"/>
      <c r="S80" s="19"/>
    </row>
    <row r="81" spans="15:19" x14ac:dyDescent="0.25">
      <c r="O81" s="38"/>
      <c r="Q81" s="19"/>
      <c r="R81" s="19"/>
      <c r="S81" s="19"/>
    </row>
    <row r="82" spans="15:19" x14ac:dyDescent="0.25">
      <c r="O82" s="38"/>
      <c r="Q82" s="19"/>
      <c r="R82" s="19"/>
      <c r="S82" s="19"/>
    </row>
    <row r="83" spans="15:19" x14ac:dyDescent="0.25">
      <c r="O83" s="38"/>
      <c r="Q83" s="19"/>
      <c r="R83" s="19"/>
      <c r="S83" s="19"/>
    </row>
    <row r="84" spans="15:19" x14ac:dyDescent="0.25">
      <c r="O84" s="38"/>
      <c r="Q84" s="19"/>
      <c r="R84" s="19"/>
      <c r="S84" s="19"/>
    </row>
    <row r="85" spans="15:19" x14ac:dyDescent="0.25">
      <c r="O85" s="38"/>
      <c r="Q85" s="19"/>
      <c r="R85" s="19"/>
      <c r="S85" s="19"/>
    </row>
    <row r="86" spans="15:19" x14ac:dyDescent="0.25">
      <c r="O86" s="38"/>
      <c r="Q86" s="19"/>
      <c r="R86" s="19"/>
      <c r="S86" s="19"/>
    </row>
    <row r="87" spans="15:19" x14ac:dyDescent="0.25">
      <c r="O87" s="38"/>
      <c r="Q87" s="19"/>
      <c r="R87" s="19"/>
      <c r="S87" s="19"/>
    </row>
    <row r="88" spans="15:19" x14ac:dyDescent="0.25">
      <c r="O88" s="38"/>
      <c r="Q88" s="19"/>
      <c r="R88" s="19"/>
      <c r="S88" s="19"/>
    </row>
    <row r="89" spans="15:19" x14ac:dyDescent="0.25">
      <c r="O89" s="38"/>
      <c r="Q89" s="19"/>
      <c r="R89" s="19"/>
      <c r="S89" s="19"/>
    </row>
    <row r="90" spans="15:19" x14ac:dyDescent="0.25">
      <c r="O90" s="38"/>
      <c r="Q90" s="19"/>
      <c r="R90" s="19"/>
      <c r="S90" s="19"/>
    </row>
    <row r="91" spans="15:19" x14ac:dyDescent="0.25">
      <c r="O91" s="38"/>
      <c r="Q91" s="19"/>
      <c r="R91" s="19"/>
      <c r="S91" s="19"/>
    </row>
    <row r="92" spans="15:19" x14ac:dyDescent="0.25">
      <c r="O92" s="38"/>
      <c r="Q92" s="19"/>
      <c r="R92" s="19"/>
      <c r="S92" s="19"/>
    </row>
    <row r="93" spans="15:19" x14ac:dyDescent="0.25">
      <c r="O93" s="38"/>
      <c r="Q93" s="19"/>
      <c r="R93" s="19"/>
      <c r="S93" s="19"/>
    </row>
    <row r="94" spans="15:19" x14ac:dyDescent="0.25">
      <c r="O94" s="38"/>
      <c r="Q94" s="19"/>
      <c r="R94" s="19"/>
      <c r="S94" s="19"/>
    </row>
    <row r="95" spans="15:19" x14ac:dyDescent="0.25">
      <c r="O95" s="38"/>
      <c r="Q95" s="19"/>
      <c r="R95" s="19"/>
      <c r="S95" s="19"/>
    </row>
    <row r="96" spans="15:19" x14ac:dyDescent="0.25">
      <c r="O96" s="38"/>
      <c r="Q96" s="19"/>
      <c r="R96" s="19"/>
      <c r="S96" s="19"/>
    </row>
    <row r="97" spans="15:19" x14ac:dyDescent="0.25">
      <c r="O97" s="38"/>
      <c r="Q97" s="19"/>
      <c r="R97" s="19"/>
      <c r="S97" s="19"/>
    </row>
    <row r="98" spans="15:19" x14ac:dyDescent="0.25">
      <c r="O98" s="38"/>
      <c r="Q98" s="19"/>
      <c r="R98" s="19"/>
      <c r="S98" s="19"/>
    </row>
    <row r="99" spans="15:19" x14ac:dyDescent="0.25">
      <c r="O99" s="38"/>
      <c r="Q99" s="19"/>
      <c r="R99" s="19"/>
      <c r="S99" s="19"/>
    </row>
    <row r="100" spans="15:19" x14ac:dyDescent="0.25">
      <c r="O100" s="38"/>
      <c r="Q100" s="19"/>
      <c r="R100" s="19"/>
      <c r="S100" s="19"/>
    </row>
    <row r="101" spans="15:19" x14ac:dyDescent="0.25">
      <c r="O101" s="38"/>
      <c r="Q101" s="19"/>
      <c r="R101" s="19"/>
      <c r="S101" s="19"/>
    </row>
    <row r="102" spans="15:19" x14ac:dyDescent="0.25">
      <c r="O102" s="38"/>
      <c r="Q102" s="19"/>
      <c r="R102" s="19"/>
      <c r="S102" s="19"/>
    </row>
    <row r="103" spans="15:19" x14ac:dyDescent="0.25">
      <c r="O103" s="38"/>
      <c r="Q103" s="19"/>
      <c r="R103" s="19"/>
      <c r="S103" s="19"/>
    </row>
    <row r="104" spans="15:19" x14ac:dyDescent="0.25">
      <c r="O104" s="38"/>
      <c r="Q104" s="19"/>
      <c r="R104" s="19"/>
      <c r="S104" s="19"/>
    </row>
    <row r="105" spans="15:19" x14ac:dyDescent="0.25">
      <c r="O105" s="38"/>
      <c r="Q105" s="19"/>
      <c r="R105" s="19"/>
      <c r="S105" s="19"/>
    </row>
    <row r="106" spans="15:19" x14ac:dyDescent="0.25">
      <c r="O106" s="38"/>
      <c r="Q106" s="19"/>
      <c r="R106" s="19"/>
      <c r="S106" s="19"/>
    </row>
    <row r="107" spans="15:19" x14ac:dyDescent="0.25">
      <c r="O107" s="38"/>
      <c r="Q107" s="19"/>
      <c r="R107" s="19"/>
      <c r="S107" s="19"/>
    </row>
    <row r="108" spans="15:19" x14ac:dyDescent="0.25">
      <c r="O108" s="38"/>
      <c r="Q108" s="19"/>
      <c r="R108" s="19"/>
      <c r="S108" s="19"/>
    </row>
    <row r="109" spans="15:19" x14ac:dyDescent="0.25">
      <c r="O109" s="38"/>
      <c r="Q109" s="19"/>
      <c r="R109" s="19"/>
      <c r="S109" s="19"/>
    </row>
    <row r="110" spans="15:19" x14ac:dyDescent="0.25">
      <c r="O110" s="38"/>
      <c r="Q110" s="19"/>
      <c r="R110" s="19"/>
      <c r="S110" s="19"/>
    </row>
    <row r="111" spans="15:19" x14ac:dyDescent="0.25">
      <c r="O111" s="38"/>
      <c r="Q111" s="19"/>
      <c r="R111" s="19"/>
      <c r="S111" s="19"/>
    </row>
    <row r="112" spans="15:19" x14ac:dyDescent="0.25">
      <c r="O112" s="38"/>
      <c r="Q112" s="19"/>
      <c r="R112" s="19"/>
      <c r="S112" s="19"/>
    </row>
    <row r="113" spans="15:19" x14ac:dyDescent="0.25">
      <c r="O113" s="38"/>
      <c r="Q113" s="19"/>
      <c r="R113" s="19"/>
      <c r="S113" s="19"/>
    </row>
    <row r="114" spans="15:19" x14ac:dyDescent="0.25">
      <c r="O114" s="38"/>
      <c r="Q114" s="19"/>
      <c r="R114" s="19"/>
      <c r="S114" s="19"/>
    </row>
    <row r="115" spans="15:19" x14ac:dyDescent="0.25">
      <c r="O115" s="38"/>
      <c r="Q115" s="19"/>
      <c r="R115" s="19"/>
      <c r="S115" s="19"/>
    </row>
    <row r="116" spans="15:19" x14ac:dyDescent="0.25">
      <c r="O116" s="38"/>
      <c r="Q116" s="19"/>
      <c r="R116" s="19"/>
      <c r="S116" s="19"/>
    </row>
    <row r="117" spans="15:19" x14ac:dyDescent="0.25">
      <c r="O117" s="38"/>
      <c r="Q117" s="19"/>
      <c r="R117" s="19"/>
      <c r="S117" s="19"/>
    </row>
    <row r="118" spans="15:19" x14ac:dyDescent="0.25">
      <c r="O118" s="38"/>
      <c r="Q118" s="19"/>
      <c r="R118" s="19"/>
      <c r="S118" s="19"/>
    </row>
    <row r="119" spans="15:19" x14ac:dyDescent="0.25">
      <c r="O119" s="38"/>
      <c r="Q119" s="19"/>
      <c r="R119" s="19"/>
      <c r="S119" s="19"/>
    </row>
    <row r="120" spans="15:19" x14ac:dyDescent="0.25">
      <c r="O120" s="38"/>
      <c r="Q120" s="19"/>
      <c r="R120" s="19"/>
      <c r="S120" s="19"/>
    </row>
    <row r="121" spans="15:19" x14ac:dyDescent="0.25">
      <c r="O121" s="38"/>
      <c r="Q121" s="19"/>
      <c r="R121" s="19"/>
      <c r="S121" s="19"/>
    </row>
    <row r="122" spans="15:19" x14ac:dyDescent="0.25">
      <c r="O122" s="38"/>
      <c r="Q122" s="19"/>
      <c r="R122" s="19"/>
      <c r="S122" s="19"/>
    </row>
    <row r="123" spans="15:19" x14ac:dyDescent="0.25">
      <c r="O123" s="38"/>
      <c r="Q123" s="19"/>
      <c r="R123" s="19"/>
      <c r="S123" s="19"/>
    </row>
    <row r="124" spans="15:19" x14ac:dyDescent="0.25">
      <c r="O124" s="38"/>
      <c r="Q124" s="19"/>
      <c r="R124" s="19"/>
      <c r="S124" s="19"/>
    </row>
    <row r="125" spans="15:19" x14ac:dyDescent="0.25">
      <c r="O125" s="38"/>
      <c r="Q125" s="19"/>
      <c r="R125" s="19"/>
      <c r="S125" s="19"/>
    </row>
    <row r="126" spans="15:19" x14ac:dyDescent="0.25">
      <c r="O126" s="38"/>
      <c r="Q126" s="19"/>
      <c r="R126" s="19"/>
      <c r="S126" s="19"/>
    </row>
    <row r="127" spans="15:19" x14ac:dyDescent="0.25">
      <c r="O127" s="38"/>
      <c r="Q127" s="19"/>
      <c r="R127" s="19"/>
      <c r="S127" s="19"/>
    </row>
    <row r="128" spans="15:19" x14ac:dyDescent="0.25">
      <c r="O128" s="38"/>
      <c r="Q128" s="19"/>
      <c r="R128" s="19"/>
      <c r="S128" s="19"/>
    </row>
    <row r="129" spans="15:19" x14ac:dyDescent="0.25">
      <c r="O129" s="38"/>
      <c r="Q129" s="19"/>
      <c r="R129" s="19"/>
      <c r="S129" s="19"/>
    </row>
    <row r="130" spans="15:19" x14ac:dyDescent="0.25">
      <c r="O130" s="38"/>
      <c r="Q130" s="19"/>
      <c r="R130" s="19"/>
      <c r="S130" s="19"/>
    </row>
    <row r="131" spans="15:19" x14ac:dyDescent="0.25">
      <c r="O131" s="38"/>
      <c r="Q131" s="19"/>
      <c r="R131" s="19"/>
      <c r="S131" s="19"/>
    </row>
    <row r="132" spans="15:19" x14ac:dyDescent="0.25">
      <c r="O132" s="38"/>
      <c r="Q132" s="19"/>
      <c r="R132" s="19"/>
      <c r="S132" s="19"/>
    </row>
    <row r="133" spans="15:19" x14ac:dyDescent="0.25">
      <c r="O133" s="38"/>
      <c r="Q133" s="19"/>
      <c r="R133" s="19"/>
      <c r="S133" s="19"/>
    </row>
    <row r="134" spans="15:19" x14ac:dyDescent="0.25">
      <c r="O134" s="38"/>
      <c r="Q134" s="19"/>
      <c r="R134" s="19"/>
      <c r="S134" s="19"/>
    </row>
    <row r="135" spans="15:19" x14ac:dyDescent="0.25">
      <c r="O135" s="38"/>
      <c r="Q135" s="19"/>
      <c r="R135" s="19"/>
      <c r="S135" s="19"/>
    </row>
    <row r="136" spans="15:19" x14ac:dyDescent="0.25">
      <c r="O136" s="38"/>
      <c r="Q136" s="19"/>
      <c r="R136" s="19"/>
      <c r="S136" s="19"/>
    </row>
    <row r="137" spans="15:19" x14ac:dyDescent="0.25">
      <c r="O137" s="38"/>
      <c r="Q137" s="19"/>
      <c r="R137" s="19"/>
      <c r="S137" s="19"/>
    </row>
    <row r="138" spans="15:19" x14ac:dyDescent="0.25">
      <c r="O138" s="38"/>
      <c r="Q138" s="19"/>
      <c r="R138" s="19"/>
      <c r="S138" s="19"/>
    </row>
    <row r="139" spans="15:19" x14ac:dyDescent="0.25">
      <c r="O139" s="38"/>
      <c r="Q139" s="19"/>
      <c r="R139" s="19"/>
      <c r="S139" s="19"/>
    </row>
    <row r="140" spans="15:19" x14ac:dyDescent="0.25">
      <c r="O140" s="38"/>
      <c r="Q140" s="19"/>
      <c r="R140" s="19"/>
      <c r="S140" s="19"/>
    </row>
    <row r="141" spans="15:19" x14ac:dyDescent="0.25">
      <c r="O141" s="38"/>
      <c r="Q141" s="19"/>
      <c r="R141" s="19"/>
      <c r="S141" s="19"/>
    </row>
    <row r="142" spans="15:19" x14ac:dyDescent="0.25">
      <c r="O142" s="38"/>
      <c r="Q142" s="19"/>
      <c r="R142" s="19"/>
      <c r="S142" s="19"/>
    </row>
    <row r="143" spans="15:19" x14ac:dyDescent="0.25">
      <c r="O143" s="38"/>
      <c r="Q143" s="19"/>
      <c r="R143" s="19"/>
      <c r="S143" s="19"/>
    </row>
    <row r="144" spans="15:19" x14ac:dyDescent="0.25">
      <c r="O144" s="38"/>
      <c r="Q144" s="19"/>
      <c r="R144" s="19"/>
      <c r="S144" s="19"/>
    </row>
    <row r="145" spans="15:19" x14ac:dyDescent="0.25">
      <c r="O145" s="38"/>
      <c r="Q145" s="19"/>
      <c r="R145" s="19"/>
      <c r="S145" s="19"/>
    </row>
    <row r="146" spans="15:19" x14ac:dyDescent="0.25">
      <c r="O146" s="38"/>
      <c r="Q146" s="19"/>
      <c r="R146" s="19"/>
      <c r="S146" s="19"/>
    </row>
    <row r="147" spans="15:19" x14ac:dyDescent="0.25">
      <c r="O147" s="38"/>
      <c r="Q147" s="19"/>
      <c r="R147" s="19"/>
      <c r="S147" s="19"/>
    </row>
    <row r="148" spans="15:19" x14ac:dyDescent="0.25">
      <c r="O148" s="38"/>
      <c r="Q148" s="19"/>
      <c r="R148" s="19"/>
      <c r="S148" s="19"/>
    </row>
    <row r="149" spans="15:19" x14ac:dyDescent="0.25">
      <c r="O149" s="38"/>
      <c r="Q149" s="19"/>
      <c r="R149" s="19"/>
      <c r="S149" s="19"/>
    </row>
    <row r="150" spans="15:19" x14ac:dyDescent="0.25">
      <c r="O150" s="38"/>
      <c r="Q150" s="19"/>
      <c r="R150" s="19"/>
      <c r="S150" s="19"/>
    </row>
    <row r="151" spans="15:19" x14ac:dyDescent="0.25">
      <c r="O151" s="38"/>
      <c r="Q151" s="19"/>
      <c r="R151" s="19"/>
      <c r="S151" s="19"/>
    </row>
    <row r="152" spans="15:19" x14ac:dyDescent="0.25">
      <c r="O152" s="38"/>
      <c r="Q152" s="19"/>
      <c r="R152" s="19"/>
      <c r="S152" s="19"/>
    </row>
    <row r="153" spans="15:19" x14ac:dyDescent="0.25">
      <c r="O153" s="38"/>
      <c r="Q153" s="19"/>
      <c r="R153" s="19"/>
      <c r="S153" s="19"/>
    </row>
    <row r="154" spans="15:19" x14ac:dyDescent="0.25">
      <c r="O154" s="38"/>
      <c r="Q154" s="19"/>
      <c r="R154" s="19"/>
      <c r="S154" s="19"/>
    </row>
    <row r="155" spans="15:19" x14ac:dyDescent="0.25">
      <c r="O155" s="38"/>
      <c r="Q155" s="19"/>
      <c r="R155" s="19"/>
      <c r="S155" s="19"/>
    </row>
    <row r="156" spans="15:19" x14ac:dyDescent="0.25">
      <c r="O156" s="38"/>
      <c r="Q156" s="19"/>
      <c r="R156" s="19"/>
      <c r="S156" s="19"/>
    </row>
    <row r="157" spans="15:19" x14ac:dyDescent="0.25">
      <c r="O157" s="38"/>
      <c r="Q157" s="19"/>
      <c r="R157" s="19"/>
      <c r="S157" s="19"/>
    </row>
    <row r="158" spans="15:19" x14ac:dyDescent="0.25">
      <c r="O158" s="38"/>
      <c r="Q158" s="19"/>
      <c r="R158" s="19"/>
      <c r="S158" s="19"/>
    </row>
    <row r="159" spans="15:19" x14ac:dyDescent="0.25">
      <c r="O159" s="38"/>
      <c r="Q159" s="19"/>
      <c r="R159" s="19"/>
      <c r="S159" s="19"/>
    </row>
    <row r="160" spans="15:19" x14ac:dyDescent="0.25">
      <c r="O160" s="38"/>
      <c r="Q160" s="19"/>
      <c r="R160" s="19"/>
      <c r="S160" s="19"/>
    </row>
    <row r="161" spans="15:19" x14ac:dyDescent="0.25">
      <c r="O161" s="38"/>
      <c r="Q161" s="19"/>
      <c r="R161" s="19"/>
      <c r="S161" s="19"/>
    </row>
    <row r="162" spans="15:19" x14ac:dyDescent="0.25">
      <c r="O162" s="38"/>
      <c r="Q162" s="19"/>
      <c r="R162" s="19"/>
      <c r="S162" s="19"/>
    </row>
    <row r="163" spans="15:19" x14ac:dyDescent="0.25">
      <c r="O163" s="38"/>
      <c r="Q163" s="19"/>
      <c r="R163" s="19"/>
      <c r="S163" s="19"/>
    </row>
    <row r="164" spans="15:19" x14ac:dyDescent="0.25">
      <c r="O164" s="38"/>
      <c r="Q164" s="19"/>
      <c r="R164" s="19"/>
      <c r="S164" s="19"/>
    </row>
    <row r="165" spans="15:19" x14ac:dyDescent="0.25">
      <c r="O165" s="38"/>
      <c r="Q165" s="19"/>
      <c r="R165" s="19"/>
      <c r="S165" s="19"/>
    </row>
    <row r="166" spans="15:19" x14ac:dyDescent="0.25">
      <c r="O166" s="38"/>
      <c r="Q166" s="19"/>
      <c r="R166" s="19"/>
      <c r="S166" s="19"/>
    </row>
    <row r="167" spans="15:19" x14ac:dyDescent="0.25">
      <c r="O167" s="38"/>
      <c r="Q167" s="19"/>
      <c r="R167" s="19"/>
      <c r="S167" s="19"/>
    </row>
    <row r="168" spans="15:19" x14ac:dyDescent="0.25">
      <c r="O168" s="38"/>
      <c r="Q168" s="19"/>
      <c r="R168" s="19"/>
      <c r="S168" s="19"/>
    </row>
    <row r="169" spans="15:19" x14ac:dyDescent="0.25">
      <c r="O169" s="38"/>
      <c r="Q169" s="19"/>
      <c r="R169" s="19"/>
      <c r="S169" s="19"/>
    </row>
    <row r="170" spans="15:19" x14ac:dyDescent="0.25">
      <c r="O170" s="38"/>
      <c r="Q170" s="19"/>
      <c r="R170" s="19"/>
      <c r="S170" s="19"/>
    </row>
    <row r="171" spans="15:19" x14ac:dyDescent="0.25">
      <c r="O171" s="38"/>
      <c r="Q171" s="19"/>
      <c r="R171" s="19"/>
      <c r="S171" s="19"/>
    </row>
    <row r="172" spans="15:19" x14ac:dyDescent="0.25">
      <c r="O172" s="38"/>
      <c r="Q172" s="19"/>
      <c r="R172" s="19"/>
      <c r="S172" s="19"/>
    </row>
    <row r="173" spans="15:19" x14ac:dyDescent="0.25">
      <c r="O173" s="38"/>
      <c r="Q173" s="19"/>
      <c r="R173" s="19"/>
      <c r="S173" s="19"/>
    </row>
    <row r="174" spans="15:19" x14ac:dyDescent="0.25">
      <c r="O174" s="38"/>
      <c r="Q174" s="19"/>
      <c r="R174" s="19"/>
      <c r="S174" s="19"/>
    </row>
    <row r="175" spans="15:19" x14ac:dyDescent="0.25">
      <c r="O175" s="38"/>
      <c r="Q175" s="19"/>
      <c r="R175" s="19"/>
      <c r="S175" s="19"/>
    </row>
    <row r="176" spans="15:19" x14ac:dyDescent="0.25">
      <c r="O176" s="38"/>
      <c r="Q176" s="19"/>
      <c r="R176" s="19"/>
      <c r="S176" s="19"/>
    </row>
    <row r="177" spans="15:19" x14ac:dyDescent="0.25">
      <c r="O177" s="38"/>
      <c r="Q177" s="19"/>
      <c r="R177" s="19"/>
      <c r="S177" s="19"/>
    </row>
    <row r="178" spans="15:19" x14ac:dyDescent="0.25">
      <c r="O178" s="38"/>
      <c r="Q178" s="19"/>
      <c r="R178" s="19"/>
      <c r="S178" s="19"/>
    </row>
    <row r="179" spans="15:19" x14ac:dyDescent="0.25">
      <c r="O179" s="38"/>
      <c r="Q179" s="19"/>
      <c r="R179" s="19"/>
      <c r="S179" s="19"/>
    </row>
    <row r="180" spans="15:19" x14ac:dyDescent="0.25">
      <c r="O180" s="38"/>
      <c r="Q180" s="19"/>
      <c r="R180" s="19"/>
      <c r="S180" s="19"/>
    </row>
    <row r="181" spans="15:19" x14ac:dyDescent="0.25">
      <c r="O181" s="38"/>
      <c r="Q181" s="19"/>
      <c r="R181" s="19"/>
      <c r="S181" s="19"/>
    </row>
    <row r="182" spans="15:19" x14ac:dyDescent="0.25">
      <c r="O182" s="38"/>
      <c r="Q182" s="19"/>
      <c r="R182" s="19"/>
      <c r="S182" s="19"/>
    </row>
    <row r="183" spans="15:19" x14ac:dyDescent="0.25">
      <c r="O183" s="38"/>
      <c r="Q183" s="19"/>
      <c r="R183" s="19"/>
      <c r="S183" s="19"/>
    </row>
    <row r="184" spans="15:19" x14ac:dyDescent="0.25">
      <c r="O184" s="38"/>
      <c r="Q184" s="19"/>
      <c r="R184" s="19"/>
      <c r="S184" s="19"/>
    </row>
    <row r="185" spans="15:19" x14ac:dyDescent="0.25">
      <c r="O185" s="38"/>
      <c r="Q185" s="19"/>
      <c r="R185" s="19"/>
      <c r="S185" s="19"/>
    </row>
    <row r="186" spans="15:19" x14ac:dyDescent="0.25">
      <c r="O186" s="38"/>
      <c r="Q186" s="19"/>
      <c r="R186" s="19"/>
      <c r="S186" s="19"/>
    </row>
    <row r="187" spans="15:19" x14ac:dyDescent="0.25">
      <c r="O187" s="38"/>
      <c r="Q187" s="19"/>
      <c r="R187" s="19"/>
      <c r="S187" s="19"/>
    </row>
    <row r="188" spans="15:19" x14ac:dyDescent="0.25">
      <c r="O188" s="38"/>
      <c r="Q188" s="19"/>
      <c r="R188" s="19"/>
      <c r="S188" s="19"/>
    </row>
    <row r="189" spans="15:19" x14ac:dyDescent="0.25">
      <c r="O189" s="38"/>
      <c r="Q189" s="19"/>
      <c r="R189" s="19"/>
      <c r="S189" s="19"/>
    </row>
    <row r="190" spans="15:19" x14ac:dyDescent="0.25">
      <c r="O190" s="38"/>
      <c r="Q190" s="19"/>
      <c r="R190" s="19"/>
      <c r="S190" s="19"/>
    </row>
    <row r="191" spans="15:19" x14ac:dyDescent="0.25">
      <c r="O191" s="38"/>
      <c r="Q191" s="19"/>
      <c r="R191" s="19"/>
      <c r="S191" s="19"/>
    </row>
    <row r="192" spans="15:19" x14ac:dyDescent="0.25">
      <c r="O192" s="38"/>
      <c r="Q192" s="19"/>
      <c r="R192" s="19"/>
      <c r="S192" s="19"/>
    </row>
    <row r="193" spans="15:19" x14ac:dyDescent="0.25">
      <c r="O193" s="38"/>
      <c r="Q193" s="19"/>
      <c r="R193" s="19"/>
      <c r="S193" s="19"/>
    </row>
    <row r="194" spans="15:19" x14ac:dyDescent="0.25">
      <c r="O194" s="38"/>
      <c r="Q194" s="19"/>
      <c r="R194" s="19"/>
      <c r="S194" s="19"/>
    </row>
    <row r="195" spans="15:19" x14ac:dyDescent="0.25">
      <c r="O195" s="38"/>
      <c r="Q195" s="19"/>
      <c r="R195" s="19"/>
      <c r="S195" s="19"/>
    </row>
    <row r="196" spans="15:19" x14ac:dyDescent="0.25">
      <c r="O196" s="38"/>
      <c r="Q196" s="19"/>
      <c r="R196" s="19"/>
      <c r="S196" s="19"/>
    </row>
    <row r="197" spans="15:19" x14ac:dyDescent="0.25">
      <c r="O197" s="38"/>
      <c r="Q197" s="19"/>
      <c r="R197" s="19"/>
      <c r="S197" s="19"/>
    </row>
    <row r="198" spans="15:19" x14ac:dyDescent="0.25">
      <c r="O198" s="38"/>
      <c r="Q198" s="19"/>
      <c r="R198" s="19"/>
      <c r="S198" s="19"/>
    </row>
    <row r="199" spans="15:19" x14ac:dyDescent="0.25">
      <c r="O199" s="38"/>
      <c r="Q199" s="19"/>
      <c r="R199" s="19"/>
      <c r="S199" s="19"/>
    </row>
    <row r="200" spans="15:19" x14ac:dyDescent="0.25">
      <c r="O200" s="38"/>
      <c r="Q200" s="19"/>
      <c r="R200" s="19"/>
      <c r="S200" s="19"/>
    </row>
    <row r="201" spans="15:19" x14ac:dyDescent="0.25">
      <c r="O201" s="38"/>
      <c r="Q201" s="19"/>
      <c r="R201" s="19"/>
      <c r="S201" s="19"/>
    </row>
    <row r="202" spans="15:19" x14ac:dyDescent="0.25">
      <c r="O202" s="38"/>
      <c r="Q202" s="19"/>
      <c r="R202" s="19"/>
      <c r="S202" s="19"/>
    </row>
    <row r="203" spans="15:19" x14ac:dyDescent="0.25">
      <c r="O203" s="38"/>
      <c r="Q203" s="19"/>
      <c r="R203" s="19"/>
      <c r="S203" s="19"/>
    </row>
    <row r="204" spans="15:19" x14ac:dyDescent="0.25">
      <c r="O204" s="38"/>
      <c r="Q204" s="19"/>
      <c r="R204" s="19"/>
      <c r="S204" s="19"/>
    </row>
    <row r="205" spans="15:19" x14ac:dyDescent="0.25">
      <c r="O205" s="38"/>
      <c r="Q205" s="19"/>
      <c r="R205" s="19"/>
      <c r="S205" s="19"/>
    </row>
    <row r="206" spans="15:19" x14ac:dyDescent="0.25">
      <c r="O206" s="38"/>
      <c r="Q206" s="19"/>
      <c r="R206" s="19"/>
      <c r="S206" s="19"/>
    </row>
    <row r="207" spans="15:19" x14ac:dyDescent="0.25">
      <c r="O207" s="38"/>
      <c r="Q207" s="19"/>
      <c r="R207" s="19"/>
      <c r="S207" s="19"/>
    </row>
    <row r="208" spans="15:19" x14ac:dyDescent="0.25">
      <c r="O208" s="38"/>
      <c r="Q208" s="19"/>
      <c r="R208" s="19"/>
      <c r="S208" s="19"/>
    </row>
    <row r="209" spans="15:19" x14ac:dyDescent="0.25">
      <c r="O209" s="38"/>
      <c r="Q209" s="19"/>
      <c r="R209" s="19"/>
      <c r="S209" s="19"/>
    </row>
    <row r="210" spans="15:19" x14ac:dyDescent="0.25">
      <c r="O210" s="38"/>
      <c r="Q210" s="19"/>
      <c r="R210" s="19"/>
      <c r="S210" s="19"/>
    </row>
    <row r="211" spans="15:19" x14ac:dyDescent="0.25">
      <c r="O211" s="38"/>
      <c r="Q211" s="19"/>
      <c r="R211" s="19"/>
      <c r="S211" s="19"/>
    </row>
    <row r="212" spans="15:19" x14ac:dyDescent="0.25">
      <c r="O212" s="38"/>
      <c r="Q212" s="19"/>
      <c r="R212" s="19"/>
      <c r="S212" s="19"/>
    </row>
    <row r="213" spans="15:19" x14ac:dyDescent="0.25">
      <c r="O213" s="38"/>
      <c r="Q213" s="19"/>
      <c r="R213" s="19"/>
      <c r="S213" s="19"/>
    </row>
    <row r="214" spans="15:19" x14ac:dyDescent="0.25">
      <c r="O214" s="38"/>
      <c r="Q214" s="19"/>
      <c r="R214" s="19"/>
      <c r="S214" s="19"/>
    </row>
    <row r="215" spans="15:19" x14ac:dyDescent="0.25">
      <c r="O215" s="38"/>
      <c r="Q215" s="19"/>
      <c r="R215" s="19"/>
      <c r="S215" s="19"/>
    </row>
    <row r="216" spans="15:19" x14ac:dyDescent="0.25">
      <c r="O216" s="38"/>
      <c r="Q216" s="19"/>
      <c r="R216" s="19"/>
      <c r="S216" s="19"/>
    </row>
    <row r="217" spans="15:19" x14ac:dyDescent="0.25">
      <c r="O217" s="38"/>
      <c r="Q217" s="19"/>
      <c r="R217" s="19"/>
      <c r="S217" s="19"/>
    </row>
    <row r="218" spans="15:19" x14ac:dyDescent="0.25">
      <c r="O218" s="38"/>
      <c r="Q218" s="19"/>
      <c r="R218" s="19"/>
      <c r="S218" s="19"/>
    </row>
    <row r="219" spans="15:19" x14ac:dyDescent="0.25">
      <c r="O219" s="38"/>
      <c r="Q219" s="19"/>
      <c r="R219" s="19"/>
      <c r="S219" s="19"/>
    </row>
    <row r="220" spans="15:19" x14ac:dyDescent="0.25">
      <c r="O220" s="38"/>
      <c r="Q220" s="19"/>
      <c r="R220" s="19"/>
      <c r="S220" s="19"/>
    </row>
    <row r="221" spans="15:19" x14ac:dyDescent="0.25">
      <c r="O221" s="38"/>
      <c r="Q221" s="19"/>
      <c r="R221" s="19"/>
      <c r="S221" s="19"/>
    </row>
    <row r="222" spans="15:19" x14ac:dyDescent="0.25">
      <c r="O222" s="38"/>
      <c r="Q222" s="19"/>
      <c r="R222" s="19"/>
      <c r="S222" s="19"/>
    </row>
    <row r="223" spans="15:19" x14ac:dyDescent="0.25">
      <c r="O223" s="38"/>
      <c r="Q223" s="19"/>
      <c r="R223" s="19"/>
      <c r="S223" s="19"/>
    </row>
    <row r="224" spans="15:19" x14ac:dyDescent="0.25">
      <c r="O224" s="38"/>
      <c r="Q224" s="19"/>
      <c r="R224" s="19"/>
      <c r="S224" s="19"/>
    </row>
    <row r="225" spans="15:19" x14ac:dyDescent="0.25">
      <c r="O225" s="38"/>
      <c r="Q225" s="19"/>
      <c r="R225" s="19"/>
      <c r="S225" s="19"/>
    </row>
    <row r="226" spans="15:19" x14ac:dyDescent="0.25">
      <c r="O226" s="38"/>
      <c r="Q226" s="19"/>
      <c r="R226" s="19"/>
      <c r="S226" s="19"/>
    </row>
    <row r="227" spans="15:19" x14ac:dyDescent="0.25">
      <c r="O227" s="38"/>
      <c r="Q227" s="19"/>
      <c r="R227" s="19"/>
      <c r="S227" s="19"/>
    </row>
    <row r="228" spans="15:19" x14ac:dyDescent="0.25">
      <c r="O228" s="38"/>
      <c r="Q228" s="19"/>
      <c r="R228" s="19"/>
      <c r="S228" s="19"/>
    </row>
    <row r="229" spans="15:19" x14ac:dyDescent="0.25">
      <c r="O229" s="38"/>
      <c r="Q229" s="19"/>
      <c r="R229" s="19"/>
      <c r="S229" s="19"/>
    </row>
    <row r="230" spans="15:19" x14ac:dyDescent="0.25">
      <c r="O230" s="38"/>
      <c r="Q230" s="19"/>
      <c r="R230" s="19"/>
      <c r="S230" s="19"/>
    </row>
    <row r="231" spans="15:19" x14ac:dyDescent="0.25">
      <c r="O231" s="38"/>
      <c r="Q231" s="19"/>
      <c r="R231" s="19"/>
      <c r="S231" s="19"/>
    </row>
    <row r="232" spans="15:19" x14ac:dyDescent="0.25">
      <c r="O232" s="38"/>
      <c r="Q232" s="19"/>
      <c r="R232" s="19"/>
      <c r="S232" s="19"/>
    </row>
    <row r="233" spans="15:19" x14ac:dyDescent="0.25">
      <c r="O233" s="38"/>
      <c r="Q233" s="19"/>
      <c r="R233" s="19"/>
      <c r="S233" s="19"/>
    </row>
    <row r="234" spans="15:19" x14ac:dyDescent="0.25">
      <c r="O234" s="38"/>
      <c r="Q234" s="19"/>
      <c r="R234" s="19"/>
      <c r="S234" s="19"/>
    </row>
    <row r="235" spans="15:19" x14ac:dyDescent="0.25">
      <c r="O235" s="38"/>
      <c r="Q235" s="19"/>
      <c r="R235" s="19"/>
      <c r="S235" s="19"/>
    </row>
    <row r="236" spans="15:19" x14ac:dyDescent="0.25">
      <c r="O236" s="38"/>
      <c r="Q236" s="19"/>
      <c r="R236" s="19"/>
      <c r="S236" s="19"/>
    </row>
    <row r="237" spans="15:19" x14ac:dyDescent="0.25">
      <c r="O237" s="38"/>
      <c r="Q237" s="19"/>
      <c r="R237" s="19"/>
      <c r="S237" s="19"/>
    </row>
    <row r="238" spans="15:19" x14ac:dyDescent="0.25">
      <c r="O238" s="38"/>
      <c r="Q238" s="19"/>
      <c r="R238" s="19"/>
      <c r="S238" s="19"/>
    </row>
    <row r="239" spans="15:19" x14ac:dyDescent="0.25">
      <c r="O239" s="38"/>
      <c r="Q239" s="19"/>
      <c r="R239" s="19"/>
      <c r="S239" s="19"/>
    </row>
    <row r="240" spans="15:19" x14ac:dyDescent="0.25">
      <c r="O240" s="38"/>
      <c r="Q240" s="19"/>
      <c r="R240" s="19"/>
      <c r="S240" s="19"/>
    </row>
    <row r="241" spans="15:19" x14ac:dyDescent="0.25">
      <c r="O241" s="38"/>
      <c r="Q241" s="19"/>
      <c r="R241" s="19"/>
      <c r="S241" s="19"/>
    </row>
    <row r="242" spans="15:19" x14ac:dyDescent="0.25">
      <c r="O242" s="38"/>
      <c r="Q242" s="19"/>
      <c r="R242" s="19"/>
      <c r="S242" s="19"/>
    </row>
    <row r="243" spans="15:19" x14ac:dyDescent="0.25">
      <c r="O243" s="38"/>
      <c r="Q243" s="19"/>
      <c r="R243" s="19"/>
      <c r="S243" s="19"/>
    </row>
    <row r="244" spans="15:19" x14ac:dyDescent="0.25">
      <c r="O244" s="38"/>
      <c r="Q244" s="19"/>
      <c r="R244" s="19"/>
      <c r="S244" s="19"/>
    </row>
    <row r="245" spans="15:19" x14ac:dyDescent="0.25">
      <c r="O245" s="38"/>
      <c r="Q245" s="19"/>
      <c r="R245" s="19"/>
      <c r="S245" s="19"/>
    </row>
    <row r="246" spans="15:19" x14ac:dyDescent="0.25">
      <c r="O246" s="38"/>
      <c r="Q246" s="19"/>
      <c r="R246" s="19"/>
      <c r="S246" s="19"/>
    </row>
    <row r="247" spans="15:19" x14ac:dyDescent="0.25">
      <c r="O247" s="38"/>
      <c r="Q247" s="19"/>
      <c r="R247" s="19"/>
      <c r="S247" s="19"/>
    </row>
    <row r="248" spans="15:19" x14ac:dyDescent="0.25">
      <c r="O248" s="38"/>
      <c r="Q248" s="19"/>
      <c r="R248" s="19"/>
      <c r="S248" s="19"/>
    </row>
    <row r="249" spans="15:19" x14ac:dyDescent="0.25">
      <c r="O249" s="38"/>
      <c r="Q249" s="19"/>
      <c r="R249" s="19"/>
      <c r="S249" s="19"/>
    </row>
    <row r="250" spans="15:19" x14ac:dyDescent="0.25">
      <c r="O250" s="38"/>
      <c r="Q250" s="19"/>
      <c r="R250" s="19"/>
      <c r="S250" s="19"/>
    </row>
    <row r="251" spans="15:19" x14ac:dyDescent="0.25">
      <c r="O251" s="38"/>
      <c r="Q251" s="19"/>
      <c r="R251" s="19"/>
      <c r="S251" s="19"/>
    </row>
    <row r="252" spans="15:19" x14ac:dyDescent="0.25">
      <c r="O252" s="38"/>
      <c r="Q252" s="19"/>
      <c r="R252" s="19"/>
      <c r="S252" s="19"/>
    </row>
    <row r="253" spans="15:19" x14ac:dyDescent="0.25">
      <c r="O253" s="38"/>
      <c r="Q253" s="19"/>
      <c r="R253" s="19"/>
      <c r="S253" s="19"/>
    </row>
    <row r="254" spans="15:19" x14ac:dyDescent="0.25">
      <c r="O254" s="38"/>
      <c r="Q254" s="19"/>
      <c r="R254" s="19"/>
      <c r="S254" s="19"/>
    </row>
    <row r="255" spans="15:19" x14ac:dyDescent="0.25">
      <c r="O255" s="38"/>
      <c r="Q255" s="19"/>
      <c r="R255" s="19"/>
      <c r="S255" s="19"/>
    </row>
    <row r="256" spans="15:19" x14ac:dyDescent="0.25">
      <c r="O256" s="38"/>
      <c r="Q256" s="19"/>
      <c r="R256" s="19"/>
      <c r="S256" s="19"/>
    </row>
    <row r="257" spans="15:19" x14ac:dyDescent="0.25">
      <c r="O257" s="38"/>
      <c r="Q257" s="19"/>
      <c r="R257" s="19"/>
      <c r="S257" s="19"/>
    </row>
    <row r="258" spans="15:19" x14ac:dyDescent="0.25">
      <c r="O258" s="38"/>
      <c r="Q258" s="19"/>
      <c r="R258" s="19"/>
      <c r="S258" s="19"/>
    </row>
    <row r="259" spans="15:19" x14ac:dyDescent="0.25">
      <c r="O259" s="38"/>
      <c r="Q259" s="19"/>
      <c r="R259" s="19"/>
      <c r="S259" s="19"/>
    </row>
    <row r="260" spans="15:19" x14ac:dyDescent="0.25">
      <c r="O260" s="38"/>
      <c r="Q260" s="19"/>
      <c r="R260" s="19"/>
      <c r="S260" s="19"/>
    </row>
    <row r="261" spans="15:19" x14ac:dyDescent="0.25">
      <c r="O261" s="38"/>
      <c r="Q261" s="19"/>
      <c r="R261" s="19"/>
      <c r="S261" s="19"/>
    </row>
    <row r="262" spans="15:19" x14ac:dyDescent="0.25">
      <c r="O262" s="38"/>
      <c r="Q262" s="19"/>
      <c r="R262" s="19"/>
      <c r="S262" s="19"/>
    </row>
    <row r="263" spans="15:19" x14ac:dyDescent="0.25">
      <c r="O263" s="38"/>
      <c r="Q263" s="19"/>
      <c r="R263" s="19"/>
      <c r="S263" s="19"/>
    </row>
    <row r="264" spans="15:19" x14ac:dyDescent="0.25">
      <c r="O264" s="38"/>
      <c r="Q264" s="19"/>
      <c r="R264" s="19"/>
      <c r="S264" s="19"/>
    </row>
    <row r="265" spans="15:19" x14ac:dyDescent="0.25">
      <c r="O265" s="38"/>
      <c r="Q265" s="19"/>
      <c r="R265" s="19"/>
      <c r="S265" s="19"/>
    </row>
    <row r="266" spans="15:19" x14ac:dyDescent="0.25">
      <c r="O266" s="38"/>
      <c r="Q266" s="19"/>
      <c r="R266" s="19"/>
      <c r="S266" s="19"/>
    </row>
    <row r="267" spans="15:19" x14ac:dyDescent="0.25">
      <c r="O267" s="38"/>
      <c r="Q267" s="19"/>
      <c r="R267" s="19"/>
      <c r="S267" s="19"/>
    </row>
    <row r="268" spans="15:19" x14ac:dyDescent="0.25">
      <c r="O268" s="38"/>
      <c r="Q268" s="19"/>
      <c r="R268" s="19"/>
      <c r="S268" s="19"/>
    </row>
    <row r="269" spans="15:19" x14ac:dyDescent="0.25">
      <c r="O269" s="38"/>
      <c r="Q269" s="19"/>
      <c r="R269" s="19"/>
      <c r="S269" s="19"/>
    </row>
    <row r="270" spans="15:19" x14ac:dyDescent="0.25">
      <c r="O270" s="38"/>
      <c r="Q270" s="19"/>
      <c r="R270" s="19"/>
      <c r="S270" s="19"/>
    </row>
    <row r="271" spans="15:19" x14ac:dyDescent="0.25">
      <c r="O271" s="38"/>
      <c r="Q271" s="19"/>
      <c r="R271" s="19"/>
      <c r="S271" s="19"/>
    </row>
    <row r="272" spans="15:19" x14ac:dyDescent="0.25">
      <c r="O272" s="38"/>
      <c r="Q272" s="19"/>
      <c r="R272" s="19"/>
      <c r="S272" s="19"/>
    </row>
    <row r="273" spans="15:19" x14ac:dyDescent="0.25">
      <c r="O273" s="38"/>
      <c r="Q273" s="19"/>
      <c r="R273" s="19"/>
      <c r="S273" s="19"/>
    </row>
    <row r="274" spans="15:19" x14ac:dyDescent="0.25">
      <c r="O274" s="38"/>
      <c r="Q274" s="19"/>
      <c r="R274" s="19"/>
      <c r="S274" s="19"/>
    </row>
    <row r="275" spans="15:19" x14ac:dyDescent="0.25">
      <c r="O275" s="38"/>
      <c r="Q275" s="19"/>
      <c r="R275" s="19"/>
      <c r="S275" s="19"/>
    </row>
    <row r="276" spans="15:19" x14ac:dyDescent="0.25">
      <c r="O276" s="38"/>
      <c r="Q276" s="19"/>
      <c r="R276" s="19"/>
      <c r="S276" s="19"/>
    </row>
    <row r="277" spans="15:19" x14ac:dyDescent="0.25">
      <c r="O277" s="38"/>
      <c r="Q277" s="19"/>
      <c r="R277" s="19"/>
      <c r="S277" s="19"/>
    </row>
    <row r="278" spans="15:19" x14ac:dyDescent="0.25">
      <c r="O278" s="38"/>
      <c r="Q278" s="19"/>
      <c r="R278" s="19"/>
      <c r="S278" s="19"/>
    </row>
    <row r="279" spans="15:19" x14ac:dyDescent="0.25">
      <c r="O279" s="38"/>
      <c r="Q279" s="19"/>
      <c r="R279" s="19"/>
      <c r="S279" s="19"/>
    </row>
    <row r="280" spans="15:19" x14ac:dyDescent="0.25">
      <c r="O280" s="38"/>
      <c r="Q280" s="19"/>
      <c r="R280" s="19"/>
      <c r="S280" s="19"/>
    </row>
    <row r="281" spans="15:19" x14ac:dyDescent="0.25">
      <c r="O281" s="38"/>
      <c r="Q281" s="19"/>
      <c r="R281" s="19"/>
      <c r="S281" s="19"/>
    </row>
    <row r="282" spans="15:19" x14ac:dyDescent="0.25">
      <c r="O282" s="38"/>
      <c r="Q282" s="19"/>
      <c r="R282" s="19"/>
      <c r="S282" s="19"/>
    </row>
    <row r="283" spans="15:19" x14ac:dyDescent="0.25">
      <c r="O283" s="38"/>
      <c r="Q283" s="19"/>
      <c r="R283" s="19"/>
      <c r="S283" s="19"/>
    </row>
    <row r="284" spans="15:19" x14ac:dyDescent="0.25">
      <c r="O284" s="38"/>
      <c r="Q284" s="19"/>
      <c r="R284" s="19"/>
      <c r="S284" s="19"/>
    </row>
    <row r="285" spans="15:19" x14ac:dyDescent="0.25">
      <c r="O285" s="38"/>
      <c r="Q285" s="19"/>
      <c r="R285" s="19"/>
      <c r="S285" s="19"/>
    </row>
    <row r="286" spans="15:19" x14ac:dyDescent="0.25">
      <c r="O286" s="38"/>
      <c r="Q286" s="19"/>
      <c r="R286" s="19"/>
      <c r="S286" s="19"/>
    </row>
    <row r="287" spans="15:19" x14ac:dyDescent="0.25">
      <c r="O287" s="38"/>
      <c r="Q287" s="19"/>
      <c r="R287" s="19"/>
      <c r="S287" s="19"/>
    </row>
    <row r="288" spans="15:19" x14ac:dyDescent="0.25">
      <c r="O288" s="38"/>
      <c r="Q288" s="19"/>
      <c r="R288" s="19"/>
      <c r="S288" s="19"/>
    </row>
    <row r="289" spans="15:19" x14ac:dyDescent="0.25">
      <c r="O289" s="38"/>
      <c r="Q289" s="19"/>
      <c r="R289" s="19"/>
      <c r="S289" s="19"/>
    </row>
    <row r="290" spans="15:19" x14ac:dyDescent="0.25">
      <c r="O290" s="38"/>
      <c r="Q290" s="19"/>
      <c r="R290" s="19"/>
      <c r="S290" s="19"/>
    </row>
    <row r="291" spans="15:19" x14ac:dyDescent="0.25">
      <c r="O291" s="38"/>
      <c r="Q291" s="19"/>
      <c r="R291" s="19"/>
      <c r="S291" s="19"/>
    </row>
    <row r="292" spans="15:19" x14ac:dyDescent="0.25">
      <c r="O292" s="38"/>
      <c r="Q292" s="19"/>
      <c r="R292" s="19"/>
      <c r="S292" s="19"/>
    </row>
    <row r="293" spans="15:19" x14ac:dyDescent="0.25">
      <c r="O293" s="38"/>
      <c r="Q293" s="19"/>
      <c r="R293" s="19"/>
      <c r="S293" s="19"/>
    </row>
    <row r="294" spans="15:19" x14ac:dyDescent="0.25">
      <c r="O294" s="38"/>
      <c r="Q294" s="19"/>
      <c r="R294" s="19"/>
      <c r="S294" s="19"/>
    </row>
    <row r="295" spans="15:19" x14ac:dyDescent="0.25">
      <c r="O295" s="38"/>
      <c r="Q295" s="19"/>
      <c r="R295" s="19"/>
      <c r="S295" s="19"/>
    </row>
    <row r="296" spans="15:19" x14ac:dyDescent="0.25">
      <c r="O296" s="38"/>
      <c r="Q296" s="19"/>
      <c r="R296" s="19"/>
      <c r="S296" s="19"/>
    </row>
    <row r="297" spans="15:19" x14ac:dyDescent="0.25">
      <c r="O297" s="38"/>
      <c r="Q297" s="19"/>
      <c r="R297" s="19"/>
      <c r="S297" s="19"/>
    </row>
    <row r="298" spans="15:19" x14ac:dyDescent="0.25">
      <c r="O298" s="38"/>
      <c r="Q298" s="19"/>
      <c r="R298" s="19"/>
      <c r="S298" s="19"/>
    </row>
    <row r="299" spans="15:19" x14ac:dyDescent="0.25">
      <c r="O299" s="38"/>
      <c r="Q299" s="19"/>
      <c r="R299" s="19"/>
      <c r="S299" s="19"/>
    </row>
    <row r="300" spans="15:19" x14ac:dyDescent="0.25">
      <c r="O300" s="38"/>
      <c r="Q300" s="19"/>
      <c r="R300" s="19"/>
      <c r="S300" s="19"/>
    </row>
    <row r="301" spans="15:19" x14ac:dyDescent="0.25">
      <c r="O301" s="38"/>
      <c r="Q301" s="19"/>
      <c r="R301" s="19"/>
      <c r="S301" s="19"/>
    </row>
    <row r="302" spans="15:19" x14ac:dyDescent="0.25">
      <c r="O302" s="38"/>
      <c r="Q302" s="19"/>
      <c r="R302" s="19"/>
      <c r="S302" s="19"/>
    </row>
    <row r="303" spans="15:19" x14ac:dyDescent="0.25">
      <c r="O303" s="38"/>
      <c r="Q303" s="19"/>
      <c r="R303" s="19"/>
      <c r="S303" s="19"/>
    </row>
    <row r="304" spans="15:19" x14ac:dyDescent="0.25">
      <c r="O304" s="38"/>
      <c r="Q304" s="19"/>
      <c r="R304" s="19"/>
      <c r="S304" s="19"/>
    </row>
    <row r="305" spans="15:19" x14ac:dyDescent="0.25">
      <c r="O305" s="38"/>
      <c r="Q305" s="19"/>
      <c r="R305" s="19"/>
      <c r="S305" s="19"/>
    </row>
    <row r="306" spans="15:19" x14ac:dyDescent="0.25">
      <c r="O306" s="38"/>
      <c r="Q306" s="19"/>
      <c r="R306" s="19"/>
      <c r="S306" s="19"/>
    </row>
    <row r="307" spans="15:19" x14ac:dyDescent="0.25">
      <c r="O307" s="38"/>
      <c r="Q307" s="19"/>
      <c r="R307" s="19"/>
      <c r="S307" s="19"/>
    </row>
    <row r="308" spans="15:19" x14ac:dyDescent="0.25">
      <c r="O308" s="38"/>
      <c r="Q308" s="19"/>
      <c r="R308" s="19"/>
      <c r="S308" s="19"/>
    </row>
    <row r="309" spans="15:19" x14ac:dyDescent="0.25">
      <c r="O309" s="38"/>
      <c r="Q309" s="19"/>
      <c r="R309" s="19"/>
      <c r="S309" s="19"/>
    </row>
    <row r="310" spans="15:19" x14ac:dyDescent="0.25">
      <c r="O310" s="38"/>
      <c r="Q310" s="19"/>
      <c r="R310" s="19"/>
      <c r="S310" s="19"/>
    </row>
    <row r="311" spans="15:19" x14ac:dyDescent="0.25">
      <c r="O311" s="38"/>
      <c r="Q311" s="19"/>
      <c r="R311" s="19"/>
      <c r="S311" s="19"/>
    </row>
    <row r="312" spans="15:19" x14ac:dyDescent="0.25">
      <c r="O312" s="38"/>
      <c r="Q312" s="19"/>
      <c r="R312" s="19"/>
      <c r="S312" s="19"/>
    </row>
    <row r="313" spans="15:19" x14ac:dyDescent="0.25">
      <c r="O313" s="38"/>
      <c r="Q313" s="19"/>
      <c r="R313" s="19"/>
      <c r="S313" s="19"/>
    </row>
    <row r="314" spans="15:19" x14ac:dyDescent="0.25">
      <c r="O314" s="38"/>
      <c r="Q314" s="19"/>
      <c r="R314" s="19"/>
      <c r="S314" s="19"/>
    </row>
    <row r="315" spans="15:19" x14ac:dyDescent="0.25">
      <c r="O315" s="38"/>
      <c r="Q315" s="19"/>
      <c r="R315" s="19"/>
      <c r="S315" s="19"/>
    </row>
    <row r="316" spans="15:19" x14ac:dyDescent="0.25">
      <c r="O316" s="38"/>
      <c r="Q316" s="19"/>
      <c r="R316" s="19"/>
      <c r="S316" s="19"/>
    </row>
    <row r="317" spans="15:19" x14ac:dyDescent="0.25">
      <c r="O317" s="38"/>
      <c r="Q317" s="19"/>
      <c r="R317" s="19"/>
      <c r="S317" s="19"/>
    </row>
    <row r="318" spans="15:19" x14ac:dyDescent="0.25">
      <c r="O318" s="38"/>
      <c r="Q318" s="19"/>
      <c r="R318" s="19"/>
      <c r="S318" s="19"/>
    </row>
    <row r="319" spans="15:19" x14ac:dyDescent="0.25">
      <c r="O319" s="38"/>
      <c r="Q319" s="19"/>
      <c r="R319" s="19"/>
      <c r="S319" s="19"/>
    </row>
    <row r="320" spans="15:19" x14ac:dyDescent="0.25">
      <c r="O320" s="38"/>
      <c r="Q320" s="19"/>
      <c r="R320" s="19"/>
      <c r="S320" s="19"/>
    </row>
    <row r="321" spans="15:19" x14ac:dyDescent="0.25">
      <c r="O321" s="38"/>
      <c r="Q321" s="19"/>
      <c r="R321" s="19"/>
      <c r="S321" s="19"/>
    </row>
    <row r="322" spans="15:19" x14ac:dyDescent="0.25">
      <c r="O322" s="38"/>
      <c r="Q322" s="19"/>
      <c r="R322" s="19"/>
      <c r="S322" s="19"/>
    </row>
    <row r="323" spans="15:19" x14ac:dyDescent="0.25">
      <c r="O323" s="38"/>
      <c r="Q323" s="19"/>
      <c r="R323" s="19"/>
      <c r="S323" s="19"/>
    </row>
    <row r="324" spans="15:19" x14ac:dyDescent="0.25">
      <c r="O324" s="38"/>
      <c r="Q324" s="19"/>
      <c r="R324" s="19"/>
      <c r="S324" s="19"/>
    </row>
    <row r="325" spans="15:19" x14ac:dyDescent="0.25">
      <c r="O325" s="38"/>
      <c r="Q325" s="19"/>
      <c r="R325" s="19"/>
      <c r="S325" s="19"/>
    </row>
    <row r="326" spans="15:19" x14ac:dyDescent="0.25">
      <c r="O326" s="38"/>
      <c r="Q326" s="19"/>
      <c r="R326" s="19"/>
      <c r="S326" s="19"/>
    </row>
    <row r="327" spans="15:19" x14ac:dyDescent="0.25">
      <c r="O327" s="38"/>
      <c r="Q327" s="19"/>
      <c r="R327" s="19"/>
      <c r="S327" s="19"/>
    </row>
    <row r="328" spans="15:19" x14ac:dyDescent="0.25">
      <c r="O328" s="38"/>
      <c r="Q328" s="19"/>
      <c r="R328" s="19"/>
      <c r="S328" s="19"/>
    </row>
    <row r="329" spans="15:19" x14ac:dyDescent="0.25">
      <c r="O329" s="38"/>
      <c r="Q329" s="19"/>
      <c r="R329" s="19"/>
      <c r="S329" s="19"/>
    </row>
    <row r="330" spans="15:19" x14ac:dyDescent="0.25">
      <c r="O330" s="38"/>
      <c r="Q330" s="19"/>
      <c r="R330" s="19"/>
      <c r="S330" s="19"/>
    </row>
    <row r="331" spans="15:19" x14ac:dyDescent="0.25">
      <c r="O331" s="38"/>
      <c r="Q331" s="19"/>
      <c r="R331" s="19"/>
      <c r="S331" s="19"/>
    </row>
    <row r="332" spans="15:19" x14ac:dyDescent="0.25">
      <c r="O332" s="38"/>
      <c r="Q332" s="19"/>
      <c r="R332" s="19"/>
      <c r="S332" s="19"/>
    </row>
    <row r="333" spans="15:19" x14ac:dyDescent="0.25">
      <c r="O333" s="38"/>
      <c r="Q333" s="19"/>
      <c r="R333" s="19"/>
      <c r="S333" s="19"/>
    </row>
    <row r="334" spans="15:19" x14ac:dyDescent="0.25">
      <c r="O334" s="38"/>
      <c r="Q334" s="19"/>
      <c r="R334" s="19"/>
      <c r="S334" s="19"/>
    </row>
    <row r="335" spans="15:19" x14ac:dyDescent="0.25">
      <c r="O335" s="38"/>
      <c r="Q335" s="19"/>
      <c r="R335" s="19"/>
      <c r="S335" s="19"/>
    </row>
    <row r="336" spans="15:19" x14ac:dyDescent="0.25">
      <c r="O336" s="38"/>
      <c r="Q336" s="19"/>
      <c r="R336" s="19"/>
      <c r="S336" s="19"/>
    </row>
    <row r="337" spans="15:19" x14ac:dyDescent="0.25">
      <c r="O337" s="38"/>
      <c r="Q337" s="19"/>
      <c r="R337" s="19"/>
      <c r="S337" s="19"/>
    </row>
    <row r="338" spans="15:19" x14ac:dyDescent="0.25">
      <c r="O338" s="38"/>
      <c r="Q338" s="19"/>
      <c r="R338" s="19"/>
      <c r="S338" s="19"/>
    </row>
    <row r="339" spans="15:19" x14ac:dyDescent="0.25">
      <c r="O339" s="38"/>
      <c r="Q339" s="19"/>
      <c r="R339" s="19"/>
      <c r="S339" s="19"/>
    </row>
    <row r="340" spans="15:19" x14ac:dyDescent="0.25">
      <c r="O340" s="38"/>
      <c r="Q340" s="19"/>
      <c r="R340" s="19"/>
      <c r="S340" s="19"/>
    </row>
    <row r="341" spans="15:19" x14ac:dyDescent="0.25">
      <c r="O341" s="38"/>
      <c r="Q341" s="19"/>
      <c r="R341" s="19"/>
      <c r="S341" s="19"/>
    </row>
    <row r="342" spans="15:19" x14ac:dyDescent="0.25">
      <c r="O342" s="38"/>
      <c r="Q342" s="19"/>
      <c r="R342" s="19"/>
      <c r="S342" s="19"/>
    </row>
    <row r="343" spans="15:19" x14ac:dyDescent="0.25">
      <c r="O343" s="38"/>
      <c r="Q343" s="19"/>
      <c r="R343" s="19"/>
      <c r="S343" s="19"/>
    </row>
    <row r="344" spans="15:19" x14ac:dyDescent="0.25">
      <c r="O344" s="38"/>
      <c r="Q344" s="19"/>
      <c r="R344" s="19"/>
      <c r="S344" s="19"/>
    </row>
    <row r="345" spans="15:19" x14ac:dyDescent="0.25">
      <c r="O345" s="38"/>
      <c r="Q345" s="19"/>
      <c r="R345" s="19"/>
      <c r="S345" s="19"/>
    </row>
    <row r="346" spans="15:19" x14ac:dyDescent="0.25">
      <c r="O346" s="38"/>
      <c r="Q346" s="19"/>
      <c r="R346" s="19"/>
      <c r="S346" s="19"/>
    </row>
    <row r="347" spans="15:19" x14ac:dyDescent="0.25">
      <c r="O347" s="38"/>
      <c r="Q347" s="19"/>
      <c r="R347" s="19"/>
      <c r="S347" s="19"/>
    </row>
    <row r="348" spans="15:19" x14ac:dyDescent="0.25">
      <c r="O348" s="38"/>
      <c r="Q348" s="19"/>
      <c r="R348" s="19"/>
      <c r="S348" s="19"/>
    </row>
    <row r="349" spans="15:19" x14ac:dyDescent="0.25">
      <c r="O349" s="38"/>
      <c r="Q349" s="19"/>
      <c r="R349" s="19"/>
      <c r="S349" s="19"/>
    </row>
    <row r="350" spans="15:19" x14ac:dyDescent="0.25">
      <c r="O350" s="38"/>
      <c r="Q350" s="19"/>
      <c r="R350" s="19"/>
      <c r="S350" s="19"/>
    </row>
    <row r="351" spans="15:19" x14ac:dyDescent="0.25">
      <c r="O351" s="38"/>
      <c r="Q351" s="19"/>
      <c r="R351" s="19"/>
      <c r="S351" s="19"/>
    </row>
    <row r="352" spans="15:19" x14ac:dyDescent="0.25">
      <c r="O352" s="38"/>
      <c r="Q352" s="19"/>
      <c r="R352" s="19"/>
      <c r="S352" s="19"/>
    </row>
    <row r="353" spans="15:19" x14ac:dyDescent="0.25">
      <c r="O353" s="38"/>
      <c r="Q353" s="19"/>
      <c r="R353" s="19"/>
      <c r="S353" s="19"/>
    </row>
    <row r="354" spans="15:19" x14ac:dyDescent="0.25">
      <c r="O354" s="38"/>
      <c r="Q354" s="19"/>
      <c r="R354" s="19"/>
      <c r="S354" s="19"/>
    </row>
    <row r="355" spans="15:19" x14ac:dyDescent="0.25">
      <c r="O355" s="38"/>
      <c r="Q355" s="19"/>
      <c r="R355" s="19"/>
      <c r="S355" s="19"/>
    </row>
    <row r="356" spans="15:19" x14ac:dyDescent="0.25">
      <c r="O356" s="38"/>
      <c r="Q356" s="19"/>
      <c r="R356" s="19"/>
      <c r="S356" s="19"/>
    </row>
    <row r="357" spans="15:19" x14ac:dyDescent="0.25">
      <c r="O357" s="38"/>
      <c r="Q357" s="19"/>
      <c r="R357" s="19"/>
      <c r="S357" s="19"/>
    </row>
    <row r="358" spans="15:19" x14ac:dyDescent="0.25">
      <c r="O358" s="38"/>
      <c r="Q358" s="19"/>
      <c r="R358" s="19"/>
      <c r="S358" s="19"/>
    </row>
    <row r="359" spans="15:19" x14ac:dyDescent="0.25">
      <c r="O359" s="38"/>
      <c r="Q359" s="19"/>
      <c r="R359" s="19"/>
      <c r="S359" s="19"/>
    </row>
    <row r="360" spans="15:19" x14ac:dyDescent="0.25">
      <c r="O360" s="38"/>
      <c r="Q360" s="19"/>
      <c r="R360" s="19"/>
      <c r="S360" s="19"/>
    </row>
    <row r="361" spans="15:19" x14ac:dyDescent="0.25">
      <c r="O361" s="38"/>
      <c r="Q361" s="19"/>
      <c r="R361" s="19"/>
      <c r="S361" s="19"/>
    </row>
    <row r="362" spans="15:19" x14ac:dyDescent="0.25">
      <c r="O362" s="38"/>
      <c r="Q362" s="19"/>
      <c r="R362" s="19"/>
      <c r="S362" s="19"/>
    </row>
    <row r="363" spans="15:19" x14ac:dyDescent="0.25">
      <c r="O363" s="38"/>
      <c r="Q363" s="19"/>
      <c r="R363" s="19"/>
      <c r="S363" s="19"/>
    </row>
    <row r="364" spans="15:19" x14ac:dyDescent="0.25">
      <c r="O364" s="38"/>
      <c r="Q364" s="19"/>
      <c r="R364" s="19"/>
      <c r="S364" s="19"/>
    </row>
    <row r="365" spans="15:19" x14ac:dyDescent="0.25">
      <c r="O365" s="38"/>
      <c r="Q365" s="19"/>
      <c r="R365" s="19"/>
      <c r="S365" s="19"/>
    </row>
    <row r="366" spans="15:19" x14ac:dyDescent="0.25">
      <c r="O366" s="38"/>
      <c r="Q366" s="19"/>
      <c r="R366" s="19"/>
      <c r="S366" s="19"/>
    </row>
    <row r="367" spans="15:19" x14ac:dyDescent="0.25">
      <c r="O367" s="38"/>
      <c r="Q367" s="19"/>
      <c r="R367" s="19"/>
      <c r="S367" s="19"/>
    </row>
    <row r="368" spans="15:19" x14ac:dyDescent="0.25">
      <c r="O368" s="38"/>
      <c r="Q368" s="19"/>
      <c r="R368" s="19"/>
      <c r="S368" s="19"/>
    </row>
    <row r="369" spans="15:19" x14ac:dyDescent="0.25">
      <c r="O369" s="38"/>
      <c r="Q369" s="19"/>
      <c r="R369" s="19"/>
      <c r="S369" s="19"/>
    </row>
    <row r="370" spans="15:19" x14ac:dyDescent="0.25">
      <c r="O370" s="38"/>
      <c r="Q370" s="19"/>
      <c r="R370" s="19"/>
      <c r="S370" s="19"/>
    </row>
    <row r="371" spans="15:19" x14ac:dyDescent="0.25">
      <c r="O371" s="38"/>
      <c r="Q371" s="19"/>
      <c r="R371" s="19"/>
      <c r="S371" s="19"/>
    </row>
    <row r="372" spans="15:19" x14ac:dyDescent="0.25">
      <c r="O372" s="38"/>
      <c r="Q372" s="19"/>
      <c r="R372" s="19"/>
      <c r="S372" s="19"/>
    </row>
    <row r="373" spans="15:19" x14ac:dyDescent="0.25">
      <c r="O373" s="38"/>
      <c r="Q373" s="19"/>
      <c r="R373" s="19"/>
      <c r="S373" s="19"/>
    </row>
    <row r="374" spans="15:19" x14ac:dyDescent="0.25">
      <c r="O374" s="38"/>
      <c r="Q374" s="19"/>
      <c r="R374" s="19"/>
      <c r="S374" s="19"/>
    </row>
    <row r="375" spans="15:19" x14ac:dyDescent="0.25">
      <c r="O375" s="38"/>
      <c r="Q375" s="19"/>
      <c r="R375" s="19"/>
      <c r="S375" s="19"/>
    </row>
    <row r="376" spans="15:19" x14ac:dyDescent="0.25">
      <c r="O376" s="38"/>
      <c r="Q376" s="19"/>
      <c r="R376" s="19"/>
      <c r="S376" s="19"/>
    </row>
    <row r="377" spans="15:19" x14ac:dyDescent="0.25">
      <c r="O377" s="38"/>
      <c r="Q377" s="19"/>
      <c r="R377" s="19"/>
      <c r="S377" s="19"/>
    </row>
    <row r="378" spans="15:19" x14ac:dyDescent="0.25">
      <c r="O378" s="38"/>
      <c r="Q378" s="19"/>
      <c r="R378" s="19"/>
      <c r="S378" s="19"/>
    </row>
    <row r="379" spans="15:19" x14ac:dyDescent="0.25">
      <c r="O379" s="38"/>
      <c r="Q379" s="19"/>
      <c r="R379" s="19"/>
      <c r="S379" s="19"/>
    </row>
    <row r="380" spans="15:19" x14ac:dyDescent="0.25">
      <c r="O380" s="38"/>
      <c r="Q380" s="19"/>
      <c r="R380" s="19"/>
      <c r="S380" s="19"/>
    </row>
    <row r="381" spans="15:19" x14ac:dyDescent="0.25">
      <c r="O381" s="38"/>
      <c r="Q381" s="19"/>
      <c r="R381" s="19"/>
      <c r="S381" s="19"/>
    </row>
    <row r="382" spans="15:19" x14ac:dyDescent="0.25">
      <c r="O382" s="38"/>
      <c r="Q382" s="19"/>
      <c r="R382" s="19"/>
      <c r="S382" s="19"/>
    </row>
    <row r="383" spans="15:19" x14ac:dyDescent="0.25">
      <c r="O383" s="38"/>
      <c r="Q383" s="19"/>
      <c r="R383" s="19"/>
      <c r="S383" s="19"/>
    </row>
    <row r="384" spans="15:19" x14ac:dyDescent="0.25">
      <c r="O384" s="38"/>
      <c r="Q384" s="19"/>
      <c r="R384" s="19"/>
      <c r="S384" s="19"/>
    </row>
    <row r="385" spans="15:19" x14ac:dyDescent="0.25">
      <c r="O385" s="38"/>
      <c r="Q385" s="19"/>
      <c r="R385" s="19"/>
      <c r="S385" s="19"/>
    </row>
    <row r="386" spans="15:19" x14ac:dyDescent="0.25">
      <c r="O386" s="38"/>
      <c r="Q386" s="19"/>
      <c r="R386" s="19"/>
      <c r="S386" s="19"/>
    </row>
    <row r="387" spans="15:19" x14ac:dyDescent="0.25">
      <c r="O387" s="38"/>
      <c r="Q387" s="19"/>
      <c r="R387" s="19"/>
      <c r="S387" s="19"/>
    </row>
    <row r="388" spans="15:19" x14ac:dyDescent="0.25">
      <c r="O388" s="38"/>
      <c r="Q388" s="19"/>
      <c r="R388" s="19"/>
      <c r="S388" s="19"/>
    </row>
    <row r="389" spans="15:19" x14ac:dyDescent="0.25">
      <c r="O389" s="38"/>
      <c r="Q389" s="19"/>
      <c r="R389" s="19"/>
      <c r="S389" s="19"/>
    </row>
    <row r="390" spans="15:19" x14ac:dyDescent="0.25">
      <c r="O390" s="38"/>
      <c r="Q390" s="19"/>
      <c r="R390" s="19"/>
      <c r="S390" s="19"/>
    </row>
    <row r="391" spans="15:19" x14ac:dyDescent="0.25">
      <c r="O391" s="38"/>
      <c r="Q391" s="19"/>
      <c r="R391" s="19"/>
      <c r="S391" s="19"/>
    </row>
    <row r="392" spans="15:19" x14ac:dyDescent="0.25">
      <c r="O392" s="38"/>
      <c r="Q392" s="19"/>
      <c r="R392" s="19"/>
      <c r="S392" s="19"/>
    </row>
    <row r="393" spans="15:19" x14ac:dyDescent="0.25">
      <c r="O393" s="38"/>
      <c r="Q393" s="19"/>
      <c r="R393" s="19"/>
      <c r="S393" s="19"/>
    </row>
    <row r="394" spans="15:19" x14ac:dyDescent="0.25">
      <c r="O394" s="38"/>
      <c r="Q394" s="19"/>
      <c r="R394" s="19"/>
      <c r="S394" s="19"/>
    </row>
    <row r="395" spans="15:19" x14ac:dyDescent="0.25">
      <c r="O395" s="38"/>
      <c r="Q395" s="19"/>
      <c r="R395" s="19"/>
      <c r="S395" s="19"/>
    </row>
    <row r="396" spans="15:19" x14ac:dyDescent="0.25">
      <c r="O396" s="38"/>
      <c r="Q396" s="19"/>
      <c r="R396" s="19"/>
      <c r="S396" s="19"/>
    </row>
    <row r="397" spans="15:19" x14ac:dyDescent="0.25">
      <c r="O397" s="38"/>
      <c r="Q397" s="19"/>
      <c r="R397" s="19"/>
      <c r="S397" s="19"/>
    </row>
    <row r="398" spans="15:19" x14ac:dyDescent="0.25">
      <c r="O398" s="38"/>
      <c r="Q398" s="19"/>
      <c r="R398" s="19"/>
      <c r="S398" s="19"/>
    </row>
    <row r="399" spans="15:19" x14ac:dyDescent="0.25">
      <c r="O399" s="38"/>
      <c r="Q399" s="19"/>
      <c r="R399" s="19"/>
      <c r="S399" s="19"/>
    </row>
    <row r="400" spans="15:19" x14ac:dyDescent="0.25">
      <c r="O400" s="38"/>
      <c r="Q400" s="19"/>
      <c r="R400" s="19"/>
      <c r="S400" s="19"/>
    </row>
    <row r="401" spans="15:19" x14ac:dyDescent="0.25">
      <c r="O401" s="38"/>
      <c r="Q401" s="19"/>
      <c r="R401" s="19"/>
      <c r="S401" s="19"/>
    </row>
    <row r="402" spans="15:19" x14ac:dyDescent="0.25">
      <c r="O402" s="38"/>
      <c r="Q402" s="19"/>
      <c r="R402" s="19"/>
      <c r="S402" s="19"/>
    </row>
    <row r="403" spans="15:19" x14ac:dyDescent="0.25">
      <c r="O403" s="38"/>
      <c r="Q403" s="19"/>
      <c r="R403" s="19"/>
      <c r="S403" s="19"/>
    </row>
    <row r="404" spans="15:19" x14ac:dyDescent="0.25">
      <c r="O404" s="38"/>
      <c r="Q404" s="19"/>
      <c r="R404" s="19"/>
      <c r="S404" s="19"/>
    </row>
    <row r="405" spans="15:19" x14ac:dyDescent="0.25">
      <c r="O405" s="38"/>
      <c r="Q405" s="19"/>
      <c r="R405" s="19"/>
      <c r="S405" s="19"/>
    </row>
    <row r="406" spans="15:19" x14ac:dyDescent="0.25">
      <c r="O406" s="38"/>
      <c r="Q406" s="19"/>
      <c r="R406" s="19"/>
      <c r="S406" s="19"/>
    </row>
    <row r="407" spans="15:19" x14ac:dyDescent="0.25">
      <c r="O407" s="38"/>
      <c r="Q407" s="19"/>
      <c r="R407" s="19"/>
      <c r="S407" s="19"/>
    </row>
    <row r="408" spans="15:19" x14ac:dyDescent="0.25">
      <c r="O408" s="38"/>
      <c r="Q408" s="19"/>
      <c r="R408" s="19"/>
      <c r="S408" s="19"/>
    </row>
    <row r="409" spans="15:19" x14ac:dyDescent="0.25">
      <c r="O409" s="38"/>
      <c r="Q409" s="19"/>
      <c r="R409" s="19"/>
      <c r="S409" s="19"/>
    </row>
    <row r="410" spans="15:19" x14ac:dyDescent="0.25">
      <c r="O410" s="38"/>
      <c r="Q410" s="19"/>
      <c r="R410" s="19"/>
      <c r="S410" s="19"/>
    </row>
    <row r="411" spans="15:19" x14ac:dyDescent="0.25">
      <c r="O411" s="38"/>
      <c r="Q411" s="19"/>
      <c r="R411" s="19"/>
      <c r="S411" s="19"/>
    </row>
    <row r="412" spans="15:19" x14ac:dyDescent="0.25">
      <c r="O412" s="38"/>
      <c r="Q412" s="19"/>
      <c r="R412" s="19"/>
      <c r="S412" s="19"/>
    </row>
    <row r="413" spans="15:19" x14ac:dyDescent="0.25">
      <c r="O413" s="38"/>
      <c r="Q413" s="19"/>
      <c r="R413" s="19"/>
      <c r="S413" s="19"/>
    </row>
    <row r="414" spans="15:19" x14ac:dyDescent="0.25">
      <c r="O414" s="38"/>
      <c r="Q414" s="19"/>
      <c r="R414" s="19"/>
      <c r="S414" s="19"/>
    </row>
    <row r="415" spans="15:19" x14ac:dyDescent="0.25">
      <c r="O415" s="38"/>
      <c r="Q415" s="19"/>
      <c r="R415" s="19"/>
      <c r="S415" s="19"/>
    </row>
    <row r="416" spans="15:19" x14ac:dyDescent="0.25">
      <c r="O416" s="38"/>
      <c r="Q416" s="19"/>
      <c r="R416" s="19"/>
      <c r="S416" s="19"/>
    </row>
    <row r="417" spans="15:19" x14ac:dyDescent="0.25">
      <c r="O417" s="38"/>
      <c r="Q417" s="19"/>
      <c r="R417" s="19"/>
      <c r="S417" s="19"/>
    </row>
    <row r="418" spans="15:19" x14ac:dyDescent="0.25">
      <c r="O418" s="38"/>
      <c r="Q418" s="19"/>
      <c r="R418" s="19"/>
      <c r="S418" s="19"/>
    </row>
    <row r="419" spans="15:19" x14ac:dyDescent="0.25">
      <c r="O419" s="38"/>
      <c r="Q419" s="19"/>
      <c r="R419" s="19"/>
      <c r="S419" s="19"/>
    </row>
    <row r="420" spans="15:19" x14ac:dyDescent="0.25">
      <c r="O420" s="38"/>
      <c r="Q420" s="19"/>
      <c r="R420" s="19"/>
      <c r="S420" s="19"/>
    </row>
    <row r="421" spans="15:19" x14ac:dyDescent="0.25">
      <c r="O421" s="38"/>
      <c r="Q421" s="19"/>
      <c r="R421" s="19"/>
      <c r="S421" s="19"/>
    </row>
    <row r="422" spans="15:19" x14ac:dyDescent="0.25">
      <c r="O422" s="38"/>
      <c r="Q422" s="19"/>
      <c r="R422" s="19"/>
      <c r="S422" s="19"/>
    </row>
    <row r="423" spans="15:19" x14ac:dyDescent="0.25">
      <c r="O423" s="38"/>
      <c r="Q423" s="19"/>
      <c r="R423" s="19"/>
      <c r="S423" s="19"/>
    </row>
    <row r="424" spans="15:19" x14ac:dyDescent="0.25">
      <c r="O424" s="38"/>
      <c r="Q424" s="19"/>
      <c r="R424" s="19"/>
      <c r="S424" s="19"/>
    </row>
    <row r="425" spans="15:19" x14ac:dyDescent="0.25">
      <c r="O425" s="38"/>
      <c r="Q425" s="19"/>
      <c r="R425" s="19"/>
      <c r="S425" s="19"/>
    </row>
    <row r="426" spans="15:19" x14ac:dyDescent="0.25">
      <c r="O426" s="38"/>
      <c r="Q426" s="19"/>
      <c r="R426" s="19"/>
      <c r="S426" s="19"/>
    </row>
    <row r="427" spans="15:19" x14ac:dyDescent="0.25">
      <c r="O427" s="38"/>
      <c r="Q427" s="19"/>
      <c r="R427" s="19"/>
      <c r="S427" s="19"/>
    </row>
    <row r="428" spans="15:19" x14ac:dyDescent="0.25">
      <c r="O428" s="38"/>
      <c r="Q428" s="19"/>
      <c r="R428" s="19"/>
      <c r="S428" s="19"/>
    </row>
    <row r="429" spans="15:19" x14ac:dyDescent="0.25">
      <c r="O429" s="38"/>
      <c r="Q429" s="19"/>
      <c r="R429" s="19"/>
      <c r="S429" s="19"/>
    </row>
    <row r="430" spans="15:19" x14ac:dyDescent="0.25">
      <c r="O430" s="38"/>
      <c r="Q430" s="19"/>
      <c r="R430" s="19"/>
      <c r="S430" s="19"/>
    </row>
    <row r="431" spans="15:19" x14ac:dyDescent="0.25">
      <c r="O431" s="38"/>
      <c r="Q431" s="19"/>
      <c r="R431" s="19"/>
      <c r="S431" s="19"/>
    </row>
    <row r="432" spans="15:19" x14ac:dyDescent="0.25">
      <c r="O432" s="38"/>
      <c r="Q432" s="19"/>
      <c r="R432" s="19"/>
      <c r="S432" s="19"/>
    </row>
    <row r="433" spans="15:19" x14ac:dyDescent="0.25">
      <c r="O433" s="38"/>
      <c r="Q433" s="19"/>
      <c r="R433" s="19"/>
      <c r="S433" s="19"/>
    </row>
    <row r="434" spans="15:19" x14ac:dyDescent="0.25">
      <c r="O434" s="38"/>
      <c r="Q434" s="19"/>
      <c r="R434" s="19"/>
      <c r="S434" s="19"/>
    </row>
    <row r="435" spans="15:19" x14ac:dyDescent="0.25">
      <c r="O435" s="38"/>
      <c r="Q435" s="19"/>
      <c r="R435" s="19"/>
      <c r="S435" s="19"/>
    </row>
    <row r="436" spans="15:19" x14ac:dyDescent="0.25">
      <c r="O436" s="38"/>
      <c r="Q436" s="19"/>
      <c r="R436" s="19"/>
      <c r="S436" s="19"/>
    </row>
    <row r="437" spans="15:19" x14ac:dyDescent="0.25">
      <c r="O437" s="38"/>
      <c r="Q437" s="19"/>
      <c r="R437" s="19"/>
      <c r="S437" s="19"/>
    </row>
    <row r="438" spans="15:19" x14ac:dyDescent="0.25">
      <c r="O438" s="38"/>
      <c r="Q438" s="19"/>
      <c r="R438" s="19"/>
      <c r="S438" s="19"/>
    </row>
    <row r="439" spans="15:19" x14ac:dyDescent="0.25">
      <c r="O439" s="38"/>
      <c r="Q439" s="19"/>
      <c r="R439" s="19"/>
      <c r="S439" s="19"/>
    </row>
    <row r="440" spans="15:19" x14ac:dyDescent="0.25">
      <c r="O440" s="38"/>
      <c r="Q440" s="19"/>
      <c r="R440" s="19"/>
      <c r="S440" s="19"/>
    </row>
    <row r="441" spans="15:19" x14ac:dyDescent="0.25">
      <c r="O441" s="38"/>
      <c r="Q441" s="19"/>
      <c r="R441" s="19"/>
      <c r="S441" s="19"/>
    </row>
    <row r="442" spans="15:19" x14ac:dyDescent="0.25">
      <c r="O442" s="38"/>
      <c r="Q442" s="19"/>
      <c r="R442" s="19"/>
      <c r="S442" s="19"/>
    </row>
    <row r="443" spans="15:19" x14ac:dyDescent="0.25">
      <c r="O443" s="38"/>
      <c r="Q443" s="19"/>
      <c r="R443" s="19"/>
      <c r="S443" s="19"/>
    </row>
    <row r="444" spans="15:19" x14ac:dyDescent="0.25">
      <c r="O444" s="38"/>
      <c r="Q444" s="19"/>
      <c r="R444" s="19"/>
      <c r="S444" s="19"/>
    </row>
    <row r="445" spans="15:19" x14ac:dyDescent="0.25">
      <c r="O445" s="38"/>
      <c r="Q445" s="19"/>
      <c r="R445" s="19"/>
      <c r="S445" s="19"/>
    </row>
    <row r="446" spans="15:19" x14ac:dyDescent="0.25">
      <c r="O446" s="38"/>
      <c r="Q446" s="19"/>
      <c r="R446" s="19"/>
      <c r="S446" s="19"/>
    </row>
    <row r="447" spans="15:19" x14ac:dyDescent="0.25">
      <c r="O447" s="38"/>
      <c r="Q447" s="19"/>
      <c r="R447" s="19"/>
      <c r="S447" s="19"/>
    </row>
    <row r="448" spans="15:19" x14ac:dyDescent="0.25">
      <c r="O448" s="38"/>
      <c r="Q448" s="19"/>
      <c r="R448" s="19"/>
      <c r="S448" s="19"/>
    </row>
    <row r="449" spans="15:19" x14ac:dyDescent="0.25">
      <c r="O449" s="38"/>
      <c r="Q449" s="19"/>
      <c r="R449" s="19"/>
      <c r="S449" s="19"/>
    </row>
    <row r="450" spans="15:19" x14ac:dyDescent="0.25">
      <c r="O450" s="38"/>
      <c r="Q450" s="19"/>
      <c r="R450" s="19"/>
      <c r="S450" s="19"/>
    </row>
    <row r="451" spans="15:19" x14ac:dyDescent="0.25">
      <c r="O451" s="38"/>
      <c r="Q451" s="19"/>
      <c r="R451" s="19"/>
      <c r="S451" s="19"/>
    </row>
    <row r="452" spans="15:19" x14ac:dyDescent="0.25">
      <c r="O452" s="38"/>
      <c r="Q452" s="19"/>
      <c r="R452" s="19"/>
      <c r="S452" s="19"/>
    </row>
    <row r="453" spans="15:19" x14ac:dyDescent="0.25">
      <c r="O453" s="38"/>
      <c r="Q453" s="19"/>
      <c r="R453" s="19"/>
      <c r="S453" s="19"/>
    </row>
    <row r="454" spans="15:19" x14ac:dyDescent="0.25">
      <c r="O454" s="38"/>
      <c r="Q454" s="19"/>
      <c r="R454" s="19"/>
      <c r="S454" s="19"/>
    </row>
    <row r="455" spans="15:19" x14ac:dyDescent="0.25">
      <c r="O455" s="38"/>
      <c r="Q455" s="19"/>
      <c r="R455" s="19"/>
      <c r="S455" s="19"/>
    </row>
    <row r="456" spans="15:19" x14ac:dyDescent="0.25">
      <c r="O456" s="38"/>
      <c r="Q456" s="19"/>
      <c r="R456" s="19"/>
      <c r="S456" s="19"/>
    </row>
    <row r="457" spans="15:19" x14ac:dyDescent="0.25">
      <c r="O457" s="38"/>
      <c r="Q457" s="19"/>
      <c r="R457" s="19"/>
      <c r="S457" s="19"/>
    </row>
    <row r="458" spans="15:19" x14ac:dyDescent="0.25">
      <c r="O458" s="38"/>
      <c r="Q458" s="19"/>
      <c r="R458" s="19"/>
      <c r="S458" s="19"/>
    </row>
    <row r="459" spans="15:19" x14ac:dyDescent="0.25">
      <c r="O459" s="38"/>
      <c r="Q459" s="19"/>
      <c r="R459" s="19"/>
      <c r="S459" s="19"/>
    </row>
    <row r="460" spans="15:19" x14ac:dyDescent="0.25">
      <c r="O460" s="38"/>
      <c r="Q460" s="19"/>
      <c r="R460" s="19"/>
      <c r="S460" s="19"/>
    </row>
    <row r="461" spans="15:19" x14ac:dyDescent="0.25">
      <c r="O461" s="38"/>
      <c r="Q461" s="19"/>
      <c r="R461" s="19"/>
      <c r="S461" s="19"/>
    </row>
    <row r="462" spans="15:19" x14ac:dyDescent="0.25">
      <c r="O462" s="38"/>
      <c r="Q462" s="19"/>
      <c r="R462" s="19"/>
      <c r="S462" s="19"/>
    </row>
    <row r="463" spans="15:19" x14ac:dyDescent="0.25">
      <c r="O463" s="38"/>
      <c r="Q463" s="19"/>
      <c r="R463" s="19"/>
      <c r="S463" s="19"/>
    </row>
    <row r="464" spans="15:19" x14ac:dyDescent="0.25">
      <c r="O464" s="38"/>
      <c r="Q464" s="19"/>
      <c r="R464" s="19"/>
      <c r="S464" s="19"/>
    </row>
    <row r="465" spans="15:19" x14ac:dyDescent="0.25">
      <c r="O465" s="38"/>
      <c r="Q465" s="19"/>
      <c r="R465" s="19"/>
      <c r="S465" s="19"/>
    </row>
    <row r="466" spans="15:19" x14ac:dyDescent="0.25">
      <c r="O466" s="38"/>
      <c r="Q466" s="19"/>
      <c r="R466" s="19"/>
      <c r="S466" s="19"/>
    </row>
    <row r="467" spans="15:19" x14ac:dyDescent="0.25">
      <c r="O467" s="38"/>
      <c r="Q467" s="19"/>
      <c r="R467" s="19"/>
      <c r="S467" s="19"/>
    </row>
    <row r="468" spans="15:19" x14ac:dyDescent="0.25">
      <c r="O468" s="38"/>
      <c r="Q468" s="19"/>
      <c r="R468" s="19"/>
      <c r="S468" s="19"/>
    </row>
    <row r="469" spans="15:19" x14ac:dyDescent="0.25">
      <c r="O469" s="38"/>
      <c r="Q469" s="19"/>
      <c r="R469" s="19"/>
      <c r="S469" s="19"/>
    </row>
    <row r="470" spans="15:19" x14ac:dyDescent="0.25">
      <c r="O470" s="38"/>
      <c r="Q470" s="19"/>
      <c r="R470" s="19"/>
      <c r="S470" s="19"/>
    </row>
    <row r="471" spans="15:19" x14ac:dyDescent="0.25">
      <c r="O471" s="38"/>
      <c r="Q471" s="19"/>
      <c r="R471" s="19"/>
      <c r="S471" s="19"/>
    </row>
    <row r="472" spans="15:19" x14ac:dyDescent="0.25">
      <c r="O472" s="38"/>
      <c r="Q472" s="19"/>
      <c r="R472" s="19"/>
      <c r="S472" s="19"/>
    </row>
    <row r="473" spans="15:19" x14ac:dyDescent="0.25">
      <c r="O473" s="38"/>
      <c r="Q473" s="19"/>
      <c r="R473" s="19"/>
      <c r="S473" s="19"/>
    </row>
    <row r="474" spans="15:19" x14ac:dyDescent="0.25">
      <c r="O474" s="38"/>
      <c r="Q474" s="19"/>
      <c r="R474" s="19"/>
      <c r="S474" s="19"/>
    </row>
    <row r="475" spans="15:19" x14ac:dyDescent="0.25">
      <c r="O475" s="38"/>
      <c r="Q475" s="19"/>
      <c r="R475" s="19"/>
      <c r="S475" s="19"/>
    </row>
    <row r="476" spans="15:19" x14ac:dyDescent="0.25">
      <c r="O476" s="38"/>
      <c r="Q476" s="19"/>
      <c r="R476" s="19"/>
      <c r="S476" s="19"/>
    </row>
    <row r="477" spans="15:19" x14ac:dyDescent="0.25">
      <c r="O477" s="38"/>
      <c r="Q477" s="19"/>
      <c r="R477" s="19"/>
      <c r="S477" s="19"/>
    </row>
    <row r="478" spans="15:19" x14ac:dyDescent="0.25">
      <c r="O478" s="38"/>
      <c r="Q478" s="19"/>
      <c r="R478" s="19"/>
      <c r="S478" s="19"/>
    </row>
    <row r="479" spans="15:19" x14ac:dyDescent="0.25">
      <c r="O479" s="38"/>
      <c r="Q479" s="19"/>
      <c r="R479" s="19"/>
      <c r="S479" s="19"/>
    </row>
    <row r="480" spans="15:19" x14ac:dyDescent="0.25">
      <c r="O480" s="38"/>
      <c r="Q480" s="19"/>
      <c r="R480" s="19"/>
      <c r="S480" s="19"/>
    </row>
    <row r="481" spans="15:19" x14ac:dyDescent="0.25">
      <c r="O481" s="38"/>
      <c r="Q481" s="19"/>
      <c r="R481" s="19"/>
      <c r="S481" s="19"/>
    </row>
    <row r="482" spans="15:19" x14ac:dyDescent="0.25">
      <c r="O482" s="38"/>
      <c r="Q482" s="19"/>
      <c r="R482" s="19"/>
      <c r="S482" s="19"/>
    </row>
    <row r="483" spans="15:19" x14ac:dyDescent="0.25">
      <c r="O483" s="38"/>
      <c r="Q483" s="19"/>
      <c r="R483" s="19"/>
      <c r="S483" s="19"/>
    </row>
    <row r="484" spans="15:19" x14ac:dyDescent="0.25">
      <c r="O484" s="38"/>
      <c r="Q484" s="19"/>
      <c r="R484" s="19"/>
      <c r="S484" s="19"/>
    </row>
    <row r="485" spans="15:19" x14ac:dyDescent="0.25">
      <c r="O485" s="38"/>
      <c r="Q485" s="19"/>
      <c r="R485" s="19"/>
      <c r="S485" s="19"/>
    </row>
    <row r="486" spans="15:19" x14ac:dyDescent="0.25">
      <c r="O486" s="38"/>
      <c r="Q486" s="19"/>
      <c r="R486" s="19"/>
      <c r="S486" s="19"/>
    </row>
    <row r="487" spans="15:19" x14ac:dyDescent="0.25">
      <c r="O487" s="38"/>
      <c r="Q487" s="19"/>
      <c r="R487" s="19"/>
      <c r="S487" s="19"/>
    </row>
    <row r="488" spans="15:19" x14ac:dyDescent="0.25">
      <c r="O488" s="38"/>
      <c r="Q488" s="19"/>
      <c r="R488" s="19"/>
      <c r="S488" s="19"/>
    </row>
    <row r="489" spans="15:19" x14ac:dyDescent="0.25">
      <c r="O489" s="38"/>
      <c r="Q489" s="19"/>
      <c r="R489" s="19"/>
      <c r="S489" s="19"/>
    </row>
    <row r="490" spans="15:19" x14ac:dyDescent="0.25">
      <c r="O490" s="38"/>
      <c r="Q490" s="19"/>
      <c r="R490" s="19"/>
      <c r="S490" s="19"/>
    </row>
    <row r="491" spans="15:19" x14ac:dyDescent="0.25">
      <c r="O491" s="38"/>
      <c r="Q491" s="19"/>
      <c r="R491" s="19"/>
      <c r="S491" s="19"/>
    </row>
    <row r="492" spans="15:19" x14ac:dyDescent="0.25">
      <c r="O492" s="38"/>
      <c r="Q492" s="19"/>
      <c r="R492" s="19"/>
      <c r="S492" s="19"/>
    </row>
    <row r="493" spans="15:19" x14ac:dyDescent="0.25">
      <c r="O493" s="38"/>
      <c r="Q493" s="19"/>
      <c r="R493" s="19"/>
      <c r="S493" s="19"/>
    </row>
    <row r="494" spans="15:19" x14ac:dyDescent="0.25">
      <c r="O494" s="38"/>
      <c r="Q494" s="19"/>
      <c r="R494" s="19"/>
      <c r="S494" s="19"/>
    </row>
    <row r="495" spans="15:19" x14ac:dyDescent="0.25">
      <c r="O495" s="38"/>
      <c r="Q495" s="19"/>
      <c r="R495" s="19"/>
      <c r="S495" s="19"/>
    </row>
    <row r="496" spans="15:19" x14ac:dyDescent="0.25">
      <c r="O496" s="38"/>
      <c r="Q496" s="19"/>
      <c r="R496" s="19"/>
      <c r="S496" s="19"/>
    </row>
    <row r="497" spans="15:19" x14ac:dyDescent="0.25">
      <c r="O497" s="38"/>
      <c r="Q497" s="19"/>
      <c r="R497" s="19"/>
      <c r="S497" s="19"/>
    </row>
    <row r="498" spans="15:19" x14ac:dyDescent="0.25">
      <c r="O498" s="38"/>
      <c r="Q498" s="19"/>
      <c r="R498" s="19"/>
      <c r="S498" s="19"/>
    </row>
    <row r="499" spans="15:19" x14ac:dyDescent="0.25">
      <c r="O499" s="38"/>
      <c r="Q499" s="19"/>
      <c r="R499" s="19"/>
      <c r="S499" s="19"/>
    </row>
    <row r="500" spans="15:19" x14ac:dyDescent="0.25">
      <c r="O500" s="38"/>
      <c r="Q500" s="19"/>
      <c r="R500" s="19"/>
      <c r="S500" s="19"/>
    </row>
    <row r="501" spans="15:19" x14ac:dyDescent="0.25">
      <c r="O501" s="38"/>
      <c r="Q501" s="19"/>
      <c r="R501" s="19"/>
      <c r="S501" s="19"/>
    </row>
    <row r="502" spans="15:19" x14ac:dyDescent="0.25">
      <c r="O502" s="38"/>
      <c r="Q502" s="19"/>
      <c r="R502" s="19"/>
      <c r="S502" s="19"/>
    </row>
    <row r="503" spans="15:19" x14ac:dyDescent="0.25">
      <c r="O503" s="38"/>
      <c r="Q503" s="19"/>
      <c r="R503" s="19"/>
      <c r="S503" s="19"/>
    </row>
    <row r="504" spans="15:19" x14ac:dyDescent="0.25">
      <c r="O504" s="38"/>
      <c r="Q504" s="19"/>
      <c r="R504" s="19"/>
      <c r="S504" s="19"/>
    </row>
    <row r="505" spans="15:19" x14ac:dyDescent="0.25">
      <c r="O505" s="38"/>
      <c r="Q505" s="19"/>
      <c r="R505" s="19"/>
      <c r="S505" s="19"/>
    </row>
    <row r="506" spans="15:19" x14ac:dyDescent="0.25">
      <c r="O506" s="38"/>
      <c r="Q506" s="19"/>
      <c r="R506" s="19"/>
      <c r="S506" s="19"/>
    </row>
    <row r="507" spans="15:19" x14ac:dyDescent="0.25">
      <c r="O507" s="38"/>
      <c r="Q507" s="19"/>
      <c r="R507" s="19"/>
      <c r="S507" s="19"/>
    </row>
    <row r="508" spans="15:19" x14ac:dyDescent="0.25">
      <c r="O508" s="38"/>
      <c r="Q508" s="19"/>
      <c r="R508" s="19"/>
      <c r="S508" s="19"/>
    </row>
    <row r="509" spans="15:19" x14ac:dyDescent="0.25">
      <c r="O509" s="38"/>
      <c r="Q509" s="19"/>
      <c r="R509" s="19"/>
      <c r="S509" s="19"/>
    </row>
    <row r="510" spans="15:19" x14ac:dyDescent="0.25">
      <c r="O510" s="38"/>
      <c r="Q510" s="19"/>
      <c r="R510" s="19"/>
      <c r="S510" s="19"/>
    </row>
    <row r="511" spans="15:19" x14ac:dyDescent="0.25">
      <c r="O511" s="38"/>
      <c r="Q511" s="19"/>
      <c r="R511" s="19"/>
      <c r="S511" s="19"/>
    </row>
    <row r="512" spans="15:19" x14ac:dyDescent="0.25">
      <c r="O512" s="38"/>
      <c r="Q512" s="19"/>
      <c r="R512" s="19"/>
      <c r="S512" s="19"/>
    </row>
    <row r="513" spans="15:19" x14ac:dyDescent="0.25">
      <c r="O513" s="38"/>
      <c r="Q513" s="19"/>
      <c r="R513" s="19"/>
      <c r="S513" s="19"/>
    </row>
    <row r="514" spans="15:19" x14ac:dyDescent="0.25">
      <c r="O514" s="38"/>
      <c r="Q514" s="19"/>
      <c r="R514" s="19"/>
      <c r="S514" s="19"/>
    </row>
    <row r="515" spans="15:19" x14ac:dyDescent="0.25">
      <c r="O515" s="38"/>
      <c r="Q515" s="19"/>
      <c r="R515" s="19"/>
      <c r="S515" s="19"/>
    </row>
    <row r="516" spans="15:19" x14ac:dyDescent="0.25">
      <c r="O516" s="38"/>
      <c r="Q516" s="19"/>
      <c r="R516" s="19"/>
      <c r="S516" s="19"/>
    </row>
    <row r="517" spans="15:19" x14ac:dyDescent="0.25">
      <c r="O517" s="38"/>
      <c r="Q517" s="19"/>
      <c r="R517" s="19"/>
      <c r="S517" s="19"/>
    </row>
    <row r="518" spans="15:19" x14ac:dyDescent="0.25">
      <c r="O518" s="38"/>
      <c r="Q518" s="19"/>
      <c r="R518" s="19"/>
      <c r="S518" s="19"/>
    </row>
    <row r="519" spans="15:19" x14ac:dyDescent="0.25">
      <c r="O519" s="38"/>
      <c r="Q519" s="19"/>
      <c r="R519" s="19"/>
      <c r="S519" s="19"/>
    </row>
    <row r="520" spans="15:19" x14ac:dyDescent="0.25">
      <c r="O520" s="38"/>
      <c r="Q520" s="19"/>
      <c r="R520" s="19"/>
      <c r="S520" s="19"/>
    </row>
    <row r="521" spans="15:19" x14ac:dyDescent="0.25">
      <c r="O521" s="38"/>
      <c r="Q521" s="19"/>
      <c r="R521" s="19"/>
      <c r="S521" s="19"/>
    </row>
    <row r="522" spans="15:19" x14ac:dyDescent="0.25">
      <c r="O522" s="38"/>
      <c r="Q522" s="19"/>
      <c r="R522" s="19"/>
      <c r="S522" s="19"/>
    </row>
    <row r="523" spans="15:19" x14ac:dyDescent="0.25">
      <c r="O523" s="38"/>
      <c r="Q523" s="19"/>
      <c r="R523" s="19"/>
      <c r="S523" s="19"/>
    </row>
    <row r="524" spans="15:19" x14ac:dyDescent="0.25">
      <c r="O524" s="38"/>
      <c r="Q524" s="19"/>
      <c r="R524" s="19"/>
      <c r="S524" s="19"/>
    </row>
    <row r="525" spans="15:19" x14ac:dyDescent="0.25">
      <c r="O525" s="38"/>
      <c r="Q525" s="19"/>
      <c r="R525" s="19"/>
      <c r="S525" s="19"/>
    </row>
    <row r="526" spans="15:19" x14ac:dyDescent="0.25">
      <c r="O526" s="38"/>
      <c r="Q526" s="19"/>
      <c r="R526" s="19"/>
      <c r="S526" s="19"/>
    </row>
    <row r="527" spans="15:19" x14ac:dyDescent="0.25">
      <c r="O527" s="38"/>
      <c r="Q527" s="19"/>
      <c r="R527" s="19"/>
      <c r="S527" s="19"/>
    </row>
    <row r="528" spans="15:19" x14ac:dyDescent="0.25">
      <c r="O528" s="38"/>
      <c r="Q528" s="19"/>
      <c r="R528" s="19"/>
      <c r="S528" s="19"/>
    </row>
    <row r="529" spans="15:19" x14ac:dyDescent="0.25">
      <c r="O529" s="38"/>
      <c r="Q529" s="19"/>
      <c r="R529" s="19"/>
      <c r="S529" s="19"/>
    </row>
    <row r="530" spans="15:19" x14ac:dyDescent="0.25">
      <c r="O530" s="38"/>
      <c r="Q530" s="19"/>
      <c r="R530" s="19"/>
      <c r="S530" s="19"/>
    </row>
    <row r="531" spans="15:19" x14ac:dyDescent="0.25">
      <c r="O531" s="38"/>
      <c r="Q531" s="19"/>
      <c r="R531" s="19"/>
      <c r="S531" s="19"/>
    </row>
    <row r="532" spans="15:19" x14ac:dyDescent="0.25">
      <c r="O532" s="38"/>
      <c r="Q532" s="19"/>
      <c r="R532" s="19"/>
      <c r="S532" s="19"/>
    </row>
    <row r="533" spans="15:19" x14ac:dyDescent="0.25">
      <c r="O533" s="38"/>
      <c r="Q533" s="19"/>
      <c r="R533" s="19"/>
      <c r="S533" s="19"/>
    </row>
    <row r="534" spans="15:19" x14ac:dyDescent="0.25">
      <c r="O534" s="38"/>
      <c r="Q534" s="19"/>
      <c r="R534" s="19"/>
      <c r="S534" s="19"/>
    </row>
    <row r="535" spans="15:19" x14ac:dyDescent="0.25">
      <c r="O535" s="38"/>
      <c r="Q535" s="19"/>
      <c r="R535" s="19"/>
      <c r="S535" s="19"/>
    </row>
    <row r="536" spans="15:19" x14ac:dyDescent="0.25">
      <c r="O536" s="38"/>
      <c r="Q536" s="19"/>
      <c r="R536" s="19"/>
      <c r="S536" s="19"/>
    </row>
    <row r="537" spans="15:19" x14ac:dyDescent="0.25">
      <c r="O537" s="38"/>
      <c r="Q537" s="19"/>
      <c r="R537" s="19"/>
      <c r="S537" s="19"/>
    </row>
    <row r="538" spans="15:19" x14ac:dyDescent="0.25">
      <c r="O538" s="38"/>
      <c r="Q538" s="19"/>
      <c r="R538" s="19"/>
      <c r="S538" s="19"/>
    </row>
    <row r="539" spans="15:19" x14ac:dyDescent="0.25">
      <c r="O539" s="38"/>
      <c r="Q539" s="19"/>
      <c r="R539" s="19"/>
      <c r="S539" s="19"/>
    </row>
    <row r="540" spans="15:19" x14ac:dyDescent="0.25">
      <c r="O540" s="38"/>
      <c r="Q540" s="19"/>
      <c r="R540" s="19"/>
      <c r="S540" s="19"/>
    </row>
    <row r="541" spans="15:19" x14ac:dyDescent="0.25">
      <c r="O541" s="38"/>
      <c r="Q541" s="19"/>
      <c r="R541" s="19"/>
      <c r="S541" s="19"/>
    </row>
    <row r="542" spans="15:19" x14ac:dyDescent="0.25">
      <c r="O542" s="38"/>
      <c r="Q542" s="19"/>
      <c r="R542" s="19"/>
      <c r="S542" s="19"/>
    </row>
    <row r="543" spans="15:19" x14ac:dyDescent="0.25">
      <c r="O543" s="38"/>
      <c r="Q543" s="19"/>
      <c r="R543" s="19"/>
      <c r="S543" s="19"/>
    </row>
    <row r="544" spans="15:19" x14ac:dyDescent="0.25">
      <c r="O544" s="38"/>
      <c r="Q544" s="19"/>
      <c r="R544" s="19"/>
      <c r="S544" s="19"/>
    </row>
    <row r="545" spans="15:19" x14ac:dyDescent="0.25">
      <c r="O545" s="38"/>
      <c r="Q545" s="19"/>
      <c r="R545" s="19"/>
      <c r="S545" s="19"/>
    </row>
    <row r="546" spans="15:19" x14ac:dyDescent="0.25">
      <c r="O546" s="38"/>
      <c r="Q546" s="19"/>
      <c r="R546" s="19"/>
      <c r="S546" s="19"/>
    </row>
    <row r="547" spans="15:19" x14ac:dyDescent="0.25">
      <c r="O547" s="38"/>
      <c r="Q547" s="19"/>
      <c r="R547" s="19"/>
      <c r="S547" s="19"/>
    </row>
    <row r="548" spans="15:19" x14ac:dyDescent="0.25">
      <c r="O548" s="38"/>
      <c r="Q548" s="19"/>
      <c r="R548" s="19"/>
      <c r="S548" s="19"/>
    </row>
    <row r="549" spans="15:19" x14ac:dyDescent="0.25">
      <c r="O549" s="38"/>
      <c r="Q549" s="19"/>
      <c r="R549" s="19"/>
      <c r="S549" s="19"/>
    </row>
    <row r="550" spans="15:19" x14ac:dyDescent="0.25">
      <c r="O550" s="38"/>
      <c r="Q550" s="19"/>
      <c r="R550" s="19"/>
      <c r="S550" s="19"/>
    </row>
    <row r="551" spans="15:19" x14ac:dyDescent="0.25">
      <c r="O551" s="38"/>
      <c r="Q551" s="19"/>
      <c r="R551" s="19"/>
      <c r="S551" s="19"/>
    </row>
    <row r="552" spans="15:19" x14ac:dyDescent="0.25">
      <c r="O552" s="38"/>
      <c r="Q552" s="19"/>
      <c r="R552" s="19"/>
      <c r="S552" s="19"/>
    </row>
    <row r="553" spans="15:19" x14ac:dyDescent="0.25">
      <c r="O553" s="38"/>
      <c r="Q553" s="19"/>
      <c r="R553" s="19"/>
      <c r="S553" s="19"/>
    </row>
    <row r="554" spans="15:19" x14ac:dyDescent="0.25">
      <c r="O554" s="38"/>
      <c r="Q554" s="19"/>
      <c r="R554" s="19"/>
      <c r="S554" s="19"/>
    </row>
    <row r="555" spans="15:19" x14ac:dyDescent="0.25">
      <c r="O555" s="38"/>
      <c r="Q555" s="19"/>
      <c r="R555" s="19"/>
      <c r="S555" s="19"/>
    </row>
    <row r="556" spans="15:19" x14ac:dyDescent="0.25">
      <c r="O556" s="38"/>
      <c r="Q556" s="19"/>
      <c r="R556" s="19"/>
      <c r="S556" s="19"/>
    </row>
    <row r="557" spans="15:19" x14ac:dyDescent="0.25">
      <c r="O557" s="38"/>
      <c r="Q557" s="19"/>
      <c r="R557" s="19"/>
      <c r="S557" s="19"/>
    </row>
    <row r="558" spans="15:19" x14ac:dyDescent="0.25">
      <c r="O558" s="38"/>
      <c r="Q558" s="19"/>
      <c r="R558" s="19"/>
      <c r="S558" s="19"/>
    </row>
    <row r="559" spans="15:19" x14ac:dyDescent="0.25">
      <c r="O559" s="38"/>
      <c r="Q559" s="19"/>
      <c r="R559" s="19"/>
      <c r="S559" s="19"/>
    </row>
    <row r="560" spans="15:19" x14ac:dyDescent="0.25">
      <c r="O560" s="38"/>
      <c r="Q560" s="19"/>
      <c r="R560" s="19"/>
      <c r="S560" s="19"/>
    </row>
    <row r="561" spans="15:19" x14ac:dyDescent="0.25">
      <c r="O561" s="38"/>
      <c r="Q561" s="19"/>
      <c r="R561" s="19"/>
      <c r="S561" s="19"/>
    </row>
    <row r="562" spans="15:19" x14ac:dyDescent="0.25">
      <c r="O562" s="38"/>
      <c r="Q562" s="19"/>
      <c r="R562" s="19"/>
      <c r="S562" s="19"/>
    </row>
    <row r="563" spans="15:19" x14ac:dyDescent="0.25">
      <c r="O563" s="38"/>
      <c r="Q563" s="19"/>
      <c r="R563" s="19"/>
      <c r="S563" s="19"/>
    </row>
    <row r="564" spans="15:19" x14ac:dyDescent="0.25">
      <c r="O564" s="38"/>
      <c r="Q564" s="19"/>
      <c r="R564" s="19"/>
      <c r="S564" s="19"/>
    </row>
    <row r="565" spans="15:19" x14ac:dyDescent="0.25">
      <c r="O565" s="38"/>
      <c r="Q565" s="19"/>
      <c r="R565" s="19"/>
      <c r="S565" s="19"/>
    </row>
    <row r="566" spans="15:19" x14ac:dyDescent="0.25">
      <c r="O566" s="38"/>
      <c r="Q566" s="19"/>
      <c r="R566" s="19"/>
      <c r="S566" s="19"/>
    </row>
    <row r="567" spans="15:19" x14ac:dyDescent="0.25">
      <c r="O567" s="38"/>
      <c r="Q567" s="19"/>
      <c r="R567" s="19"/>
      <c r="S567" s="19"/>
    </row>
    <row r="568" spans="15:19" x14ac:dyDescent="0.25">
      <c r="O568" s="38"/>
      <c r="Q568" s="19"/>
      <c r="R568" s="19"/>
      <c r="S568" s="19"/>
    </row>
    <row r="569" spans="15:19" x14ac:dyDescent="0.25">
      <c r="O569" s="38"/>
      <c r="Q569" s="19"/>
      <c r="R569" s="19"/>
      <c r="S569" s="19"/>
    </row>
    <row r="570" spans="15:19" x14ac:dyDescent="0.25">
      <c r="O570" s="38"/>
      <c r="Q570" s="19"/>
      <c r="R570" s="19"/>
      <c r="S570" s="19"/>
    </row>
    <row r="571" spans="15:19" x14ac:dyDescent="0.25">
      <c r="O571" s="38"/>
      <c r="Q571" s="19"/>
      <c r="R571" s="19"/>
      <c r="S571" s="19"/>
    </row>
    <row r="572" spans="15:19" x14ac:dyDescent="0.25">
      <c r="O572" s="38"/>
      <c r="Q572" s="19"/>
      <c r="R572" s="19"/>
      <c r="S572" s="19"/>
    </row>
    <row r="573" spans="15:19" x14ac:dyDescent="0.25">
      <c r="O573" s="38"/>
      <c r="Q573" s="19"/>
      <c r="R573" s="19"/>
      <c r="S573" s="19"/>
    </row>
    <row r="574" spans="15:19" x14ac:dyDescent="0.25">
      <c r="O574" s="38"/>
      <c r="Q574" s="19"/>
      <c r="R574" s="19"/>
      <c r="S574" s="19"/>
    </row>
    <row r="575" spans="15:19" x14ac:dyDescent="0.25">
      <c r="O575" s="38"/>
      <c r="Q575" s="19"/>
      <c r="R575" s="19"/>
      <c r="S575" s="19"/>
    </row>
    <row r="576" spans="15:19" x14ac:dyDescent="0.25">
      <c r="O576" s="38"/>
      <c r="Q576" s="19"/>
      <c r="R576" s="19"/>
      <c r="S576" s="19"/>
    </row>
    <row r="577" spans="15:19" x14ac:dyDescent="0.25">
      <c r="O577" s="38"/>
      <c r="Q577" s="19"/>
      <c r="R577" s="19"/>
      <c r="S577" s="19"/>
    </row>
    <row r="578" spans="15:19" x14ac:dyDescent="0.25">
      <c r="O578" s="38"/>
      <c r="Q578" s="19"/>
      <c r="R578" s="19"/>
      <c r="S578" s="19"/>
    </row>
    <row r="579" spans="15:19" x14ac:dyDescent="0.25">
      <c r="O579" s="38"/>
      <c r="Q579" s="19"/>
      <c r="R579" s="19"/>
      <c r="S579" s="19"/>
    </row>
    <row r="580" spans="15:19" x14ac:dyDescent="0.25">
      <c r="O580" s="38"/>
      <c r="Q580" s="19"/>
      <c r="R580" s="19"/>
      <c r="S580" s="19"/>
    </row>
    <row r="581" spans="15:19" x14ac:dyDescent="0.25">
      <c r="O581" s="38"/>
      <c r="Q581" s="19"/>
      <c r="R581" s="19"/>
      <c r="S581" s="19"/>
    </row>
    <row r="582" spans="15:19" x14ac:dyDescent="0.25">
      <c r="O582" s="38"/>
      <c r="Q582" s="19"/>
      <c r="R582" s="19"/>
      <c r="S582" s="19"/>
    </row>
    <row r="583" spans="15:19" x14ac:dyDescent="0.25">
      <c r="O583" s="38"/>
      <c r="Q583" s="19"/>
      <c r="R583" s="19"/>
      <c r="S583" s="19"/>
    </row>
    <row r="584" spans="15:19" x14ac:dyDescent="0.25">
      <c r="O584" s="38"/>
      <c r="Q584" s="19"/>
      <c r="R584" s="19"/>
      <c r="S584" s="19"/>
    </row>
    <row r="585" spans="15:19" x14ac:dyDescent="0.25">
      <c r="O585" s="38"/>
      <c r="Q585" s="19"/>
      <c r="R585" s="19"/>
      <c r="S585" s="19"/>
    </row>
    <row r="586" spans="15:19" x14ac:dyDescent="0.25">
      <c r="O586" s="38"/>
      <c r="Q586" s="19"/>
      <c r="R586" s="19"/>
      <c r="S586" s="19"/>
    </row>
    <row r="587" spans="15:19" x14ac:dyDescent="0.25">
      <c r="O587" s="38"/>
      <c r="Q587" s="19"/>
      <c r="R587" s="19"/>
      <c r="S587" s="19"/>
    </row>
    <row r="588" spans="15:19" x14ac:dyDescent="0.25">
      <c r="O588" s="38"/>
      <c r="Q588" s="19"/>
      <c r="R588" s="19"/>
      <c r="S588" s="19"/>
    </row>
    <row r="589" spans="15:19" x14ac:dyDescent="0.25">
      <c r="O589" s="38"/>
      <c r="Q589" s="19"/>
      <c r="R589" s="19"/>
      <c r="S589" s="19"/>
    </row>
    <row r="590" spans="15:19" x14ac:dyDescent="0.25">
      <c r="O590" s="38"/>
      <c r="Q590" s="19"/>
      <c r="R590" s="19"/>
      <c r="S590" s="19"/>
    </row>
    <row r="591" spans="15:19" x14ac:dyDescent="0.25">
      <c r="O591" s="38"/>
      <c r="Q591" s="19"/>
      <c r="R591" s="19"/>
      <c r="S591" s="19"/>
    </row>
    <row r="592" spans="15:19" x14ac:dyDescent="0.25">
      <c r="O592" s="38"/>
      <c r="Q592" s="19"/>
      <c r="R592" s="19"/>
      <c r="S592" s="19"/>
    </row>
    <row r="593" spans="15:19" x14ac:dyDescent="0.25">
      <c r="O593" s="38"/>
      <c r="Q593" s="19"/>
      <c r="R593" s="19"/>
      <c r="S593" s="19"/>
    </row>
    <row r="594" spans="15:19" x14ac:dyDescent="0.25">
      <c r="O594" s="38"/>
      <c r="Q594" s="19"/>
      <c r="R594" s="19"/>
      <c r="S594" s="19"/>
    </row>
    <row r="595" spans="15:19" x14ac:dyDescent="0.25">
      <c r="O595" s="38"/>
      <c r="Q595" s="19"/>
      <c r="R595" s="19"/>
      <c r="S595" s="19"/>
    </row>
    <row r="596" spans="15:19" x14ac:dyDescent="0.25">
      <c r="O596" s="38"/>
      <c r="Q596" s="19"/>
      <c r="R596" s="19"/>
      <c r="S596" s="19"/>
    </row>
    <row r="597" spans="15:19" x14ac:dyDescent="0.25">
      <c r="O597" s="38"/>
      <c r="Q597" s="19"/>
      <c r="R597" s="19"/>
      <c r="S597" s="19"/>
    </row>
    <row r="598" spans="15:19" x14ac:dyDescent="0.25">
      <c r="O598" s="38"/>
      <c r="Q598" s="19"/>
      <c r="R598" s="19"/>
      <c r="S598" s="19"/>
    </row>
    <row r="599" spans="15:19" x14ac:dyDescent="0.25">
      <c r="O599" s="38"/>
      <c r="Q599" s="19"/>
      <c r="R599" s="19"/>
      <c r="S599" s="19"/>
    </row>
    <row r="600" spans="15:19" x14ac:dyDescent="0.25">
      <c r="O600" s="38"/>
      <c r="Q600" s="19"/>
      <c r="R600" s="19"/>
      <c r="S600" s="19"/>
    </row>
    <row r="601" spans="15:19" x14ac:dyDescent="0.25">
      <c r="O601" s="38"/>
      <c r="Q601" s="19"/>
      <c r="R601" s="19"/>
      <c r="S601" s="19"/>
    </row>
    <row r="602" spans="15:19" x14ac:dyDescent="0.25">
      <c r="O602" s="38"/>
      <c r="Q602" s="19"/>
      <c r="R602" s="19"/>
      <c r="S602" s="19"/>
    </row>
    <row r="603" spans="15:19" x14ac:dyDescent="0.25">
      <c r="O603" s="38"/>
      <c r="Q603" s="19"/>
      <c r="R603" s="19"/>
      <c r="S603" s="19"/>
    </row>
    <row r="604" spans="15:19" x14ac:dyDescent="0.25">
      <c r="O604" s="38"/>
      <c r="Q604" s="19"/>
      <c r="R604" s="19"/>
      <c r="S604" s="19"/>
    </row>
    <row r="605" spans="15:19" x14ac:dyDescent="0.25">
      <c r="O605" s="38"/>
      <c r="Q605" s="19"/>
      <c r="R605" s="19"/>
      <c r="S605" s="19"/>
    </row>
    <row r="606" spans="15:19" x14ac:dyDescent="0.25">
      <c r="O606" s="38"/>
      <c r="Q606" s="19"/>
      <c r="R606" s="19"/>
      <c r="S606" s="19"/>
    </row>
    <row r="607" spans="15:19" x14ac:dyDescent="0.25">
      <c r="O607" s="38"/>
      <c r="Q607" s="19"/>
      <c r="R607" s="19"/>
      <c r="S607" s="19"/>
    </row>
    <row r="608" spans="15:19" x14ac:dyDescent="0.25">
      <c r="O608" s="38"/>
      <c r="Q608" s="19"/>
      <c r="R608" s="19"/>
      <c r="S608" s="19"/>
    </row>
    <row r="609" spans="15:19" x14ac:dyDescent="0.25">
      <c r="O609" s="38"/>
      <c r="Q609" s="19"/>
      <c r="R609" s="19"/>
      <c r="S609" s="19"/>
    </row>
    <row r="610" spans="15:19" x14ac:dyDescent="0.25">
      <c r="O610" s="38"/>
      <c r="Q610" s="19"/>
      <c r="R610" s="19"/>
      <c r="S610" s="19"/>
    </row>
    <row r="611" spans="15:19" x14ac:dyDescent="0.25">
      <c r="O611" s="38"/>
      <c r="Q611" s="19"/>
      <c r="R611" s="19"/>
      <c r="S611" s="19"/>
    </row>
    <row r="612" spans="15:19" x14ac:dyDescent="0.25">
      <c r="O612" s="38"/>
      <c r="Q612" s="19"/>
      <c r="R612" s="19"/>
      <c r="S612" s="19"/>
    </row>
    <row r="613" spans="15:19" x14ac:dyDescent="0.25">
      <c r="O613" s="38"/>
      <c r="Q613" s="19"/>
      <c r="R613" s="19"/>
      <c r="S613" s="19"/>
    </row>
    <row r="614" spans="15:19" x14ac:dyDescent="0.25">
      <c r="O614" s="38"/>
      <c r="Q614" s="19"/>
      <c r="R614" s="19"/>
      <c r="S614" s="19"/>
    </row>
    <row r="615" spans="15:19" x14ac:dyDescent="0.25">
      <c r="O615" s="38"/>
      <c r="Q615" s="19"/>
      <c r="R615" s="19"/>
      <c r="S615" s="19"/>
    </row>
    <row r="616" spans="15:19" x14ac:dyDescent="0.25">
      <c r="O616" s="38"/>
      <c r="Q616" s="19"/>
      <c r="R616" s="19"/>
      <c r="S616" s="19"/>
    </row>
    <row r="617" spans="15:19" x14ac:dyDescent="0.25">
      <c r="O617" s="38"/>
      <c r="Q617" s="19"/>
      <c r="R617" s="19"/>
      <c r="S617" s="19"/>
    </row>
    <row r="618" spans="15:19" x14ac:dyDescent="0.25">
      <c r="O618" s="38"/>
      <c r="Q618" s="19"/>
      <c r="R618" s="19"/>
      <c r="S618" s="19"/>
    </row>
    <row r="619" spans="15:19" x14ac:dyDescent="0.25">
      <c r="O619" s="38"/>
      <c r="Q619" s="19"/>
      <c r="R619" s="19"/>
      <c r="S619" s="19"/>
    </row>
    <row r="620" spans="15:19" x14ac:dyDescent="0.25">
      <c r="O620" s="38"/>
      <c r="Q620" s="19"/>
      <c r="R620" s="19"/>
      <c r="S620" s="19"/>
    </row>
    <row r="621" spans="15:19" x14ac:dyDescent="0.25">
      <c r="O621" s="38"/>
      <c r="Q621" s="19"/>
      <c r="R621" s="19"/>
      <c r="S621" s="19"/>
    </row>
    <row r="622" spans="15:19" x14ac:dyDescent="0.25">
      <c r="O622" s="38"/>
      <c r="Q622" s="19"/>
      <c r="R622" s="19"/>
      <c r="S622" s="19"/>
    </row>
    <row r="623" spans="15:19" x14ac:dyDescent="0.25">
      <c r="O623" s="38"/>
      <c r="Q623" s="19"/>
      <c r="R623" s="19"/>
      <c r="S623" s="19"/>
    </row>
    <row r="624" spans="15:19" x14ac:dyDescent="0.25">
      <c r="O624" s="38"/>
      <c r="Q624" s="19"/>
      <c r="R624" s="19"/>
      <c r="S624" s="19"/>
    </row>
    <row r="625" spans="15:19" x14ac:dyDescent="0.25">
      <c r="O625" s="38"/>
      <c r="Q625" s="19"/>
      <c r="R625" s="19"/>
      <c r="S625" s="19"/>
    </row>
    <row r="626" spans="15:19" x14ac:dyDescent="0.25">
      <c r="O626" s="38"/>
      <c r="Q626" s="19"/>
      <c r="R626" s="19"/>
      <c r="S626" s="19"/>
    </row>
    <row r="627" spans="15:19" x14ac:dyDescent="0.25">
      <c r="O627" s="38"/>
      <c r="Q627" s="19"/>
      <c r="R627" s="19"/>
      <c r="S627" s="19"/>
    </row>
    <row r="628" spans="15:19" x14ac:dyDescent="0.25">
      <c r="O628" s="38"/>
      <c r="Q628" s="19"/>
      <c r="R628" s="19"/>
      <c r="S628" s="19"/>
    </row>
    <row r="629" spans="15:19" x14ac:dyDescent="0.25">
      <c r="O629" s="38"/>
      <c r="Q629" s="19"/>
      <c r="R629" s="19"/>
      <c r="S629" s="19"/>
    </row>
    <row r="630" spans="15:19" x14ac:dyDescent="0.25">
      <c r="O630" s="38"/>
      <c r="Q630" s="19"/>
      <c r="R630" s="19"/>
      <c r="S630" s="19"/>
    </row>
    <row r="631" spans="15:19" x14ac:dyDescent="0.25">
      <c r="O631" s="38"/>
      <c r="Q631" s="19"/>
      <c r="R631" s="19"/>
      <c r="S631" s="19"/>
    </row>
    <row r="632" spans="15:19" x14ac:dyDescent="0.25">
      <c r="O632" s="38"/>
      <c r="Q632" s="19"/>
      <c r="R632" s="19"/>
      <c r="S632" s="19"/>
    </row>
    <row r="633" spans="15:19" x14ac:dyDescent="0.25">
      <c r="O633" s="38"/>
      <c r="Q633" s="19"/>
      <c r="R633" s="19"/>
      <c r="S633" s="19"/>
    </row>
    <row r="634" spans="15:19" x14ac:dyDescent="0.25">
      <c r="O634" s="38"/>
      <c r="Q634" s="19"/>
      <c r="R634" s="19"/>
      <c r="S634" s="19"/>
    </row>
    <row r="635" spans="15:19" x14ac:dyDescent="0.25">
      <c r="O635" s="38"/>
      <c r="Q635" s="19"/>
      <c r="R635" s="19"/>
      <c r="S635" s="19"/>
    </row>
    <row r="636" spans="15:19" x14ac:dyDescent="0.25">
      <c r="O636" s="38"/>
      <c r="Q636" s="19"/>
      <c r="R636" s="19"/>
      <c r="S636" s="19"/>
    </row>
    <row r="637" spans="15:19" x14ac:dyDescent="0.25">
      <c r="O637" s="38"/>
      <c r="Q637" s="19"/>
      <c r="R637" s="19"/>
      <c r="S637" s="19"/>
    </row>
    <row r="638" spans="15:19" x14ac:dyDescent="0.25">
      <c r="O638" s="38"/>
      <c r="Q638" s="19"/>
      <c r="R638" s="19"/>
      <c r="S638" s="19"/>
    </row>
    <row r="639" spans="15:19" x14ac:dyDescent="0.25">
      <c r="O639" s="38"/>
      <c r="Q639" s="19"/>
      <c r="R639" s="19"/>
      <c r="S639" s="19"/>
    </row>
    <row r="640" spans="15:19" x14ac:dyDescent="0.25">
      <c r="O640" s="38"/>
      <c r="Q640" s="19"/>
      <c r="R640" s="19"/>
      <c r="S640" s="19"/>
    </row>
    <row r="641" spans="15:19" x14ac:dyDescent="0.25">
      <c r="O641" s="38"/>
      <c r="Q641" s="19"/>
      <c r="R641" s="19"/>
      <c r="S641" s="19"/>
    </row>
    <row r="642" spans="15:19" x14ac:dyDescent="0.25">
      <c r="O642" s="38"/>
      <c r="Q642" s="19"/>
      <c r="R642" s="19"/>
      <c r="S642" s="19"/>
    </row>
    <row r="643" spans="15:19" x14ac:dyDescent="0.25">
      <c r="O643" s="38"/>
      <c r="Q643" s="19"/>
      <c r="R643" s="19"/>
      <c r="S643" s="19"/>
    </row>
    <row r="644" spans="15:19" x14ac:dyDescent="0.25">
      <c r="O644" s="38"/>
      <c r="Q644" s="19"/>
      <c r="R644" s="19"/>
      <c r="S644" s="19"/>
    </row>
    <row r="645" spans="15:19" x14ac:dyDescent="0.25">
      <c r="O645" s="38"/>
      <c r="Q645" s="19"/>
      <c r="R645" s="19"/>
      <c r="S645" s="19"/>
    </row>
    <row r="646" spans="15:19" x14ac:dyDescent="0.25">
      <c r="O646" s="38"/>
      <c r="Q646" s="19"/>
      <c r="R646" s="19"/>
      <c r="S646" s="19"/>
    </row>
    <row r="647" spans="15:19" x14ac:dyDescent="0.25">
      <c r="O647" s="38"/>
      <c r="Q647" s="19"/>
      <c r="R647" s="19"/>
      <c r="S647" s="19"/>
    </row>
    <row r="648" spans="15:19" x14ac:dyDescent="0.25">
      <c r="O648" s="38"/>
      <c r="Q648" s="19"/>
      <c r="R648" s="19"/>
      <c r="S648" s="19"/>
    </row>
    <row r="649" spans="15:19" x14ac:dyDescent="0.25">
      <c r="O649" s="38"/>
      <c r="Q649" s="19"/>
      <c r="R649" s="19"/>
      <c r="S649" s="19"/>
    </row>
    <row r="650" spans="15:19" x14ac:dyDescent="0.25">
      <c r="O650" s="38"/>
      <c r="Q650" s="19"/>
      <c r="R650" s="19"/>
      <c r="S650" s="19"/>
    </row>
    <row r="651" spans="15:19" x14ac:dyDescent="0.25">
      <c r="O651" s="38"/>
      <c r="Q651" s="19"/>
      <c r="R651" s="19"/>
      <c r="S651" s="19"/>
    </row>
    <row r="652" spans="15:19" x14ac:dyDescent="0.25">
      <c r="O652" s="38"/>
      <c r="Q652" s="19"/>
      <c r="R652" s="19"/>
      <c r="S652" s="19"/>
    </row>
    <row r="653" spans="15:19" x14ac:dyDescent="0.25">
      <c r="O653" s="38"/>
      <c r="Q653" s="19"/>
      <c r="R653" s="19"/>
      <c r="S653" s="19"/>
    </row>
    <row r="654" spans="15:19" x14ac:dyDescent="0.25">
      <c r="O654" s="38"/>
      <c r="Q654" s="19"/>
      <c r="R654" s="19"/>
      <c r="S654" s="19"/>
    </row>
    <row r="655" spans="15:19" x14ac:dyDescent="0.25">
      <c r="O655" s="38"/>
      <c r="Q655" s="19"/>
      <c r="R655" s="19"/>
      <c r="S655" s="19"/>
    </row>
    <row r="656" spans="15:19" x14ac:dyDescent="0.25">
      <c r="O656" s="38"/>
      <c r="Q656" s="19"/>
      <c r="R656" s="19"/>
      <c r="S656" s="19"/>
    </row>
    <row r="657" spans="15:19" x14ac:dyDescent="0.25">
      <c r="O657" s="38"/>
      <c r="Q657" s="19"/>
      <c r="R657" s="19"/>
      <c r="S657" s="19"/>
    </row>
    <row r="658" spans="15:19" x14ac:dyDescent="0.25">
      <c r="O658" s="38"/>
      <c r="Q658" s="19"/>
      <c r="R658" s="19"/>
      <c r="S658" s="19"/>
    </row>
    <row r="659" spans="15:19" x14ac:dyDescent="0.25">
      <c r="O659" s="38"/>
      <c r="Q659" s="19"/>
      <c r="R659" s="19"/>
      <c r="S659" s="19"/>
    </row>
    <row r="660" spans="15:19" x14ac:dyDescent="0.25">
      <c r="O660" s="38"/>
      <c r="Q660" s="19"/>
      <c r="R660" s="19"/>
      <c r="S660" s="19"/>
    </row>
    <row r="661" spans="15:19" x14ac:dyDescent="0.25">
      <c r="O661" s="38"/>
      <c r="Q661" s="19"/>
      <c r="R661" s="19"/>
      <c r="S661" s="19"/>
    </row>
    <row r="662" spans="15:19" x14ac:dyDescent="0.25">
      <c r="O662" s="38"/>
      <c r="Q662" s="19"/>
      <c r="R662" s="19"/>
      <c r="S662" s="19"/>
    </row>
    <row r="663" spans="15:19" x14ac:dyDescent="0.25">
      <c r="O663" s="38"/>
      <c r="Q663" s="19"/>
      <c r="R663" s="19"/>
      <c r="S663" s="19"/>
    </row>
    <row r="664" spans="15:19" x14ac:dyDescent="0.25">
      <c r="O664" s="38"/>
      <c r="Q664" s="19"/>
      <c r="R664" s="19"/>
      <c r="S664" s="19"/>
    </row>
    <row r="665" spans="15:19" x14ac:dyDescent="0.25">
      <c r="O665" s="38"/>
      <c r="Q665" s="19"/>
      <c r="R665" s="19"/>
      <c r="S665" s="19"/>
    </row>
    <row r="666" spans="15:19" x14ac:dyDescent="0.25">
      <c r="O666" s="38"/>
      <c r="Q666" s="19"/>
      <c r="R666" s="19"/>
      <c r="S666" s="19"/>
    </row>
    <row r="667" spans="15:19" x14ac:dyDescent="0.25">
      <c r="O667" s="38"/>
      <c r="Q667" s="19"/>
      <c r="R667" s="19"/>
      <c r="S667" s="19"/>
    </row>
    <row r="668" spans="15:19" x14ac:dyDescent="0.25">
      <c r="O668" s="38"/>
      <c r="Q668" s="19"/>
      <c r="R668" s="19"/>
      <c r="S668" s="19"/>
    </row>
    <row r="669" spans="15:19" x14ac:dyDescent="0.25">
      <c r="O669" s="38"/>
      <c r="Q669" s="19"/>
      <c r="R669" s="19"/>
      <c r="S669" s="19"/>
    </row>
    <row r="670" spans="15:19" x14ac:dyDescent="0.25">
      <c r="O670" s="38"/>
      <c r="Q670" s="19"/>
      <c r="R670" s="19"/>
      <c r="S670" s="19"/>
    </row>
    <row r="671" spans="15:19" x14ac:dyDescent="0.25">
      <c r="O671" s="38"/>
      <c r="Q671" s="19"/>
      <c r="R671" s="19"/>
      <c r="S671" s="19"/>
    </row>
    <row r="672" spans="15:19" x14ac:dyDescent="0.25">
      <c r="O672" s="38"/>
      <c r="Q672" s="19"/>
      <c r="R672" s="19"/>
      <c r="S672" s="19"/>
    </row>
    <row r="673" spans="15:19" x14ac:dyDescent="0.25">
      <c r="O673" s="38"/>
      <c r="Q673" s="19"/>
      <c r="R673" s="19"/>
      <c r="S673" s="19"/>
    </row>
    <row r="674" spans="15:19" x14ac:dyDescent="0.25">
      <c r="O674" s="38"/>
      <c r="Q674" s="19"/>
      <c r="R674" s="19"/>
      <c r="S674" s="19"/>
    </row>
    <row r="675" spans="15:19" x14ac:dyDescent="0.25">
      <c r="O675" s="38"/>
      <c r="Q675" s="19"/>
      <c r="R675" s="19"/>
      <c r="S675" s="19"/>
    </row>
    <row r="676" spans="15:19" x14ac:dyDescent="0.25">
      <c r="O676" s="38"/>
      <c r="Q676" s="19"/>
      <c r="R676" s="19"/>
      <c r="S676" s="19"/>
    </row>
    <row r="677" spans="15:19" x14ac:dyDescent="0.25">
      <c r="O677" s="38"/>
      <c r="Q677" s="19"/>
      <c r="R677" s="19"/>
      <c r="S677" s="19"/>
    </row>
    <row r="678" spans="15:19" x14ac:dyDescent="0.25">
      <c r="O678" s="38"/>
      <c r="Q678" s="19"/>
      <c r="R678" s="19"/>
      <c r="S678" s="19"/>
    </row>
  </sheetData>
  <mergeCells count="1">
    <mergeCell ref="A5:O5"/>
  </mergeCells>
  <conditionalFormatting sqref="A10:A17">
    <cfRule type="expression" dxfId="15" priority="1" stopIfTrue="1">
      <formula>#REF!&gt;0</formula>
    </cfRule>
    <cfRule type="expression" dxfId="14" priority="2" stopIfTrue="1">
      <formula>LEFT(#REF!,3)="TIR"</formula>
    </cfRule>
  </conditionalFormatting>
  <conditionalFormatting sqref="B10:I17 O10:O17">
    <cfRule type="expression" dxfId="13" priority="7" stopIfTrue="1">
      <formula>LEFT(#REF!,3)="TIR"</formula>
    </cfRule>
  </conditionalFormatting>
  <conditionalFormatting sqref="J10:L17 P1:P5 P18:P65432">
    <cfRule type="expression" dxfId="12" priority="11" stopIfTrue="1">
      <formula>LEFT(#REF!,3)="TIR"</formula>
    </cfRule>
  </conditionalFormatting>
  <conditionalFormatting sqref="K10:K17">
    <cfRule type="expression" dxfId="11" priority="3" stopIfTrue="1">
      <formula>#REF!&gt;0</formula>
    </cfRule>
    <cfRule type="expression" dxfId="10" priority="4" stopIfTrue="1">
      <formula>LEFT(#REF!,3)="TIR"</formula>
    </cfRule>
  </conditionalFormatting>
  <conditionalFormatting sqref="M10:N17">
    <cfRule type="expression" dxfId="9" priority="5" stopIfTrue="1">
      <formula>#REF!&gt;0</formula>
    </cfRule>
    <cfRule type="expression" dxfId="8" priority="6" stopIfTrue="1">
      <formula>LEFT(#REF!,3)="TIR"</formula>
    </cfRule>
  </conditionalFormatting>
  <conditionalFormatting sqref="P5:Y5">
    <cfRule type="expression" dxfId="7" priority="9" stopIfTrue="1">
      <formula>LEFT(#REF!,3)="TIR"</formula>
    </cfRule>
  </conditionalFormatting>
  <dataValidations count="1">
    <dataValidation allowBlank="1" showInputMessage="1" showErrorMessage="1" sqref="B6:O6 A9" xr:uid="{00000000-0002-0000-1C00-000000000000}"/>
  </dataValidation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6"/>
  <sheetViews>
    <sheetView rightToLeft="1" tabSelected="1" zoomScaleNormal="100" workbookViewId="0">
      <selection activeCell="A2" sqref="A2"/>
    </sheetView>
  </sheetViews>
  <sheetFormatPr defaultColWidth="9.109375" defaultRowHeight="13.2" x14ac:dyDescent="0.25"/>
  <cols>
    <col min="1" max="1" width="29.33203125" style="10" bestFit="1" customWidth="1"/>
    <col min="2" max="5" width="12.5546875" style="10" customWidth="1"/>
    <col min="6" max="6" width="13.6640625" style="10" customWidth="1"/>
    <col min="7" max="7" width="12.5546875" style="10" customWidth="1"/>
    <col min="8" max="8" width="10.5546875" style="9" customWidth="1"/>
    <col min="9" max="9" width="12.6640625" style="10" customWidth="1"/>
    <col min="10" max="10" width="16.109375" style="11" customWidth="1"/>
    <col min="11" max="11" width="11.5546875" style="11" bestFit="1" customWidth="1"/>
    <col min="12" max="12" width="14" style="11" customWidth="1"/>
    <col min="13" max="13" width="21.109375" style="11" customWidth="1"/>
    <col min="14" max="14" width="24.33203125" style="11" customWidth="1"/>
    <col min="15" max="15" width="22.6640625" style="37" customWidth="1"/>
    <col min="16" max="16" width="12.109375" style="13" customWidth="1"/>
    <col min="17" max="17" width="10" style="20" customWidth="1"/>
    <col min="18" max="18" width="11.44140625" style="20" bestFit="1" customWidth="1"/>
    <col min="19" max="19" width="7.33203125" style="20" customWidth="1"/>
    <col min="20" max="21" width="10.5546875" style="13" customWidth="1"/>
    <col min="22" max="22" width="11.44140625" style="15" customWidth="1"/>
    <col min="23" max="23" width="15.44140625" style="15" customWidth="1"/>
    <col min="24" max="16384" width="9.109375" style="15"/>
  </cols>
  <sheetData>
    <row r="1" spans="1:25" s="7" customFormat="1" x14ac:dyDescent="0.25">
      <c r="A1" s="7" t="s">
        <v>237</v>
      </c>
      <c r="B1" s="8" t="s">
        <v>247</v>
      </c>
      <c r="C1" s="8"/>
      <c r="D1" s="8"/>
      <c r="E1" s="8"/>
      <c r="F1" s="8"/>
      <c r="G1" s="8"/>
      <c r="H1" s="9"/>
      <c r="I1" s="10"/>
      <c r="J1" s="11"/>
      <c r="K1" s="11"/>
      <c r="L1" s="11"/>
      <c r="M1" s="11"/>
      <c r="N1" s="11"/>
      <c r="O1" s="37"/>
      <c r="P1" s="13"/>
      <c r="Q1" s="14"/>
      <c r="R1" s="14"/>
      <c r="S1" s="14"/>
      <c r="T1" s="13"/>
      <c r="U1" s="13"/>
      <c r="V1" s="15"/>
    </row>
    <row r="2" spans="1:25" s="7" customFormat="1" x14ac:dyDescent="0.25">
      <c r="A2" s="10" t="s">
        <v>238</v>
      </c>
      <c r="B2" s="10" t="s">
        <v>150</v>
      </c>
      <c r="C2" s="10"/>
      <c r="D2" s="10"/>
      <c r="E2" s="10"/>
      <c r="F2" s="10"/>
      <c r="G2" s="10"/>
      <c r="H2" s="9"/>
      <c r="I2" s="10"/>
      <c r="J2" s="11"/>
      <c r="K2" s="11"/>
      <c r="L2" s="11"/>
      <c r="M2" s="11"/>
      <c r="N2" s="11"/>
      <c r="O2" s="37"/>
      <c r="P2" s="13"/>
      <c r="Q2" s="14"/>
      <c r="R2" s="14"/>
      <c r="S2" s="14"/>
      <c r="T2" s="13"/>
      <c r="U2" s="13"/>
      <c r="V2" s="15"/>
    </row>
    <row r="3" spans="1:25" s="7" customFormat="1" x14ac:dyDescent="0.25">
      <c r="A3" s="10" t="s">
        <v>239</v>
      </c>
      <c r="B3" s="10" t="s">
        <v>240</v>
      </c>
      <c r="C3" s="10"/>
      <c r="D3" s="10"/>
      <c r="E3" s="10"/>
      <c r="F3" s="10"/>
      <c r="G3" s="10"/>
      <c r="H3" s="9"/>
      <c r="I3" s="10"/>
      <c r="J3" s="11"/>
      <c r="K3" s="11"/>
      <c r="L3" s="11"/>
      <c r="M3" s="11"/>
      <c r="N3" s="11"/>
      <c r="O3" s="37"/>
      <c r="P3" s="13"/>
      <c r="Q3" s="14"/>
      <c r="R3" s="14"/>
      <c r="S3" s="14"/>
      <c r="T3" s="13"/>
      <c r="U3" s="13"/>
      <c r="V3" s="15"/>
    </row>
    <row r="4" spans="1:25" s="7" customFormat="1" ht="13.8" thickBot="1" x14ac:dyDescent="0.3">
      <c r="A4" s="10" t="s">
        <v>241</v>
      </c>
      <c r="B4" s="10" t="s">
        <v>249</v>
      </c>
      <c r="C4" s="10"/>
      <c r="D4" s="10"/>
      <c r="E4" s="10"/>
      <c r="F4" s="10"/>
      <c r="G4" s="10"/>
      <c r="H4" s="9"/>
      <c r="I4" s="10"/>
      <c r="J4" s="11"/>
      <c r="K4" s="11"/>
      <c r="L4" s="11"/>
      <c r="M4" s="11"/>
      <c r="N4" s="11"/>
      <c r="O4" s="37"/>
      <c r="P4" s="13"/>
      <c r="Q4" s="14"/>
      <c r="R4" s="14"/>
      <c r="S4" s="14"/>
      <c r="T4" s="13"/>
      <c r="U4" s="13"/>
      <c r="V4" s="15"/>
    </row>
    <row r="5" spans="1:25" s="7" customFormat="1" x14ac:dyDescent="0.25">
      <c r="A5" s="233" t="s">
        <v>118</v>
      </c>
      <c r="B5" s="234"/>
      <c r="C5" s="234"/>
      <c r="D5" s="234"/>
      <c r="E5" s="234"/>
      <c r="F5" s="234"/>
      <c r="G5" s="234"/>
      <c r="H5" s="234"/>
      <c r="I5" s="234"/>
      <c r="J5" s="234"/>
      <c r="K5" s="234"/>
      <c r="L5" s="234"/>
      <c r="M5" s="234"/>
      <c r="N5" s="234"/>
      <c r="O5" s="235"/>
      <c r="P5" s="13"/>
      <c r="Q5" s="13"/>
      <c r="R5" s="13"/>
      <c r="S5" s="13"/>
      <c r="T5" s="13"/>
      <c r="U5" s="13"/>
      <c r="V5" s="13"/>
      <c r="W5" s="13"/>
      <c r="X5" s="13"/>
      <c r="Y5" s="13"/>
    </row>
    <row r="6" spans="1:25" s="7" customFormat="1" x14ac:dyDescent="0.25">
      <c r="A6" s="80" t="s">
        <v>157</v>
      </c>
      <c r="B6" s="87" t="s">
        <v>99</v>
      </c>
      <c r="C6" s="88" t="s">
        <v>19</v>
      </c>
      <c r="D6" s="88" t="s">
        <v>70</v>
      </c>
      <c r="E6" s="88" t="s">
        <v>5</v>
      </c>
      <c r="F6" s="88" t="s">
        <v>13</v>
      </c>
      <c r="G6" s="88" t="s">
        <v>14</v>
      </c>
      <c r="H6" s="89" t="s">
        <v>6</v>
      </c>
      <c r="I6" s="90" t="s">
        <v>100</v>
      </c>
      <c r="J6" s="90" t="s">
        <v>101</v>
      </c>
      <c r="K6" s="90" t="s">
        <v>67</v>
      </c>
      <c r="L6" s="96" t="s">
        <v>102</v>
      </c>
      <c r="M6" s="88" t="s">
        <v>17</v>
      </c>
      <c r="N6" s="88" t="s">
        <v>75</v>
      </c>
      <c r="O6" s="95" t="s">
        <v>103</v>
      </c>
    </row>
    <row r="7" spans="1:25" s="7" customFormat="1" x14ac:dyDescent="0.25">
      <c r="A7" s="27"/>
      <c r="B7" s="3"/>
      <c r="C7" s="3"/>
      <c r="D7" s="3"/>
      <c r="E7" s="3"/>
      <c r="F7" s="3" t="s">
        <v>40</v>
      </c>
      <c r="G7" s="3" t="s">
        <v>16</v>
      </c>
      <c r="H7" s="3"/>
      <c r="I7" s="28" t="s">
        <v>9</v>
      </c>
      <c r="J7" s="2" t="s">
        <v>9</v>
      </c>
      <c r="K7" s="2" t="s">
        <v>133</v>
      </c>
      <c r="L7" s="2" t="s">
        <v>10</v>
      </c>
      <c r="M7" s="2" t="s">
        <v>9</v>
      </c>
      <c r="N7" s="31" t="s">
        <v>9</v>
      </c>
      <c r="O7" s="6" t="s">
        <v>9</v>
      </c>
    </row>
    <row r="8" spans="1:25" s="16" customFormat="1" x14ac:dyDescent="0.25">
      <c r="A8" s="21"/>
      <c r="B8" s="22" t="s">
        <v>49</v>
      </c>
      <c r="C8" s="22" t="s">
        <v>50</v>
      </c>
      <c r="D8" s="22" t="s">
        <v>104</v>
      </c>
      <c r="E8" s="22" t="s">
        <v>105</v>
      </c>
      <c r="F8" s="22" t="s">
        <v>106</v>
      </c>
      <c r="G8" s="22" t="s">
        <v>107</v>
      </c>
      <c r="H8" s="22" t="s">
        <v>108</v>
      </c>
      <c r="I8" s="22" t="s">
        <v>109</v>
      </c>
      <c r="J8" s="22" t="s">
        <v>110</v>
      </c>
      <c r="K8" s="22" t="s">
        <v>111</v>
      </c>
      <c r="L8" s="22" t="s">
        <v>112</v>
      </c>
      <c r="M8" s="22" t="s">
        <v>113</v>
      </c>
      <c r="N8" s="22" t="s">
        <v>114</v>
      </c>
      <c r="O8" s="23" t="s">
        <v>115</v>
      </c>
    </row>
    <row r="9" spans="1:25" ht="13.8" thickBot="1" x14ac:dyDescent="0.3">
      <c r="A9" s="97" t="s">
        <v>120</v>
      </c>
      <c r="B9" s="74"/>
      <c r="C9" s="74"/>
      <c r="D9" s="74"/>
      <c r="E9" s="74"/>
      <c r="F9" s="74"/>
      <c r="G9" s="74"/>
      <c r="H9" s="74"/>
      <c r="I9" s="74"/>
      <c r="J9" s="74"/>
      <c r="K9" s="74"/>
      <c r="L9" s="98">
        <v>0</v>
      </c>
      <c r="M9" s="75"/>
      <c r="N9" s="78"/>
      <c r="O9" s="59"/>
      <c r="P9" s="15"/>
      <c r="Q9" s="15"/>
      <c r="R9" s="15"/>
      <c r="S9" s="15"/>
      <c r="T9" s="15"/>
      <c r="U9" s="15"/>
    </row>
    <row r="10" spans="1:25" x14ac:dyDescent="0.25">
      <c r="A10" s="92" t="s">
        <v>137</v>
      </c>
      <c r="B10" s="32"/>
      <c r="C10" s="32"/>
      <c r="D10" s="32"/>
      <c r="E10" s="32"/>
      <c r="F10" s="32"/>
      <c r="G10" s="32"/>
      <c r="H10" s="67"/>
      <c r="I10" s="34"/>
      <c r="J10" s="35"/>
      <c r="K10" s="69"/>
      <c r="L10" s="35"/>
      <c r="M10" s="72"/>
      <c r="N10" s="76"/>
      <c r="O10" s="33"/>
      <c r="P10" s="15"/>
      <c r="Q10" s="15"/>
      <c r="R10" s="15"/>
      <c r="S10" s="15"/>
      <c r="T10" s="15"/>
      <c r="U10" s="15"/>
    </row>
    <row r="11" spans="1:25" x14ac:dyDescent="0.25">
      <c r="A11" s="93" t="s">
        <v>138</v>
      </c>
      <c r="B11" s="24"/>
      <c r="C11" s="24"/>
      <c r="D11" s="24"/>
      <c r="E11" s="24"/>
      <c r="F11" s="24"/>
      <c r="G11" s="24"/>
      <c r="H11" s="61"/>
      <c r="I11" s="26"/>
      <c r="J11" s="18"/>
      <c r="K11" s="69"/>
      <c r="L11" s="18"/>
      <c r="M11" s="47"/>
      <c r="N11" s="77"/>
      <c r="O11" s="25"/>
      <c r="P11" s="15"/>
      <c r="Q11" s="15"/>
      <c r="R11" s="15"/>
      <c r="S11" s="15"/>
      <c r="T11" s="15"/>
      <c r="U11" s="15"/>
    </row>
    <row r="12" spans="1:25" x14ac:dyDescent="0.25">
      <c r="A12" s="93" t="s">
        <v>139</v>
      </c>
      <c r="B12" s="24"/>
      <c r="C12" s="24"/>
      <c r="D12" s="24"/>
      <c r="E12" s="24"/>
      <c r="F12" s="24"/>
      <c r="G12" s="24"/>
      <c r="H12" s="61"/>
      <c r="I12" s="26"/>
      <c r="J12" s="18"/>
      <c r="K12" s="69"/>
      <c r="L12" s="18"/>
      <c r="M12" s="47"/>
      <c r="N12" s="77"/>
      <c r="O12" s="25"/>
      <c r="P12" s="15"/>
      <c r="Q12" s="15"/>
      <c r="R12" s="15"/>
      <c r="S12" s="15"/>
      <c r="T12" s="15"/>
      <c r="U12" s="15"/>
    </row>
    <row r="13" spans="1:25" x14ac:dyDescent="0.25">
      <c r="A13" s="93" t="s">
        <v>140</v>
      </c>
      <c r="B13" s="24"/>
      <c r="C13" s="24"/>
      <c r="D13" s="24"/>
      <c r="E13" s="24"/>
      <c r="F13" s="24"/>
      <c r="G13" s="24"/>
      <c r="H13" s="61"/>
      <c r="I13" s="26"/>
      <c r="J13" s="18"/>
      <c r="K13" s="69"/>
      <c r="L13" s="18"/>
      <c r="M13" s="47"/>
      <c r="N13" s="77"/>
      <c r="O13" s="25"/>
      <c r="P13" s="15"/>
      <c r="Q13" s="15"/>
      <c r="R13" s="15"/>
      <c r="S13" s="15"/>
      <c r="T13" s="15"/>
      <c r="U13" s="15"/>
    </row>
    <row r="14" spans="1:25" x14ac:dyDescent="0.25">
      <c r="A14" s="93" t="s">
        <v>141</v>
      </c>
      <c r="B14" s="24"/>
      <c r="C14" s="24"/>
      <c r="D14" s="24"/>
      <c r="E14" s="24"/>
      <c r="F14" s="24"/>
      <c r="G14" s="24"/>
      <c r="H14" s="61"/>
      <c r="I14" s="26"/>
      <c r="J14" s="18"/>
      <c r="K14" s="69"/>
      <c r="L14" s="18"/>
      <c r="M14" s="47"/>
      <c r="N14" s="77"/>
      <c r="O14" s="25"/>
      <c r="P14" s="15"/>
      <c r="Q14" s="15"/>
      <c r="R14" s="15"/>
      <c r="S14" s="15"/>
      <c r="T14" s="15"/>
      <c r="U14" s="15"/>
    </row>
    <row r="15" spans="1:25" x14ac:dyDescent="0.25">
      <c r="A15" s="93" t="s">
        <v>142</v>
      </c>
      <c r="B15" s="24"/>
      <c r="C15" s="24"/>
      <c r="D15" s="24"/>
      <c r="E15" s="24"/>
      <c r="F15" s="24"/>
      <c r="G15" s="24"/>
      <c r="H15" s="61"/>
      <c r="I15" s="26"/>
      <c r="J15" s="18"/>
      <c r="K15" s="69"/>
      <c r="L15" s="18"/>
      <c r="M15" s="47"/>
      <c r="N15" s="77"/>
      <c r="O15" s="25"/>
      <c r="P15" s="15"/>
      <c r="Q15" s="15"/>
      <c r="R15" s="15"/>
      <c r="S15" s="15"/>
      <c r="T15" s="15"/>
      <c r="U15" s="15"/>
    </row>
    <row r="16" spans="1:25" x14ac:dyDescent="0.25">
      <c r="A16" s="93" t="s">
        <v>143</v>
      </c>
      <c r="B16" s="24"/>
      <c r="C16" s="24"/>
      <c r="D16" s="24"/>
      <c r="E16" s="24"/>
      <c r="F16" s="24"/>
      <c r="G16" s="24"/>
      <c r="H16" s="61"/>
      <c r="I16" s="26"/>
      <c r="J16" s="18"/>
      <c r="K16" s="69"/>
      <c r="L16" s="18"/>
      <c r="M16" s="47"/>
      <c r="N16" s="77"/>
      <c r="O16" s="25"/>
      <c r="P16" s="15"/>
      <c r="Q16" s="15"/>
      <c r="R16" s="15"/>
      <c r="S16" s="15"/>
      <c r="T16" s="15"/>
      <c r="U16" s="15"/>
    </row>
    <row r="17" spans="1:21" x14ac:dyDescent="0.25">
      <c r="A17" s="206" t="s">
        <v>144</v>
      </c>
      <c r="B17" s="207"/>
      <c r="C17" s="207"/>
      <c r="D17" s="207"/>
      <c r="E17" s="207"/>
      <c r="F17" s="207"/>
      <c r="G17" s="207"/>
      <c r="H17" s="208"/>
      <c r="I17" s="209"/>
      <c r="J17" s="210"/>
      <c r="K17" s="211"/>
      <c r="L17" s="210"/>
      <c r="M17" s="212"/>
      <c r="N17" s="213"/>
      <c r="O17" s="214"/>
      <c r="P17" s="15"/>
      <c r="Q17" s="15"/>
      <c r="R17" s="15"/>
      <c r="S17" s="15"/>
      <c r="T17" s="15"/>
      <c r="U17" s="15"/>
    </row>
    <row r="18" spans="1:21" x14ac:dyDescent="0.25">
      <c r="A18" s="109" t="s">
        <v>145</v>
      </c>
      <c r="O18" s="38"/>
      <c r="Q18" s="19"/>
      <c r="R18" s="19"/>
      <c r="S18" s="19"/>
    </row>
    <row r="19" spans="1:21" x14ac:dyDescent="0.25">
      <c r="A19" s="109" t="s">
        <v>146</v>
      </c>
      <c r="O19" s="38"/>
      <c r="Q19" s="19"/>
      <c r="R19" s="19"/>
      <c r="S19" s="19"/>
    </row>
    <row r="20" spans="1:21" x14ac:dyDescent="0.25">
      <c r="A20" s="109" t="s">
        <v>147</v>
      </c>
      <c r="O20" s="38"/>
      <c r="Q20" s="19"/>
      <c r="R20" s="19"/>
      <c r="S20" s="19"/>
    </row>
    <row r="21" spans="1:21" x14ac:dyDescent="0.25">
      <c r="A21" s="109" t="s">
        <v>148</v>
      </c>
      <c r="O21" s="38"/>
      <c r="Q21" s="19"/>
      <c r="R21" s="19"/>
      <c r="S21" s="19"/>
    </row>
    <row r="22" spans="1:21" x14ac:dyDescent="0.25">
      <c r="A22" s="109" t="s">
        <v>149</v>
      </c>
      <c r="O22" s="38"/>
      <c r="Q22" s="19"/>
      <c r="R22" s="19"/>
      <c r="S22" s="19"/>
    </row>
    <row r="23" spans="1:21" x14ac:dyDescent="0.25">
      <c r="O23" s="38"/>
      <c r="Q23" s="19"/>
      <c r="R23" s="19"/>
      <c r="S23" s="19"/>
    </row>
    <row r="24" spans="1:21" x14ac:dyDescent="0.25">
      <c r="O24" s="38"/>
      <c r="Q24" s="19"/>
      <c r="R24" s="19"/>
      <c r="S24" s="19"/>
    </row>
    <row r="25" spans="1:21" x14ac:dyDescent="0.25">
      <c r="O25" s="38"/>
      <c r="Q25" s="19"/>
      <c r="R25" s="19"/>
      <c r="S25" s="19"/>
    </row>
    <row r="26" spans="1:21" x14ac:dyDescent="0.25">
      <c r="O26" s="38"/>
      <c r="Q26" s="19"/>
      <c r="R26" s="19"/>
      <c r="S26" s="19"/>
    </row>
    <row r="27" spans="1:21" x14ac:dyDescent="0.25">
      <c r="O27" s="38"/>
      <c r="Q27" s="19"/>
      <c r="R27" s="19"/>
      <c r="S27" s="19"/>
    </row>
    <row r="28" spans="1:21" x14ac:dyDescent="0.25">
      <c r="O28" s="38"/>
      <c r="Q28" s="19"/>
      <c r="R28" s="19"/>
      <c r="S28" s="19"/>
    </row>
    <row r="29" spans="1:21" x14ac:dyDescent="0.25">
      <c r="O29" s="38"/>
      <c r="Q29" s="19"/>
      <c r="R29" s="19"/>
      <c r="S29" s="19"/>
    </row>
    <row r="30" spans="1:21" x14ac:dyDescent="0.25">
      <c r="O30" s="38"/>
      <c r="Q30" s="19"/>
      <c r="R30" s="19"/>
      <c r="S30" s="19"/>
    </row>
    <row r="31" spans="1:21" x14ac:dyDescent="0.25">
      <c r="O31" s="38"/>
      <c r="Q31" s="19"/>
      <c r="R31" s="19"/>
      <c r="S31" s="19"/>
    </row>
    <row r="32" spans="1:21" x14ac:dyDescent="0.25">
      <c r="O32" s="38"/>
      <c r="Q32" s="19"/>
      <c r="R32" s="19"/>
      <c r="S32" s="19"/>
    </row>
    <row r="33" spans="15:19" x14ac:dyDescent="0.25">
      <c r="O33" s="38"/>
      <c r="Q33" s="19"/>
      <c r="R33" s="19"/>
      <c r="S33" s="19"/>
    </row>
    <row r="34" spans="15:19" x14ac:dyDescent="0.25">
      <c r="O34" s="38"/>
      <c r="Q34" s="19"/>
      <c r="R34" s="19"/>
      <c r="S34" s="19"/>
    </row>
    <row r="35" spans="15:19" x14ac:dyDescent="0.25">
      <c r="O35" s="38"/>
      <c r="Q35" s="19"/>
      <c r="R35" s="19"/>
      <c r="S35" s="19"/>
    </row>
    <row r="36" spans="15:19" x14ac:dyDescent="0.25">
      <c r="O36" s="38"/>
      <c r="Q36" s="19"/>
      <c r="R36" s="19"/>
      <c r="S36" s="19"/>
    </row>
    <row r="37" spans="15:19" x14ac:dyDescent="0.25">
      <c r="O37" s="38"/>
      <c r="Q37" s="19"/>
      <c r="R37" s="19"/>
      <c r="S37" s="19"/>
    </row>
    <row r="38" spans="15:19" x14ac:dyDescent="0.25">
      <c r="O38" s="38"/>
      <c r="Q38" s="19"/>
      <c r="R38" s="19"/>
      <c r="S38" s="19"/>
    </row>
    <row r="39" spans="15:19" x14ac:dyDescent="0.25">
      <c r="O39" s="38"/>
      <c r="Q39" s="19"/>
      <c r="R39" s="19"/>
      <c r="S39" s="19"/>
    </row>
    <row r="40" spans="15:19" x14ac:dyDescent="0.25">
      <c r="O40" s="38"/>
      <c r="Q40" s="19"/>
      <c r="R40" s="19"/>
      <c r="S40" s="19"/>
    </row>
    <row r="41" spans="15:19" x14ac:dyDescent="0.25">
      <c r="O41" s="38"/>
      <c r="Q41" s="19"/>
      <c r="R41" s="19"/>
      <c r="S41" s="19"/>
    </row>
    <row r="42" spans="15:19" x14ac:dyDescent="0.25">
      <c r="O42" s="38"/>
      <c r="Q42" s="19"/>
      <c r="R42" s="19"/>
      <c r="S42" s="19"/>
    </row>
    <row r="43" spans="15:19" x14ac:dyDescent="0.25">
      <c r="O43" s="38"/>
      <c r="Q43" s="19"/>
      <c r="R43" s="19"/>
      <c r="S43" s="19"/>
    </row>
    <row r="44" spans="15:19" x14ac:dyDescent="0.25">
      <c r="O44" s="38"/>
      <c r="Q44" s="19"/>
      <c r="R44" s="19"/>
      <c r="S44" s="19"/>
    </row>
    <row r="45" spans="15:19" x14ac:dyDescent="0.25">
      <c r="O45" s="38"/>
      <c r="Q45" s="19"/>
      <c r="R45" s="19"/>
      <c r="S45" s="19"/>
    </row>
    <row r="46" spans="15:19" x14ac:dyDescent="0.25">
      <c r="O46" s="38"/>
      <c r="Q46" s="19"/>
      <c r="R46" s="19"/>
      <c r="S46" s="19"/>
    </row>
    <row r="47" spans="15:19" x14ac:dyDescent="0.25">
      <c r="O47" s="38"/>
      <c r="Q47" s="19"/>
      <c r="R47" s="19"/>
      <c r="S47" s="19"/>
    </row>
    <row r="48" spans="15:19" x14ac:dyDescent="0.25">
      <c r="O48" s="38"/>
      <c r="Q48" s="19"/>
      <c r="R48" s="19"/>
      <c r="S48" s="19"/>
    </row>
    <row r="49" spans="15:19" x14ac:dyDescent="0.25">
      <c r="O49" s="38"/>
      <c r="Q49" s="19"/>
      <c r="R49" s="19"/>
      <c r="S49" s="19"/>
    </row>
    <row r="50" spans="15:19" x14ac:dyDescent="0.25">
      <c r="O50" s="38"/>
      <c r="Q50" s="19"/>
      <c r="R50" s="19"/>
      <c r="S50" s="19"/>
    </row>
    <row r="51" spans="15:19" x14ac:dyDescent="0.25">
      <c r="O51" s="38"/>
      <c r="Q51" s="19"/>
      <c r="R51" s="19"/>
      <c r="S51" s="19"/>
    </row>
    <row r="52" spans="15:19" x14ac:dyDescent="0.25">
      <c r="O52" s="38"/>
      <c r="Q52" s="19"/>
      <c r="R52" s="19"/>
      <c r="S52" s="19"/>
    </row>
    <row r="53" spans="15:19" x14ac:dyDescent="0.25">
      <c r="O53" s="38"/>
      <c r="Q53" s="19"/>
      <c r="R53" s="19"/>
      <c r="S53" s="19"/>
    </row>
    <row r="54" spans="15:19" x14ac:dyDescent="0.25">
      <c r="O54" s="38"/>
      <c r="Q54" s="19"/>
      <c r="R54" s="19"/>
      <c r="S54" s="19"/>
    </row>
    <row r="55" spans="15:19" x14ac:dyDescent="0.25">
      <c r="O55" s="38"/>
      <c r="Q55" s="19"/>
      <c r="R55" s="19"/>
      <c r="S55" s="19"/>
    </row>
    <row r="56" spans="15:19" x14ac:dyDescent="0.25">
      <c r="O56" s="38"/>
      <c r="Q56" s="19"/>
      <c r="R56" s="19"/>
      <c r="S56" s="19"/>
    </row>
    <row r="57" spans="15:19" x14ac:dyDescent="0.25">
      <c r="O57" s="38"/>
      <c r="Q57" s="19"/>
      <c r="R57" s="19"/>
      <c r="S57" s="19"/>
    </row>
    <row r="58" spans="15:19" x14ac:dyDescent="0.25">
      <c r="O58" s="38"/>
      <c r="Q58" s="19"/>
      <c r="R58" s="19"/>
      <c r="S58" s="19"/>
    </row>
    <row r="59" spans="15:19" x14ac:dyDescent="0.25">
      <c r="O59" s="38"/>
      <c r="Q59" s="19"/>
      <c r="R59" s="19"/>
      <c r="S59" s="19"/>
    </row>
    <row r="60" spans="15:19" x14ac:dyDescent="0.25">
      <c r="O60" s="38"/>
      <c r="Q60" s="19"/>
      <c r="R60" s="19"/>
      <c r="S60" s="19"/>
    </row>
    <row r="61" spans="15:19" x14ac:dyDescent="0.25">
      <c r="O61" s="38"/>
      <c r="Q61" s="19"/>
      <c r="R61" s="19"/>
      <c r="S61" s="19"/>
    </row>
    <row r="62" spans="15:19" x14ac:dyDescent="0.25">
      <c r="O62" s="38"/>
      <c r="Q62" s="19"/>
      <c r="R62" s="19"/>
      <c r="S62" s="19"/>
    </row>
    <row r="63" spans="15:19" x14ac:dyDescent="0.25">
      <c r="O63" s="38"/>
      <c r="Q63" s="19"/>
      <c r="R63" s="19"/>
      <c r="S63" s="19"/>
    </row>
    <row r="64" spans="15:19" x14ac:dyDescent="0.25">
      <c r="O64" s="38"/>
      <c r="Q64" s="19"/>
      <c r="R64" s="19"/>
      <c r="S64" s="19"/>
    </row>
    <row r="65" spans="15:19" x14ac:dyDescent="0.25">
      <c r="O65" s="38"/>
      <c r="Q65" s="19"/>
      <c r="R65" s="19"/>
      <c r="S65" s="19"/>
    </row>
    <row r="66" spans="15:19" x14ac:dyDescent="0.25">
      <c r="O66" s="38"/>
      <c r="Q66" s="19"/>
      <c r="R66" s="19"/>
      <c r="S66" s="19"/>
    </row>
    <row r="67" spans="15:19" x14ac:dyDescent="0.25">
      <c r="O67" s="38"/>
      <c r="Q67" s="19"/>
      <c r="R67" s="19"/>
      <c r="S67" s="19"/>
    </row>
    <row r="68" spans="15:19" x14ac:dyDescent="0.25">
      <c r="O68" s="38"/>
      <c r="Q68" s="19"/>
      <c r="R68" s="19"/>
      <c r="S68" s="19"/>
    </row>
    <row r="69" spans="15:19" x14ac:dyDescent="0.25">
      <c r="O69" s="38"/>
      <c r="Q69" s="19"/>
      <c r="R69" s="19"/>
      <c r="S69" s="19"/>
    </row>
    <row r="70" spans="15:19" x14ac:dyDescent="0.25">
      <c r="O70" s="38"/>
      <c r="Q70" s="19"/>
      <c r="R70" s="19"/>
      <c r="S70" s="19"/>
    </row>
    <row r="71" spans="15:19" x14ac:dyDescent="0.25">
      <c r="O71" s="38"/>
      <c r="Q71" s="19"/>
      <c r="R71" s="19"/>
      <c r="S71" s="19"/>
    </row>
    <row r="72" spans="15:19" x14ac:dyDescent="0.25">
      <c r="O72" s="38"/>
      <c r="Q72" s="19"/>
      <c r="R72" s="19"/>
      <c r="S72" s="19"/>
    </row>
    <row r="73" spans="15:19" x14ac:dyDescent="0.25">
      <c r="O73" s="38"/>
      <c r="Q73" s="19"/>
      <c r="R73" s="19"/>
      <c r="S73" s="19"/>
    </row>
    <row r="74" spans="15:19" x14ac:dyDescent="0.25">
      <c r="O74" s="38"/>
      <c r="Q74" s="19"/>
      <c r="R74" s="19"/>
      <c r="S74" s="19"/>
    </row>
    <row r="75" spans="15:19" x14ac:dyDescent="0.25">
      <c r="O75" s="38"/>
      <c r="Q75" s="19"/>
      <c r="R75" s="19"/>
      <c r="S75" s="19"/>
    </row>
    <row r="76" spans="15:19" x14ac:dyDescent="0.25">
      <c r="O76" s="38"/>
      <c r="Q76" s="19"/>
      <c r="R76" s="19"/>
      <c r="S76" s="19"/>
    </row>
    <row r="77" spans="15:19" x14ac:dyDescent="0.25">
      <c r="O77" s="38"/>
      <c r="Q77" s="19"/>
      <c r="R77" s="19"/>
      <c r="S77" s="19"/>
    </row>
    <row r="78" spans="15:19" x14ac:dyDescent="0.25">
      <c r="O78" s="38"/>
      <c r="Q78" s="19"/>
      <c r="R78" s="19"/>
      <c r="S78" s="19"/>
    </row>
    <row r="79" spans="15:19" x14ac:dyDescent="0.25">
      <c r="O79" s="38"/>
      <c r="Q79" s="19"/>
      <c r="R79" s="19"/>
      <c r="S79" s="19"/>
    </row>
    <row r="80" spans="15:19" x14ac:dyDescent="0.25">
      <c r="O80" s="38"/>
      <c r="Q80" s="19"/>
      <c r="R80" s="19"/>
      <c r="S80" s="19"/>
    </row>
    <row r="81" spans="15:19" x14ac:dyDescent="0.25">
      <c r="O81" s="38"/>
      <c r="Q81" s="19"/>
      <c r="R81" s="19"/>
      <c r="S81" s="19"/>
    </row>
    <row r="82" spans="15:19" x14ac:dyDescent="0.25">
      <c r="O82" s="38"/>
      <c r="Q82" s="19"/>
      <c r="R82" s="19"/>
      <c r="S82" s="19"/>
    </row>
    <row r="83" spans="15:19" x14ac:dyDescent="0.25">
      <c r="O83" s="38"/>
      <c r="Q83" s="19"/>
      <c r="R83" s="19"/>
      <c r="S83" s="19"/>
    </row>
    <row r="84" spans="15:19" x14ac:dyDescent="0.25">
      <c r="O84" s="38"/>
      <c r="Q84" s="19"/>
      <c r="R84" s="19"/>
      <c r="S84" s="19"/>
    </row>
    <row r="85" spans="15:19" x14ac:dyDescent="0.25">
      <c r="O85" s="38"/>
      <c r="Q85" s="19"/>
      <c r="R85" s="19"/>
      <c r="S85" s="19"/>
    </row>
    <row r="86" spans="15:19" x14ac:dyDescent="0.25">
      <c r="O86" s="38"/>
      <c r="Q86" s="19"/>
      <c r="R86" s="19"/>
      <c r="S86" s="19"/>
    </row>
    <row r="87" spans="15:19" x14ac:dyDescent="0.25">
      <c r="O87" s="38"/>
      <c r="Q87" s="19"/>
      <c r="R87" s="19"/>
      <c r="S87" s="19"/>
    </row>
    <row r="88" spans="15:19" x14ac:dyDescent="0.25">
      <c r="O88" s="38"/>
      <c r="Q88" s="19"/>
      <c r="R88" s="19"/>
      <c r="S88" s="19"/>
    </row>
    <row r="89" spans="15:19" x14ac:dyDescent="0.25">
      <c r="O89" s="38"/>
      <c r="Q89" s="19"/>
      <c r="R89" s="19"/>
      <c r="S89" s="19"/>
    </row>
    <row r="90" spans="15:19" x14ac:dyDescent="0.25">
      <c r="O90" s="38"/>
      <c r="Q90" s="19"/>
      <c r="R90" s="19"/>
      <c r="S90" s="19"/>
    </row>
    <row r="91" spans="15:19" x14ac:dyDescent="0.25">
      <c r="O91" s="38"/>
      <c r="Q91" s="19"/>
      <c r="R91" s="19"/>
      <c r="S91" s="19"/>
    </row>
    <row r="92" spans="15:19" x14ac:dyDescent="0.25">
      <c r="O92" s="38"/>
      <c r="Q92" s="19"/>
      <c r="R92" s="19"/>
      <c r="S92" s="19"/>
    </row>
    <row r="93" spans="15:19" x14ac:dyDescent="0.25">
      <c r="O93" s="38"/>
      <c r="Q93" s="19"/>
      <c r="R93" s="19"/>
      <c r="S93" s="19"/>
    </row>
    <row r="94" spans="15:19" x14ac:dyDescent="0.25">
      <c r="O94" s="38"/>
      <c r="Q94" s="19"/>
      <c r="R94" s="19"/>
      <c r="S94" s="19"/>
    </row>
    <row r="95" spans="15:19" x14ac:dyDescent="0.25">
      <c r="O95" s="38"/>
      <c r="Q95" s="19"/>
      <c r="R95" s="19"/>
      <c r="S95" s="19"/>
    </row>
    <row r="96" spans="15:19" x14ac:dyDescent="0.25">
      <c r="O96" s="38"/>
      <c r="Q96" s="19"/>
      <c r="R96" s="19"/>
      <c r="S96" s="19"/>
    </row>
    <row r="97" spans="15:19" x14ac:dyDescent="0.25">
      <c r="O97" s="38"/>
      <c r="Q97" s="19"/>
      <c r="R97" s="19"/>
      <c r="S97" s="19"/>
    </row>
    <row r="98" spans="15:19" x14ac:dyDescent="0.25">
      <c r="O98" s="38"/>
      <c r="Q98" s="19"/>
      <c r="R98" s="19"/>
      <c r="S98" s="19"/>
    </row>
    <row r="99" spans="15:19" x14ac:dyDescent="0.25">
      <c r="O99" s="38"/>
      <c r="Q99" s="19"/>
      <c r="R99" s="19"/>
      <c r="S99" s="19"/>
    </row>
    <row r="100" spans="15:19" x14ac:dyDescent="0.25">
      <c r="O100" s="38"/>
      <c r="Q100" s="19"/>
      <c r="R100" s="19"/>
      <c r="S100" s="19"/>
    </row>
    <row r="101" spans="15:19" x14ac:dyDescent="0.25">
      <c r="O101" s="38"/>
      <c r="Q101" s="19"/>
      <c r="R101" s="19"/>
      <c r="S101" s="19"/>
    </row>
    <row r="102" spans="15:19" x14ac:dyDescent="0.25">
      <c r="O102" s="38"/>
      <c r="Q102" s="19"/>
      <c r="R102" s="19"/>
      <c r="S102" s="19"/>
    </row>
    <row r="103" spans="15:19" x14ac:dyDescent="0.25">
      <c r="O103" s="38"/>
      <c r="Q103" s="19"/>
      <c r="R103" s="19"/>
      <c r="S103" s="19"/>
    </row>
    <row r="104" spans="15:19" x14ac:dyDescent="0.25">
      <c r="O104" s="38"/>
      <c r="Q104" s="19"/>
      <c r="R104" s="19"/>
      <c r="S104" s="19"/>
    </row>
    <row r="105" spans="15:19" x14ac:dyDescent="0.25">
      <c r="O105" s="38"/>
      <c r="Q105" s="19"/>
      <c r="R105" s="19"/>
      <c r="S105" s="19"/>
    </row>
    <row r="106" spans="15:19" x14ac:dyDescent="0.25">
      <c r="O106" s="38"/>
      <c r="Q106" s="19"/>
      <c r="R106" s="19"/>
      <c r="S106" s="19"/>
    </row>
    <row r="107" spans="15:19" x14ac:dyDescent="0.25">
      <c r="O107" s="38"/>
      <c r="Q107" s="19"/>
      <c r="R107" s="19"/>
      <c r="S107" s="19"/>
    </row>
    <row r="108" spans="15:19" x14ac:dyDescent="0.25">
      <c r="O108" s="38"/>
      <c r="Q108" s="19"/>
      <c r="R108" s="19"/>
      <c r="S108" s="19"/>
    </row>
    <row r="109" spans="15:19" x14ac:dyDescent="0.25">
      <c r="O109" s="38"/>
      <c r="Q109" s="19"/>
      <c r="R109" s="19"/>
      <c r="S109" s="19"/>
    </row>
    <row r="110" spans="15:19" x14ac:dyDescent="0.25">
      <c r="O110" s="38"/>
      <c r="Q110" s="19"/>
      <c r="R110" s="19"/>
      <c r="S110" s="19"/>
    </row>
    <row r="111" spans="15:19" x14ac:dyDescent="0.25">
      <c r="O111" s="38"/>
      <c r="Q111" s="19"/>
      <c r="R111" s="19"/>
      <c r="S111" s="19"/>
    </row>
    <row r="112" spans="15:19" x14ac:dyDescent="0.25">
      <c r="O112" s="38"/>
      <c r="Q112" s="19"/>
      <c r="R112" s="19"/>
      <c r="S112" s="19"/>
    </row>
    <row r="113" spans="15:19" x14ac:dyDescent="0.25">
      <c r="O113" s="38"/>
      <c r="Q113" s="19"/>
      <c r="R113" s="19"/>
      <c r="S113" s="19"/>
    </row>
    <row r="114" spans="15:19" x14ac:dyDescent="0.25">
      <c r="O114" s="38"/>
      <c r="Q114" s="19"/>
      <c r="R114" s="19"/>
      <c r="S114" s="19"/>
    </row>
    <row r="115" spans="15:19" x14ac:dyDescent="0.25">
      <c r="O115" s="38"/>
      <c r="Q115" s="19"/>
      <c r="R115" s="19"/>
      <c r="S115" s="19"/>
    </row>
    <row r="116" spans="15:19" x14ac:dyDescent="0.25">
      <c r="O116" s="38"/>
      <c r="Q116" s="19"/>
      <c r="R116" s="19"/>
      <c r="S116" s="19"/>
    </row>
    <row r="117" spans="15:19" x14ac:dyDescent="0.25">
      <c r="O117" s="38"/>
      <c r="Q117" s="19"/>
      <c r="R117" s="19"/>
      <c r="S117" s="19"/>
    </row>
    <row r="118" spans="15:19" x14ac:dyDescent="0.25">
      <c r="O118" s="38"/>
      <c r="Q118" s="19"/>
      <c r="R118" s="19"/>
      <c r="S118" s="19"/>
    </row>
    <row r="119" spans="15:19" x14ac:dyDescent="0.25">
      <c r="O119" s="38"/>
      <c r="Q119" s="19"/>
      <c r="R119" s="19"/>
      <c r="S119" s="19"/>
    </row>
    <row r="120" spans="15:19" x14ac:dyDescent="0.25">
      <c r="O120" s="38"/>
      <c r="Q120" s="19"/>
      <c r="R120" s="19"/>
      <c r="S120" s="19"/>
    </row>
    <row r="121" spans="15:19" x14ac:dyDescent="0.25">
      <c r="O121" s="38"/>
      <c r="Q121" s="19"/>
      <c r="R121" s="19"/>
      <c r="S121" s="19"/>
    </row>
    <row r="122" spans="15:19" x14ac:dyDescent="0.25">
      <c r="O122" s="38"/>
      <c r="Q122" s="19"/>
      <c r="R122" s="19"/>
      <c r="S122" s="19"/>
    </row>
    <row r="123" spans="15:19" x14ac:dyDescent="0.25">
      <c r="O123" s="38"/>
      <c r="Q123" s="19"/>
      <c r="R123" s="19"/>
      <c r="S123" s="19"/>
    </row>
    <row r="124" spans="15:19" x14ac:dyDescent="0.25">
      <c r="O124" s="38"/>
      <c r="Q124" s="19"/>
      <c r="R124" s="19"/>
      <c r="S124" s="19"/>
    </row>
    <row r="125" spans="15:19" x14ac:dyDescent="0.25">
      <c r="O125" s="38"/>
      <c r="Q125" s="19"/>
      <c r="R125" s="19"/>
      <c r="S125" s="19"/>
    </row>
    <row r="126" spans="15:19" x14ac:dyDescent="0.25">
      <c r="O126" s="38"/>
      <c r="Q126" s="19"/>
      <c r="R126" s="19"/>
      <c r="S126" s="19"/>
    </row>
    <row r="127" spans="15:19" x14ac:dyDescent="0.25">
      <c r="O127" s="38"/>
      <c r="Q127" s="19"/>
      <c r="R127" s="19"/>
      <c r="S127" s="19"/>
    </row>
    <row r="128" spans="15:19" x14ac:dyDescent="0.25">
      <c r="O128" s="38"/>
      <c r="Q128" s="19"/>
      <c r="R128" s="19"/>
      <c r="S128" s="19"/>
    </row>
    <row r="129" spans="15:19" x14ac:dyDescent="0.25">
      <c r="O129" s="38"/>
      <c r="Q129" s="19"/>
      <c r="R129" s="19"/>
      <c r="S129" s="19"/>
    </row>
    <row r="130" spans="15:19" x14ac:dyDescent="0.25">
      <c r="O130" s="38"/>
      <c r="Q130" s="19"/>
      <c r="R130" s="19"/>
      <c r="S130" s="19"/>
    </row>
    <row r="131" spans="15:19" x14ac:dyDescent="0.25">
      <c r="O131" s="38"/>
      <c r="Q131" s="19"/>
      <c r="R131" s="19"/>
      <c r="S131" s="19"/>
    </row>
    <row r="132" spans="15:19" x14ac:dyDescent="0.25">
      <c r="O132" s="38"/>
      <c r="Q132" s="19"/>
      <c r="R132" s="19"/>
      <c r="S132" s="19"/>
    </row>
    <row r="133" spans="15:19" x14ac:dyDescent="0.25">
      <c r="O133" s="38"/>
      <c r="Q133" s="19"/>
      <c r="R133" s="19"/>
      <c r="S133" s="19"/>
    </row>
    <row r="134" spans="15:19" x14ac:dyDescent="0.25">
      <c r="O134" s="38"/>
      <c r="Q134" s="19"/>
      <c r="R134" s="19"/>
      <c r="S134" s="19"/>
    </row>
    <row r="135" spans="15:19" x14ac:dyDescent="0.25">
      <c r="O135" s="38"/>
      <c r="Q135" s="19"/>
      <c r="R135" s="19"/>
      <c r="S135" s="19"/>
    </row>
    <row r="136" spans="15:19" x14ac:dyDescent="0.25">
      <c r="O136" s="38"/>
      <c r="Q136" s="19"/>
      <c r="R136" s="19"/>
      <c r="S136" s="19"/>
    </row>
    <row r="137" spans="15:19" x14ac:dyDescent="0.25">
      <c r="O137" s="38"/>
      <c r="Q137" s="19"/>
      <c r="R137" s="19"/>
      <c r="S137" s="19"/>
    </row>
    <row r="138" spans="15:19" x14ac:dyDescent="0.25">
      <c r="O138" s="38"/>
      <c r="Q138" s="19"/>
      <c r="R138" s="19"/>
      <c r="S138" s="19"/>
    </row>
    <row r="139" spans="15:19" x14ac:dyDescent="0.25">
      <c r="O139" s="38"/>
      <c r="Q139" s="19"/>
      <c r="R139" s="19"/>
      <c r="S139" s="19"/>
    </row>
    <row r="140" spans="15:19" x14ac:dyDescent="0.25">
      <c r="O140" s="38"/>
      <c r="Q140" s="19"/>
      <c r="R140" s="19"/>
      <c r="S140" s="19"/>
    </row>
    <row r="141" spans="15:19" x14ac:dyDescent="0.25">
      <c r="O141" s="38"/>
      <c r="Q141" s="19"/>
      <c r="R141" s="19"/>
      <c r="S141" s="19"/>
    </row>
    <row r="142" spans="15:19" x14ac:dyDescent="0.25">
      <c r="O142" s="38"/>
      <c r="Q142" s="19"/>
      <c r="R142" s="19"/>
      <c r="S142" s="19"/>
    </row>
    <row r="143" spans="15:19" x14ac:dyDescent="0.25">
      <c r="O143" s="38"/>
      <c r="Q143" s="19"/>
      <c r="R143" s="19"/>
      <c r="S143" s="19"/>
    </row>
    <row r="144" spans="15:19" x14ac:dyDescent="0.25">
      <c r="O144" s="38"/>
      <c r="Q144" s="19"/>
      <c r="R144" s="19"/>
      <c r="S144" s="19"/>
    </row>
    <row r="145" spans="15:19" x14ac:dyDescent="0.25">
      <c r="O145" s="38"/>
      <c r="Q145" s="19"/>
      <c r="R145" s="19"/>
      <c r="S145" s="19"/>
    </row>
    <row r="146" spans="15:19" x14ac:dyDescent="0.25">
      <c r="O146" s="38"/>
      <c r="Q146" s="19"/>
      <c r="R146" s="19"/>
      <c r="S146" s="19"/>
    </row>
    <row r="147" spans="15:19" x14ac:dyDescent="0.25">
      <c r="O147" s="38"/>
      <c r="Q147" s="19"/>
      <c r="R147" s="19"/>
      <c r="S147" s="19"/>
    </row>
    <row r="148" spans="15:19" x14ac:dyDescent="0.25">
      <c r="O148" s="38"/>
      <c r="Q148" s="19"/>
      <c r="R148" s="19"/>
      <c r="S148" s="19"/>
    </row>
    <row r="149" spans="15:19" x14ac:dyDescent="0.25">
      <c r="O149" s="38"/>
      <c r="Q149" s="19"/>
      <c r="R149" s="19"/>
      <c r="S149" s="19"/>
    </row>
    <row r="150" spans="15:19" x14ac:dyDescent="0.25">
      <c r="O150" s="38"/>
      <c r="Q150" s="19"/>
      <c r="R150" s="19"/>
      <c r="S150" s="19"/>
    </row>
    <row r="151" spans="15:19" x14ac:dyDescent="0.25">
      <c r="O151" s="38"/>
      <c r="Q151" s="19"/>
      <c r="R151" s="19"/>
      <c r="S151" s="19"/>
    </row>
    <row r="152" spans="15:19" x14ac:dyDescent="0.25">
      <c r="O152" s="38"/>
      <c r="Q152" s="19"/>
      <c r="R152" s="19"/>
      <c r="S152" s="19"/>
    </row>
    <row r="153" spans="15:19" x14ac:dyDescent="0.25">
      <c r="O153" s="38"/>
      <c r="Q153" s="19"/>
      <c r="R153" s="19"/>
      <c r="S153" s="19"/>
    </row>
    <row r="154" spans="15:19" x14ac:dyDescent="0.25">
      <c r="O154" s="38"/>
      <c r="Q154" s="19"/>
      <c r="R154" s="19"/>
      <c r="S154" s="19"/>
    </row>
    <row r="155" spans="15:19" x14ac:dyDescent="0.25">
      <c r="O155" s="38"/>
      <c r="Q155" s="19"/>
      <c r="R155" s="19"/>
      <c r="S155" s="19"/>
    </row>
    <row r="156" spans="15:19" x14ac:dyDescent="0.25">
      <c r="O156" s="38"/>
      <c r="Q156" s="19"/>
      <c r="R156" s="19"/>
      <c r="S156" s="19"/>
    </row>
    <row r="157" spans="15:19" x14ac:dyDescent="0.25">
      <c r="O157" s="38"/>
      <c r="Q157" s="19"/>
      <c r="R157" s="19"/>
      <c r="S157" s="19"/>
    </row>
    <row r="158" spans="15:19" x14ac:dyDescent="0.25">
      <c r="O158" s="38"/>
      <c r="Q158" s="19"/>
      <c r="R158" s="19"/>
      <c r="S158" s="19"/>
    </row>
    <row r="159" spans="15:19" x14ac:dyDescent="0.25">
      <c r="O159" s="38"/>
      <c r="Q159" s="19"/>
      <c r="R159" s="19"/>
      <c r="S159" s="19"/>
    </row>
    <row r="160" spans="15:19" x14ac:dyDescent="0.25">
      <c r="O160" s="38"/>
      <c r="Q160" s="19"/>
      <c r="R160" s="19"/>
      <c r="S160" s="19"/>
    </row>
    <row r="161" spans="15:19" x14ac:dyDescent="0.25">
      <c r="O161" s="38"/>
      <c r="Q161" s="19"/>
      <c r="R161" s="19"/>
      <c r="S161" s="19"/>
    </row>
    <row r="162" spans="15:19" x14ac:dyDescent="0.25">
      <c r="O162" s="38"/>
      <c r="Q162" s="19"/>
      <c r="R162" s="19"/>
      <c r="S162" s="19"/>
    </row>
    <row r="163" spans="15:19" x14ac:dyDescent="0.25">
      <c r="O163" s="38"/>
      <c r="Q163" s="19"/>
      <c r="R163" s="19"/>
      <c r="S163" s="19"/>
    </row>
    <row r="164" spans="15:19" x14ac:dyDescent="0.25">
      <c r="O164" s="38"/>
      <c r="Q164" s="19"/>
      <c r="R164" s="19"/>
      <c r="S164" s="19"/>
    </row>
    <row r="165" spans="15:19" x14ac:dyDescent="0.25">
      <c r="O165" s="38"/>
      <c r="Q165" s="19"/>
      <c r="R165" s="19"/>
      <c r="S165" s="19"/>
    </row>
    <row r="166" spans="15:19" x14ac:dyDescent="0.25">
      <c r="O166" s="38"/>
      <c r="Q166" s="19"/>
      <c r="R166" s="19"/>
      <c r="S166" s="19"/>
    </row>
    <row r="167" spans="15:19" x14ac:dyDescent="0.25">
      <c r="O167" s="38"/>
      <c r="Q167" s="19"/>
      <c r="R167" s="19"/>
      <c r="S167" s="19"/>
    </row>
    <row r="168" spans="15:19" x14ac:dyDescent="0.25">
      <c r="O168" s="38"/>
      <c r="Q168" s="19"/>
      <c r="R168" s="19"/>
      <c r="S168" s="19"/>
    </row>
    <row r="169" spans="15:19" x14ac:dyDescent="0.25">
      <c r="O169" s="38"/>
      <c r="Q169" s="19"/>
      <c r="R169" s="19"/>
      <c r="S169" s="19"/>
    </row>
    <row r="170" spans="15:19" x14ac:dyDescent="0.25">
      <c r="O170" s="38"/>
      <c r="Q170" s="19"/>
      <c r="R170" s="19"/>
      <c r="S170" s="19"/>
    </row>
    <row r="171" spans="15:19" x14ac:dyDescent="0.25">
      <c r="O171" s="38"/>
      <c r="Q171" s="19"/>
      <c r="R171" s="19"/>
      <c r="S171" s="19"/>
    </row>
    <row r="172" spans="15:19" x14ac:dyDescent="0.25">
      <c r="O172" s="38"/>
      <c r="Q172" s="19"/>
      <c r="R172" s="19"/>
      <c r="S172" s="19"/>
    </row>
    <row r="173" spans="15:19" x14ac:dyDescent="0.25">
      <c r="O173" s="38"/>
      <c r="Q173" s="19"/>
      <c r="R173" s="19"/>
      <c r="S173" s="19"/>
    </row>
    <row r="174" spans="15:19" x14ac:dyDescent="0.25">
      <c r="O174" s="38"/>
      <c r="Q174" s="19"/>
      <c r="R174" s="19"/>
      <c r="S174" s="19"/>
    </row>
    <row r="175" spans="15:19" x14ac:dyDescent="0.25">
      <c r="O175" s="38"/>
      <c r="Q175" s="19"/>
      <c r="R175" s="19"/>
      <c r="S175" s="19"/>
    </row>
    <row r="176" spans="15:19" x14ac:dyDescent="0.25">
      <c r="O176" s="38"/>
      <c r="Q176" s="19"/>
      <c r="R176" s="19"/>
      <c r="S176" s="19"/>
    </row>
    <row r="177" spans="15:19" x14ac:dyDescent="0.25">
      <c r="O177" s="38"/>
      <c r="Q177" s="19"/>
      <c r="R177" s="19"/>
      <c r="S177" s="19"/>
    </row>
    <row r="178" spans="15:19" x14ac:dyDescent="0.25">
      <c r="O178" s="38"/>
      <c r="Q178" s="19"/>
      <c r="R178" s="19"/>
      <c r="S178" s="19"/>
    </row>
    <row r="179" spans="15:19" x14ac:dyDescent="0.25">
      <c r="O179" s="38"/>
      <c r="Q179" s="19"/>
      <c r="R179" s="19"/>
      <c r="S179" s="19"/>
    </row>
    <row r="180" spans="15:19" x14ac:dyDescent="0.25">
      <c r="O180" s="38"/>
      <c r="Q180" s="19"/>
      <c r="R180" s="19"/>
      <c r="S180" s="19"/>
    </row>
    <row r="181" spans="15:19" x14ac:dyDescent="0.25">
      <c r="O181" s="38"/>
      <c r="Q181" s="19"/>
      <c r="R181" s="19"/>
      <c r="S181" s="19"/>
    </row>
    <row r="182" spans="15:19" x14ac:dyDescent="0.25">
      <c r="O182" s="38"/>
      <c r="Q182" s="19"/>
      <c r="R182" s="19"/>
      <c r="S182" s="19"/>
    </row>
    <row r="183" spans="15:19" x14ac:dyDescent="0.25">
      <c r="O183" s="38"/>
      <c r="Q183" s="19"/>
      <c r="R183" s="19"/>
      <c r="S183" s="19"/>
    </row>
    <row r="184" spans="15:19" x14ac:dyDescent="0.25">
      <c r="O184" s="38"/>
      <c r="Q184" s="19"/>
      <c r="R184" s="19"/>
      <c r="S184" s="19"/>
    </row>
    <row r="185" spans="15:19" x14ac:dyDescent="0.25">
      <c r="O185" s="38"/>
      <c r="Q185" s="19"/>
      <c r="R185" s="19"/>
      <c r="S185" s="19"/>
    </row>
    <row r="186" spans="15:19" x14ac:dyDescent="0.25">
      <c r="O186" s="38"/>
      <c r="Q186" s="19"/>
      <c r="R186" s="19"/>
      <c r="S186" s="19"/>
    </row>
    <row r="187" spans="15:19" x14ac:dyDescent="0.25">
      <c r="O187" s="38"/>
      <c r="Q187" s="19"/>
      <c r="R187" s="19"/>
      <c r="S187" s="19"/>
    </row>
    <row r="188" spans="15:19" x14ac:dyDescent="0.25">
      <c r="O188" s="38"/>
      <c r="Q188" s="19"/>
      <c r="R188" s="19"/>
      <c r="S188" s="19"/>
    </row>
    <row r="189" spans="15:19" x14ac:dyDescent="0.25">
      <c r="O189" s="38"/>
      <c r="Q189" s="19"/>
      <c r="R189" s="19"/>
      <c r="S189" s="19"/>
    </row>
    <row r="190" spans="15:19" x14ac:dyDescent="0.25">
      <c r="O190" s="38"/>
      <c r="Q190" s="19"/>
      <c r="R190" s="19"/>
      <c r="S190" s="19"/>
    </row>
    <row r="191" spans="15:19" x14ac:dyDescent="0.25">
      <c r="O191" s="38"/>
      <c r="Q191" s="19"/>
      <c r="R191" s="19"/>
      <c r="S191" s="19"/>
    </row>
    <row r="192" spans="15:19" x14ac:dyDescent="0.25">
      <c r="O192" s="38"/>
      <c r="Q192" s="19"/>
      <c r="R192" s="19"/>
      <c r="S192" s="19"/>
    </row>
    <row r="193" spans="15:19" x14ac:dyDescent="0.25">
      <c r="O193" s="38"/>
      <c r="Q193" s="19"/>
      <c r="R193" s="19"/>
      <c r="S193" s="19"/>
    </row>
    <row r="194" spans="15:19" x14ac:dyDescent="0.25">
      <c r="O194" s="38"/>
      <c r="Q194" s="19"/>
      <c r="R194" s="19"/>
      <c r="S194" s="19"/>
    </row>
    <row r="195" spans="15:19" x14ac:dyDescent="0.25">
      <c r="O195" s="38"/>
      <c r="Q195" s="19"/>
      <c r="R195" s="19"/>
      <c r="S195" s="19"/>
    </row>
    <row r="196" spans="15:19" x14ac:dyDescent="0.25">
      <c r="O196" s="38"/>
      <c r="Q196" s="19"/>
      <c r="R196" s="19"/>
      <c r="S196" s="19"/>
    </row>
    <row r="197" spans="15:19" x14ac:dyDescent="0.25">
      <c r="O197" s="38"/>
      <c r="Q197" s="19"/>
      <c r="R197" s="19"/>
      <c r="S197" s="19"/>
    </row>
    <row r="198" spans="15:19" x14ac:dyDescent="0.25">
      <c r="O198" s="38"/>
      <c r="Q198" s="19"/>
      <c r="R198" s="19"/>
      <c r="S198" s="19"/>
    </row>
    <row r="199" spans="15:19" x14ac:dyDescent="0.25">
      <c r="O199" s="38"/>
      <c r="Q199" s="19"/>
      <c r="R199" s="19"/>
      <c r="S199" s="19"/>
    </row>
    <row r="200" spans="15:19" x14ac:dyDescent="0.25">
      <c r="O200" s="38"/>
      <c r="Q200" s="19"/>
      <c r="R200" s="19"/>
      <c r="S200" s="19"/>
    </row>
    <row r="201" spans="15:19" x14ac:dyDescent="0.25">
      <c r="O201" s="38"/>
      <c r="Q201" s="19"/>
      <c r="R201" s="19"/>
      <c r="S201" s="19"/>
    </row>
    <row r="202" spans="15:19" x14ac:dyDescent="0.25">
      <c r="O202" s="38"/>
      <c r="Q202" s="19"/>
      <c r="R202" s="19"/>
      <c r="S202" s="19"/>
    </row>
    <row r="203" spans="15:19" x14ac:dyDescent="0.25">
      <c r="O203" s="38"/>
      <c r="Q203" s="19"/>
      <c r="R203" s="19"/>
      <c r="S203" s="19"/>
    </row>
    <row r="204" spans="15:19" x14ac:dyDescent="0.25">
      <c r="O204" s="38"/>
      <c r="Q204" s="19"/>
      <c r="R204" s="19"/>
      <c r="S204" s="19"/>
    </row>
    <row r="205" spans="15:19" x14ac:dyDescent="0.25">
      <c r="O205" s="38"/>
      <c r="Q205" s="19"/>
      <c r="R205" s="19"/>
      <c r="S205" s="19"/>
    </row>
    <row r="206" spans="15:19" x14ac:dyDescent="0.25">
      <c r="O206" s="38"/>
      <c r="Q206" s="19"/>
      <c r="R206" s="19"/>
      <c r="S206" s="19"/>
    </row>
    <row r="207" spans="15:19" x14ac:dyDescent="0.25">
      <c r="O207" s="38"/>
      <c r="Q207" s="19"/>
      <c r="R207" s="19"/>
      <c r="S207" s="19"/>
    </row>
    <row r="208" spans="15:19" x14ac:dyDescent="0.25">
      <c r="O208" s="38"/>
      <c r="Q208" s="19"/>
      <c r="R208" s="19"/>
      <c r="S208" s="19"/>
    </row>
    <row r="209" spans="15:19" x14ac:dyDescent="0.25">
      <c r="O209" s="38"/>
      <c r="Q209" s="19"/>
      <c r="R209" s="19"/>
      <c r="S209" s="19"/>
    </row>
    <row r="210" spans="15:19" x14ac:dyDescent="0.25">
      <c r="O210" s="38"/>
      <c r="Q210" s="19"/>
      <c r="R210" s="19"/>
      <c r="S210" s="19"/>
    </row>
    <row r="211" spans="15:19" x14ac:dyDescent="0.25">
      <c r="O211" s="38"/>
      <c r="Q211" s="19"/>
      <c r="R211" s="19"/>
      <c r="S211" s="19"/>
    </row>
    <row r="212" spans="15:19" x14ac:dyDescent="0.25">
      <c r="O212" s="38"/>
      <c r="Q212" s="19"/>
      <c r="R212" s="19"/>
      <c r="S212" s="19"/>
    </row>
    <row r="213" spans="15:19" x14ac:dyDescent="0.25">
      <c r="O213" s="38"/>
      <c r="Q213" s="19"/>
      <c r="R213" s="19"/>
      <c r="S213" s="19"/>
    </row>
    <row r="214" spans="15:19" x14ac:dyDescent="0.25">
      <c r="O214" s="38"/>
      <c r="Q214" s="19"/>
      <c r="R214" s="19"/>
      <c r="S214" s="19"/>
    </row>
    <row r="215" spans="15:19" x14ac:dyDescent="0.25">
      <c r="O215" s="38"/>
      <c r="Q215" s="19"/>
      <c r="R215" s="19"/>
      <c r="S215" s="19"/>
    </row>
    <row r="216" spans="15:19" x14ac:dyDescent="0.25">
      <c r="O216" s="38"/>
      <c r="Q216" s="19"/>
      <c r="R216" s="19"/>
      <c r="S216" s="19"/>
    </row>
    <row r="217" spans="15:19" x14ac:dyDescent="0.25">
      <c r="O217" s="38"/>
      <c r="Q217" s="19"/>
      <c r="R217" s="19"/>
      <c r="S217" s="19"/>
    </row>
    <row r="218" spans="15:19" x14ac:dyDescent="0.25">
      <c r="O218" s="38"/>
      <c r="Q218" s="19"/>
      <c r="R218" s="19"/>
      <c r="S218" s="19"/>
    </row>
    <row r="219" spans="15:19" x14ac:dyDescent="0.25">
      <c r="O219" s="38"/>
      <c r="Q219" s="19"/>
      <c r="R219" s="19"/>
      <c r="S219" s="19"/>
    </row>
    <row r="220" spans="15:19" x14ac:dyDescent="0.25">
      <c r="O220" s="38"/>
      <c r="Q220" s="19"/>
      <c r="R220" s="19"/>
      <c r="S220" s="19"/>
    </row>
    <row r="221" spans="15:19" x14ac:dyDescent="0.25">
      <c r="O221" s="38"/>
      <c r="Q221" s="19"/>
      <c r="R221" s="19"/>
      <c r="S221" s="19"/>
    </row>
    <row r="222" spans="15:19" x14ac:dyDescent="0.25">
      <c r="O222" s="38"/>
      <c r="Q222" s="19"/>
      <c r="R222" s="19"/>
      <c r="S222" s="19"/>
    </row>
    <row r="223" spans="15:19" x14ac:dyDescent="0.25">
      <c r="O223" s="38"/>
      <c r="Q223" s="19"/>
      <c r="R223" s="19"/>
      <c r="S223" s="19"/>
    </row>
    <row r="224" spans="15:19" x14ac:dyDescent="0.25">
      <c r="O224" s="38"/>
      <c r="Q224" s="19"/>
      <c r="R224" s="19"/>
      <c r="S224" s="19"/>
    </row>
    <row r="225" spans="15:19" x14ac:dyDescent="0.25">
      <c r="O225" s="38"/>
      <c r="Q225" s="19"/>
      <c r="R225" s="19"/>
      <c r="S225" s="19"/>
    </row>
    <row r="226" spans="15:19" x14ac:dyDescent="0.25">
      <c r="O226" s="38"/>
      <c r="Q226" s="19"/>
      <c r="R226" s="19"/>
      <c r="S226" s="19"/>
    </row>
    <row r="227" spans="15:19" x14ac:dyDescent="0.25">
      <c r="O227" s="38"/>
      <c r="Q227" s="19"/>
      <c r="R227" s="19"/>
      <c r="S227" s="19"/>
    </row>
    <row r="228" spans="15:19" x14ac:dyDescent="0.25">
      <c r="O228" s="38"/>
      <c r="Q228" s="19"/>
      <c r="R228" s="19"/>
      <c r="S228" s="19"/>
    </row>
    <row r="229" spans="15:19" x14ac:dyDescent="0.25">
      <c r="O229" s="38"/>
      <c r="Q229" s="19"/>
      <c r="R229" s="19"/>
      <c r="S229" s="19"/>
    </row>
    <row r="230" spans="15:19" x14ac:dyDescent="0.25">
      <c r="O230" s="38"/>
      <c r="Q230" s="19"/>
      <c r="R230" s="19"/>
      <c r="S230" s="19"/>
    </row>
    <row r="231" spans="15:19" x14ac:dyDescent="0.25">
      <c r="O231" s="38"/>
      <c r="Q231" s="19"/>
      <c r="R231" s="19"/>
      <c r="S231" s="19"/>
    </row>
    <row r="232" spans="15:19" x14ac:dyDescent="0.25">
      <c r="O232" s="38"/>
      <c r="Q232" s="19"/>
      <c r="R232" s="19"/>
      <c r="S232" s="19"/>
    </row>
    <row r="233" spans="15:19" x14ac:dyDescent="0.25">
      <c r="O233" s="38"/>
      <c r="Q233" s="19"/>
      <c r="R233" s="19"/>
      <c r="S233" s="19"/>
    </row>
    <row r="234" spans="15:19" x14ac:dyDescent="0.25">
      <c r="O234" s="38"/>
      <c r="Q234" s="19"/>
      <c r="R234" s="19"/>
      <c r="S234" s="19"/>
    </row>
    <row r="235" spans="15:19" x14ac:dyDescent="0.25">
      <c r="O235" s="38"/>
      <c r="Q235" s="19"/>
      <c r="R235" s="19"/>
      <c r="S235" s="19"/>
    </row>
    <row r="236" spans="15:19" x14ac:dyDescent="0.25">
      <c r="O236" s="38"/>
      <c r="Q236" s="19"/>
      <c r="R236" s="19"/>
      <c r="S236" s="19"/>
    </row>
    <row r="237" spans="15:19" x14ac:dyDescent="0.25">
      <c r="O237" s="38"/>
      <c r="Q237" s="19"/>
      <c r="R237" s="19"/>
      <c r="S237" s="19"/>
    </row>
    <row r="238" spans="15:19" x14ac:dyDescent="0.25">
      <c r="O238" s="38"/>
      <c r="Q238" s="19"/>
      <c r="R238" s="19"/>
      <c r="S238" s="19"/>
    </row>
    <row r="239" spans="15:19" x14ac:dyDescent="0.25">
      <c r="O239" s="38"/>
      <c r="Q239" s="19"/>
      <c r="R239" s="19"/>
      <c r="S239" s="19"/>
    </row>
    <row r="240" spans="15:19" x14ac:dyDescent="0.25">
      <c r="O240" s="38"/>
      <c r="Q240" s="19"/>
      <c r="R240" s="19"/>
      <c r="S240" s="19"/>
    </row>
    <row r="241" spans="15:19" x14ac:dyDescent="0.25">
      <c r="O241" s="38"/>
      <c r="Q241" s="19"/>
      <c r="R241" s="19"/>
      <c r="S241" s="19"/>
    </row>
    <row r="242" spans="15:19" x14ac:dyDescent="0.25">
      <c r="O242" s="38"/>
      <c r="Q242" s="19"/>
      <c r="R242" s="19"/>
      <c r="S242" s="19"/>
    </row>
    <row r="243" spans="15:19" x14ac:dyDescent="0.25">
      <c r="O243" s="38"/>
      <c r="Q243" s="19"/>
      <c r="R243" s="19"/>
      <c r="S243" s="19"/>
    </row>
    <row r="244" spans="15:19" x14ac:dyDescent="0.25">
      <c r="O244" s="38"/>
      <c r="Q244" s="19"/>
      <c r="R244" s="19"/>
      <c r="S244" s="19"/>
    </row>
    <row r="245" spans="15:19" x14ac:dyDescent="0.25">
      <c r="O245" s="38"/>
      <c r="Q245" s="19"/>
      <c r="R245" s="19"/>
      <c r="S245" s="19"/>
    </row>
    <row r="246" spans="15:19" x14ac:dyDescent="0.25">
      <c r="O246" s="38"/>
      <c r="Q246" s="19"/>
      <c r="R246" s="19"/>
      <c r="S246" s="19"/>
    </row>
    <row r="247" spans="15:19" x14ac:dyDescent="0.25">
      <c r="O247" s="38"/>
      <c r="Q247" s="19"/>
      <c r="R247" s="19"/>
      <c r="S247" s="19"/>
    </row>
    <row r="248" spans="15:19" x14ac:dyDescent="0.25">
      <c r="O248" s="38"/>
      <c r="Q248" s="19"/>
      <c r="R248" s="19"/>
      <c r="S248" s="19"/>
    </row>
    <row r="249" spans="15:19" x14ac:dyDescent="0.25">
      <c r="O249" s="38"/>
      <c r="Q249" s="19"/>
      <c r="R249" s="19"/>
      <c r="S249" s="19"/>
    </row>
    <row r="250" spans="15:19" x14ac:dyDescent="0.25">
      <c r="O250" s="38"/>
      <c r="Q250" s="19"/>
      <c r="R250" s="19"/>
      <c r="S250" s="19"/>
    </row>
    <row r="251" spans="15:19" x14ac:dyDescent="0.25">
      <c r="O251" s="38"/>
      <c r="Q251" s="19"/>
      <c r="R251" s="19"/>
      <c r="S251" s="19"/>
    </row>
    <row r="252" spans="15:19" x14ac:dyDescent="0.25">
      <c r="O252" s="38"/>
      <c r="Q252" s="19"/>
      <c r="R252" s="19"/>
      <c r="S252" s="19"/>
    </row>
    <row r="253" spans="15:19" x14ac:dyDescent="0.25">
      <c r="O253" s="38"/>
      <c r="Q253" s="19"/>
      <c r="R253" s="19"/>
      <c r="S253" s="19"/>
    </row>
    <row r="254" spans="15:19" x14ac:dyDescent="0.25">
      <c r="O254" s="38"/>
      <c r="Q254" s="19"/>
      <c r="R254" s="19"/>
      <c r="S254" s="19"/>
    </row>
    <row r="255" spans="15:19" x14ac:dyDescent="0.25">
      <c r="O255" s="38"/>
      <c r="Q255" s="19"/>
      <c r="R255" s="19"/>
      <c r="S255" s="19"/>
    </row>
    <row r="256" spans="15:19" x14ac:dyDescent="0.25">
      <c r="O256" s="38"/>
      <c r="Q256" s="19"/>
      <c r="R256" s="19"/>
      <c r="S256" s="19"/>
    </row>
    <row r="257" spans="15:19" x14ac:dyDescent="0.25">
      <c r="O257" s="38"/>
      <c r="Q257" s="19"/>
      <c r="R257" s="19"/>
      <c r="S257" s="19"/>
    </row>
    <row r="258" spans="15:19" x14ac:dyDescent="0.25">
      <c r="O258" s="38"/>
      <c r="Q258" s="19"/>
      <c r="R258" s="19"/>
      <c r="S258" s="19"/>
    </row>
    <row r="259" spans="15:19" x14ac:dyDescent="0.25">
      <c r="O259" s="38"/>
      <c r="Q259" s="19"/>
      <c r="R259" s="19"/>
      <c r="S259" s="19"/>
    </row>
    <row r="260" spans="15:19" x14ac:dyDescent="0.25">
      <c r="O260" s="38"/>
      <c r="Q260" s="19"/>
      <c r="R260" s="19"/>
      <c r="S260" s="19"/>
    </row>
    <row r="261" spans="15:19" x14ac:dyDescent="0.25">
      <c r="O261" s="38"/>
      <c r="Q261" s="19"/>
      <c r="R261" s="19"/>
      <c r="S261" s="19"/>
    </row>
    <row r="262" spans="15:19" x14ac:dyDescent="0.25">
      <c r="O262" s="38"/>
      <c r="Q262" s="19"/>
      <c r="R262" s="19"/>
      <c r="S262" s="19"/>
    </row>
    <row r="263" spans="15:19" x14ac:dyDescent="0.25">
      <c r="O263" s="38"/>
      <c r="Q263" s="19"/>
      <c r="R263" s="19"/>
      <c r="S263" s="19"/>
    </row>
    <row r="264" spans="15:19" x14ac:dyDescent="0.25">
      <c r="O264" s="38"/>
      <c r="Q264" s="19"/>
      <c r="R264" s="19"/>
      <c r="S264" s="19"/>
    </row>
    <row r="265" spans="15:19" x14ac:dyDescent="0.25">
      <c r="O265" s="38"/>
      <c r="Q265" s="19"/>
      <c r="R265" s="19"/>
      <c r="S265" s="19"/>
    </row>
    <row r="266" spans="15:19" x14ac:dyDescent="0.25">
      <c r="O266" s="38"/>
      <c r="Q266" s="19"/>
      <c r="R266" s="19"/>
      <c r="S266" s="19"/>
    </row>
    <row r="267" spans="15:19" x14ac:dyDescent="0.25">
      <c r="O267" s="38"/>
      <c r="Q267" s="19"/>
      <c r="R267" s="19"/>
      <c r="S267" s="19"/>
    </row>
    <row r="268" spans="15:19" x14ac:dyDescent="0.25">
      <c r="O268" s="38"/>
      <c r="Q268" s="19"/>
      <c r="R268" s="19"/>
      <c r="S268" s="19"/>
    </row>
    <row r="269" spans="15:19" x14ac:dyDescent="0.25">
      <c r="O269" s="38"/>
      <c r="Q269" s="19"/>
      <c r="R269" s="19"/>
      <c r="S269" s="19"/>
    </row>
    <row r="270" spans="15:19" x14ac:dyDescent="0.25">
      <c r="O270" s="38"/>
      <c r="Q270" s="19"/>
      <c r="R270" s="19"/>
      <c r="S270" s="19"/>
    </row>
    <row r="271" spans="15:19" x14ac:dyDescent="0.25">
      <c r="O271" s="38"/>
      <c r="Q271" s="19"/>
      <c r="R271" s="19"/>
      <c r="S271" s="19"/>
    </row>
    <row r="272" spans="15:19" x14ac:dyDescent="0.25">
      <c r="O272" s="38"/>
      <c r="Q272" s="19"/>
      <c r="R272" s="19"/>
      <c r="S272" s="19"/>
    </row>
    <row r="273" spans="15:19" x14ac:dyDescent="0.25">
      <c r="O273" s="38"/>
      <c r="Q273" s="19"/>
      <c r="R273" s="19"/>
      <c r="S273" s="19"/>
    </row>
    <row r="274" spans="15:19" x14ac:dyDescent="0.25">
      <c r="O274" s="38"/>
      <c r="Q274" s="19"/>
      <c r="R274" s="19"/>
      <c r="S274" s="19"/>
    </row>
    <row r="275" spans="15:19" x14ac:dyDescent="0.25">
      <c r="O275" s="38"/>
      <c r="Q275" s="19"/>
      <c r="R275" s="19"/>
      <c r="S275" s="19"/>
    </row>
    <row r="276" spans="15:19" x14ac:dyDescent="0.25">
      <c r="O276" s="38"/>
      <c r="Q276" s="19"/>
      <c r="R276" s="19"/>
      <c r="S276" s="19"/>
    </row>
    <row r="277" spans="15:19" x14ac:dyDescent="0.25">
      <c r="O277" s="38"/>
      <c r="Q277" s="19"/>
      <c r="R277" s="19"/>
      <c r="S277" s="19"/>
    </row>
    <row r="278" spans="15:19" x14ac:dyDescent="0.25">
      <c r="O278" s="38"/>
      <c r="Q278" s="19"/>
      <c r="R278" s="19"/>
      <c r="S278" s="19"/>
    </row>
    <row r="279" spans="15:19" x14ac:dyDescent="0.25">
      <c r="O279" s="38"/>
      <c r="Q279" s="19"/>
      <c r="R279" s="19"/>
      <c r="S279" s="19"/>
    </row>
    <row r="280" spans="15:19" x14ac:dyDescent="0.25">
      <c r="O280" s="38"/>
      <c r="Q280" s="19"/>
      <c r="R280" s="19"/>
      <c r="S280" s="19"/>
    </row>
    <row r="281" spans="15:19" x14ac:dyDescent="0.25">
      <c r="O281" s="38"/>
      <c r="Q281" s="19"/>
      <c r="R281" s="19"/>
      <c r="S281" s="19"/>
    </row>
    <row r="282" spans="15:19" x14ac:dyDescent="0.25">
      <c r="O282" s="38"/>
      <c r="Q282" s="19"/>
      <c r="R282" s="19"/>
      <c r="S282" s="19"/>
    </row>
    <row r="283" spans="15:19" x14ac:dyDescent="0.25">
      <c r="O283" s="38"/>
      <c r="Q283" s="19"/>
      <c r="R283" s="19"/>
      <c r="S283" s="19"/>
    </row>
    <row r="284" spans="15:19" x14ac:dyDescent="0.25">
      <c r="O284" s="38"/>
      <c r="Q284" s="19"/>
      <c r="R284" s="19"/>
      <c r="S284" s="19"/>
    </row>
    <row r="285" spans="15:19" x14ac:dyDescent="0.25">
      <c r="O285" s="38"/>
      <c r="Q285" s="19"/>
      <c r="R285" s="19"/>
      <c r="S285" s="19"/>
    </row>
    <row r="286" spans="15:19" x14ac:dyDescent="0.25">
      <c r="O286" s="38"/>
      <c r="Q286" s="19"/>
      <c r="R286" s="19"/>
      <c r="S286" s="19"/>
    </row>
    <row r="287" spans="15:19" x14ac:dyDescent="0.25">
      <c r="O287" s="38"/>
      <c r="Q287" s="19"/>
      <c r="R287" s="19"/>
      <c r="S287" s="19"/>
    </row>
    <row r="288" spans="15:19" x14ac:dyDescent="0.25">
      <c r="O288" s="38"/>
      <c r="Q288" s="19"/>
      <c r="R288" s="19"/>
      <c r="S288" s="19"/>
    </row>
    <row r="289" spans="15:19" x14ac:dyDescent="0.25">
      <c r="O289" s="38"/>
      <c r="Q289" s="19"/>
      <c r="R289" s="19"/>
      <c r="S289" s="19"/>
    </row>
    <row r="290" spans="15:19" x14ac:dyDescent="0.25">
      <c r="O290" s="38"/>
      <c r="Q290" s="19"/>
      <c r="R290" s="19"/>
      <c r="S290" s="19"/>
    </row>
    <row r="291" spans="15:19" x14ac:dyDescent="0.25">
      <c r="O291" s="38"/>
      <c r="Q291" s="19"/>
      <c r="R291" s="19"/>
      <c r="S291" s="19"/>
    </row>
    <row r="292" spans="15:19" x14ac:dyDescent="0.25">
      <c r="O292" s="38"/>
      <c r="Q292" s="19"/>
      <c r="R292" s="19"/>
      <c r="S292" s="19"/>
    </row>
    <row r="293" spans="15:19" x14ac:dyDescent="0.25">
      <c r="O293" s="38"/>
      <c r="Q293" s="19"/>
      <c r="R293" s="19"/>
      <c r="S293" s="19"/>
    </row>
    <row r="294" spans="15:19" x14ac:dyDescent="0.25">
      <c r="O294" s="38"/>
      <c r="Q294" s="19"/>
      <c r="R294" s="19"/>
      <c r="S294" s="19"/>
    </row>
    <row r="295" spans="15:19" x14ac:dyDescent="0.25">
      <c r="O295" s="38"/>
      <c r="Q295" s="19"/>
      <c r="R295" s="19"/>
      <c r="S295" s="19"/>
    </row>
    <row r="296" spans="15:19" x14ac:dyDescent="0.25">
      <c r="O296" s="38"/>
      <c r="Q296" s="19"/>
      <c r="R296" s="19"/>
      <c r="S296" s="19"/>
    </row>
    <row r="297" spans="15:19" x14ac:dyDescent="0.25">
      <c r="O297" s="38"/>
      <c r="Q297" s="19"/>
      <c r="R297" s="19"/>
      <c r="S297" s="19"/>
    </row>
    <row r="298" spans="15:19" x14ac:dyDescent="0.25">
      <c r="O298" s="38"/>
      <c r="Q298" s="19"/>
      <c r="R298" s="19"/>
      <c r="S298" s="19"/>
    </row>
    <row r="299" spans="15:19" x14ac:dyDescent="0.25">
      <c r="O299" s="38"/>
      <c r="Q299" s="19"/>
      <c r="R299" s="19"/>
      <c r="S299" s="19"/>
    </row>
    <row r="300" spans="15:19" x14ac:dyDescent="0.25">
      <c r="O300" s="38"/>
      <c r="Q300" s="19"/>
      <c r="R300" s="19"/>
      <c r="S300" s="19"/>
    </row>
    <row r="301" spans="15:19" x14ac:dyDescent="0.25">
      <c r="O301" s="38"/>
      <c r="Q301" s="19"/>
      <c r="R301" s="19"/>
      <c r="S301" s="19"/>
    </row>
    <row r="302" spans="15:19" x14ac:dyDescent="0.25">
      <c r="O302" s="38"/>
      <c r="Q302" s="19"/>
      <c r="R302" s="19"/>
      <c r="S302" s="19"/>
    </row>
    <row r="303" spans="15:19" x14ac:dyDescent="0.25">
      <c r="O303" s="38"/>
      <c r="Q303" s="19"/>
      <c r="R303" s="19"/>
      <c r="S303" s="19"/>
    </row>
    <row r="304" spans="15:19" x14ac:dyDescent="0.25">
      <c r="O304" s="38"/>
      <c r="Q304" s="19"/>
      <c r="R304" s="19"/>
      <c r="S304" s="19"/>
    </row>
    <row r="305" spans="15:19" x14ac:dyDescent="0.25">
      <c r="O305" s="38"/>
      <c r="Q305" s="19"/>
      <c r="R305" s="19"/>
      <c r="S305" s="19"/>
    </row>
    <row r="306" spans="15:19" x14ac:dyDescent="0.25">
      <c r="O306" s="38"/>
      <c r="Q306" s="19"/>
      <c r="R306" s="19"/>
      <c r="S306" s="19"/>
    </row>
    <row r="307" spans="15:19" x14ac:dyDescent="0.25">
      <c r="O307" s="38"/>
      <c r="Q307" s="19"/>
      <c r="R307" s="19"/>
      <c r="S307" s="19"/>
    </row>
    <row r="308" spans="15:19" x14ac:dyDescent="0.25">
      <c r="O308" s="38"/>
      <c r="Q308" s="19"/>
      <c r="R308" s="19"/>
      <c r="S308" s="19"/>
    </row>
    <row r="309" spans="15:19" x14ac:dyDescent="0.25">
      <c r="O309" s="38"/>
      <c r="Q309" s="19"/>
      <c r="R309" s="19"/>
      <c r="S309" s="19"/>
    </row>
    <row r="310" spans="15:19" x14ac:dyDescent="0.25">
      <c r="O310" s="38"/>
      <c r="Q310" s="19"/>
      <c r="R310" s="19"/>
      <c r="S310" s="19"/>
    </row>
    <row r="311" spans="15:19" x14ac:dyDescent="0.25">
      <c r="O311" s="38"/>
      <c r="Q311" s="19"/>
      <c r="R311" s="19"/>
      <c r="S311" s="19"/>
    </row>
    <row r="312" spans="15:19" x14ac:dyDescent="0.25">
      <c r="O312" s="38"/>
      <c r="Q312" s="19"/>
      <c r="R312" s="19"/>
      <c r="S312" s="19"/>
    </row>
    <row r="313" spans="15:19" x14ac:dyDescent="0.25">
      <c r="O313" s="38"/>
      <c r="Q313" s="19"/>
      <c r="R313" s="19"/>
      <c r="S313" s="19"/>
    </row>
    <row r="314" spans="15:19" x14ac:dyDescent="0.25">
      <c r="O314" s="38"/>
      <c r="Q314" s="19"/>
      <c r="R314" s="19"/>
      <c r="S314" s="19"/>
    </row>
    <row r="315" spans="15:19" x14ac:dyDescent="0.25">
      <c r="O315" s="38"/>
      <c r="Q315" s="19"/>
      <c r="R315" s="19"/>
      <c r="S315" s="19"/>
    </row>
    <row r="316" spans="15:19" x14ac:dyDescent="0.25">
      <c r="O316" s="38"/>
      <c r="Q316" s="19"/>
      <c r="R316" s="19"/>
      <c r="S316" s="19"/>
    </row>
    <row r="317" spans="15:19" x14ac:dyDescent="0.25">
      <c r="O317" s="38"/>
      <c r="Q317" s="19"/>
      <c r="R317" s="19"/>
      <c r="S317" s="19"/>
    </row>
    <row r="318" spans="15:19" x14ac:dyDescent="0.25">
      <c r="O318" s="38"/>
      <c r="Q318" s="19"/>
      <c r="R318" s="19"/>
      <c r="S318" s="19"/>
    </row>
    <row r="319" spans="15:19" x14ac:dyDescent="0.25">
      <c r="O319" s="38"/>
      <c r="Q319" s="19"/>
      <c r="R319" s="19"/>
      <c r="S319" s="19"/>
    </row>
    <row r="320" spans="15:19" x14ac:dyDescent="0.25">
      <c r="O320" s="38"/>
      <c r="Q320" s="19"/>
      <c r="R320" s="19"/>
      <c r="S320" s="19"/>
    </row>
    <row r="321" spans="15:19" x14ac:dyDescent="0.25">
      <c r="O321" s="38"/>
      <c r="Q321" s="19"/>
      <c r="R321" s="19"/>
      <c r="S321" s="19"/>
    </row>
    <row r="322" spans="15:19" x14ac:dyDescent="0.25">
      <c r="O322" s="38"/>
      <c r="Q322" s="19"/>
      <c r="R322" s="19"/>
      <c r="S322" s="19"/>
    </row>
    <row r="323" spans="15:19" x14ac:dyDescent="0.25">
      <c r="O323" s="38"/>
      <c r="Q323" s="19"/>
      <c r="R323" s="19"/>
      <c r="S323" s="19"/>
    </row>
    <row r="324" spans="15:19" x14ac:dyDescent="0.25">
      <c r="O324" s="38"/>
      <c r="Q324" s="19"/>
      <c r="R324" s="19"/>
      <c r="S324" s="19"/>
    </row>
    <row r="325" spans="15:19" x14ac:dyDescent="0.25">
      <c r="O325" s="38"/>
      <c r="Q325" s="19"/>
      <c r="R325" s="19"/>
      <c r="S325" s="19"/>
    </row>
    <row r="326" spans="15:19" x14ac:dyDescent="0.25">
      <c r="O326" s="38"/>
      <c r="Q326" s="19"/>
      <c r="R326" s="19"/>
      <c r="S326" s="19"/>
    </row>
    <row r="327" spans="15:19" x14ac:dyDescent="0.25">
      <c r="O327" s="38"/>
      <c r="Q327" s="19"/>
      <c r="R327" s="19"/>
      <c r="S327" s="19"/>
    </row>
    <row r="328" spans="15:19" x14ac:dyDescent="0.25">
      <c r="O328" s="38"/>
      <c r="Q328" s="19"/>
      <c r="R328" s="19"/>
      <c r="S328" s="19"/>
    </row>
    <row r="329" spans="15:19" x14ac:dyDescent="0.25">
      <c r="O329" s="38"/>
      <c r="Q329" s="19"/>
      <c r="R329" s="19"/>
      <c r="S329" s="19"/>
    </row>
    <row r="330" spans="15:19" x14ac:dyDescent="0.25">
      <c r="O330" s="38"/>
      <c r="Q330" s="19"/>
      <c r="R330" s="19"/>
      <c r="S330" s="19"/>
    </row>
    <row r="331" spans="15:19" x14ac:dyDescent="0.25">
      <c r="O331" s="38"/>
      <c r="Q331" s="19"/>
      <c r="R331" s="19"/>
      <c r="S331" s="19"/>
    </row>
    <row r="332" spans="15:19" x14ac:dyDescent="0.25">
      <c r="O332" s="38"/>
      <c r="Q332" s="19"/>
      <c r="R332" s="19"/>
      <c r="S332" s="19"/>
    </row>
    <row r="333" spans="15:19" x14ac:dyDescent="0.25">
      <c r="O333" s="38"/>
      <c r="Q333" s="19"/>
      <c r="R333" s="19"/>
      <c r="S333" s="19"/>
    </row>
    <row r="334" spans="15:19" x14ac:dyDescent="0.25">
      <c r="O334" s="38"/>
      <c r="Q334" s="19"/>
      <c r="R334" s="19"/>
      <c r="S334" s="19"/>
    </row>
    <row r="335" spans="15:19" x14ac:dyDescent="0.25">
      <c r="O335" s="38"/>
      <c r="Q335" s="19"/>
      <c r="R335" s="19"/>
      <c r="S335" s="19"/>
    </row>
    <row r="336" spans="15:19" x14ac:dyDescent="0.25">
      <c r="O336" s="38"/>
      <c r="Q336" s="19"/>
      <c r="R336" s="19"/>
      <c r="S336" s="19"/>
    </row>
    <row r="337" spans="15:19" x14ac:dyDescent="0.25">
      <c r="O337" s="38"/>
      <c r="Q337" s="19"/>
      <c r="R337" s="19"/>
      <c r="S337" s="19"/>
    </row>
    <row r="338" spans="15:19" x14ac:dyDescent="0.25">
      <c r="O338" s="38"/>
      <c r="Q338" s="19"/>
      <c r="R338" s="19"/>
      <c r="S338" s="19"/>
    </row>
    <row r="339" spans="15:19" x14ac:dyDescent="0.25">
      <c r="O339" s="38"/>
      <c r="Q339" s="19"/>
      <c r="R339" s="19"/>
      <c r="S339" s="19"/>
    </row>
    <row r="340" spans="15:19" x14ac:dyDescent="0.25">
      <c r="O340" s="38"/>
      <c r="Q340" s="19"/>
      <c r="R340" s="19"/>
      <c r="S340" s="19"/>
    </row>
    <row r="341" spans="15:19" x14ac:dyDescent="0.25">
      <c r="O341" s="38"/>
      <c r="Q341" s="19"/>
      <c r="R341" s="19"/>
      <c r="S341" s="19"/>
    </row>
    <row r="342" spans="15:19" x14ac:dyDescent="0.25">
      <c r="O342" s="38"/>
      <c r="Q342" s="19"/>
      <c r="R342" s="19"/>
      <c r="S342" s="19"/>
    </row>
    <row r="343" spans="15:19" x14ac:dyDescent="0.25">
      <c r="O343" s="38"/>
      <c r="Q343" s="19"/>
      <c r="R343" s="19"/>
      <c r="S343" s="19"/>
    </row>
    <row r="344" spans="15:19" x14ac:dyDescent="0.25">
      <c r="O344" s="38"/>
      <c r="Q344" s="19"/>
      <c r="R344" s="19"/>
      <c r="S344" s="19"/>
    </row>
    <row r="345" spans="15:19" x14ac:dyDescent="0.25">
      <c r="O345" s="38"/>
      <c r="Q345" s="19"/>
      <c r="R345" s="19"/>
      <c r="S345" s="19"/>
    </row>
    <row r="346" spans="15:19" x14ac:dyDescent="0.25">
      <c r="O346" s="38"/>
      <c r="Q346" s="19"/>
      <c r="R346" s="19"/>
      <c r="S346" s="19"/>
    </row>
    <row r="347" spans="15:19" x14ac:dyDescent="0.25">
      <c r="O347" s="38"/>
      <c r="Q347" s="19"/>
      <c r="R347" s="19"/>
      <c r="S347" s="19"/>
    </row>
    <row r="348" spans="15:19" x14ac:dyDescent="0.25">
      <c r="O348" s="38"/>
      <c r="Q348" s="19"/>
      <c r="R348" s="19"/>
      <c r="S348" s="19"/>
    </row>
    <row r="349" spans="15:19" x14ac:dyDescent="0.25">
      <c r="O349" s="38"/>
      <c r="Q349" s="19"/>
      <c r="R349" s="19"/>
      <c r="S349" s="19"/>
    </row>
    <row r="350" spans="15:19" x14ac:dyDescent="0.25">
      <c r="O350" s="38"/>
      <c r="Q350" s="19"/>
      <c r="R350" s="19"/>
      <c r="S350" s="19"/>
    </row>
    <row r="351" spans="15:19" x14ac:dyDescent="0.25">
      <c r="O351" s="38"/>
      <c r="Q351" s="19"/>
      <c r="R351" s="19"/>
      <c r="S351" s="19"/>
    </row>
    <row r="352" spans="15:19" x14ac:dyDescent="0.25">
      <c r="O352" s="38"/>
      <c r="Q352" s="19"/>
      <c r="R352" s="19"/>
      <c r="S352" s="19"/>
    </row>
    <row r="353" spans="15:19" x14ac:dyDescent="0.25">
      <c r="O353" s="38"/>
      <c r="Q353" s="19"/>
      <c r="R353" s="19"/>
      <c r="S353" s="19"/>
    </row>
    <row r="354" spans="15:19" x14ac:dyDescent="0.25">
      <c r="O354" s="38"/>
      <c r="Q354" s="19"/>
      <c r="R354" s="19"/>
      <c r="S354" s="19"/>
    </row>
    <row r="355" spans="15:19" x14ac:dyDescent="0.25">
      <c r="O355" s="38"/>
      <c r="Q355" s="19"/>
      <c r="R355" s="19"/>
      <c r="S355" s="19"/>
    </row>
    <row r="356" spans="15:19" x14ac:dyDescent="0.25">
      <c r="O356" s="38"/>
      <c r="Q356" s="19"/>
      <c r="R356" s="19"/>
      <c r="S356" s="19"/>
    </row>
    <row r="357" spans="15:19" x14ac:dyDescent="0.25">
      <c r="O357" s="38"/>
      <c r="Q357" s="19"/>
      <c r="R357" s="19"/>
      <c r="S357" s="19"/>
    </row>
    <row r="358" spans="15:19" x14ac:dyDescent="0.25">
      <c r="O358" s="38"/>
      <c r="Q358" s="19"/>
      <c r="R358" s="19"/>
      <c r="S358" s="19"/>
    </row>
    <row r="359" spans="15:19" x14ac:dyDescent="0.25">
      <c r="O359" s="38"/>
      <c r="Q359" s="19"/>
      <c r="R359" s="19"/>
      <c r="S359" s="19"/>
    </row>
    <row r="360" spans="15:19" x14ac:dyDescent="0.25">
      <c r="O360" s="38"/>
      <c r="Q360" s="19"/>
      <c r="R360" s="19"/>
      <c r="S360" s="19"/>
    </row>
    <row r="361" spans="15:19" x14ac:dyDescent="0.25">
      <c r="O361" s="38"/>
      <c r="Q361" s="19"/>
      <c r="R361" s="19"/>
      <c r="S361" s="19"/>
    </row>
    <row r="362" spans="15:19" x14ac:dyDescent="0.25">
      <c r="O362" s="38"/>
      <c r="Q362" s="19"/>
      <c r="R362" s="19"/>
      <c r="S362" s="19"/>
    </row>
    <row r="363" spans="15:19" x14ac:dyDescent="0.25">
      <c r="O363" s="38"/>
      <c r="Q363" s="19"/>
      <c r="R363" s="19"/>
      <c r="S363" s="19"/>
    </row>
    <row r="364" spans="15:19" x14ac:dyDescent="0.25">
      <c r="O364" s="38"/>
      <c r="Q364" s="19"/>
      <c r="R364" s="19"/>
      <c r="S364" s="19"/>
    </row>
    <row r="365" spans="15:19" x14ac:dyDescent="0.25">
      <c r="O365" s="38"/>
      <c r="Q365" s="19"/>
      <c r="R365" s="19"/>
      <c r="S365" s="19"/>
    </row>
    <row r="366" spans="15:19" x14ac:dyDescent="0.25">
      <c r="O366" s="38"/>
      <c r="Q366" s="19"/>
      <c r="R366" s="19"/>
      <c r="S366" s="19"/>
    </row>
    <row r="367" spans="15:19" x14ac:dyDescent="0.25">
      <c r="O367" s="38"/>
      <c r="Q367" s="19"/>
      <c r="R367" s="19"/>
      <c r="S367" s="19"/>
    </row>
    <row r="368" spans="15:19" x14ac:dyDescent="0.25">
      <c r="O368" s="38"/>
      <c r="Q368" s="19"/>
      <c r="R368" s="19"/>
      <c r="S368" s="19"/>
    </row>
    <row r="369" spans="15:19" x14ac:dyDescent="0.25">
      <c r="O369" s="38"/>
      <c r="Q369" s="19"/>
      <c r="R369" s="19"/>
      <c r="S369" s="19"/>
    </row>
    <row r="370" spans="15:19" x14ac:dyDescent="0.25">
      <c r="O370" s="38"/>
      <c r="Q370" s="19"/>
      <c r="R370" s="19"/>
      <c r="S370" s="19"/>
    </row>
    <row r="371" spans="15:19" x14ac:dyDescent="0.25">
      <c r="O371" s="38"/>
      <c r="Q371" s="19"/>
      <c r="R371" s="19"/>
      <c r="S371" s="19"/>
    </row>
    <row r="372" spans="15:19" x14ac:dyDescent="0.25">
      <c r="O372" s="38"/>
      <c r="Q372" s="19"/>
      <c r="R372" s="19"/>
      <c r="S372" s="19"/>
    </row>
    <row r="373" spans="15:19" x14ac:dyDescent="0.25">
      <c r="O373" s="38"/>
      <c r="Q373" s="19"/>
      <c r="R373" s="19"/>
      <c r="S373" s="19"/>
    </row>
    <row r="374" spans="15:19" x14ac:dyDescent="0.25">
      <c r="O374" s="38"/>
      <c r="Q374" s="19"/>
      <c r="R374" s="19"/>
      <c r="S374" s="19"/>
    </row>
    <row r="375" spans="15:19" x14ac:dyDescent="0.25">
      <c r="O375" s="38"/>
      <c r="Q375" s="19"/>
      <c r="R375" s="19"/>
      <c r="S375" s="19"/>
    </row>
    <row r="376" spans="15:19" x14ac:dyDescent="0.25">
      <c r="O376" s="38"/>
      <c r="Q376" s="19"/>
      <c r="R376" s="19"/>
      <c r="S376" s="19"/>
    </row>
    <row r="377" spans="15:19" x14ac:dyDescent="0.25">
      <c r="O377" s="38"/>
      <c r="Q377" s="19"/>
      <c r="R377" s="19"/>
      <c r="S377" s="19"/>
    </row>
    <row r="378" spans="15:19" x14ac:dyDescent="0.25">
      <c r="O378" s="38"/>
      <c r="Q378" s="19"/>
      <c r="R378" s="19"/>
      <c r="S378" s="19"/>
    </row>
    <row r="379" spans="15:19" x14ac:dyDescent="0.25">
      <c r="O379" s="38"/>
      <c r="Q379" s="19"/>
      <c r="R379" s="19"/>
      <c r="S379" s="19"/>
    </row>
    <row r="380" spans="15:19" x14ac:dyDescent="0.25">
      <c r="O380" s="38"/>
      <c r="Q380" s="19"/>
      <c r="R380" s="19"/>
      <c r="S380" s="19"/>
    </row>
    <row r="381" spans="15:19" x14ac:dyDescent="0.25">
      <c r="O381" s="38"/>
      <c r="Q381" s="19"/>
      <c r="R381" s="19"/>
      <c r="S381" s="19"/>
    </row>
    <row r="382" spans="15:19" x14ac:dyDescent="0.25">
      <c r="O382" s="38"/>
      <c r="Q382" s="19"/>
      <c r="R382" s="19"/>
      <c r="S382" s="19"/>
    </row>
    <row r="383" spans="15:19" x14ac:dyDescent="0.25">
      <c r="O383" s="38"/>
      <c r="Q383" s="19"/>
      <c r="R383" s="19"/>
      <c r="S383" s="19"/>
    </row>
    <row r="384" spans="15:19" x14ac:dyDescent="0.25">
      <c r="O384" s="38"/>
      <c r="Q384" s="19"/>
      <c r="R384" s="19"/>
      <c r="S384" s="19"/>
    </row>
    <row r="385" spans="15:19" x14ac:dyDescent="0.25">
      <c r="O385" s="38"/>
      <c r="Q385" s="19"/>
      <c r="R385" s="19"/>
      <c r="S385" s="19"/>
    </row>
    <row r="386" spans="15:19" x14ac:dyDescent="0.25">
      <c r="O386" s="38"/>
      <c r="Q386" s="19"/>
      <c r="R386" s="19"/>
      <c r="S386" s="19"/>
    </row>
    <row r="387" spans="15:19" x14ac:dyDescent="0.25">
      <c r="O387" s="38"/>
      <c r="Q387" s="19"/>
      <c r="R387" s="19"/>
      <c r="S387" s="19"/>
    </row>
    <row r="388" spans="15:19" x14ac:dyDescent="0.25">
      <c r="O388" s="38"/>
      <c r="Q388" s="19"/>
      <c r="R388" s="19"/>
      <c r="S388" s="19"/>
    </row>
    <row r="389" spans="15:19" x14ac:dyDescent="0.25">
      <c r="O389" s="38"/>
      <c r="Q389" s="19"/>
      <c r="R389" s="19"/>
      <c r="S389" s="19"/>
    </row>
    <row r="390" spans="15:19" x14ac:dyDescent="0.25">
      <c r="O390" s="38"/>
      <c r="Q390" s="19"/>
      <c r="R390" s="19"/>
      <c r="S390" s="19"/>
    </row>
    <row r="391" spans="15:19" x14ac:dyDescent="0.25">
      <c r="O391" s="38"/>
      <c r="Q391" s="19"/>
      <c r="R391" s="19"/>
      <c r="S391" s="19"/>
    </row>
    <row r="392" spans="15:19" x14ac:dyDescent="0.25">
      <c r="O392" s="38"/>
      <c r="Q392" s="19"/>
      <c r="R392" s="19"/>
      <c r="S392" s="19"/>
    </row>
    <row r="393" spans="15:19" x14ac:dyDescent="0.25">
      <c r="O393" s="38"/>
      <c r="Q393" s="19"/>
      <c r="R393" s="19"/>
      <c r="S393" s="19"/>
    </row>
    <row r="394" spans="15:19" x14ac:dyDescent="0.25">
      <c r="O394" s="38"/>
      <c r="Q394" s="19"/>
      <c r="R394" s="19"/>
      <c r="S394" s="19"/>
    </row>
    <row r="395" spans="15:19" x14ac:dyDescent="0.25">
      <c r="O395" s="38"/>
      <c r="Q395" s="19"/>
      <c r="R395" s="19"/>
      <c r="S395" s="19"/>
    </row>
    <row r="396" spans="15:19" x14ac:dyDescent="0.25">
      <c r="O396" s="38"/>
      <c r="Q396" s="19"/>
      <c r="R396" s="19"/>
      <c r="S396" s="19"/>
    </row>
    <row r="397" spans="15:19" x14ac:dyDescent="0.25">
      <c r="O397" s="38"/>
      <c r="Q397" s="19"/>
      <c r="R397" s="19"/>
      <c r="S397" s="19"/>
    </row>
    <row r="398" spans="15:19" x14ac:dyDescent="0.25">
      <c r="O398" s="38"/>
      <c r="Q398" s="19"/>
      <c r="R398" s="19"/>
      <c r="S398" s="19"/>
    </row>
    <row r="399" spans="15:19" x14ac:dyDescent="0.25">
      <c r="O399" s="38"/>
      <c r="Q399" s="19"/>
      <c r="R399" s="19"/>
      <c r="S399" s="19"/>
    </row>
    <row r="400" spans="15:19" x14ac:dyDescent="0.25">
      <c r="O400" s="38"/>
      <c r="Q400" s="19"/>
      <c r="R400" s="19"/>
      <c r="S400" s="19"/>
    </row>
    <row r="401" spans="15:19" x14ac:dyDescent="0.25">
      <c r="O401" s="38"/>
      <c r="Q401" s="19"/>
      <c r="R401" s="19"/>
      <c r="S401" s="19"/>
    </row>
    <row r="402" spans="15:19" x14ac:dyDescent="0.25">
      <c r="O402" s="38"/>
      <c r="Q402" s="19"/>
      <c r="R402" s="19"/>
      <c r="S402" s="19"/>
    </row>
    <row r="403" spans="15:19" x14ac:dyDescent="0.25">
      <c r="O403" s="38"/>
      <c r="Q403" s="19"/>
      <c r="R403" s="19"/>
      <c r="S403" s="19"/>
    </row>
    <row r="404" spans="15:19" x14ac:dyDescent="0.25">
      <c r="O404" s="38"/>
      <c r="Q404" s="19"/>
      <c r="R404" s="19"/>
      <c r="S404" s="19"/>
    </row>
    <row r="405" spans="15:19" x14ac:dyDescent="0.25">
      <c r="O405" s="38"/>
      <c r="Q405" s="19"/>
      <c r="R405" s="19"/>
      <c r="S405" s="19"/>
    </row>
    <row r="406" spans="15:19" x14ac:dyDescent="0.25">
      <c r="O406" s="38"/>
      <c r="Q406" s="19"/>
      <c r="R406" s="19"/>
      <c r="S406" s="19"/>
    </row>
    <row r="407" spans="15:19" x14ac:dyDescent="0.25">
      <c r="O407" s="38"/>
      <c r="Q407" s="19"/>
      <c r="R407" s="19"/>
      <c r="S407" s="19"/>
    </row>
    <row r="408" spans="15:19" x14ac:dyDescent="0.25">
      <c r="O408" s="38"/>
      <c r="Q408" s="19"/>
      <c r="R408" s="19"/>
      <c r="S408" s="19"/>
    </row>
    <row r="409" spans="15:19" x14ac:dyDescent="0.25">
      <c r="O409" s="38"/>
      <c r="Q409" s="19"/>
      <c r="R409" s="19"/>
      <c r="S409" s="19"/>
    </row>
    <row r="410" spans="15:19" x14ac:dyDescent="0.25">
      <c r="O410" s="38"/>
      <c r="Q410" s="19"/>
      <c r="R410" s="19"/>
      <c r="S410" s="19"/>
    </row>
    <row r="411" spans="15:19" x14ac:dyDescent="0.25">
      <c r="O411" s="38"/>
      <c r="Q411" s="19"/>
      <c r="R411" s="19"/>
      <c r="S411" s="19"/>
    </row>
    <row r="412" spans="15:19" x14ac:dyDescent="0.25">
      <c r="O412" s="38"/>
      <c r="Q412" s="19"/>
      <c r="R412" s="19"/>
      <c r="S412" s="19"/>
    </row>
    <row r="413" spans="15:19" x14ac:dyDescent="0.25">
      <c r="O413" s="38"/>
      <c r="Q413" s="19"/>
      <c r="R413" s="19"/>
      <c r="S413" s="19"/>
    </row>
    <row r="414" spans="15:19" x14ac:dyDescent="0.25">
      <c r="O414" s="38"/>
      <c r="Q414" s="19"/>
      <c r="R414" s="19"/>
      <c r="S414" s="19"/>
    </row>
    <row r="415" spans="15:19" x14ac:dyDescent="0.25">
      <c r="O415" s="38"/>
      <c r="Q415" s="19"/>
      <c r="R415" s="19"/>
      <c r="S415" s="19"/>
    </row>
    <row r="416" spans="15:19" x14ac:dyDescent="0.25">
      <c r="O416" s="38"/>
      <c r="Q416" s="19"/>
      <c r="R416" s="19"/>
      <c r="S416" s="19"/>
    </row>
    <row r="417" spans="15:19" x14ac:dyDescent="0.25">
      <c r="O417" s="38"/>
      <c r="Q417" s="19"/>
      <c r="R417" s="19"/>
      <c r="S417" s="19"/>
    </row>
    <row r="418" spans="15:19" x14ac:dyDescent="0.25">
      <c r="O418" s="38"/>
      <c r="Q418" s="19"/>
      <c r="R418" s="19"/>
      <c r="S418" s="19"/>
    </row>
    <row r="419" spans="15:19" x14ac:dyDescent="0.25">
      <c r="O419" s="38"/>
      <c r="Q419" s="19"/>
      <c r="R419" s="19"/>
      <c r="S419" s="19"/>
    </row>
    <row r="420" spans="15:19" x14ac:dyDescent="0.25">
      <c r="O420" s="38"/>
      <c r="Q420" s="19"/>
      <c r="R420" s="19"/>
      <c r="S420" s="19"/>
    </row>
    <row r="421" spans="15:19" x14ac:dyDescent="0.25">
      <c r="O421" s="38"/>
      <c r="Q421" s="19"/>
      <c r="R421" s="19"/>
      <c r="S421" s="19"/>
    </row>
    <row r="422" spans="15:19" x14ac:dyDescent="0.25">
      <c r="O422" s="38"/>
      <c r="Q422" s="19"/>
      <c r="R422" s="19"/>
      <c r="S422" s="19"/>
    </row>
    <row r="423" spans="15:19" x14ac:dyDescent="0.25">
      <c r="O423" s="38"/>
      <c r="Q423" s="19"/>
      <c r="R423" s="19"/>
      <c r="S423" s="19"/>
    </row>
    <row r="424" spans="15:19" x14ac:dyDescent="0.25">
      <c r="O424" s="38"/>
      <c r="Q424" s="19"/>
      <c r="R424" s="19"/>
      <c r="S424" s="19"/>
    </row>
    <row r="425" spans="15:19" x14ac:dyDescent="0.25">
      <c r="O425" s="38"/>
      <c r="Q425" s="19"/>
      <c r="R425" s="19"/>
      <c r="S425" s="19"/>
    </row>
    <row r="426" spans="15:19" x14ac:dyDescent="0.25">
      <c r="O426" s="38"/>
      <c r="Q426" s="19"/>
      <c r="R426" s="19"/>
      <c r="S426" s="19"/>
    </row>
    <row r="427" spans="15:19" x14ac:dyDescent="0.25">
      <c r="O427" s="38"/>
      <c r="Q427" s="19"/>
      <c r="R427" s="19"/>
      <c r="S427" s="19"/>
    </row>
    <row r="428" spans="15:19" x14ac:dyDescent="0.25">
      <c r="O428" s="38"/>
      <c r="Q428" s="19"/>
      <c r="R428" s="19"/>
      <c r="S428" s="19"/>
    </row>
    <row r="429" spans="15:19" x14ac:dyDescent="0.25">
      <c r="O429" s="38"/>
      <c r="Q429" s="19"/>
      <c r="R429" s="19"/>
      <c r="S429" s="19"/>
    </row>
    <row r="430" spans="15:19" x14ac:dyDescent="0.25">
      <c r="O430" s="38"/>
      <c r="Q430" s="19"/>
      <c r="R430" s="19"/>
      <c r="S430" s="19"/>
    </row>
    <row r="431" spans="15:19" x14ac:dyDescent="0.25">
      <c r="O431" s="38"/>
      <c r="Q431" s="19"/>
      <c r="R431" s="19"/>
      <c r="S431" s="19"/>
    </row>
    <row r="432" spans="15:19" x14ac:dyDescent="0.25">
      <c r="O432" s="38"/>
      <c r="Q432" s="19"/>
      <c r="R432" s="19"/>
      <c r="S432" s="19"/>
    </row>
    <row r="433" spans="15:19" x14ac:dyDescent="0.25">
      <c r="O433" s="38"/>
      <c r="Q433" s="19"/>
      <c r="R433" s="19"/>
      <c r="S433" s="19"/>
    </row>
    <row r="434" spans="15:19" x14ac:dyDescent="0.25">
      <c r="O434" s="38"/>
      <c r="Q434" s="19"/>
      <c r="R434" s="19"/>
      <c r="S434" s="19"/>
    </row>
    <row r="435" spans="15:19" x14ac:dyDescent="0.25">
      <c r="O435" s="38"/>
      <c r="Q435" s="19"/>
      <c r="R435" s="19"/>
      <c r="S435" s="19"/>
    </row>
    <row r="436" spans="15:19" x14ac:dyDescent="0.25">
      <c r="O436" s="38"/>
      <c r="Q436" s="19"/>
      <c r="R436" s="19"/>
      <c r="S436" s="19"/>
    </row>
    <row r="437" spans="15:19" x14ac:dyDescent="0.25">
      <c r="O437" s="38"/>
      <c r="Q437" s="19"/>
      <c r="R437" s="19"/>
      <c r="S437" s="19"/>
    </row>
    <row r="438" spans="15:19" x14ac:dyDescent="0.25">
      <c r="O438" s="38"/>
      <c r="Q438" s="19"/>
      <c r="R438" s="19"/>
      <c r="S438" s="19"/>
    </row>
    <row r="439" spans="15:19" x14ac:dyDescent="0.25">
      <c r="O439" s="38"/>
      <c r="Q439" s="19"/>
      <c r="R439" s="19"/>
      <c r="S439" s="19"/>
    </row>
    <row r="440" spans="15:19" x14ac:dyDescent="0.25">
      <c r="O440" s="38"/>
      <c r="Q440" s="19"/>
      <c r="R440" s="19"/>
      <c r="S440" s="19"/>
    </row>
    <row r="441" spans="15:19" x14ac:dyDescent="0.25">
      <c r="O441" s="38"/>
      <c r="Q441" s="19"/>
      <c r="R441" s="19"/>
      <c r="S441" s="19"/>
    </row>
    <row r="442" spans="15:19" x14ac:dyDescent="0.25">
      <c r="O442" s="38"/>
      <c r="Q442" s="19"/>
      <c r="R442" s="19"/>
      <c r="S442" s="19"/>
    </row>
    <row r="443" spans="15:19" x14ac:dyDescent="0.25">
      <c r="O443" s="38"/>
      <c r="Q443" s="19"/>
      <c r="R443" s="19"/>
      <c r="S443" s="19"/>
    </row>
    <row r="444" spans="15:19" x14ac:dyDescent="0.25">
      <c r="O444" s="38"/>
      <c r="Q444" s="19"/>
      <c r="R444" s="19"/>
      <c r="S444" s="19"/>
    </row>
    <row r="445" spans="15:19" x14ac:dyDescent="0.25">
      <c r="O445" s="38"/>
      <c r="Q445" s="19"/>
      <c r="R445" s="19"/>
      <c r="S445" s="19"/>
    </row>
    <row r="446" spans="15:19" x14ac:dyDescent="0.25">
      <c r="O446" s="38"/>
      <c r="Q446" s="19"/>
      <c r="R446" s="19"/>
      <c r="S446" s="19"/>
    </row>
    <row r="447" spans="15:19" x14ac:dyDescent="0.25">
      <c r="O447" s="38"/>
      <c r="Q447" s="19"/>
      <c r="R447" s="19"/>
      <c r="S447" s="19"/>
    </row>
    <row r="448" spans="15:19" x14ac:dyDescent="0.25">
      <c r="O448" s="38"/>
      <c r="Q448" s="19"/>
      <c r="R448" s="19"/>
      <c r="S448" s="19"/>
    </row>
    <row r="449" spans="15:19" x14ac:dyDescent="0.25">
      <c r="O449" s="38"/>
      <c r="Q449" s="19"/>
      <c r="R449" s="19"/>
      <c r="S449" s="19"/>
    </row>
    <row r="450" spans="15:19" x14ac:dyDescent="0.25">
      <c r="O450" s="38"/>
      <c r="Q450" s="19"/>
      <c r="R450" s="19"/>
      <c r="S450" s="19"/>
    </row>
    <row r="451" spans="15:19" x14ac:dyDescent="0.25">
      <c r="O451" s="38"/>
      <c r="Q451" s="19"/>
      <c r="R451" s="19"/>
      <c r="S451" s="19"/>
    </row>
    <row r="452" spans="15:19" x14ac:dyDescent="0.25">
      <c r="O452" s="38"/>
      <c r="Q452" s="19"/>
      <c r="R452" s="19"/>
      <c r="S452" s="19"/>
    </row>
    <row r="453" spans="15:19" x14ac:dyDescent="0.25">
      <c r="O453" s="38"/>
      <c r="Q453" s="19"/>
      <c r="R453" s="19"/>
      <c r="S453" s="19"/>
    </row>
    <row r="454" spans="15:19" x14ac:dyDescent="0.25">
      <c r="O454" s="38"/>
      <c r="Q454" s="19"/>
      <c r="R454" s="19"/>
      <c r="S454" s="19"/>
    </row>
    <row r="455" spans="15:19" x14ac:dyDescent="0.25">
      <c r="O455" s="38"/>
      <c r="Q455" s="19"/>
      <c r="R455" s="19"/>
      <c r="S455" s="19"/>
    </row>
    <row r="456" spans="15:19" x14ac:dyDescent="0.25">
      <c r="O456" s="38"/>
      <c r="Q456" s="19"/>
      <c r="R456" s="19"/>
      <c r="S456" s="19"/>
    </row>
    <row r="457" spans="15:19" x14ac:dyDescent="0.25">
      <c r="O457" s="38"/>
      <c r="Q457" s="19"/>
      <c r="R457" s="19"/>
      <c r="S457" s="19"/>
    </row>
    <row r="458" spans="15:19" x14ac:dyDescent="0.25">
      <c r="O458" s="38"/>
      <c r="Q458" s="19"/>
      <c r="R458" s="19"/>
      <c r="S458" s="19"/>
    </row>
    <row r="459" spans="15:19" x14ac:dyDescent="0.25">
      <c r="O459" s="38"/>
      <c r="Q459" s="19"/>
      <c r="R459" s="19"/>
      <c r="S459" s="19"/>
    </row>
    <row r="460" spans="15:19" x14ac:dyDescent="0.25">
      <c r="O460" s="38"/>
      <c r="Q460" s="19"/>
      <c r="R460" s="19"/>
      <c r="S460" s="19"/>
    </row>
    <row r="461" spans="15:19" x14ac:dyDescent="0.25">
      <c r="O461" s="38"/>
      <c r="Q461" s="19"/>
      <c r="R461" s="19"/>
      <c r="S461" s="19"/>
    </row>
    <row r="462" spans="15:19" x14ac:dyDescent="0.25">
      <c r="O462" s="38"/>
      <c r="Q462" s="19"/>
      <c r="R462" s="19"/>
      <c r="S462" s="19"/>
    </row>
    <row r="463" spans="15:19" x14ac:dyDescent="0.25">
      <c r="O463" s="38"/>
      <c r="Q463" s="19"/>
      <c r="R463" s="19"/>
      <c r="S463" s="19"/>
    </row>
    <row r="464" spans="15:19" x14ac:dyDescent="0.25">
      <c r="O464" s="38"/>
      <c r="Q464" s="19"/>
      <c r="R464" s="19"/>
      <c r="S464" s="19"/>
    </row>
    <row r="465" spans="15:19" x14ac:dyDescent="0.25">
      <c r="O465" s="38"/>
      <c r="Q465" s="19"/>
      <c r="R465" s="19"/>
      <c r="S465" s="19"/>
    </row>
    <row r="466" spans="15:19" x14ac:dyDescent="0.25">
      <c r="O466" s="38"/>
      <c r="Q466" s="19"/>
      <c r="R466" s="19"/>
      <c r="S466" s="19"/>
    </row>
    <row r="467" spans="15:19" x14ac:dyDescent="0.25">
      <c r="O467" s="38"/>
      <c r="Q467" s="19"/>
      <c r="R467" s="19"/>
      <c r="S467" s="19"/>
    </row>
    <row r="468" spans="15:19" x14ac:dyDescent="0.25">
      <c r="O468" s="38"/>
      <c r="Q468" s="19"/>
      <c r="R468" s="19"/>
      <c r="S468" s="19"/>
    </row>
    <row r="469" spans="15:19" x14ac:dyDescent="0.25">
      <c r="O469" s="38"/>
      <c r="Q469" s="19"/>
      <c r="R469" s="19"/>
      <c r="S469" s="19"/>
    </row>
    <row r="470" spans="15:19" x14ac:dyDescent="0.25">
      <c r="O470" s="38"/>
      <c r="Q470" s="19"/>
      <c r="R470" s="19"/>
      <c r="S470" s="19"/>
    </row>
    <row r="471" spans="15:19" x14ac:dyDescent="0.25">
      <c r="O471" s="38"/>
      <c r="Q471" s="19"/>
      <c r="R471" s="19"/>
      <c r="S471" s="19"/>
    </row>
    <row r="472" spans="15:19" x14ac:dyDescent="0.25">
      <c r="O472" s="38"/>
      <c r="Q472" s="19"/>
      <c r="R472" s="19"/>
      <c r="S472" s="19"/>
    </row>
    <row r="473" spans="15:19" x14ac:dyDescent="0.25">
      <c r="O473" s="38"/>
      <c r="Q473" s="19"/>
      <c r="R473" s="19"/>
      <c r="S473" s="19"/>
    </row>
    <row r="474" spans="15:19" x14ac:dyDescent="0.25">
      <c r="O474" s="38"/>
      <c r="Q474" s="19"/>
      <c r="R474" s="19"/>
      <c r="S474" s="19"/>
    </row>
    <row r="475" spans="15:19" x14ac:dyDescent="0.25">
      <c r="O475" s="38"/>
      <c r="Q475" s="19"/>
      <c r="R475" s="19"/>
      <c r="S475" s="19"/>
    </row>
    <row r="476" spans="15:19" x14ac:dyDescent="0.25">
      <c r="O476" s="38"/>
      <c r="Q476" s="19"/>
      <c r="R476" s="19"/>
      <c r="S476" s="19"/>
    </row>
    <row r="477" spans="15:19" x14ac:dyDescent="0.25">
      <c r="O477" s="38"/>
      <c r="Q477" s="19"/>
      <c r="R477" s="19"/>
      <c r="S477" s="19"/>
    </row>
    <row r="478" spans="15:19" x14ac:dyDescent="0.25">
      <c r="O478" s="38"/>
      <c r="Q478" s="19"/>
      <c r="R478" s="19"/>
      <c r="S478" s="19"/>
    </row>
    <row r="479" spans="15:19" x14ac:dyDescent="0.25">
      <c r="O479" s="38"/>
      <c r="Q479" s="19"/>
      <c r="R479" s="19"/>
      <c r="S479" s="19"/>
    </row>
    <row r="480" spans="15:19" x14ac:dyDescent="0.25">
      <c r="O480" s="38"/>
      <c r="Q480" s="19"/>
      <c r="R480" s="19"/>
      <c r="S480" s="19"/>
    </row>
    <row r="481" spans="15:19" x14ac:dyDescent="0.25">
      <c r="O481" s="38"/>
      <c r="Q481" s="19"/>
      <c r="R481" s="19"/>
      <c r="S481" s="19"/>
    </row>
    <row r="482" spans="15:19" x14ac:dyDescent="0.25">
      <c r="O482" s="38"/>
      <c r="Q482" s="19"/>
      <c r="R482" s="19"/>
      <c r="S482" s="19"/>
    </row>
    <row r="483" spans="15:19" x14ac:dyDescent="0.25">
      <c r="O483" s="38"/>
      <c r="Q483" s="19"/>
      <c r="R483" s="19"/>
      <c r="S483" s="19"/>
    </row>
    <row r="484" spans="15:19" x14ac:dyDescent="0.25">
      <c r="O484" s="38"/>
      <c r="Q484" s="19"/>
      <c r="R484" s="19"/>
      <c r="S484" s="19"/>
    </row>
    <row r="485" spans="15:19" x14ac:dyDescent="0.25">
      <c r="O485" s="38"/>
      <c r="Q485" s="19"/>
      <c r="R485" s="19"/>
      <c r="S485" s="19"/>
    </row>
    <row r="486" spans="15:19" x14ac:dyDescent="0.25">
      <c r="O486" s="38"/>
      <c r="Q486" s="19"/>
      <c r="R486" s="19"/>
      <c r="S486" s="19"/>
    </row>
    <row r="487" spans="15:19" x14ac:dyDescent="0.25">
      <c r="O487" s="38"/>
      <c r="Q487" s="19"/>
      <c r="R487" s="19"/>
      <c r="S487" s="19"/>
    </row>
    <row r="488" spans="15:19" x14ac:dyDescent="0.25">
      <c r="O488" s="38"/>
      <c r="Q488" s="19"/>
      <c r="R488" s="19"/>
      <c r="S488" s="19"/>
    </row>
    <row r="489" spans="15:19" x14ac:dyDescent="0.25">
      <c r="O489" s="38"/>
      <c r="Q489" s="19"/>
      <c r="R489" s="19"/>
      <c r="S489" s="19"/>
    </row>
    <row r="490" spans="15:19" x14ac:dyDescent="0.25">
      <c r="O490" s="38"/>
      <c r="Q490" s="19"/>
      <c r="R490" s="19"/>
      <c r="S490" s="19"/>
    </row>
    <row r="491" spans="15:19" x14ac:dyDescent="0.25">
      <c r="O491" s="38"/>
      <c r="Q491" s="19"/>
      <c r="R491" s="19"/>
      <c r="S491" s="19"/>
    </row>
    <row r="492" spans="15:19" x14ac:dyDescent="0.25">
      <c r="O492" s="38"/>
      <c r="Q492" s="19"/>
      <c r="R492" s="19"/>
      <c r="S492" s="19"/>
    </row>
    <row r="493" spans="15:19" x14ac:dyDescent="0.25">
      <c r="O493" s="38"/>
      <c r="Q493" s="19"/>
      <c r="R493" s="19"/>
      <c r="S493" s="19"/>
    </row>
    <row r="494" spans="15:19" x14ac:dyDescent="0.25">
      <c r="O494" s="38"/>
      <c r="Q494" s="19"/>
      <c r="R494" s="19"/>
      <c r="S494" s="19"/>
    </row>
    <row r="495" spans="15:19" x14ac:dyDescent="0.25">
      <c r="O495" s="38"/>
      <c r="Q495" s="19"/>
      <c r="R495" s="19"/>
      <c r="S495" s="19"/>
    </row>
    <row r="496" spans="15:19" x14ac:dyDescent="0.25">
      <c r="O496" s="38"/>
      <c r="Q496" s="19"/>
      <c r="R496" s="19"/>
      <c r="S496" s="19"/>
    </row>
    <row r="497" spans="15:19" x14ac:dyDescent="0.25">
      <c r="O497" s="38"/>
      <c r="Q497" s="19"/>
      <c r="R497" s="19"/>
      <c r="S497" s="19"/>
    </row>
    <row r="498" spans="15:19" x14ac:dyDescent="0.25">
      <c r="O498" s="38"/>
      <c r="Q498" s="19"/>
      <c r="R498" s="19"/>
      <c r="S498" s="19"/>
    </row>
    <row r="499" spans="15:19" x14ac:dyDescent="0.25">
      <c r="O499" s="38"/>
      <c r="Q499" s="19"/>
      <c r="R499" s="19"/>
      <c r="S499" s="19"/>
    </row>
    <row r="500" spans="15:19" x14ac:dyDescent="0.25">
      <c r="O500" s="38"/>
      <c r="Q500" s="19"/>
      <c r="R500" s="19"/>
      <c r="S500" s="19"/>
    </row>
    <row r="501" spans="15:19" x14ac:dyDescent="0.25">
      <c r="O501" s="38"/>
      <c r="Q501" s="19"/>
      <c r="R501" s="19"/>
      <c r="S501" s="19"/>
    </row>
    <row r="502" spans="15:19" x14ac:dyDescent="0.25">
      <c r="O502" s="38"/>
      <c r="Q502" s="19"/>
      <c r="R502" s="19"/>
      <c r="S502" s="19"/>
    </row>
    <row r="503" spans="15:19" x14ac:dyDescent="0.25">
      <c r="O503" s="38"/>
      <c r="Q503" s="19"/>
      <c r="R503" s="19"/>
      <c r="S503" s="19"/>
    </row>
    <row r="504" spans="15:19" x14ac:dyDescent="0.25">
      <c r="O504" s="38"/>
      <c r="Q504" s="19"/>
      <c r="R504" s="19"/>
      <c r="S504" s="19"/>
    </row>
    <row r="505" spans="15:19" x14ac:dyDescent="0.25">
      <c r="O505" s="38"/>
      <c r="Q505" s="19"/>
      <c r="R505" s="19"/>
      <c r="S505" s="19"/>
    </row>
    <row r="506" spans="15:19" x14ac:dyDescent="0.25">
      <c r="O506" s="38"/>
      <c r="Q506" s="19"/>
      <c r="R506" s="19"/>
      <c r="S506" s="19"/>
    </row>
    <row r="507" spans="15:19" x14ac:dyDescent="0.25">
      <c r="O507" s="38"/>
      <c r="Q507" s="19"/>
      <c r="R507" s="19"/>
      <c r="S507" s="19"/>
    </row>
    <row r="508" spans="15:19" x14ac:dyDescent="0.25">
      <c r="O508" s="38"/>
      <c r="Q508" s="19"/>
      <c r="R508" s="19"/>
      <c r="S508" s="19"/>
    </row>
    <row r="509" spans="15:19" x14ac:dyDescent="0.25">
      <c r="O509" s="38"/>
      <c r="Q509" s="19"/>
      <c r="R509" s="19"/>
      <c r="S509" s="19"/>
    </row>
    <row r="510" spans="15:19" x14ac:dyDescent="0.25">
      <c r="O510" s="38"/>
      <c r="Q510" s="19"/>
      <c r="R510" s="19"/>
      <c r="S510" s="19"/>
    </row>
    <row r="511" spans="15:19" x14ac:dyDescent="0.25">
      <c r="O511" s="38"/>
      <c r="Q511" s="19"/>
      <c r="R511" s="19"/>
      <c r="S511" s="19"/>
    </row>
    <row r="512" spans="15:19" x14ac:dyDescent="0.25">
      <c r="O512" s="38"/>
      <c r="Q512" s="19"/>
      <c r="R512" s="19"/>
      <c r="S512" s="19"/>
    </row>
    <row r="513" spans="15:19" x14ac:dyDescent="0.25">
      <c r="O513" s="38"/>
      <c r="Q513" s="19"/>
      <c r="R513" s="19"/>
      <c r="S513" s="19"/>
    </row>
    <row r="514" spans="15:19" x14ac:dyDescent="0.25">
      <c r="O514" s="38"/>
      <c r="Q514" s="19"/>
      <c r="R514" s="19"/>
      <c r="S514" s="19"/>
    </row>
    <row r="515" spans="15:19" x14ac:dyDescent="0.25">
      <c r="O515" s="38"/>
      <c r="Q515" s="19"/>
      <c r="R515" s="19"/>
      <c r="S515" s="19"/>
    </row>
    <row r="516" spans="15:19" x14ac:dyDescent="0.25">
      <c r="O516" s="38"/>
      <c r="Q516" s="19"/>
      <c r="R516" s="19"/>
      <c r="S516" s="19"/>
    </row>
    <row r="517" spans="15:19" x14ac:dyDescent="0.25">
      <c r="O517" s="38"/>
      <c r="Q517" s="19"/>
      <c r="R517" s="19"/>
      <c r="S517" s="19"/>
    </row>
    <row r="518" spans="15:19" x14ac:dyDescent="0.25">
      <c r="O518" s="38"/>
      <c r="Q518" s="19"/>
      <c r="R518" s="19"/>
      <c r="S518" s="19"/>
    </row>
    <row r="519" spans="15:19" x14ac:dyDescent="0.25">
      <c r="O519" s="38"/>
      <c r="Q519" s="19"/>
      <c r="R519" s="19"/>
      <c r="S519" s="19"/>
    </row>
    <row r="520" spans="15:19" x14ac:dyDescent="0.25">
      <c r="O520" s="38"/>
      <c r="Q520" s="19"/>
      <c r="R520" s="19"/>
      <c r="S520" s="19"/>
    </row>
    <row r="521" spans="15:19" x14ac:dyDescent="0.25">
      <c r="O521" s="38"/>
      <c r="Q521" s="19"/>
      <c r="R521" s="19"/>
      <c r="S521" s="19"/>
    </row>
    <row r="522" spans="15:19" x14ac:dyDescent="0.25">
      <c r="O522" s="38"/>
      <c r="Q522" s="19"/>
      <c r="R522" s="19"/>
      <c r="S522" s="19"/>
    </row>
    <row r="523" spans="15:19" x14ac:dyDescent="0.25">
      <c r="O523" s="38"/>
      <c r="Q523" s="19"/>
      <c r="R523" s="19"/>
      <c r="S523" s="19"/>
    </row>
    <row r="524" spans="15:19" x14ac:dyDescent="0.25">
      <c r="O524" s="38"/>
      <c r="Q524" s="19"/>
      <c r="R524" s="19"/>
      <c r="S524" s="19"/>
    </row>
    <row r="525" spans="15:19" x14ac:dyDescent="0.25">
      <c r="O525" s="38"/>
      <c r="Q525" s="19"/>
      <c r="R525" s="19"/>
      <c r="S525" s="19"/>
    </row>
    <row r="526" spans="15:19" x14ac:dyDescent="0.25">
      <c r="O526" s="38"/>
      <c r="Q526" s="19"/>
      <c r="R526" s="19"/>
      <c r="S526" s="19"/>
    </row>
    <row r="527" spans="15:19" x14ac:dyDescent="0.25">
      <c r="O527" s="38"/>
      <c r="Q527" s="19"/>
      <c r="R527" s="19"/>
      <c r="S527" s="19"/>
    </row>
    <row r="528" spans="15:19" x14ac:dyDescent="0.25">
      <c r="O528" s="38"/>
      <c r="Q528" s="19"/>
      <c r="R528" s="19"/>
      <c r="S528" s="19"/>
    </row>
    <row r="529" spans="15:19" x14ac:dyDescent="0.25">
      <c r="O529" s="38"/>
      <c r="Q529" s="19"/>
      <c r="R529" s="19"/>
      <c r="S529" s="19"/>
    </row>
    <row r="530" spans="15:19" x14ac:dyDescent="0.25">
      <c r="O530" s="38"/>
      <c r="Q530" s="19"/>
      <c r="R530" s="19"/>
      <c r="S530" s="19"/>
    </row>
    <row r="531" spans="15:19" x14ac:dyDescent="0.25">
      <c r="O531" s="38"/>
      <c r="Q531" s="19"/>
      <c r="R531" s="19"/>
      <c r="S531" s="19"/>
    </row>
    <row r="532" spans="15:19" x14ac:dyDescent="0.25">
      <c r="O532" s="38"/>
      <c r="Q532" s="19"/>
      <c r="R532" s="19"/>
      <c r="S532" s="19"/>
    </row>
    <row r="533" spans="15:19" x14ac:dyDescent="0.25">
      <c r="O533" s="38"/>
      <c r="Q533" s="19"/>
      <c r="R533" s="19"/>
      <c r="S533" s="19"/>
    </row>
    <row r="534" spans="15:19" x14ac:dyDescent="0.25">
      <c r="O534" s="38"/>
      <c r="Q534" s="19"/>
      <c r="R534" s="19"/>
      <c r="S534" s="19"/>
    </row>
    <row r="535" spans="15:19" x14ac:dyDescent="0.25">
      <c r="O535" s="38"/>
      <c r="Q535" s="19"/>
      <c r="R535" s="19"/>
      <c r="S535" s="19"/>
    </row>
    <row r="536" spans="15:19" x14ac:dyDescent="0.25">
      <c r="O536" s="38"/>
      <c r="Q536" s="19"/>
      <c r="R536" s="19"/>
      <c r="S536" s="19"/>
    </row>
    <row r="537" spans="15:19" x14ac:dyDescent="0.25">
      <c r="O537" s="38"/>
      <c r="Q537" s="19"/>
      <c r="R537" s="19"/>
      <c r="S537" s="19"/>
    </row>
    <row r="538" spans="15:19" x14ac:dyDescent="0.25">
      <c r="O538" s="38"/>
      <c r="Q538" s="19"/>
      <c r="R538" s="19"/>
      <c r="S538" s="19"/>
    </row>
    <row r="539" spans="15:19" x14ac:dyDescent="0.25">
      <c r="O539" s="38"/>
      <c r="Q539" s="19"/>
      <c r="R539" s="19"/>
      <c r="S539" s="19"/>
    </row>
    <row r="540" spans="15:19" x14ac:dyDescent="0.25">
      <c r="O540" s="38"/>
      <c r="Q540" s="19"/>
      <c r="R540" s="19"/>
      <c r="S540" s="19"/>
    </row>
    <row r="541" spans="15:19" x14ac:dyDescent="0.25">
      <c r="O541" s="38"/>
      <c r="Q541" s="19"/>
      <c r="R541" s="19"/>
      <c r="S541" s="19"/>
    </row>
    <row r="542" spans="15:19" x14ac:dyDescent="0.25">
      <c r="O542" s="38"/>
      <c r="Q542" s="19"/>
      <c r="R542" s="19"/>
      <c r="S542" s="19"/>
    </row>
    <row r="543" spans="15:19" x14ac:dyDescent="0.25">
      <c r="O543" s="38"/>
      <c r="Q543" s="19"/>
      <c r="R543" s="19"/>
      <c r="S543" s="19"/>
    </row>
    <row r="544" spans="15:19" x14ac:dyDescent="0.25">
      <c r="O544" s="38"/>
      <c r="Q544" s="19"/>
      <c r="R544" s="19"/>
      <c r="S544" s="19"/>
    </row>
    <row r="545" spans="15:19" x14ac:dyDescent="0.25">
      <c r="O545" s="38"/>
      <c r="Q545" s="19"/>
      <c r="R545" s="19"/>
      <c r="S545" s="19"/>
    </row>
    <row r="546" spans="15:19" x14ac:dyDescent="0.25">
      <c r="O546" s="38"/>
      <c r="Q546" s="19"/>
      <c r="R546" s="19"/>
      <c r="S546" s="19"/>
    </row>
    <row r="547" spans="15:19" x14ac:dyDescent="0.25">
      <c r="O547" s="38"/>
      <c r="Q547" s="19"/>
      <c r="R547" s="19"/>
      <c r="S547" s="19"/>
    </row>
    <row r="548" spans="15:19" x14ac:dyDescent="0.25">
      <c r="O548" s="38"/>
      <c r="Q548" s="19"/>
      <c r="R548" s="19"/>
      <c r="S548" s="19"/>
    </row>
    <row r="549" spans="15:19" x14ac:dyDescent="0.25">
      <c r="O549" s="38"/>
      <c r="Q549" s="19"/>
      <c r="R549" s="19"/>
      <c r="S549" s="19"/>
    </row>
    <row r="550" spans="15:19" x14ac:dyDescent="0.25">
      <c r="O550" s="38"/>
      <c r="Q550" s="19"/>
      <c r="R550" s="19"/>
      <c r="S550" s="19"/>
    </row>
    <row r="551" spans="15:19" x14ac:dyDescent="0.25">
      <c r="O551" s="38"/>
      <c r="Q551" s="19"/>
      <c r="R551" s="19"/>
      <c r="S551" s="19"/>
    </row>
    <row r="552" spans="15:19" x14ac:dyDescent="0.25">
      <c r="O552" s="38"/>
      <c r="Q552" s="19"/>
      <c r="R552" s="19"/>
      <c r="S552" s="19"/>
    </row>
    <row r="553" spans="15:19" x14ac:dyDescent="0.25">
      <c r="O553" s="38"/>
      <c r="Q553" s="19"/>
      <c r="R553" s="19"/>
      <c r="S553" s="19"/>
    </row>
    <row r="554" spans="15:19" x14ac:dyDescent="0.25">
      <c r="O554" s="38"/>
      <c r="Q554" s="19"/>
      <c r="R554" s="19"/>
      <c r="S554" s="19"/>
    </row>
    <row r="555" spans="15:19" x14ac:dyDescent="0.25">
      <c r="O555" s="38"/>
      <c r="Q555" s="19"/>
      <c r="R555" s="19"/>
      <c r="S555" s="19"/>
    </row>
    <row r="556" spans="15:19" x14ac:dyDescent="0.25">
      <c r="O556" s="38"/>
      <c r="Q556" s="19"/>
      <c r="R556" s="19"/>
      <c r="S556" s="19"/>
    </row>
    <row r="557" spans="15:19" x14ac:dyDescent="0.25">
      <c r="O557" s="38"/>
      <c r="Q557" s="19"/>
      <c r="R557" s="19"/>
      <c r="S557" s="19"/>
    </row>
    <row r="558" spans="15:19" x14ac:dyDescent="0.25">
      <c r="O558" s="38"/>
      <c r="Q558" s="19"/>
      <c r="R558" s="19"/>
      <c r="S558" s="19"/>
    </row>
    <row r="559" spans="15:19" x14ac:dyDescent="0.25">
      <c r="O559" s="38"/>
      <c r="Q559" s="19"/>
      <c r="R559" s="19"/>
      <c r="S559" s="19"/>
    </row>
    <row r="560" spans="15:19" x14ac:dyDescent="0.25">
      <c r="O560" s="38"/>
      <c r="Q560" s="19"/>
      <c r="R560" s="19"/>
      <c r="S560" s="19"/>
    </row>
    <row r="561" spans="15:19" x14ac:dyDescent="0.25">
      <c r="O561" s="38"/>
      <c r="Q561" s="19"/>
      <c r="R561" s="19"/>
      <c r="S561" s="19"/>
    </row>
    <row r="562" spans="15:19" x14ac:dyDescent="0.25">
      <c r="O562" s="38"/>
      <c r="Q562" s="19"/>
      <c r="R562" s="19"/>
      <c r="S562" s="19"/>
    </row>
    <row r="563" spans="15:19" x14ac:dyDescent="0.25">
      <c r="O563" s="38"/>
      <c r="Q563" s="19"/>
      <c r="R563" s="19"/>
      <c r="S563" s="19"/>
    </row>
    <row r="564" spans="15:19" x14ac:dyDescent="0.25">
      <c r="O564" s="38"/>
      <c r="Q564" s="19"/>
      <c r="R564" s="19"/>
      <c r="S564" s="19"/>
    </row>
    <row r="565" spans="15:19" x14ac:dyDescent="0.25">
      <c r="O565" s="38"/>
      <c r="Q565" s="19"/>
      <c r="R565" s="19"/>
      <c r="S565" s="19"/>
    </row>
    <row r="566" spans="15:19" x14ac:dyDescent="0.25">
      <c r="O566" s="38"/>
      <c r="Q566" s="19"/>
      <c r="R566" s="19"/>
      <c r="S566" s="19"/>
    </row>
    <row r="567" spans="15:19" x14ac:dyDescent="0.25">
      <c r="O567" s="38"/>
      <c r="Q567" s="19"/>
      <c r="R567" s="19"/>
      <c r="S567" s="19"/>
    </row>
    <row r="568" spans="15:19" x14ac:dyDescent="0.25">
      <c r="O568" s="38"/>
      <c r="Q568" s="19"/>
      <c r="R568" s="19"/>
      <c r="S568" s="19"/>
    </row>
    <row r="569" spans="15:19" x14ac:dyDescent="0.25">
      <c r="O569" s="38"/>
      <c r="Q569" s="19"/>
      <c r="R569" s="19"/>
      <c r="S569" s="19"/>
    </row>
    <row r="570" spans="15:19" x14ac:dyDescent="0.25">
      <c r="O570" s="38"/>
      <c r="Q570" s="19"/>
      <c r="R570" s="19"/>
      <c r="S570" s="19"/>
    </row>
    <row r="571" spans="15:19" x14ac:dyDescent="0.25">
      <c r="O571" s="38"/>
      <c r="Q571" s="19"/>
      <c r="R571" s="19"/>
      <c r="S571" s="19"/>
    </row>
    <row r="572" spans="15:19" x14ac:dyDescent="0.25">
      <c r="O572" s="38"/>
      <c r="Q572" s="19"/>
      <c r="R572" s="19"/>
      <c r="S572" s="19"/>
    </row>
    <row r="573" spans="15:19" x14ac:dyDescent="0.25">
      <c r="O573" s="38"/>
      <c r="Q573" s="19"/>
      <c r="R573" s="19"/>
      <c r="S573" s="19"/>
    </row>
    <row r="574" spans="15:19" x14ac:dyDescent="0.25">
      <c r="O574" s="38"/>
      <c r="Q574" s="19"/>
      <c r="R574" s="19"/>
      <c r="S574" s="19"/>
    </row>
    <row r="575" spans="15:19" x14ac:dyDescent="0.25">
      <c r="O575" s="38"/>
      <c r="Q575" s="19"/>
      <c r="R575" s="19"/>
      <c r="S575" s="19"/>
    </row>
    <row r="576" spans="15:19" x14ac:dyDescent="0.25">
      <c r="O576" s="38"/>
      <c r="Q576" s="19"/>
      <c r="R576" s="19"/>
      <c r="S576" s="19"/>
    </row>
    <row r="577" spans="15:19" x14ac:dyDescent="0.25">
      <c r="O577" s="38"/>
      <c r="Q577" s="19"/>
      <c r="R577" s="19"/>
      <c r="S577" s="19"/>
    </row>
    <row r="578" spans="15:19" x14ac:dyDescent="0.25">
      <c r="O578" s="38"/>
      <c r="Q578" s="19"/>
      <c r="R578" s="19"/>
      <c r="S578" s="19"/>
    </row>
    <row r="579" spans="15:19" x14ac:dyDescent="0.25">
      <c r="O579" s="38"/>
      <c r="Q579" s="19"/>
      <c r="R579" s="19"/>
      <c r="S579" s="19"/>
    </row>
    <row r="580" spans="15:19" x14ac:dyDescent="0.25">
      <c r="O580" s="38"/>
      <c r="Q580" s="19"/>
      <c r="R580" s="19"/>
      <c r="S580" s="19"/>
    </row>
    <row r="581" spans="15:19" x14ac:dyDescent="0.25">
      <c r="O581" s="38"/>
      <c r="Q581" s="19"/>
      <c r="R581" s="19"/>
      <c r="S581" s="19"/>
    </row>
    <row r="582" spans="15:19" x14ac:dyDescent="0.25">
      <c r="O582" s="38"/>
      <c r="Q582" s="19"/>
      <c r="R582" s="19"/>
      <c r="S582" s="19"/>
    </row>
    <row r="583" spans="15:19" x14ac:dyDescent="0.25">
      <c r="O583" s="38"/>
      <c r="Q583" s="19"/>
      <c r="R583" s="19"/>
      <c r="S583" s="19"/>
    </row>
    <row r="584" spans="15:19" x14ac:dyDescent="0.25">
      <c r="O584" s="38"/>
      <c r="Q584" s="19"/>
      <c r="R584" s="19"/>
      <c r="S584" s="19"/>
    </row>
    <row r="585" spans="15:19" x14ac:dyDescent="0.25">
      <c r="O585" s="38"/>
      <c r="Q585" s="19"/>
      <c r="R585" s="19"/>
      <c r="S585" s="19"/>
    </row>
    <row r="586" spans="15:19" x14ac:dyDescent="0.25">
      <c r="O586" s="38"/>
      <c r="Q586" s="19"/>
      <c r="R586" s="19"/>
      <c r="S586" s="19"/>
    </row>
    <row r="587" spans="15:19" x14ac:dyDescent="0.25">
      <c r="O587" s="38"/>
      <c r="Q587" s="19"/>
      <c r="R587" s="19"/>
      <c r="S587" s="19"/>
    </row>
    <row r="588" spans="15:19" x14ac:dyDescent="0.25">
      <c r="O588" s="38"/>
      <c r="Q588" s="19"/>
      <c r="R588" s="19"/>
      <c r="S588" s="19"/>
    </row>
    <row r="589" spans="15:19" x14ac:dyDescent="0.25">
      <c r="O589" s="38"/>
      <c r="Q589" s="19"/>
      <c r="R589" s="19"/>
      <c r="S589" s="19"/>
    </row>
    <row r="590" spans="15:19" x14ac:dyDescent="0.25">
      <c r="O590" s="38"/>
      <c r="Q590" s="19"/>
      <c r="R590" s="19"/>
      <c r="S590" s="19"/>
    </row>
    <row r="591" spans="15:19" x14ac:dyDescent="0.25">
      <c r="O591" s="38"/>
      <c r="Q591" s="19"/>
      <c r="R591" s="19"/>
      <c r="S591" s="19"/>
    </row>
    <row r="592" spans="15:19" x14ac:dyDescent="0.25">
      <c r="O592" s="38"/>
      <c r="Q592" s="19"/>
      <c r="R592" s="19"/>
      <c r="S592" s="19"/>
    </row>
    <row r="593" spans="15:19" x14ac:dyDescent="0.25">
      <c r="O593" s="38"/>
      <c r="Q593" s="19"/>
      <c r="R593" s="19"/>
      <c r="S593" s="19"/>
    </row>
    <row r="594" spans="15:19" x14ac:dyDescent="0.25">
      <c r="O594" s="38"/>
      <c r="Q594" s="19"/>
      <c r="R594" s="19"/>
      <c r="S594" s="19"/>
    </row>
    <row r="595" spans="15:19" x14ac:dyDescent="0.25">
      <c r="O595" s="38"/>
      <c r="Q595" s="19"/>
      <c r="R595" s="19"/>
      <c r="S595" s="19"/>
    </row>
    <row r="596" spans="15:19" x14ac:dyDescent="0.25">
      <c r="O596" s="38"/>
      <c r="Q596" s="19"/>
      <c r="R596" s="19"/>
      <c r="S596" s="19"/>
    </row>
    <row r="597" spans="15:19" x14ac:dyDescent="0.25">
      <c r="O597" s="38"/>
      <c r="Q597" s="19"/>
      <c r="R597" s="19"/>
      <c r="S597" s="19"/>
    </row>
    <row r="598" spans="15:19" x14ac:dyDescent="0.25">
      <c r="O598" s="38"/>
      <c r="Q598" s="19"/>
      <c r="R598" s="19"/>
      <c r="S598" s="19"/>
    </row>
    <row r="599" spans="15:19" x14ac:dyDescent="0.25">
      <c r="O599" s="38"/>
      <c r="Q599" s="19"/>
      <c r="R599" s="19"/>
      <c r="S599" s="19"/>
    </row>
    <row r="600" spans="15:19" x14ac:dyDescent="0.25">
      <c r="O600" s="38"/>
      <c r="Q600" s="19"/>
      <c r="R600" s="19"/>
      <c r="S600" s="19"/>
    </row>
    <row r="601" spans="15:19" x14ac:dyDescent="0.25">
      <c r="O601" s="38"/>
      <c r="Q601" s="19"/>
      <c r="R601" s="19"/>
      <c r="S601" s="19"/>
    </row>
    <row r="602" spans="15:19" x14ac:dyDescent="0.25">
      <c r="O602" s="38"/>
      <c r="Q602" s="19"/>
      <c r="R602" s="19"/>
      <c r="S602" s="19"/>
    </row>
    <row r="603" spans="15:19" x14ac:dyDescent="0.25">
      <c r="O603" s="38"/>
      <c r="Q603" s="19"/>
      <c r="R603" s="19"/>
      <c r="S603" s="19"/>
    </row>
    <row r="604" spans="15:19" x14ac:dyDescent="0.25">
      <c r="O604" s="38"/>
      <c r="Q604" s="19"/>
      <c r="R604" s="19"/>
      <c r="S604" s="19"/>
    </row>
    <row r="605" spans="15:19" x14ac:dyDescent="0.25">
      <c r="O605" s="38"/>
      <c r="Q605" s="19"/>
      <c r="R605" s="19"/>
      <c r="S605" s="19"/>
    </row>
    <row r="606" spans="15:19" x14ac:dyDescent="0.25">
      <c r="O606" s="38"/>
      <c r="Q606" s="19"/>
      <c r="R606" s="19"/>
      <c r="S606" s="19"/>
    </row>
    <row r="607" spans="15:19" x14ac:dyDescent="0.25">
      <c r="O607" s="38"/>
      <c r="Q607" s="19"/>
      <c r="R607" s="19"/>
      <c r="S607" s="19"/>
    </row>
    <row r="608" spans="15:19" x14ac:dyDescent="0.25">
      <c r="O608" s="38"/>
      <c r="Q608" s="19"/>
      <c r="R608" s="19"/>
      <c r="S608" s="19"/>
    </row>
    <row r="609" spans="15:19" x14ac:dyDescent="0.25">
      <c r="O609" s="38"/>
      <c r="Q609" s="19"/>
      <c r="R609" s="19"/>
      <c r="S609" s="19"/>
    </row>
    <row r="610" spans="15:19" x14ac:dyDescent="0.25">
      <c r="O610" s="38"/>
      <c r="Q610" s="19"/>
      <c r="R610" s="19"/>
      <c r="S610" s="19"/>
    </row>
    <row r="611" spans="15:19" x14ac:dyDescent="0.25">
      <c r="O611" s="38"/>
      <c r="Q611" s="19"/>
      <c r="R611" s="19"/>
      <c r="S611" s="19"/>
    </row>
    <row r="612" spans="15:19" x14ac:dyDescent="0.25">
      <c r="O612" s="38"/>
      <c r="Q612" s="19"/>
      <c r="R612" s="19"/>
      <c r="S612" s="19"/>
    </row>
    <row r="613" spans="15:19" x14ac:dyDescent="0.25">
      <c r="O613" s="38"/>
      <c r="Q613" s="19"/>
      <c r="R613" s="19"/>
      <c r="S613" s="19"/>
    </row>
    <row r="614" spans="15:19" x14ac:dyDescent="0.25">
      <c r="O614" s="38"/>
      <c r="Q614" s="19"/>
      <c r="R614" s="19"/>
      <c r="S614" s="19"/>
    </row>
    <row r="615" spans="15:19" x14ac:dyDescent="0.25">
      <c r="O615" s="38"/>
      <c r="Q615" s="19"/>
      <c r="R615" s="19"/>
      <c r="S615" s="19"/>
    </row>
    <row r="616" spans="15:19" x14ac:dyDescent="0.25">
      <c r="O616" s="38"/>
      <c r="Q616" s="19"/>
      <c r="R616" s="19"/>
      <c r="S616" s="19"/>
    </row>
    <row r="617" spans="15:19" x14ac:dyDescent="0.25">
      <c r="O617" s="38"/>
      <c r="Q617" s="19"/>
      <c r="R617" s="19"/>
      <c r="S617" s="19"/>
    </row>
    <row r="618" spans="15:19" x14ac:dyDescent="0.25">
      <c r="O618" s="38"/>
      <c r="Q618" s="19"/>
      <c r="R618" s="19"/>
      <c r="S618" s="19"/>
    </row>
    <row r="619" spans="15:19" x14ac:dyDescent="0.25">
      <c r="O619" s="38"/>
      <c r="Q619" s="19"/>
      <c r="R619" s="19"/>
      <c r="S619" s="19"/>
    </row>
    <row r="620" spans="15:19" x14ac:dyDescent="0.25">
      <c r="O620" s="38"/>
      <c r="Q620" s="19"/>
      <c r="R620" s="19"/>
      <c r="S620" s="19"/>
    </row>
    <row r="621" spans="15:19" x14ac:dyDescent="0.25">
      <c r="O621" s="38"/>
      <c r="Q621" s="19"/>
      <c r="R621" s="19"/>
      <c r="S621" s="19"/>
    </row>
    <row r="622" spans="15:19" x14ac:dyDescent="0.25">
      <c r="O622" s="38"/>
      <c r="Q622" s="19"/>
      <c r="R622" s="19"/>
      <c r="S622" s="19"/>
    </row>
    <row r="623" spans="15:19" x14ac:dyDescent="0.25">
      <c r="O623" s="38"/>
      <c r="Q623" s="19"/>
      <c r="R623" s="19"/>
      <c r="S623" s="19"/>
    </row>
    <row r="624" spans="15:19" x14ac:dyDescent="0.25">
      <c r="O624" s="38"/>
      <c r="Q624" s="19"/>
      <c r="R624" s="19"/>
      <c r="S624" s="19"/>
    </row>
    <row r="625" spans="15:19" x14ac:dyDescent="0.25">
      <c r="O625" s="38"/>
      <c r="Q625" s="19"/>
      <c r="R625" s="19"/>
      <c r="S625" s="19"/>
    </row>
    <row r="626" spans="15:19" x14ac:dyDescent="0.25">
      <c r="O626" s="38"/>
      <c r="Q626" s="19"/>
      <c r="R626" s="19"/>
      <c r="S626" s="19"/>
    </row>
    <row r="627" spans="15:19" x14ac:dyDescent="0.25">
      <c r="O627" s="38"/>
      <c r="Q627" s="19"/>
      <c r="R627" s="19"/>
      <c r="S627" s="19"/>
    </row>
    <row r="628" spans="15:19" x14ac:dyDescent="0.25">
      <c r="O628" s="38"/>
      <c r="Q628" s="19"/>
      <c r="R628" s="19"/>
      <c r="S628" s="19"/>
    </row>
    <row r="629" spans="15:19" x14ac:dyDescent="0.25">
      <c r="O629" s="38"/>
      <c r="Q629" s="19"/>
      <c r="R629" s="19"/>
      <c r="S629" s="19"/>
    </row>
    <row r="630" spans="15:19" x14ac:dyDescent="0.25">
      <c r="O630" s="38"/>
      <c r="Q630" s="19"/>
      <c r="R630" s="19"/>
      <c r="S630" s="19"/>
    </row>
    <row r="631" spans="15:19" x14ac:dyDescent="0.25">
      <c r="O631" s="38"/>
      <c r="Q631" s="19"/>
      <c r="R631" s="19"/>
      <c r="S631" s="19"/>
    </row>
    <row r="632" spans="15:19" x14ac:dyDescent="0.25">
      <c r="O632" s="38"/>
      <c r="Q632" s="19"/>
      <c r="R632" s="19"/>
      <c r="S632" s="19"/>
    </row>
    <row r="633" spans="15:19" x14ac:dyDescent="0.25">
      <c r="O633" s="38"/>
      <c r="Q633" s="19"/>
      <c r="R633" s="19"/>
      <c r="S633" s="19"/>
    </row>
    <row r="634" spans="15:19" x14ac:dyDescent="0.25">
      <c r="O634" s="38"/>
      <c r="Q634" s="19"/>
      <c r="R634" s="19"/>
      <c r="S634" s="19"/>
    </row>
    <row r="635" spans="15:19" x14ac:dyDescent="0.25">
      <c r="O635" s="38"/>
      <c r="Q635" s="19"/>
      <c r="R635" s="19"/>
      <c r="S635" s="19"/>
    </row>
    <row r="636" spans="15:19" x14ac:dyDescent="0.25">
      <c r="O636" s="38"/>
      <c r="Q636" s="19"/>
      <c r="R636" s="19"/>
      <c r="S636" s="19"/>
    </row>
    <row r="637" spans="15:19" x14ac:dyDescent="0.25">
      <c r="O637" s="38"/>
      <c r="Q637" s="19"/>
      <c r="R637" s="19"/>
      <c r="S637" s="19"/>
    </row>
    <row r="638" spans="15:19" x14ac:dyDescent="0.25">
      <c r="O638" s="38"/>
      <c r="Q638" s="19"/>
      <c r="R638" s="19"/>
      <c r="S638" s="19"/>
    </row>
    <row r="639" spans="15:19" x14ac:dyDescent="0.25">
      <c r="O639" s="38"/>
      <c r="Q639" s="19"/>
      <c r="R639" s="19"/>
      <c r="S639" s="19"/>
    </row>
    <row r="640" spans="15:19" x14ac:dyDescent="0.25">
      <c r="O640" s="38"/>
      <c r="Q640" s="19"/>
      <c r="R640" s="19"/>
      <c r="S640" s="19"/>
    </row>
    <row r="641" spans="15:19" x14ac:dyDescent="0.25">
      <c r="O641" s="38"/>
      <c r="Q641" s="19"/>
      <c r="R641" s="19"/>
      <c r="S641" s="19"/>
    </row>
    <row r="642" spans="15:19" x14ac:dyDescent="0.25">
      <c r="O642" s="38"/>
      <c r="Q642" s="19"/>
      <c r="R642" s="19"/>
      <c r="S642" s="19"/>
    </row>
    <row r="643" spans="15:19" x14ac:dyDescent="0.25">
      <c r="O643" s="38"/>
      <c r="Q643" s="19"/>
      <c r="R643" s="19"/>
      <c r="S643" s="19"/>
    </row>
    <row r="644" spans="15:19" x14ac:dyDescent="0.25">
      <c r="O644" s="38"/>
      <c r="Q644" s="19"/>
      <c r="R644" s="19"/>
      <c r="S644" s="19"/>
    </row>
    <row r="645" spans="15:19" x14ac:dyDescent="0.25">
      <c r="O645" s="38"/>
      <c r="Q645" s="19"/>
      <c r="R645" s="19"/>
      <c r="S645" s="19"/>
    </row>
    <row r="646" spans="15:19" x14ac:dyDescent="0.25">
      <c r="O646" s="38"/>
      <c r="Q646" s="19"/>
      <c r="R646" s="19"/>
      <c r="S646" s="19"/>
    </row>
  </sheetData>
  <mergeCells count="1">
    <mergeCell ref="A5:O5"/>
  </mergeCells>
  <conditionalFormatting sqref="A10:A17">
    <cfRule type="expression" dxfId="6" priority="1" stopIfTrue="1">
      <formula>#REF!&gt;0</formula>
    </cfRule>
    <cfRule type="expression" dxfId="5" priority="2" stopIfTrue="1">
      <formula>LEFT(#REF!,3)="TIR"</formula>
    </cfRule>
  </conditionalFormatting>
  <conditionalFormatting sqref="B10:I17 O10:O17">
    <cfRule type="expression" dxfId="4" priority="9" stopIfTrue="1">
      <formula>LEFT(#REF!,3)="TIR"</formula>
    </cfRule>
  </conditionalFormatting>
  <conditionalFormatting sqref="J10:L17 P1:P5 P18:P65400">
    <cfRule type="expression" dxfId="3" priority="13" stopIfTrue="1">
      <formula>LEFT(#REF!,3)="TIR"</formula>
    </cfRule>
  </conditionalFormatting>
  <conditionalFormatting sqref="K10:K17 M10:N17">
    <cfRule type="expression" dxfId="2" priority="7" stopIfTrue="1">
      <formula>#REF!&gt;0</formula>
    </cfRule>
    <cfRule type="expression" dxfId="1" priority="8" stopIfTrue="1">
      <formula>LEFT(#REF!,3)="TIR"</formula>
    </cfRule>
  </conditionalFormatting>
  <conditionalFormatting sqref="P5:Y5">
    <cfRule type="expression" dxfId="0" priority="11" stopIfTrue="1">
      <formula>LEFT(#REF!,3)="TIR"</formula>
    </cfRule>
  </conditionalFormatting>
  <dataValidations count="1">
    <dataValidation allowBlank="1" showInputMessage="1" showErrorMessage="1" sqref="B6:O6" xr:uid="{00000000-0002-0000-1D00-000000000000}"/>
  </dataValidation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DF18-9019-41A2-BCF4-5BBDB1A3084A}">
  <sheetPr codeName="גיליון31"/>
  <dimension ref="A1:A72"/>
  <sheetViews>
    <sheetView rightToLeft="1" workbookViewId="0"/>
  </sheetViews>
  <sheetFormatPr defaultRowHeight="13.2" x14ac:dyDescent="0.25"/>
  <sheetData>
    <row r="1" spans="1:1" x14ac:dyDescent="0.25">
      <c r="A1" t="s">
        <v>164</v>
      </c>
    </row>
    <row r="2" spans="1:1" x14ac:dyDescent="0.25">
      <c r="A2" t="s">
        <v>165</v>
      </c>
    </row>
    <row r="3" spans="1:1" x14ac:dyDescent="0.25">
      <c r="A3" t="s">
        <v>166</v>
      </c>
    </row>
    <row r="4" spans="1:1" x14ac:dyDescent="0.25">
      <c r="A4" t="s">
        <v>167</v>
      </c>
    </row>
    <row r="5" spans="1:1" x14ac:dyDescent="0.25">
      <c r="A5" t="s">
        <v>168</v>
      </c>
    </row>
    <row r="6" spans="1:1" x14ac:dyDescent="0.25">
      <c r="A6" t="s">
        <v>169</v>
      </c>
    </row>
    <row r="7" spans="1:1" x14ac:dyDescent="0.25">
      <c r="A7" t="s">
        <v>170</v>
      </c>
    </row>
    <row r="8" spans="1:1" x14ac:dyDescent="0.25">
      <c r="A8" t="s">
        <v>171</v>
      </c>
    </row>
    <row r="9" spans="1:1" x14ac:dyDescent="0.25">
      <c r="A9" t="s">
        <v>172</v>
      </c>
    </row>
    <row r="10" spans="1:1" x14ac:dyDescent="0.25">
      <c r="A10" t="s">
        <v>173</v>
      </c>
    </row>
    <row r="11" spans="1:1" x14ac:dyDescent="0.25">
      <c r="A11" t="s">
        <v>174</v>
      </c>
    </row>
    <row r="12" spans="1:1" x14ac:dyDescent="0.25">
      <c r="A12" t="s">
        <v>175</v>
      </c>
    </row>
    <row r="13" spans="1:1" x14ac:dyDescent="0.25">
      <c r="A13" t="s">
        <v>176</v>
      </c>
    </row>
    <row r="14" spans="1:1" x14ac:dyDescent="0.25">
      <c r="A14" t="s">
        <v>177</v>
      </c>
    </row>
    <row r="15" spans="1:1" x14ac:dyDescent="0.25">
      <c r="A15" t="s">
        <v>178</v>
      </c>
    </row>
    <row r="16" spans="1:1" x14ac:dyDescent="0.25">
      <c r="A16" t="s">
        <v>179</v>
      </c>
    </row>
    <row r="17" spans="1:1" x14ac:dyDescent="0.25">
      <c r="A17" t="s">
        <v>180</v>
      </c>
    </row>
    <row r="18" spans="1:1" x14ac:dyDescent="0.25">
      <c r="A18" t="s">
        <v>181</v>
      </c>
    </row>
    <row r="19" spans="1:1" x14ac:dyDescent="0.25">
      <c r="A19" t="s">
        <v>182</v>
      </c>
    </row>
    <row r="20" spans="1:1" x14ac:dyDescent="0.25">
      <c r="A20" t="s">
        <v>183</v>
      </c>
    </row>
    <row r="21" spans="1:1" x14ac:dyDescent="0.25">
      <c r="A21" t="s">
        <v>184</v>
      </c>
    </row>
    <row r="22" spans="1:1" x14ac:dyDescent="0.25">
      <c r="A22" t="s">
        <v>185</v>
      </c>
    </row>
    <row r="23" spans="1:1" x14ac:dyDescent="0.25">
      <c r="A23" t="s">
        <v>186</v>
      </c>
    </row>
    <row r="24" spans="1:1" x14ac:dyDescent="0.25">
      <c r="A24" t="s">
        <v>187</v>
      </c>
    </row>
    <row r="25" spans="1:1" x14ac:dyDescent="0.25">
      <c r="A25" t="s">
        <v>188</v>
      </c>
    </row>
    <row r="26" spans="1:1" x14ac:dyDescent="0.25">
      <c r="A26" t="s">
        <v>189</v>
      </c>
    </row>
    <row r="27" spans="1:1" x14ac:dyDescent="0.25">
      <c r="A27" t="s">
        <v>190</v>
      </c>
    </row>
    <row r="28" spans="1:1" x14ac:dyDescent="0.25">
      <c r="A28" t="s">
        <v>191</v>
      </c>
    </row>
    <row r="29" spans="1:1" x14ac:dyDescent="0.25">
      <c r="A29" t="s">
        <v>192</v>
      </c>
    </row>
    <row r="30" spans="1:1" x14ac:dyDescent="0.25">
      <c r="A30" t="s">
        <v>193</v>
      </c>
    </row>
    <row r="31" spans="1:1" x14ac:dyDescent="0.25">
      <c r="A31" t="s">
        <v>194</v>
      </c>
    </row>
    <row r="32" spans="1:1" x14ac:dyDescent="0.25">
      <c r="A32" t="s">
        <v>195</v>
      </c>
    </row>
    <row r="33" spans="1:1" x14ac:dyDescent="0.25">
      <c r="A33" t="s">
        <v>196</v>
      </c>
    </row>
    <row r="34" spans="1:1" x14ac:dyDescent="0.25">
      <c r="A34" t="s">
        <v>197</v>
      </c>
    </row>
    <row r="35" spans="1:1" x14ac:dyDescent="0.25">
      <c r="A35" t="s">
        <v>198</v>
      </c>
    </row>
    <row r="36" spans="1:1" x14ac:dyDescent="0.25">
      <c r="A36" t="s">
        <v>199</v>
      </c>
    </row>
    <row r="37" spans="1:1" x14ac:dyDescent="0.25">
      <c r="A37" t="s">
        <v>200</v>
      </c>
    </row>
    <row r="38" spans="1:1" x14ac:dyDescent="0.25">
      <c r="A38" t="s">
        <v>201</v>
      </c>
    </row>
    <row r="39" spans="1:1" x14ac:dyDescent="0.25">
      <c r="A39" t="s">
        <v>202</v>
      </c>
    </row>
    <row r="40" spans="1:1" x14ac:dyDescent="0.25">
      <c r="A40" t="s">
        <v>203</v>
      </c>
    </row>
    <row r="41" spans="1:1" x14ac:dyDescent="0.25">
      <c r="A41" t="s">
        <v>204</v>
      </c>
    </row>
    <row r="42" spans="1:1" x14ac:dyDescent="0.25">
      <c r="A42" t="s">
        <v>205</v>
      </c>
    </row>
    <row r="43" spans="1:1" x14ac:dyDescent="0.25">
      <c r="A43" t="s">
        <v>206</v>
      </c>
    </row>
    <row r="44" spans="1:1" x14ac:dyDescent="0.25">
      <c r="A44" t="s">
        <v>207</v>
      </c>
    </row>
    <row r="45" spans="1:1" x14ac:dyDescent="0.25">
      <c r="A45" t="s">
        <v>208</v>
      </c>
    </row>
    <row r="46" spans="1:1" x14ac:dyDescent="0.25">
      <c r="A46" t="s">
        <v>209</v>
      </c>
    </row>
    <row r="47" spans="1:1" x14ac:dyDescent="0.25">
      <c r="A47" t="s">
        <v>210</v>
      </c>
    </row>
    <row r="48" spans="1:1" x14ac:dyDescent="0.25">
      <c r="A48" t="s">
        <v>211</v>
      </c>
    </row>
    <row r="49" spans="1:1" x14ac:dyDescent="0.25">
      <c r="A49" t="s">
        <v>212</v>
      </c>
    </row>
    <row r="50" spans="1:1" x14ac:dyDescent="0.25">
      <c r="A50" t="s">
        <v>213</v>
      </c>
    </row>
    <row r="51" spans="1:1" x14ac:dyDescent="0.25">
      <c r="A51" t="s">
        <v>214</v>
      </c>
    </row>
    <row r="52" spans="1:1" x14ac:dyDescent="0.25">
      <c r="A52" t="s">
        <v>215</v>
      </c>
    </row>
    <row r="53" spans="1:1" x14ac:dyDescent="0.25">
      <c r="A53" t="s">
        <v>216</v>
      </c>
    </row>
    <row r="54" spans="1:1" x14ac:dyDescent="0.25">
      <c r="A54" t="s">
        <v>217</v>
      </c>
    </row>
    <row r="55" spans="1:1" x14ac:dyDescent="0.25">
      <c r="A55" t="s">
        <v>218</v>
      </c>
    </row>
    <row r="56" spans="1:1" x14ac:dyDescent="0.25">
      <c r="A56" t="s">
        <v>219</v>
      </c>
    </row>
    <row r="57" spans="1:1" x14ac:dyDescent="0.25">
      <c r="A57" t="s">
        <v>220</v>
      </c>
    </row>
    <row r="58" spans="1:1" x14ac:dyDescent="0.25">
      <c r="A58" t="s">
        <v>221</v>
      </c>
    </row>
    <row r="59" spans="1:1" x14ac:dyDescent="0.25">
      <c r="A59" t="s">
        <v>222</v>
      </c>
    </row>
    <row r="60" spans="1:1" x14ac:dyDescent="0.25">
      <c r="A60" t="s">
        <v>223</v>
      </c>
    </row>
    <row r="61" spans="1:1" x14ac:dyDescent="0.25">
      <c r="A61" t="s">
        <v>224</v>
      </c>
    </row>
    <row r="62" spans="1:1" x14ac:dyDescent="0.25">
      <c r="A62" t="s">
        <v>225</v>
      </c>
    </row>
    <row r="63" spans="1:1" x14ac:dyDescent="0.25">
      <c r="A63" t="s">
        <v>226</v>
      </c>
    </row>
    <row r="64" spans="1:1" x14ac:dyDescent="0.25">
      <c r="A64" t="s">
        <v>227</v>
      </c>
    </row>
    <row r="65" spans="1:1" x14ac:dyDescent="0.25">
      <c r="A65" t="s">
        <v>228</v>
      </c>
    </row>
    <row r="66" spans="1:1" x14ac:dyDescent="0.25">
      <c r="A66" t="s">
        <v>229</v>
      </c>
    </row>
    <row r="67" spans="1:1" x14ac:dyDescent="0.25">
      <c r="A67" t="s">
        <v>230</v>
      </c>
    </row>
    <row r="68" spans="1:1" x14ac:dyDescent="0.25">
      <c r="A68" t="s">
        <v>231</v>
      </c>
    </row>
    <row r="69" spans="1:1" x14ac:dyDescent="0.25">
      <c r="A69" t="s">
        <v>232</v>
      </c>
    </row>
    <row r="70" spans="1:1" x14ac:dyDescent="0.25">
      <c r="A70" t="s">
        <v>233</v>
      </c>
    </row>
    <row r="71" spans="1:1" x14ac:dyDescent="0.25">
      <c r="A71" t="s">
        <v>234</v>
      </c>
    </row>
    <row r="72" spans="1:1" x14ac:dyDescent="0.25">
      <c r="A72" t="s">
        <v>235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אסף מגן</cp:lastModifiedBy>
  <cp:lastPrinted>2008-08-19T12:49:13Z</cp:lastPrinted>
  <dcterms:created xsi:type="dcterms:W3CDTF">2006-06-20T08:20:07Z</dcterms:created>
  <dcterms:modified xsi:type="dcterms:W3CDTF">2025-05-21T19:03:02Z</dcterms:modified>
</cp:coreProperties>
</file>