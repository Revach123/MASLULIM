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הלכתי הוד\דוח נכסים\רבעון 1\"/>
    </mc:Choice>
  </mc:AlternateContent>
  <xr:revisionPtr revIDLastSave="0" documentId="8_{1F443427-AF82-4372-8A35-0E501B131AC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קונצרני'!$A$5:$T$30</definedName>
    <definedName name="_xlnm.Print_Area" localSheetId="9">אופציות!$A$5:$K$22</definedName>
    <definedName name="_xlnm.Print_Area" localSheetId="21">הלוואות!$A$5:$Q$31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עתידיים'!$A$5:$G$15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אופציות'!$A$5:$K$36</definedName>
    <definedName name="_xlnm.Print_Area" localSheetId="19">'לא סחיר - חוזים עתידיים'!$A$5:$J$97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מניות'!$B$5:$M$15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נאמנות'!$A$5:$N$21</definedName>
    <definedName name="_xlnm.Print_Area" localSheetId="6">'קרנות סל'!$A$5:$M$88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<sst xmlns="http://schemas.openxmlformats.org/spreadsheetml/2006/main" count="5041" uniqueCount="843">
  <si>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</si>
  <si>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</si>
  <si>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</si>
  <si>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</si>
  <si>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</si>
  <si>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</si>
  <si>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</si>
  <si>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</si>
  <si>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</si>
  <si>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</si>
  <si>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</si>
  <si>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</si>
  <si>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</si>
  <si>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</si>
  <si>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</si>
  <si>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</si>
  <si>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</si>
  <si>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</si>
  <si>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</si>
  <si>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</si>
  <si>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</si>
  <si>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</si>
  <si>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</si>
  <si>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</si>
  <si>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</si>
  <si>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</si>
  <si>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</si>
  <si>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</si>
  <si>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</si>
  <si>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</si>
  <si>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</si>
  <si>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</si>
  <si>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</si>
  <si>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</si>
  <si>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</si>
  <si>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</si>
  <si>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</si>
  <si>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</si>
  <si>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</si>
  <si>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</si>
  <si>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</si>
  <si>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</si>
  <si>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</si>
  <si>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</si>
  <si>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</si>
  <si>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</si>
  <si>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</si>
  <si>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</si>
  <si>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</si>
  <si>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</si>
  <si>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</si>
  <si>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</si>
  <si>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</si>
  <si>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</si>
  <si>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</si>
  <si>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</si>
  <si>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</si>
  <si>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</si>
  <si>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</si>
  <si>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</si>
  <si>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</si>
  <si>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</si>
  <si>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</si>
  <si>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</si>
  <si>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</si>
  <si>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</si>
  <si>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</si>
  <si>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</si>
  <si>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</si>
  <si>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</si>
  <si>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</si>
  <si>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</si>
  <si>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</si>
  <si>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</si>
  <si>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</si>
  <si>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</si>
  <si>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</si>
  <si>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</si>
  <si>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</si>
  <si>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</si>
  <si>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</si>
  <si>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</si>
  <si>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</si>
  <si>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</si>
  <si>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</si>
  <si>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</si>
  <si>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</si>
  <si>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</si>
  <si>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</si>
  <si>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</si>
  <si>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</si>
  <si>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</si>
  <si>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</si>
  <si>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</si>
  <si>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</si>
  <si>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</si>
  <si>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</si>
  <si>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</si>
  <si>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</si>
  <si>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</si>
  <si>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</si>
  <si>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</si>
  <si>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</si>
  <si>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</si>
  <si>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</si>
  <si>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</si>
  <si>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</si>
  <si>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</si>
  <si>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</si>
  <si>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</si>
  <si>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</si>
  <si>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</si>
  <si>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</si>
  <si>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</si>
  <si>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</si>
  <si>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</si>
  <si>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</si>
  <si>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</si>
  <si>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</si>
  <si>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</si>
  <si>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</si>
  <si>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</si>
  <si>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</si>
  <si>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</si>
  <si>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</si>
  <si>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</si>
  <si>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</si>
  <si>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</si>
  <si>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</si>
  <si>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</si>
  <si>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</si>
  <si>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</si>
  <si>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</si>
  <si>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</si>
  <si>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</si>
  <si>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</si>
  <si>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</si>
  <si>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</si>
  <si>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</si>
  <si>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</si>
  <si>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</si>
  <si>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</si>
  <si>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</si>
  <si>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</si>
  <si>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</si>
  <si>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</si>
  <si>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</si>
  <si>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</si>
  <si>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</si>
  <si>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</si>
  <si>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</si>
  <si>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</si>
  <si>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</si>
  <si>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</si>
  <si>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</si>
  <si>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</si>
  <si>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</si>
  <si>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</si>
  <si>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</si>
  <si>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</si>
  <si>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</si>
  <si>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</si>
  <si>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</si>
  <si>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</si>
  <si>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</si>
  <si>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</si>
  <si>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</si>
  <si>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</si>
  <si>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</si>
  <si>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</si>
  <si>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</si>
  <si>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</si>
  <si>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</si>
  <si>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</si>
  <si>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</si>
  <si>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</si>
  <si>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</si>
  <si>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</si>
  <si>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</si>
  <si>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</si>
  <si>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</si>
  <si>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</si>
  <si>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</si>
  <si>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</si>
  <si>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</si>
  <si>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</si>
  <si>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</si>
  <si>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</si>
  <si>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</si>
  <si>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</si>
  <si>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</si>
  <si>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</si>
  <si>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</si>
  <si>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</si>
  <si>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</si>
  <si>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</si>
  <si>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</si>
  <si>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</si>
  <si>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</si>
  <si>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</si>
  <si>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</si>
  <si>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</si>
  <si>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</si>
  <si>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</si>
  <si>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</si>
  <si>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</si>
  <si>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</si>
  <si>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</si>
  <si>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</si>
  <si>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</si>
  <si>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</si>
  <si>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</si>
  <si>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</si>
  <si>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</si>
  <si>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</si>
  <si>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</si>
  <si>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</si>
  <si>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</si>
  <si>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</si>
  <si>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</si>
  <si>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</si>
  <si>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</si>
  <si>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</si>
  <si>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</si>
  <si>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</si>
  <si>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</si>
  <si>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</si>
  <si>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</si>
  <si>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</si>
  <si>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</si>
  <si>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</si>
  <si>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</si>
  <si>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</si>
  <si>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</si>
  <si>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</si>
  <si>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</si>
  <si>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</si>
  <si>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</si>
  <si>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</si>
  <si>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</si>
  <si>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</si>
  <si>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</si>
  <si>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</si>
  <si>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</si>
  <si>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</si>
  <si>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</si>
  <si>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</si>
  <si>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</si>
  <si>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</si>
  <si>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30089270</t>
  </si>
  <si>
    <t>30091530</t>
  </si>
  <si>
    <t>30098590</t>
  </si>
  <si>
    <t>30098610</t>
  </si>
  <si>
    <t xml:space="preserve">יתרות מזומנים ועו"ש נקובים במט"ח </t>
  </si>
  <si>
    <t>30005940</t>
  </si>
  <si>
    <t>30021060</t>
  </si>
  <si>
    <t>30023860</t>
  </si>
  <si>
    <t>30021080</t>
  </si>
  <si>
    <t>30023880</t>
  </si>
  <si>
    <t>30023900</t>
  </si>
  <si>
    <t>30023920</t>
  </si>
  <si>
    <t>יין יפני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</si>
  <si>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</si>
  <si>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</si>
  <si>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</si>
  <si>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</si>
  <si>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</si>
  <si>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</si>
  <si>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</si>
  <si>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</si>
  <si>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</si>
  <si>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</si>
  <si>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</si>
  <si>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</si>
  <si>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</si>
  <si>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</si>
  <si>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</si>
  <si>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</si>
  <si>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</si>
  <si>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</si>
  <si>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</si>
  <si>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</si>
  <si>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</si>
  <si>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</si>
  <si>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</si>
  <si>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</si>
  <si>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</si>
  <si>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</si>
  <si>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</si>
  <si>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</si>
  <si>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</si>
  <si>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</si>
  <si>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</si>
  <si>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</si>
  <si>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</si>
  <si>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</si>
  <si>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</si>
  <si>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</si>
  <si>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</si>
  <si>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</si>
  <si>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</si>
  <si>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</si>
  <si>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</si>
  <si>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</si>
  <si>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</si>
  <si>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</si>
  <si>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</si>
  <si>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</si>
  <si>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</si>
  <si>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</si>
  <si>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</si>
  <si>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</si>
  <si>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</si>
  <si>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</si>
  <si>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</si>
  <si>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</si>
  <si>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</si>
  <si>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</si>
  <si>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</si>
  <si>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</si>
  <si>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</si>
  <si>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</si>
  <si>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</si>
  <si>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</si>
  <si>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</si>
  <si>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</si>
  <si>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</si>
  <si>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</si>
  <si>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</si>
  <si>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</si>
  <si>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</si>
  <si>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</si>
  <si>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</si>
  <si>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</si>
  <si>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</si>
  <si>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</si>
  <si>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</si>
  <si>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</si>
  <si>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</si>
  <si>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</si>
  <si>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</si>
  <si>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</si>
  <si>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</si>
  <si>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</si>
  <si>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</si>
  <si>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</si>
  <si>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</si>
  <si>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</si>
  <si>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</si>
  <si>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</si>
  <si>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</si>
  <si>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</si>
  <si>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</si>
  <si>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</si>
  <si>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</si>
  <si>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</si>
  <si>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</si>
  <si>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</si>
  <si>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</si>
  <si>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</si>
  <si>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</si>
  <si>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</si>
  <si>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</si>
  <si>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</si>
  <si>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</si>
  <si>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</si>
  <si>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</si>
  <si>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</si>
  <si>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</si>
  <si>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A1</t>
  </si>
  <si>
    <t>Moodys</t>
  </si>
  <si>
    <t>10/01/2018</t>
  </si>
  <si>
    <t>סה"כ אג"ח שהנפיקו ממשלות זרות בחו"ל</t>
  </si>
  <si>
    <t>MBONO 8 07/12/23</t>
  </si>
  <si>
    <t>MX0MGO000003</t>
  </si>
  <si>
    <t>BBB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</si>
  <si>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</si>
  <si>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</si>
  <si>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</si>
  <si>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</si>
  <si>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</si>
  <si>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</si>
  <si>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</si>
  <si>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</si>
  <si>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</si>
  <si>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</si>
  <si>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</si>
  <si>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</si>
  <si>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</si>
  <si>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</si>
  <si>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</si>
  <si>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</si>
  <si>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</si>
  <si>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</si>
  <si>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</si>
  <si>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</si>
  <si>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</si>
  <si>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</si>
  <si>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</si>
  <si>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</si>
  <si>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</si>
  <si>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</si>
  <si>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</si>
  <si>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</si>
  <si>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</si>
  <si>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28/12/2010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</si>
  <si>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</si>
  <si>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</si>
  <si>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</si>
  <si>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</si>
  <si>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</si>
  <si>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</si>
  <si>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</si>
  <si>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</si>
  <si>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</si>
  <si>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</si>
  <si>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</si>
  <si>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ilAA-</t>
  </si>
  <si>
    <t>18/05/2007</t>
  </si>
  <si>
    <t>פועלים הנפקות שה נדחה 1</t>
  </si>
  <si>
    <t>1940444</t>
  </si>
  <si>
    <t>ilAA</t>
  </si>
  <si>
    <t>30/06/2009</t>
  </si>
  <si>
    <t>לאומי מימון שה נדחה 300</t>
  </si>
  <si>
    <t>6040257</t>
  </si>
  <si>
    <t>16/08/2009</t>
  </si>
  <si>
    <t>הראל הנפקות אגח טז</t>
  </si>
  <si>
    <t>1157601</t>
  </si>
  <si>
    <t>513834200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</si>
  <si>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</si>
  <si>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</si>
  <si>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</si>
  <si>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</si>
  <si>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</si>
  <si>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</si>
  <si>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</si>
  <si>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</si>
  <si>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</si>
  <si>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</si>
  <si>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</si>
  <si>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513865626</t>
  </si>
  <si>
    <t>מניות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</si>
  <si>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</si>
  <si>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</si>
  <si>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</si>
  <si>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</si>
  <si>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</si>
  <si>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</si>
  <si>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</si>
  <si>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</si>
  <si>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</si>
  <si>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</si>
  <si>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</si>
  <si>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</si>
  <si>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</si>
  <si>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</si>
  <si>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</si>
  <si>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</si>
  <si>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</si>
  <si>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פסגות קרן סל תלבונד תשואות כשרה</t>
  </si>
  <si>
    <t>1155084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</si>
  <si>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</si>
  <si>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</si>
  <si>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</si>
  <si>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</si>
  <si>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</si>
  <si>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</si>
  <si>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</si>
  <si>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</si>
  <si>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</si>
  <si>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</si>
  <si>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</si>
  <si>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</si>
  <si>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</si>
  <si>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</si>
  <si>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</si>
  <si>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</si>
  <si>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</si>
  <si>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</si>
  <si>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</si>
  <si>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VOO US Equity</t>
  </si>
  <si>
    <t>US9229083632</t>
  </si>
  <si>
    <t>NYSE</t>
  </si>
  <si>
    <t>Stocks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</si>
  <si>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</si>
  <si>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</si>
  <si>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</si>
  <si>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</si>
  <si>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</si>
  <si>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</si>
  <si>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</si>
  <si>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EWI US Equity</t>
  </si>
  <si>
    <t>US46434G8309</t>
  </si>
  <si>
    <t>ETFMIB IM Equity</t>
  </si>
  <si>
    <t>FR0010010827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</si>
  <si>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</si>
  <si>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</si>
  <si>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</si>
  <si>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</si>
  <si>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</si>
  <si>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</si>
  <si>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</si>
  <si>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ISF LN Equity</t>
  </si>
  <si>
    <t>IE0005042456</t>
  </si>
  <si>
    <t>EWZ US Equity</t>
  </si>
  <si>
    <t>US4642864007</t>
  </si>
  <si>
    <t>EWA US Equity</t>
  </si>
  <si>
    <t>US4642861037</t>
  </si>
  <si>
    <t>FXI US Equity</t>
  </si>
  <si>
    <t>US4642871846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</si>
  <si>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</si>
  <si>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</si>
  <si>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</si>
  <si>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</si>
  <si>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</si>
  <si>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</si>
  <si>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</si>
  <si>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ASHR US Equity</t>
  </si>
  <si>
    <t>US2330518794</t>
  </si>
  <si>
    <t>EPI US Equity</t>
  </si>
  <si>
    <t>US97717W4226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</si>
  <si>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</si>
  <si>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</si>
  <si>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</si>
  <si>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</si>
  <si>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</si>
  <si>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</si>
  <si>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</si>
  <si>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SGLD LN Equity</t>
  </si>
  <si>
    <t>IE00B579F325</t>
  </si>
  <si>
    <t>MINT LN Equity</t>
  </si>
  <si>
    <t>IE00B67B7N93</t>
  </si>
  <si>
    <t>Bonds</t>
  </si>
  <si>
    <t>LQDE LN Equity</t>
  </si>
  <si>
    <t>IE0032895942</t>
  </si>
  <si>
    <t>XDGU LN Equity</t>
  </si>
  <si>
    <t>IE00BZ036H21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</si>
  <si>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</si>
  <si>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</si>
  <si>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</si>
  <si>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</si>
  <si>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</si>
  <si>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</si>
  <si>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</si>
  <si>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</si>
  <si>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</si>
  <si>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</si>
  <si>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XLV US Equity</t>
  </si>
  <si>
    <t>US81369Y2090</t>
  </si>
  <si>
    <t>XLP US Equity</t>
  </si>
  <si>
    <t>US81369Y3080</t>
  </si>
  <si>
    <t>IHI US Equity</t>
  </si>
  <si>
    <t>US4642888105</t>
  </si>
  <si>
    <t>XLF US Equity</t>
  </si>
  <si>
    <t>US81369Y6059</t>
  </si>
  <si>
    <t>XLI US Equity</t>
  </si>
  <si>
    <t>US81369Y7040</t>
  </si>
  <si>
    <t>ITB US Equity</t>
  </si>
  <si>
    <t>US4642887529</t>
  </si>
  <si>
    <t>SOXX US Equity</t>
  </si>
  <si>
    <t>US4642875235</t>
  </si>
  <si>
    <t>NASDAQ</t>
  </si>
  <si>
    <t>XBI US Equity</t>
  </si>
  <si>
    <t>US78464A8707</t>
  </si>
  <si>
    <t>IBUY US Equity</t>
  </si>
  <si>
    <t>US0321081020</t>
  </si>
  <si>
    <t>FIVG US Equity</t>
  </si>
  <si>
    <t>US26922A2895</t>
  </si>
  <si>
    <t>IHF US Equity</t>
  </si>
  <si>
    <t>US4642888287</t>
  </si>
  <si>
    <t>INDY US  Equity</t>
  </si>
  <si>
    <t>US4642895290</t>
  </si>
  <si>
    <t>TAN US Equity</t>
  </si>
  <si>
    <t>US46138G7060</t>
  </si>
  <si>
    <t>SXAPEX GY Equity</t>
  </si>
  <si>
    <t>DE000A0Q4R28</t>
  </si>
  <si>
    <t>DAX</t>
  </si>
  <si>
    <t>BRE FP Equity</t>
  </si>
  <si>
    <t>LU1834983550</t>
  </si>
  <si>
    <t>OIL FP Equity</t>
  </si>
  <si>
    <t>LU1834988278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</si>
  <si>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</si>
  <si>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</si>
  <si>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</si>
  <si>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</si>
  <si>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</si>
  <si>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</si>
  <si>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</si>
  <si>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קרן כספית בחול דולר</t>
  </si>
  <si>
    <t>X9X9USD00D48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</si>
  <si>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</si>
  <si>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</si>
  <si>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</si>
  <si>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</si>
  <si>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</si>
  <si>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</si>
  <si>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SX5E 04/17/20 C3775</t>
  </si>
  <si>
    <t>DE000C4JW393</t>
  </si>
  <si>
    <t>סה"כ מטבע</t>
  </si>
  <si>
    <t>סה"כ סחורות</t>
  </si>
  <si>
    <t>UKDZ0 Index</t>
  </si>
  <si>
    <t>GB00H1S59T92</t>
  </si>
  <si>
    <t>VGM0 Index</t>
  </si>
  <si>
    <t>DE000C2EZL67</t>
  </si>
  <si>
    <t>ESM0 Index</t>
  </si>
  <si>
    <t>70156914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</si>
  <si>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</si>
  <si>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</si>
  <si>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</si>
  <si>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</si>
  <si>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</si>
  <si>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</si>
  <si>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</si>
  <si>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</si>
  <si>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</si>
  <si>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</si>
  <si>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</si>
  <si>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</si>
  <si>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</si>
  <si>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</si>
  <si>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</si>
  <si>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</si>
  <si>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</si>
  <si>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</si>
  <si>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</si>
  <si>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</si>
  <si>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</si>
  <si>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</si>
  <si>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</si>
  <si>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</si>
  <si>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</si>
  <si>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</si>
  <si>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</si>
  <si>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</si>
  <si>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</si>
  <si>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</si>
  <si>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</si>
  <si>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</si>
  <si>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OPT Call USDILS 3.5 06/07/2020</t>
  </si>
  <si>
    <t>445113912</t>
  </si>
  <si>
    <t>08/01/2020</t>
  </si>
  <si>
    <t>OPT Put USDILS 3.4 06/07/2020</t>
  </si>
  <si>
    <t>445114360</t>
  </si>
  <si>
    <t>445114900</t>
  </si>
  <si>
    <t>09/01/2020</t>
  </si>
  <si>
    <t>445115120</t>
  </si>
  <si>
    <t>OPT Put USDILS 3.4 13/07/2020</t>
  </si>
  <si>
    <t>445117260</t>
  </si>
  <si>
    <t>14/01/2020</t>
  </si>
  <si>
    <t>OPT Call USDILS 3.5 13/07/2020</t>
  </si>
  <si>
    <t>445117364</t>
  </si>
  <si>
    <t>OPT Put USDILS 3.4 20/07/2020</t>
  </si>
  <si>
    <t>445118972</t>
  </si>
  <si>
    <t>20/01/2020</t>
  </si>
  <si>
    <t>OPT Call USDILS 3.5 20/07/2020</t>
  </si>
  <si>
    <t>445119026</t>
  </si>
  <si>
    <t>445119604</t>
  </si>
  <si>
    <t>22/01/2020</t>
  </si>
  <si>
    <t>OPT Put USDILS 3.3 20/07/2020</t>
  </si>
  <si>
    <t>445119718</t>
  </si>
  <si>
    <t>OPT Call USDILS 3.5 27/07/2020</t>
  </si>
  <si>
    <t>445120758</t>
  </si>
  <si>
    <t>27/01/2020</t>
  </si>
  <si>
    <t>OPT Put USDILS 3.4 27/07/2020</t>
  </si>
  <si>
    <t>445120904</t>
  </si>
  <si>
    <t>OPT Call USDILS 3.5 01/09/2020</t>
  </si>
  <si>
    <t>445125874</t>
  </si>
  <si>
    <t>04/03/2020</t>
  </si>
  <si>
    <t>OPT Put USDILS 3.4 01/09/2020</t>
  </si>
  <si>
    <t>445126098</t>
  </si>
  <si>
    <t>סה"כ מט"ח/ מט"ח</t>
  </si>
  <si>
    <t>סה"כ אופציות בחו"ל:</t>
  </si>
  <si>
    <t>סה"כ חוזים עתידיים בישראל</t>
  </si>
  <si>
    <t>סה"כ  אחר</t>
  </si>
  <si>
    <t>FW GBPUSD 01/04/2020 - USD</t>
  </si>
  <si>
    <t>445109270</t>
  </si>
  <si>
    <t>05/12/2019</t>
  </si>
  <si>
    <t>FW GBPUSD 01/04/2020 - GBP</t>
  </si>
  <si>
    <t>445109271</t>
  </si>
  <si>
    <t>FW USDJPY 03/06/2020 - JPY</t>
  </si>
  <si>
    <t>445110528</t>
  </si>
  <si>
    <t>16/12/2019</t>
  </si>
  <si>
    <t>FW USDJPY 03/06/2020 - USD</t>
  </si>
  <si>
    <t>445110529</t>
  </si>
  <si>
    <t>445112154</t>
  </si>
  <si>
    <t>24/12/2019</t>
  </si>
  <si>
    <t>445112155</t>
  </si>
  <si>
    <t>445113058</t>
  </si>
  <si>
    <t>02/01/2020</t>
  </si>
  <si>
    <t>445113059</t>
  </si>
  <si>
    <t>FW EURUSD 15/07/2020 - USD</t>
  </si>
  <si>
    <t>445117752</t>
  </si>
  <si>
    <t>16/01/2020</t>
  </si>
  <si>
    <t>FW EURUSD 15/07/2020 - EUR</t>
  </si>
  <si>
    <t>445117753</t>
  </si>
  <si>
    <t>445123720</t>
  </si>
  <si>
    <t>26/02/2020</t>
  </si>
  <si>
    <t>445123721</t>
  </si>
  <si>
    <t>445127450</t>
  </si>
  <si>
    <t>11/03/2020</t>
  </si>
  <si>
    <t>445127451</t>
  </si>
  <si>
    <t>445132610</t>
  </si>
  <si>
    <t>26/03/2020</t>
  </si>
  <si>
    <t>445132611</t>
  </si>
  <si>
    <t>445132678</t>
  </si>
  <si>
    <t>445132679</t>
  </si>
  <si>
    <t>FW USDILS 13/05/2020 - ILS</t>
  </si>
  <si>
    <t>445104806</t>
  </si>
  <si>
    <t>28/10/2019</t>
  </si>
  <si>
    <t>FW USDILS 13/05/2020 - USD</t>
  </si>
  <si>
    <t>445104807</t>
  </si>
  <si>
    <t>FW USDILS 05/05/2020 - ILS</t>
  </si>
  <si>
    <t>445108582</t>
  </si>
  <si>
    <t>02/12/2019</t>
  </si>
  <si>
    <t>FW USDILS 05/05/2020 - USD</t>
  </si>
  <si>
    <t>445108583</t>
  </si>
  <si>
    <t>FW USDILS 19/05/2020 - ILS</t>
  </si>
  <si>
    <t>445110848</t>
  </si>
  <si>
    <t>17/12/2019</t>
  </si>
  <si>
    <t>FW USDILS 19/05/2020 - USD</t>
  </si>
  <si>
    <t>445110849</t>
  </si>
  <si>
    <t>FW USDILS 08/07/2020 - ILS</t>
  </si>
  <si>
    <t>445114024</t>
  </si>
  <si>
    <t>FW USDILS 08/07/2020 - USD</t>
  </si>
  <si>
    <t>445114025</t>
  </si>
  <si>
    <t>445115236</t>
  </si>
  <si>
    <t>445115237</t>
  </si>
  <si>
    <t>FW USDILS 15/07/2020 - ILS</t>
  </si>
  <si>
    <t>445117538</t>
  </si>
  <si>
    <t>FW USDILS 15/07/2020 - USD</t>
  </si>
  <si>
    <t>445117539</t>
  </si>
  <si>
    <t>FW USDILS 22/07/2020 - ILS</t>
  </si>
  <si>
    <t>445118780</t>
  </si>
  <si>
    <t>FW USDILS 22/07/2020 - USD</t>
  </si>
  <si>
    <t>445118781</t>
  </si>
  <si>
    <t>FW USDILS 26/05/2020 - ILS</t>
  </si>
  <si>
    <t>445120312</t>
  </si>
  <si>
    <t>FW USDILS 26/05/2020 - USD</t>
  </si>
  <si>
    <t>445120313</t>
  </si>
  <si>
    <t>FW USDILS 10/06/2020 - ILS</t>
  </si>
  <si>
    <t>445124262</t>
  </si>
  <si>
    <t>27/02/2020</t>
  </si>
  <si>
    <t>FW USDILS 10/06/2020 - USD</t>
  </si>
  <si>
    <t>445124263</t>
  </si>
  <si>
    <t>445129216</t>
  </si>
  <si>
    <t>16/03/2020</t>
  </si>
  <si>
    <t>445129217</t>
  </si>
  <si>
    <t>FW USDILS 24/06/2020 - ILS</t>
  </si>
  <si>
    <t>445130842</t>
  </si>
  <si>
    <t>18/03/2020</t>
  </si>
  <si>
    <t>FW USDILS 24/06/2020 - USD</t>
  </si>
  <si>
    <t>445130843</t>
  </si>
  <si>
    <t>סה"כ חוזים עתידיים בחו"ל</t>
  </si>
  <si>
    <t>445105304</t>
  </si>
  <si>
    <t>04/11/2019</t>
  </si>
  <si>
    <t>445105305</t>
  </si>
  <si>
    <t>445107746</t>
  </si>
  <si>
    <t>25/11/2019</t>
  </si>
  <si>
    <t>445107747</t>
  </si>
  <si>
    <t>445108852</t>
  </si>
  <si>
    <t>445108853</t>
  </si>
  <si>
    <t>445109836</t>
  </si>
  <si>
    <t>13/12/2019</t>
  </si>
  <si>
    <t>445109837</t>
  </si>
  <si>
    <t>445111014</t>
  </si>
  <si>
    <t>445111015</t>
  </si>
  <si>
    <t>445111144</t>
  </si>
  <si>
    <t>18/12/2019</t>
  </si>
  <si>
    <t>445111145</t>
  </si>
  <si>
    <t>445113122</t>
  </si>
  <si>
    <t>445113123</t>
  </si>
  <si>
    <t>445113858</t>
  </si>
  <si>
    <t>07/01/2020</t>
  </si>
  <si>
    <t>445113859</t>
  </si>
  <si>
    <t>445116296</t>
  </si>
  <si>
    <t>13/01/2020</t>
  </si>
  <si>
    <t>445116297</t>
  </si>
  <si>
    <t>445119382</t>
  </si>
  <si>
    <t>445119383</t>
  </si>
  <si>
    <t>445122398</t>
  </si>
  <si>
    <t>12/02/2020</t>
  </si>
  <si>
    <t>445122399</t>
  </si>
  <si>
    <t>445122868</t>
  </si>
  <si>
    <t>17/02/2020</t>
  </si>
  <si>
    <t>445122869</t>
  </si>
  <si>
    <t>445123080</t>
  </si>
  <si>
    <t>18/02/2020</t>
  </si>
  <si>
    <t>445123081</t>
  </si>
  <si>
    <t>445126324</t>
  </si>
  <si>
    <t>445126325</t>
  </si>
  <si>
    <t>445126740</t>
  </si>
  <si>
    <t>06/03/2020</t>
  </si>
  <si>
    <t>445126741</t>
  </si>
  <si>
    <t>445126850</t>
  </si>
  <si>
    <t>445126851</t>
  </si>
  <si>
    <t>445132800</t>
  </si>
  <si>
    <t>30/03/2020</t>
  </si>
  <si>
    <t>445132801</t>
  </si>
  <si>
    <t>FW GBPUSD 02/09/2020 - GBP</t>
  </si>
  <si>
    <t>445132802</t>
  </si>
  <si>
    <t>FW GBPUSD 02/09/2020 - USD</t>
  </si>
  <si>
    <t>445132803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</si>
  <si>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</si>
  <si>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</si>
  <si>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</si>
  <si>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</si>
  <si>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</si>
  <si>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</si>
  <si>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</si>
  <si>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</si>
  <si>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</si>
  <si>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</si>
  <si>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</si>
  <si>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</si>
  <si>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</si>
  <si>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</si>
  <si>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</si>
  <si>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</si>
  <si>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</si>
  <si>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</si>
  <si>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</si>
  <si>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</si>
  <si>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</si>
  <si>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</si>
  <si>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</si>
  <si>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</si>
  <si>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</si>
  <si>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שקל  לאומי בנק לאומי לישראל בע"מ</t>
  </si>
  <si>
    <t>דולר  הפועלים בנק הפועלים בע"מ</t>
  </si>
  <si>
    <t>אירו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</si>
  <si>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</si>
  <si>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</si>
  <si>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</si>
  <si>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*בעל עניין/צד קשור</t>
  </si>
  <si>
    <t>סה"כ יתרות התחייבות להשקעה</t>
  </si>
  <si>
    <t>יין יפני  לאומי בנק לאומי לישראל בע"מ</t>
  </si>
  <si>
    <t>הלוואות חסכון עמיתים/מבוטחים</t>
  </si>
  <si>
    <t>עמית א</t>
  </si>
  <si>
    <t>עמית ב</t>
  </si>
  <si>
    <t>עמית ג</t>
  </si>
  <si>
    <t>עמית ד</t>
  </si>
  <si>
    <t>עמית ה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</si>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</sst>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5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69"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A1D90-D749-4272-B939-59D4B8DC7887}" name="טבלה1" displayName="טבלה1" ref="A6:C42" totalsRowShown="0" headerRowBorderDxfId="567" tableBorderDxfId="568">
  <autoFilter ref="A6:C42" xr:uid="{AC9AF72F-4658-41CE-B9BE-2698E791AEAB}">
    <filterColumn colId="0" hiddenButton="1"/>
    <filterColumn colId="1" hiddenButton="1"/>
    <filterColumn colId="2" hiddenButton="1"/>
  </autoFilter>
  <tableColumns count="3">
    <tableColumn id="1" xr3:uid="{111E39F8-5240-4BA0-A184-04C06E6FFF18}" name="עמודה ריקה" dataDxfId="566" dataCellStyle="היפר-קישור"/>
    <tableColumn id="2" xr3:uid="{4BC6E987-C6F5-4D76-BF18-69CFDB4D50C8}" name="שווי הוגן" dataDxfId="565" dataCellStyle="Comma"/>
    <tableColumn id="3" xr3:uid="{37AC6925-8853-42F7-8BFB-9CDAE09B501C}" name="שיעור מנכסי השקעה" dataDxfId="564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58E17-5AF9-48A3-9039-A52998C77B48}" name="טבלה2" displayName="טבלה2" ref="B44:C68" totalsRowShown="0" headerRowDxfId="558" headerRowBorderDxfId="562" tableBorderDxfId="563" totalsRowBorderDxfId="561">
  <autoFilter ref="B44:C68" xr:uid="{15A5F723-AFDD-4BE8-84AB-9D954FF7BF4D}">
    <filterColumn colId="0" hiddenButton="1"/>
    <filterColumn colId="1" hiddenButton="1"/>
  </autoFilter>
  <tableColumns count="2">
    <tableColumn id="1" xr3:uid="{CC6AF5AE-1B11-45CB-BE99-836E3E4EF5AE}" name="שם המטבע" dataDxfId="560"/>
    <tableColumn id="2" xr3:uid="{3AC41D24-4834-45C0-972A-3CE765468D82}" name="שע&quot;ח" dataDxfId="5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C82DFB-E26B-451A-AD1F-78CD3C71ACA3}" name="טבלה3" displayName="טבלה3" ref="A6:K34" totalsRowShown="0" headerRowDxfId="544" headerRowBorderDxfId="556" tableBorderDxfId="557" headerRowCellStyle="Percent">
  <autoFilter ref="A6:K34" xr:uid="{13C42A1B-EA5A-407A-9B97-86A07277B4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E51624F-3DA8-46B0-9DD9-3264072C4DE4}" name="שם המנפיק/שם נייר ערך" dataDxfId="555"/>
    <tableColumn id="2" xr3:uid="{D1252E59-C67C-42C8-B498-54A242635E93}" name="מספר נ&quot;ע" dataDxfId="554" dataCellStyle="Percent"/>
    <tableColumn id="3" xr3:uid="{568A06D4-02D6-4C4C-BF62-8545B918692C}" name="מספר מנפיק" dataDxfId="553" dataCellStyle="Percent"/>
    <tableColumn id="4" xr3:uid="{9411B0B9-1639-414F-AE65-C46F9977B648}" name="דירוג" dataDxfId="552" dataCellStyle="Percent"/>
    <tableColumn id="5" xr3:uid="{60DED13C-4180-4D75-A3A1-13CD7D575941}" name="שם מדרג" dataDxfId="551" dataCellStyle="Percent"/>
    <tableColumn id="6" xr3:uid="{E9C5FED8-6011-4FD7-B4B4-57FB48C81D45}" name="סוג מטבע" dataDxfId="550" dataCellStyle="Percent"/>
    <tableColumn id="7" xr3:uid="{97513748-A6C7-4F0E-A844-326517284FA7}" name="שעור ריבית" dataDxfId="549" dataCellStyle="Percent"/>
    <tableColumn id="8" xr3:uid="{B3CDA428-3875-422A-9335-CAFBBB689E3E}" name="תשואה לפדיון" dataDxfId="548" dataCellStyle="Percent"/>
    <tableColumn id="9" xr3:uid="{935DADBC-66BB-49C8-9F17-B0282C95F48A}" name="שווי שוק" dataDxfId="547" dataCellStyle="Comma"/>
    <tableColumn id="10" xr3:uid="{34480159-133A-4B4C-AB81-F3B5CC744072}" name="שעור מנכסי אפיק ההשקעה" dataDxfId="546" dataCellStyle="Percent"/>
    <tableColumn id="11" xr3:uid="{29EAEE7C-B2C2-454D-9684-EDDD457CCD62}" name="שעור מנכסי השקעה" dataDxfId="545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77D41F-235D-4C99-A1B3-82B1EA02E35D}" name="טבלה4" displayName="טבלה4" ref="A7:Q52" totalsRowShown="0" headerRowDxfId="524" headerRowBorderDxfId="542" tableBorderDxfId="543" headerRowCellStyle="Percent">
  <autoFilter ref="A7:Q52" xr:uid="{9B9BE760-1C1C-428B-BC20-1C33D7B3B1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A4FF63BB-251D-427C-8A3D-F27EDEA4DED3}" name="שם המנפיק/שם נייר ערך" dataDxfId="541"/>
    <tableColumn id="2" xr3:uid="{C29897DC-CA60-4205-A5F7-3A9E1D5787E3}" name="מספר נ&quot;ע" dataDxfId="540" dataCellStyle="Percent"/>
    <tableColumn id="3" xr3:uid="{B26A55C5-B300-4019-8E3E-D985674B5CD2}" name="זירת מסחר" dataDxfId="539" dataCellStyle="Percent"/>
    <tableColumn id="4" xr3:uid="{260C3A70-8AB6-4F8A-B995-20252CB51B9C}" name="דירוג" dataDxfId="538" dataCellStyle="Percent"/>
    <tableColumn id="5" xr3:uid="{D3418933-065D-410A-85BF-013AD274E56F}" name="שם מדרג" dataDxfId="537" dataCellStyle="Percent"/>
    <tableColumn id="6" xr3:uid="{0A21D011-15BB-4279-90D3-5111B3C3CD56}" name="תאריך רכישה" dataDxfId="536" dataCellStyle="Percent"/>
    <tableColumn id="7" xr3:uid="{160365AE-ADDD-47B1-AB73-6D8F541E7B29}" name="מח&quot;מ" dataDxfId="535" dataCellStyle="Percent"/>
    <tableColumn id="8" xr3:uid="{6290BCCB-AD78-43D5-A489-08E2CB23695A}" name="סוג מטבע" dataDxfId="534" dataCellStyle="Percent"/>
    <tableColumn id="9" xr3:uid="{11268889-8607-404B-9DE6-D14AA3D825BE}" name="שעור ריבית" dataDxfId="533" dataCellStyle="Percent"/>
    <tableColumn id="10" xr3:uid="{72EA92A4-E36D-441F-AFAE-91617B7B132A}" name="תשואה לפדיון" dataDxfId="532" dataCellStyle="Percent"/>
    <tableColumn id="11" xr3:uid="{19F11E68-64A1-49F7-ABB5-25FB53520F5E}" name="ערך נקוב" dataDxfId="531" dataCellStyle="Percent"/>
    <tableColumn id="12" xr3:uid="{5AC95226-5410-4F03-9131-5CED6BACD023}" name="שער" dataDxfId="530" dataCellStyle="Percent"/>
    <tableColumn id="13" xr3:uid="{D6E09E3D-4C14-4CC9-AB90-3C450B4CFBD9}" name="פדיון/ריבית לקבל" dataDxfId="529" dataCellStyle="Percent"/>
    <tableColumn id="14" xr3:uid="{B9E9FF52-FB5C-49D8-B572-78E7EEEF1168}" name="שווי שוק" dataDxfId="528" dataCellStyle="Comma"/>
    <tableColumn id="15" xr3:uid="{215D410B-53D9-47B9-AFB5-399A6D4A6BF2}" name="שעור מערך נקוב מונפק" dataDxfId="527" dataCellStyle="Percent"/>
    <tableColumn id="16" xr3:uid="{405367E8-8234-44BE-A1C3-49D28FC1567E}" name="שעור מנכסי אפיק ההשקעה" dataDxfId="526" dataCellStyle="Percent"/>
    <tableColumn id="17" xr3:uid="{60644D3A-59EF-4755-BB15-4E42F626CD90}" name="שעור מנכסי השקעה" dataDxfId="525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167A5-7557-40A2-B8B0-07C08F0DE734}" name="טבלה5" displayName="טבלה5" ref="A7:T17" totalsRowShown="0" headerRowDxfId="501" headerRowBorderDxfId="522" tableBorderDxfId="523" headerRowCellStyle="Percent">
  <autoFilter ref="A7:T17" xr:uid="{4DDA0E97-C267-4A5D-B78B-0AA95716C3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96068F2-E26B-45DE-8FB2-A19A00B5E7A3}" name="שם המנפיק/שם נייר ערך" dataDxfId="521"/>
    <tableColumn id="2" xr3:uid="{D31022E4-139F-463F-A2B6-C998B9B6EA11}" name="מספר נ&quot;ע" dataDxfId="520" dataCellStyle="Percent"/>
    <tableColumn id="3" xr3:uid="{E92FA197-3A4D-4EC7-9DEB-1BA4B7A170D1}" name="זירת מסחר" dataDxfId="519" dataCellStyle="Percent"/>
    <tableColumn id="4" xr3:uid="{E751C3F7-982D-4993-AE37-F8E6B572FBE0}" name="ספק מידע" dataDxfId="518" dataCellStyle="Percent"/>
    <tableColumn id="5" xr3:uid="{23D4162D-3CFD-4D1A-8F0C-AA7F684ACDF6}" name="מספר מנפיק" dataDxfId="517" dataCellStyle="Percent"/>
    <tableColumn id="6" xr3:uid="{E0706176-7861-477B-86EA-4C74857871C9}" name="ענף מסחר" dataDxfId="516" dataCellStyle="Percent"/>
    <tableColumn id="7" xr3:uid="{D743CB12-A361-48D0-93E8-8BE984701B00}" name="דירוג" dataDxfId="515" dataCellStyle="Percent"/>
    <tableColumn id="8" xr3:uid="{2CC9516B-8BD4-46BB-AFD6-8C54207905A0}" name="שם מדרג" dataDxfId="514" dataCellStyle="Percent"/>
    <tableColumn id="9" xr3:uid="{EAFBFB47-9140-4B26-A1B0-C2D8BE3D72AB}" name="תאריך רכישה" dataDxfId="513" dataCellStyle="Percent"/>
    <tableColumn id="10" xr3:uid="{17AB0F10-6983-4A4B-84A8-54754D4537A2}" name="מח&quot;מ" dataDxfId="512" dataCellStyle="Percent"/>
    <tableColumn id="11" xr3:uid="{3953BA09-006C-4937-82C3-D0E786B7FF40}" name="סוג מטבע" dataDxfId="511" dataCellStyle="Percent"/>
    <tableColumn id="12" xr3:uid="{D364C999-87C0-449A-A3D6-8ED843AD42F5}" name="שעור ריבית" dataDxfId="510" dataCellStyle="Percent"/>
    <tableColumn id="13" xr3:uid="{01BF0868-E486-4D62-945A-B503084D0F31}" name="תשואה לפדיון" dataDxfId="509" dataCellStyle="Percent"/>
    <tableColumn id="14" xr3:uid="{B5C81A70-FD98-4D79-AFAA-5D91C78B996D}" name="ערך נקוב" dataDxfId="508" dataCellStyle="Percent"/>
    <tableColumn id="15" xr3:uid="{146EA5A0-CCF0-4F72-A122-828186DCC3E0}" name="שער" dataDxfId="507" dataCellStyle="Percent"/>
    <tableColumn id="16" xr3:uid="{65F8D6FB-6A97-475C-976E-EFD02A034216}" name="פדיון/ריבית לקבל" dataDxfId="506" dataCellStyle="Percent"/>
    <tableColumn id="17" xr3:uid="{E56A9D5D-11AF-4784-817E-25C3F4E8F8A8}" name="שווי שוק" dataDxfId="505" dataCellStyle="Comma"/>
    <tableColumn id="18" xr3:uid="{3F180DDA-785C-4442-99CF-E51F7022C779}" name="שעור מערך נקוב מונפק" dataDxfId="504" dataCellStyle="Percent"/>
    <tableColumn id="19" xr3:uid="{9082416C-395C-44F6-B363-0CE4421EB473}" name="שעור מנכסי אפיק ההשקעה" dataDxfId="503" dataCellStyle="Percent"/>
    <tableColumn id="20" xr3:uid="{C6A3801D-E922-4E13-A858-FCF82C958985}" name="שעור מנכסי השקעה" dataDxfId="502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E0595A-5CFB-4164-AFD1-0C764AA418FE}" name="טבלה6" displayName="טבלה6" ref="A7:T30" totalsRowShown="0" headerRowDxfId="477" dataDxfId="478" headerRowBorderDxfId="499" tableBorderDxfId="500" headerRowCellStyle="Percent" dataCellStyle="Percent">
  <autoFilter ref="A7:T30" xr:uid="{8ED8B7C8-1522-4179-AF5B-B06DE1AB41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45A9A9A-A8A6-4FA4-9CC9-9364B2874F7B}" name="שם המנפיק/שם נייר ערך" dataDxfId="498"/>
    <tableColumn id="2" xr3:uid="{A319C077-2553-4B53-9831-EF8B4782A34E}" name="מספר נ&quot;ע" dataDxfId="497" dataCellStyle="Percent"/>
    <tableColumn id="3" xr3:uid="{A3D8F2E2-013B-4B89-8E2C-3C4EBFF12505}" name="זירת מסחר" dataDxfId="496" dataCellStyle="Percent"/>
    <tableColumn id="4" xr3:uid="{CC4F4BC7-7FD1-49C7-B83E-FAF943012A09}" name="ספק מידע" dataDxfId="495" dataCellStyle="Percent"/>
    <tableColumn id="5" xr3:uid="{65D66A48-DCF4-474E-84CA-A4FAEA1DB061}" name="מספר מנפיק" dataDxfId="494" dataCellStyle="Percent"/>
    <tableColumn id="6" xr3:uid="{83B66882-A90C-4CFF-A3EE-0D8F842A37EE}" name="ענף מסחר" dataDxfId="493" dataCellStyle="Percent"/>
    <tableColumn id="7" xr3:uid="{A173F3D3-59F0-48AF-BA53-9CE43024D6CD}" name="דירוג" dataDxfId="492" dataCellStyle="Percent"/>
    <tableColumn id="8" xr3:uid="{8715BE50-70AA-4CDC-A403-D4438ED58B9A}" name="שם מדרג" dataDxfId="491" dataCellStyle="Percent"/>
    <tableColumn id="9" xr3:uid="{CE7B34E3-D53C-4F85-9A43-E4B3F449DDDB}" name="תאריך רכישה" dataDxfId="490" dataCellStyle="Percent"/>
    <tableColumn id="10" xr3:uid="{37237C33-6DE4-4D4D-8A2C-717FAB055817}" name="מח&quot;מ" dataDxfId="489" dataCellStyle="Percent"/>
    <tableColumn id="11" xr3:uid="{7706040D-11FD-4E62-B0A9-FA6043A61528}" name="סוג מטבע" dataDxfId="488" dataCellStyle="Percent"/>
    <tableColumn id="12" xr3:uid="{8D856570-EFA7-479E-B0AD-95AA5C981155}" name="שעור ריבית" dataDxfId="487" dataCellStyle="Percent"/>
    <tableColumn id="13" xr3:uid="{481CA15B-43EC-4820-A9AD-2FF98E796185}" name="תשואה לפדיון" dataDxfId="486" dataCellStyle="Percent"/>
    <tableColumn id="14" xr3:uid="{E2B4B9B5-CC16-4D9B-BA7D-E4F2F85CB117}" name="ערך נקוב" dataDxfId="485" dataCellStyle="Percent"/>
    <tableColumn id="15" xr3:uid="{0CA659C6-C2EF-419C-BC4A-54D07176EEE3}" name="שער" dataDxfId="484" dataCellStyle="Percent"/>
    <tableColumn id="16" xr3:uid="{8F40831B-A9B2-4FD0-A1F4-1E741B25B143}" name="פדיון/ריבית לקבל" dataDxfId="483" dataCellStyle="Comma"/>
    <tableColumn id="17" xr3:uid="{07234C40-5DF1-4EBA-B509-1CB25C2C9B72}" name="שווי שוק" dataDxfId="482" dataCellStyle="Comma"/>
    <tableColumn id="18" xr3:uid="{947C0D87-9669-4A4C-860C-A962D40428A9}" name="שעור מערך נקוב מונפק" dataDxfId="481" dataCellStyle="Percent"/>
    <tableColumn id="19" xr3:uid="{A5349C34-3463-43EF-BF96-42A3736660D2}" name="שעור מנכסי אפיק ההשקעה" dataDxfId="480" dataCellStyle="Percent"/>
    <tableColumn id="20" xr3:uid="{CC41F5DB-529A-46C0-8633-4C6966DE7D47}" name="שעור מנכסי השקעה" dataDxfId="479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CFA063-03E3-469F-BF1C-BB363512B65C}" name="טבלה7" displayName="טבלה7" ref="A7:N20" totalsRowShown="0" headerRowDxfId="459" dataDxfId="460" headerRowBorderDxfId="475" tableBorderDxfId="476" headerRowCellStyle="Percent" dataCellStyle="Percent">
  <autoFilter ref="A7:N20" xr:uid="{CBAADEBD-01E5-4699-979F-D3D71AE2C4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87A1D1D-AF32-4042-8787-1551D8C4E9ED}" name="שם המנפיק/שם נייר ערך" dataDxfId="474"/>
    <tableColumn id="2" xr3:uid="{0DA0F993-491C-4D00-9D62-FDDE7E4F10C7}" name="מספר נ&quot;ע" dataDxfId="473" dataCellStyle="Percent"/>
    <tableColumn id="3" xr3:uid="{C84678B3-8E03-4700-918E-F6A1A653F719}" name="זירת מסחר" dataDxfId="472" dataCellStyle="Percent"/>
    <tableColumn id="4" xr3:uid="{60BB2FF4-3239-4D70-A921-19F84774538F}" name="ספק מידע" dataDxfId="471" dataCellStyle="Percent"/>
    <tableColumn id="5" xr3:uid="{FF93CE3D-450B-4A30-993A-58AE6CFCEF05}" name="מספר מנפיק" dataDxfId="470" dataCellStyle="Percent"/>
    <tableColumn id="6" xr3:uid="{E05658FA-1EED-4441-8CC3-628271DC41BF}" name="ענף מסחר" dataDxfId="469" dataCellStyle="Percent"/>
    <tableColumn id="7" xr3:uid="{95362EC6-610B-45EF-8230-824A72B41D84}" name="סוג מטבע" dataDxfId="468" dataCellStyle="Percent"/>
    <tableColumn id="8" xr3:uid="{D10E6E1A-1AD9-4FD6-9661-0FA5470BE2DF}" name="ערך נקוב" dataDxfId="467" dataCellStyle="Percent"/>
    <tableColumn id="9" xr3:uid="{B9D7042A-CCFD-4623-AA48-23F49B801A20}" name="שער" dataDxfId="466" dataCellStyle="Percent"/>
    <tableColumn id="10" xr3:uid="{D7C9A4E4-DF1D-436A-B419-3662D337B9F8}" name="פדיון/ריבית לקבל" dataDxfId="465" dataCellStyle="Percent"/>
    <tableColumn id="11" xr3:uid="{FED03723-EAE1-4D06-98AA-288AA17A5C99}" name="שווי שוק" dataDxfId="464" dataCellStyle="Comma"/>
    <tableColumn id="12" xr3:uid="{4E376D0A-7DAD-477E-BA6D-6A40BBB256A6}" name="שעור מערך נקוב מונפק" dataDxfId="463" dataCellStyle="Percent"/>
    <tableColumn id="13" xr3:uid="{0A044D03-181A-4F24-8E81-135BB9F7F168}" name="שעור מנכסי אפיק ההשקעה" dataDxfId="462" dataCellStyle="Percent"/>
    <tableColumn id="14" xr3:uid="{F712B754-8E95-423C-AAE7-7B685E95A27B}" name="שעור מנכסי השקעה" dataDxfId="46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7366FF-2AA9-4AC7-AAB1-DF665C033062}" name="טבלה8" displayName="טבלה8" ref="A7:M88" totalsRowShown="0" headerRowDxfId="443" headerRowBorderDxfId="457" tableBorderDxfId="458" headerRowCellStyle="Percent">
  <autoFilter ref="A7:M88" xr:uid="{B7E95D65-EF87-43F6-AD46-AAAA337152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77D94DA-9B31-4060-86F1-667E4366EBF8}" name="שם המנפיק/שם נייר ערך" dataDxfId="456"/>
    <tableColumn id="2" xr3:uid="{572813CA-4CF1-4DDA-88E0-5B553FB2103D}" name="מספר נ&quot;ע" dataDxfId="455" dataCellStyle="Percent"/>
    <tableColumn id="3" xr3:uid="{4AA44395-F880-4B83-AD6E-1EF91E291C8C}" name="זירת מסחר" dataDxfId="454" dataCellStyle="Percent"/>
    <tableColumn id="4" xr3:uid="{7D53048F-F959-4CB4-8C80-769F0CC3F036}" name="מספר מנפיק" dataDxfId="453" dataCellStyle="Percent"/>
    <tableColumn id="5" xr3:uid="{39EFA975-4665-40BB-946C-B6F533BE4C19}" name="ענף מסחר" dataDxfId="452" dataCellStyle="Percent"/>
    <tableColumn id="6" xr3:uid="{B88846A3-0016-42E5-8C4C-758F8B3AA00A}" name="סוג מטבע" dataDxfId="451" dataCellStyle="Percent"/>
    <tableColumn id="7" xr3:uid="{F4BD040B-A639-40AF-AA87-76CE608ED0A1}" name="ערך נקוב" dataDxfId="450" dataCellStyle="Percent"/>
    <tableColumn id="8" xr3:uid="{6DD66307-18E9-4803-B8D3-13A082EEA677}" name="שער" dataDxfId="449" dataCellStyle="Percent"/>
    <tableColumn id="9" xr3:uid="{27825380-2DB5-48FC-B172-8FDC8398419F}" name="פדיון/ריבית לקבל" dataDxfId="448" dataCellStyle="Comma"/>
    <tableColumn id="10" xr3:uid="{DC3DB862-9299-4D67-ACEB-180321D32317}" name="שווי שוק" dataDxfId="447" dataCellStyle="Comma"/>
    <tableColumn id="11" xr3:uid="{FE66D6CB-8336-4F89-B8A9-95A6953C9019}" name="שעור מערך נקוב מונפק" dataDxfId="446" dataCellStyle="Percent"/>
    <tableColumn id="12" xr3:uid="{8350B360-3145-4188-BC04-0C852A318BD2}" name="שעור מנכסי אפיק ההשקעה" dataDxfId="445" dataCellStyle="Percent"/>
    <tableColumn id="13" xr3:uid="{786485D7-E4DC-4E7E-8C37-BAAF9C250BBF}" name="שעור מנכסי השקעה" dataDxfId="44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86F3F8-E3F0-4D91-A162-2331C5421146}" name="טבלה9" displayName="טבלה9" ref="A7:N21" totalsRowShown="0" headerRowDxfId="425" dataDxfId="426" headerRowBorderDxfId="441" tableBorderDxfId="442" headerRowCellStyle="Percent" dataCellStyle="Percent">
  <autoFilter ref="A7:N21" xr:uid="{A3F61327-ED16-4514-BA0A-38ED24F2D0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6AFDF95-4734-4828-9006-1290DBD84D4D}" name="שם המנפיק/שם נייר ערך" dataDxfId="440"/>
    <tableColumn id="2" xr3:uid="{03E6E71E-5183-4541-AF8E-3B8511317C01}" name="מספר נ&quot;ע" dataDxfId="439" dataCellStyle="Percent"/>
    <tableColumn id="3" xr3:uid="{F6B1AFFE-9866-4F52-98E5-0FCFB6F0BE69}" name="זירת מסחר" dataDxfId="438" dataCellStyle="Percent"/>
    <tableColumn id="4" xr3:uid="{F94D264B-23F8-4F25-A6E9-87032C857479}" name="מספר מנפיק" dataDxfId="437" dataCellStyle="Percent"/>
    <tableColumn id="5" xr3:uid="{3AAFC70E-F5C5-44E3-A430-C6B3048F5A36}" name="ענף מסחר" dataDxfId="436" dataCellStyle="Percent"/>
    <tableColumn id="6" xr3:uid="{81454610-5AA0-406A-B70F-616C2553C98B}" name="דירוג" dataDxfId="435" dataCellStyle="Percent"/>
    <tableColumn id="7" xr3:uid="{3EB38026-C9AE-4C44-B4E7-F15F58CF66E4}" name="שם מדרג" dataDxfId="434" dataCellStyle="Percent"/>
    <tableColumn id="8" xr3:uid="{280D1F92-4008-4006-AEDC-441DC289BCBF}" name="סוג מטבע" dataDxfId="433" dataCellStyle="Percent"/>
    <tableColumn id="9" xr3:uid="{A95950D6-F9AE-4992-9A64-7B19E38E6576}" name="ערך נקוב" dataDxfId="432" dataCellStyle="Percent"/>
    <tableColumn id="10" xr3:uid="{EC66BA90-5F4F-45C0-8C96-3820CEF0E543}" name="שער" dataDxfId="431" dataCellStyle="Percent"/>
    <tableColumn id="11" xr3:uid="{D0CA8DA2-3C99-4831-9DF7-67EE335B2E0F}" name="שווי שוק" dataDxfId="430" dataCellStyle="Comma"/>
    <tableColumn id="12" xr3:uid="{EE73170A-BFCE-4476-8888-89EA0DC83127}" name="שעור מערך נקוב מונפק" dataDxfId="429" dataCellStyle="Percent"/>
    <tableColumn id="13" xr3:uid="{B5BD0E5E-735B-4B5F-8316-CF76ED1C7189}" name="שעור מנכסי אפיק ההשקעה" dataDxfId="428" dataCellStyle="Percent"/>
    <tableColumn id="14" xr3:uid="{6DB49B61-81AF-49B0-91F3-FAC26FDF3CCF}" name="שעור מנכסי השקעה" dataDxfId="427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BD11C1-F895-47F7-BF7A-C289A54694BD}" name="טבלה10" displayName="טבלה10" ref="A7:K14" totalsRowShown="0" headerRowDxfId="410" dataDxfId="411" headerRowBorderDxfId="423" tableBorderDxfId="424" headerRowCellStyle="Percent" dataCellStyle="Percent">
  <autoFilter ref="A7:K14" xr:uid="{75AA51F2-6BD6-4643-B528-D8D120956B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0ACA3EE-E0CA-4E6B-8D5D-785DC31D119C}" name="שם המנפיק/שם נייר ערך" dataDxfId="422"/>
    <tableColumn id="2" xr3:uid="{3B5CECE5-BA93-44D3-903A-DA0637674697}" name="מספר נ&quot;ע" dataDxfId="421" dataCellStyle="Percent"/>
    <tableColumn id="3" xr3:uid="{1B22DC97-55C8-4BA6-9C1B-6CEC44F323E9}" name="זירת מסחר" dataDxfId="420" dataCellStyle="Percent"/>
    <tableColumn id="4" xr3:uid="{03ECD275-033E-4752-97A8-9C30F5FCE6B9}" name="ענף מסחר" dataDxfId="419" dataCellStyle="Percent"/>
    <tableColumn id="5" xr3:uid="{DDA79032-35A3-4CE7-A2A7-138FDA5B4754}" name="סוג מטבע" dataDxfId="418" dataCellStyle="Percent"/>
    <tableColumn id="6" xr3:uid="{BE98FB19-FD2E-4A11-8271-10E15474F73A}" name="ערך נקוב" dataDxfId="417" dataCellStyle="Percent"/>
    <tableColumn id="7" xr3:uid="{A6B8C78E-2667-4C33-9353-2F952B851009}" name="שער" dataDxfId="416" dataCellStyle="Percent"/>
    <tableColumn id="8" xr3:uid="{BFDC829C-B6A4-4AA2-96BC-5C19FF5981F2}" name="שווי שוק" dataDxfId="415" dataCellStyle="Comma"/>
    <tableColumn id="9" xr3:uid="{7EBEC15E-569B-4E71-B883-6A397027D70F}" name="שעור מערך נקוב מונפק" dataDxfId="414" dataCellStyle="Percent"/>
    <tableColumn id="10" xr3:uid="{8FD9F1B4-E874-4BBD-80A2-8C3750CF2C22}" name="שעור מנכסי אפיק ההשקעה" dataDxfId="413" dataCellStyle="Percent"/>
    <tableColumn id="11" xr3:uid="{94C0712B-893E-482F-8C5A-E8EE900069FE}" name="שעור מנכסי השקעה" dataDxfId="412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1121C4-30D4-419F-8AD4-289E36E7E518}" name="טבלה11" displayName="טבלה11" ref="A7:K22" totalsRowShown="0" headerRowDxfId="396" headerRowBorderDxfId="408" tableBorderDxfId="409" headerRowCellStyle="Percent">
  <autoFilter ref="A7:K22" xr:uid="{3A9FBB40-DE3F-4A8A-90F4-463CA0414C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DEE44CA-DAAC-4D11-AB74-249360542404}" name="שם המנפיק/שם נייר ערך" dataDxfId="407"/>
    <tableColumn id="2" xr3:uid="{9EC7A4EC-11D5-43CF-8C20-D26B15CED03F}" name="מספר נ&quot;ע" dataDxfId="406" dataCellStyle="Percent"/>
    <tableColumn id="3" xr3:uid="{5D8A5575-2D03-4FF5-BABF-65854266BD1A}" name="זירת מסחר" dataDxfId="405" dataCellStyle="Percent"/>
    <tableColumn id="4" xr3:uid="{B7101CDD-A115-4DE0-AFF5-F669544C646A}" name="ענף מסחר" dataDxfId="404" dataCellStyle="Percent"/>
    <tableColumn id="5" xr3:uid="{EFE2F5AA-BDD6-4F79-AA54-23CC47763930}" name="סוג מטבע" dataDxfId="403" dataCellStyle="Percent"/>
    <tableColumn id="6" xr3:uid="{0943A000-109A-40CF-9DB0-A67C7653D38A}" name="ערך נקוב" dataDxfId="402" dataCellStyle="Percent"/>
    <tableColumn id="7" xr3:uid="{22FA7195-F624-4437-8592-8B80A8CF7E2D}" name="שער" dataDxfId="401" dataCellStyle="Percent"/>
    <tableColumn id="8" xr3:uid="{CE899579-F0E8-44D3-8D5E-EA33F864010C}" name="שווי שוק" dataDxfId="400" dataCellStyle="Comma"/>
    <tableColumn id="9" xr3:uid="{2D0BBB71-135A-4F56-85E7-0B22E7C2F0AA}" name="שעור מערך נקוב מונפק" dataDxfId="399" dataCellStyle="Percent"/>
    <tableColumn id="10" xr3:uid="{5EB0090C-A56F-4411-8093-13421159AEC6}" name="שעור מנכסי אפיק ההשקעה" dataDxfId="398" dataCellStyle="Percent"/>
    <tableColumn id="11" xr3:uid="{DA5C657E-206F-4CA3-B5C0-955EE136CC42}" name="שעור מנכסי השקעה" dataDxfId="39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8702E3-4A9D-4CEA-BEE6-2EEF3B5B2C9F}" name="טבלה12" displayName="טבלה12" ref="A7:J15" totalsRowShown="0" headerRowDxfId="391" headerRowBorderDxfId="394" tableBorderDxfId="395" headerRowCellStyle="Percent">
  <autoFilter ref="A7:J15" xr:uid="{4E266D66-6B78-42A9-9582-F1629A5728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6DCCB16-8327-467D-AEE8-72C6A099241C}" name="שם המנפיק/שם נייר ערך" dataDxfId="393"/>
    <tableColumn id="2" xr3:uid="{DBC0D024-CF00-4C51-82EA-7229BC69FFFC}" name="מספר נ&quot;ע"/>
    <tableColumn id="3" xr3:uid="{9CE33348-1FAB-4B38-95B8-D9CD99CFE31A}" name="זירת מסחר"/>
    <tableColumn id="4" xr3:uid="{243D2187-1A93-467E-90A3-E2EFE97C6C37}" name="ענף מסחר"/>
    <tableColumn id="5" xr3:uid="{B6EFE066-F9CC-4532-AC14-53C1C31A6A7C}" name="סוג מטבע"/>
    <tableColumn id="6" xr3:uid="{1B850539-741D-4504-AEBF-B68714B1FAAD}" name="ערך נקוב"/>
    <tableColumn id="7" xr3:uid="{104CDF86-88FD-40A6-951D-AF41032B9BC1}" name="שער"/>
    <tableColumn id="8" xr3:uid="{B9B0BA08-559D-4B20-8949-61113779A10C}" name="שווי שוק" dataDxfId="392" dataCellStyle="Comma"/>
    <tableColumn id="9" xr3:uid="{E6198D85-11B0-4859-84F1-5E0D1479A2A3}" name="שעור מנכסי אפיק ההשקעה"/>
    <tableColumn id="10" xr3:uid="{4EEA9DE5-5F7C-437F-A4C0-229335B10903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C4A4E0-5357-4EA4-8997-C0481EB8DAF3}" name="טבלה13" displayName="טבלה13" ref="A7:P26" totalsRowShown="0" headerRowDxfId="371" dataDxfId="372" headerRowBorderDxfId="389" tableBorderDxfId="390" headerRowCellStyle="Percent" dataCellStyle="Percent">
  <autoFilter ref="A7:P26" xr:uid="{35FC119C-5217-4AAF-A4B0-96C63C54DF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615DA4E-E977-464A-A909-924665A90B74}" name="שם המנפיק/שם נייר ערך" dataDxfId="388"/>
    <tableColumn id="2" xr3:uid="{9B54A8B7-AF78-464D-9182-83A083980F21}" name="מספר נ&quot;ע" dataDxfId="387" dataCellStyle="Percent"/>
    <tableColumn id="3" xr3:uid="{C873DB42-C9A5-4D43-9419-FA5621C63514}" name="נכס הבסיס" dataDxfId="386" dataCellStyle="Percent"/>
    <tableColumn id="4" xr3:uid="{D9652F48-FA4D-471F-BC7F-5F19CD1CC43B}" name="דירוג" dataDxfId="385" dataCellStyle="Percent"/>
    <tableColumn id="5" xr3:uid="{6C544177-8375-4B99-A8B2-E3A90412B73C}" name="שם מדרג" dataDxfId="384" dataCellStyle="Percent"/>
    <tableColumn id="6" xr3:uid="{34C25AC8-F7FA-458D-867F-55E323EDAE22}" name="תאריך רכישה" dataDxfId="383" dataCellStyle="Percent"/>
    <tableColumn id="7" xr3:uid="{6619E8BF-0953-4CFD-9970-9EB3BC25B692}" name="מח&quot;מ" dataDxfId="382" dataCellStyle="Percent"/>
    <tableColumn id="8" xr3:uid="{746B3CAD-378C-4E21-AACD-4B98C6C926F2}" name="סוג מטבע" dataDxfId="381" dataCellStyle="Percent"/>
    <tableColumn id="9" xr3:uid="{112432EE-0C15-46F1-A165-4DC7D373663A}" name="שעור ריבית" dataDxfId="380" dataCellStyle="Percent"/>
    <tableColumn id="10" xr3:uid="{E8BC4AE3-F0F9-4340-8455-2339E6E52C22}" name="תשואה לפדיון" dataDxfId="379" dataCellStyle="Percent"/>
    <tableColumn id="11" xr3:uid="{D472B6B0-B878-4C95-9A52-C089AEB31AC6}" name="ערך נקוב" dataDxfId="378" dataCellStyle="Percent"/>
    <tableColumn id="12" xr3:uid="{828850A1-802D-42B6-99A0-BEABD58ED273}" name="שער" dataDxfId="377" dataCellStyle="Percent"/>
    <tableColumn id="13" xr3:uid="{39F0F021-39F6-4046-BE74-AB27672C5BD8}" name="שווי שוק" dataDxfId="376" dataCellStyle="Comma"/>
    <tableColumn id="14" xr3:uid="{545BC60D-1636-4A67-A481-50016BE46664}" name="שעור מערך נקוב מונפק" dataDxfId="375" dataCellStyle="Percent"/>
    <tableColumn id="15" xr3:uid="{82339551-D648-49CC-827D-F05127383CCF}" name="שעור מנכסי אפיק ההשקעה" dataDxfId="374" dataCellStyle="Percent"/>
    <tableColumn id="16" xr3:uid="{5449CD3E-E644-4285-89F8-F4F377592715}" name="שעור מנכסי השקעה" dataDxfId="373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531BF8-A0F9-4631-90F6-E22D3E238552}" name="טבלה14" displayName="טבלה14" ref="A7:O19" totalsRowShown="0" headerRowDxfId="353" headerRowBorderDxfId="369" tableBorderDxfId="370" headerRowCellStyle="Percent">
  <autoFilter ref="A7:O19" xr:uid="{02ABCB0B-A60D-41A3-B315-D7DB704C15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A18E3DB-CFC0-4309-AB83-6DBB72CEE251}" name="שם המנפיק/שם נייר ערך" dataDxfId="368"/>
    <tableColumn id="2" xr3:uid="{008F7D3A-341A-424F-9455-65E070735B38}" name="מספר נ&quot;ע" dataDxfId="367" dataCellStyle="Percent"/>
    <tableColumn id="3" xr3:uid="{5BBF4A78-04B5-4F96-A4A4-63964E9F9D6B}" name="דירוג" dataDxfId="366" dataCellStyle="Percent"/>
    <tableColumn id="4" xr3:uid="{7EDE2CBD-E71C-45D3-9186-9926E2718806}" name="שם מדרג" dataDxfId="365" dataCellStyle="Percent"/>
    <tableColumn id="5" xr3:uid="{055E77F5-B481-4313-844E-EC18BB4340CB}" name="תאריך רכישה" dataDxfId="364" dataCellStyle="Percent"/>
    <tableColumn id="6" xr3:uid="{71018A6A-782B-45AA-81C4-F8464C0C6A21}" name="מח&quot;מ" dataDxfId="363" dataCellStyle="Percent"/>
    <tableColumn id="7" xr3:uid="{DE9B7351-DF92-4EA4-ABF3-441792BB7DF1}" name="סוג מטבע" dataDxfId="362" dataCellStyle="Percent"/>
    <tableColumn id="8" xr3:uid="{EAD622C0-4B01-48FB-B603-3C6C84511F0F}" name="שעור ריבית" dataDxfId="361" dataCellStyle="Percent"/>
    <tableColumn id="9" xr3:uid="{ECCC9FEC-8A68-4EB2-B9A4-9604753A0C8F}" name="תשואה לפדיון" dataDxfId="360" dataCellStyle="Percent"/>
    <tableColumn id="10" xr3:uid="{9CDE034C-2158-4255-8367-2CAF08B34840}" name="ערך נקוב" dataDxfId="359" dataCellStyle="Percent"/>
    <tableColumn id="11" xr3:uid="{8B937294-0DE8-4509-B7DE-67C9722D02DC}" name="שער" dataDxfId="358" dataCellStyle="Percent"/>
    <tableColumn id="12" xr3:uid="{1944D091-A5D1-4DEF-AD57-3A8AE020974A}" name="שווי הוגן" dataDxfId="357" dataCellStyle="Comma"/>
    <tableColumn id="13" xr3:uid="{64694147-DFE5-4F88-BF8E-EC225B2A8D14}" name="שעור מערך נקוב מונפק" dataDxfId="356" dataCellStyle="Percent"/>
    <tableColumn id="14" xr3:uid="{CEB6EEF7-4387-4525-8666-CF72CF1220C8}" name="שעור מנכסי אפיק ההשקעה" dataDxfId="355" dataCellStyle="Percent"/>
    <tableColumn id="15" xr3:uid="{72A29F7F-43FA-4546-8B91-C6794988BB33}" name="שעור מנכסי השקעה" dataDxfId="354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AACB906-28D2-4159-ACE7-6E485E0EA333}" name="טבלה15" displayName="טבלה15" ref="A7:R18" totalsRowShown="0" headerRowDxfId="332" headerRowBorderDxfId="351" tableBorderDxfId="352" headerRowCellStyle="Percent">
  <autoFilter ref="A7:R18" xr:uid="{A7373D6B-034A-4C89-9EBD-559E28A98C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4A0A81E-62CF-4B57-9B44-A388410B5787}" name="שם המנפיק/שם נייר ערך" dataDxfId="350"/>
    <tableColumn id="2" xr3:uid="{560A2C1E-8346-4825-9A20-15ADD5E1E2F8}" name="מספר נ&quot;ע" dataDxfId="349" dataCellStyle="Percent"/>
    <tableColumn id="3" xr3:uid="{3E460D24-3544-4C6B-BC81-52FF2508AD0F}" name="ספק המידע" dataDxfId="348" dataCellStyle="Percent"/>
    <tableColumn id="4" xr3:uid="{A2EB7E98-CEB0-4637-A657-EDD4B93D382C}" name="מספר מנפיק" dataDxfId="347" dataCellStyle="Percent"/>
    <tableColumn id="5" xr3:uid="{BB92BFD6-BFD0-41D3-8974-B0A35C39E001}" name="ענף מסחר" dataDxfId="346" dataCellStyle="Percent"/>
    <tableColumn id="6" xr3:uid="{A0D58B9A-863A-44DB-BB19-CC26522EE4B8}" name="דירוג" dataDxfId="345" dataCellStyle="Percent"/>
    <tableColumn id="7" xr3:uid="{B7F91CD4-7831-4118-86DC-AA587C357D15}" name="שם מדרג" dataDxfId="344" dataCellStyle="Percent"/>
    <tableColumn id="8" xr3:uid="{6671F141-4D63-45B3-80B4-964BE5C499BE}" name="תאריך רכישה" dataDxfId="343" dataCellStyle="Percent"/>
    <tableColumn id="9" xr3:uid="{F36F0F2A-B9F0-461C-B75A-6D4F33A6A5F1}" name="מח&quot;מ" dataDxfId="342" dataCellStyle="Percent"/>
    <tableColumn id="10" xr3:uid="{920EDFBD-D133-48E6-88AC-A31A8954986B}" name="סוג מטבע" dataDxfId="341" dataCellStyle="Percent"/>
    <tableColumn id="11" xr3:uid="{E0A2C5E5-EE3D-407C-8743-2469050CC02F}" name="שעור ריבית" dataDxfId="340" dataCellStyle="Percent"/>
    <tableColumn id="12" xr3:uid="{F90BB0DA-55C3-4EB7-8716-658E065168B9}" name="תשואה לפדיון" dataDxfId="339" dataCellStyle="Percent"/>
    <tableColumn id="13" xr3:uid="{B3DE9CC3-7C6A-40EA-8B6E-819D415FAF6E}" name="ערך נקוב" dataDxfId="338" dataCellStyle="Percent"/>
    <tableColumn id="14" xr3:uid="{11A7F436-3D18-4392-9160-2DFEBEDEDB88}" name="שער" dataDxfId="337" dataCellStyle="Percent"/>
    <tableColumn id="15" xr3:uid="{949981EA-079C-40FF-9860-B337CFCB150E}" name="שווי הוגן" dataDxfId="336" dataCellStyle="Comma"/>
    <tableColumn id="16" xr3:uid="{1D1964CE-C714-4613-A5CB-0B4EA5B81F9B}" name="שעור מערך נקוב מונפק" dataDxfId="335" dataCellStyle="Percent"/>
    <tableColumn id="17" xr3:uid="{BABD9332-55C3-4877-ACCD-82B1F3BA06E4}" name="שעור מנכסי אפיק ההשקעה" dataDxfId="334" dataCellStyle="Percent"/>
    <tableColumn id="18" xr3:uid="{72D2BB54-03EA-4BC7-8727-A7BA282CE483}" name="שעור מנכסי השקעה" dataDxfId="333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716105D-FD5D-438B-80B6-EC901A6B1D42}" name="טבלה16" displayName="טבלה16" ref="A7:R18" totalsRowShown="0" headerRowDxfId="310" dataDxfId="311" headerRowBorderDxfId="330" tableBorderDxfId="331" headerRowCellStyle="Percent" dataCellStyle="Percent">
  <autoFilter ref="A7:R18" xr:uid="{5D2660D8-BF05-4C69-8588-70DABB1D53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0D5555C-408B-4E09-ADD5-3303CE141FEC}" name="שם המנפיק/שם נייר ערך" dataDxfId="329"/>
    <tableColumn id="2" xr3:uid="{EF6733F2-5A0F-4ED5-A157-EDA6E8ACBFAB}" name="מספר נ&quot;ע" dataDxfId="328" dataCellStyle="Percent"/>
    <tableColumn id="3" xr3:uid="{D9915A70-A67B-44BE-A8AB-6FA7CE5639D3}" name="ספק המידע" dataDxfId="327" dataCellStyle="Percent"/>
    <tableColumn id="4" xr3:uid="{8149B471-CE0C-4747-AD4D-1DCF037AD7DC}" name="מספר מנפיק" dataDxfId="326" dataCellStyle="Percent"/>
    <tableColumn id="5" xr3:uid="{F44DFF56-1990-4D9A-9F2C-DB445F88C91B}" name="ענף מסחר" dataDxfId="325" dataCellStyle="Percent"/>
    <tableColumn id="6" xr3:uid="{B1B53454-D98F-41FE-8226-4C2F19C35DAC}" name="דירוג" dataDxfId="324" dataCellStyle="Percent"/>
    <tableColumn id="7" xr3:uid="{B0D3D3B8-0A2E-48DE-9D80-4A13E2612155}" name="שם מדרג" dataDxfId="323" dataCellStyle="Percent"/>
    <tableColumn id="8" xr3:uid="{BF2F11EB-18B2-4AF0-A2A1-B6D3FD2A058B}" name="תאריך רכישה" dataDxfId="322" dataCellStyle="Percent"/>
    <tableColumn id="9" xr3:uid="{1C9AE4B8-F4FE-4AFD-B401-0334CCF24C3C}" name="מח&quot;מ" dataDxfId="321" dataCellStyle="Percent"/>
    <tableColumn id="10" xr3:uid="{40E3C9EB-D8A7-4060-8354-F4FB98315CA4}" name="סוג מטבע" dataDxfId="320" dataCellStyle="Percent"/>
    <tableColumn id="11" xr3:uid="{B9AA9478-CEB1-488F-9C77-5D1C988C6068}" name="שעור ריבית" dataDxfId="319" dataCellStyle="Percent"/>
    <tableColumn id="12" xr3:uid="{EB49E449-AEC0-4BE1-B64C-84319788F11A}" name="תשואה לפדיון" dataDxfId="318" dataCellStyle="Percent"/>
    <tableColumn id="13" xr3:uid="{5DE644EF-9FA5-48C7-80B2-09241A996F8A}" name="ערך נקוב" dataDxfId="317" dataCellStyle="Percent"/>
    <tableColumn id="14" xr3:uid="{151A3F8F-A12E-4AA6-BB21-31BFCB5814CC}" name="שער" dataDxfId="316" dataCellStyle="Percent"/>
    <tableColumn id="15" xr3:uid="{1BF6B89E-AD8D-4A99-AFE5-32E7AAFBA96C}" name="שווי הוגן" dataDxfId="315" dataCellStyle="Comma"/>
    <tableColumn id="16" xr3:uid="{155A924A-D6D9-43A2-9E80-AFBE0751D7F5}" name="שעור מערך נקוב מונפק" dataDxfId="314" dataCellStyle="Percent"/>
    <tableColumn id="17" xr3:uid="{79339AD6-0795-4D40-BE85-1DC02FB75DD1}" name="שעור מנכסי אפיק ההשקעה" dataDxfId="313" dataCellStyle="Percent"/>
    <tableColumn id="18" xr3:uid="{D94CA11D-30D6-44F7-BFBC-0FC4828AADFC}" name="שעור מנכסי השקעה" dataDxfId="312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E79EFB-6908-4A44-9169-EA73998EA12C}" name="טבלה17" displayName="טבלה17" ref="B8:M15" totalsRowShown="0" headerRowDxfId="294" dataDxfId="295" headerRowBorderDxfId="308" tableBorderDxfId="309" headerRowCellStyle="Percent" dataCellStyle="Percent">
  <autoFilter ref="B8:M15" xr:uid="{1DCA91DF-8272-4860-A4C5-14D8D14A71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12833A8-25B2-4B77-9A30-C4BD1C90461F}" name="שם המנפיק/שם נייר ערך" dataDxfId="307"/>
    <tableColumn id="2" xr3:uid="{8DFA40B6-8477-4D39-843C-57EBE4C3A2FF}" name="מספר נ&quot;ע" dataDxfId="306" dataCellStyle="Percent"/>
    <tableColumn id="3" xr3:uid="{9E40C875-E78D-416C-AEA7-49B33555EFAF}" name="ספק המידע" dataDxfId="305" dataCellStyle="Percent"/>
    <tableColumn id="4" xr3:uid="{74AD8AE5-3239-4F07-AB46-42986C3B0202}" name="מספר מנפיק" dataDxfId="304" dataCellStyle="Percent"/>
    <tableColumn id="5" xr3:uid="{D2722144-D435-44D1-9742-AF15EE8187BE}" name="ענף מסחר" dataDxfId="303" dataCellStyle="Percent"/>
    <tableColumn id="6" xr3:uid="{1CEF2478-9387-4D71-8D74-7F3C1BC9508B}" name="סוג מטבע" dataDxfId="302" dataCellStyle="Percent"/>
    <tableColumn id="7" xr3:uid="{BD93DF2C-88B4-44F3-8455-882C05051CD3}" name="ערך נקוב" dataDxfId="301" dataCellStyle="Percent"/>
    <tableColumn id="8" xr3:uid="{4A6E21B9-FA6C-4F66-8C38-468F4BC628DF}" name="שער" dataDxfId="300" dataCellStyle="Percent"/>
    <tableColumn id="9" xr3:uid="{360E6E8F-125D-40B5-A6F5-DE5685F5E585}" name="שווי שוק" dataDxfId="299" dataCellStyle="Comma"/>
    <tableColumn id="10" xr3:uid="{82820AFA-C461-4C9E-86CA-485D3480A613}" name="שעור מערך נקוב מונפק" dataDxfId="298" dataCellStyle="Percent"/>
    <tableColumn id="11" xr3:uid="{82CABAEF-E7B7-49DD-ADEB-DE6FBBB53CBE}" name="שעור מנכסי אפיק ההשקעה" dataDxfId="297" dataCellStyle="Percent"/>
    <tableColumn id="12" xr3:uid="{5BD57FFC-BCFF-4CDA-B30B-3558CB3A2F1A}" name="שעור מנכסי השקעה" dataDxfId="296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195BFFC-CAEE-480A-BBC2-64DBCB307CED}" name="טבלה18" displayName="טבלה18" ref="A7:J20" totalsRowShown="0" headerRowDxfId="280" dataDxfId="281" headerRowBorderDxfId="292" tableBorderDxfId="293" headerRowCellStyle="Percent" dataCellStyle="Percent">
  <autoFilter ref="A7:J20" xr:uid="{58C1CF0B-A8EC-436F-8765-4501F6D73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DFFE63F-9044-4781-A98F-A1943599A9BA}" name="שם המנפיק/שם נייר ערך" dataDxfId="291"/>
    <tableColumn id="2" xr3:uid="{29514777-D4CC-481F-8221-320B7C282318}" name="מספר נ&quot;ע" dataDxfId="290" dataCellStyle="Percent"/>
    <tableColumn id="3" xr3:uid="{11445E59-B910-4AE4-99C1-321EF23F5D47}" name="סוג מטבע" dataDxfId="289" dataCellStyle="Percent"/>
    <tableColumn id="4" xr3:uid="{C8BF31B7-05FE-4FB6-A1B8-3F113AC254C5}" name="תאריך רכישה" dataDxfId="288" dataCellStyle="Percent"/>
    <tableColumn id="5" xr3:uid="{969852D8-A83D-4BA9-9C90-566052248577}" name="ערך נקוב" dataDxfId="287" dataCellStyle="Percent"/>
    <tableColumn id="6" xr3:uid="{24035F60-2B93-468A-99F9-EA3FC4FE03CC}" name="שער" dataDxfId="286" dataCellStyle="Percent"/>
    <tableColumn id="7" xr3:uid="{D2B4D41B-4D12-4706-9A9B-67EC3B1BEA91}" name="שווי הוגן" dataDxfId="285" dataCellStyle="Comma"/>
    <tableColumn id="8" xr3:uid="{9CC65837-9F6D-4836-8F0B-5513386D27FA}" name="שעור מערך נקוב מונפק" dataDxfId="284" dataCellStyle="Percent"/>
    <tableColumn id="9" xr3:uid="{137055D8-00B9-430D-9AE7-D9EC47EADF91}" name="שעור מנכסי אפיק ההשקעה" dataDxfId="283" dataCellStyle="Percent"/>
    <tableColumn id="10" xr3:uid="{C56EF824-B20E-4CE4-8142-02F81051D4D0}" name="שעור מנכסי השקעה" dataDxfId="282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E421E6-8AAA-435F-8E78-F8C07CFD51FC}" name="טבלה19" displayName="טבלה19" ref="A7:K12" totalsRowShown="0" headerRowDxfId="277" headerRowBorderDxfId="278" tableBorderDxfId="279" headerRowCellStyle="Percent">
  <autoFilter ref="A7:K12" xr:uid="{AAB10CCD-AC91-4732-A4CA-D92EC1A53A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7888461-22C3-4C40-9014-0FD7E86E45F3}" name="שם המנפיק/שם נייר ערך"/>
    <tableColumn id="2" xr3:uid="{7810F59B-565A-4DAD-91F4-DCF475419639}" name="מספר נ&quot;ע"/>
    <tableColumn id="3" xr3:uid="{FFD61506-C5BE-44F8-BB9C-CB510C82D334}" name="ענף מסחר"/>
    <tableColumn id="4" xr3:uid="{53F09C98-BA6E-4682-A8EB-B399DB6BCA16}" name="סוג מטבע"/>
    <tableColumn id="5" xr3:uid="{3BB6717A-D4FF-4F91-8133-C620C4D5947A}" name="תאריך רכישה"/>
    <tableColumn id="6" xr3:uid="{9907544F-8F14-4171-A601-E2AA41D13E9A}" name="ערך נקוב"/>
    <tableColumn id="7" xr3:uid="{2E856544-80D1-484E-B590-3DE25E8D2589}" name="שער"/>
    <tableColumn id="8" xr3:uid="{AA31DE0B-1D6A-4B19-AE6B-35205EB817C0}" name="שווי הוגן"/>
    <tableColumn id="9" xr3:uid="{DE89AF82-71B0-40D8-BEC3-EAE1C66BCD4E}" name="שעור מערך נקוב מונפק"/>
    <tableColumn id="10" xr3:uid="{5B16C790-4055-455D-9440-0B560C314BB1}" name="שעור מנכסי אפיק ההשקעה"/>
    <tableColumn id="11" xr3:uid="{B6941B47-6B02-436E-AC29-3B6D9E89E8B1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B7E76A-9795-4527-94F2-852D2DCD83E1}" name="טבלה20" displayName="טבלה20" ref="A7:K36" totalsRowShown="0" headerRowDxfId="262" dataDxfId="263" headerRowBorderDxfId="275" tableBorderDxfId="276" headerRowCellStyle="Percent" dataCellStyle="Percent">
  <autoFilter ref="A7:K36" xr:uid="{5410785E-6FC5-4592-9D4A-95B57E84B2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E90F390-5D6A-46DE-9915-85A74CCA6EA9}" name="שם המנפיק/שם נייר ערך" dataDxfId="274"/>
    <tableColumn id="2" xr3:uid="{25AC9BEE-94C1-4106-B2AB-E8BC56151D85}" name="מספר נ&quot;ע" dataDxfId="273" dataCellStyle="Percent"/>
    <tableColumn id="3" xr3:uid="{C7FC3769-2D72-4FB5-9072-DE7059476F2A}" name="ענף מסחר" dataDxfId="272" dataCellStyle="Percent"/>
    <tableColumn id="4" xr3:uid="{9B642043-691F-4570-9FA8-4362B7FA32BC}" name="סוג מטבע" dataDxfId="271" dataCellStyle="Percent"/>
    <tableColumn id="5" xr3:uid="{B8B4664E-52AE-4C15-A015-3C1E32EFAC62}" name="תאריך רכישה" dataDxfId="270" dataCellStyle="Percent"/>
    <tableColumn id="6" xr3:uid="{60CA3AC7-37FA-4CA3-830B-D7C546636108}" name="ערך נקוב" dataDxfId="269" dataCellStyle="Percent"/>
    <tableColumn id="7" xr3:uid="{9DB4E2D5-9976-42B5-95AF-45D2FEC0BAA2}" name="שער" dataDxfId="268" dataCellStyle="Percent"/>
    <tableColumn id="8" xr3:uid="{C25F2E42-78C9-4E6F-AC89-AD92FB72100C}" name="שווי הוגן" dataDxfId="267" dataCellStyle="Comma"/>
    <tableColumn id="9" xr3:uid="{FAF03C06-5F5D-4DE1-90EE-7879E22097A2}" name="שעור מערך נקוב מונפק" dataDxfId="266" dataCellStyle="Percent"/>
    <tableColumn id="10" xr3:uid="{71472681-F09D-468A-882D-26FF1FC0DA6F}" name="שעור מנכסי אפיק ההשקעה" dataDxfId="265" dataCellStyle="Percent"/>
    <tableColumn id="11" xr3:uid="{DC40B76D-F2AF-49DE-8CCA-A97051C5768E}" name="שעור מנכסי השקעה" dataDxfId="264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36036A7-9226-4229-9A3B-209D5652F957}" name="טבלה21" displayName="טבלה21" ref="A7:J97" totalsRowShown="0" headerRowDxfId="248" dataDxfId="249" headerRowBorderDxfId="260" tableBorderDxfId="261" headerRowCellStyle="Percent" dataCellStyle="Percent">
  <autoFilter ref="A7:J97" xr:uid="{2227AD9F-AFE8-49CA-B09B-B084D32435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867E8C6-0B6F-4911-B5A0-C3316178385F}" name="שם המנפיק/שם נייר ערך" dataDxfId="259"/>
    <tableColumn id="2" xr3:uid="{9103CD09-9362-402F-A0DD-39A116D20182}" name="מספר נ&quot;ע" dataDxfId="258" dataCellStyle="Percent"/>
    <tableColumn id="3" xr3:uid="{B83D104F-43E2-4209-8845-0E83307D9F16}" name="ענף מסחר" dataDxfId="257" dataCellStyle="Percent"/>
    <tableColumn id="4" xr3:uid="{322A9D8A-1769-414B-B10E-E9AF656E7A59}" name="סוג מטבע" dataDxfId="256" dataCellStyle="Percent"/>
    <tableColumn id="5" xr3:uid="{91AFA998-03D7-4100-B3B9-B86F07A1FABB}" name="תאריך רכישה" dataDxfId="255" dataCellStyle="Percent"/>
    <tableColumn id="6" xr3:uid="{73CFB751-3F11-44AF-AD68-1C3C35F0E057}" name="ערך נקוב" dataDxfId="254" dataCellStyle="Percent"/>
    <tableColumn id="7" xr3:uid="{F10166FD-7C8E-412D-B66B-4657B05B0FA9}" name="שער" dataDxfId="253" dataCellStyle="Percent"/>
    <tableColumn id="8" xr3:uid="{BCAB0FFD-5E25-4B7C-A1F1-1918248D7764}" name="שווי הוגן" dataDxfId="252" dataCellStyle="Comma"/>
    <tableColumn id="9" xr3:uid="{3C6546D6-B669-423E-A754-BD29CE5479EF}" name="שעור מנכסי אפיק ההשקעה" dataDxfId="251" dataCellStyle="Percent"/>
    <tableColumn id="10" xr3:uid="{19C618E6-F602-4606-8DCC-AF8860872DA1}" name="שעור מנכסי השקעה" dataDxfId="250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1510AB5-E18B-46DB-98E4-92C0F9B2B94A}" name="טבלה22" displayName="טבלה22" ref="A7:P26" totalsRowShown="0" headerRowDxfId="228" dataDxfId="229" headerRowBorderDxfId="246" tableBorderDxfId="247" headerRowCellStyle="Percent" dataCellStyle="Percent">
  <autoFilter ref="A7:P26" xr:uid="{58804D85-3CF4-4363-82E1-AB0C80DEF5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18E13EE-C8A5-4846-9C71-885565A37838}" name="שם המנפיק/שם נייר ערך" dataDxfId="245"/>
    <tableColumn id="2" xr3:uid="{532F0912-72CB-49DF-8C3D-2E4F892FC2B0}" name="מספר נ&quot;ע" dataDxfId="244" dataCellStyle="Percent"/>
    <tableColumn id="3" xr3:uid="{2C489E5E-BDE6-4BCD-8F90-66CD2A04B5A1}" name="נכס הבסיס" dataDxfId="243" dataCellStyle="Percent"/>
    <tableColumn id="4" xr3:uid="{EBB89535-C6FE-461B-A605-E8E3DE35EEC9}" name="דירוג" dataDxfId="242" dataCellStyle="Percent"/>
    <tableColumn id="5" xr3:uid="{E091814C-06D9-4A2A-98C1-A0D4A83F0D9A}" name="שם מדרג" dataDxfId="241" dataCellStyle="Percent"/>
    <tableColumn id="6" xr3:uid="{F1C7A4CA-7F53-4078-8B52-346607804B31}" name="תאריך רכישה" dataDxfId="240" dataCellStyle="Percent"/>
    <tableColumn id="7" xr3:uid="{CF67CE22-B005-49FE-B0E7-255898E2A1D1}" name="מח&quot;מ" dataDxfId="239" dataCellStyle="Percent"/>
    <tableColumn id="8" xr3:uid="{024C284E-CA38-4164-B938-EAB719A9C3DB}" name="סוג מטבע" dataDxfId="238" dataCellStyle="Percent"/>
    <tableColumn id="9" xr3:uid="{01255482-1125-491A-80FE-222A3AFDAC40}" name="שעור ריבית" dataDxfId="237" dataCellStyle="Percent"/>
    <tableColumn id="10" xr3:uid="{F3987084-AF30-44A4-AD60-33BA1EED32A3}" name="תשואה לפדיון" dataDxfId="236" dataCellStyle="Percent"/>
    <tableColumn id="11" xr3:uid="{FF26FA9A-BCAF-45D3-933C-EBD9263A60B1}" name="ערך נקוב" dataDxfId="235" dataCellStyle="Percent"/>
    <tableColumn id="12" xr3:uid="{6E808C42-2059-4A6C-887D-E92B8FC2BBEF}" name="שער" dataDxfId="234" dataCellStyle="Percent"/>
    <tableColumn id="13" xr3:uid="{4038F812-23B3-4582-AABF-42837E034B51}" name="שווי שוק" dataDxfId="233" dataCellStyle="Comma"/>
    <tableColumn id="14" xr3:uid="{062A4E2E-1838-4910-85A7-EEE30A074FF3}" name="שעור מערך נקוב מונפק" dataDxfId="232" dataCellStyle="Percent"/>
    <tableColumn id="15" xr3:uid="{4504370C-F365-4F0E-8E22-F14A0C90CE9F}" name="שעור מנכסי אפיק ההשקעה" dataDxfId="231" dataCellStyle="Percent"/>
    <tableColumn id="16" xr3:uid="{2EA09B8E-AD6A-4574-94AE-509DA4A908EF}" name="שעור מנכסי השקעה" dataDxfId="230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C91F1D9-3555-4369-AA95-3206FC309397}" name="טבלה23" displayName="טבלה23" ref="A6:Q31" totalsRowShown="0" headerRowDxfId="207" dataDxfId="208" headerRowBorderDxfId="226" tableBorderDxfId="227" headerRowCellStyle="Percent" dataCellStyle="Percent">
  <autoFilter ref="A6:Q31" xr:uid="{4C320F33-9115-42E9-B208-442311832A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6C5435E-CC83-4A95-B0CD-4AFC7612012C}" name="שם המנפיק/שם נייר ערך" dataDxfId="225"/>
    <tableColumn id="2" xr3:uid="{75962589-59B7-4EF5-B2B3-7E3C7BF622FD}" name="קונסורציום" dataDxfId="224" dataCellStyle="Percent"/>
    <tableColumn id="3" xr3:uid="{635F2CE9-DC17-436A-8270-832AFB644E83}" name="מספר נ&quot;ע" dataDxfId="223" dataCellStyle="Percent"/>
    <tableColumn id="4" xr3:uid="{09AD911E-0281-41BC-903B-3C8A5623CE19}" name="מספר מנפיק" dataDxfId="222" dataCellStyle="Percent"/>
    <tableColumn id="5" xr3:uid="{D78EFC0F-1B19-4CD8-9E79-92D1674B16FD}" name="דירוג" dataDxfId="221" dataCellStyle="Percent"/>
    <tableColumn id="6" xr3:uid="{0B4274FE-F421-459F-8D69-9B5C8CAC0584}" name="תאריך רכישה" dataDxfId="220" dataCellStyle="Percent"/>
    <tableColumn id="7" xr3:uid="{B5A6FE47-8A2A-4F7E-A4FB-47A52F7FAC3E}" name="שם מדרג" dataDxfId="219" dataCellStyle="Percent"/>
    <tableColumn id="8" xr3:uid="{00109025-ED85-4D8A-8D5B-34C6C3AAE24E}" name="מח&quot;מ" dataDxfId="218" dataCellStyle="Percent"/>
    <tableColumn id="9" xr3:uid="{D7219496-9598-4465-A055-8839C6971E2C}" name="ענף משק" dataDxfId="217" dataCellStyle="Percent"/>
    <tableColumn id="10" xr3:uid="{8A812618-C64A-4100-88DD-5D52DAC12273}" name="סוג מטבע" dataDxfId="216" dataCellStyle="Percent"/>
    <tableColumn id="11" xr3:uid="{4A1C6025-9400-4248-BCCF-8B1C565770F0}" name="שעור ריבית ממוצע" dataDxfId="215" dataCellStyle="Percent"/>
    <tableColumn id="12" xr3:uid="{DF330813-257C-4F17-87D1-C473BC9FCF58}" name="תשואה לפדיון" dataDxfId="214" dataCellStyle="Percent"/>
    <tableColumn id="13" xr3:uid="{EE899689-F882-42B6-BBA5-3601D9705701}" name="ערך נקוב" dataDxfId="213" dataCellStyle="Comma"/>
    <tableColumn id="14" xr3:uid="{E66B67F8-9839-4B7B-8B6E-848CF6F5D865}" name="שער" dataDxfId="212" dataCellStyle="Percent"/>
    <tableColumn id="15" xr3:uid="{7D18FF18-B028-4121-B282-F62443106653}" name="שווי הוגן" dataDxfId="211" dataCellStyle="Comma"/>
    <tableColumn id="16" xr3:uid="{08BB1FC5-C773-4416-BBAF-D4792E83BA45}" name="שעור מנכסי אפיק ההשקעה" dataDxfId="210" dataCellStyle="Percent"/>
    <tableColumn id="17" xr3:uid="{3121AE36-026D-4376-8284-59F321E1F003}" name="שעור מנכסי השקעה" dataDxfId="209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441F4E9-DB8C-4132-96AB-7E2C8AFE5453}" name="טבלה24" displayName="טבלה24" ref="A6:N16" totalsRowShown="0" headerRowDxfId="189" dataDxfId="190" headerRowBorderDxfId="205" tableBorderDxfId="206" headerRowCellStyle="Percent" dataCellStyle="Percent">
  <autoFilter ref="A6:N16" xr:uid="{1147E74A-73A8-4D7F-BA5C-01EB209500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4546CA3-D704-4347-90FB-BA726BF20BBA}" name="שם המנפיק/שם נייר ערך" dataDxfId="204"/>
    <tableColumn id="2" xr3:uid="{4B515278-9D52-428F-BA14-32401B92682F}" name="מספר נ&quot;ע" dataDxfId="203" dataCellStyle="Percent"/>
    <tableColumn id="3" xr3:uid="{51B95729-86D5-4419-BE2C-52ADE4F5F056}" name="מספר מנפיק" dataDxfId="202" dataCellStyle="Percent"/>
    <tableColumn id="4" xr3:uid="{71A645B6-F8A4-4D93-9A40-54AD0AD41591}" name="דירוג" dataDxfId="201" dataCellStyle="Percent"/>
    <tableColumn id="5" xr3:uid="{0DB20A74-D031-40FB-A209-3B2DEFA72AC9}" name="שם מדרג" dataDxfId="200" dataCellStyle="Percent"/>
    <tableColumn id="6" xr3:uid="{BA1A7994-F8CF-4741-A36A-A74BD91C7E4E}" name="מח&quot;מ" dataDxfId="199" dataCellStyle="Percent"/>
    <tableColumn id="7" xr3:uid="{0A66C6B8-2FD7-47EC-8C16-C72627FDE156}" name="סוג מטבע" dataDxfId="198" dataCellStyle="Percent"/>
    <tableColumn id="8" xr3:uid="{AAF1576E-6172-4210-AC1D-D968B05BA0D6}" name="תנאי ושיעור ריבית" dataDxfId="197" dataCellStyle="Percent"/>
    <tableColumn id="9" xr3:uid="{C13D50FB-A0BF-4058-BDEE-94B3E4C7A01E}" name="תשואה לפדיון" dataDxfId="196" dataCellStyle="Percent"/>
    <tableColumn id="10" xr3:uid="{FCFC9156-B658-4CFA-A313-656E6DD17CEA}" name="ערך נקוב" dataDxfId="195" dataCellStyle="Percent"/>
    <tableColumn id="11" xr3:uid="{54DD28C8-2EA8-43FD-861E-0B4802180242}" name="שער" dataDxfId="194" dataCellStyle="Percent"/>
    <tableColumn id="12" xr3:uid="{6530D762-9BD9-4ECB-AB90-D49FF5C84B06}" name="שווי הוגן" dataDxfId="193" dataCellStyle="Comma"/>
    <tableColumn id="13" xr3:uid="{393D5434-52F9-47FD-926B-C83787EDEC59}" name="שעור מנכסי אפיק ההשקעה" dataDxfId="192" dataCellStyle="Percent"/>
    <tableColumn id="14" xr3:uid="{AC3D463E-E584-4DA1-A901-ADA0A43A542B}" name="שעור מנכסי השקעה" dataDxfId="191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E9013D5-F31B-4E05-8537-0E37F8416365}" name="טבלה25" displayName="טבלה25" ref="A6:I15" totalsRowShown="0" headerRowDxfId="176" dataDxfId="177" headerRowBorderDxfId="187" tableBorderDxfId="188" headerRowCellStyle="Percent" dataCellStyle="Percent">
  <autoFilter ref="A6:I15" xr:uid="{7956D276-40AD-4A00-9D5C-A77D6B401E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52B2487-B686-48B3-9F95-87AD3424776C}" name="שם המנפיק/שם נייר ערך" dataDxfId="186"/>
    <tableColumn id="2" xr3:uid="{8AB3C7FC-6DD7-4160-9B53-03644ED15EE2}" name="תאריך שערוך אחרון" dataDxfId="185" dataCellStyle="Percent"/>
    <tableColumn id="3" xr3:uid="{57CC175C-83F6-4519-A8D2-28E24DB8A632}" name="אופי הנכס" dataDxfId="184" dataCellStyle="Percent"/>
    <tableColumn id="4" xr3:uid="{E4F054A0-2C2D-486E-8E8A-93D3F429F098}" name="שעור תשואה במהלך התקופה" dataDxfId="183" dataCellStyle="Percent"/>
    <tableColumn id="5" xr3:uid="{07130C12-0D90-4791-A2AE-209DD70F1799}" name="סוג מטבע" dataDxfId="182" dataCellStyle="Percent"/>
    <tableColumn id="6" xr3:uid="{EEC7179E-BB5D-4173-A9E9-8FD0A2520893}" name="שווי משוערך" dataDxfId="181" dataCellStyle="Comma"/>
    <tableColumn id="7" xr3:uid="{8A5A97E6-E03F-4FC4-9C34-239A739A8CE2}" name="שעור מנכסי אפיק ההשקעה" dataDxfId="180" dataCellStyle="Percent"/>
    <tableColumn id="8" xr3:uid="{AC39B35D-C79B-43F6-9F18-FF89D1A6E24E}" name="שעור מנכסי השקעה" dataDxfId="179" dataCellStyle="Percent"/>
    <tableColumn id="9" xr3:uid="{62DDCD2F-F272-41F7-B706-6AF7DBE9433B}" name="כתובת הנכס" dataDxfId="178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F6CDE8-0722-4D96-A4F2-BAFE37E925A4}" name="טבלה26" displayName="טבלה26" ref="A6:J11" totalsRowShown="0" headerRowDxfId="173" headerRowBorderDxfId="174" tableBorderDxfId="175" headerRowCellStyle="Percent">
  <autoFilter ref="A6:J11" xr:uid="{8654A087-6250-48FE-9130-8A779C6751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EA05BAC-DA4B-433D-8C8C-23F1F617B8EF}" name="שם המנפיק/שם נייר ערך"/>
    <tableColumn id="2" xr3:uid="{8C83EEE9-0AA0-479C-8F39-0D989E12641A}" name="מספר מנפיק"/>
    <tableColumn id="3" xr3:uid="{93319EC8-77F2-49F3-8587-0DE591D2325A}" name="דירוג"/>
    <tableColumn id="4" xr3:uid="{C30C8BFE-66BD-4466-88A3-19CA9E400F0A}" name="שם המדרג"/>
    <tableColumn id="5" xr3:uid="{69B104FB-771A-4A26-95FE-1D5ABCF09DFA}" name="שעור הריבית"/>
    <tableColumn id="6" xr3:uid="{BD3DA471-0B38-40B8-B7F0-E89A6F16E7AB}" name="סוג מטבע"/>
    <tableColumn id="7" xr3:uid="{370CFDB7-8AD7-4CC6-977B-E64F428F4AFA}" name="תשואה לפדיון"/>
    <tableColumn id="8" xr3:uid="{6B74AC1E-7258-4838-B6E8-243F89BC411D}" name="שווי הוגן"/>
    <tableColumn id="9" xr3:uid="{5ED36E40-A529-46BC-B8E4-E6ECC46A0E05}" name="שעור מנכסי אפיק ההשקעה"/>
    <tableColumn id="10" xr3:uid="{F4BD39C0-160C-4784-83E2-462AE3901ADB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F2C7AF8-35F0-4D66-91FA-B13977A930A1}" name="טבלה27" displayName="טבלה27" ref="A6:J12" totalsRowShown="0" headerRowDxfId="170" headerRowBorderDxfId="171" tableBorderDxfId="172" headerRowCellStyle="Percent">
  <autoFilter ref="A6:J12" xr:uid="{AAA787E3-B005-45AA-BE8C-3A1046FF69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EAF0B5E-163A-4172-BAE9-CA563E33E8FE}" name="שם המנפיק/שם נייר ערך"/>
    <tableColumn id="2" xr3:uid="{98F5C1AC-5242-4516-A817-67DC819E148C}" name="מספר נייר"/>
    <tableColumn id="3" xr3:uid="{ADD574FD-77D9-437F-9FF1-7B567A9AAC7D}" name="דירוג"/>
    <tableColumn id="4" xr3:uid="{A209BC46-DEA1-425E-A2E3-41319FDCA60E}" name="שם מדרג"/>
    <tableColumn id="5" xr3:uid="{8D052E6F-EADA-44E4-A62A-3D6BF95E4290}" name="שעור ריבית"/>
    <tableColumn id="6" xr3:uid="{2C2C4931-6B43-4691-8A19-B8D49E0D9F76}" name="סוג מטבע"/>
    <tableColumn id="7" xr3:uid="{037F03BB-A55A-4672-A597-68092693BD80}" name="תשואה לפדיון"/>
    <tableColumn id="8" xr3:uid="{7A098852-B318-4331-AC1D-B8282FE626D3}" name="שווי הוגן"/>
    <tableColumn id="9" xr3:uid="{95712776-838F-400B-8CD9-2211C9D2A39C}" name="שעור מנכסי אפיק ההשקעה"/>
    <tableColumn id="10" xr3:uid="{EA9911F2-07A4-467F-BA16-52E83640E6D9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557E98A-2668-4FD0-9ED3-5E4270CE14DC}" name="טבלה28" displayName="טבלה28" ref="A6:C11" totalsRowShown="0" headerRowBorderDxfId="168" tableBorderDxfId="169">
  <autoFilter ref="A6:C11" xr:uid="{8D203A3F-A6BF-43B0-B4D7-6497D9FC8634}">
    <filterColumn colId="0" hiddenButton="1"/>
    <filterColumn colId="1" hiddenButton="1"/>
    <filterColumn colId="2" hiddenButton="1"/>
  </autoFilter>
  <tableColumns count="3">
    <tableColumn id="1" xr3:uid="{151BAB6D-790C-4A97-9D9A-B62734A4AC41}" name="שם המנפיק/שם נייר ערך"/>
    <tableColumn id="2" xr3:uid="{E7356D45-4DE1-42DD-B029-6B62D3A11491}" name="סכום ההתחייבות"/>
    <tableColumn id="3" xr3:uid="{A8042A55-F88E-4A6D-A787-C600B2B5B1B1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A6B4119-6166-4A86-B1E5-A395FD7FA167}" name="טבלה29" displayName="טבלה29" ref="A6:O19" totalsRowShown="0" headerRowDxfId="150" headerRowBorderDxfId="166" tableBorderDxfId="167" headerRowCellStyle="Percent">
  <autoFilter ref="A6:O19" xr:uid="{C968A7C8-2EB0-4D62-8981-527632161F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7BD35FC-C146-414B-9264-FD767D854707}" name="שם המנפיק/שם נייר ערך" dataDxfId="165"/>
    <tableColumn id="2" xr3:uid="{88A38A55-1878-49CF-A66F-1FE2653C4B30}" name="מספר ני&quot;ע" dataDxfId="164" dataCellStyle="Percent"/>
    <tableColumn id="3" xr3:uid="{D6609563-C875-4291-BC27-79994695AD48}" name="ענף מסחר" dataDxfId="163" dataCellStyle="Percent"/>
    <tableColumn id="4" xr3:uid="{EB7DD0D7-116C-4C7E-80F8-8D2B6F906BE1}" name="דירוג" dataDxfId="162" dataCellStyle="Percent"/>
    <tableColumn id="5" xr3:uid="{F0F06538-0960-485E-B647-A6F396A16DF6}" name="שם מדרג" dataDxfId="161" dataCellStyle="Percent"/>
    <tableColumn id="6" xr3:uid="{B67E5082-B3E6-48E2-BECF-4C3B12368FA1}" name="תאריך רכישה" dataDxfId="160" dataCellStyle="Percent"/>
    <tableColumn id="7" xr3:uid="{D17DC611-CCAD-4CD1-AF2B-D9CA2CE01C51}" name="מח&quot;מ" dataDxfId="159" dataCellStyle="Percent"/>
    <tableColumn id="8" xr3:uid="{88A282B0-3D23-498F-BCB8-A584E506BA49}" name="סוג מטבע" dataDxfId="158" dataCellStyle="Percent"/>
    <tableColumn id="9" xr3:uid="{91CA6A80-BA10-4E9F-934C-5578ECD82910}" name="שיעור ריבית" dataDxfId="157" dataCellStyle="Percent"/>
    <tableColumn id="10" xr3:uid="{65FB57A0-6572-4A4B-9839-58CA991DCD1A}" name="ריבית אפקטיבית" dataDxfId="156" dataCellStyle="Percent"/>
    <tableColumn id="11" xr3:uid="{AD9D23B4-4B6C-4CA9-81BC-02855A57BC1F}" name="ערך נקוב" dataDxfId="155" dataCellStyle="Comma"/>
    <tableColumn id="12" xr3:uid="{BCA88009-5389-4687-83EA-8C5E51756837}" name="עלות מתואמת" dataDxfId="154" dataCellStyle="Percent"/>
    <tableColumn id="13" xr3:uid="{A41843B0-2089-4352-9233-8D6DFF6DA41D}" name="שעור מערך נקוב מונפק" dataDxfId="153" dataCellStyle="Comma"/>
    <tableColumn id="14" xr3:uid="{A796EE42-5DF3-487B-9A6F-F8BD9DD339EF}" name="שעור מנכסי אפיק ההשקעה" dataDxfId="152" dataCellStyle="Percent"/>
    <tableColumn id="15" xr3:uid="{C06A3B50-3C4D-4A2A-B46C-4696EBF83933}" name="שעור מסך נכסי השקעה**" dataDxfId="151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B7E8300-3986-40D1-ADC4-4C2C44B81C6E}" name="טבלה30" displayName="טבלה30" ref="A6:O18" totalsRowShown="0" headerRowDxfId="132" headerRowBorderDxfId="148" tableBorderDxfId="149" headerRowCellStyle="Percent">
  <autoFilter ref="A6:O18" xr:uid="{35BB6EF4-9383-4422-A958-7947D51998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60F5F20-E6F6-4A5B-9708-0F555ECD6409}" name="שם המנפיק/שם נייר ערך" dataDxfId="147"/>
    <tableColumn id="2" xr3:uid="{6A0EC65C-5977-4818-BD5E-8A033CA83159}" name="מספר ני&quot;ע" dataDxfId="146" dataCellStyle="Percent"/>
    <tableColumn id="3" xr3:uid="{4D67BEE3-0008-4BD4-9545-1EF462A853BD}" name="ענף מסחר" dataDxfId="145" dataCellStyle="Percent"/>
    <tableColumn id="4" xr3:uid="{CEDDB677-2417-4B3C-9D89-3F267F5DD907}" name="דירוג" dataDxfId="144" dataCellStyle="Percent"/>
    <tableColumn id="5" xr3:uid="{646C9962-1E72-4DEE-944D-380C42C4C60B}" name="שם מדרג" dataDxfId="143" dataCellStyle="Percent"/>
    <tableColumn id="6" xr3:uid="{ECEF01B0-106F-47ED-82C9-198665830052}" name="תאריך רכישה" dataDxfId="142" dataCellStyle="Percent"/>
    <tableColumn id="7" xr3:uid="{5C5B50E1-A869-4E43-B753-AB747B48349D}" name="מח&quot;מ" dataDxfId="141" dataCellStyle="Percent"/>
    <tableColumn id="8" xr3:uid="{C1E1E3A5-B504-46F1-8F21-BDB440C67123}" name="סוג מטבע" dataDxfId="140" dataCellStyle="Percent"/>
    <tableColumn id="9" xr3:uid="{89BC5BB1-535F-4771-8883-C97D0B3FF242}" name="שיעור ריבית" dataDxfId="139" dataCellStyle="Percent"/>
    <tableColumn id="10" xr3:uid="{CAE5E2D1-DB99-4F7A-BDCF-D471DA53F20E}" name="ריבית אפקטיבית" dataDxfId="138" dataCellStyle="Percent"/>
    <tableColumn id="11" xr3:uid="{21446976-5ADB-4E41-9F4D-1685FA450E37}" name="ערך נקוב" dataDxfId="137" dataCellStyle="Comma"/>
    <tableColumn id="12" xr3:uid="{F0E0D209-F7E8-48FA-BB41-ADCD3930B0A8}" name="עלות מתואמת" dataDxfId="136" dataCellStyle="Percent"/>
    <tableColumn id="13" xr3:uid="{C6673F7E-CDE1-43A4-8CB6-1D55D98CE8B7}" name="שעור מערך נקוב מונפק" dataDxfId="135" dataCellStyle="Comma"/>
    <tableColumn id="14" xr3:uid="{ACCA4A43-A4EE-4D9B-8BC9-2E5FD25B9A85}" name="שעור מנכסי אפיק ההשקעה" dataDxfId="134" dataCellStyle="Percent"/>
    <tableColumn id="15" xr3:uid="{5D70AC86-7E56-4FF1-94B8-FAE71CF40904}" name="שעור מסך נכסי השקעה**" dataDxfId="133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C879-D00E-4768-86D6-DEFE0CE59EA5}">
  <sheetPr codeName="גיליון1"/>
  <dimension ref="A1:BC690"/>
  <sheetViews>
    <sheetView rightToLeft="1" zoomScale="80" zoomScaleNormal="80" workbookViewId="0">
      <selection activeCell="A10" sqref="A10"/>
    </sheetView>
  </sheetViews>
  <sheetFormatPr defaultColWidth="44.42578125" defaultRowHeight="12.75" x14ac:dyDescent="0.2"/>
  <cols>
    <col min="1" max="1" width="31.28515625" style="55" customWidth="1"/>
    <col min="2" max="2" width="14.85546875" style="56" bestFit="1" customWidth="1"/>
    <col min="3" max="3" width="21.42578125" style="55" customWidth="1"/>
    <col min="4" max="4" width="12.7109375" style="55" customWidth="1"/>
    <col min="5" max="5" width="9.140625" style="55" customWidth="1"/>
    <col min="6" max="49" width="11.7109375" style="55" customWidth="1"/>
    <col min="50" max="16384" width="44.42578125" style="55"/>
  </cols>
  <sheetData>
    <row r="1" spans="1:55" x14ac:dyDescent="0.2">
      <c r="A1" s="58" t="s">
        <v>225</v>
      </c>
      <c r="B1" s="58" t="s">
        <v>235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x14ac:dyDescent="0.2">
      <c r="A2" s="58" t="s">
        <v>226</v>
      </c>
      <c r="B2" s="58" t="s">
        <v>152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</row>
    <row r="3" spans="1:55" x14ac:dyDescent="0.2">
      <c r="A3" s="58" t="s">
        <v>227</v>
      </c>
      <c r="B3" s="58" t="s">
        <v>228</v>
      </c>
      <c r="C3" s="58"/>
      <c r="D3" s="62" t="s">
        <v>238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</row>
    <row r="4" spans="1:55" x14ac:dyDescent="0.2">
      <c r="A4" s="58" t="s">
        <v>229</v>
      </c>
      <c r="B4" s="58" t="s">
        <v>236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</row>
    <row r="5" spans="1:55" ht="21.75" customHeight="1" x14ac:dyDescent="0.2">
      <c r="A5" s="13" t="s">
        <v>51</v>
      </c>
      <c r="B5" s="12"/>
      <c r="C5" s="11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</row>
    <row r="6" spans="1:55" ht="21.75" customHeight="1" x14ac:dyDescent="0.2">
      <c r="A6" s="215" t="s">
        <v>842</v>
      </c>
      <c r="B6" s="210" t="s">
        <v>29</v>
      </c>
      <c r="C6" s="211" t="s">
        <v>72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</row>
    <row r="7" spans="1:55" ht="15.75" x14ac:dyDescent="0.2">
      <c r="A7" s="199"/>
      <c r="B7" s="63" t="s">
        <v>10</v>
      </c>
      <c r="C7" s="206" t="s">
        <v>9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</row>
    <row r="8" spans="1:55" ht="15.75" x14ac:dyDescent="0.2">
      <c r="A8" s="200"/>
      <c r="B8" s="57" t="s">
        <v>49</v>
      </c>
      <c r="C8" s="207" t="s">
        <v>50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</row>
    <row r="9" spans="1:55" x14ac:dyDescent="0.2">
      <c r="A9" s="201" t="s">
        <v>98</v>
      </c>
      <c r="B9" s="57"/>
      <c r="C9" s="207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</row>
    <row r="10" spans="1:55" x14ac:dyDescent="0.2">
      <c r="A10" s="202" t="s">
        <v>43</v>
      </c>
      <c r="B10" s="117">
        <v>4545.7665492570313</v>
      </c>
      <c r="C10" s="208">
        <v>7.7350351668301315E-2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</row>
    <row r="11" spans="1:55" x14ac:dyDescent="0.2">
      <c r="A11" s="203" t="s">
        <v>45</v>
      </c>
      <c r="B11" s="117">
        <v>51777.362542977884</v>
      </c>
      <c r="C11" s="208">
        <v>0.88103890900667914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</row>
    <row r="12" spans="1:55" x14ac:dyDescent="0.2">
      <c r="A12" s="204" t="s">
        <v>12</v>
      </c>
      <c r="B12" s="117">
        <v>12629.228507377857</v>
      </c>
      <c r="C12" s="208">
        <v>0.21489780783060136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</row>
    <row r="13" spans="1:55" x14ac:dyDescent="0.2">
      <c r="A13" s="204" t="s">
        <v>18</v>
      </c>
      <c r="B13" s="117">
        <v>0</v>
      </c>
      <c r="C13" s="208">
        <v>0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</row>
    <row r="14" spans="1:55" x14ac:dyDescent="0.2">
      <c r="A14" s="204" t="s">
        <v>20</v>
      </c>
      <c r="B14" s="117">
        <v>1723.0095305999998</v>
      </c>
      <c r="C14" s="208">
        <v>2.9318574034895732E-2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</row>
    <row r="15" spans="1:55" x14ac:dyDescent="0.2">
      <c r="A15" s="204" t="s">
        <v>21</v>
      </c>
      <c r="B15" s="117">
        <v>6.9999999999999997E-7</v>
      </c>
      <c r="C15" s="208">
        <v>1.1911136566540251E-11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</row>
    <row r="16" spans="1:55" x14ac:dyDescent="0.2">
      <c r="A16" s="204" t="s">
        <v>160</v>
      </c>
      <c r="B16" s="117">
        <v>37443.766421000015</v>
      </c>
      <c r="C16" s="208">
        <v>0.63713973629452181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</row>
    <row r="17" spans="1:55" x14ac:dyDescent="0.2">
      <c r="A17" s="204" t="s">
        <v>44</v>
      </c>
      <c r="B17" s="117">
        <v>24.292440800000001</v>
      </c>
      <c r="C17" s="208">
        <v>4.1335797129056333E-4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</row>
    <row r="18" spans="1:55" x14ac:dyDescent="0.2">
      <c r="A18" s="204" t="s">
        <v>23</v>
      </c>
      <c r="B18" s="117">
        <v>2.0000000000000002E-7</v>
      </c>
      <c r="C18" s="208">
        <v>3.4031818761543579E-12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</row>
    <row r="19" spans="1:55" x14ac:dyDescent="0.2">
      <c r="A19" s="204" t="s">
        <v>24</v>
      </c>
      <c r="B19" s="117">
        <v>4.6800899999999999E-2</v>
      </c>
      <c r="C19" s="208">
        <v>7.9635987333856239E-7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</row>
    <row r="20" spans="1:55" x14ac:dyDescent="0.2">
      <c r="A20" s="204" t="s">
        <v>25</v>
      </c>
      <c r="B20" s="117">
        <v>-42.9811598</v>
      </c>
      <c r="C20" s="208">
        <v>-7.313635202372713E-4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</row>
    <row r="21" spans="1:55" x14ac:dyDescent="0.2">
      <c r="A21" s="204" t="s">
        <v>26</v>
      </c>
      <c r="B21" s="117">
        <v>1.2000000000000002E-6</v>
      </c>
      <c r="C21" s="208">
        <v>2.0419091256926148E-11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</row>
    <row r="22" spans="1:55" x14ac:dyDescent="0.2">
      <c r="A22" s="201" t="s">
        <v>46</v>
      </c>
      <c r="B22" s="117">
        <v>-15.060983699999667</v>
      </c>
      <c r="C22" s="208">
        <v>-2.5627633382447533E-4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</row>
    <row r="23" spans="1:55" x14ac:dyDescent="0.2">
      <c r="A23" s="204" t="s">
        <v>12</v>
      </c>
      <c r="B23" s="117">
        <v>6.9999999999999997E-7</v>
      </c>
      <c r="C23" s="208">
        <v>1.1911136566540251E-11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</row>
    <row r="24" spans="1:55" x14ac:dyDescent="0.2">
      <c r="A24" s="204" t="s">
        <v>18</v>
      </c>
      <c r="B24" s="117">
        <v>6.0000000000000008E-7</v>
      </c>
      <c r="C24" s="208">
        <v>1.0209545628463074E-11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</row>
    <row r="25" spans="1:55" x14ac:dyDescent="0.2">
      <c r="A25" s="204" t="s">
        <v>20</v>
      </c>
      <c r="B25" s="117">
        <v>6.0000000000000008E-7</v>
      </c>
      <c r="C25" s="208">
        <v>1.0209545628463074E-11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</row>
    <row r="26" spans="1:55" x14ac:dyDescent="0.2">
      <c r="A26" s="204" t="s">
        <v>21</v>
      </c>
      <c r="B26" s="117">
        <v>3.0000000000000004E-7</v>
      </c>
      <c r="C26" s="208">
        <v>5.1047728142315369E-12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</row>
    <row r="27" spans="1:55" x14ac:dyDescent="0.2">
      <c r="A27" s="204" t="s">
        <v>30</v>
      </c>
      <c r="B27" s="117">
        <v>8.0000000000000007E-7</v>
      </c>
      <c r="C27" s="208">
        <v>1.3612727504617432E-11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</row>
    <row r="28" spans="1:55" x14ac:dyDescent="0.2">
      <c r="A28" s="204" t="s">
        <v>31</v>
      </c>
      <c r="B28" s="117">
        <v>2.0000000000000002E-7</v>
      </c>
      <c r="C28" s="208">
        <v>3.4031818761543579E-12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</row>
    <row r="29" spans="1:55" x14ac:dyDescent="0.2">
      <c r="A29" s="204" t="s">
        <v>32</v>
      </c>
      <c r="B29" s="117">
        <v>53.930651000000005</v>
      </c>
      <c r="C29" s="208">
        <v>9.1767907026202951E-4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</row>
    <row r="30" spans="1:55" x14ac:dyDescent="0.2">
      <c r="A30" s="204" t="s">
        <v>33</v>
      </c>
      <c r="B30" s="117">
        <v>-68.991639099999674</v>
      </c>
      <c r="C30" s="208">
        <v>-1.1739554789565061E-3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</row>
    <row r="31" spans="1:55" x14ac:dyDescent="0.2">
      <c r="A31" s="204" t="s">
        <v>34</v>
      </c>
      <c r="B31" s="117">
        <v>1.2000000000000002E-6</v>
      </c>
      <c r="C31" s="208">
        <v>2.0419091256926148E-11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</row>
    <row r="32" spans="1:55" x14ac:dyDescent="0.2">
      <c r="A32" s="204" t="s">
        <v>35</v>
      </c>
      <c r="B32" s="117">
        <v>2497.2104313000004</v>
      </c>
      <c r="C32" s="208">
        <v>4.2492306403718837E-2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</row>
    <row r="33" spans="1:55" x14ac:dyDescent="0.2">
      <c r="A33" s="204" t="s">
        <v>37</v>
      </c>
      <c r="B33" s="117">
        <v>6.0000000000000008E-7</v>
      </c>
      <c r="C33" s="208">
        <v>1.0209545628463074E-11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</row>
    <row r="34" spans="1:55" x14ac:dyDescent="0.2">
      <c r="A34" s="204" t="s">
        <v>47</v>
      </c>
      <c r="B34" s="117">
        <v>4.0000000000000003E-7</v>
      </c>
      <c r="C34" s="208">
        <v>6.8063637523087159E-12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</row>
    <row r="35" spans="1:55" x14ac:dyDescent="0.2">
      <c r="A35" s="204" t="s">
        <v>86</v>
      </c>
      <c r="B35" s="117">
        <v>2.0000000000000002E-7</v>
      </c>
      <c r="C35" s="208">
        <v>3.4031818761543579E-12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</row>
    <row r="36" spans="1:55" x14ac:dyDescent="0.2">
      <c r="A36" s="204" t="s">
        <v>87</v>
      </c>
      <c r="B36" s="117">
        <v>-36.747419799999996</v>
      </c>
      <c r="C36" s="208">
        <v>-6.2529076529397882E-4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</row>
    <row r="37" spans="1:55" x14ac:dyDescent="0.2">
      <c r="A37" s="201" t="s">
        <v>94</v>
      </c>
      <c r="B37" s="100"/>
      <c r="C37" s="20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</row>
    <row r="38" spans="1:55" x14ac:dyDescent="0.2">
      <c r="A38" s="204" t="s">
        <v>95</v>
      </c>
      <c r="B38" s="100">
        <v>0</v>
      </c>
      <c r="C38" s="20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</row>
    <row r="39" spans="1:55" x14ac:dyDescent="0.2">
      <c r="A39" s="204" t="s">
        <v>96</v>
      </c>
      <c r="B39" s="100">
        <v>0</v>
      </c>
      <c r="C39" s="20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</row>
    <row r="40" spans="1:55" x14ac:dyDescent="0.2">
      <c r="A40" s="204" t="s">
        <v>97</v>
      </c>
      <c r="B40" s="100">
        <v>0</v>
      </c>
      <c r="C40" s="20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</row>
    <row r="41" spans="1:55" x14ac:dyDescent="0.2">
      <c r="A41" s="205" t="s">
        <v>48</v>
      </c>
      <c r="B41" s="66">
        <v>58768.531121234919</v>
      </c>
      <c r="C41" s="209">
        <v>0.99999999999999989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</row>
    <row r="42" spans="1:55" x14ac:dyDescent="0.2">
      <c r="A42" s="212" t="s">
        <v>93</v>
      </c>
      <c r="B42" s="213">
        <v>2.0000000000000002E-7</v>
      </c>
      <c r="C42" s="214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</row>
    <row r="43" spans="1:55" x14ac:dyDescent="0.2">
      <c r="A43" s="58"/>
      <c r="B43" s="61">
        <v>0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</row>
    <row r="44" spans="1:55" x14ac:dyDescent="0.2">
      <c r="A44" s="58"/>
      <c r="B44" s="221" t="s">
        <v>0</v>
      </c>
      <c r="C44" s="222" t="s">
        <v>1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</row>
    <row r="45" spans="1:55" x14ac:dyDescent="0.2">
      <c r="A45" s="58"/>
      <c r="B45" s="216" t="s">
        <v>49</v>
      </c>
      <c r="C45" s="207" t="s">
        <v>50</v>
      </c>
      <c r="D45" s="58"/>
      <c r="E45" s="132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</row>
    <row r="46" spans="1:55" x14ac:dyDescent="0.2">
      <c r="A46" s="58"/>
      <c r="B46" s="217" t="s">
        <v>126</v>
      </c>
      <c r="C46" s="219">
        <v>3.5649999999999999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</row>
    <row r="47" spans="1:55" x14ac:dyDescent="0.2">
      <c r="A47" s="58"/>
      <c r="B47" s="217" t="s">
        <v>127</v>
      </c>
      <c r="C47" s="219">
        <v>3.9003000000000001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</row>
    <row r="48" spans="1:55" x14ac:dyDescent="0.2">
      <c r="A48" s="58"/>
      <c r="B48" s="218" t="s">
        <v>2</v>
      </c>
      <c r="C48" s="219">
        <v>4.3986000000000001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</row>
    <row r="49" spans="1:55" x14ac:dyDescent="0.2">
      <c r="A49" s="58"/>
      <c r="B49" s="217" t="s">
        <v>133</v>
      </c>
      <c r="C49" s="219">
        <v>2.5002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</row>
    <row r="50" spans="1:55" x14ac:dyDescent="0.2">
      <c r="A50" s="58"/>
      <c r="B50" s="218" t="s">
        <v>3</v>
      </c>
      <c r="C50" s="219">
        <v>2.1722000000000001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</row>
    <row r="51" spans="1:55" x14ac:dyDescent="0.2">
      <c r="A51" s="58"/>
      <c r="B51" s="218" t="s">
        <v>65</v>
      </c>
      <c r="C51" s="219">
        <v>0.45679999999999998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</row>
    <row r="52" spans="1:55" x14ac:dyDescent="0.2">
      <c r="A52" s="58"/>
      <c r="B52" s="217" t="s">
        <v>128</v>
      </c>
      <c r="C52" s="219">
        <v>2.1187999999999998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</row>
    <row r="53" spans="1:55" x14ac:dyDescent="0.2">
      <c r="A53" s="58"/>
      <c r="B53" s="218" t="s">
        <v>91</v>
      </c>
      <c r="C53" s="220">
        <v>0.52229999999999999</v>
      </c>
      <c r="D53" s="59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</row>
    <row r="54" spans="1:55" x14ac:dyDescent="0.2">
      <c r="A54" s="58"/>
      <c r="B54" s="217" t="s">
        <v>134</v>
      </c>
      <c r="C54" s="220">
        <v>0.35189999999999999</v>
      </c>
      <c r="D54" s="59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</row>
    <row r="55" spans="1:55" x14ac:dyDescent="0.2">
      <c r="A55" s="58"/>
      <c r="B55" s="217" t="s">
        <v>261</v>
      </c>
      <c r="C55" s="219">
        <v>3.2787999999999999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</row>
    <row r="56" spans="1:55" ht="12" customHeight="1" x14ac:dyDescent="0.2">
      <c r="A56" s="58"/>
      <c r="B56" s="217" t="s">
        <v>132</v>
      </c>
      <c r="C56" s="220">
        <v>0.14910000000000001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</row>
    <row r="57" spans="1:55" x14ac:dyDescent="0.2">
      <c r="A57" s="58"/>
      <c r="B57" s="218" t="s">
        <v>90</v>
      </c>
      <c r="C57" s="220">
        <v>3.6854</v>
      </c>
      <c r="D57" s="59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</row>
    <row r="58" spans="1:55" x14ac:dyDescent="0.2">
      <c r="A58" s="58"/>
      <c r="B58" s="218" t="s">
        <v>92</v>
      </c>
      <c r="C58" s="220">
        <v>0.50160000000000005</v>
      </c>
      <c r="D58" s="59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</row>
    <row r="59" spans="1:55" x14ac:dyDescent="0.2">
      <c r="A59" s="58"/>
      <c r="B59" s="218" t="s">
        <v>129</v>
      </c>
      <c r="C59" s="220">
        <v>0.68520000000000003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</row>
    <row r="60" spans="1:55" x14ac:dyDescent="0.2">
      <c r="A60" s="58"/>
      <c r="B60" s="217" t="s">
        <v>131</v>
      </c>
      <c r="C60" s="220">
        <v>0.14280000000000001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</row>
    <row r="61" spans="1:55" x14ac:dyDescent="0.2">
      <c r="A61" s="58"/>
      <c r="B61" s="217" t="s">
        <v>153</v>
      </c>
      <c r="C61" s="220">
        <v>0.3402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</row>
    <row r="62" spans="1:55" x14ac:dyDescent="0.2">
      <c r="A62" s="58"/>
      <c r="B62" s="217" t="s">
        <v>163</v>
      </c>
      <c r="C62" s="220">
        <v>0.4143</v>
      </c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</row>
    <row r="63" spans="1:55" x14ac:dyDescent="0.2">
      <c r="A63" s="58"/>
      <c r="B63" s="217" t="s">
        <v>154</v>
      </c>
      <c r="C63" s="220">
        <v>0.85519999999999996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</row>
    <row r="64" spans="1:55" x14ac:dyDescent="0.2">
      <c r="A64" s="58"/>
      <c r="B64" s="217" t="s">
        <v>155</v>
      </c>
      <c r="C64" s="220">
        <v>4.7059999999999998E-2</v>
      </c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</row>
    <row r="65" spans="1:55" x14ac:dyDescent="0.2">
      <c r="A65" s="58"/>
      <c r="B65" s="217" t="s">
        <v>164</v>
      </c>
      <c r="C65" s="220">
        <v>2.2000000000000001E-4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</row>
    <row r="66" spans="1:55" x14ac:dyDescent="0.2">
      <c r="A66" s="58"/>
      <c r="B66" s="217" t="s">
        <v>156</v>
      </c>
      <c r="C66" s="220">
        <v>4.5400000000000003E-2</v>
      </c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</row>
    <row r="67" spans="1:55" x14ac:dyDescent="0.2">
      <c r="A67" s="58"/>
      <c r="B67" s="217" t="s">
        <v>157</v>
      </c>
      <c r="C67" s="220">
        <v>2.9099999999999998E-3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</row>
    <row r="68" spans="1:55" x14ac:dyDescent="0.2">
      <c r="A68" s="58"/>
      <c r="B68" s="223" t="s">
        <v>158</v>
      </c>
      <c r="C68" s="224">
        <v>6.9940000000000002E-2</v>
      </c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</row>
    <row r="69" spans="1:55" x14ac:dyDescent="0.2">
      <c r="A69" s="58"/>
      <c r="B69" s="59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</row>
    <row r="70" spans="1:55" x14ac:dyDescent="0.2">
      <c r="A70" s="58"/>
      <c r="B70" s="59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</row>
    <row r="71" spans="1:55" x14ac:dyDescent="0.2">
      <c r="A71" s="58"/>
      <c r="B71" s="59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</row>
    <row r="72" spans="1:55" x14ac:dyDescent="0.2">
      <c r="A72" s="58"/>
      <c r="B72" s="59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</row>
    <row r="73" spans="1:55" x14ac:dyDescent="0.2">
      <c r="A73" s="58"/>
      <c r="B73" s="59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</row>
    <row r="74" spans="1:55" x14ac:dyDescent="0.2">
      <c r="A74" s="58"/>
      <c r="B74" s="59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</row>
    <row r="75" spans="1:55" x14ac:dyDescent="0.2">
      <c r="A75" s="58"/>
      <c r="B75" s="59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</row>
    <row r="76" spans="1:55" x14ac:dyDescent="0.2">
      <c r="A76" s="58"/>
      <c r="B76" s="59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</row>
    <row r="77" spans="1:55" x14ac:dyDescent="0.2">
      <c r="A77" s="58"/>
      <c r="B77" s="59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</row>
    <row r="78" spans="1:55" x14ac:dyDescent="0.2">
      <c r="A78" s="58"/>
      <c r="B78" s="59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</row>
    <row r="79" spans="1:55" x14ac:dyDescent="0.2">
      <c r="A79" s="58"/>
      <c r="B79" s="59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</row>
    <row r="80" spans="1:55" x14ac:dyDescent="0.2">
      <c r="A80" s="58"/>
      <c r="B80" s="59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</row>
    <row r="81" spans="1:55" x14ac:dyDescent="0.2">
      <c r="A81" s="58"/>
      <c r="B81" s="59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</row>
    <row r="82" spans="1:55" x14ac:dyDescent="0.2">
      <c r="A82" s="58"/>
      <c r="B82" s="59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</row>
    <row r="83" spans="1:55" x14ac:dyDescent="0.2">
      <c r="A83" s="58"/>
      <c r="B83" s="59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</row>
    <row r="84" spans="1:55" x14ac:dyDescent="0.2">
      <c r="A84" s="58"/>
      <c r="B84" s="59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</row>
    <row r="85" spans="1:55" x14ac:dyDescent="0.2">
      <c r="A85" s="58"/>
      <c r="B85" s="59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</row>
    <row r="86" spans="1:55" x14ac:dyDescent="0.2">
      <c r="A86" s="58"/>
      <c r="B86" s="59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</row>
    <row r="87" spans="1:55" x14ac:dyDescent="0.2">
      <c r="A87" s="58"/>
      <c r="B87" s="59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</row>
    <row r="88" spans="1:55" x14ac:dyDescent="0.2">
      <c r="A88" s="58"/>
      <c r="B88" s="59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</row>
    <row r="89" spans="1:55" x14ac:dyDescent="0.2">
      <c r="A89" s="58"/>
      <c r="B89" s="59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</row>
    <row r="90" spans="1:55" x14ac:dyDescent="0.2">
      <c r="A90" s="58"/>
      <c r="B90" s="59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</row>
    <row r="91" spans="1:55" x14ac:dyDescent="0.2">
      <c r="A91" s="58"/>
      <c r="B91" s="59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</row>
    <row r="92" spans="1:55" x14ac:dyDescent="0.2">
      <c r="A92" s="58"/>
      <c r="B92" s="59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</row>
    <row r="93" spans="1:55" x14ac:dyDescent="0.2">
      <c r="A93" s="58"/>
      <c r="B93" s="59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</row>
    <row r="94" spans="1:55" x14ac:dyDescent="0.2">
      <c r="A94" s="58"/>
      <c r="B94" s="59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</row>
    <row r="95" spans="1:55" x14ac:dyDescent="0.2">
      <c r="A95" s="58"/>
      <c r="B95" s="59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</row>
    <row r="96" spans="1:55" x14ac:dyDescent="0.2">
      <c r="A96" s="58"/>
      <c r="B96" s="59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</row>
    <row r="97" spans="1:55" x14ac:dyDescent="0.2">
      <c r="A97" s="58"/>
      <c r="B97" s="59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</row>
    <row r="98" spans="1:55" x14ac:dyDescent="0.2">
      <c r="A98" s="58"/>
      <c r="B98" s="59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</row>
    <row r="99" spans="1:55" x14ac:dyDescent="0.2">
      <c r="A99" s="58"/>
      <c r="B99" s="59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</row>
    <row r="100" spans="1:55" x14ac:dyDescent="0.2">
      <c r="A100" s="58"/>
      <c r="B100" s="59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</row>
    <row r="101" spans="1:55" x14ac:dyDescent="0.2">
      <c r="A101" s="58"/>
      <c r="B101" s="59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</row>
    <row r="102" spans="1:55" x14ac:dyDescent="0.2">
      <c r="A102" s="58"/>
      <c r="B102" s="59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</row>
    <row r="103" spans="1:55" x14ac:dyDescent="0.2">
      <c r="A103" s="58"/>
      <c r="B103" s="59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</row>
    <row r="104" spans="1:55" x14ac:dyDescent="0.2">
      <c r="A104" s="58"/>
      <c r="B104" s="59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</row>
    <row r="105" spans="1:55" x14ac:dyDescent="0.2">
      <c r="A105" s="58"/>
      <c r="B105" s="59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</row>
    <row r="106" spans="1:55" x14ac:dyDescent="0.2">
      <c r="A106" s="58"/>
      <c r="B106" s="59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</row>
    <row r="107" spans="1:55" x14ac:dyDescent="0.2">
      <c r="A107" s="58"/>
      <c r="B107" s="5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</row>
    <row r="108" spans="1:55" x14ac:dyDescent="0.2">
      <c r="A108" s="58"/>
      <c r="B108" s="59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</row>
    <row r="109" spans="1:55" x14ac:dyDescent="0.2">
      <c r="A109" s="58"/>
      <c r="B109" s="59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</row>
    <row r="110" spans="1:55" x14ac:dyDescent="0.2">
      <c r="A110" s="58"/>
      <c r="B110" s="59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</row>
    <row r="111" spans="1:55" x14ac:dyDescent="0.2">
      <c r="A111" s="58"/>
      <c r="B111" s="59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</row>
    <row r="112" spans="1:55" x14ac:dyDescent="0.2">
      <c r="A112" s="58"/>
      <c r="B112" s="59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</row>
    <row r="113" spans="1:55" x14ac:dyDescent="0.2">
      <c r="A113" s="58"/>
      <c r="B113" s="59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</row>
    <row r="114" spans="1:55" x14ac:dyDescent="0.2">
      <c r="A114" s="58"/>
      <c r="B114" s="59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</row>
    <row r="115" spans="1:55" x14ac:dyDescent="0.2">
      <c r="A115" s="58"/>
      <c r="B115" s="59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</row>
    <row r="116" spans="1:55" x14ac:dyDescent="0.2">
      <c r="A116" s="58"/>
      <c r="B116" s="59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</row>
    <row r="117" spans="1:55" x14ac:dyDescent="0.2">
      <c r="A117" s="58"/>
      <c r="B117" s="59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</row>
    <row r="118" spans="1:55" x14ac:dyDescent="0.2">
      <c r="A118" s="58"/>
      <c r="B118" s="59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</row>
    <row r="119" spans="1:55" x14ac:dyDescent="0.2">
      <c r="A119" s="58"/>
      <c r="B119" s="59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</row>
    <row r="120" spans="1:55" x14ac:dyDescent="0.2">
      <c r="A120" s="58"/>
      <c r="B120" s="59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</row>
    <row r="121" spans="1:55" x14ac:dyDescent="0.2">
      <c r="A121" s="58"/>
      <c r="B121" s="59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</row>
    <row r="122" spans="1:55" x14ac:dyDescent="0.2">
      <c r="A122" s="58"/>
      <c r="B122" s="59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</row>
    <row r="123" spans="1:55" x14ac:dyDescent="0.2">
      <c r="A123" s="58"/>
      <c r="B123" s="59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</row>
    <row r="124" spans="1:55" x14ac:dyDescent="0.2">
      <c r="A124" s="58"/>
      <c r="B124" s="59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</row>
    <row r="125" spans="1:55" x14ac:dyDescent="0.2">
      <c r="A125" s="58"/>
      <c r="B125" s="59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</row>
    <row r="126" spans="1:55" x14ac:dyDescent="0.2">
      <c r="A126" s="58"/>
      <c r="B126" s="59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</row>
    <row r="127" spans="1:55" x14ac:dyDescent="0.2">
      <c r="A127" s="58"/>
      <c r="B127" s="59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</row>
    <row r="128" spans="1:55" x14ac:dyDescent="0.2">
      <c r="A128" s="58"/>
      <c r="B128" s="59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</row>
    <row r="129" spans="1:55" x14ac:dyDescent="0.2">
      <c r="A129" s="58"/>
      <c r="B129" s="59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</row>
    <row r="130" spans="1:55" x14ac:dyDescent="0.2">
      <c r="A130" s="58"/>
      <c r="B130" s="59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</row>
    <row r="131" spans="1:55" x14ac:dyDescent="0.2">
      <c r="A131" s="58"/>
      <c r="B131" s="59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</row>
    <row r="132" spans="1:55" x14ac:dyDescent="0.2">
      <c r="A132" s="58"/>
      <c r="B132" s="59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</row>
    <row r="133" spans="1:55" x14ac:dyDescent="0.2">
      <c r="A133" s="58"/>
      <c r="B133" s="59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</row>
    <row r="134" spans="1:55" x14ac:dyDescent="0.2">
      <c r="A134" s="58"/>
      <c r="B134" s="59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</row>
    <row r="135" spans="1:55" x14ac:dyDescent="0.2">
      <c r="A135" s="58"/>
      <c r="B135" s="59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</row>
    <row r="136" spans="1:55" x14ac:dyDescent="0.2">
      <c r="A136" s="58"/>
      <c r="B136" s="59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</row>
    <row r="137" spans="1:55" x14ac:dyDescent="0.2">
      <c r="A137" s="58"/>
      <c r="B137" s="59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</row>
    <row r="138" spans="1:55" x14ac:dyDescent="0.2">
      <c r="A138" s="58"/>
      <c r="B138" s="59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</row>
    <row r="139" spans="1:55" x14ac:dyDescent="0.2">
      <c r="A139" s="58"/>
      <c r="B139" s="59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</row>
    <row r="140" spans="1:55" x14ac:dyDescent="0.2">
      <c r="A140" s="58"/>
      <c r="B140" s="59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</row>
    <row r="141" spans="1:55" x14ac:dyDescent="0.2">
      <c r="A141" s="58"/>
      <c r="B141" s="59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</row>
    <row r="142" spans="1:55" x14ac:dyDescent="0.2">
      <c r="A142" s="58"/>
      <c r="B142" s="59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</row>
    <row r="143" spans="1:55" x14ac:dyDescent="0.2">
      <c r="A143" s="58"/>
      <c r="B143" s="59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</row>
    <row r="144" spans="1:55" x14ac:dyDescent="0.2">
      <c r="A144" s="58"/>
      <c r="B144" s="59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</row>
    <row r="145" spans="1:55" x14ac:dyDescent="0.2">
      <c r="A145" s="58"/>
      <c r="B145" s="59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</row>
    <row r="146" spans="1:55" x14ac:dyDescent="0.2">
      <c r="A146" s="58"/>
      <c r="B146" s="59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</row>
    <row r="147" spans="1:55" x14ac:dyDescent="0.2">
      <c r="A147" s="58"/>
      <c r="B147" s="59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</row>
    <row r="148" spans="1:55" x14ac:dyDescent="0.2">
      <c r="A148" s="58"/>
      <c r="B148" s="59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</row>
    <row r="149" spans="1:55" x14ac:dyDescent="0.2">
      <c r="A149" s="58"/>
      <c r="B149" s="59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</row>
    <row r="150" spans="1:55" x14ac:dyDescent="0.2">
      <c r="A150" s="58"/>
      <c r="B150" s="59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</row>
    <row r="151" spans="1:55" x14ac:dyDescent="0.2">
      <c r="A151" s="58"/>
      <c r="B151" s="59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</row>
    <row r="152" spans="1:55" x14ac:dyDescent="0.2">
      <c r="A152" s="58"/>
      <c r="B152" s="59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</row>
    <row r="153" spans="1:55" x14ac:dyDescent="0.2">
      <c r="A153" s="58"/>
      <c r="B153" s="59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</row>
    <row r="154" spans="1:55" x14ac:dyDescent="0.2">
      <c r="A154" s="58"/>
      <c r="B154" s="59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</row>
    <row r="155" spans="1:55" x14ac:dyDescent="0.2">
      <c r="A155" s="58"/>
      <c r="B155" s="59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</row>
    <row r="156" spans="1:55" x14ac:dyDescent="0.2">
      <c r="A156" s="58"/>
      <c r="B156" s="59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</row>
    <row r="157" spans="1:55" x14ac:dyDescent="0.2">
      <c r="A157" s="58"/>
      <c r="B157" s="59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</row>
    <row r="158" spans="1:55" x14ac:dyDescent="0.2">
      <c r="A158" s="58"/>
      <c r="B158" s="59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</row>
    <row r="159" spans="1:55" x14ac:dyDescent="0.2">
      <c r="A159" s="58"/>
      <c r="B159" s="59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</row>
    <row r="160" spans="1:55" x14ac:dyDescent="0.2">
      <c r="A160" s="58"/>
      <c r="B160" s="59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</row>
    <row r="161" spans="1:55" x14ac:dyDescent="0.2">
      <c r="A161" s="58"/>
      <c r="B161" s="59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</row>
    <row r="162" spans="1:55" x14ac:dyDescent="0.2">
      <c r="A162" s="58"/>
      <c r="B162" s="59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</row>
    <row r="163" spans="1:55" x14ac:dyDescent="0.2">
      <c r="A163" s="58"/>
      <c r="B163" s="59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</row>
    <row r="164" spans="1:55" x14ac:dyDescent="0.2">
      <c r="A164" s="58"/>
      <c r="B164" s="59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</row>
    <row r="165" spans="1:55" x14ac:dyDescent="0.2">
      <c r="A165" s="58"/>
      <c r="B165" s="59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</row>
    <row r="166" spans="1:55" x14ac:dyDescent="0.2">
      <c r="A166" s="58"/>
      <c r="B166" s="59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</row>
    <row r="167" spans="1:55" x14ac:dyDescent="0.2">
      <c r="A167" s="58"/>
      <c r="B167" s="59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</row>
    <row r="168" spans="1:55" x14ac:dyDescent="0.2">
      <c r="A168" s="58"/>
      <c r="B168" s="59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</row>
    <row r="169" spans="1:55" x14ac:dyDescent="0.2">
      <c r="A169" s="58"/>
      <c r="B169" s="59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</row>
    <row r="170" spans="1:55" x14ac:dyDescent="0.2">
      <c r="A170" s="58"/>
      <c r="B170" s="59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</row>
    <row r="171" spans="1:55" x14ac:dyDescent="0.2">
      <c r="A171" s="58"/>
      <c r="B171" s="59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</row>
    <row r="172" spans="1:55" x14ac:dyDescent="0.2">
      <c r="A172" s="58"/>
      <c r="B172" s="59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</row>
    <row r="173" spans="1:55" x14ac:dyDescent="0.2">
      <c r="A173" s="58"/>
      <c r="B173" s="59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</row>
    <row r="174" spans="1:55" x14ac:dyDescent="0.2">
      <c r="A174" s="58"/>
      <c r="B174" s="59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</row>
    <row r="175" spans="1:55" x14ac:dyDescent="0.2">
      <c r="A175" s="58"/>
      <c r="B175" s="59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</row>
    <row r="176" spans="1:55" x14ac:dyDescent="0.2">
      <c r="A176" s="58"/>
      <c r="B176" s="59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</row>
    <row r="177" spans="1:55" x14ac:dyDescent="0.2">
      <c r="A177" s="58"/>
      <c r="B177" s="59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</row>
    <row r="178" spans="1:55" x14ac:dyDescent="0.2">
      <c r="A178" s="58"/>
      <c r="B178" s="59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</row>
    <row r="179" spans="1:55" x14ac:dyDescent="0.2">
      <c r="A179" s="58"/>
      <c r="B179" s="59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</row>
    <row r="180" spans="1:55" x14ac:dyDescent="0.2">
      <c r="A180" s="58"/>
      <c r="B180" s="59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</row>
    <row r="181" spans="1:55" x14ac:dyDescent="0.2">
      <c r="A181" s="58"/>
      <c r="B181" s="59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</row>
    <row r="182" spans="1:55" x14ac:dyDescent="0.2">
      <c r="A182" s="58"/>
      <c r="B182" s="59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</row>
    <row r="183" spans="1:55" x14ac:dyDescent="0.2">
      <c r="A183" s="58"/>
      <c r="B183" s="59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</row>
    <row r="184" spans="1:55" x14ac:dyDescent="0.2">
      <c r="A184" s="58"/>
      <c r="B184" s="59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</row>
    <row r="185" spans="1:55" x14ac:dyDescent="0.2">
      <c r="A185" s="58"/>
      <c r="B185" s="59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</row>
    <row r="186" spans="1:55" x14ac:dyDescent="0.2">
      <c r="A186" s="58"/>
      <c r="B186" s="59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</row>
    <row r="187" spans="1:55" x14ac:dyDescent="0.2">
      <c r="A187" s="58"/>
      <c r="B187" s="59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</row>
    <row r="188" spans="1:55" x14ac:dyDescent="0.2">
      <c r="A188" s="58"/>
      <c r="B188" s="59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</row>
    <row r="189" spans="1:55" x14ac:dyDescent="0.2">
      <c r="A189" s="58"/>
      <c r="B189" s="59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</row>
    <row r="190" spans="1:55" x14ac:dyDescent="0.2">
      <c r="A190" s="58"/>
      <c r="B190" s="59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</row>
    <row r="191" spans="1:55" x14ac:dyDescent="0.2">
      <c r="A191" s="58"/>
      <c r="B191" s="59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</row>
    <row r="192" spans="1:55" x14ac:dyDescent="0.2">
      <c r="A192" s="58"/>
      <c r="B192" s="59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</row>
    <row r="193" spans="1:55" x14ac:dyDescent="0.2">
      <c r="A193" s="58"/>
      <c r="B193" s="59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</row>
    <row r="194" spans="1:55" x14ac:dyDescent="0.2">
      <c r="A194" s="58"/>
      <c r="B194" s="59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</row>
    <row r="195" spans="1:55" x14ac:dyDescent="0.2">
      <c r="A195" s="58"/>
      <c r="B195" s="59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</row>
    <row r="196" spans="1:55" x14ac:dyDescent="0.2">
      <c r="A196" s="58"/>
      <c r="B196" s="59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</row>
    <row r="197" spans="1:55" x14ac:dyDescent="0.2">
      <c r="A197" s="58"/>
      <c r="B197" s="59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</row>
    <row r="198" spans="1:55" x14ac:dyDescent="0.2">
      <c r="A198" s="58"/>
      <c r="B198" s="59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</row>
    <row r="199" spans="1:55" x14ac:dyDescent="0.2">
      <c r="A199" s="58"/>
      <c r="B199" s="59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</row>
    <row r="200" spans="1:55" x14ac:dyDescent="0.2">
      <c r="A200" s="58"/>
      <c r="B200" s="59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</row>
    <row r="201" spans="1:55" x14ac:dyDescent="0.2">
      <c r="A201" s="58"/>
      <c r="B201" s="59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</row>
    <row r="202" spans="1:55" x14ac:dyDescent="0.2">
      <c r="A202" s="58"/>
      <c r="B202" s="59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</row>
    <row r="203" spans="1:55" x14ac:dyDescent="0.2">
      <c r="A203" s="58"/>
      <c r="B203" s="59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</row>
    <row r="204" spans="1:55" x14ac:dyDescent="0.2">
      <c r="A204" s="58"/>
      <c r="B204" s="59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</row>
    <row r="205" spans="1:55" x14ac:dyDescent="0.2">
      <c r="A205" s="58"/>
      <c r="B205" s="59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</row>
    <row r="206" spans="1:55" x14ac:dyDescent="0.2">
      <c r="A206" s="58"/>
      <c r="B206" s="59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</row>
    <row r="207" spans="1:55" x14ac:dyDescent="0.2">
      <c r="A207" s="58"/>
      <c r="B207" s="59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</row>
    <row r="208" spans="1:55" x14ac:dyDescent="0.2">
      <c r="A208" s="58"/>
      <c r="B208" s="59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</row>
    <row r="209" spans="1:55" x14ac:dyDescent="0.2">
      <c r="A209" s="58"/>
      <c r="B209" s="59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</row>
    <row r="210" spans="1:55" x14ac:dyDescent="0.2">
      <c r="A210" s="58"/>
      <c r="B210" s="59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</row>
    <row r="211" spans="1:55" x14ac:dyDescent="0.2">
      <c r="A211" s="58"/>
      <c r="B211" s="59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</row>
    <row r="212" spans="1:55" x14ac:dyDescent="0.2">
      <c r="A212" s="58"/>
      <c r="B212" s="59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</row>
    <row r="213" spans="1:55" x14ac:dyDescent="0.2">
      <c r="A213" s="58"/>
      <c r="B213" s="59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</row>
    <row r="214" spans="1:55" x14ac:dyDescent="0.2">
      <c r="A214" s="58"/>
      <c r="B214" s="59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</row>
    <row r="215" spans="1:55" x14ac:dyDescent="0.2">
      <c r="A215" s="58"/>
      <c r="B215" s="59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</row>
    <row r="216" spans="1:55" x14ac:dyDescent="0.2">
      <c r="A216" s="58"/>
      <c r="B216" s="59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</row>
    <row r="217" spans="1:55" x14ac:dyDescent="0.2">
      <c r="A217" s="58"/>
      <c r="B217" s="59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</row>
    <row r="218" spans="1:55" x14ac:dyDescent="0.2">
      <c r="A218" s="58"/>
      <c r="B218" s="59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</row>
    <row r="219" spans="1:55" x14ac:dyDescent="0.2">
      <c r="A219" s="58"/>
      <c r="B219" s="59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</row>
    <row r="220" spans="1:55" x14ac:dyDescent="0.2">
      <c r="A220" s="58"/>
      <c r="B220" s="59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</row>
    <row r="221" spans="1:55" x14ac:dyDescent="0.2">
      <c r="A221" s="58"/>
      <c r="B221" s="59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</row>
    <row r="222" spans="1:55" x14ac:dyDescent="0.2">
      <c r="A222" s="58"/>
      <c r="B222" s="59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</row>
    <row r="223" spans="1:55" x14ac:dyDescent="0.2">
      <c r="A223" s="58"/>
      <c r="B223" s="59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</row>
    <row r="224" spans="1:55" x14ac:dyDescent="0.2">
      <c r="A224" s="58"/>
      <c r="B224" s="59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</row>
    <row r="225" spans="1:55" x14ac:dyDescent="0.2">
      <c r="A225" s="58"/>
      <c r="B225" s="59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</row>
    <row r="226" spans="1:55" x14ac:dyDescent="0.2">
      <c r="A226" s="58"/>
      <c r="B226" s="59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</row>
    <row r="227" spans="1:55" x14ac:dyDescent="0.2">
      <c r="A227" s="58"/>
      <c r="B227" s="59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</row>
    <row r="228" spans="1:55" x14ac:dyDescent="0.2">
      <c r="A228" s="58"/>
      <c r="B228" s="59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</row>
    <row r="229" spans="1:55" x14ac:dyDescent="0.2">
      <c r="A229" s="58"/>
      <c r="B229" s="59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</row>
    <row r="230" spans="1:55" x14ac:dyDescent="0.2">
      <c r="A230" s="58"/>
      <c r="B230" s="59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</row>
    <row r="231" spans="1:55" x14ac:dyDescent="0.2">
      <c r="A231" s="58"/>
      <c r="B231" s="59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</row>
    <row r="232" spans="1:55" x14ac:dyDescent="0.2">
      <c r="A232" s="58"/>
      <c r="B232" s="59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</row>
    <row r="233" spans="1:55" x14ac:dyDescent="0.2">
      <c r="A233" s="58"/>
      <c r="B233" s="59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</row>
    <row r="234" spans="1:55" x14ac:dyDescent="0.2">
      <c r="A234" s="58"/>
      <c r="B234" s="59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</row>
    <row r="235" spans="1:55" x14ac:dyDescent="0.2">
      <c r="A235" s="58"/>
      <c r="B235" s="59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</row>
    <row r="236" spans="1:55" x14ac:dyDescent="0.2">
      <c r="A236" s="58"/>
      <c r="B236" s="59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</row>
    <row r="237" spans="1:55" x14ac:dyDescent="0.2">
      <c r="A237" s="58"/>
      <c r="B237" s="59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</row>
    <row r="238" spans="1:55" x14ac:dyDescent="0.2">
      <c r="A238" s="58"/>
      <c r="B238" s="59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</row>
    <row r="239" spans="1:55" x14ac:dyDescent="0.2">
      <c r="A239" s="58"/>
      <c r="B239" s="59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</row>
    <row r="240" spans="1:55" x14ac:dyDescent="0.2">
      <c r="A240" s="58"/>
      <c r="B240" s="59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</row>
    <row r="241" spans="1:55" x14ac:dyDescent="0.2">
      <c r="A241" s="58"/>
      <c r="B241" s="59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</row>
    <row r="242" spans="1:55" x14ac:dyDescent="0.2">
      <c r="A242" s="58"/>
      <c r="B242" s="59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</row>
    <row r="243" spans="1:55" x14ac:dyDescent="0.2">
      <c r="A243" s="58"/>
      <c r="B243" s="59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</row>
    <row r="244" spans="1:55" x14ac:dyDescent="0.2">
      <c r="A244" s="58"/>
      <c r="B244" s="59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</row>
    <row r="245" spans="1:55" x14ac:dyDescent="0.2">
      <c r="A245" s="58"/>
      <c r="B245" s="59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</row>
    <row r="246" spans="1:55" x14ac:dyDescent="0.2">
      <c r="A246" s="58"/>
      <c r="B246" s="59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</row>
    <row r="247" spans="1:55" x14ac:dyDescent="0.2">
      <c r="A247" s="58"/>
      <c r="B247" s="59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</row>
    <row r="248" spans="1:55" x14ac:dyDescent="0.2">
      <c r="A248" s="58"/>
      <c r="B248" s="59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</row>
    <row r="249" spans="1:55" x14ac:dyDescent="0.2">
      <c r="A249" s="58"/>
      <c r="B249" s="59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</row>
    <row r="250" spans="1:55" x14ac:dyDescent="0.2">
      <c r="A250" s="58"/>
      <c r="B250" s="59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</row>
    <row r="251" spans="1:55" x14ac:dyDescent="0.2">
      <c r="A251" s="58"/>
      <c r="B251" s="59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</row>
    <row r="252" spans="1:55" x14ac:dyDescent="0.2">
      <c r="A252" s="58"/>
      <c r="B252" s="59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</row>
    <row r="253" spans="1:55" x14ac:dyDescent="0.2">
      <c r="A253" s="58"/>
      <c r="B253" s="59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</row>
    <row r="254" spans="1:55" x14ac:dyDescent="0.2">
      <c r="A254" s="58"/>
      <c r="B254" s="59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</row>
    <row r="255" spans="1:55" x14ac:dyDescent="0.2">
      <c r="A255" s="58"/>
      <c r="B255" s="59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</row>
    <row r="256" spans="1:55" x14ac:dyDescent="0.2">
      <c r="A256" s="58"/>
      <c r="B256" s="59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</row>
    <row r="257" spans="1:55" x14ac:dyDescent="0.2">
      <c r="A257" s="58"/>
      <c r="B257" s="59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</row>
    <row r="258" spans="1:55" x14ac:dyDescent="0.2">
      <c r="A258" s="58"/>
      <c r="B258" s="59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</row>
    <row r="259" spans="1:55" x14ac:dyDescent="0.2">
      <c r="A259" s="58"/>
      <c r="B259" s="59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</row>
    <row r="260" spans="1:55" x14ac:dyDescent="0.2">
      <c r="A260" s="58"/>
      <c r="B260" s="59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</row>
    <row r="261" spans="1:55" x14ac:dyDescent="0.2">
      <c r="A261" s="58"/>
      <c r="B261" s="59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</row>
    <row r="262" spans="1:55" x14ac:dyDescent="0.2">
      <c r="A262" s="58"/>
      <c r="B262" s="59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</row>
    <row r="263" spans="1:55" x14ac:dyDescent="0.2">
      <c r="A263" s="58"/>
      <c r="B263" s="59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</row>
    <row r="264" spans="1:55" x14ac:dyDescent="0.2">
      <c r="A264" s="58"/>
      <c r="B264" s="59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</row>
    <row r="265" spans="1:55" x14ac:dyDescent="0.2">
      <c r="A265" s="58"/>
      <c r="B265" s="59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</row>
    <row r="266" spans="1:55" x14ac:dyDescent="0.2">
      <c r="A266" s="58"/>
      <c r="B266" s="59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</row>
    <row r="267" spans="1:55" x14ac:dyDescent="0.2">
      <c r="A267" s="58"/>
      <c r="B267" s="59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</row>
    <row r="268" spans="1:55" x14ac:dyDescent="0.2">
      <c r="A268" s="58"/>
      <c r="B268" s="59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</row>
    <row r="269" spans="1:55" x14ac:dyDescent="0.2">
      <c r="A269" s="58"/>
      <c r="B269" s="59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</row>
    <row r="270" spans="1:55" x14ac:dyDescent="0.2">
      <c r="A270" s="58"/>
      <c r="B270" s="59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</row>
    <row r="271" spans="1:55" x14ac:dyDescent="0.2">
      <c r="A271" s="58"/>
      <c r="B271" s="59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</row>
    <row r="272" spans="1:55" x14ac:dyDescent="0.2">
      <c r="A272" s="58"/>
      <c r="B272" s="59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</row>
    <row r="273" spans="1:55" x14ac:dyDescent="0.2">
      <c r="A273" s="58"/>
      <c r="B273" s="59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</row>
    <row r="274" spans="1:55" x14ac:dyDescent="0.2">
      <c r="A274" s="58"/>
      <c r="B274" s="59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</row>
    <row r="275" spans="1:55" x14ac:dyDescent="0.2">
      <c r="A275" s="58"/>
      <c r="B275" s="59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</row>
    <row r="276" spans="1:55" x14ac:dyDescent="0.2">
      <c r="A276" s="58"/>
      <c r="B276" s="59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</row>
    <row r="277" spans="1:55" x14ac:dyDescent="0.2">
      <c r="A277" s="58"/>
      <c r="B277" s="59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</row>
    <row r="278" spans="1:55" x14ac:dyDescent="0.2">
      <c r="A278" s="58"/>
      <c r="B278" s="59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</row>
    <row r="279" spans="1:55" x14ac:dyDescent="0.2">
      <c r="A279" s="58"/>
      <c r="B279" s="59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</row>
    <row r="280" spans="1:55" x14ac:dyDescent="0.2">
      <c r="A280" s="58"/>
      <c r="B280" s="59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</row>
    <row r="281" spans="1:55" x14ac:dyDescent="0.2">
      <c r="A281" s="58"/>
      <c r="B281" s="59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</row>
    <row r="282" spans="1:55" x14ac:dyDescent="0.2">
      <c r="A282" s="58"/>
      <c r="B282" s="59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</row>
    <row r="283" spans="1:55" x14ac:dyDescent="0.2">
      <c r="A283" s="58"/>
      <c r="B283" s="59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</row>
    <row r="284" spans="1:55" x14ac:dyDescent="0.2">
      <c r="A284" s="58"/>
      <c r="B284" s="59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</row>
    <row r="285" spans="1:55" x14ac:dyDescent="0.2">
      <c r="A285" s="58"/>
      <c r="B285" s="59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</row>
    <row r="286" spans="1:55" x14ac:dyDescent="0.2">
      <c r="A286" s="58"/>
      <c r="B286" s="59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</row>
    <row r="287" spans="1:55" x14ac:dyDescent="0.2">
      <c r="A287" s="58"/>
      <c r="B287" s="59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</row>
    <row r="288" spans="1:55" x14ac:dyDescent="0.2">
      <c r="A288" s="58"/>
      <c r="B288" s="59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</row>
    <row r="289" spans="1:55" x14ac:dyDescent="0.2">
      <c r="A289" s="58"/>
      <c r="B289" s="59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</row>
    <row r="290" spans="1:55" x14ac:dyDescent="0.2">
      <c r="A290" s="58"/>
      <c r="B290" s="59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</row>
    <row r="291" spans="1:55" x14ac:dyDescent="0.2">
      <c r="A291" s="58"/>
      <c r="B291" s="59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</row>
    <row r="292" spans="1:55" x14ac:dyDescent="0.2">
      <c r="A292" s="58"/>
      <c r="B292" s="59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</row>
    <row r="293" spans="1:55" x14ac:dyDescent="0.2">
      <c r="A293" s="58"/>
      <c r="B293" s="59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</row>
    <row r="294" spans="1:55" x14ac:dyDescent="0.2">
      <c r="A294" s="58"/>
      <c r="B294" s="59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</row>
    <row r="295" spans="1:55" x14ac:dyDescent="0.2">
      <c r="A295" s="58"/>
      <c r="B295" s="59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</row>
    <row r="296" spans="1:55" x14ac:dyDescent="0.2">
      <c r="A296" s="58"/>
      <c r="B296" s="59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</row>
    <row r="297" spans="1:55" x14ac:dyDescent="0.2">
      <c r="A297" s="58"/>
      <c r="B297" s="59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</row>
    <row r="298" spans="1:55" x14ac:dyDescent="0.2">
      <c r="A298" s="58"/>
      <c r="B298" s="59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</row>
    <row r="299" spans="1:55" x14ac:dyDescent="0.2">
      <c r="A299" s="58"/>
      <c r="B299" s="59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</row>
    <row r="300" spans="1:55" x14ac:dyDescent="0.2">
      <c r="A300" s="58"/>
      <c r="B300" s="59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</row>
    <row r="301" spans="1:55" x14ac:dyDescent="0.2">
      <c r="A301" s="58"/>
      <c r="B301" s="59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</row>
    <row r="302" spans="1:55" x14ac:dyDescent="0.2">
      <c r="A302" s="58"/>
      <c r="B302" s="59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</row>
    <row r="303" spans="1:55" x14ac:dyDescent="0.2">
      <c r="A303" s="58"/>
      <c r="B303" s="59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</row>
    <row r="304" spans="1:55" x14ac:dyDescent="0.2">
      <c r="A304" s="58"/>
      <c r="B304" s="59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</row>
    <row r="305" spans="1:55" x14ac:dyDescent="0.2">
      <c r="A305" s="58"/>
      <c r="B305" s="59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</row>
    <row r="306" spans="1:55" x14ac:dyDescent="0.2">
      <c r="A306" s="58"/>
      <c r="B306" s="59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</row>
    <row r="307" spans="1:55" x14ac:dyDescent="0.2">
      <c r="A307" s="58"/>
      <c r="B307" s="59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</row>
    <row r="308" spans="1:55" x14ac:dyDescent="0.2">
      <c r="A308" s="58"/>
      <c r="B308" s="59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</row>
    <row r="309" spans="1:55" x14ac:dyDescent="0.2">
      <c r="A309" s="58"/>
      <c r="B309" s="59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</row>
    <row r="310" spans="1:55" x14ac:dyDescent="0.2">
      <c r="A310" s="58"/>
      <c r="B310" s="59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</row>
    <row r="311" spans="1:55" x14ac:dyDescent="0.2">
      <c r="A311" s="58"/>
      <c r="B311" s="59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</row>
    <row r="312" spans="1:55" x14ac:dyDescent="0.2">
      <c r="A312" s="58"/>
      <c r="B312" s="59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</row>
    <row r="313" spans="1:55" x14ac:dyDescent="0.2">
      <c r="A313" s="58"/>
      <c r="B313" s="59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</row>
    <row r="314" spans="1:55" x14ac:dyDescent="0.2">
      <c r="A314" s="58"/>
      <c r="B314" s="59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</row>
    <row r="315" spans="1:55" x14ac:dyDescent="0.2">
      <c r="A315" s="58"/>
      <c r="B315" s="59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</row>
    <row r="316" spans="1:55" x14ac:dyDescent="0.2">
      <c r="A316" s="58"/>
      <c r="B316" s="59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</row>
    <row r="317" spans="1:55" x14ac:dyDescent="0.2">
      <c r="A317" s="58"/>
      <c r="B317" s="59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</row>
    <row r="318" spans="1:55" x14ac:dyDescent="0.2">
      <c r="A318" s="58"/>
      <c r="B318" s="59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</row>
    <row r="319" spans="1:55" x14ac:dyDescent="0.2">
      <c r="A319" s="58"/>
      <c r="B319" s="59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</row>
    <row r="320" spans="1:55" x14ac:dyDescent="0.2">
      <c r="A320" s="58"/>
      <c r="B320" s="59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</row>
    <row r="321" spans="1:55" x14ac:dyDescent="0.2">
      <c r="A321" s="58"/>
      <c r="B321" s="59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</row>
    <row r="322" spans="1:55" x14ac:dyDescent="0.2">
      <c r="A322" s="58"/>
      <c r="B322" s="59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</row>
    <row r="323" spans="1:55" x14ac:dyDescent="0.2">
      <c r="A323" s="58"/>
      <c r="B323" s="59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</row>
    <row r="324" spans="1:55" x14ac:dyDescent="0.2">
      <c r="A324" s="58"/>
      <c r="B324" s="59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</row>
    <row r="325" spans="1:55" x14ac:dyDescent="0.2">
      <c r="A325" s="58"/>
      <c r="B325" s="59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</row>
    <row r="326" spans="1:55" x14ac:dyDescent="0.2">
      <c r="A326" s="58"/>
      <c r="B326" s="59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</row>
    <row r="327" spans="1:55" x14ac:dyDescent="0.2">
      <c r="A327" s="58"/>
      <c r="B327" s="59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</row>
    <row r="328" spans="1:55" x14ac:dyDescent="0.2">
      <c r="A328" s="58"/>
      <c r="B328" s="59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</row>
    <row r="329" spans="1:55" x14ac:dyDescent="0.2">
      <c r="A329" s="58"/>
      <c r="B329" s="59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</row>
    <row r="330" spans="1:55" x14ac:dyDescent="0.2">
      <c r="A330" s="58"/>
      <c r="B330" s="59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</row>
    <row r="331" spans="1:55" x14ac:dyDescent="0.2">
      <c r="A331" s="58"/>
      <c r="B331" s="59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</row>
    <row r="332" spans="1:55" x14ac:dyDescent="0.2">
      <c r="A332" s="58"/>
      <c r="B332" s="59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</row>
    <row r="333" spans="1:55" x14ac:dyDescent="0.2">
      <c r="A333" s="58"/>
      <c r="B333" s="59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</row>
    <row r="334" spans="1:55" x14ac:dyDescent="0.2">
      <c r="A334" s="58"/>
      <c r="B334" s="59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</row>
    <row r="335" spans="1:55" x14ac:dyDescent="0.2">
      <c r="A335" s="58"/>
      <c r="B335" s="59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</row>
    <row r="336" spans="1:55" x14ac:dyDescent="0.2">
      <c r="A336" s="58"/>
      <c r="B336" s="59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</row>
    <row r="337" spans="1:55" x14ac:dyDescent="0.2">
      <c r="A337" s="58"/>
      <c r="B337" s="59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</row>
    <row r="338" spans="1:55" x14ac:dyDescent="0.2">
      <c r="A338" s="58"/>
      <c r="B338" s="59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</row>
    <row r="339" spans="1:55" x14ac:dyDescent="0.2">
      <c r="A339" s="58"/>
      <c r="B339" s="59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</row>
    <row r="340" spans="1:55" x14ac:dyDescent="0.2">
      <c r="A340" s="58"/>
      <c r="B340" s="59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</row>
    <row r="341" spans="1:55" x14ac:dyDescent="0.2">
      <c r="A341" s="58"/>
      <c r="B341" s="59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</row>
    <row r="342" spans="1:55" x14ac:dyDescent="0.2">
      <c r="A342" s="58"/>
      <c r="B342" s="59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</row>
    <row r="343" spans="1:55" x14ac:dyDescent="0.2">
      <c r="A343" s="58"/>
      <c r="B343" s="59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</row>
    <row r="344" spans="1:55" x14ac:dyDescent="0.2">
      <c r="A344" s="58"/>
      <c r="B344" s="59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</row>
    <row r="345" spans="1:55" x14ac:dyDescent="0.2">
      <c r="A345" s="58"/>
      <c r="B345" s="59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</row>
    <row r="346" spans="1:55" x14ac:dyDescent="0.2">
      <c r="A346" s="58"/>
      <c r="B346" s="59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</row>
    <row r="347" spans="1:55" x14ac:dyDescent="0.2">
      <c r="A347" s="58"/>
      <c r="B347" s="59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</row>
    <row r="348" spans="1:55" x14ac:dyDescent="0.2">
      <c r="A348" s="58"/>
      <c r="B348" s="59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</row>
    <row r="349" spans="1:55" x14ac:dyDescent="0.2">
      <c r="A349" s="58"/>
      <c r="B349" s="59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</row>
    <row r="350" spans="1:55" x14ac:dyDescent="0.2">
      <c r="A350" s="58"/>
      <c r="B350" s="59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</row>
    <row r="351" spans="1:55" x14ac:dyDescent="0.2">
      <c r="A351" s="58"/>
      <c r="B351" s="59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</row>
    <row r="352" spans="1:55" x14ac:dyDescent="0.2">
      <c r="A352" s="58"/>
      <c r="B352" s="59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</row>
    <row r="353" spans="1:55" x14ac:dyDescent="0.2">
      <c r="A353" s="58"/>
      <c r="B353" s="59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</row>
    <row r="354" spans="1:55" x14ac:dyDescent="0.2">
      <c r="A354" s="58"/>
      <c r="B354" s="59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</row>
    <row r="355" spans="1:55" x14ac:dyDescent="0.2">
      <c r="A355" s="58"/>
      <c r="B355" s="59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</row>
    <row r="356" spans="1:55" x14ac:dyDescent="0.2">
      <c r="A356" s="58"/>
      <c r="B356" s="59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</row>
    <row r="357" spans="1:55" x14ac:dyDescent="0.2">
      <c r="A357" s="58"/>
      <c r="B357" s="59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</row>
    <row r="358" spans="1:55" x14ac:dyDescent="0.2">
      <c r="A358" s="58"/>
      <c r="B358" s="59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</row>
    <row r="359" spans="1:55" x14ac:dyDescent="0.2">
      <c r="A359" s="58"/>
      <c r="B359" s="59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</row>
    <row r="360" spans="1:55" x14ac:dyDescent="0.2">
      <c r="A360" s="58"/>
      <c r="B360" s="59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</row>
    <row r="361" spans="1:55" x14ac:dyDescent="0.2">
      <c r="A361" s="58"/>
      <c r="B361" s="59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</row>
    <row r="362" spans="1:55" x14ac:dyDescent="0.2">
      <c r="A362" s="58"/>
      <c r="B362" s="59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</row>
    <row r="363" spans="1:55" x14ac:dyDescent="0.2">
      <c r="A363" s="58"/>
      <c r="B363" s="59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</row>
    <row r="364" spans="1:55" x14ac:dyDescent="0.2">
      <c r="A364" s="58"/>
      <c r="B364" s="59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</row>
    <row r="365" spans="1:55" x14ac:dyDescent="0.2">
      <c r="A365" s="58"/>
      <c r="B365" s="59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</row>
    <row r="366" spans="1:55" x14ac:dyDescent="0.2">
      <c r="A366" s="58"/>
      <c r="B366" s="59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</row>
    <row r="367" spans="1:55" x14ac:dyDescent="0.2">
      <c r="A367" s="58"/>
      <c r="B367" s="59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</row>
    <row r="368" spans="1:55" x14ac:dyDescent="0.2">
      <c r="A368" s="58"/>
      <c r="B368" s="59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</row>
    <row r="369" spans="1:55" x14ac:dyDescent="0.2">
      <c r="A369" s="58"/>
      <c r="B369" s="59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</row>
    <row r="370" spans="1:55" x14ac:dyDescent="0.2">
      <c r="A370" s="58"/>
      <c r="B370" s="59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</row>
    <row r="371" spans="1:55" x14ac:dyDescent="0.2">
      <c r="A371" s="58"/>
      <c r="B371" s="59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</row>
    <row r="372" spans="1:55" x14ac:dyDescent="0.2">
      <c r="A372" s="58"/>
      <c r="B372" s="59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</row>
    <row r="373" spans="1:55" x14ac:dyDescent="0.2">
      <c r="A373" s="58"/>
      <c r="B373" s="59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</row>
    <row r="374" spans="1:55" x14ac:dyDescent="0.2">
      <c r="A374" s="58"/>
      <c r="B374" s="59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</row>
    <row r="375" spans="1:55" x14ac:dyDescent="0.2">
      <c r="A375" s="58"/>
      <c r="B375" s="59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</row>
    <row r="376" spans="1:55" x14ac:dyDescent="0.2">
      <c r="A376" s="58"/>
      <c r="B376" s="59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</row>
    <row r="377" spans="1:55" x14ac:dyDescent="0.2">
      <c r="A377" s="58"/>
      <c r="B377" s="59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</row>
    <row r="378" spans="1:55" x14ac:dyDescent="0.2">
      <c r="A378" s="58"/>
      <c r="B378" s="59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</row>
    <row r="379" spans="1:55" x14ac:dyDescent="0.2">
      <c r="A379" s="58"/>
      <c r="B379" s="59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</row>
    <row r="380" spans="1:55" x14ac:dyDescent="0.2">
      <c r="A380" s="58"/>
      <c r="B380" s="59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</row>
    <row r="381" spans="1:55" x14ac:dyDescent="0.2">
      <c r="A381" s="58"/>
      <c r="B381" s="59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</row>
    <row r="382" spans="1:55" x14ac:dyDescent="0.2">
      <c r="A382" s="58"/>
      <c r="B382" s="59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</row>
    <row r="383" spans="1:55" x14ac:dyDescent="0.2">
      <c r="A383" s="58"/>
      <c r="B383" s="59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</row>
    <row r="384" spans="1:55" x14ac:dyDescent="0.2">
      <c r="A384" s="58"/>
      <c r="B384" s="59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</row>
    <row r="385" spans="1:55" x14ac:dyDescent="0.2">
      <c r="A385" s="58"/>
      <c r="B385" s="59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</row>
    <row r="386" spans="1:55" x14ac:dyDescent="0.2">
      <c r="A386" s="58"/>
      <c r="B386" s="59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</row>
    <row r="387" spans="1:55" x14ac:dyDescent="0.2">
      <c r="A387" s="58"/>
      <c r="B387" s="59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</row>
    <row r="388" spans="1:55" x14ac:dyDescent="0.2">
      <c r="A388" s="58"/>
      <c r="B388" s="59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</row>
    <row r="389" spans="1:55" x14ac:dyDescent="0.2">
      <c r="A389" s="58"/>
      <c r="B389" s="59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</row>
    <row r="390" spans="1:55" x14ac:dyDescent="0.2">
      <c r="A390" s="58"/>
      <c r="B390" s="59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</row>
    <row r="391" spans="1:55" x14ac:dyDescent="0.2">
      <c r="A391" s="58"/>
      <c r="B391" s="59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</row>
    <row r="392" spans="1:55" x14ac:dyDescent="0.2">
      <c r="A392" s="58"/>
      <c r="B392" s="59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</row>
    <row r="393" spans="1:55" x14ac:dyDescent="0.2">
      <c r="A393" s="58"/>
      <c r="B393" s="59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</row>
    <row r="394" spans="1:55" x14ac:dyDescent="0.2">
      <c r="A394" s="58"/>
      <c r="B394" s="59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</row>
    <row r="395" spans="1:55" x14ac:dyDescent="0.2">
      <c r="A395" s="58"/>
      <c r="B395" s="59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</row>
    <row r="396" spans="1:55" x14ac:dyDescent="0.2">
      <c r="A396" s="58"/>
      <c r="B396" s="59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</row>
    <row r="397" spans="1:55" x14ac:dyDescent="0.2">
      <c r="A397" s="58"/>
      <c r="B397" s="59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</row>
    <row r="398" spans="1:55" x14ac:dyDescent="0.2">
      <c r="A398" s="58"/>
      <c r="B398" s="59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</row>
    <row r="399" spans="1:55" x14ac:dyDescent="0.2">
      <c r="A399" s="58"/>
      <c r="B399" s="59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</row>
    <row r="400" spans="1:55" x14ac:dyDescent="0.2">
      <c r="A400" s="58"/>
      <c r="B400" s="59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</row>
    <row r="401" spans="1:55" x14ac:dyDescent="0.2">
      <c r="A401" s="58"/>
      <c r="B401" s="59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</row>
    <row r="402" spans="1:55" x14ac:dyDescent="0.2">
      <c r="A402" s="58"/>
      <c r="B402" s="59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</row>
    <row r="403" spans="1:55" x14ac:dyDescent="0.2">
      <c r="A403" s="58"/>
      <c r="B403" s="59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</row>
    <row r="404" spans="1:55" x14ac:dyDescent="0.2">
      <c r="A404" s="58"/>
      <c r="B404" s="59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</row>
    <row r="405" spans="1:55" x14ac:dyDescent="0.2">
      <c r="A405" s="58"/>
      <c r="B405" s="59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</row>
    <row r="406" spans="1:55" x14ac:dyDescent="0.2">
      <c r="A406" s="58"/>
      <c r="B406" s="59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</row>
    <row r="407" spans="1:55" x14ac:dyDescent="0.2">
      <c r="A407" s="58"/>
      <c r="B407" s="59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</row>
    <row r="408" spans="1:55" x14ac:dyDescent="0.2">
      <c r="A408" s="58"/>
      <c r="B408" s="59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</row>
    <row r="409" spans="1:55" x14ac:dyDescent="0.2">
      <c r="A409" s="58"/>
      <c r="B409" s="59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</row>
    <row r="410" spans="1:55" x14ac:dyDescent="0.2">
      <c r="A410" s="58"/>
      <c r="B410" s="59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</row>
    <row r="411" spans="1:55" x14ac:dyDescent="0.2">
      <c r="A411" s="58"/>
      <c r="B411" s="59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</row>
    <row r="412" spans="1:55" x14ac:dyDescent="0.2">
      <c r="A412" s="58"/>
      <c r="B412" s="59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</row>
    <row r="413" spans="1:55" x14ac:dyDescent="0.2">
      <c r="A413" s="58"/>
      <c r="B413" s="59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</row>
    <row r="414" spans="1:55" x14ac:dyDescent="0.2">
      <c r="A414" s="58"/>
      <c r="B414" s="59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</row>
    <row r="415" spans="1:55" x14ac:dyDescent="0.2">
      <c r="A415" s="58"/>
      <c r="B415" s="59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</row>
    <row r="416" spans="1:55" x14ac:dyDescent="0.2">
      <c r="A416" s="58"/>
      <c r="B416" s="59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</row>
    <row r="417" spans="1:55" x14ac:dyDescent="0.2">
      <c r="A417" s="58"/>
      <c r="B417" s="59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</row>
    <row r="418" spans="1:55" x14ac:dyDescent="0.2">
      <c r="A418" s="58"/>
      <c r="B418" s="59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</row>
    <row r="419" spans="1:55" x14ac:dyDescent="0.2">
      <c r="A419" s="58"/>
      <c r="B419" s="59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</row>
    <row r="420" spans="1:55" x14ac:dyDescent="0.2">
      <c r="A420" s="58"/>
      <c r="B420" s="59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</row>
    <row r="421" spans="1:55" x14ac:dyDescent="0.2">
      <c r="A421" s="58"/>
      <c r="B421" s="59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</row>
    <row r="422" spans="1:55" x14ac:dyDescent="0.2">
      <c r="A422" s="58"/>
      <c r="B422" s="59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</row>
    <row r="423" spans="1:55" x14ac:dyDescent="0.2">
      <c r="A423" s="58"/>
      <c r="B423" s="59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</row>
    <row r="424" spans="1:55" x14ac:dyDescent="0.2">
      <c r="A424" s="58"/>
      <c r="B424" s="59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</row>
    <row r="425" spans="1:55" x14ac:dyDescent="0.2">
      <c r="A425" s="58"/>
      <c r="B425" s="59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</row>
    <row r="426" spans="1:55" x14ac:dyDescent="0.2">
      <c r="A426" s="58"/>
      <c r="B426" s="59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</row>
    <row r="427" spans="1:55" x14ac:dyDescent="0.2">
      <c r="A427" s="58"/>
      <c r="B427" s="59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</row>
    <row r="428" spans="1:55" x14ac:dyDescent="0.2">
      <c r="A428" s="58"/>
      <c r="B428" s="59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</row>
    <row r="429" spans="1:55" x14ac:dyDescent="0.2">
      <c r="A429" s="58"/>
      <c r="B429" s="59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</row>
    <row r="430" spans="1:55" x14ac:dyDescent="0.2">
      <c r="A430" s="58"/>
      <c r="B430" s="59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</row>
    <row r="431" spans="1:55" x14ac:dyDescent="0.2">
      <c r="A431" s="58"/>
      <c r="B431" s="59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</row>
    <row r="432" spans="1:55" x14ac:dyDescent="0.2">
      <c r="A432" s="58"/>
      <c r="B432" s="59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</row>
    <row r="433" spans="1:55" x14ac:dyDescent="0.2">
      <c r="A433" s="58"/>
      <c r="B433" s="59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</row>
    <row r="434" spans="1:55" x14ac:dyDescent="0.2">
      <c r="A434" s="58"/>
      <c r="B434" s="59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</row>
    <row r="435" spans="1:55" x14ac:dyDescent="0.2">
      <c r="A435" s="58"/>
      <c r="B435" s="59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</row>
    <row r="436" spans="1:55" x14ac:dyDescent="0.2">
      <c r="A436" s="58"/>
      <c r="B436" s="59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</row>
    <row r="437" spans="1:55" x14ac:dyDescent="0.2">
      <c r="A437" s="58"/>
      <c r="B437" s="59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</row>
    <row r="438" spans="1:55" x14ac:dyDescent="0.2">
      <c r="A438" s="58"/>
      <c r="B438" s="59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</row>
    <row r="439" spans="1:55" x14ac:dyDescent="0.2">
      <c r="A439" s="58"/>
      <c r="B439" s="59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</row>
    <row r="440" spans="1:55" x14ac:dyDescent="0.2">
      <c r="A440" s="58"/>
      <c r="B440" s="59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</row>
    <row r="441" spans="1:55" x14ac:dyDescent="0.2">
      <c r="A441" s="58"/>
      <c r="B441" s="59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</row>
    <row r="442" spans="1:55" x14ac:dyDescent="0.2">
      <c r="A442" s="58"/>
      <c r="B442" s="59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</row>
    <row r="443" spans="1:55" x14ac:dyDescent="0.2">
      <c r="A443" s="58"/>
      <c r="B443" s="59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</row>
    <row r="444" spans="1:55" x14ac:dyDescent="0.2">
      <c r="A444" s="58"/>
      <c r="B444" s="59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</row>
    <row r="445" spans="1:55" x14ac:dyDescent="0.2">
      <c r="A445" s="58"/>
      <c r="B445" s="59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</row>
    <row r="446" spans="1:55" x14ac:dyDescent="0.2">
      <c r="A446" s="58"/>
      <c r="B446" s="59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</row>
    <row r="447" spans="1:55" x14ac:dyDescent="0.2">
      <c r="A447" s="58"/>
      <c r="B447" s="59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</row>
    <row r="448" spans="1:55" x14ac:dyDescent="0.2">
      <c r="A448" s="58"/>
      <c r="B448" s="59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</row>
    <row r="449" spans="1:55" x14ac:dyDescent="0.2">
      <c r="A449" s="58"/>
      <c r="B449" s="59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</row>
    <row r="450" spans="1:55" x14ac:dyDescent="0.2">
      <c r="A450" s="58"/>
      <c r="B450" s="59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</row>
    <row r="451" spans="1:55" x14ac:dyDescent="0.2">
      <c r="A451" s="58"/>
      <c r="B451" s="59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</row>
    <row r="452" spans="1:55" x14ac:dyDescent="0.2">
      <c r="A452" s="58"/>
      <c r="B452" s="59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</row>
    <row r="453" spans="1:55" x14ac:dyDescent="0.2">
      <c r="A453" s="58"/>
      <c r="B453" s="59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</row>
    <row r="454" spans="1:55" x14ac:dyDescent="0.2">
      <c r="A454" s="58"/>
      <c r="B454" s="59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</row>
    <row r="455" spans="1:55" x14ac:dyDescent="0.2">
      <c r="A455" s="58"/>
      <c r="B455" s="59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</row>
    <row r="456" spans="1:55" x14ac:dyDescent="0.2">
      <c r="A456" s="58"/>
      <c r="B456" s="59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</row>
    <row r="457" spans="1:55" x14ac:dyDescent="0.2">
      <c r="A457" s="58"/>
      <c r="B457" s="59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</row>
    <row r="458" spans="1:55" x14ac:dyDescent="0.2">
      <c r="A458" s="58"/>
      <c r="B458" s="59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</row>
    <row r="459" spans="1:55" x14ac:dyDescent="0.2">
      <c r="A459" s="58"/>
      <c r="B459" s="59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</row>
    <row r="460" spans="1:55" x14ac:dyDescent="0.2">
      <c r="A460" s="58"/>
      <c r="B460" s="59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</row>
    <row r="461" spans="1:55" x14ac:dyDescent="0.2">
      <c r="A461" s="58"/>
      <c r="B461" s="59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</row>
    <row r="462" spans="1:55" x14ac:dyDescent="0.2">
      <c r="A462" s="58"/>
      <c r="B462" s="59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</row>
    <row r="463" spans="1:55" x14ac:dyDescent="0.2">
      <c r="A463" s="58"/>
      <c r="B463" s="59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</row>
    <row r="464" spans="1:55" x14ac:dyDescent="0.2">
      <c r="A464" s="58"/>
      <c r="B464" s="59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</row>
    <row r="465" spans="1:55" x14ac:dyDescent="0.2">
      <c r="A465" s="58"/>
      <c r="B465" s="59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</row>
    <row r="466" spans="1:55" x14ac:dyDescent="0.2">
      <c r="A466" s="58"/>
      <c r="B466" s="59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</row>
    <row r="467" spans="1:55" x14ac:dyDescent="0.2">
      <c r="A467" s="58"/>
      <c r="B467" s="59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</row>
    <row r="468" spans="1:55" x14ac:dyDescent="0.2">
      <c r="A468" s="58"/>
      <c r="B468" s="59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</row>
    <row r="469" spans="1:55" x14ac:dyDescent="0.2">
      <c r="A469" s="58"/>
      <c r="B469" s="59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</row>
    <row r="470" spans="1:55" x14ac:dyDescent="0.2">
      <c r="A470" s="58"/>
      <c r="B470" s="59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</row>
    <row r="471" spans="1:55" x14ac:dyDescent="0.2">
      <c r="A471" s="58"/>
      <c r="B471" s="59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</row>
    <row r="472" spans="1:55" x14ac:dyDescent="0.2">
      <c r="A472" s="58"/>
      <c r="B472" s="59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</row>
    <row r="473" spans="1:55" x14ac:dyDescent="0.2">
      <c r="A473" s="58"/>
      <c r="B473" s="59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</row>
    <row r="474" spans="1:55" x14ac:dyDescent="0.2">
      <c r="A474" s="58"/>
      <c r="B474" s="59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</row>
    <row r="475" spans="1:55" x14ac:dyDescent="0.2">
      <c r="A475" s="58"/>
      <c r="B475" s="59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</row>
    <row r="476" spans="1:55" x14ac:dyDescent="0.2">
      <c r="A476" s="58"/>
      <c r="B476" s="59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</row>
    <row r="477" spans="1:55" x14ac:dyDescent="0.2">
      <c r="A477" s="58"/>
      <c r="B477" s="59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</row>
    <row r="478" spans="1:55" x14ac:dyDescent="0.2">
      <c r="A478" s="58"/>
      <c r="B478" s="59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</row>
    <row r="479" spans="1:55" x14ac:dyDescent="0.2">
      <c r="A479" s="58"/>
      <c r="B479" s="59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</row>
    <row r="480" spans="1:55" x14ac:dyDescent="0.2">
      <c r="A480" s="58"/>
      <c r="B480" s="59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</row>
    <row r="481" spans="1:55" x14ac:dyDescent="0.2">
      <c r="A481" s="58"/>
      <c r="B481" s="59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</row>
    <row r="482" spans="1:55" x14ac:dyDescent="0.2">
      <c r="A482" s="58"/>
      <c r="B482" s="59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</row>
    <row r="483" spans="1:55" x14ac:dyDescent="0.2">
      <c r="A483" s="58"/>
      <c r="B483" s="59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</row>
    <row r="484" spans="1:55" x14ac:dyDescent="0.2">
      <c r="A484" s="58"/>
      <c r="B484" s="59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</row>
    <row r="485" spans="1:55" x14ac:dyDescent="0.2">
      <c r="A485" s="58"/>
      <c r="B485" s="59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</row>
    <row r="486" spans="1:55" x14ac:dyDescent="0.2">
      <c r="A486" s="58"/>
      <c r="B486" s="59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</row>
    <row r="487" spans="1:55" x14ac:dyDescent="0.2">
      <c r="A487" s="58"/>
      <c r="B487" s="59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</row>
    <row r="488" spans="1:55" x14ac:dyDescent="0.2">
      <c r="A488" s="58"/>
      <c r="B488" s="59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</row>
    <row r="489" spans="1:55" x14ac:dyDescent="0.2">
      <c r="A489" s="58"/>
      <c r="B489" s="59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</row>
    <row r="490" spans="1:55" x14ac:dyDescent="0.2">
      <c r="A490" s="58"/>
      <c r="B490" s="59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</row>
    <row r="491" spans="1:55" x14ac:dyDescent="0.2">
      <c r="A491" s="58"/>
      <c r="B491" s="59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</row>
    <row r="492" spans="1:55" x14ac:dyDescent="0.2">
      <c r="A492" s="58"/>
      <c r="B492" s="59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</row>
    <row r="493" spans="1:55" x14ac:dyDescent="0.2">
      <c r="A493" s="58"/>
      <c r="B493" s="59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</row>
    <row r="494" spans="1:55" x14ac:dyDescent="0.2">
      <c r="A494" s="58"/>
      <c r="B494" s="59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</row>
    <row r="495" spans="1:55" x14ac:dyDescent="0.2">
      <c r="A495" s="58"/>
      <c r="B495" s="59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</row>
    <row r="496" spans="1:55" x14ac:dyDescent="0.2">
      <c r="A496" s="58"/>
      <c r="B496" s="59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</row>
    <row r="497" spans="1:55" x14ac:dyDescent="0.2">
      <c r="A497" s="58"/>
      <c r="B497" s="59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</row>
    <row r="498" spans="1:55" x14ac:dyDescent="0.2">
      <c r="A498" s="58"/>
      <c r="B498" s="59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</row>
    <row r="499" spans="1:55" x14ac:dyDescent="0.2">
      <c r="A499" s="58"/>
      <c r="B499" s="59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</row>
    <row r="500" spans="1:55" x14ac:dyDescent="0.2">
      <c r="A500" s="58"/>
      <c r="B500" s="59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</row>
    <row r="501" spans="1:55" x14ac:dyDescent="0.2">
      <c r="A501" s="58"/>
      <c r="B501" s="59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</row>
    <row r="502" spans="1:55" x14ac:dyDescent="0.2">
      <c r="A502" s="58"/>
      <c r="B502" s="59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</row>
    <row r="503" spans="1:55" x14ac:dyDescent="0.2">
      <c r="A503" s="58"/>
      <c r="B503" s="59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</row>
    <row r="504" spans="1:55" x14ac:dyDescent="0.2">
      <c r="A504" s="58"/>
      <c r="B504" s="59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</row>
    <row r="505" spans="1:55" x14ac:dyDescent="0.2">
      <c r="A505" s="58"/>
      <c r="B505" s="59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</row>
    <row r="506" spans="1:55" x14ac:dyDescent="0.2">
      <c r="A506" s="58"/>
      <c r="B506" s="59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</row>
    <row r="507" spans="1:55" x14ac:dyDescent="0.2">
      <c r="A507" s="58"/>
      <c r="B507" s="59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</row>
    <row r="508" spans="1:55" x14ac:dyDescent="0.2">
      <c r="A508" s="58"/>
      <c r="B508" s="59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</row>
    <row r="509" spans="1:55" x14ac:dyDescent="0.2">
      <c r="A509" s="58"/>
      <c r="B509" s="59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</row>
    <row r="510" spans="1:55" x14ac:dyDescent="0.2">
      <c r="A510" s="58"/>
      <c r="B510" s="59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</row>
    <row r="511" spans="1:55" x14ac:dyDescent="0.2">
      <c r="A511" s="58"/>
      <c r="B511" s="59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</row>
    <row r="512" spans="1:55" x14ac:dyDescent="0.2">
      <c r="A512" s="58"/>
      <c r="B512" s="59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</row>
    <row r="513" spans="1:55" x14ac:dyDescent="0.2">
      <c r="A513" s="58"/>
      <c r="B513" s="59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</row>
    <row r="514" spans="1:55" x14ac:dyDescent="0.2">
      <c r="A514" s="58"/>
      <c r="B514" s="59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</row>
    <row r="515" spans="1:55" x14ac:dyDescent="0.2">
      <c r="A515" s="58"/>
      <c r="B515" s="59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</row>
    <row r="516" spans="1:55" x14ac:dyDescent="0.2">
      <c r="A516" s="58"/>
      <c r="B516" s="59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</row>
    <row r="517" spans="1:55" x14ac:dyDescent="0.2">
      <c r="A517" s="58"/>
      <c r="B517" s="59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</row>
    <row r="518" spans="1:55" x14ac:dyDescent="0.2">
      <c r="A518" s="58"/>
      <c r="B518" s="59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</row>
    <row r="519" spans="1:55" x14ac:dyDescent="0.2">
      <c r="A519" s="58"/>
      <c r="B519" s="59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</row>
    <row r="520" spans="1:55" x14ac:dyDescent="0.2">
      <c r="A520" s="58"/>
      <c r="B520" s="59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</row>
    <row r="521" spans="1:55" x14ac:dyDescent="0.2">
      <c r="A521" s="58"/>
      <c r="B521" s="59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</row>
    <row r="522" spans="1:55" x14ac:dyDescent="0.2">
      <c r="A522" s="58"/>
      <c r="B522" s="59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</row>
    <row r="523" spans="1:55" x14ac:dyDescent="0.2">
      <c r="A523" s="58"/>
      <c r="B523" s="59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</row>
    <row r="524" spans="1:55" x14ac:dyDescent="0.2">
      <c r="A524" s="58"/>
      <c r="B524" s="59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</row>
    <row r="525" spans="1:55" x14ac:dyDescent="0.2">
      <c r="A525" s="58"/>
      <c r="B525" s="59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</row>
    <row r="526" spans="1:55" x14ac:dyDescent="0.2">
      <c r="A526" s="58"/>
      <c r="B526" s="59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</row>
    <row r="527" spans="1:55" x14ac:dyDescent="0.2">
      <c r="A527" s="58"/>
      <c r="B527" s="59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</row>
    <row r="528" spans="1:55" x14ac:dyDescent="0.2">
      <c r="A528" s="58"/>
      <c r="B528" s="59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</row>
    <row r="529" spans="1:55" x14ac:dyDescent="0.2">
      <c r="A529" s="58"/>
      <c r="B529" s="59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</row>
    <row r="530" spans="1:55" x14ac:dyDescent="0.2">
      <c r="A530" s="58"/>
      <c r="B530" s="59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</row>
    <row r="531" spans="1:55" x14ac:dyDescent="0.2">
      <c r="A531" s="58"/>
      <c r="B531" s="59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</row>
    <row r="532" spans="1:55" x14ac:dyDescent="0.2">
      <c r="A532" s="58"/>
      <c r="B532" s="59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</row>
    <row r="533" spans="1:55" x14ac:dyDescent="0.2">
      <c r="A533" s="58"/>
      <c r="B533" s="59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</row>
    <row r="534" spans="1:55" x14ac:dyDescent="0.2">
      <c r="A534" s="58"/>
      <c r="B534" s="59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</row>
    <row r="535" spans="1:55" x14ac:dyDescent="0.2">
      <c r="A535" s="58"/>
      <c r="B535" s="59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</row>
    <row r="536" spans="1:55" x14ac:dyDescent="0.2">
      <c r="A536" s="58"/>
      <c r="B536" s="59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</row>
    <row r="537" spans="1:55" x14ac:dyDescent="0.2">
      <c r="A537" s="58"/>
      <c r="B537" s="59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</row>
    <row r="538" spans="1:55" x14ac:dyDescent="0.2">
      <c r="A538" s="58"/>
      <c r="B538" s="59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</row>
    <row r="539" spans="1:55" x14ac:dyDescent="0.2">
      <c r="A539" s="58"/>
      <c r="B539" s="59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</row>
    <row r="540" spans="1:55" x14ac:dyDescent="0.2">
      <c r="A540" s="58"/>
      <c r="B540" s="59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</row>
    <row r="541" spans="1:55" x14ac:dyDescent="0.2">
      <c r="A541" s="58"/>
      <c r="B541" s="59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</row>
    <row r="542" spans="1:55" x14ac:dyDescent="0.2">
      <c r="A542" s="58"/>
      <c r="B542" s="59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</row>
    <row r="543" spans="1:55" x14ac:dyDescent="0.2">
      <c r="A543" s="58"/>
      <c r="B543" s="59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</row>
    <row r="544" spans="1:55" x14ac:dyDescent="0.2">
      <c r="A544" s="58"/>
      <c r="B544" s="59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</row>
    <row r="545" spans="1:55" x14ac:dyDescent="0.2">
      <c r="A545" s="58"/>
      <c r="B545" s="59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</row>
    <row r="546" spans="1:55" x14ac:dyDescent="0.2">
      <c r="A546" s="58"/>
      <c r="B546" s="59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</row>
    <row r="547" spans="1:55" x14ac:dyDescent="0.2">
      <c r="A547" s="58"/>
      <c r="B547" s="59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</row>
    <row r="548" spans="1:55" x14ac:dyDescent="0.2">
      <c r="A548" s="58"/>
      <c r="B548" s="59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</row>
    <row r="549" spans="1:55" x14ac:dyDescent="0.2">
      <c r="A549" s="58"/>
      <c r="B549" s="59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</row>
    <row r="550" spans="1:55" x14ac:dyDescent="0.2">
      <c r="A550" s="58"/>
      <c r="B550" s="59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</row>
    <row r="551" spans="1:55" x14ac:dyDescent="0.2">
      <c r="A551" s="58"/>
      <c r="B551" s="59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</row>
    <row r="552" spans="1:55" x14ac:dyDescent="0.2">
      <c r="A552" s="58"/>
      <c r="B552" s="59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</row>
    <row r="553" spans="1:55" x14ac:dyDescent="0.2">
      <c r="A553" s="58"/>
      <c r="B553" s="59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</row>
    <row r="554" spans="1:55" x14ac:dyDescent="0.2">
      <c r="A554" s="58"/>
      <c r="B554" s="59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</row>
    <row r="555" spans="1:55" x14ac:dyDescent="0.2">
      <c r="A555" s="58"/>
      <c r="B555" s="59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</row>
    <row r="556" spans="1:55" x14ac:dyDescent="0.2">
      <c r="A556" s="58"/>
      <c r="B556" s="59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</row>
    <row r="557" spans="1:55" x14ac:dyDescent="0.2">
      <c r="A557" s="58"/>
      <c r="B557" s="59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</row>
    <row r="558" spans="1:55" x14ac:dyDescent="0.2">
      <c r="A558" s="58"/>
      <c r="B558" s="59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</row>
    <row r="559" spans="1:55" x14ac:dyDescent="0.2">
      <c r="A559" s="58"/>
      <c r="B559" s="59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</row>
    <row r="560" spans="1:55" x14ac:dyDescent="0.2">
      <c r="A560" s="58"/>
      <c r="B560" s="59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</row>
    <row r="561" spans="1:55" x14ac:dyDescent="0.2">
      <c r="A561" s="58"/>
      <c r="B561" s="59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</row>
    <row r="562" spans="1:55" x14ac:dyDescent="0.2">
      <c r="A562" s="58"/>
      <c r="B562" s="59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</row>
    <row r="563" spans="1:55" x14ac:dyDescent="0.2">
      <c r="A563" s="58"/>
      <c r="B563" s="59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</row>
    <row r="564" spans="1:55" x14ac:dyDescent="0.2">
      <c r="A564" s="58"/>
      <c r="B564" s="59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</row>
    <row r="565" spans="1:55" x14ac:dyDescent="0.2">
      <c r="A565" s="58"/>
      <c r="B565" s="59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</row>
    <row r="566" spans="1:55" x14ac:dyDescent="0.2">
      <c r="A566" s="58"/>
      <c r="B566" s="59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</row>
    <row r="567" spans="1:55" x14ac:dyDescent="0.2">
      <c r="A567" s="58"/>
      <c r="B567" s="59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</row>
    <row r="568" spans="1:55" x14ac:dyDescent="0.2">
      <c r="A568" s="58"/>
      <c r="B568" s="59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</row>
    <row r="569" spans="1:55" x14ac:dyDescent="0.2">
      <c r="A569" s="58"/>
      <c r="B569" s="59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</row>
    <row r="570" spans="1:55" x14ac:dyDescent="0.2">
      <c r="A570" s="58"/>
      <c r="B570" s="59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</row>
    <row r="571" spans="1:55" x14ac:dyDescent="0.2">
      <c r="A571" s="58"/>
      <c r="B571" s="59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</row>
    <row r="572" spans="1:55" x14ac:dyDescent="0.2">
      <c r="A572" s="58"/>
      <c r="B572" s="59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</row>
    <row r="573" spans="1:55" x14ac:dyDescent="0.2">
      <c r="A573" s="58"/>
      <c r="B573" s="59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</row>
    <row r="574" spans="1:55" x14ac:dyDescent="0.2">
      <c r="A574" s="58"/>
      <c r="B574" s="59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</row>
    <row r="575" spans="1:55" x14ac:dyDescent="0.2">
      <c r="A575" s="58"/>
      <c r="B575" s="59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</row>
    <row r="576" spans="1:55" x14ac:dyDescent="0.2">
      <c r="A576" s="58"/>
      <c r="B576" s="59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</row>
    <row r="577" spans="1:55" x14ac:dyDescent="0.2">
      <c r="A577" s="58"/>
      <c r="B577" s="59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</row>
    <row r="578" spans="1:55" x14ac:dyDescent="0.2">
      <c r="A578" s="58"/>
      <c r="B578" s="59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</row>
    <row r="579" spans="1:55" x14ac:dyDescent="0.2">
      <c r="A579" s="58"/>
      <c r="B579" s="59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</row>
    <row r="580" spans="1:55" x14ac:dyDescent="0.2">
      <c r="A580" s="58"/>
      <c r="B580" s="59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</row>
    <row r="581" spans="1:55" x14ac:dyDescent="0.2">
      <c r="A581" s="58"/>
      <c r="B581" s="59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</row>
    <row r="582" spans="1:55" x14ac:dyDescent="0.2">
      <c r="A582" s="58"/>
      <c r="B582" s="59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</row>
    <row r="583" spans="1:55" x14ac:dyDescent="0.2">
      <c r="A583" s="58"/>
      <c r="B583" s="59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</row>
    <row r="584" spans="1:55" x14ac:dyDescent="0.2">
      <c r="A584" s="58"/>
      <c r="B584" s="59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</row>
    <row r="585" spans="1:55" x14ac:dyDescent="0.2">
      <c r="A585" s="58"/>
      <c r="B585" s="59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</row>
    <row r="586" spans="1:55" x14ac:dyDescent="0.2">
      <c r="A586" s="58"/>
      <c r="B586" s="59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</row>
    <row r="587" spans="1:55" x14ac:dyDescent="0.2">
      <c r="A587" s="58"/>
      <c r="B587" s="59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</row>
    <row r="588" spans="1:55" x14ac:dyDescent="0.2">
      <c r="A588" s="58"/>
      <c r="B588" s="59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</row>
    <row r="589" spans="1:55" x14ac:dyDescent="0.2">
      <c r="A589" s="58"/>
      <c r="B589" s="59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</row>
    <row r="590" spans="1:55" x14ac:dyDescent="0.2">
      <c r="A590" s="58"/>
      <c r="B590" s="59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</row>
    <row r="591" spans="1:55" x14ac:dyDescent="0.2">
      <c r="A591" s="58"/>
      <c r="B591" s="59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</row>
    <row r="592" spans="1:55" x14ac:dyDescent="0.2">
      <c r="A592" s="58"/>
      <c r="B592" s="59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</row>
    <row r="593" spans="1:55" x14ac:dyDescent="0.2">
      <c r="A593" s="58"/>
      <c r="B593" s="59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</row>
    <row r="594" spans="1:55" x14ac:dyDescent="0.2">
      <c r="A594" s="58"/>
      <c r="B594" s="59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</row>
    <row r="595" spans="1:55" x14ac:dyDescent="0.2">
      <c r="A595" s="58"/>
      <c r="B595" s="59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</row>
    <row r="596" spans="1:55" x14ac:dyDescent="0.2">
      <c r="A596" s="58"/>
      <c r="B596" s="59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</row>
    <row r="597" spans="1:55" x14ac:dyDescent="0.2">
      <c r="A597" s="58"/>
      <c r="B597" s="59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</row>
    <row r="598" spans="1:55" x14ac:dyDescent="0.2">
      <c r="A598" s="58"/>
      <c r="B598" s="59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</row>
    <row r="599" spans="1:55" x14ac:dyDescent="0.2">
      <c r="A599" s="58"/>
      <c r="B599" s="59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</row>
    <row r="600" spans="1:55" x14ac:dyDescent="0.2">
      <c r="A600" s="58"/>
      <c r="B600" s="59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</row>
    <row r="601" spans="1:55" x14ac:dyDescent="0.2">
      <c r="A601" s="58"/>
      <c r="B601" s="59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</row>
    <row r="602" spans="1:55" x14ac:dyDescent="0.2">
      <c r="A602" s="58"/>
      <c r="B602" s="59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</row>
    <row r="603" spans="1:55" x14ac:dyDescent="0.2">
      <c r="A603" s="58"/>
      <c r="B603" s="59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</row>
    <row r="604" spans="1:55" x14ac:dyDescent="0.2">
      <c r="A604" s="58"/>
      <c r="B604" s="59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</row>
    <row r="605" spans="1:55" x14ac:dyDescent="0.2">
      <c r="A605" s="58"/>
      <c r="B605" s="59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</row>
    <row r="606" spans="1:55" x14ac:dyDescent="0.2">
      <c r="A606" s="58"/>
      <c r="B606" s="59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</row>
    <row r="607" spans="1:55" x14ac:dyDescent="0.2">
      <c r="A607" s="58"/>
      <c r="B607" s="59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</row>
    <row r="608" spans="1:55" x14ac:dyDescent="0.2">
      <c r="A608" s="58"/>
      <c r="B608" s="59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</row>
    <row r="609" spans="1:55" x14ac:dyDescent="0.2">
      <c r="A609" s="58"/>
      <c r="B609" s="59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</row>
    <row r="610" spans="1:55" x14ac:dyDescent="0.2">
      <c r="A610" s="58"/>
      <c r="B610" s="59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</row>
    <row r="611" spans="1:55" x14ac:dyDescent="0.2">
      <c r="A611" s="58"/>
      <c r="B611" s="59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</row>
    <row r="612" spans="1:55" x14ac:dyDescent="0.2">
      <c r="A612" s="58"/>
      <c r="B612" s="59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</row>
    <row r="613" spans="1:55" x14ac:dyDescent="0.2">
      <c r="A613" s="58"/>
      <c r="B613" s="59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</row>
    <row r="614" spans="1:55" x14ac:dyDescent="0.2">
      <c r="A614" s="58"/>
      <c r="B614" s="59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</row>
    <row r="615" spans="1:55" x14ac:dyDescent="0.2">
      <c r="A615" s="58"/>
      <c r="B615" s="59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</row>
    <row r="616" spans="1:55" x14ac:dyDescent="0.2">
      <c r="A616" s="58"/>
      <c r="B616" s="59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</row>
    <row r="617" spans="1:55" x14ac:dyDescent="0.2">
      <c r="A617" s="58"/>
      <c r="B617" s="59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</row>
    <row r="618" spans="1:55" x14ac:dyDescent="0.2">
      <c r="A618" s="58"/>
      <c r="B618" s="59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</row>
    <row r="619" spans="1:55" x14ac:dyDescent="0.2">
      <c r="A619" s="58"/>
      <c r="B619" s="59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</row>
    <row r="620" spans="1:55" x14ac:dyDescent="0.2">
      <c r="A620" s="58"/>
      <c r="B620" s="59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</row>
    <row r="621" spans="1:55" x14ac:dyDescent="0.2">
      <c r="A621" s="58"/>
      <c r="B621" s="59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</row>
    <row r="622" spans="1:55" x14ac:dyDescent="0.2">
      <c r="A622" s="58"/>
      <c r="B622" s="59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</row>
    <row r="623" spans="1:55" x14ac:dyDescent="0.2">
      <c r="A623" s="58"/>
      <c r="B623" s="59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</row>
    <row r="624" spans="1:55" x14ac:dyDescent="0.2">
      <c r="A624" s="58"/>
      <c r="B624" s="59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</row>
    <row r="625" spans="1:55" x14ac:dyDescent="0.2">
      <c r="A625" s="58"/>
      <c r="B625" s="59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</row>
    <row r="626" spans="1:55" x14ac:dyDescent="0.2">
      <c r="A626" s="58"/>
      <c r="B626" s="59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</row>
    <row r="627" spans="1:55" x14ac:dyDescent="0.2">
      <c r="A627" s="58"/>
      <c r="B627" s="59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</row>
    <row r="628" spans="1:55" x14ac:dyDescent="0.2">
      <c r="A628" s="58"/>
      <c r="B628" s="59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</row>
    <row r="629" spans="1:55" x14ac:dyDescent="0.2">
      <c r="A629" s="58"/>
      <c r="B629" s="59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</row>
    <row r="630" spans="1:55" x14ac:dyDescent="0.2">
      <c r="A630" s="58"/>
      <c r="B630" s="59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</row>
    <row r="631" spans="1:55" x14ac:dyDescent="0.2">
      <c r="A631" s="58"/>
      <c r="B631" s="59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</row>
    <row r="632" spans="1:55" x14ac:dyDescent="0.2">
      <c r="A632" s="58"/>
      <c r="B632" s="59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</row>
    <row r="633" spans="1:55" x14ac:dyDescent="0.2">
      <c r="A633" s="58"/>
      <c r="B633" s="59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</row>
    <row r="634" spans="1:55" x14ac:dyDescent="0.2">
      <c r="A634" s="58"/>
      <c r="B634" s="59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</row>
    <row r="635" spans="1:55" x14ac:dyDescent="0.2">
      <c r="A635" s="58"/>
      <c r="B635" s="59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</row>
    <row r="636" spans="1:55" x14ac:dyDescent="0.2">
      <c r="A636" s="58"/>
      <c r="B636" s="59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</row>
    <row r="637" spans="1:55" x14ac:dyDescent="0.2">
      <c r="A637" s="58"/>
      <c r="B637" s="59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</row>
    <row r="638" spans="1:55" x14ac:dyDescent="0.2">
      <c r="A638" s="58"/>
      <c r="B638" s="59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</row>
    <row r="639" spans="1:55" x14ac:dyDescent="0.2">
      <c r="A639" s="58"/>
      <c r="B639" s="59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</row>
    <row r="640" spans="1:55" x14ac:dyDescent="0.2">
      <c r="A640" s="58"/>
      <c r="B640" s="59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</row>
    <row r="641" spans="1:55" x14ac:dyDescent="0.2">
      <c r="A641" s="58"/>
      <c r="B641" s="59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</row>
    <row r="642" spans="1:55" x14ac:dyDescent="0.2">
      <c r="A642" s="58"/>
      <c r="B642" s="59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</row>
    <row r="643" spans="1:55" x14ac:dyDescent="0.2">
      <c r="A643" s="58"/>
      <c r="B643" s="59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</row>
    <row r="644" spans="1:55" x14ac:dyDescent="0.2">
      <c r="A644" s="58"/>
      <c r="B644" s="59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</row>
    <row r="645" spans="1:55" x14ac:dyDescent="0.2">
      <c r="A645" s="58"/>
      <c r="B645" s="59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</row>
    <row r="646" spans="1:55" x14ac:dyDescent="0.2">
      <c r="A646" s="58"/>
      <c r="B646" s="59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</row>
    <row r="647" spans="1:55" x14ac:dyDescent="0.2">
      <c r="A647" s="58"/>
      <c r="B647" s="59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</row>
    <row r="648" spans="1:55" x14ac:dyDescent="0.2">
      <c r="A648" s="58"/>
      <c r="B648" s="59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</row>
    <row r="649" spans="1:55" x14ac:dyDescent="0.2">
      <c r="A649" s="58"/>
      <c r="B649" s="59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</row>
    <row r="650" spans="1:55" x14ac:dyDescent="0.2">
      <c r="A650" s="58"/>
      <c r="B650" s="59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</row>
    <row r="651" spans="1:55" x14ac:dyDescent="0.2">
      <c r="A651" s="58"/>
      <c r="B651" s="59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</row>
    <row r="652" spans="1:55" x14ac:dyDescent="0.2">
      <c r="A652" s="58"/>
      <c r="B652" s="59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</row>
    <row r="653" spans="1:55" x14ac:dyDescent="0.2">
      <c r="A653" s="58"/>
      <c r="B653" s="59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</row>
    <row r="654" spans="1:55" x14ac:dyDescent="0.2">
      <c r="A654" s="58"/>
      <c r="B654" s="59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</row>
    <row r="655" spans="1:55" x14ac:dyDescent="0.2">
      <c r="A655" s="58"/>
      <c r="B655" s="59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</row>
    <row r="656" spans="1:55" x14ac:dyDescent="0.2">
      <c r="A656" s="58"/>
      <c r="B656" s="59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</row>
    <row r="657" spans="1:55" x14ac:dyDescent="0.2">
      <c r="A657" s="58"/>
      <c r="B657" s="59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</row>
    <row r="658" spans="1:55" x14ac:dyDescent="0.2">
      <c r="A658" s="58"/>
      <c r="B658" s="59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</row>
    <row r="659" spans="1:55" x14ac:dyDescent="0.2">
      <c r="A659" s="58"/>
      <c r="B659" s="59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</row>
    <row r="660" spans="1:55" x14ac:dyDescent="0.2">
      <c r="A660" s="58"/>
      <c r="B660" s="59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</row>
    <row r="661" spans="1:55" x14ac:dyDescent="0.2">
      <c r="A661" s="58"/>
      <c r="B661" s="59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</row>
    <row r="662" spans="1:55" x14ac:dyDescent="0.2">
      <c r="A662" s="58"/>
      <c r="B662" s="59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</row>
    <row r="663" spans="1:55" x14ac:dyDescent="0.2">
      <c r="A663" s="58"/>
      <c r="B663" s="59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</row>
    <row r="664" spans="1:55" x14ac:dyDescent="0.2">
      <c r="A664" s="58"/>
      <c r="B664" s="59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</row>
    <row r="665" spans="1:55" x14ac:dyDescent="0.2">
      <c r="A665" s="58"/>
      <c r="B665" s="59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</row>
    <row r="666" spans="1:55" x14ac:dyDescent="0.2">
      <c r="A666" s="58"/>
      <c r="B666" s="59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</row>
    <row r="667" spans="1:55" x14ac:dyDescent="0.2">
      <c r="A667" s="58"/>
      <c r="B667" s="59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</row>
    <row r="668" spans="1:55" x14ac:dyDescent="0.2">
      <c r="A668" s="58"/>
      <c r="B668" s="59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</row>
    <row r="669" spans="1:55" x14ac:dyDescent="0.2">
      <c r="A669" s="58"/>
      <c r="B669" s="59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</row>
    <row r="670" spans="1:55" x14ac:dyDescent="0.2">
      <c r="A670" s="58"/>
      <c r="B670" s="59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</row>
    <row r="671" spans="1:55" x14ac:dyDescent="0.2">
      <c r="A671" s="58"/>
      <c r="B671" s="59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</row>
    <row r="672" spans="1:55" x14ac:dyDescent="0.2">
      <c r="A672" s="58"/>
      <c r="B672" s="59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</row>
    <row r="673" spans="1:55" x14ac:dyDescent="0.2">
      <c r="A673" s="58"/>
      <c r="B673" s="59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</row>
    <row r="674" spans="1:55" x14ac:dyDescent="0.2">
      <c r="A674" s="58"/>
      <c r="B674" s="59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</row>
    <row r="675" spans="1:55" x14ac:dyDescent="0.2">
      <c r="A675" s="58"/>
      <c r="B675" s="59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</row>
    <row r="676" spans="1:55" x14ac:dyDescent="0.2">
      <c r="A676" s="58"/>
      <c r="B676" s="59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</row>
    <row r="677" spans="1:55" x14ac:dyDescent="0.2">
      <c r="A677" s="58"/>
      <c r="B677" s="59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</row>
    <row r="678" spans="1:55" x14ac:dyDescent="0.2">
      <c r="A678" s="58"/>
      <c r="B678" s="59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</row>
    <row r="679" spans="1:55" x14ac:dyDescent="0.2">
      <c r="A679" s="58"/>
      <c r="B679" s="59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</row>
    <row r="680" spans="1:55" x14ac:dyDescent="0.2">
      <c r="A680" s="58"/>
      <c r="B680" s="59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</row>
    <row r="681" spans="1:55" x14ac:dyDescent="0.2">
      <c r="A681" s="58"/>
      <c r="B681" s="59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</row>
    <row r="682" spans="1:55" x14ac:dyDescent="0.2">
      <c r="A682" s="58"/>
      <c r="B682" s="59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</row>
    <row r="683" spans="1:55" x14ac:dyDescent="0.2">
      <c r="A683" s="58"/>
      <c r="B683" s="59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</row>
    <row r="684" spans="1:55" x14ac:dyDescent="0.2">
      <c r="A684" s="58"/>
      <c r="B684" s="59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</row>
    <row r="685" spans="1:55" x14ac:dyDescent="0.2">
      <c r="A685" s="58"/>
      <c r="B685" s="59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</row>
    <row r="686" spans="1:55" x14ac:dyDescent="0.2">
      <c r="A686" s="58"/>
      <c r="B686" s="59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</row>
    <row r="687" spans="1:55" x14ac:dyDescent="0.2">
      <c r="A687" s="58"/>
      <c r="B687" s="59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</row>
    <row r="688" spans="1:55" x14ac:dyDescent="0.2">
      <c r="A688" s="58"/>
      <c r="B688" s="59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</row>
    <row r="689" spans="1:55" x14ac:dyDescent="0.2">
      <c r="A689" s="58"/>
      <c r="B689" s="59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</row>
    <row r="690" spans="1:55" x14ac:dyDescent="0.2">
      <c r="A690" s="58"/>
      <c r="B690" s="59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</row>
  </sheetData>
  <mergeCells count="1">
    <mergeCell ref="A5:C5"/>
  </mergeCells>
  <conditionalFormatting sqref="A9:A42">
    <cfRule type="expression" dxfId="131" priority="21" stopIfTrue="1">
      <formula>$F9&gt;0</formula>
    </cfRule>
    <cfRule type="expression" dxfId="130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287D-F3D2-46CD-AD47-F277C20E9684}">
  <sheetPr codeName="גיליון4">
    <pageSetUpPr fitToPage="1"/>
  </sheetPr>
  <dimension ref="A1:K39"/>
  <sheetViews>
    <sheetView rightToLeft="1" zoomScale="90" zoomScaleNormal="90" workbookViewId="0">
      <selection activeCell="A6" sqref="A6:K34"/>
    </sheetView>
  </sheetViews>
  <sheetFormatPr defaultRowHeight="12.75" x14ac:dyDescent="0.2"/>
  <cols>
    <col min="1" max="1" width="38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1" customWidth="1"/>
    <col min="6" max="6" width="11.28515625" style="53" bestFit="1" customWidth="1"/>
    <col min="7" max="7" width="11.85546875" style="83" customWidth="1"/>
    <col min="8" max="8" width="13.7109375" style="85" customWidth="1"/>
    <col min="9" max="9" width="9.7109375" style="83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81"/>
      <c r="F1" s="53"/>
      <c r="G1" s="83"/>
      <c r="H1" s="84"/>
      <c r="I1" s="83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81"/>
      <c r="F2" s="53"/>
      <c r="G2" s="83"/>
      <c r="H2" s="84"/>
      <c r="I2" s="83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81"/>
      <c r="F3" s="53"/>
      <c r="G3" s="83"/>
      <c r="H3" s="84"/>
      <c r="I3" s="83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53"/>
      <c r="G4" s="83"/>
      <c r="H4" s="84"/>
      <c r="I4" s="83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159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4"/>
      <c r="F7" s="46"/>
      <c r="G7" s="70" t="s">
        <v>9</v>
      </c>
      <c r="H7" s="70" t="s">
        <v>9</v>
      </c>
      <c r="I7" s="70" t="s">
        <v>10</v>
      </c>
      <c r="J7" s="69" t="s">
        <v>9</v>
      </c>
      <c r="K7" s="71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37" customFormat="1" ht="12.75" customHeight="1" thickBot="1" x14ac:dyDescent="0.25">
      <c r="A9" s="93" t="s">
        <v>78</v>
      </c>
      <c r="B9" s="138"/>
      <c r="C9" s="138"/>
      <c r="D9" s="138"/>
      <c r="E9" s="138"/>
      <c r="F9" s="138"/>
      <c r="G9" s="138"/>
      <c r="H9" s="138"/>
      <c r="I9" s="102">
        <v>4545.7665492570313</v>
      </c>
      <c r="J9" s="98">
        <v>1</v>
      </c>
      <c r="K9" s="80">
        <v>7.7350351668301315E-2</v>
      </c>
    </row>
    <row r="10" spans="1:11" s="137" customFormat="1" x14ac:dyDescent="0.2">
      <c r="A10" s="139" t="s">
        <v>237</v>
      </c>
      <c r="B10" s="140" t="s">
        <v>238</v>
      </c>
      <c r="C10" s="140" t="s">
        <v>238</v>
      </c>
      <c r="D10" s="141" t="s">
        <v>238</v>
      </c>
      <c r="E10" s="141" t="s">
        <v>238</v>
      </c>
      <c r="F10" s="141" t="s">
        <v>238</v>
      </c>
      <c r="G10" s="140" t="s">
        <v>238</v>
      </c>
      <c r="H10" s="140" t="s">
        <v>238</v>
      </c>
      <c r="I10" s="142">
        <v>4545.7665490570316</v>
      </c>
      <c r="J10" s="140">
        <v>0.99999999995600308</v>
      </c>
      <c r="K10" s="140">
        <v>7.7350351664898134E-2</v>
      </c>
    </row>
    <row r="11" spans="1:11" s="137" customFormat="1" x14ac:dyDescent="0.2">
      <c r="A11" s="143" t="s">
        <v>239</v>
      </c>
      <c r="B11" s="144" t="s">
        <v>238</v>
      </c>
      <c r="C11" s="144" t="s">
        <v>238</v>
      </c>
      <c r="D11" s="141" t="s">
        <v>238</v>
      </c>
      <c r="E11" s="145" t="s">
        <v>238</v>
      </c>
      <c r="F11" s="145" t="s">
        <v>238</v>
      </c>
      <c r="G11" s="144" t="s">
        <v>238</v>
      </c>
      <c r="H11" s="144" t="s">
        <v>238</v>
      </c>
      <c r="I11" s="146">
        <v>3085.0174584570323</v>
      </c>
      <c r="J11" s="140">
        <v>0.6786572572586802</v>
      </c>
      <c r="K11" s="140">
        <v>5.2494377511203755E-2</v>
      </c>
    </row>
    <row r="12" spans="1:11" x14ac:dyDescent="0.2">
      <c r="A12" s="68" t="s">
        <v>824</v>
      </c>
      <c r="B12" s="41" t="s">
        <v>240</v>
      </c>
      <c r="C12" s="41" t="s">
        <v>241</v>
      </c>
      <c r="D12" s="87" t="s">
        <v>242</v>
      </c>
      <c r="E12" s="82" t="s">
        <v>243</v>
      </c>
      <c r="F12" s="82" t="s">
        <v>244</v>
      </c>
      <c r="G12" s="41">
        <v>0</v>
      </c>
      <c r="H12" s="41">
        <v>0</v>
      </c>
      <c r="I12" s="106">
        <v>70.07171000000001</v>
      </c>
      <c r="J12" s="49">
        <v>1.5414718120853051E-2</v>
      </c>
      <c r="K12" s="49">
        <v>1.1923338675157203E-3</v>
      </c>
    </row>
    <row r="13" spans="1:11" x14ac:dyDescent="0.2">
      <c r="A13" s="68" t="s">
        <v>824</v>
      </c>
      <c r="B13" s="41" t="s">
        <v>250</v>
      </c>
      <c r="C13" s="41" t="s">
        <v>241</v>
      </c>
      <c r="D13" s="87" t="s">
        <v>242</v>
      </c>
      <c r="E13" s="82" t="s">
        <v>243</v>
      </c>
      <c r="F13" s="82" t="s">
        <v>244</v>
      </c>
      <c r="G13" s="41">
        <v>0</v>
      </c>
      <c r="H13" s="41">
        <v>0</v>
      </c>
      <c r="I13" s="106">
        <v>302.95285210000003</v>
      </c>
      <c r="J13" s="49">
        <v>6.6645052889817924E-2</v>
      </c>
      <c r="K13" s="49">
        <v>5.1550182779799584E-3</v>
      </c>
    </row>
    <row r="14" spans="1:11" x14ac:dyDescent="0.2">
      <c r="A14" s="68" t="s">
        <v>826</v>
      </c>
      <c r="B14" s="41" t="s">
        <v>245</v>
      </c>
      <c r="C14" s="41" t="s">
        <v>246</v>
      </c>
      <c r="D14" s="87" t="s">
        <v>242</v>
      </c>
      <c r="E14" s="82" t="s">
        <v>243</v>
      </c>
      <c r="F14" s="82" t="s">
        <v>244</v>
      </c>
      <c r="G14" s="41">
        <v>0</v>
      </c>
      <c r="H14" s="41">
        <v>0</v>
      </c>
      <c r="I14" s="106">
        <v>6.0759999999999995E-2</v>
      </c>
      <c r="J14" s="49">
        <v>1.336628252718581E-5</v>
      </c>
      <c r="K14" s="49">
        <v>1.0338866539756938E-6</v>
      </c>
    </row>
    <row r="15" spans="1:11" x14ac:dyDescent="0.2">
      <c r="A15" s="68" t="s">
        <v>826</v>
      </c>
      <c r="B15" s="41" t="s">
        <v>249</v>
      </c>
      <c r="C15" s="41" t="s">
        <v>246</v>
      </c>
      <c r="D15" s="87" t="s">
        <v>242</v>
      </c>
      <c r="E15" s="82" t="s">
        <v>243</v>
      </c>
      <c r="F15" s="82" t="s">
        <v>244</v>
      </c>
      <c r="G15" s="41">
        <v>0</v>
      </c>
      <c r="H15" s="41">
        <v>0</v>
      </c>
      <c r="I15" s="106">
        <v>123.836355</v>
      </c>
      <c r="J15" s="49">
        <v>2.7242128177532573E-2</v>
      </c>
      <c r="K15" s="49">
        <v>2.1071881947250853E-3</v>
      </c>
    </row>
    <row r="16" spans="1:11" x14ac:dyDescent="0.2">
      <c r="A16" s="68" t="s">
        <v>827</v>
      </c>
      <c r="B16" s="41" t="s">
        <v>247</v>
      </c>
      <c r="C16" s="41" t="s">
        <v>248</v>
      </c>
      <c r="D16" s="87" t="s">
        <v>242</v>
      </c>
      <c r="E16" s="82" t="s">
        <v>243</v>
      </c>
      <c r="F16" s="82" t="s">
        <v>244</v>
      </c>
      <c r="G16" s="41">
        <v>0</v>
      </c>
      <c r="H16" s="41">
        <v>0</v>
      </c>
      <c r="I16" s="106">
        <v>2582.5229900000004</v>
      </c>
      <c r="J16" s="49">
        <v>0.56811606183825969</v>
      </c>
      <c r="K16" s="49">
        <v>4.3943977171599813E-2</v>
      </c>
    </row>
    <row r="17" spans="1:11" x14ac:dyDescent="0.2">
      <c r="A17" s="68" t="s">
        <v>827</v>
      </c>
      <c r="B17" s="41" t="s">
        <v>251</v>
      </c>
      <c r="C17" s="41" t="s">
        <v>248</v>
      </c>
      <c r="D17" s="87" t="s">
        <v>242</v>
      </c>
      <c r="E17" s="82" t="s">
        <v>243</v>
      </c>
      <c r="F17" s="82" t="s">
        <v>244</v>
      </c>
      <c r="G17" s="41">
        <v>0</v>
      </c>
      <c r="H17" s="41">
        <v>0</v>
      </c>
      <c r="I17" s="106">
        <v>5.3295025946715313</v>
      </c>
      <c r="J17" s="49">
        <v>1.1724100956179975E-3</v>
      </c>
      <c r="K17" s="49">
        <v>9.0686333195518897E-5</v>
      </c>
    </row>
    <row r="18" spans="1:11" x14ac:dyDescent="0.2">
      <c r="A18" s="68" t="s">
        <v>827</v>
      </c>
      <c r="B18" s="41" t="s">
        <v>252</v>
      </c>
      <c r="C18" s="41" t="s">
        <v>248</v>
      </c>
      <c r="D18" s="87" t="s">
        <v>242</v>
      </c>
      <c r="E18" s="82" t="s">
        <v>243</v>
      </c>
      <c r="F18" s="82" t="s">
        <v>244</v>
      </c>
      <c r="G18" s="41">
        <v>0</v>
      </c>
      <c r="H18" s="41">
        <v>0</v>
      </c>
      <c r="I18" s="106">
        <v>0.24328866236056265</v>
      </c>
      <c r="J18" s="49">
        <v>5.3519832073278422E-5</v>
      </c>
      <c r="K18" s="49">
        <v>4.1397778320965183E-6</v>
      </c>
    </row>
    <row r="19" spans="1:11" s="137" customFormat="1" x14ac:dyDescent="0.2">
      <c r="A19" s="143" t="s">
        <v>253</v>
      </c>
      <c r="B19" s="144" t="s">
        <v>238</v>
      </c>
      <c r="C19" s="144" t="s">
        <v>238</v>
      </c>
      <c r="D19" s="141" t="s">
        <v>238</v>
      </c>
      <c r="E19" s="145" t="s">
        <v>238</v>
      </c>
      <c r="F19" s="145" t="s">
        <v>238</v>
      </c>
      <c r="G19" s="144" t="s">
        <v>238</v>
      </c>
      <c r="H19" s="144" t="s">
        <v>238</v>
      </c>
      <c r="I19" s="146">
        <v>1460.7490900999999</v>
      </c>
      <c r="J19" s="140">
        <v>0.32134274258733048</v>
      </c>
      <c r="K19" s="140">
        <v>2.4855974145186442E-2</v>
      </c>
    </row>
    <row r="20" spans="1:11" x14ac:dyDescent="0.2">
      <c r="A20" s="68" t="s">
        <v>825</v>
      </c>
      <c r="B20" s="41" t="s">
        <v>254</v>
      </c>
      <c r="C20" s="41" t="s">
        <v>241</v>
      </c>
      <c r="D20" s="87" t="s">
        <v>242</v>
      </c>
      <c r="E20" s="82" t="s">
        <v>243</v>
      </c>
      <c r="F20" s="82" t="s">
        <v>126</v>
      </c>
      <c r="G20" s="41">
        <v>0</v>
      </c>
      <c r="H20" s="41">
        <v>0</v>
      </c>
      <c r="I20" s="106">
        <v>1.97401</v>
      </c>
      <c r="J20" s="49">
        <v>4.342523925525027E-4</v>
      </c>
      <c r="K20" s="49">
        <v>3.3589575276737318E-5</v>
      </c>
    </row>
    <row r="21" spans="1:11" x14ac:dyDescent="0.2">
      <c r="A21" s="68" t="s">
        <v>828</v>
      </c>
      <c r="B21" s="41" t="s">
        <v>255</v>
      </c>
      <c r="C21" s="41" t="s">
        <v>246</v>
      </c>
      <c r="D21" s="87" t="s">
        <v>242</v>
      </c>
      <c r="E21" s="82" t="s">
        <v>243</v>
      </c>
      <c r="F21" s="82" t="s">
        <v>126</v>
      </c>
      <c r="G21" s="41">
        <v>0</v>
      </c>
      <c r="H21" s="41">
        <v>0</v>
      </c>
      <c r="I21" s="106">
        <v>570.93646000000001</v>
      </c>
      <c r="J21" s="49">
        <v>0.12559740008938974</v>
      </c>
      <c r="K21" s="49">
        <v>9.7150030655386369E-3</v>
      </c>
    </row>
    <row r="22" spans="1:11" x14ac:dyDescent="0.2">
      <c r="A22" s="68" t="s">
        <v>829</v>
      </c>
      <c r="B22" s="41" t="s">
        <v>257</v>
      </c>
      <c r="C22" s="41" t="s">
        <v>246</v>
      </c>
      <c r="D22" s="87" t="s">
        <v>242</v>
      </c>
      <c r="E22" s="82" t="s">
        <v>243</v>
      </c>
      <c r="F22" s="82" t="s">
        <v>127</v>
      </c>
      <c r="G22" s="41">
        <v>0</v>
      </c>
      <c r="H22" s="41">
        <v>0</v>
      </c>
      <c r="I22" s="106">
        <v>4.0640000000000003E-2</v>
      </c>
      <c r="J22" s="49">
        <v>8.9401863381308646E-6</v>
      </c>
      <c r="K22" s="49">
        <v>6.915265572345655E-7</v>
      </c>
    </row>
    <row r="23" spans="1:11" x14ac:dyDescent="0.2">
      <c r="A23" s="68" t="s">
        <v>830</v>
      </c>
      <c r="B23" s="41" t="s">
        <v>256</v>
      </c>
      <c r="C23" s="41" t="s">
        <v>248</v>
      </c>
      <c r="D23" s="87" t="s">
        <v>242</v>
      </c>
      <c r="E23" s="82" t="s">
        <v>243</v>
      </c>
      <c r="F23" s="82" t="s">
        <v>126</v>
      </c>
      <c r="G23" s="41">
        <v>0</v>
      </c>
      <c r="H23" s="41">
        <v>0</v>
      </c>
      <c r="I23" s="106">
        <v>105.54692</v>
      </c>
      <c r="J23" s="49">
        <v>2.3218728647042108E-2</v>
      </c>
      <c r="K23" s="49">
        <v>1.7959768261395694E-3</v>
      </c>
    </row>
    <row r="24" spans="1:11" x14ac:dyDescent="0.2">
      <c r="A24" s="68" t="s">
        <v>831</v>
      </c>
      <c r="B24" s="41" t="s">
        <v>258</v>
      </c>
      <c r="C24" s="41" t="s">
        <v>248</v>
      </c>
      <c r="D24" s="87" t="s">
        <v>242</v>
      </c>
      <c r="E24" s="82" t="s">
        <v>243</v>
      </c>
      <c r="F24" s="82" t="s">
        <v>127</v>
      </c>
      <c r="G24" s="41">
        <v>0</v>
      </c>
      <c r="H24" s="41">
        <v>0</v>
      </c>
      <c r="I24" s="106">
        <v>0.65578999999999998</v>
      </c>
      <c r="J24" s="49">
        <v>1.4426389760538482E-4</v>
      </c>
      <c r="K24" s="49">
        <v>1.115886321281633E-5</v>
      </c>
    </row>
    <row r="25" spans="1:11" x14ac:dyDescent="0.2">
      <c r="A25" s="68" t="s">
        <v>832</v>
      </c>
      <c r="B25" s="41" t="s">
        <v>259</v>
      </c>
      <c r="C25" s="41" t="s">
        <v>248</v>
      </c>
      <c r="D25" s="87" t="s">
        <v>242</v>
      </c>
      <c r="E25" s="82" t="s">
        <v>243</v>
      </c>
      <c r="F25" s="82" t="s">
        <v>2</v>
      </c>
      <c r="G25" s="41">
        <v>0</v>
      </c>
      <c r="H25" s="41">
        <v>0</v>
      </c>
      <c r="I25" s="106">
        <v>240.83082000000002</v>
      </c>
      <c r="J25" s="49">
        <v>5.2979143867245414E-2</v>
      </c>
      <c r="K25" s="49">
        <v>4.0979554092169619E-3</v>
      </c>
    </row>
    <row r="26" spans="1:11" x14ac:dyDescent="0.2">
      <c r="A26" s="68" t="s">
        <v>835</v>
      </c>
      <c r="B26" s="41" t="s">
        <v>260</v>
      </c>
      <c r="C26" s="41" t="s">
        <v>248</v>
      </c>
      <c r="D26" s="87" t="s">
        <v>242</v>
      </c>
      <c r="E26" s="82" t="s">
        <v>243</v>
      </c>
      <c r="F26" s="82" t="s">
        <v>261</v>
      </c>
      <c r="G26" s="41">
        <v>0</v>
      </c>
      <c r="H26" s="41">
        <v>0</v>
      </c>
      <c r="I26" s="106">
        <v>540.7644499999999</v>
      </c>
      <c r="J26" s="49">
        <v>0.11896001348515874</v>
      </c>
      <c r="K26" s="49">
        <v>9.2015988775428943E-3</v>
      </c>
    </row>
    <row r="27" spans="1:11" s="137" customFormat="1" x14ac:dyDescent="0.2">
      <c r="A27" s="143" t="s">
        <v>262</v>
      </c>
      <c r="B27" s="144" t="s">
        <v>238</v>
      </c>
      <c r="C27" s="144" t="s">
        <v>238</v>
      </c>
      <c r="D27" s="141" t="s">
        <v>238</v>
      </c>
      <c r="E27" s="145" t="s">
        <v>238</v>
      </c>
      <c r="F27" s="145" t="s">
        <v>238</v>
      </c>
      <c r="G27" s="144" t="s">
        <v>238</v>
      </c>
      <c r="H27" s="144" t="s">
        <v>238</v>
      </c>
      <c r="I27" s="146">
        <v>0</v>
      </c>
      <c r="J27" s="140">
        <v>0</v>
      </c>
      <c r="K27" s="140">
        <v>0</v>
      </c>
    </row>
    <row r="28" spans="1:11" s="137" customFormat="1" x14ac:dyDescent="0.2">
      <c r="A28" s="143" t="s">
        <v>263</v>
      </c>
      <c r="B28" s="144" t="s">
        <v>238</v>
      </c>
      <c r="C28" s="144" t="s">
        <v>238</v>
      </c>
      <c r="D28" s="141" t="s">
        <v>238</v>
      </c>
      <c r="E28" s="145" t="s">
        <v>238</v>
      </c>
      <c r="F28" s="145" t="s">
        <v>238</v>
      </c>
      <c r="G28" s="144" t="s">
        <v>238</v>
      </c>
      <c r="H28" s="144" t="s">
        <v>238</v>
      </c>
      <c r="I28" s="146">
        <v>0</v>
      </c>
      <c r="J28" s="140">
        <v>0</v>
      </c>
      <c r="K28" s="140">
        <v>0</v>
      </c>
    </row>
    <row r="29" spans="1:11" s="137" customFormat="1" x14ac:dyDescent="0.2">
      <c r="A29" s="143" t="s">
        <v>264</v>
      </c>
      <c r="B29" s="144" t="s">
        <v>238</v>
      </c>
      <c r="C29" s="144" t="s">
        <v>238</v>
      </c>
      <c r="D29" s="141" t="s">
        <v>238</v>
      </c>
      <c r="E29" s="145" t="s">
        <v>238</v>
      </c>
      <c r="F29" s="145" t="s">
        <v>238</v>
      </c>
      <c r="G29" s="144" t="s">
        <v>238</v>
      </c>
      <c r="H29" s="144" t="s">
        <v>238</v>
      </c>
      <c r="I29" s="146">
        <v>0</v>
      </c>
      <c r="J29" s="140">
        <v>0</v>
      </c>
      <c r="K29" s="140">
        <v>0</v>
      </c>
    </row>
    <row r="30" spans="1:11" s="137" customFormat="1" x14ac:dyDescent="0.2">
      <c r="A30" s="143" t="s">
        <v>265</v>
      </c>
      <c r="B30" s="144" t="s">
        <v>238</v>
      </c>
      <c r="C30" s="144" t="s">
        <v>238</v>
      </c>
      <c r="D30" s="141" t="s">
        <v>238</v>
      </c>
      <c r="E30" s="145" t="s">
        <v>238</v>
      </c>
      <c r="F30" s="145" t="s">
        <v>238</v>
      </c>
      <c r="G30" s="144" t="s">
        <v>238</v>
      </c>
      <c r="H30" s="144" t="s">
        <v>238</v>
      </c>
      <c r="I30" s="146">
        <v>0</v>
      </c>
      <c r="J30" s="140">
        <v>0</v>
      </c>
      <c r="K30" s="140">
        <v>0</v>
      </c>
    </row>
    <row r="31" spans="1:11" s="137" customFormat="1" x14ac:dyDescent="0.2">
      <c r="A31" s="143" t="s">
        <v>266</v>
      </c>
      <c r="B31" s="144" t="s">
        <v>238</v>
      </c>
      <c r="C31" s="144" t="s">
        <v>238</v>
      </c>
      <c r="D31" s="141" t="s">
        <v>238</v>
      </c>
      <c r="E31" s="145" t="s">
        <v>238</v>
      </c>
      <c r="F31" s="145" t="s">
        <v>238</v>
      </c>
      <c r="G31" s="144" t="s">
        <v>238</v>
      </c>
      <c r="H31" s="144" t="s">
        <v>238</v>
      </c>
      <c r="I31" s="146">
        <v>0</v>
      </c>
      <c r="J31" s="140">
        <v>0</v>
      </c>
      <c r="K31" s="140">
        <v>0</v>
      </c>
    </row>
    <row r="32" spans="1:11" s="137" customFormat="1" x14ac:dyDescent="0.2">
      <c r="A32" s="143" t="s">
        <v>267</v>
      </c>
      <c r="B32" s="144" t="s">
        <v>238</v>
      </c>
      <c r="C32" s="144" t="s">
        <v>238</v>
      </c>
      <c r="D32" s="141" t="s">
        <v>238</v>
      </c>
      <c r="E32" s="145" t="s">
        <v>238</v>
      </c>
      <c r="F32" s="145" t="s">
        <v>238</v>
      </c>
      <c r="G32" s="144" t="s">
        <v>238</v>
      </c>
      <c r="H32" s="144" t="s">
        <v>238</v>
      </c>
      <c r="I32" s="146">
        <v>0</v>
      </c>
      <c r="J32" s="140">
        <v>0</v>
      </c>
      <c r="K32" s="140">
        <v>0</v>
      </c>
    </row>
    <row r="33" spans="1:11" s="137" customFormat="1" x14ac:dyDescent="0.2">
      <c r="A33" s="143" t="s">
        <v>253</v>
      </c>
      <c r="B33" s="144" t="s">
        <v>238</v>
      </c>
      <c r="C33" s="144" t="s">
        <v>238</v>
      </c>
      <c r="D33" s="141" t="s">
        <v>238</v>
      </c>
      <c r="E33" s="145" t="s">
        <v>238</v>
      </c>
      <c r="F33" s="145" t="s">
        <v>238</v>
      </c>
      <c r="G33" s="144" t="s">
        <v>238</v>
      </c>
      <c r="H33" s="144" t="s">
        <v>238</v>
      </c>
      <c r="I33" s="146">
        <v>0</v>
      </c>
      <c r="J33" s="140">
        <v>0</v>
      </c>
      <c r="K33" s="140">
        <v>0</v>
      </c>
    </row>
    <row r="34" spans="1:11" s="137" customFormat="1" x14ac:dyDescent="0.2">
      <c r="A34" s="225" t="s">
        <v>266</v>
      </c>
      <c r="B34" s="226" t="s">
        <v>238</v>
      </c>
      <c r="C34" s="226" t="s">
        <v>238</v>
      </c>
      <c r="D34" s="227" t="s">
        <v>238</v>
      </c>
      <c r="E34" s="228" t="s">
        <v>238</v>
      </c>
      <c r="F34" s="228" t="s">
        <v>238</v>
      </c>
      <c r="G34" s="226" t="s">
        <v>238</v>
      </c>
      <c r="H34" s="226" t="s">
        <v>238</v>
      </c>
      <c r="I34" s="229">
        <v>0</v>
      </c>
      <c r="J34" s="230">
        <v>0</v>
      </c>
      <c r="K34" s="230">
        <v>0</v>
      </c>
    </row>
    <row r="35" spans="1:11" s="137" customFormat="1" x14ac:dyDescent="0.2">
      <c r="A35" s="99" t="s">
        <v>230</v>
      </c>
      <c r="B35" s="147"/>
      <c r="C35" s="147"/>
      <c r="D35" s="147"/>
      <c r="E35" s="148"/>
      <c r="F35" s="149"/>
      <c r="G35" s="150"/>
      <c r="H35" s="151"/>
      <c r="I35" s="150"/>
      <c r="J35" s="152"/>
    </row>
    <row r="36" spans="1:11" s="137" customFormat="1" x14ac:dyDescent="0.2">
      <c r="A36" s="99" t="s">
        <v>231</v>
      </c>
      <c r="B36" s="147"/>
      <c r="C36" s="147"/>
      <c r="D36" s="147"/>
      <c r="E36" s="148"/>
      <c r="F36" s="149"/>
      <c r="G36" s="150"/>
      <c r="H36" s="151"/>
      <c r="I36" s="150"/>
      <c r="J36" s="152"/>
    </row>
    <row r="37" spans="1:11" s="137" customFormat="1" x14ac:dyDescent="0.2">
      <c r="A37" s="99" t="s">
        <v>232</v>
      </c>
      <c r="B37" s="147"/>
      <c r="C37" s="147"/>
      <c r="D37" s="147"/>
      <c r="E37" s="148"/>
      <c r="F37" s="149"/>
      <c r="G37" s="150"/>
      <c r="H37" s="151"/>
      <c r="I37" s="150"/>
      <c r="J37" s="152"/>
    </row>
    <row r="38" spans="1:11" s="137" customFormat="1" x14ac:dyDescent="0.2">
      <c r="A38" s="99" t="s">
        <v>233</v>
      </c>
      <c r="B38" s="147"/>
      <c r="C38" s="147"/>
      <c r="D38" s="147"/>
      <c r="E38" s="148"/>
      <c r="F38" s="149"/>
      <c r="G38" s="150"/>
      <c r="H38" s="151"/>
      <c r="I38" s="150"/>
      <c r="J38" s="152"/>
    </row>
    <row r="39" spans="1:11" s="137" customFormat="1" x14ac:dyDescent="0.2">
      <c r="A39" s="99" t="s">
        <v>234</v>
      </c>
      <c r="B39" s="147"/>
      <c r="C39" s="147"/>
      <c r="D39" s="147"/>
      <c r="E39" s="148"/>
      <c r="F39" s="149"/>
      <c r="G39" s="150"/>
      <c r="H39" s="151"/>
      <c r="I39" s="150"/>
      <c r="J39" s="152"/>
    </row>
  </sheetData>
  <mergeCells count="1">
    <mergeCell ref="A5:K5"/>
  </mergeCells>
  <conditionalFormatting sqref="G1:G4 G10:H34 G35:G55569">
    <cfRule type="expression" dxfId="129" priority="34" stopIfTrue="1">
      <formula>LEFT(#REF!,3)="TIR"</formula>
    </cfRule>
  </conditionalFormatting>
  <conditionalFormatting sqref="G6">
    <cfRule type="expression" dxfId="128" priority="37" stopIfTrue="1">
      <formula>LEFT(#REF!,3)="TIR"</formula>
    </cfRule>
  </conditionalFormatting>
  <conditionalFormatting sqref="B10:F34 J10:K34">
    <cfRule type="expression" dxfId="127" priority="38" stopIfTrue="1">
      <formula>LEFT(#REF!,3)="TIR"</formula>
    </cfRule>
  </conditionalFormatting>
  <conditionalFormatting sqref="A10:A34 I10:J34">
    <cfRule type="expression" dxfId="126" priority="40" stopIfTrue="1">
      <formula>#REF!&gt;0</formula>
    </cfRule>
  </conditionalFormatting>
  <conditionalFormatting sqref="A10:A34 I10:K34">
    <cfRule type="expression" dxfId="12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8241-1751-456C-B197-FC5D7315A7C0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1" customWidth="1"/>
    <col min="6" max="6" width="14.140625" style="81" customWidth="1"/>
    <col min="7" max="7" width="7.85546875" style="81" customWidth="1"/>
    <col min="8" max="8" width="12" style="53" bestFit="1" customWidth="1"/>
    <col min="9" max="9" width="12.5703125" style="83" customWidth="1"/>
    <col min="10" max="10" width="14.140625" style="85" customWidth="1"/>
    <col min="11" max="11" width="12.42578125" style="85" bestFit="1" customWidth="1"/>
    <col min="12" max="12" width="9.28515625" style="85" bestFit="1" customWidth="1"/>
    <col min="13" max="13" width="16.5703125" style="85" customWidth="1"/>
    <col min="14" max="14" width="10.85546875" style="83" bestFit="1" customWidth="1"/>
    <col min="15" max="15" width="22" style="83" customWidth="1"/>
    <col min="16" max="16" width="25.42578125" style="83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81"/>
      <c r="F1" s="81"/>
      <c r="G1" s="81"/>
      <c r="H1" s="53"/>
      <c r="I1" s="83"/>
      <c r="J1" s="84"/>
      <c r="K1" s="84"/>
      <c r="L1" s="84"/>
      <c r="M1" s="84"/>
      <c r="N1" s="83"/>
      <c r="O1" s="83"/>
      <c r="P1" s="83"/>
      <c r="Q1" s="86"/>
    </row>
    <row r="2" spans="1:17" s="20" customFormat="1" x14ac:dyDescent="0.2">
      <c r="A2" s="23" t="s">
        <v>226</v>
      </c>
      <c r="B2" s="22" t="s">
        <v>152</v>
      </c>
      <c r="C2" s="22"/>
      <c r="D2" s="22"/>
      <c r="E2" s="81"/>
      <c r="F2" s="81"/>
      <c r="G2" s="81"/>
      <c r="H2" s="53"/>
      <c r="I2" s="83"/>
      <c r="J2" s="84"/>
      <c r="K2" s="84"/>
      <c r="L2" s="84"/>
      <c r="M2" s="84"/>
      <c r="N2" s="83"/>
      <c r="O2" s="83"/>
      <c r="P2" s="83"/>
      <c r="Q2" s="86"/>
    </row>
    <row r="3" spans="1:17" s="20" customFormat="1" x14ac:dyDescent="0.2">
      <c r="A3" s="23" t="s">
        <v>227</v>
      </c>
      <c r="B3" s="22" t="s">
        <v>228</v>
      </c>
      <c r="C3" s="22"/>
      <c r="D3" s="22"/>
      <c r="E3" s="81"/>
      <c r="F3" s="81"/>
      <c r="G3" s="81"/>
      <c r="H3" s="53"/>
      <c r="I3" s="83"/>
      <c r="J3" s="84"/>
      <c r="K3" s="84"/>
      <c r="L3" s="84"/>
      <c r="M3" s="84"/>
      <c r="N3" s="83"/>
      <c r="O3" s="83"/>
      <c r="P3" s="83"/>
      <c r="Q3" s="86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81"/>
      <c r="G4" s="81"/>
      <c r="H4" s="53"/>
      <c r="I4" s="83"/>
      <c r="J4" s="84"/>
      <c r="K4" s="84"/>
      <c r="L4" s="84"/>
      <c r="M4" s="84"/>
      <c r="N4" s="83"/>
      <c r="O4" s="83"/>
      <c r="P4" s="83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1" t="s">
        <v>159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136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7" t="s">
        <v>9</v>
      </c>
      <c r="P8" s="47" t="s">
        <v>9</v>
      </c>
      <c r="Q8" s="19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37" customFormat="1" ht="12.75" customHeight="1" thickBot="1" x14ac:dyDescent="0.25">
      <c r="A10" s="122" t="s">
        <v>52</v>
      </c>
      <c r="B10" s="88"/>
      <c r="C10" s="88"/>
      <c r="D10" s="123"/>
      <c r="E10" s="123"/>
      <c r="F10" s="123"/>
      <c r="G10" s="123"/>
      <c r="H10" s="123"/>
      <c r="I10" s="88"/>
      <c r="J10" s="88"/>
      <c r="K10" s="126"/>
      <c r="L10" s="123"/>
      <c r="M10" s="123" t="s">
        <v>238</v>
      </c>
      <c r="N10" s="127">
        <v>12629.228507377857</v>
      </c>
      <c r="O10" s="88"/>
      <c r="P10" s="88">
        <v>1</v>
      </c>
      <c r="Q10" s="103">
        <v>0.21489780783060136</v>
      </c>
    </row>
    <row r="11" spans="1:17" s="137" customFormat="1" x14ac:dyDescent="0.2">
      <c r="A11" s="113" t="s">
        <v>139</v>
      </c>
      <c r="B11" s="140" t="s">
        <v>238</v>
      </c>
      <c r="C11" s="140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0" t="s">
        <v>238</v>
      </c>
      <c r="J11" s="140" t="s">
        <v>238</v>
      </c>
      <c r="K11" s="153" t="s">
        <v>238</v>
      </c>
      <c r="L11" s="141" t="s">
        <v>238</v>
      </c>
      <c r="M11" s="141" t="s">
        <v>238</v>
      </c>
      <c r="N11" s="154">
        <v>12486.203907177856</v>
      </c>
      <c r="O11" s="140" t="s">
        <v>238</v>
      </c>
      <c r="P11" s="140">
        <v>0.98867511185529289</v>
      </c>
      <c r="Q11" s="140">
        <v>0.21246411419437702</v>
      </c>
    </row>
    <row r="12" spans="1:17" s="137" customFormat="1" x14ac:dyDescent="0.2">
      <c r="A12" s="114" t="s">
        <v>268</v>
      </c>
      <c r="B12" s="144" t="s">
        <v>238</v>
      </c>
      <c r="C12" s="144" t="s">
        <v>238</v>
      </c>
      <c r="D12" s="141" t="s">
        <v>238</v>
      </c>
      <c r="E12" s="145" t="s">
        <v>238</v>
      </c>
      <c r="F12" s="145" t="s">
        <v>238</v>
      </c>
      <c r="G12" s="145" t="s">
        <v>238</v>
      </c>
      <c r="H12" s="145" t="s">
        <v>238</v>
      </c>
      <c r="I12" s="144" t="s">
        <v>238</v>
      </c>
      <c r="J12" s="144" t="s">
        <v>238</v>
      </c>
      <c r="K12" s="155" t="s">
        <v>238</v>
      </c>
      <c r="L12" s="145" t="s">
        <v>238</v>
      </c>
      <c r="M12" s="145" t="s">
        <v>238</v>
      </c>
      <c r="N12" s="146">
        <v>6709.7973474284981</v>
      </c>
      <c r="O12" s="144" t="s">
        <v>238</v>
      </c>
      <c r="P12" s="140">
        <v>0.53129115080218148</v>
      </c>
      <c r="Q12" s="140">
        <v>0.11417330362718624</v>
      </c>
    </row>
    <row r="13" spans="1:17" x14ac:dyDescent="0.2">
      <c r="A13" s="33" t="s">
        <v>269</v>
      </c>
      <c r="B13" s="41" t="s">
        <v>270</v>
      </c>
      <c r="C13" s="41" t="s">
        <v>271</v>
      </c>
      <c r="D13" s="87" t="s">
        <v>272</v>
      </c>
      <c r="E13" s="82" t="s">
        <v>238</v>
      </c>
      <c r="F13" s="82" t="s">
        <v>273</v>
      </c>
      <c r="G13" s="82">
        <v>1.29</v>
      </c>
      <c r="H13" s="82" t="s">
        <v>244</v>
      </c>
      <c r="I13" s="41">
        <v>0.04</v>
      </c>
      <c r="J13" s="41">
        <v>9.300000000000001E-3</v>
      </c>
      <c r="K13" s="90">
        <v>1436086.2904552342</v>
      </c>
      <c r="L13" s="82">
        <v>139.44999999999999</v>
      </c>
      <c r="M13" s="90">
        <v>0</v>
      </c>
      <c r="N13" s="106">
        <v>2002.6223320350018</v>
      </c>
      <c r="O13" s="41">
        <v>9.2365842363185635E-5</v>
      </c>
      <c r="P13" s="49">
        <v>0.15857044085195637</v>
      </c>
      <c r="Q13" s="49">
        <v>3.407644012581746E-2</v>
      </c>
    </row>
    <row r="14" spans="1:17" x14ac:dyDescent="0.2">
      <c r="A14" s="33" t="s">
        <v>274</v>
      </c>
      <c r="B14" s="41" t="s">
        <v>275</v>
      </c>
      <c r="C14" s="41" t="s">
        <v>271</v>
      </c>
      <c r="D14" s="87" t="s">
        <v>272</v>
      </c>
      <c r="E14" s="82" t="s">
        <v>238</v>
      </c>
      <c r="F14" s="82" t="s">
        <v>276</v>
      </c>
      <c r="G14" s="82">
        <v>4</v>
      </c>
      <c r="H14" s="82" t="s">
        <v>244</v>
      </c>
      <c r="I14" s="41">
        <v>0.04</v>
      </c>
      <c r="J14" s="41">
        <v>-8.9999999999999998E-4</v>
      </c>
      <c r="K14" s="90">
        <v>235063.12893921134</v>
      </c>
      <c r="L14" s="82">
        <v>149</v>
      </c>
      <c r="M14" s="82">
        <v>0</v>
      </c>
      <c r="N14" s="106">
        <v>350.24406211942494</v>
      </c>
      <c r="O14" s="41">
        <v>2.0232851921287227E-5</v>
      </c>
      <c r="P14" s="49">
        <v>2.7732815342981259E-2</v>
      </c>
      <c r="Q14" s="49">
        <v>5.9597212221775397E-3</v>
      </c>
    </row>
    <row r="15" spans="1:17" x14ac:dyDescent="0.2">
      <c r="A15" s="33" t="s">
        <v>277</v>
      </c>
      <c r="B15" s="41" t="s">
        <v>278</v>
      </c>
      <c r="C15" s="41" t="s">
        <v>271</v>
      </c>
      <c r="D15" s="87" t="s">
        <v>272</v>
      </c>
      <c r="E15" s="82" t="s">
        <v>238</v>
      </c>
      <c r="F15" s="82" t="s">
        <v>279</v>
      </c>
      <c r="G15" s="82">
        <v>12.9</v>
      </c>
      <c r="H15" s="82" t="s">
        <v>244</v>
      </c>
      <c r="I15" s="41">
        <v>0.04</v>
      </c>
      <c r="J15" s="41">
        <v>1.4000000000000002E-3</v>
      </c>
      <c r="K15" s="90">
        <v>371785.33674114099</v>
      </c>
      <c r="L15" s="82">
        <v>196.5</v>
      </c>
      <c r="M15" s="82">
        <v>0</v>
      </c>
      <c r="N15" s="106">
        <v>730.55818669634209</v>
      </c>
      <c r="O15" s="41">
        <v>2.2919149034848219E-5</v>
      </c>
      <c r="P15" s="49">
        <v>5.7846620343400865E-2</v>
      </c>
      <c r="Q15" s="49">
        <v>1.2431111902205914E-2</v>
      </c>
    </row>
    <row r="16" spans="1:17" x14ac:dyDescent="0.2">
      <c r="A16" s="33" t="s">
        <v>280</v>
      </c>
      <c r="B16" s="41" t="s">
        <v>281</v>
      </c>
      <c r="C16" s="41" t="s">
        <v>271</v>
      </c>
      <c r="D16" s="87" t="s">
        <v>272</v>
      </c>
      <c r="E16" s="82" t="s">
        <v>238</v>
      </c>
      <c r="F16" s="82" t="s">
        <v>282</v>
      </c>
      <c r="G16" s="82">
        <v>17.34</v>
      </c>
      <c r="H16" s="82" t="s">
        <v>244</v>
      </c>
      <c r="I16" s="41">
        <v>2.75E-2</v>
      </c>
      <c r="J16" s="41">
        <v>3.0000000000000001E-3</v>
      </c>
      <c r="K16" s="90">
        <v>473894.86325203069</v>
      </c>
      <c r="L16" s="82">
        <v>163.28</v>
      </c>
      <c r="M16" s="82">
        <v>0</v>
      </c>
      <c r="N16" s="106">
        <v>773.77553271309341</v>
      </c>
      <c r="O16" s="41">
        <v>2.6811488932518937E-5</v>
      </c>
      <c r="P16" s="49">
        <v>6.1268630325364865E-2</v>
      </c>
      <c r="Q16" s="49">
        <v>1.3166494345704414E-2</v>
      </c>
    </row>
    <row r="17" spans="1:17" x14ac:dyDescent="0.2">
      <c r="A17" s="33" t="s">
        <v>283</v>
      </c>
      <c r="B17" s="41" t="s">
        <v>284</v>
      </c>
      <c r="C17" s="41" t="s">
        <v>271</v>
      </c>
      <c r="D17" s="87" t="s">
        <v>272</v>
      </c>
      <c r="E17" s="82" t="s">
        <v>238</v>
      </c>
      <c r="F17" s="82" t="s">
        <v>285</v>
      </c>
      <c r="G17" s="82">
        <v>2.42</v>
      </c>
      <c r="H17" s="82" t="s">
        <v>244</v>
      </c>
      <c r="I17" s="41">
        <v>2.75E-2</v>
      </c>
      <c r="J17" s="41">
        <v>1.2999999999999999E-3</v>
      </c>
      <c r="K17" s="90">
        <v>730444.59313783818</v>
      </c>
      <c r="L17" s="82">
        <v>111.99</v>
      </c>
      <c r="M17" s="82">
        <v>0</v>
      </c>
      <c r="N17" s="106">
        <v>818.02489435012217</v>
      </c>
      <c r="O17" s="41">
        <v>4.4052470933285943E-5</v>
      </c>
      <c r="P17" s="49">
        <v>6.4772356749443635E-2</v>
      </c>
      <c r="Q17" s="49">
        <v>1.3919437473477094E-2</v>
      </c>
    </row>
    <row r="18" spans="1:17" x14ac:dyDescent="0.2">
      <c r="A18" s="33" t="s">
        <v>286</v>
      </c>
      <c r="B18" s="41" t="s">
        <v>287</v>
      </c>
      <c r="C18" s="41" t="s">
        <v>271</v>
      </c>
      <c r="D18" s="87" t="s">
        <v>272</v>
      </c>
      <c r="E18" s="82" t="s">
        <v>238</v>
      </c>
      <c r="F18" s="82" t="s">
        <v>288</v>
      </c>
      <c r="G18" s="82">
        <v>3.4</v>
      </c>
      <c r="H18" s="82" t="s">
        <v>244</v>
      </c>
      <c r="I18" s="41">
        <v>1.7500000000000002E-2</v>
      </c>
      <c r="J18" s="41">
        <v>5.9999999999999995E-4</v>
      </c>
      <c r="K18" s="90">
        <v>397190.42170363304</v>
      </c>
      <c r="L18" s="82">
        <v>108.80000000000001</v>
      </c>
      <c r="M18" s="82">
        <v>0</v>
      </c>
      <c r="N18" s="106">
        <v>432.14317881355271</v>
      </c>
      <c r="O18" s="41">
        <v>2.36810068619717E-5</v>
      </c>
      <c r="P18" s="49">
        <v>3.4217702099625436E-2</v>
      </c>
      <c r="Q18" s="49">
        <v>7.3533091702100714E-3</v>
      </c>
    </row>
    <row r="19" spans="1:17" x14ac:dyDescent="0.2">
      <c r="A19" s="33" t="s">
        <v>289</v>
      </c>
      <c r="B19" s="41" t="s">
        <v>290</v>
      </c>
      <c r="C19" s="41" t="s">
        <v>271</v>
      </c>
      <c r="D19" s="87" t="s">
        <v>272</v>
      </c>
      <c r="E19" s="82" t="s">
        <v>238</v>
      </c>
      <c r="F19" s="82" t="s">
        <v>291</v>
      </c>
      <c r="G19" s="82">
        <v>22.37</v>
      </c>
      <c r="H19" s="82" t="s">
        <v>244</v>
      </c>
      <c r="I19" s="41">
        <v>0.01</v>
      </c>
      <c r="J19" s="41">
        <v>6.0000000000000001E-3</v>
      </c>
      <c r="K19" s="90">
        <v>211131.17307077453</v>
      </c>
      <c r="L19" s="82">
        <v>111.32</v>
      </c>
      <c r="M19" s="82">
        <v>0</v>
      </c>
      <c r="N19" s="106">
        <v>235.03122186166286</v>
      </c>
      <c r="O19" s="41">
        <v>1.3552098170664631E-5</v>
      </c>
      <c r="P19" s="49">
        <v>1.8610101299882269E-2</v>
      </c>
      <c r="Q19" s="49">
        <v>3.999269972850124E-3</v>
      </c>
    </row>
    <row r="20" spans="1:17" x14ac:dyDescent="0.2">
      <c r="A20" s="33" t="s">
        <v>292</v>
      </c>
      <c r="B20" s="41" t="s">
        <v>293</v>
      </c>
      <c r="C20" s="41" t="s">
        <v>271</v>
      </c>
      <c r="D20" s="87" t="s">
        <v>272</v>
      </c>
      <c r="E20" s="82" t="s">
        <v>238</v>
      </c>
      <c r="F20" s="82" t="s">
        <v>294</v>
      </c>
      <c r="G20" s="82">
        <v>5.48</v>
      </c>
      <c r="H20" s="82" t="s">
        <v>244</v>
      </c>
      <c r="I20" s="41">
        <v>7.4999999999999997E-3</v>
      </c>
      <c r="J20" s="41">
        <v>-8.9999999999999998E-4</v>
      </c>
      <c r="K20" s="90">
        <v>100048.03367843642</v>
      </c>
      <c r="L20" s="82">
        <v>105.65</v>
      </c>
      <c r="M20" s="82">
        <v>0</v>
      </c>
      <c r="N20" s="106">
        <v>105.70074757644581</v>
      </c>
      <c r="O20" s="41">
        <v>7.3213897508774315E-6</v>
      </c>
      <c r="P20" s="49">
        <v>8.369533223244522E-3</v>
      </c>
      <c r="Q20" s="49">
        <v>1.7985943422406351E-3</v>
      </c>
    </row>
    <row r="21" spans="1:17" x14ac:dyDescent="0.2">
      <c r="A21" s="33" t="s">
        <v>295</v>
      </c>
      <c r="B21" s="41" t="s">
        <v>296</v>
      </c>
      <c r="C21" s="41" t="s">
        <v>271</v>
      </c>
      <c r="D21" s="87" t="s">
        <v>272</v>
      </c>
      <c r="E21" s="82" t="s">
        <v>238</v>
      </c>
      <c r="F21" s="82" t="s">
        <v>297</v>
      </c>
      <c r="G21" s="82">
        <v>0.57999999999999996</v>
      </c>
      <c r="H21" s="82" t="s">
        <v>244</v>
      </c>
      <c r="I21" s="41">
        <v>1E-3</v>
      </c>
      <c r="J21" s="41">
        <v>1.4999999999999999E-2</v>
      </c>
      <c r="K21" s="90">
        <v>1117882.571167069</v>
      </c>
      <c r="L21" s="82">
        <v>100.22999999999999</v>
      </c>
      <c r="M21" s="82">
        <v>0</v>
      </c>
      <c r="N21" s="106">
        <v>1120.4537010772574</v>
      </c>
      <c r="O21" s="41">
        <v>7.376114747761969E-5</v>
      </c>
      <c r="P21" s="49">
        <v>8.871909320689704E-2</v>
      </c>
      <c r="Q21" s="49">
        <v>1.9065538642880974E-2</v>
      </c>
    </row>
    <row r="22" spans="1:17" x14ac:dyDescent="0.2">
      <c r="A22" s="33" t="s">
        <v>298</v>
      </c>
      <c r="B22" s="41" t="s">
        <v>299</v>
      </c>
      <c r="C22" s="41" t="s">
        <v>271</v>
      </c>
      <c r="D22" s="87" t="s">
        <v>272</v>
      </c>
      <c r="E22" s="82" t="s">
        <v>238</v>
      </c>
      <c r="F22" s="82" t="s">
        <v>300</v>
      </c>
      <c r="G22" s="82">
        <v>6.97</v>
      </c>
      <c r="H22" s="82" t="s">
        <v>244</v>
      </c>
      <c r="I22" s="41">
        <v>7.4999999999999997E-3</v>
      </c>
      <c r="J22" s="41">
        <v>-5.9999999999999995E-4</v>
      </c>
      <c r="K22" s="90">
        <v>90119.640398177449</v>
      </c>
      <c r="L22" s="82">
        <v>107.69999999999999</v>
      </c>
      <c r="M22" s="82">
        <v>0</v>
      </c>
      <c r="N22" s="106">
        <v>97.058852705823199</v>
      </c>
      <c r="O22" s="41">
        <v>6.3571767588171527E-6</v>
      </c>
      <c r="P22" s="49">
        <v>7.6852558847218958E-3</v>
      </c>
      <c r="Q22" s="49">
        <v>1.6515446422439642E-3</v>
      </c>
    </row>
    <row r="23" spans="1:17" x14ac:dyDescent="0.2">
      <c r="A23" s="33" t="s">
        <v>301</v>
      </c>
      <c r="B23" s="41" t="s">
        <v>302</v>
      </c>
      <c r="C23" s="41" t="s">
        <v>271</v>
      </c>
      <c r="D23" s="87" t="s">
        <v>272</v>
      </c>
      <c r="E23" s="82" t="s">
        <v>238</v>
      </c>
      <c r="F23" s="82" t="s">
        <v>303</v>
      </c>
      <c r="G23" s="82">
        <v>8.9600000000000009</v>
      </c>
      <c r="H23" s="82" t="s">
        <v>244</v>
      </c>
      <c r="I23" s="41">
        <v>5.0000000000000001E-3</v>
      </c>
      <c r="J23" s="41">
        <v>-8.0000000000000004E-4</v>
      </c>
      <c r="K23" s="90">
        <v>41683.620169595182</v>
      </c>
      <c r="L23" s="82">
        <v>106</v>
      </c>
      <c r="M23" s="82">
        <v>0</v>
      </c>
      <c r="N23" s="106">
        <v>44.184637379770898</v>
      </c>
      <c r="O23" s="41">
        <v>3.9119240508467657E-6</v>
      </c>
      <c r="P23" s="49">
        <v>3.4986014667450758E-3</v>
      </c>
      <c r="Q23" s="49">
        <v>7.5184178567644345E-4</v>
      </c>
    </row>
    <row r="24" spans="1:17" s="137" customFormat="1" x14ac:dyDescent="0.2">
      <c r="A24" s="114" t="s">
        <v>141</v>
      </c>
      <c r="B24" s="144" t="s">
        <v>238</v>
      </c>
      <c r="C24" s="144" t="s">
        <v>238</v>
      </c>
      <c r="D24" s="141" t="s">
        <v>238</v>
      </c>
      <c r="E24" s="145" t="s">
        <v>238</v>
      </c>
      <c r="F24" s="145" t="s">
        <v>238</v>
      </c>
      <c r="G24" s="145" t="s">
        <v>238</v>
      </c>
      <c r="H24" s="145" t="s">
        <v>238</v>
      </c>
      <c r="I24" s="144" t="s">
        <v>238</v>
      </c>
      <c r="J24" s="144" t="s">
        <v>238</v>
      </c>
      <c r="K24" s="155" t="s">
        <v>238</v>
      </c>
      <c r="L24" s="145" t="s">
        <v>238</v>
      </c>
      <c r="M24" s="145" t="s">
        <v>238</v>
      </c>
      <c r="N24" s="146">
        <v>5776.4065596493565</v>
      </c>
      <c r="O24" s="144" t="s">
        <v>238</v>
      </c>
      <c r="P24" s="140">
        <v>0.45738396104519313</v>
      </c>
      <c r="Q24" s="140">
        <v>9.8290810565489176E-2</v>
      </c>
    </row>
    <row r="25" spans="1:17" s="137" customFormat="1" x14ac:dyDescent="0.2">
      <c r="A25" s="114" t="s">
        <v>304</v>
      </c>
      <c r="B25" s="144" t="s">
        <v>238</v>
      </c>
      <c r="C25" s="144" t="s">
        <v>238</v>
      </c>
      <c r="D25" s="141" t="s">
        <v>238</v>
      </c>
      <c r="E25" s="145" t="s">
        <v>238</v>
      </c>
      <c r="F25" s="145" t="s">
        <v>238</v>
      </c>
      <c r="G25" s="145" t="s">
        <v>238</v>
      </c>
      <c r="H25" s="145" t="s">
        <v>238</v>
      </c>
      <c r="I25" s="144" t="s">
        <v>238</v>
      </c>
      <c r="J25" s="144" t="s">
        <v>238</v>
      </c>
      <c r="K25" s="155" t="s">
        <v>238</v>
      </c>
      <c r="L25" s="145" t="s">
        <v>238</v>
      </c>
      <c r="M25" s="145" t="s">
        <v>238</v>
      </c>
      <c r="N25" s="146">
        <v>52.657401791399735</v>
      </c>
      <c r="O25" s="144" t="s">
        <v>238</v>
      </c>
      <c r="P25" s="140">
        <v>4.1694868186633776E-3</v>
      </c>
      <c r="Q25" s="140">
        <v>8.9601357710934791E-4</v>
      </c>
    </row>
    <row r="26" spans="1:17" x14ac:dyDescent="0.2">
      <c r="A26" s="33" t="s">
        <v>305</v>
      </c>
      <c r="B26" s="41" t="s">
        <v>306</v>
      </c>
      <c r="C26" s="41" t="s">
        <v>271</v>
      </c>
      <c r="D26" s="87" t="s">
        <v>272</v>
      </c>
      <c r="E26" s="82" t="s">
        <v>238</v>
      </c>
      <c r="F26" s="82" t="s">
        <v>307</v>
      </c>
      <c r="G26" s="82">
        <v>0.02</v>
      </c>
      <c r="H26" s="82" t="s">
        <v>244</v>
      </c>
      <c r="I26" s="41">
        <v>0</v>
      </c>
      <c r="J26" s="41">
        <v>5.1999999999999998E-3</v>
      </c>
      <c r="K26" s="90">
        <v>5624.8948251365337</v>
      </c>
      <c r="L26" s="82">
        <v>99.99</v>
      </c>
      <c r="M26" s="82">
        <v>0</v>
      </c>
      <c r="N26" s="106">
        <v>5.62433233565402</v>
      </c>
      <c r="O26" s="41">
        <v>4.6874123542804448E-7</v>
      </c>
      <c r="P26" s="49">
        <v>4.4534251101469474E-4</v>
      </c>
      <c r="Q26" s="49">
        <v>9.5703129350833337E-5</v>
      </c>
    </row>
    <row r="27" spans="1:17" x14ac:dyDescent="0.2">
      <c r="A27" s="33" t="s">
        <v>308</v>
      </c>
      <c r="B27" s="41" t="s">
        <v>309</v>
      </c>
      <c r="C27" s="41" t="s">
        <v>271</v>
      </c>
      <c r="D27" s="87" t="s">
        <v>272</v>
      </c>
      <c r="E27" s="82" t="s">
        <v>238</v>
      </c>
      <c r="F27" s="82" t="s">
        <v>310</v>
      </c>
      <c r="G27" s="82">
        <v>0.27</v>
      </c>
      <c r="H27" s="82" t="s">
        <v>244</v>
      </c>
      <c r="I27" s="41">
        <v>0</v>
      </c>
      <c r="J27" s="41">
        <v>2.2000000000000001E-3</v>
      </c>
      <c r="K27" s="90">
        <v>25009.516560656899</v>
      </c>
      <c r="L27" s="82">
        <v>99.94</v>
      </c>
      <c r="M27" s="82">
        <v>0</v>
      </c>
      <c r="N27" s="106">
        <v>24.994510846749989</v>
      </c>
      <c r="O27" s="41">
        <v>2.7788351734063221E-6</v>
      </c>
      <c r="P27" s="49">
        <v>1.9791003727700762E-3</v>
      </c>
      <c r="Q27" s="49">
        <v>4.2530433158501535E-4</v>
      </c>
    </row>
    <row r="28" spans="1:17" x14ac:dyDescent="0.2">
      <c r="A28" s="33" t="s">
        <v>311</v>
      </c>
      <c r="B28" s="41" t="s">
        <v>312</v>
      </c>
      <c r="C28" s="41" t="s">
        <v>271</v>
      </c>
      <c r="D28" s="87" t="s">
        <v>272</v>
      </c>
      <c r="E28" s="82" t="s">
        <v>238</v>
      </c>
      <c r="F28" s="82" t="s">
        <v>313</v>
      </c>
      <c r="G28" s="82">
        <v>0.42</v>
      </c>
      <c r="H28" s="82" t="s">
        <v>244</v>
      </c>
      <c r="I28" s="41">
        <v>0</v>
      </c>
      <c r="J28" s="41">
        <v>2.0999999999999999E-3</v>
      </c>
      <c r="K28" s="90">
        <v>22058.411078966801</v>
      </c>
      <c r="L28" s="82">
        <v>99.91</v>
      </c>
      <c r="M28" s="82">
        <v>0</v>
      </c>
      <c r="N28" s="106">
        <v>22.038558508995731</v>
      </c>
      <c r="O28" s="41">
        <v>2.4509345643296446E-6</v>
      </c>
      <c r="P28" s="49">
        <v>1.7450439269604669E-3</v>
      </c>
      <c r="Q28" s="49">
        <v>3.7500611447190835E-4</v>
      </c>
    </row>
    <row r="29" spans="1:17" s="137" customFormat="1" x14ac:dyDescent="0.2">
      <c r="A29" s="114" t="s">
        <v>314</v>
      </c>
      <c r="B29" s="144" t="s">
        <v>238</v>
      </c>
      <c r="C29" s="144" t="s">
        <v>238</v>
      </c>
      <c r="D29" s="141" t="s">
        <v>238</v>
      </c>
      <c r="E29" s="145" t="s">
        <v>238</v>
      </c>
      <c r="F29" s="145" t="s">
        <v>238</v>
      </c>
      <c r="G29" s="145" t="s">
        <v>238</v>
      </c>
      <c r="H29" s="145" t="s">
        <v>238</v>
      </c>
      <c r="I29" s="144" t="s">
        <v>238</v>
      </c>
      <c r="J29" s="144" t="s">
        <v>238</v>
      </c>
      <c r="K29" s="155" t="s">
        <v>238</v>
      </c>
      <c r="L29" s="145" t="s">
        <v>238</v>
      </c>
      <c r="M29" s="145" t="s">
        <v>238</v>
      </c>
      <c r="N29" s="146">
        <v>5253.2798573179216</v>
      </c>
      <c r="O29" s="144" t="s">
        <v>238</v>
      </c>
      <c r="P29" s="140">
        <v>0.41596205613422965</v>
      </c>
      <c r="Q29" s="140">
        <v>8.9389334003955503E-2</v>
      </c>
    </row>
    <row r="30" spans="1:17" x14ac:dyDescent="0.2">
      <c r="A30" s="33" t="s">
        <v>315</v>
      </c>
      <c r="B30" s="41" t="s">
        <v>316</v>
      </c>
      <c r="C30" s="41" t="s">
        <v>271</v>
      </c>
      <c r="D30" s="87" t="s">
        <v>272</v>
      </c>
      <c r="E30" s="82" t="s">
        <v>238</v>
      </c>
      <c r="F30" s="82" t="s">
        <v>317</v>
      </c>
      <c r="G30" s="82">
        <v>5.64</v>
      </c>
      <c r="H30" s="82" t="s">
        <v>244</v>
      </c>
      <c r="I30" s="41">
        <v>6.25E-2</v>
      </c>
      <c r="J30" s="41">
        <v>8.3000000000000001E-3</v>
      </c>
      <c r="K30" s="90">
        <v>30401.610224027678</v>
      </c>
      <c r="L30" s="82">
        <v>137.18</v>
      </c>
      <c r="M30" s="82">
        <v>0</v>
      </c>
      <c r="N30" s="106">
        <v>41.704928904659418</v>
      </c>
      <c r="O30" s="41">
        <v>1.8460651880775494E-6</v>
      </c>
      <c r="P30" s="49">
        <v>3.3022546769421314E-3</v>
      </c>
      <c r="Q30" s="49">
        <v>7.096472909732147E-4</v>
      </c>
    </row>
    <row r="31" spans="1:17" x14ac:dyDescent="0.2">
      <c r="A31" s="33" t="s">
        <v>318</v>
      </c>
      <c r="B31" s="41" t="s">
        <v>319</v>
      </c>
      <c r="C31" s="41" t="s">
        <v>271</v>
      </c>
      <c r="D31" s="87" t="s">
        <v>272</v>
      </c>
      <c r="E31" s="82" t="s">
        <v>238</v>
      </c>
      <c r="F31" s="82" t="s">
        <v>320</v>
      </c>
      <c r="G31" s="82">
        <v>1.79</v>
      </c>
      <c r="H31" s="82" t="s">
        <v>244</v>
      </c>
      <c r="I31" s="41">
        <v>5.5E-2</v>
      </c>
      <c r="J31" s="41">
        <v>3.5999999999999999E-3</v>
      </c>
      <c r="K31" s="90">
        <v>12060.593975064312</v>
      </c>
      <c r="L31" s="82">
        <v>110.31</v>
      </c>
      <c r="M31" s="82">
        <v>0</v>
      </c>
      <c r="N31" s="106">
        <v>13.304041210253805</v>
      </c>
      <c r="O31" s="41">
        <v>6.8056143529233994E-7</v>
      </c>
      <c r="P31" s="49">
        <v>1.0534326148649326E-3</v>
      </c>
      <c r="Q31" s="49">
        <v>2.2638035963173217E-4</v>
      </c>
    </row>
    <row r="32" spans="1:17" x14ac:dyDescent="0.2">
      <c r="A32" s="33" t="s">
        <v>321</v>
      </c>
      <c r="B32" s="41" t="s">
        <v>322</v>
      </c>
      <c r="C32" s="41" t="s">
        <v>271</v>
      </c>
      <c r="D32" s="87" t="s">
        <v>272</v>
      </c>
      <c r="E32" s="82" t="s">
        <v>238</v>
      </c>
      <c r="F32" s="82" t="s">
        <v>323</v>
      </c>
      <c r="G32" s="82">
        <v>15.12</v>
      </c>
      <c r="H32" s="82" t="s">
        <v>244</v>
      </c>
      <c r="I32" s="41">
        <v>5.5E-2</v>
      </c>
      <c r="J32" s="41">
        <v>1.89E-2</v>
      </c>
      <c r="K32" s="90">
        <v>720697.13719825912</v>
      </c>
      <c r="L32" s="82">
        <v>165.1</v>
      </c>
      <c r="M32" s="82">
        <v>0</v>
      </c>
      <c r="N32" s="106">
        <v>1189.8709735099142</v>
      </c>
      <c r="O32" s="41">
        <v>3.9417626306634097E-5</v>
      </c>
      <c r="P32" s="49">
        <v>9.4215650054538538E-2</v>
      </c>
      <c r="Q32" s="49">
        <v>2.0246736660055407E-2</v>
      </c>
    </row>
    <row r="33" spans="1:17" x14ac:dyDescent="0.2">
      <c r="A33" s="33" t="s">
        <v>324</v>
      </c>
      <c r="B33" s="41" t="s">
        <v>325</v>
      </c>
      <c r="C33" s="41" t="s">
        <v>271</v>
      </c>
      <c r="D33" s="87" t="s">
        <v>272</v>
      </c>
      <c r="E33" s="82" t="s">
        <v>238</v>
      </c>
      <c r="F33" s="82" t="s">
        <v>326</v>
      </c>
      <c r="G33" s="82">
        <v>2.88</v>
      </c>
      <c r="H33" s="82" t="s">
        <v>244</v>
      </c>
      <c r="I33" s="41">
        <v>4.2599999999999999E-2</v>
      </c>
      <c r="J33" s="41">
        <v>4.8999999999999998E-3</v>
      </c>
      <c r="K33" s="90">
        <v>603437.62605221954</v>
      </c>
      <c r="L33" s="82">
        <v>111.16</v>
      </c>
      <c r="M33" s="82">
        <v>0</v>
      </c>
      <c r="N33" s="106">
        <v>670.78126511677965</v>
      </c>
      <c r="O33" s="41">
        <v>3.5661658181804593E-5</v>
      </c>
      <c r="P33" s="49">
        <v>5.3113399977276245E-2</v>
      </c>
      <c r="Q33" s="49">
        <v>1.1413953221546579E-2</v>
      </c>
    </row>
    <row r="34" spans="1:17" x14ac:dyDescent="0.2">
      <c r="A34" s="33" t="s">
        <v>327</v>
      </c>
      <c r="B34" s="41" t="s">
        <v>328</v>
      </c>
      <c r="C34" s="41" t="s">
        <v>271</v>
      </c>
      <c r="D34" s="87" t="s">
        <v>272</v>
      </c>
      <c r="E34" s="82" t="s">
        <v>238</v>
      </c>
      <c r="F34" s="82" t="s">
        <v>329</v>
      </c>
      <c r="G34" s="82">
        <v>3.8</v>
      </c>
      <c r="H34" s="82" t="s">
        <v>244</v>
      </c>
      <c r="I34" s="41">
        <v>3.7599999999999995E-2</v>
      </c>
      <c r="J34" s="41">
        <v>5.5000000000000005E-3</v>
      </c>
      <c r="K34" s="90">
        <v>2701.4224664653343</v>
      </c>
      <c r="L34" s="82">
        <v>112.64</v>
      </c>
      <c r="M34" s="82">
        <v>0</v>
      </c>
      <c r="N34" s="106">
        <v>3.0428822638001276</v>
      </c>
      <c r="O34" s="41">
        <v>1.6647715518244327E-7</v>
      </c>
      <c r="P34" s="49">
        <v>2.4093967909619412E-4</v>
      </c>
      <c r="Q34" s="49">
        <v>5.1777408857180685E-5</v>
      </c>
    </row>
    <row r="35" spans="1:17" x14ac:dyDescent="0.2">
      <c r="A35" s="33" t="s">
        <v>330</v>
      </c>
      <c r="B35" s="41" t="s">
        <v>331</v>
      </c>
      <c r="C35" s="41" t="s">
        <v>271</v>
      </c>
      <c r="D35" s="87" t="s">
        <v>272</v>
      </c>
      <c r="E35" s="82" t="s">
        <v>238</v>
      </c>
      <c r="F35" s="82" t="s">
        <v>332</v>
      </c>
      <c r="G35" s="82">
        <v>5.17</v>
      </c>
      <c r="H35" s="82" t="s">
        <v>244</v>
      </c>
      <c r="I35" s="41">
        <v>1.7500000000000002E-2</v>
      </c>
      <c r="J35" s="41">
        <v>7.4000000000000003E-3</v>
      </c>
      <c r="K35" s="90">
        <v>217994.91214394773</v>
      </c>
      <c r="L35" s="82">
        <v>106.39</v>
      </c>
      <c r="M35" s="82">
        <v>0</v>
      </c>
      <c r="N35" s="106">
        <v>231.924787027299</v>
      </c>
      <c r="O35" s="41">
        <v>1.1175520575789983E-5</v>
      </c>
      <c r="P35" s="49">
        <v>1.836412943924572E-2</v>
      </c>
      <c r="Q35" s="49">
        <v>3.9464111592113164E-3</v>
      </c>
    </row>
    <row r="36" spans="1:17" x14ac:dyDescent="0.2">
      <c r="A36" s="33" t="s">
        <v>333</v>
      </c>
      <c r="B36" s="41" t="s">
        <v>334</v>
      </c>
      <c r="C36" s="41" t="s">
        <v>271</v>
      </c>
      <c r="D36" s="87" t="s">
        <v>272</v>
      </c>
      <c r="E36" s="82" t="s">
        <v>238</v>
      </c>
      <c r="F36" s="82" t="s">
        <v>335</v>
      </c>
      <c r="G36" s="82">
        <v>6.62</v>
      </c>
      <c r="H36" s="82" t="s">
        <v>244</v>
      </c>
      <c r="I36" s="41">
        <v>2.0099999999999996E-2</v>
      </c>
      <c r="J36" s="41">
        <v>8.8999999999999999E-3</v>
      </c>
      <c r="K36" s="90">
        <v>49349.746738640773</v>
      </c>
      <c r="L36" s="82">
        <v>107.5</v>
      </c>
      <c r="M36" s="82">
        <v>0</v>
      </c>
      <c r="N36" s="106">
        <v>53.050977744038825</v>
      </c>
      <c r="O36" s="41">
        <v>3.0302736835927587E-6</v>
      </c>
      <c r="P36" s="49">
        <v>4.2006507137824787E-3</v>
      </c>
      <c r="Q36" s="49">
        <v>9.0271062985390561E-4</v>
      </c>
    </row>
    <row r="37" spans="1:17" x14ac:dyDescent="0.2">
      <c r="A37" s="33" t="s">
        <v>336</v>
      </c>
      <c r="B37" s="41" t="s">
        <v>337</v>
      </c>
      <c r="C37" s="41" t="s">
        <v>271</v>
      </c>
      <c r="D37" s="87" t="s">
        <v>272</v>
      </c>
      <c r="E37" s="82" t="s">
        <v>238</v>
      </c>
      <c r="F37" s="82" t="s">
        <v>338</v>
      </c>
      <c r="G37" s="82">
        <v>18.809999999999999</v>
      </c>
      <c r="H37" s="82" t="s">
        <v>244</v>
      </c>
      <c r="I37" s="41">
        <v>3.7599999999999995E-2</v>
      </c>
      <c r="J37" s="41">
        <v>2.1299999999999999E-2</v>
      </c>
      <c r="K37" s="90">
        <v>555359.90019831876</v>
      </c>
      <c r="L37" s="82">
        <v>132.96</v>
      </c>
      <c r="M37" s="82">
        <v>0</v>
      </c>
      <c r="N37" s="106">
        <v>738.40652330346393</v>
      </c>
      <c r="O37" s="41">
        <v>3.5089544203464724E-5</v>
      </c>
      <c r="P37" s="49">
        <v>5.8468062627269349E-2</v>
      </c>
      <c r="Q37" s="49">
        <v>1.2564658486702494E-2</v>
      </c>
    </row>
    <row r="38" spans="1:17" x14ac:dyDescent="0.2">
      <c r="A38" s="33" t="s">
        <v>339</v>
      </c>
      <c r="B38" s="41" t="s">
        <v>340</v>
      </c>
      <c r="C38" s="41" t="s">
        <v>271</v>
      </c>
      <c r="D38" s="87" t="s">
        <v>272</v>
      </c>
      <c r="E38" s="82" t="s">
        <v>238</v>
      </c>
      <c r="F38" s="82" t="s">
        <v>341</v>
      </c>
      <c r="G38" s="82">
        <v>2.63</v>
      </c>
      <c r="H38" s="82" t="s">
        <v>244</v>
      </c>
      <c r="I38" s="41">
        <v>1.2500000000000001E-2</v>
      </c>
      <c r="J38" s="41">
        <v>4.4000000000000003E-3</v>
      </c>
      <c r="K38" s="90">
        <v>210815.47947395543</v>
      </c>
      <c r="L38" s="82">
        <v>102.56</v>
      </c>
      <c r="M38" s="82">
        <v>0</v>
      </c>
      <c r="N38" s="106">
        <v>216.2123557482681</v>
      </c>
      <c r="O38" s="41">
        <v>1.8145244725908348E-5</v>
      </c>
      <c r="P38" s="49">
        <v>1.7119997125870295E-2</v>
      </c>
      <c r="Q38" s="49">
        <v>3.679049852415722E-3</v>
      </c>
    </row>
    <row r="39" spans="1:17" x14ac:dyDescent="0.2">
      <c r="A39" s="33" t="s">
        <v>342</v>
      </c>
      <c r="B39" s="41" t="s">
        <v>343</v>
      </c>
      <c r="C39" s="41" t="s">
        <v>271</v>
      </c>
      <c r="D39" s="87" t="s">
        <v>272</v>
      </c>
      <c r="E39" s="82" t="s">
        <v>238</v>
      </c>
      <c r="F39" s="82" t="s">
        <v>344</v>
      </c>
      <c r="G39" s="82">
        <v>0.84</v>
      </c>
      <c r="H39" s="82" t="s">
        <v>244</v>
      </c>
      <c r="I39" s="41">
        <v>5.0000000000000001E-3</v>
      </c>
      <c r="J39" s="41">
        <v>2.3999999999999998E-3</v>
      </c>
      <c r="K39" s="90">
        <v>72381.444949866767</v>
      </c>
      <c r="L39" s="82">
        <v>100.29999999999998</v>
      </c>
      <c r="M39" s="82">
        <v>0</v>
      </c>
      <c r="N39" s="106">
        <v>72.598589283061983</v>
      </c>
      <c r="O39" s="41">
        <v>4.6268377665327374E-6</v>
      </c>
      <c r="P39" s="49">
        <v>5.7484579711777868E-3</v>
      </c>
      <c r="Q39" s="49">
        <v>1.2353310164124527E-3</v>
      </c>
    </row>
    <row r="40" spans="1:17" x14ac:dyDescent="0.2">
      <c r="A40" s="33" t="s">
        <v>345</v>
      </c>
      <c r="B40" s="41" t="s">
        <v>346</v>
      </c>
      <c r="C40" s="41" t="s">
        <v>271</v>
      </c>
      <c r="D40" s="87" t="s">
        <v>272</v>
      </c>
      <c r="E40" s="82" t="s">
        <v>238</v>
      </c>
      <c r="F40" s="82" t="s">
        <v>347</v>
      </c>
      <c r="G40" s="82">
        <v>7.79</v>
      </c>
      <c r="H40" s="82" t="s">
        <v>244</v>
      </c>
      <c r="I40" s="41">
        <v>2.2400000000000003E-2</v>
      </c>
      <c r="J40" s="41">
        <v>1.01E-2</v>
      </c>
      <c r="K40" s="90">
        <v>153047.67285765454</v>
      </c>
      <c r="L40" s="82">
        <v>111.19000000000001</v>
      </c>
      <c r="M40" s="82">
        <v>0</v>
      </c>
      <c r="N40" s="106">
        <v>170.17370744579381</v>
      </c>
      <c r="O40" s="41">
        <v>9.8269318309823273E-6</v>
      </c>
      <c r="P40" s="49">
        <v>1.3474592477789137E-2</v>
      </c>
      <c r="Q40" s="49">
        <v>2.8956603848875966E-3</v>
      </c>
    </row>
    <row r="41" spans="1:17" x14ac:dyDescent="0.2">
      <c r="A41" s="33" t="s">
        <v>348</v>
      </c>
      <c r="B41" s="41" t="s">
        <v>349</v>
      </c>
      <c r="C41" s="41" t="s">
        <v>271</v>
      </c>
      <c r="D41" s="87" t="s">
        <v>272</v>
      </c>
      <c r="E41" s="82" t="s">
        <v>238</v>
      </c>
      <c r="F41" s="82" t="s">
        <v>350</v>
      </c>
      <c r="G41" s="82">
        <v>3.58</v>
      </c>
      <c r="H41" s="82" t="s">
        <v>244</v>
      </c>
      <c r="I41" s="41">
        <v>1.4999999999999999E-2</v>
      </c>
      <c r="J41" s="41">
        <v>5.1999999999999998E-3</v>
      </c>
      <c r="K41" s="90">
        <v>986035.37734707212</v>
      </c>
      <c r="L41" s="82">
        <v>104.07</v>
      </c>
      <c r="M41" s="82">
        <v>0</v>
      </c>
      <c r="N41" s="106">
        <v>1026.1670172023407</v>
      </c>
      <c r="O41" s="41">
        <v>5.8632682417781887E-5</v>
      </c>
      <c r="P41" s="49">
        <v>8.125334153253029E-2</v>
      </c>
      <c r="Q41" s="49">
        <v>1.7461164974251913E-2</v>
      </c>
    </row>
    <row r="42" spans="1:17" x14ac:dyDescent="0.2">
      <c r="A42" s="33" t="s">
        <v>351</v>
      </c>
      <c r="B42" s="41" t="s">
        <v>352</v>
      </c>
      <c r="C42" s="41" t="s">
        <v>271</v>
      </c>
      <c r="D42" s="87" t="s">
        <v>272</v>
      </c>
      <c r="E42" s="82" t="s">
        <v>238</v>
      </c>
      <c r="F42" s="82" t="s">
        <v>353</v>
      </c>
      <c r="G42" s="82">
        <v>2.31</v>
      </c>
      <c r="H42" s="82" t="s">
        <v>244</v>
      </c>
      <c r="I42" s="41">
        <v>7.4999999999999997E-3</v>
      </c>
      <c r="J42" s="41">
        <v>4.0999999999999995E-3</v>
      </c>
      <c r="K42" s="90">
        <v>815441.07448987931</v>
      </c>
      <c r="L42" s="82">
        <v>101.29999999999998</v>
      </c>
      <c r="M42" s="82">
        <v>0</v>
      </c>
      <c r="N42" s="106">
        <v>826.04180845824783</v>
      </c>
      <c r="O42" s="41">
        <v>7.8753721345034916E-5</v>
      </c>
      <c r="P42" s="49">
        <v>6.5407147235928401E-2</v>
      </c>
      <c r="Q42" s="49">
        <v>1.4055852557454392E-2</v>
      </c>
    </row>
    <row r="43" spans="1:17" s="137" customFormat="1" x14ac:dyDescent="0.2">
      <c r="A43" s="114" t="s">
        <v>354</v>
      </c>
      <c r="B43" s="144" t="s">
        <v>238</v>
      </c>
      <c r="C43" s="144" t="s">
        <v>238</v>
      </c>
      <c r="D43" s="141" t="s">
        <v>238</v>
      </c>
      <c r="E43" s="145" t="s">
        <v>238</v>
      </c>
      <c r="F43" s="145" t="s">
        <v>238</v>
      </c>
      <c r="G43" s="145" t="s">
        <v>238</v>
      </c>
      <c r="H43" s="145" t="s">
        <v>238</v>
      </c>
      <c r="I43" s="144" t="s">
        <v>238</v>
      </c>
      <c r="J43" s="144" t="s">
        <v>238</v>
      </c>
      <c r="K43" s="155" t="s">
        <v>238</v>
      </c>
      <c r="L43" s="145" t="s">
        <v>238</v>
      </c>
      <c r="M43" s="145" t="s">
        <v>238</v>
      </c>
      <c r="N43" s="146">
        <v>470.4693005400361</v>
      </c>
      <c r="O43" s="144" t="s">
        <v>238</v>
      </c>
      <c r="P43" s="140">
        <v>3.7252418092300184E-2</v>
      </c>
      <c r="Q43" s="140">
        <v>8.005462984424342E-3</v>
      </c>
    </row>
    <row r="44" spans="1:17" x14ac:dyDescent="0.2">
      <c r="A44" s="33" t="s">
        <v>355</v>
      </c>
      <c r="B44" s="41" t="s">
        <v>356</v>
      </c>
      <c r="C44" s="41" t="s">
        <v>271</v>
      </c>
      <c r="D44" s="87" t="s">
        <v>272</v>
      </c>
      <c r="E44" s="82" t="s">
        <v>238</v>
      </c>
      <c r="F44" s="82" t="s">
        <v>357</v>
      </c>
      <c r="G44" s="82">
        <v>0.16</v>
      </c>
      <c r="H44" s="82" t="s">
        <v>244</v>
      </c>
      <c r="I44" s="41">
        <v>1.2999999999999999E-3</v>
      </c>
      <c r="J44" s="41">
        <v>8.0000000000000004E-4</v>
      </c>
      <c r="K44" s="90">
        <v>161744.78928219245</v>
      </c>
      <c r="L44" s="82">
        <v>100.02</v>
      </c>
      <c r="M44" s="82">
        <v>0</v>
      </c>
      <c r="N44" s="106">
        <v>161.77713823982828</v>
      </c>
      <c r="O44" s="41">
        <v>1.1865545864433179E-5</v>
      </c>
      <c r="P44" s="49">
        <v>1.2809740368963936E-2</v>
      </c>
      <c r="Q44" s="49">
        <v>2.7527851241695082E-3</v>
      </c>
    </row>
    <row r="45" spans="1:17" x14ac:dyDescent="0.2">
      <c r="A45" s="33" t="s">
        <v>358</v>
      </c>
      <c r="B45" s="41" t="s">
        <v>359</v>
      </c>
      <c r="C45" s="41" t="s">
        <v>271</v>
      </c>
      <c r="D45" s="87" t="s">
        <v>272</v>
      </c>
      <c r="E45" s="82" t="s">
        <v>238</v>
      </c>
      <c r="F45" s="82" t="s">
        <v>360</v>
      </c>
      <c r="G45" s="82">
        <v>1.66</v>
      </c>
      <c r="H45" s="82" t="s">
        <v>244</v>
      </c>
      <c r="I45" s="41">
        <v>1.2999999999999999E-3</v>
      </c>
      <c r="J45" s="41">
        <v>4.0999999999999995E-3</v>
      </c>
      <c r="K45" s="90">
        <v>171940.16482447981</v>
      </c>
      <c r="L45" s="82">
        <v>99.660000000000011</v>
      </c>
      <c r="M45" s="82">
        <v>0</v>
      </c>
      <c r="N45" s="106">
        <v>171.35556825900318</v>
      </c>
      <c r="O45" s="41">
        <v>1.2265066479978852E-5</v>
      </c>
      <c r="P45" s="49">
        <v>1.3568173872133132E-2</v>
      </c>
      <c r="Q45" s="49">
        <v>2.9157708213858524E-3</v>
      </c>
    </row>
    <row r="46" spans="1:17" x14ac:dyDescent="0.2">
      <c r="A46" s="33" t="s">
        <v>361</v>
      </c>
      <c r="B46" s="41" t="s">
        <v>362</v>
      </c>
      <c r="C46" s="41" t="s">
        <v>271</v>
      </c>
      <c r="D46" s="87" t="s">
        <v>272</v>
      </c>
      <c r="E46" s="82" t="s">
        <v>238</v>
      </c>
      <c r="F46" s="82" t="s">
        <v>363</v>
      </c>
      <c r="G46" s="82">
        <v>6.13</v>
      </c>
      <c r="H46" s="82" t="s">
        <v>244</v>
      </c>
      <c r="I46" s="41">
        <v>1.2999999999999999E-3</v>
      </c>
      <c r="J46" s="41">
        <v>4.6999999999999993E-3</v>
      </c>
      <c r="K46" s="90">
        <v>139527.17051834264</v>
      </c>
      <c r="L46" s="82">
        <v>98.43</v>
      </c>
      <c r="M46" s="82">
        <v>0</v>
      </c>
      <c r="N46" s="106">
        <v>137.33659394120465</v>
      </c>
      <c r="O46" s="41">
        <v>8.8636250629206035E-6</v>
      </c>
      <c r="P46" s="49">
        <v>1.0874503843284974E-2</v>
      </c>
      <c r="Q46" s="49">
        <v>2.3369070371673903E-3</v>
      </c>
    </row>
    <row r="47" spans="1:17" s="137" customFormat="1" x14ac:dyDescent="0.2">
      <c r="A47" s="114" t="s">
        <v>364</v>
      </c>
      <c r="B47" s="144" t="s">
        <v>238</v>
      </c>
      <c r="C47" s="144" t="s">
        <v>238</v>
      </c>
      <c r="D47" s="141" t="s">
        <v>238</v>
      </c>
      <c r="E47" s="145" t="s">
        <v>238</v>
      </c>
      <c r="F47" s="145" t="s">
        <v>238</v>
      </c>
      <c r="G47" s="145" t="s">
        <v>238</v>
      </c>
      <c r="H47" s="145" t="s">
        <v>238</v>
      </c>
      <c r="I47" s="144" t="s">
        <v>238</v>
      </c>
      <c r="J47" s="144" t="s">
        <v>238</v>
      </c>
      <c r="K47" s="155" t="s">
        <v>238</v>
      </c>
      <c r="L47" s="145" t="s">
        <v>238</v>
      </c>
      <c r="M47" s="145" t="s">
        <v>238</v>
      </c>
      <c r="N47" s="146">
        <v>0</v>
      </c>
      <c r="O47" s="144" t="s">
        <v>238</v>
      </c>
      <c r="P47" s="140">
        <v>0</v>
      </c>
      <c r="Q47" s="140">
        <v>0</v>
      </c>
    </row>
    <row r="48" spans="1:17" s="137" customFormat="1" x14ac:dyDescent="0.2">
      <c r="A48" s="114" t="s">
        <v>365</v>
      </c>
      <c r="B48" s="144" t="s">
        <v>238</v>
      </c>
      <c r="C48" s="144" t="s">
        <v>238</v>
      </c>
      <c r="D48" s="141" t="s">
        <v>238</v>
      </c>
      <c r="E48" s="145" t="s">
        <v>238</v>
      </c>
      <c r="F48" s="145" t="s">
        <v>238</v>
      </c>
      <c r="G48" s="145" t="s">
        <v>238</v>
      </c>
      <c r="H48" s="145" t="s">
        <v>238</v>
      </c>
      <c r="I48" s="144" t="s">
        <v>238</v>
      </c>
      <c r="J48" s="144" t="s">
        <v>238</v>
      </c>
      <c r="K48" s="155" t="s">
        <v>238</v>
      </c>
      <c r="L48" s="145" t="s">
        <v>238</v>
      </c>
      <c r="M48" s="145" t="s">
        <v>238</v>
      </c>
      <c r="N48" s="146">
        <v>143.02460020000001</v>
      </c>
      <c r="O48" s="144" t="s">
        <v>238</v>
      </c>
      <c r="P48" s="140">
        <v>1.1324888144707066E-2</v>
      </c>
      <c r="Q48" s="140">
        <v>2.4336936362243148E-3</v>
      </c>
    </row>
    <row r="49" spans="1:17" s="137" customFormat="1" x14ac:dyDescent="0.2">
      <c r="A49" s="114" t="s">
        <v>366</v>
      </c>
      <c r="B49" s="144" t="s">
        <v>238</v>
      </c>
      <c r="C49" s="144" t="s">
        <v>238</v>
      </c>
      <c r="D49" s="141" t="s">
        <v>238</v>
      </c>
      <c r="E49" s="145" t="s">
        <v>238</v>
      </c>
      <c r="F49" s="145" t="s">
        <v>238</v>
      </c>
      <c r="G49" s="145" t="s">
        <v>238</v>
      </c>
      <c r="H49" s="145" t="s">
        <v>238</v>
      </c>
      <c r="I49" s="144" t="s">
        <v>238</v>
      </c>
      <c r="J49" s="144" t="s">
        <v>238</v>
      </c>
      <c r="K49" s="155" t="s">
        <v>238</v>
      </c>
      <c r="L49" s="145" t="s">
        <v>238</v>
      </c>
      <c r="M49" s="145" t="s">
        <v>238</v>
      </c>
      <c r="N49" s="146">
        <v>3.8399601000000003</v>
      </c>
      <c r="O49" s="144" t="s">
        <v>238</v>
      </c>
      <c r="P49" s="140">
        <v>3.040534184456903E-4</v>
      </c>
      <c r="Q49" s="140">
        <v>6.5340413087379374E-5</v>
      </c>
    </row>
    <row r="50" spans="1:17" x14ac:dyDescent="0.2">
      <c r="A50" s="33" t="s">
        <v>367</v>
      </c>
      <c r="B50" s="41" t="s">
        <v>368</v>
      </c>
      <c r="C50" s="41" t="s">
        <v>220</v>
      </c>
      <c r="D50" s="87" t="s">
        <v>369</v>
      </c>
      <c r="E50" s="82" t="s">
        <v>370</v>
      </c>
      <c r="F50" s="82" t="s">
        <v>371</v>
      </c>
      <c r="G50" s="82">
        <v>16.731999999999999</v>
      </c>
      <c r="H50" s="82" t="s">
        <v>126</v>
      </c>
      <c r="I50" s="41">
        <v>4.1299999999999996E-2</v>
      </c>
      <c r="J50" s="41">
        <v>3.712E-2</v>
      </c>
      <c r="K50" s="90">
        <v>1000</v>
      </c>
      <c r="L50" s="82">
        <v>107.71280000000002</v>
      </c>
      <c r="M50" s="82">
        <v>0</v>
      </c>
      <c r="N50" s="106">
        <v>3.83996</v>
      </c>
      <c r="O50" s="41">
        <v>9.9999999999999995E-7</v>
      </c>
      <c r="P50" s="49">
        <v>3.0405341052755025E-4</v>
      </c>
      <c r="Q50" s="49">
        <v>6.5340411385788439E-5</v>
      </c>
    </row>
    <row r="51" spans="1:17" s="137" customFormat="1" x14ac:dyDescent="0.2">
      <c r="A51" s="114" t="s">
        <v>372</v>
      </c>
      <c r="B51" s="144" t="s">
        <v>238</v>
      </c>
      <c r="C51" s="144" t="s">
        <v>238</v>
      </c>
      <c r="D51" s="141" t="s">
        <v>238</v>
      </c>
      <c r="E51" s="145" t="s">
        <v>238</v>
      </c>
      <c r="F51" s="145" t="s">
        <v>238</v>
      </c>
      <c r="G51" s="145" t="s">
        <v>238</v>
      </c>
      <c r="H51" s="145" t="s">
        <v>238</v>
      </c>
      <c r="I51" s="144" t="s">
        <v>238</v>
      </c>
      <c r="J51" s="144" t="s">
        <v>238</v>
      </c>
      <c r="K51" s="155" t="s">
        <v>238</v>
      </c>
      <c r="L51" s="145" t="s">
        <v>238</v>
      </c>
      <c r="M51" s="145" t="s">
        <v>238</v>
      </c>
      <c r="N51" s="146">
        <v>139.18464010000002</v>
      </c>
      <c r="O51" s="144" t="s">
        <v>238</v>
      </c>
      <c r="P51" s="140">
        <v>1.1020834726261376E-2</v>
      </c>
      <c r="Q51" s="140">
        <v>2.3683532231369357E-3</v>
      </c>
    </row>
    <row r="52" spans="1:17" x14ac:dyDescent="0.2">
      <c r="A52" s="232" t="s">
        <v>373</v>
      </c>
      <c r="B52" s="233" t="s">
        <v>374</v>
      </c>
      <c r="C52" s="233" t="s">
        <v>220</v>
      </c>
      <c r="D52" s="234" t="s">
        <v>375</v>
      </c>
      <c r="E52" s="235" t="s">
        <v>376</v>
      </c>
      <c r="F52" s="235" t="s">
        <v>377</v>
      </c>
      <c r="G52" s="235">
        <v>3.1360000000000001</v>
      </c>
      <c r="H52" s="235" t="s">
        <v>132</v>
      </c>
      <c r="I52" s="233">
        <v>0.08</v>
      </c>
      <c r="J52" s="233">
        <v>6.4210000000000003E-2</v>
      </c>
      <c r="K52" s="236">
        <v>8660</v>
      </c>
      <c r="L52" s="235">
        <v>10779.43</v>
      </c>
      <c r="M52" s="235">
        <v>0</v>
      </c>
      <c r="N52" s="237">
        <v>139.18464</v>
      </c>
      <c r="O52" s="233" t="s">
        <v>238</v>
      </c>
      <c r="P52" s="238">
        <v>1.1020834718343236E-2</v>
      </c>
      <c r="Q52" s="238">
        <v>2.3683532214353441E-3</v>
      </c>
    </row>
    <row r="53" spans="1:17" s="137" customFormat="1" x14ac:dyDescent="0.2">
      <c r="A53" s="99" t="s">
        <v>230</v>
      </c>
      <c r="B53" s="147"/>
      <c r="C53" s="147"/>
      <c r="D53" s="147"/>
      <c r="E53" s="148"/>
      <c r="F53" s="148"/>
      <c r="G53" s="148"/>
      <c r="H53" s="149"/>
      <c r="I53" s="150"/>
      <c r="J53" s="151"/>
      <c r="K53" s="151"/>
      <c r="L53" s="151"/>
      <c r="M53" s="151"/>
      <c r="N53" s="150"/>
      <c r="O53" s="150"/>
      <c r="P53" s="150"/>
      <c r="Q53" s="156"/>
    </row>
    <row r="54" spans="1:17" s="137" customFormat="1" x14ac:dyDescent="0.2">
      <c r="A54" s="99" t="s">
        <v>231</v>
      </c>
      <c r="B54" s="147"/>
      <c r="C54" s="147"/>
      <c r="D54" s="147"/>
      <c r="E54" s="148"/>
      <c r="F54" s="148"/>
      <c r="G54" s="148"/>
      <c r="H54" s="149"/>
      <c r="I54" s="150"/>
      <c r="J54" s="151"/>
      <c r="K54" s="151"/>
      <c r="L54" s="151"/>
      <c r="M54" s="151"/>
      <c r="N54" s="150"/>
      <c r="O54" s="150"/>
      <c r="P54" s="150"/>
      <c r="Q54" s="156"/>
    </row>
    <row r="55" spans="1:17" s="137" customFormat="1" x14ac:dyDescent="0.2">
      <c r="A55" s="99" t="s">
        <v>232</v>
      </c>
      <c r="B55" s="147"/>
      <c r="C55" s="147"/>
      <c r="D55" s="147"/>
      <c r="E55" s="148"/>
      <c r="F55" s="148"/>
      <c r="G55" s="148"/>
      <c r="H55" s="149"/>
      <c r="I55" s="150"/>
      <c r="J55" s="151"/>
      <c r="K55" s="151"/>
      <c r="L55" s="151"/>
      <c r="M55" s="151"/>
      <c r="N55" s="150"/>
      <c r="O55" s="150"/>
      <c r="P55" s="150"/>
      <c r="Q55" s="156"/>
    </row>
    <row r="56" spans="1:17" s="137" customFormat="1" x14ac:dyDescent="0.2">
      <c r="A56" s="99" t="s">
        <v>233</v>
      </c>
      <c r="B56" s="147"/>
      <c r="C56" s="147"/>
      <c r="D56" s="147"/>
      <c r="E56" s="148"/>
      <c r="F56" s="148"/>
      <c r="G56" s="148"/>
      <c r="H56" s="149"/>
      <c r="I56" s="150"/>
      <c r="J56" s="151"/>
      <c r="K56" s="151"/>
      <c r="L56" s="151"/>
      <c r="M56" s="151"/>
      <c r="N56" s="150"/>
      <c r="O56" s="150"/>
      <c r="P56" s="150"/>
      <c r="Q56" s="156"/>
    </row>
    <row r="57" spans="1:17" s="137" customFormat="1" x14ac:dyDescent="0.2">
      <c r="A57" s="99" t="s">
        <v>234</v>
      </c>
      <c r="B57" s="147"/>
      <c r="C57" s="147"/>
      <c r="D57" s="147"/>
      <c r="E57" s="148"/>
      <c r="F57" s="148"/>
      <c r="G57" s="148"/>
      <c r="H57" s="149"/>
      <c r="I57" s="150"/>
      <c r="J57" s="151"/>
      <c r="K57" s="151"/>
      <c r="L57" s="151"/>
      <c r="M57" s="151"/>
      <c r="N57" s="150"/>
      <c r="O57" s="150"/>
      <c r="P57" s="150"/>
      <c r="Q57" s="156"/>
    </row>
  </sheetData>
  <mergeCells count="2">
    <mergeCell ref="A6:Q6"/>
    <mergeCell ref="A5:Q5"/>
  </mergeCells>
  <conditionalFormatting sqref="I1:I4 G10:G52 I10:M52 O10:O52 I53:I55587">
    <cfRule type="expression" dxfId="124" priority="57" stopIfTrue="1">
      <formula>LEFT(#REF!,3)="TIR"</formula>
    </cfRule>
  </conditionalFormatting>
  <conditionalFormatting sqref="I7">
    <cfRule type="expression" dxfId="123" priority="62" stopIfTrue="1">
      <formula>LEFT(#REF!,3)="TIR"</formula>
    </cfRule>
  </conditionalFormatting>
  <conditionalFormatting sqref="B10:F52 H10:H52 P10:Q52">
    <cfRule type="expression" dxfId="122" priority="63" stopIfTrue="1">
      <formula>OR(LEFT(#REF!,3)="TIR",LEFT(#REF!,2)="IR")</formula>
    </cfRule>
  </conditionalFormatting>
  <conditionalFormatting sqref="A10:A52 N10:N52">
    <cfRule type="expression" dxfId="121" priority="66" stopIfTrue="1">
      <formula>#REF!&gt;0</formula>
    </cfRule>
    <cfRule type="expression" dxfId="120" priority="67" stopIfTrue="1">
      <formula>LEFT(#REF!,3)="TIR"</formula>
    </cfRule>
  </conditionalFormatting>
  <conditionalFormatting sqref="F11:F52">
    <cfRule type="expression" dxfId="119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6558-940B-43B9-BBBA-7EFED6A38D4F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159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136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7" t="s">
        <v>9</v>
      </c>
      <c r="S8" s="47" t="s">
        <v>9</v>
      </c>
      <c r="T8" s="19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7" customFormat="1" ht="12.75" customHeight="1" thickBot="1" x14ac:dyDescent="0.25">
      <c r="A10" s="122" t="s">
        <v>61</v>
      </c>
      <c r="B10" s="88" t="s">
        <v>238</v>
      </c>
      <c r="C10" s="88" t="s">
        <v>238</v>
      </c>
      <c r="D10" s="88" t="s">
        <v>238</v>
      </c>
      <c r="E10" s="88" t="s">
        <v>238</v>
      </c>
      <c r="F10" s="88" t="s">
        <v>238</v>
      </c>
      <c r="G10" s="157"/>
      <c r="H10" s="157" t="s">
        <v>238</v>
      </c>
      <c r="I10" s="157" t="s">
        <v>238</v>
      </c>
      <c r="J10" s="157" t="s">
        <v>238</v>
      </c>
      <c r="K10" s="157" t="s">
        <v>238</v>
      </c>
      <c r="L10" s="158" t="s">
        <v>238</v>
      </c>
      <c r="M10" s="158" t="s">
        <v>238</v>
      </c>
      <c r="N10" s="159" t="s">
        <v>238</v>
      </c>
      <c r="O10" s="157"/>
      <c r="P10" s="157" t="s">
        <v>238</v>
      </c>
      <c r="Q10" s="125">
        <v>4.9999999999999998E-7</v>
      </c>
      <c r="R10" s="88" t="s">
        <v>238</v>
      </c>
      <c r="S10" s="88">
        <v>1</v>
      </c>
      <c r="T10" s="103">
        <v>0</v>
      </c>
    </row>
    <row r="11" spans="1:20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0" t="s">
        <v>238</v>
      </c>
      <c r="G11" s="160" t="s">
        <v>238</v>
      </c>
      <c r="H11" s="160" t="s">
        <v>238</v>
      </c>
      <c r="I11" s="160" t="s">
        <v>238</v>
      </c>
      <c r="J11" s="160" t="s">
        <v>238</v>
      </c>
      <c r="K11" s="160" t="s">
        <v>238</v>
      </c>
      <c r="L11" s="161" t="s">
        <v>238</v>
      </c>
      <c r="M11" s="161" t="s">
        <v>238</v>
      </c>
      <c r="N11" s="162" t="s">
        <v>238</v>
      </c>
      <c r="O11" s="160" t="s">
        <v>238</v>
      </c>
      <c r="P11" s="160" t="s">
        <v>238</v>
      </c>
      <c r="Q11" s="142">
        <v>0</v>
      </c>
      <c r="R11" s="140" t="s">
        <v>238</v>
      </c>
      <c r="S11" s="140">
        <v>0</v>
      </c>
      <c r="T11" s="140">
        <v>0</v>
      </c>
    </row>
    <row r="12" spans="1:20" s="137" customFormat="1" x14ac:dyDescent="0.2">
      <c r="A12" s="114" t="s">
        <v>140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60" t="s">
        <v>238</v>
      </c>
      <c r="H12" s="163" t="s">
        <v>238</v>
      </c>
      <c r="I12" s="163" t="s">
        <v>238</v>
      </c>
      <c r="J12" s="163" t="s">
        <v>238</v>
      </c>
      <c r="K12" s="163" t="s">
        <v>238</v>
      </c>
      <c r="L12" s="164" t="s">
        <v>238</v>
      </c>
      <c r="M12" s="164" t="s">
        <v>238</v>
      </c>
      <c r="N12" s="165" t="s">
        <v>238</v>
      </c>
      <c r="O12" s="163" t="s">
        <v>238</v>
      </c>
      <c r="P12" s="163" t="s">
        <v>238</v>
      </c>
      <c r="Q12" s="146">
        <v>0</v>
      </c>
      <c r="R12" s="144" t="s">
        <v>238</v>
      </c>
      <c r="S12" s="144">
        <v>0</v>
      </c>
      <c r="T12" s="140">
        <v>0</v>
      </c>
    </row>
    <row r="13" spans="1:20" s="137" customFormat="1" x14ac:dyDescent="0.2">
      <c r="A13" s="114" t="s">
        <v>141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60" t="s">
        <v>238</v>
      </c>
      <c r="H13" s="163" t="s">
        <v>238</v>
      </c>
      <c r="I13" s="163" t="s">
        <v>238</v>
      </c>
      <c r="J13" s="163" t="s">
        <v>238</v>
      </c>
      <c r="K13" s="163" t="s">
        <v>238</v>
      </c>
      <c r="L13" s="164" t="s">
        <v>238</v>
      </c>
      <c r="M13" s="164" t="s">
        <v>238</v>
      </c>
      <c r="N13" s="165" t="s">
        <v>238</v>
      </c>
      <c r="O13" s="163" t="s">
        <v>238</v>
      </c>
      <c r="P13" s="163" t="s">
        <v>238</v>
      </c>
      <c r="Q13" s="146">
        <v>0</v>
      </c>
      <c r="R13" s="144" t="s">
        <v>238</v>
      </c>
      <c r="S13" s="144">
        <v>0</v>
      </c>
      <c r="T13" s="140">
        <v>0</v>
      </c>
    </row>
    <row r="14" spans="1:20" s="137" customFormat="1" x14ac:dyDescent="0.2">
      <c r="A14" s="114" t="s">
        <v>378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60" t="s">
        <v>238</v>
      </c>
      <c r="H14" s="163" t="s">
        <v>238</v>
      </c>
      <c r="I14" s="163" t="s">
        <v>238</v>
      </c>
      <c r="J14" s="163" t="s">
        <v>238</v>
      </c>
      <c r="K14" s="163" t="s">
        <v>238</v>
      </c>
      <c r="L14" s="164" t="s">
        <v>238</v>
      </c>
      <c r="M14" s="164" t="s">
        <v>238</v>
      </c>
      <c r="N14" s="165" t="s">
        <v>238</v>
      </c>
      <c r="O14" s="163" t="s">
        <v>238</v>
      </c>
      <c r="P14" s="163" t="s">
        <v>238</v>
      </c>
      <c r="Q14" s="146">
        <v>0</v>
      </c>
      <c r="R14" s="144" t="s">
        <v>238</v>
      </c>
      <c r="S14" s="144">
        <v>0</v>
      </c>
      <c r="T14" s="140">
        <v>0</v>
      </c>
    </row>
    <row r="15" spans="1:20" s="137" customFormat="1" x14ac:dyDescent="0.2">
      <c r="A15" s="114" t="s">
        <v>379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60" t="s">
        <v>238</v>
      </c>
      <c r="H15" s="163" t="s">
        <v>238</v>
      </c>
      <c r="I15" s="163" t="s">
        <v>238</v>
      </c>
      <c r="J15" s="163" t="s">
        <v>238</v>
      </c>
      <c r="K15" s="163" t="s">
        <v>238</v>
      </c>
      <c r="L15" s="164" t="s">
        <v>238</v>
      </c>
      <c r="M15" s="164" t="s">
        <v>238</v>
      </c>
      <c r="N15" s="165" t="s">
        <v>238</v>
      </c>
      <c r="O15" s="163" t="s">
        <v>238</v>
      </c>
      <c r="P15" s="163" t="s">
        <v>238</v>
      </c>
      <c r="Q15" s="146">
        <v>0</v>
      </c>
      <c r="R15" s="144" t="s">
        <v>238</v>
      </c>
      <c r="S15" s="144">
        <v>0</v>
      </c>
      <c r="T15" s="140">
        <v>0</v>
      </c>
    </row>
    <row r="16" spans="1:20" s="137" customFormat="1" x14ac:dyDescent="0.2">
      <c r="A16" s="114" t="s">
        <v>145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60" t="s">
        <v>238</v>
      </c>
      <c r="H16" s="163" t="s">
        <v>238</v>
      </c>
      <c r="I16" s="163" t="s">
        <v>238</v>
      </c>
      <c r="J16" s="163" t="s">
        <v>238</v>
      </c>
      <c r="K16" s="163" t="s">
        <v>238</v>
      </c>
      <c r="L16" s="164" t="s">
        <v>238</v>
      </c>
      <c r="M16" s="164" t="s">
        <v>238</v>
      </c>
      <c r="N16" s="165" t="s">
        <v>238</v>
      </c>
      <c r="O16" s="163" t="s">
        <v>238</v>
      </c>
      <c r="P16" s="163" t="s">
        <v>238</v>
      </c>
      <c r="Q16" s="146">
        <v>0</v>
      </c>
      <c r="R16" s="144" t="s">
        <v>238</v>
      </c>
      <c r="S16" s="144">
        <v>0</v>
      </c>
      <c r="T16" s="140">
        <v>0</v>
      </c>
    </row>
    <row r="17" spans="1:20" s="137" customFormat="1" x14ac:dyDescent="0.2">
      <c r="A17" s="239" t="s">
        <v>146</v>
      </c>
      <c r="B17" s="226" t="s">
        <v>238</v>
      </c>
      <c r="C17" s="226" t="s">
        <v>238</v>
      </c>
      <c r="D17" s="226" t="s">
        <v>238</v>
      </c>
      <c r="E17" s="226" t="s">
        <v>238</v>
      </c>
      <c r="F17" s="226" t="s">
        <v>238</v>
      </c>
      <c r="G17" s="240" t="s">
        <v>238</v>
      </c>
      <c r="H17" s="241" t="s">
        <v>238</v>
      </c>
      <c r="I17" s="241" t="s">
        <v>238</v>
      </c>
      <c r="J17" s="241" t="s">
        <v>238</v>
      </c>
      <c r="K17" s="241" t="s">
        <v>238</v>
      </c>
      <c r="L17" s="242" t="s">
        <v>238</v>
      </c>
      <c r="M17" s="242" t="s">
        <v>238</v>
      </c>
      <c r="N17" s="243" t="s">
        <v>238</v>
      </c>
      <c r="O17" s="241" t="s">
        <v>238</v>
      </c>
      <c r="P17" s="241" t="s">
        <v>238</v>
      </c>
      <c r="Q17" s="229">
        <v>0</v>
      </c>
      <c r="R17" s="226" t="s">
        <v>238</v>
      </c>
      <c r="S17" s="226">
        <v>0</v>
      </c>
      <c r="T17" s="230">
        <v>0</v>
      </c>
    </row>
    <row r="18" spans="1:20" s="137" customFormat="1" x14ac:dyDescent="0.2">
      <c r="A18" s="99" t="s">
        <v>230</v>
      </c>
      <c r="B18" s="147"/>
      <c r="C18" s="147"/>
      <c r="D18" s="147"/>
      <c r="E18" s="147"/>
      <c r="F18" s="99"/>
      <c r="G18" s="166"/>
      <c r="H18" s="166"/>
      <c r="I18" s="166"/>
      <c r="J18" s="167"/>
      <c r="K18" s="152"/>
      <c r="L18" s="168"/>
      <c r="M18" s="168"/>
      <c r="N18" s="168"/>
      <c r="O18" s="152"/>
      <c r="P18" s="152"/>
      <c r="Q18" s="152"/>
    </row>
    <row r="19" spans="1:20" s="137" customFormat="1" x14ac:dyDescent="0.2">
      <c r="A19" s="99" t="s">
        <v>231</v>
      </c>
      <c r="B19" s="147"/>
      <c r="C19" s="147"/>
      <c r="D19" s="147"/>
      <c r="E19" s="147"/>
      <c r="F19" s="99"/>
      <c r="G19" s="166"/>
      <c r="H19" s="166"/>
      <c r="I19" s="166"/>
      <c r="J19" s="167"/>
      <c r="K19" s="152"/>
      <c r="L19" s="168"/>
      <c r="M19" s="168"/>
      <c r="N19" s="168"/>
      <c r="O19" s="152"/>
      <c r="P19" s="152"/>
      <c r="Q19" s="152"/>
    </row>
    <row r="20" spans="1:20" s="137" customFormat="1" x14ac:dyDescent="0.2">
      <c r="A20" s="99" t="s">
        <v>232</v>
      </c>
      <c r="B20" s="147"/>
      <c r="C20" s="147"/>
      <c r="D20" s="147"/>
      <c r="E20" s="147"/>
      <c r="F20" s="99"/>
      <c r="G20" s="166"/>
      <c r="H20" s="166"/>
      <c r="I20" s="166"/>
      <c r="J20" s="167"/>
      <c r="K20" s="152"/>
      <c r="L20" s="168"/>
      <c r="M20" s="168"/>
      <c r="N20" s="168"/>
      <c r="O20" s="152"/>
      <c r="P20" s="152"/>
      <c r="Q20" s="152"/>
    </row>
    <row r="21" spans="1:20" s="137" customFormat="1" x14ac:dyDescent="0.2">
      <c r="A21" s="99" t="s">
        <v>233</v>
      </c>
      <c r="B21" s="147"/>
      <c r="C21" s="147"/>
      <c r="D21" s="147"/>
      <c r="E21" s="147"/>
      <c r="F21" s="99"/>
      <c r="G21" s="166"/>
      <c r="H21" s="166"/>
      <c r="I21" s="166"/>
      <c r="J21" s="167"/>
      <c r="K21" s="152"/>
      <c r="L21" s="168"/>
      <c r="M21" s="168"/>
      <c r="N21" s="168"/>
      <c r="O21" s="152"/>
      <c r="P21" s="152"/>
      <c r="Q21" s="152"/>
    </row>
    <row r="22" spans="1:20" s="137" customFormat="1" x14ac:dyDescent="0.2">
      <c r="A22" s="99" t="s">
        <v>234</v>
      </c>
      <c r="B22" s="147"/>
      <c r="C22" s="147"/>
      <c r="D22" s="147"/>
      <c r="E22" s="147"/>
      <c r="F22" s="99"/>
      <c r="G22" s="166"/>
      <c r="H22" s="166"/>
      <c r="I22" s="166"/>
      <c r="J22" s="167"/>
      <c r="K22" s="152"/>
      <c r="L22" s="168"/>
      <c r="M22" s="168"/>
      <c r="N22" s="168"/>
      <c r="O22" s="152"/>
      <c r="P22" s="152"/>
      <c r="Q22" s="152"/>
    </row>
  </sheetData>
  <mergeCells count="2">
    <mergeCell ref="A6:T6"/>
    <mergeCell ref="A5:T5"/>
  </mergeCells>
  <conditionalFormatting sqref="K1:K4 J10:J17 L10:P17 R10:R17 K18:K55552">
    <cfRule type="expression" dxfId="118" priority="84" stopIfTrue="1">
      <formula>LEFT(#REF!,3)="TIR"</formula>
    </cfRule>
  </conditionalFormatting>
  <conditionalFormatting sqref="L7">
    <cfRule type="expression" dxfId="117" priority="89" stopIfTrue="1">
      <formula>LEFT(#REF!,3)="TIR"</formula>
    </cfRule>
  </conditionalFormatting>
  <conditionalFormatting sqref="B10:I17 K10:K17">
    <cfRule type="expression" dxfId="116" priority="90" stopIfTrue="1">
      <formula>LEFT(#REF!,3)="TIR"</formula>
    </cfRule>
  </conditionalFormatting>
  <conditionalFormatting sqref="A10:A17 Q10:Q17">
    <cfRule type="expression" dxfId="115" priority="92" stopIfTrue="1">
      <formula>#REF!&gt;0</formula>
    </cfRule>
    <cfRule type="expression" dxfId="114" priority="93" stopIfTrue="1">
      <formula>LEFT(#REF!,3)="TIR"</formula>
    </cfRule>
  </conditionalFormatting>
  <conditionalFormatting sqref="S10:T17">
    <cfRule type="expression" dxfId="113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BDEB-37ED-42B7-AB4A-78707CEF6179}">
  <sheetPr codeName="גיליון5">
    <pageSetUpPr fitToPage="1"/>
  </sheetPr>
  <dimension ref="A1:T35"/>
  <sheetViews>
    <sheetView rightToLeft="1" zoomScale="80" zoomScaleNormal="80" workbookViewId="0">
      <selection activeCell="A7" sqref="A7:T30"/>
    </sheetView>
  </sheetViews>
  <sheetFormatPr defaultRowHeight="12.75" x14ac:dyDescent="0.2"/>
  <cols>
    <col min="1" max="1" width="38.425781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7.5703125" style="81" customWidth="1"/>
    <col min="8" max="8" width="11.140625" style="81" customWidth="1"/>
    <col min="9" max="9" width="14.140625" style="81" customWidth="1"/>
    <col min="10" max="10" width="7.85546875" style="53" customWidth="1"/>
    <col min="11" max="11" width="11.28515625" style="83" customWidth="1"/>
    <col min="12" max="12" width="12.5703125" style="85" customWidth="1"/>
    <col min="13" max="13" width="14.140625" style="85" customWidth="1"/>
    <col min="14" max="14" width="10.85546875" style="85" bestFit="1" customWidth="1"/>
    <col min="15" max="15" width="8.85546875" style="83" bestFit="1" customWidth="1"/>
    <col min="16" max="16" width="16.5703125" style="83" customWidth="1"/>
    <col min="17" max="17" width="10.42578125" style="83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53"/>
      <c r="K1" s="83"/>
      <c r="L1" s="84"/>
      <c r="M1" s="84"/>
      <c r="N1" s="84"/>
      <c r="O1" s="83"/>
      <c r="P1" s="83"/>
      <c r="Q1" s="83"/>
      <c r="R1" s="86"/>
      <c r="S1" s="86"/>
      <c r="T1" s="60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81"/>
      <c r="H2" s="81"/>
      <c r="I2" s="81"/>
      <c r="J2" s="53"/>
      <c r="K2" s="83"/>
      <c r="L2" s="84"/>
      <c r="M2" s="84"/>
      <c r="N2" s="84"/>
      <c r="O2" s="83"/>
      <c r="P2" s="83"/>
      <c r="Q2" s="83"/>
      <c r="R2" s="86"/>
      <c r="S2" s="86"/>
      <c r="T2" s="60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53"/>
      <c r="K3" s="83"/>
      <c r="L3" s="84"/>
      <c r="M3" s="84"/>
      <c r="N3" s="84"/>
      <c r="O3" s="83"/>
      <c r="P3" s="83"/>
      <c r="Q3" s="83"/>
      <c r="R3" s="86"/>
      <c r="S3" s="86"/>
      <c r="T3" s="60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53"/>
      <c r="K4" s="83"/>
      <c r="L4" s="84"/>
      <c r="M4" s="84"/>
      <c r="N4" s="84"/>
      <c r="O4" s="83"/>
      <c r="P4" s="83"/>
      <c r="Q4" s="83"/>
      <c r="R4" s="86"/>
      <c r="S4" s="86"/>
      <c r="T4" s="60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159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136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3"/>
      <c r="B8" s="16"/>
      <c r="C8" s="16"/>
      <c r="D8" s="16"/>
      <c r="E8" s="16"/>
      <c r="F8" s="16"/>
      <c r="G8" s="16"/>
      <c r="H8" s="72"/>
      <c r="I8" s="73" t="s">
        <v>40</v>
      </c>
      <c r="J8" s="72" t="s">
        <v>16</v>
      </c>
      <c r="K8" s="46"/>
      <c r="L8" s="70" t="s">
        <v>9</v>
      </c>
      <c r="M8" s="70" t="s">
        <v>9</v>
      </c>
      <c r="N8" s="15" t="s">
        <v>135</v>
      </c>
      <c r="O8" s="70"/>
      <c r="P8" s="15" t="s">
        <v>137</v>
      </c>
      <c r="Q8" s="15" t="s">
        <v>137</v>
      </c>
      <c r="R8" s="74" t="s">
        <v>9</v>
      </c>
      <c r="S8" s="74" t="s">
        <v>9</v>
      </c>
      <c r="T8" s="7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7" customFormat="1" ht="12.75" customHeight="1" thickBot="1" x14ac:dyDescent="0.25">
      <c r="A10" s="122" t="s">
        <v>53</v>
      </c>
      <c r="B10" s="88"/>
      <c r="C10" s="88"/>
      <c r="D10" s="88"/>
      <c r="E10" s="88"/>
      <c r="F10" s="88"/>
      <c r="G10" s="123"/>
      <c r="H10" s="123"/>
      <c r="I10" s="123"/>
      <c r="J10" s="123"/>
      <c r="K10" s="123"/>
      <c r="L10" s="88"/>
      <c r="M10" s="88"/>
      <c r="N10" s="126"/>
      <c r="O10" s="123"/>
      <c r="P10" s="125" t="s">
        <v>238</v>
      </c>
      <c r="Q10" s="127">
        <v>1723.0095305999998</v>
      </c>
      <c r="R10" s="88" t="s">
        <v>238</v>
      </c>
      <c r="S10" s="88">
        <v>1</v>
      </c>
      <c r="T10" s="103">
        <v>2.9318574034895732E-2</v>
      </c>
    </row>
    <row r="11" spans="1:20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0" t="s">
        <v>238</v>
      </c>
      <c r="G11" s="141" t="s">
        <v>238</v>
      </c>
      <c r="H11" s="141" t="s">
        <v>238</v>
      </c>
      <c r="I11" s="141" t="s">
        <v>238</v>
      </c>
      <c r="J11" s="141" t="s">
        <v>238</v>
      </c>
      <c r="K11" s="141" t="s">
        <v>238</v>
      </c>
      <c r="L11" s="140" t="s">
        <v>238</v>
      </c>
      <c r="M11" s="140" t="s">
        <v>238</v>
      </c>
      <c r="N11" s="153" t="s">
        <v>238</v>
      </c>
      <c r="O11" s="141" t="s">
        <v>238</v>
      </c>
      <c r="P11" s="142" t="s">
        <v>238</v>
      </c>
      <c r="Q11" s="154">
        <v>1723.0095304000001</v>
      </c>
      <c r="R11" s="140" t="s">
        <v>238</v>
      </c>
      <c r="S11" s="140">
        <v>0.99999999988392407</v>
      </c>
      <c r="T11" s="140">
        <v>2.9318574031492555E-2</v>
      </c>
    </row>
    <row r="12" spans="1:20" s="137" customFormat="1" x14ac:dyDescent="0.2">
      <c r="A12" s="114" t="s">
        <v>140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5" t="s">
        <v>238</v>
      </c>
      <c r="H12" s="145" t="s">
        <v>238</v>
      </c>
      <c r="I12" s="145" t="s">
        <v>238</v>
      </c>
      <c r="J12" s="145" t="s">
        <v>238</v>
      </c>
      <c r="K12" s="145" t="s">
        <v>238</v>
      </c>
      <c r="L12" s="144" t="s">
        <v>238</v>
      </c>
      <c r="M12" s="144" t="s">
        <v>238</v>
      </c>
      <c r="N12" s="155" t="s">
        <v>238</v>
      </c>
      <c r="O12" s="145" t="s">
        <v>238</v>
      </c>
      <c r="P12" s="146" t="s">
        <v>238</v>
      </c>
      <c r="Q12" s="146">
        <v>1720.9493301000002</v>
      </c>
      <c r="R12" s="144" t="s">
        <v>238</v>
      </c>
      <c r="S12" s="144">
        <v>0.99880430115828644</v>
      </c>
      <c r="T12" s="144">
        <v>2.9283517849881518E-2</v>
      </c>
    </row>
    <row r="13" spans="1:20" x14ac:dyDescent="0.2">
      <c r="A13" s="33" t="s">
        <v>380</v>
      </c>
      <c r="B13" s="41" t="s">
        <v>381</v>
      </c>
      <c r="C13" s="41" t="s">
        <v>271</v>
      </c>
      <c r="D13" s="41" t="s">
        <v>238</v>
      </c>
      <c r="E13" s="41" t="s">
        <v>382</v>
      </c>
      <c r="F13" s="41" t="s">
        <v>202</v>
      </c>
      <c r="G13" s="82" t="s">
        <v>242</v>
      </c>
      <c r="H13" s="82" t="s">
        <v>243</v>
      </c>
      <c r="I13" s="82" t="s">
        <v>383</v>
      </c>
      <c r="J13" s="82">
        <v>5.15</v>
      </c>
      <c r="K13" s="82" t="s">
        <v>244</v>
      </c>
      <c r="L13" s="41">
        <v>1.4999999999999999E-2</v>
      </c>
      <c r="M13" s="41">
        <v>9.4999999999999998E-3</v>
      </c>
      <c r="N13" s="90">
        <v>138948.1</v>
      </c>
      <c r="O13" s="82">
        <v>103.19</v>
      </c>
      <c r="P13" s="106">
        <v>0</v>
      </c>
      <c r="Q13" s="106">
        <v>143.38054</v>
      </c>
      <c r="R13" s="41">
        <v>2.9896167651566471E-4</v>
      </c>
      <c r="S13" s="41">
        <v>8.3215175223128865E-2</v>
      </c>
      <c r="T13" s="41">
        <v>2.4397502756061244E-3</v>
      </c>
    </row>
    <row r="14" spans="1:20" x14ac:dyDescent="0.2">
      <c r="A14" s="33" t="s">
        <v>384</v>
      </c>
      <c r="B14" s="41" t="s">
        <v>385</v>
      </c>
      <c r="C14" s="41" t="s">
        <v>271</v>
      </c>
      <c r="D14" s="41" t="s">
        <v>238</v>
      </c>
      <c r="E14" s="41" t="s">
        <v>386</v>
      </c>
      <c r="F14" s="41" t="s">
        <v>202</v>
      </c>
      <c r="G14" s="82" t="s">
        <v>387</v>
      </c>
      <c r="H14" s="82" t="s">
        <v>388</v>
      </c>
      <c r="I14" s="82" t="s">
        <v>389</v>
      </c>
      <c r="J14" s="82">
        <v>5.41</v>
      </c>
      <c r="K14" s="82" t="s">
        <v>244</v>
      </c>
      <c r="L14" s="41">
        <v>1.7500000000000002E-2</v>
      </c>
      <c r="M14" s="41">
        <v>1.0500000000000001E-2</v>
      </c>
      <c r="N14" s="90">
        <v>947661.54</v>
      </c>
      <c r="O14" s="82">
        <v>103.86999999999999</v>
      </c>
      <c r="P14" s="106">
        <v>0</v>
      </c>
      <c r="Q14" s="106">
        <v>984.33604000000003</v>
      </c>
      <c r="R14" s="41">
        <v>2.3898350204311938E-4</v>
      </c>
      <c r="S14" s="41">
        <v>0.57128879586477199</v>
      </c>
      <c r="T14" s="41">
        <v>1.6749372856867752E-2</v>
      </c>
    </row>
    <row r="15" spans="1:20" x14ac:dyDescent="0.2">
      <c r="A15" s="33" t="s">
        <v>394</v>
      </c>
      <c r="B15" s="41" t="s">
        <v>395</v>
      </c>
      <c r="C15" s="41" t="s">
        <v>271</v>
      </c>
      <c r="D15" s="41" t="s">
        <v>238</v>
      </c>
      <c r="E15" s="41" t="s">
        <v>396</v>
      </c>
      <c r="F15" s="41" t="s">
        <v>202</v>
      </c>
      <c r="G15" s="82" t="s">
        <v>392</v>
      </c>
      <c r="H15" s="82" t="s">
        <v>243</v>
      </c>
      <c r="I15" s="82" t="s">
        <v>397</v>
      </c>
      <c r="J15" s="82">
        <v>0.96</v>
      </c>
      <c r="K15" s="82" t="s">
        <v>244</v>
      </c>
      <c r="L15" s="41">
        <v>4.2000000000000003E-2</v>
      </c>
      <c r="M15" s="41">
        <v>-1E-4</v>
      </c>
      <c r="N15" s="90">
        <v>1000</v>
      </c>
      <c r="O15" s="82">
        <v>126.58</v>
      </c>
      <c r="P15" s="106">
        <v>0</v>
      </c>
      <c r="Q15" s="106">
        <v>1.2658</v>
      </c>
      <c r="R15" s="41">
        <v>3.8339148104129126E-5</v>
      </c>
      <c r="S15" s="41">
        <v>7.3464480463971262E-4</v>
      </c>
      <c r="T15" s="41">
        <v>2.1538738094180931E-5</v>
      </c>
    </row>
    <row r="16" spans="1:20" x14ac:dyDescent="0.2">
      <c r="A16" s="33" t="s">
        <v>403</v>
      </c>
      <c r="B16" s="41" t="s">
        <v>404</v>
      </c>
      <c r="C16" s="41" t="s">
        <v>271</v>
      </c>
      <c r="D16" s="41" t="s">
        <v>238</v>
      </c>
      <c r="E16" s="41" t="s">
        <v>396</v>
      </c>
      <c r="F16" s="41" t="s">
        <v>202</v>
      </c>
      <c r="G16" s="82" t="s">
        <v>392</v>
      </c>
      <c r="H16" s="82" t="s">
        <v>243</v>
      </c>
      <c r="I16" s="82" t="s">
        <v>405</v>
      </c>
      <c r="J16" s="82">
        <v>0.83</v>
      </c>
      <c r="K16" s="82" t="s">
        <v>244</v>
      </c>
      <c r="L16" s="41">
        <v>3.1E-2</v>
      </c>
      <c r="M16" s="41">
        <v>2.5600000000000001E-2</v>
      </c>
      <c r="N16" s="90">
        <v>5374</v>
      </c>
      <c r="O16" s="82">
        <v>107.03</v>
      </c>
      <c r="P16" s="106">
        <v>0</v>
      </c>
      <c r="Q16" s="106">
        <v>5.7517899999999997</v>
      </c>
      <c r="R16" s="41">
        <v>3.1241025617175937E-5</v>
      </c>
      <c r="S16" s="41">
        <v>3.3382229743076732E-3</v>
      </c>
      <c r="T16" s="41">
        <v>9.7871937417229356E-5</v>
      </c>
    </row>
    <row r="17" spans="1:20" x14ac:dyDescent="0.2">
      <c r="A17" s="33" t="s">
        <v>398</v>
      </c>
      <c r="B17" s="41" t="s">
        <v>399</v>
      </c>
      <c r="C17" s="41" t="s">
        <v>271</v>
      </c>
      <c r="D17" s="41" t="s">
        <v>238</v>
      </c>
      <c r="E17" s="41" t="s">
        <v>400</v>
      </c>
      <c r="F17" s="41" t="s">
        <v>202</v>
      </c>
      <c r="G17" s="82" t="s">
        <v>401</v>
      </c>
      <c r="H17" s="82" t="s">
        <v>388</v>
      </c>
      <c r="I17" s="82" t="s">
        <v>402</v>
      </c>
      <c r="J17" s="82">
        <v>1.17</v>
      </c>
      <c r="K17" s="82" t="s">
        <v>244</v>
      </c>
      <c r="L17" s="41">
        <v>3.85E-2</v>
      </c>
      <c r="M17" s="41">
        <v>1.67E-2</v>
      </c>
      <c r="N17" s="90">
        <v>37500</v>
      </c>
      <c r="O17" s="82">
        <v>112.06</v>
      </c>
      <c r="P17" s="106">
        <v>0</v>
      </c>
      <c r="Q17" s="106">
        <v>42.022500000000001</v>
      </c>
      <c r="R17" s="41">
        <v>1.1738935466376167E-4</v>
      </c>
      <c r="S17" s="41">
        <v>2.4389011931562905E-2</v>
      </c>
      <c r="T17" s="41">
        <v>7.150510519534825E-4</v>
      </c>
    </row>
    <row r="18" spans="1:20" x14ac:dyDescent="0.2">
      <c r="A18" s="33" t="s">
        <v>406</v>
      </c>
      <c r="B18" s="41" t="s">
        <v>407</v>
      </c>
      <c r="C18" s="41" t="s">
        <v>271</v>
      </c>
      <c r="D18" s="41" t="s">
        <v>238</v>
      </c>
      <c r="E18" s="41" t="s">
        <v>408</v>
      </c>
      <c r="F18" s="41" t="s">
        <v>202</v>
      </c>
      <c r="G18" s="82" t="s">
        <v>392</v>
      </c>
      <c r="H18" s="82" t="s">
        <v>243</v>
      </c>
      <c r="I18" s="82" t="s">
        <v>409</v>
      </c>
      <c r="J18" s="82">
        <v>0.61</v>
      </c>
      <c r="K18" s="82" t="s">
        <v>244</v>
      </c>
      <c r="L18" s="41">
        <v>3.4000000000000002E-2</v>
      </c>
      <c r="M18" s="41">
        <v>3.2500000000000001E-2</v>
      </c>
      <c r="N18" s="90">
        <v>11110</v>
      </c>
      <c r="O18" s="82">
        <v>104.82000000000001</v>
      </c>
      <c r="P18" s="106">
        <v>0</v>
      </c>
      <c r="Q18" s="106">
        <v>11.6455</v>
      </c>
      <c r="R18" s="41">
        <v>1.2429463354843054E-5</v>
      </c>
      <c r="S18" s="41">
        <v>6.758813455863307E-3</v>
      </c>
      <c r="T18" s="41">
        <v>1.9815877269377787E-4</v>
      </c>
    </row>
    <row r="19" spans="1:20" x14ac:dyDescent="0.2">
      <c r="A19" s="33" t="s">
        <v>390</v>
      </c>
      <c r="B19" s="41" t="s">
        <v>391</v>
      </c>
      <c r="C19" s="41" t="s">
        <v>271</v>
      </c>
      <c r="D19" s="41" t="s">
        <v>238</v>
      </c>
      <c r="E19" s="41" t="s">
        <v>386</v>
      </c>
      <c r="F19" s="41" t="s">
        <v>202</v>
      </c>
      <c r="G19" s="82" t="s">
        <v>392</v>
      </c>
      <c r="H19" s="82" t="s">
        <v>243</v>
      </c>
      <c r="I19" s="82" t="s">
        <v>393</v>
      </c>
      <c r="J19" s="82">
        <v>0.99</v>
      </c>
      <c r="K19" s="82" t="s">
        <v>244</v>
      </c>
      <c r="L19" s="41">
        <v>4.0999999999999995E-2</v>
      </c>
      <c r="M19" s="41">
        <v>1.95E-2</v>
      </c>
      <c r="N19" s="90">
        <v>52308.6</v>
      </c>
      <c r="O19" s="82">
        <v>124.05</v>
      </c>
      <c r="P19" s="106">
        <v>0</v>
      </c>
      <c r="Q19" s="106">
        <v>64.888809999999992</v>
      </c>
      <c r="R19" s="41">
        <v>6.7138794272552033E-5</v>
      </c>
      <c r="S19" s="41">
        <v>3.766015732797711E-2</v>
      </c>
      <c r="T19" s="41">
        <v>1.1041421107861181E-3</v>
      </c>
    </row>
    <row r="20" spans="1:20" x14ac:dyDescent="0.2">
      <c r="A20" s="33" t="s">
        <v>423</v>
      </c>
      <c r="B20" s="41" t="s">
        <v>424</v>
      </c>
      <c r="C20" s="41" t="s">
        <v>271</v>
      </c>
      <c r="D20" s="41" t="s">
        <v>238</v>
      </c>
      <c r="E20" s="41" t="s">
        <v>408</v>
      </c>
      <c r="F20" s="41" t="s">
        <v>202</v>
      </c>
      <c r="G20" s="82" t="s">
        <v>421</v>
      </c>
      <c r="H20" s="82" t="s">
        <v>243</v>
      </c>
      <c r="I20" s="82" t="s">
        <v>425</v>
      </c>
      <c r="J20" s="82">
        <v>0.36</v>
      </c>
      <c r="K20" s="82" t="s">
        <v>244</v>
      </c>
      <c r="L20" s="41">
        <v>0.05</v>
      </c>
      <c r="M20" s="41">
        <v>8.1600000000000006E-2</v>
      </c>
      <c r="N20" s="90">
        <v>41015</v>
      </c>
      <c r="O20" s="82">
        <v>109.96</v>
      </c>
      <c r="P20" s="106">
        <v>0</v>
      </c>
      <c r="Q20" s="106">
        <v>45.100089999999994</v>
      </c>
      <c r="R20" s="41">
        <v>4.1015041015041013E-5</v>
      </c>
      <c r="S20" s="41">
        <v>2.617518313105029E-2</v>
      </c>
      <c r="T20" s="41">
        <v>7.6741904450465179E-4</v>
      </c>
    </row>
    <row r="21" spans="1:20" x14ac:dyDescent="0.2">
      <c r="A21" s="33" t="s">
        <v>419</v>
      </c>
      <c r="B21" s="41" t="s">
        <v>420</v>
      </c>
      <c r="C21" s="41" t="s">
        <v>271</v>
      </c>
      <c r="D21" s="41" t="s">
        <v>238</v>
      </c>
      <c r="E21" s="41" t="s">
        <v>386</v>
      </c>
      <c r="F21" s="41" t="s">
        <v>202</v>
      </c>
      <c r="G21" s="82" t="s">
        <v>421</v>
      </c>
      <c r="H21" s="82" t="s">
        <v>243</v>
      </c>
      <c r="I21" s="82" t="s">
        <v>422</v>
      </c>
      <c r="J21" s="82">
        <v>0.25</v>
      </c>
      <c r="K21" s="82" t="s">
        <v>244</v>
      </c>
      <c r="L21" s="41">
        <v>6.5000000000000002E-2</v>
      </c>
      <c r="M21" s="41">
        <v>9.0899999999999995E-2</v>
      </c>
      <c r="N21" s="90">
        <v>54299</v>
      </c>
      <c r="O21" s="82">
        <v>110.66</v>
      </c>
      <c r="P21" s="106">
        <v>0.98189000000000004</v>
      </c>
      <c r="Q21" s="106">
        <v>61.069160000000004</v>
      </c>
      <c r="R21" s="41">
        <v>3.4475555555555557E-5</v>
      </c>
      <c r="S21" s="41">
        <v>3.54433094625623E-2</v>
      </c>
      <c r="T21" s="41">
        <v>1.0391472925198532E-3</v>
      </c>
    </row>
    <row r="22" spans="1:20" x14ac:dyDescent="0.2">
      <c r="A22" s="33" t="s">
        <v>414</v>
      </c>
      <c r="B22" s="41" t="s">
        <v>415</v>
      </c>
      <c r="C22" s="41" t="s">
        <v>271</v>
      </c>
      <c r="D22" s="41" t="s">
        <v>238</v>
      </c>
      <c r="E22" s="41" t="s">
        <v>416</v>
      </c>
      <c r="F22" s="41" t="s">
        <v>202</v>
      </c>
      <c r="G22" s="82" t="s">
        <v>417</v>
      </c>
      <c r="H22" s="82" t="s">
        <v>243</v>
      </c>
      <c r="I22" s="82" t="s">
        <v>418</v>
      </c>
      <c r="J22" s="82">
        <v>1.7</v>
      </c>
      <c r="K22" s="82" t="s">
        <v>244</v>
      </c>
      <c r="L22" s="41">
        <v>4.4999999999999998E-2</v>
      </c>
      <c r="M22" s="41">
        <v>1.9699999999999999E-2</v>
      </c>
      <c r="N22" s="90">
        <v>183837</v>
      </c>
      <c r="O22" s="82">
        <v>125.96000000000001</v>
      </c>
      <c r="P22" s="106">
        <v>2.4961700000000002</v>
      </c>
      <c r="Q22" s="106">
        <v>234.05725000000001</v>
      </c>
      <c r="R22" s="41">
        <v>1.080133346611795E-4</v>
      </c>
      <c r="S22" s="41">
        <v>0.13584210989157719</v>
      </c>
      <c r="T22" s="41">
        <v>3.9826969559126476E-3</v>
      </c>
    </row>
    <row r="23" spans="1:20" x14ac:dyDescent="0.2">
      <c r="A23" s="33" t="s">
        <v>410</v>
      </c>
      <c r="B23" s="41" t="s">
        <v>411</v>
      </c>
      <c r="C23" s="41" t="s">
        <v>271</v>
      </c>
      <c r="D23" s="41" t="s">
        <v>238</v>
      </c>
      <c r="E23" s="41" t="s">
        <v>400</v>
      </c>
      <c r="F23" s="41" t="s">
        <v>202</v>
      </c>
      <c r="G23" s="82" t="s">
        <v>412</v>
      </c>
      <c r="H23" s="82" t="s">
        <v>243</v>
      </c>
      <c r="I23" s="82" t="s">
        <v>413</v>
      </c>
      <c r="J23" s="82">
        <v>1.69</v>
      </c>
      <c r="K23" s="82" t="s">
        <v>244</v>
      </c>
      <c r="L23" s="41">
        <v>5.0999999999999997E-2</v>
      </c>
      <c r="M23" s="41">
        <v>2.7099999999999999E-2</v>
      </c>
      <c r="N23" s="90">
        <v>100000</v>
      </c>
      <c r="O23" s="82">
        <v>125.89000000000001</v>
      </c>
      <c r="P23" s="106">
        <v>1.5418499999999999</v>
      </c>
      <c r="Q23" s="106">
        <v>127.43185000000001</v>
      </c>
      <c r="R23" s="41">
        <v>8.7165537953287747E-5</v>
      </c>
      <c r="S23" s="41">
        <v>7.3958877032807055E-2</v>
      </c>
      <c r="T23" s="41">
        <v>2.1683688118241035E-3</v>
      </c>
    </row>
    <row r="24" spans="1:20" s="137" customFormat="1" x14ac:dyDescent="0.2">
      <c r="A24" s="114" t="s">
        <v>141</v>
      </c>
      <c r="B24" s="144" t="s">
        <v>238</v>
      </c>
      <c r="C24" s="144" t="s">
        <v>238</v>
      </c>
      <c r="D24" s="144" t="s">
        <v>238</v>
      </c>
      <c r="E24" s="144" t="s">
        <v>238</v>
      </c>
      <c r="F24" s="144" t="s">
        <v>238</v>
      </c>
      <c r="G24" s="145" t="s">
        <v>238</v>
      </c>
      <c r="H24" s="145" t="s">
        <v>238</v>
      </c>
      <c r="I24" s="145" t="s">
        <v>238</v>
      </c>
      <c r="J24" s="145" t="s">
        <v>238</v>
      </c>
      <c r="K24" s="145" t="s">
        <v>238</v>
      </c>
      <c r="L24" s="144" t="s">
        <v>238</v>
      </c>
      <c r="M24" s="144" t="s">
        <v>238</v>
      </c>
      <c r="N24" s="155" t="s">
        <v>238</v>
      </c>
      <c r="O24" s="145" t="s">
        <v>238</v>
      </c>
      <c r="P24" s="146" t="s">
        <v>238</v>
      </c>
      <c r="Q24" s="146">
        <v>2.0602000999999999</v>
      </c>
      <c r="R24" s="144" t="s">
        <v>238</v>
      </c>
      <c r="S24" s="144">
        <v>1.1956986095617132E-3</v>
      </c>
      <c r="T24" s="144">
        <v>3.505617820785697E-5</v>
      </c>
    </row>
    <row r="25" spans="1:20" x14ac:dyDescent="0.2">
      <c r="A25" s="33" t="s">
        <v>426</v>
      </c>
      <c r="B25" s="41" t="s">
        <v>427</v>
      </c>
      <c r="C25" s="41" t="s">
        <v>271</v>
      </c>
      <c r="D25" s="41" t="s">
        <v>238</v>
      </c>
      <c r="E25" s="41" t="s">
        <v>428</v>
      </c>
      <c r="F25" s="41" t="s">
        <v>203</v>
      </c>
      <c r="G25" s="82" t="s">
        <v>417</v>
      </c>
      <c r="H25" s="82" t="s">
        <v>243</v>
      </c>
      <c r="I25" s="82" t="s">
        <v>429</v>
      </c>
      <c r="J25" s="82">
        <v>5.73</v>
      </c>
      <c r="K25" s="82" t="s">
        <v>244</v>
      </c>
      <c r="L25" s="41">
        <v>2.9100000000000001E-2</v>
      </c>
      <c r="M25" s="41">
        <v>2.53E-2</v>
      </c>
      <c r="N25" s="90">
        <v>2000</v>
      </c>
      <c r="O25" s="82">
        <v>103.01</v>
      </c>
      <c r="P25" s="106">
        <v>0</v>
      </c>
      <c r="Q25" s="106">
        <v>2.0602</v>
      </c>
      <c r="R25" s="41">
        <v>3.3333333333333333E-6</v>
      </c>
      <c r="S25" s="41">
        <v>1.1956985515237288E-3</v>
      </c>
      <c r="T25" s="41">
        <v>3.5056176506266035E-5</v>
      </c>
    </row>
    <row r="26" spans="1:20" s="137" customFormat="1" x14ac:dyDescent="0.2">
      <c r="A26" s="114" t="s">
        <v>378</v>
      </c>
      <c r="B26" s="144" t="s">
        <v>238</v>
      </c>
      <c r="C26" s="144" t="s">
        <v>238</v>
      </c>
      <c r="D26" s="144" t="s">
        <v>238</v>
      </c>
      <c r="E26" s="144" t="s">
        <v>238</v>
      </c>
      <c r="F26" s="144" t="s">
        <v>238</v>
      </c>
      <c r="G26" s="145" t="s">
        <v>238</v>
      </c>
      <c r="H26" s="145" t="s">
        <v>238</v>
      </c>
      <c r="I26" s="145" t="s">
        <v>238</v>
      </c>
      <c r="J26" s="145" t="s">
        <v>238</v>
      </c>
      <c r="K26" s="145" t="s">
        <v>238</v>
      </c>
      <c r="L26" s="144" t="s">
        <v>238</v>
      </c>
      <c r="M26" s="144" t="s">
        <v>238</v>
      </c>
      <c r="N26" s="155" t="s">
        <v>238</v>
      </c>
      <c r="O26" s="145" t="s">
        <v>238</v>
      </c>
      <c r="P26" s="146" t="s">
        <v>238</v>
      </c>
      <c r="Q26" s="146">
        <v>0</v>
      </c>
      <c r="R26" s="144" t="s">
        <v>238</v>
      </c>
      <c r="S26" s="144">
        <v>0</v>
      </c>
      <c r="T26" s="144">
        <v>0</v>
      </c>
    </row>
    <row r="27" spans="1:20" s="137" customFormat="1" x14ac:dyDescent="0.2">
      <c r="A27" s="114" t="s">
        <v>430</v>
      </c>
      <c r="B27" s="144" t="s">
        <v>238</v>
      </c>
      <c r="C27" s="144" t="s">
        <v>238</v>
      </c>
      <c r="D27" s="144" t="s">
        <v>238</v>
      </c>
      <c r="E27" s="144" t="s">
        <v>238</v>
      </c>
      <c r="F27" s="144" t="s">
        <v>238</v>
      </c>
      <c r="G27" s="145" t="s">
        <v>238</v>
      </c>
      <c r="H27" s="145" t="s">
        <v>238</v>
      </c>
      <c r="I27" s="145" t="s">
        <v>238</v>
      </c>
      <c r="J27" s="145" t="s">
        <v>238</v>
      </c>
      <c r="K27" s="145" t="s">
        <v>238</v>
      </c>
      <c r="L27" s="144" t="s">
        <v>238</v>
      </c>
      <c r="M27" s="144" t="s">
        <v>238</v>
      </c>
      <c r="N27" s="155" t="s">
        <v>238</v>
      </c>
      <c r="O27" s="145" t="s">
        <v>238</v>
      </c>
      <c r="P27" s="146" t="s">
        <v>238</v>
      </c>
      <c r="Q27" s="146">
        <v>0</v>
      </c>
      <c r="R27" s="144" t="s">
        <v>238</v>
      </c>
      <c r="S27" s="144">
        <v>0</v>
      </c>
      <c r="T27" s="144">
        <v>0</v>
      </c>
    </row>
    <row r="28" spans="1:20" s="137" customFormat="1" x14ac:dyDescent="0.2">
      <c r="A28" s="114" t="s">
        <v>365</v>
      </c>
      <c r="B28" s="144" t="s">
        <v>238</v>
      </c>
      <c r="C28" s="144" t="s">
        <v>238</v>
      </c>
      <c r="D28" s="144" t="s">
        <v>238</v>
      </c>
      <c r="E28" s="144" t="s">
        <v>238</v>
      </c>
      <c r="F28" s="144" t="s">
        <v>238</v>
      </c>
      <c r="G28" s="145" t="s">
        <v>238</v>
      </c>
      <c r="H28" s="145" t="s">
        <v>238</v>
      </c>
      <c r="I28" s="145" t="s">
        <v>238</v>
      </c>
      <c r="J28" s="145" t="s">
        <v>238</v>
      </c>
      <c r="K28" s="145" t="s">
        <v>238</v>
      </c>
      <c r="L28" s="144" t="s">
        <v>238</v>
      </c>
      <c r="M28" s="144" t="s">
        <v>238</v>
      </c>
      <c r="N28" s="155" t="s">
        <v>238</v>
      </c>
      <c r="O28" s="145" t="s">
        <v>238</v>
      </c>
      <c r="P28" s="146" t="s">
        <v>238</v>
      </c>
      <c r="Q28" s="146">
        <v>0</v>
      </c>
      <c r="R28" s="144" t="s">
        <v>238</v>
      </c>
      <c r="S28" s="144">
        <v>0</v>
      </c>
      <c r="T28" s="144">
        <v>0</v>
      </c>
    </row>
    <row r="29" spans="1:20" s="137" customFormat="1" x14ac:dyDescent="0.2">
      <c r="A29" s="114" t="s">
        <v>145</v>
      </c>
      <c r="B29" s="144" t="s">
        <v>238</v>
      </c>
      <c r="C29" s="144" t="s">
        <v>238</v>
      </c>
      <c r="D29" s="144" t="s">
        <v>238</v>
      </c>
      <c r="E29" s="144" t="s">
        <v>238</v>
      </c>
      <c r="F29" s="144" t="s">
        <v>238</v>
      </c>
      <c r="G29" s="145" t="s">
        <v>238</v>
      </c>
      <c r="H29" s="145" t="s">
        <v>238</v>
      </c>
      <c r="I29" s="145" t="s">
        <v>238</v>
      </c>
      <c r="J29" s="145" t="s">
        <v>238</v>
      </c>
      <c r="K29" s="145" t="s">
        <v>238</v>
      </c>
      <c r="L29" s="144" t="s">
        <v>238</v>
      </c>
      <c r="M29" s="144" t="s">
        <v>238</v>
      </c>
      <c r="N29" s="155" t="s">
        <v>238</v>
      </c>
      <c r="O29" s="145" t="s">
        <v>238</v>
      </c>
      <c r="P29" s="146" t="s">
        <v>238</v>
      </c>
      <c r="Q29" s="146">
        <v>0</v>
      </c>
      <c r="R29" s="144" t="s">
        <v>238</v>
      </c>
      <c r="S29" s="144">
        <v>0</v>
      </c>
      <c r="T29" s="144">
        <v>0</v>
      </c>
    </row>
    <row r="30" spans="1:20" s="137" customFormat="1" x14ac:dyDescent="0.2">
      <c r="A30" s="239" t="s">
        <v>146</v>
      </c>
      <c r="B30" s="226" t="s">
        <v>238</v>
      </c>
      <c r="C30" s="226" t="s">
        <v>238</v>
      </c>
      <c r="D30" s="226" t="s">
        <v>238</v>
      </c>
      <c r="E30" s="226" t="s">
        <v>238</v>
      </c>
      <c r="F30" s="226" t="s">
        <v>238</v>
      </c>
      <c r="G30" s="228" t="s">
        <v>238</v>
      </c>
      <c r="H30" s="228" t="s">
        <v>238</v>
      </c>
      <c r="I30" s="228" t="s">
        <v>238</v>
      </c>
      <c r="J30" s="228" t="s">
        <v>238</v>
      </c>
      <c r="K30" s="228" t="s">
        <v>238</v>
      </c>
      <c r="L30" s="226" t="s">
        <v>238</v>
      </c>
      <c r="M30" s="226" t="s">
        <v>238</v>
      </c>
      <c r="N30" s="244" t="s">
        <v>238</v>
      </c>
      <c r="O30" s="228" t="s">
        <v>238</v>
      </c>
      <c r="P30" s="229" t="s">
        <v>238</v>
      </c>
      <c r="Q30" s="229">
        <v>0</v>
      </c>
      <c r="R30" s="226" t="s">
        <v>238</v>
      </c>
      <c r="S30" s="226">
        <v>0</v>
      </c>
      <c r="T30" s="226">
        <v>0</v>
      </c>
    </row>
    <row r="31" spans="1:20" s="137" customFormat="1" x14ac:dyDescent="0.2">
      <c r="A31" s="99" t="s">
        <v>230</v>
      </c>
      <c r="B31" s="147"/>
      <c r="C31" s="147"/>
      <c r="D31" s="147"/>
      <c r="E31" s="147"/>
      <c r="F31" s="147"/>
      <c r="G31" s="148"/>
      <c r="H31" s="148"/>
      <c r="I31" s="148"/>
      <c r="J31" s="149"/>
      <c r="K31" s="150"/>
      <c r="L31" s="151"/>
      <c r="M31" s="151"/>
      <c r="N31" s="151"/>
      <c r="O31" s="150"/>
      <c r="P31" s="150"/>
      <c r="Q31" s="150"/>
      <c r="R31" s="156"/>
      <c r="S31" s="156"/>
      <c r="T31" s="156"/>
    </row>
    <row r="32" spans="1:20" s="137" customFormat="1" x14ac:dyDescent="0.2">
      <c r="A32" s="99" t="s">
        <v>231</v>
      </c>
      <c r="B32" s="147"/>
      <c r="C32" s="147"/>
      <c r="D32" s="147"/>
      <c r="E32" s="147"/>
      <c r="F32" s="147"/>
      <c r="G32" s="148"/>
      <c r="H32" s="148"/>
      <c r="I32" s="148"/>
      <c r="J32" s="149"/>
      <c r="K32" s="150"/>
      <c r="L32" s="151"/>
      <c r="M32" s="151"/>
      <c r="N32" s="151"/>
      <c r="O32" s="150"/>
      <c r="P32" s="150"/>
      <c r="Q32" s="150"/>
      <c r="R32" s="156"/>
      <c r="S32" s="156"/>
      <c r="T32" s="156"/>
    </row>
    <row r="33" spans="1:20" s="137" customFormat="1" x14ac:dyDescent="0.2">
      <c r="A33" s="99" t="s">
        <v>232</v>
      </c>
      <c r="B33" s="147"/>
      <c r="C33" s="147"/>
      <c r="D33" s="147"/>
      <c r="E33" s="147"/>
      <c r="F33" s="147"/>
      <c r="G33" s="148"/>
      <c r="H33" s="148"/>
      <c r="I33" s="148"/>
      <c r="J33" s="149"/>
      <c r="K33" s="150"/>
      <c r="L33" s="151"/>
      <c r="M33" s="151"/>
      <c r="N33" s="151"/>
      <c r="O33" s="150"/>
      <c r="P33" s="150"/>
      <c r="Q33" s="150"/>
      <c r="R33" s="156"/>
      <c r="S33" s="156"/>
      <c r="T33" s="156"/>
    </row>
    <row r="34" spans="1:20" s="137" customFormat="1" x14ac:dyDescent="0.2">
      <c r="A34" s="99" t="s">
        <v>233</v>
      </c>
      <c r="B34" s="147"/>
      <c r="C34" s="147"/>
      <c r="D34" s="147"/>
      <c r="E34" s="147"/>
      <c r="F34" s="147"/>
      <c r="G34" s="148"/>
      <c r="H34" s="148"/>
      <c r="I34" s="148"/>
      <c r="J34" s="149"/>
      <c r="K34" s="150"/>
      <c r="L34" s="151"/>
      <c r="M34" s="151"/>
      <c r="N34" s="151"/>
      <c r="O34" s="150"/>
      <c r="P34" s="150"/>
      <c r="Q34" s="150"/>
      <c r="R34" s="156"/>
      <c r="S34" s="156"/>
      <c r="T34" s="156"/>
    </row>
    <row r="35" spans="1:20" s="137" customFormat="1" x14ac:dyDescent="0.2">
      <c r="A35" s="99" t="s">
        <v>234</v>
      </c>
      <c r="B35" s="147"/>
      <c r="C35" s="147"/>
      <c r="D35" s="147"/>
      <c r="E35" s="147"/>
      <c r="F35" s="147"/>
      <c r="G35" s="148"/>
      <c r="H35" s="148"/>
      <c r="I35" s="148"/>
      <c r="J35" s="149"/>
      <c r="K35" s="150"/>
      <c r="L35" s="151"/>
      <c r="M35" s="151"/>
      <c r="N35" s="151"/>
      <c r="O35" s="150"/>
      <c r="P35" s="150"/>
      <c r="Q35" s="150"/>
      <c r="R35" s="156"/>
      <c r="S35" s="156"/>
      <c r="T35" s="156"/>
    </row>
  </sheetData>
  <sortState ref="A13:AA23">
    <sortCondition ref="A13:A23" customList="א,ב,ג,ד,ה,ו,ז,ח,ט,י,כ,ל,מ,נ,ס,ע,פ,צ,ק,ר,ש,ת"/>
  </sortState>
  <mergeCells count="2">
    <mergeCell ref="A6:T6"/>
    <mergeCell ref="A5:T5"/>
  </mergeCells>
  <conditionalFormatting sqref="B11:I30 K11:K30 S11:T30">
    <cfRule type="expression" dxfId="112" priority="101" stopIfTrue="1">
      <formula>OR(LEFT(#REF!,3)="TIR",LEFT(#REF!,2)="IR")</formula>
    </cfRule>
  </conditionalFormatting>
  <conditionalFormatting sqref="A11:A30 P11:Q30">
    <cfRule type="expression" dxfId="111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B913-60FA-4397-836A-E6E3064ECD3B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6.5703125" style="81" customWidth="1"/>
    <col min="11" max="11" width="10.42578125" style="53" customWidth="1"/>
    <col min="12" max="12" width="22" style="83" customWidth="1"/>
    <col min="13" max="13" width="25.42578125" style="83" customWidth="1"/>
    <col min="14" max="14" width="20.7109375" style="85" customWidth="1"/>
    <col min="15" max="15" width="11.42578125" style="36" bestFit="1" customWidth="1"/>
    <col min="16" max="16" width="7.28515625" style="36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81"/>
      <c r="K1" s="53"/>
      <c r="L1" s="83"/>
      <c r="M1" s="83"/>
      <c r="N1" s="84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81"/>
      <c r="H2" s="81"/>
      <c r="I2" s="81"/>
      <c r="J2" s="81"/>
      <c r="K2" s="53"/>
      <c r="L2" s="83"/>
      <c r="M2" s="83"/>
      <c r="N2" s="84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81"/>
      <c r="K3" s="53"/>
      <c r="L3" s="83"/>
      <c r="M3" s="83"/>
      <c r="N3" s="84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81"/>
      <c r="K4" s="53"/>
      <c r="L4" s="83"/>
      <c r="M4" s="83"/>
      <c r="N4" s="84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159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136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3"/>
      <c r="B8" s="16"/>
      <c r="C8" s="16"/>
      <c r="D8" s="16"/>
      <c r="E8" s="16"/>
      <c r="F8" s="16"/>
      <c r="G8" s="46"/>
      <c r="H8" s="15" t="s">
        <v>135</v>
      </c>
      <c r="I8" s="70"/>
      <c r="J8" s="15" t="s">
        <v>137</v>
      </c>
      <c r="K8" s="15" t="s">
        <v>137</v>
      </c>
      <c r="L8" s="70" t="s">
        <v>9</v>
      </c>
      <c r="M8" s="74" t="s">
        <v>9</v>
      </c>
      <c r="N8" s="71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4">
        <v>13</v>
      </c>
    </row>
    <row r="10" spans="1:19" s="137" customFormat="1" ht="12.75" customHeight="1" thickBot="1" x14ac:dyDescent="0.25">
      <c r="A10" s="169" t="s">
        <v>59</v>
      </c>
      <c r="B10" s="91" t="s">
        <v>238</v>
      </c>
      <c r="C10" s="91" t="s">
        <v>238</v>
      </c>
      <c r="D10" s="91" t="s">
        <v>238</v>
      </c>
      <c r="E10" s="91" t="s">
        <v>238</v>
      </c>
      <c r="F10" s="91" t="s">
        <v>238</v>
      </c>
      <c r="G10" s="170" t="s">
        <v>238</v>
      </c>
      <c r="H10" s="171" t="s">
        <v>238</v>
      </c>
      <c r="I10" s="170" t="s">
        <v>238</v>
      </c>
      <c r="J10" s="170" t="s">
        <v>238</v>
      </c>
      <c r="K10" s="130">
        <v>6.9999999999999997E-7</v>
      </c>
      <c r="L10" s="91" t="s">
        <v>238</v>
      </c>
      <c r="M10" s="91">
        <v>1</v>
      </c>
      <c r="N10" s="104">
        <v>0</v>
      </c>
    </row>
    <row r="11" spans="1:19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0" t="s">
        <v>238</v>
      </c>
      <c r="G11" s="141" t="s">
        <v>238</v>
      </c>
      <c r="H11" s="153" t="s">
        <v>238</v>
      </c>
      <c r="I11" s="141" t="s">
        <v>238</v>
      </c>
      <c r="J11" s="141" t="s">
        <v>238</v>
      </c>
      <c r="K11" s="154">
        <v>0</v>
      </c>
      <c r="L11" s="140" t="s">
        <v>238</v>
      </c>
      <c r="M11" s="140">
        <v>0</v>
      </c>
      <c r="N11" s="140">
        <v>0</v>
      </c>
    </row>
    <row r="12" spans="1:19" s="137" customFormat="1" x14ac:dyDescent="0.2">
      <c r="A12" s="114" t="s">
        <v>431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5" t="s">
        <v>238</v>
      </c>
      <c r="H12" s="155" t="s">
        <v>238</v>
      </c>
      <c r="I12" s="141" t="s">
        <v>238</v>
      </c>
      <c r="J12" s="141" t="s">
        <v>238</v>
      </c>
      <c r="K12" s="172">
        <v>0</v>
      </c>
      <c r="L12" s="144" t="s">
        <v>238</v>
      </c>
      <c r="M12" s="140">
        <v>0</v>
      </c>
      <c r="N12" s="140">
        <v>0</v>
      </c>
    </row>
    <row r="13" spans="1:19" s="137" customFormat="1" x14ac:dyDescent="0.2">
      <c r="A13" s="114" t="s">
        <v>432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5" t="s">
        <v>238</v>
      </c>
      <c r="H13" s="155" t="s">
        <v>238</v>
      </c>
      <c r="I13" s="141" t="s">
        <v>238</v>
      </c>
      <c r="J13" s="155" t="s">
        <v>238</v>
      </c>
      <c r="K13" s="172">
        <v>0</v>
      </c>
      <c r="L13" s="144" t="s">
        <v>238</v>
      </c>
      <c r="M13" s="140">
        <v>0</v>
      </c>
      <c r="N13" s="140">
        <v>0</v>
      </c>
    </row>
    <row r="14" spans="1:19" s="137" customFormat="1" x14ac:dyDescent="0.2">
      <c r="A14" s="114" t="s">
        <v>433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5" t="s">
        <v>238</v>
      </c>
      <c r="H14" s="155" t="s">
        <v>238</v>
      </c>
      <c r="I14" s="141" t="s">
        <v>238</v>
      </c>
      <c r="J14" s="141" t="s">
        <v>238</v>
      </c>
      <c r="K14" s="172">
        <v>0</v>
      </c>
      <c r="L14" s="144" t="s">
        <v>238</v>
      </c>
      <c r="M14" s="140">
        <v>0</v>
      </c>
      <c r="N14" s="140">
        <v>0</v>
      </c>
    </row>
    <row r="15" spans="1:19" s="137" customFormat="1" x14ac:dyDescent="0.2">
      <c r="A15" s="114" t="s">
        <v>434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5" t="s">
        <v>238</v>
      </c>
      <c r="H15" s="155" t="s">
        <v>238</v>
      </c>
      <c r="I15" s="141" t="s">
        <v>238</v>
      </c>
      <c r="J15" s="141" t="s">
        <v>238</v>
      </c>
      <c r="K15" s="172">
        <v>0</v>
      </c>
      <c r="L15" s="144" t="s">
        <v>238</v>
      </c>
      <c r="M15" s="140">
        <v>0</v>
      </c>
      <c r="N15" s="140">
        <v>0</v>
      </c>
    </row>
    <row r="16" spans="1:19" s="137" customFormat="1" x14ac:dyDescent="0.2">
      <c r="A16" s="114" t="s">
        <v>435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5" t="s">
        <v>238</v>
      </c>
      <c r="H16" s="155" t="s">
        <v>238</v>
      </c>
      <c r="I16" s="141" t="s">
        <v>238</v>
      </c>
      <c r="J16" s="141" t="s">
        <v>238</v>
      </c>
      <c r="K16" s="172">
        <v>0</v>
      </c>
      <c r="L16" s="144" t="s">
        <v>238</v>
      </c>
      <c r="M16" s="140">
        <v>0</v>
      </c>
      <c r="N16" s="140">
        <v>0</v>
      </c>
    </row>
    <row r="17" spans="1:18" s="137" customFormat="1" x14ac:dyDescent="0.2">
      <c r="A17" s="114" t="s">
        <v>436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5" t="s">
        <v>238</v>
      </c>
      <c r="H17" s="155" t="s">
        <v>238</v>
      </c>
      <c r="I17" s="141" t="s">
        <v>238</v>
      </c>
      <c r="J17" s="141" t="s">
        <v>238</v>
      </c>
      <c r="K17" s="172">
        <v>0</v>
      </c>
      <c r="L17" s="144" t="s">
        <v>238</v>
      </c>
      <c r="M17" s="140">
        <v>0</v>
      </c>
      <c r="N17" s="140">
        <v>0</v>
      </c>
    </row>
    <row r="18" spans="1:18" s="137" customFormat="1" x14ac:dyDescent="0.2">
      <c r="A18" s="114" t="s">
        <v>365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4" t="s">
        <v>238</v>
      </c>
      <c r="G18" s="145" t="s">
        <v>238</v>
      </c>
      <c r="H18" s="155" t="s">
        <v>238</v>
      </c>
      <c r="I18" s="141" t="s">
        <v>238</v>
      </c>
      <c r="J18" s="141" t="s">
        <v>238</v>
      </c>
      <c r="K18" s="172">
        <v>0</v>
      </c>
      <c r="L18" s="144" t="s">
        <v>238</v>
      </c>
      <c r="M18" s="140">
        <v>0</v>
      </c>
      <c r="N18" s="140">
        <v>0</v>
      </c>
    </row>
    <row r="19" spans="1:18" s="137" customFormat="1" x14ac:dyDescent="0.2">
      <c r="A19" s="114" t="s">
        <v>145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4" t="s">
        <v>238</v>
      </c>
      <c r="G19" s="145" t="s">
        <v>238</v>
      </c>
      <c r="H19" s="155" t="s">
        <v>238</v>
      </c>
      <c r="I19" s="141" t="s">
        <v>238</v>
      </c>
      <c r="J19" s="141" t="s">
        <v>238</v>
      </c>
      <c r="K19" s="172">
        <v>0</v>
      </c>
      <c r="L19" s="144" t="s">
        <v>238</v>
      </c>
      <c r="M19" s="140">
        <v>0</v>
      </c>
      <c r="N19" s="140">
        <v>0</v>
      </c>
    </row>
    <row r="20" spans="1:18" s="137" customFormat="1" x14ac:dyDescent="0.2">
      <c r="A20" s="239" t="s">
        <v>146</v>
      </c>
      <c r="B20" s="226" t="s">
        <v>238</v>
      </c>
      <c r="C20" s="226" t="s">
        <v>238</v>
      </c>
      <c r="D20" s="226" t="s">
        <v>238</v>
      </c>
      <c r="E20" s="226" t="s">
        <v>238</v>
      </c>
      <c r="F20" s="226" t="s">
        <v>238</v>
      </c>
      <c r="G20" s="228" t="s">
        <v>238</v>
      </c>
      <c r="H20" s="244" t="s">
        <v>238</v>
      </c>
      <c r="I20" s="227" t="s">
        <v>238</v>
      </c>
      <c r="J20" s="227" t="s">
        <v>238</v>
      </c>
      <c r="K20" s="245">
        <v>0</v>
      </c>
      <c r="L20" s="226" t="s">
        <v>238</v>
      </c>
      <c r="M20" s="230">
        <v>0</v>
      </c>
      <c r="N20" s="230">
        <v>0</v>
      </c>
    </row>
    <row r="21" spans="1:18" s="137" customFormat="1" x14ac:dyDescent="0.2">
      <c r="A21" s="99" t="s">
        <v>230</v>
      </c>
      <c r="B21" s="147"/>
      <c r="C21" s="147"/>
      <c r="D21" s="147"/>
      <c r="E21" s="147"/>
      <c r="F21" s="147"/>
      <c r="G21" s="148"/>
      <c r="H21" s="148"/>
      <c r="I21" s="148"/>
      <c r="J21" s="148"/>
      <c r="K21" s="149"/>
      <c r="L21" s="150"/>
      <c r="M21" s="150"/>
      <c r="N21" s="151"/>
      <c r="O21" s="168"/>
      <c r="P21" s="168"/>
      <c r="Q21" s="152"/>
      <c r="R21" s="152"/>
    </row>
    <row r="22" spans="1:18" s="137" customFormat="1" x14ac:dyDescent="0.2">
      <c r="A22" s="99" t="s">
        <v>231</v>
      </c>
      <c r="B22" s="147"/>
      <c r="C22" s="147"/>
      <c r="D22" s="147"/>
      <c r="E22" s="147"/>
      <c r="F22" s="147"/>
      <c r="G22" s="148"/>
      <c r="H22" s="148"/>
      <c r="I22" s="148"/>
      <c r="J22" s="148"/>
      <c r="K22" s="149"/>
      <c r="L22" s="150"/>
      <c r="M22" s="150"/>
      <c r="N22" s="151"/>
      <c r="O22" s="168"/>
      <c r="P22" s="168"/>
      <c r="Q22" s="152"/>
      <c r="R22" s="152"/>
    </row>
    <row r="23" spans="1:18" s="137" customFormat="1" x14ac:dyDescent="0.2">
      <c r="A23" s="99" t="s">
        <v>232</v>
      </c>
      <c r="B23" s="147"/>
      <c r="C23" s="147"/>
      <c r="D23" s="147"/>
      <c r="E23" s="147"/>
      <c r="F23" s="147"/>
      <c r="G23" s="148"/>
      <c r="H23" s="148"/>
      <c r="I23" s="148"/>
      <c r="J23" s="148"/>
      <c r="K23" s="149"/>
      <c r="L23" s="150"/>
      <c r="M23" s="150"/>
      <c r="N23" s="151"/>
      <c r="O23" s="168"/>
      <c r="P23" s="168"/>
      <c r="Q23" s="152"/>
      <c r="R23" s="152"/>
    </row>
    <row r="24" spans="1:18" s="137" customFormat="1" x14ac:dyDescent="0.2">
      <c r="A24" s="99" t="s">
        <v>233</v>
      </c>
      <c r="B24" s="147"/>
      <c r="C24" s="147"/>
      <c r="D24" s="147"/>
      <c r="E24" s="147"/>
      <c r="F24" s="147"/>
      <c r="G24" s="148"/>
      <c r="H24" s="148"/>
      <c r="I24" s="148"/>
      <c r="J24" s="148"/>
      <c r="K24" s="149"/>
      <c r="L24" s="150"/>
      <c r="M24" s="150"/>
      <c r="N24" s="151"/>
      <c r="O24" s="168"/>
      <c r="P24" s="168"/>
      <c r="Q24" s="152"/>
      <c r="R24" s="152"/>
    </row>
    <row r="25" spans="1:18" s="137" customFormat="1" x14ac:dyDescent="0.2">
      <c r="A25" s="99" t="s">
        <v>234</v>
      </c>
      <c r="B25" s="147"/>
      <c r="C25" s="147"/>
      <c r="D25" s="147"/>
      <c r="E25" s="147"/>
      <c r="F25" s="147"/>
      <c r="G25" s="148"/>
      <c r="H25" s="148"/>
      <c r="I25" s="148"/>
      <c r="J25" s="148"/>
      <c r="K25" s="149"/>
      <c r="L25" s="150"/>
      <c r="M25" s="150"/>
      <c r="N25" s="151"/>
      <c r="O25" s="168"/>
      <c r="P25" s="168"/>
      <c r="Q25" s="152"/>
      <c r="R25" s="152"/>
    </row>
  </sheetData>
  <mergeCells count="2">
    <mergeCell ref="A6:N6"/>
    <mergeCell ref="A5:N5"/>
  </mergeCells>
  <conditionalFormatting sqref="B10:G20 M10:N20">
    <cfRule type="expression" dxfId="110" priority="112" stopIfTrue="1">
      <formula>LEFT(#REF!,3)="TIR"</formula>
    </cfRule>
  </conditionalFormatting>
  <conditionalFormatting sqref="L1:M4 H10:J20 L10:M55555">
    <cfRule type="expression" dxfId="109" priority="114" stopIfTrue="1">
      <formula>LEFT(#REF!,3)="TIR"</formula>
    </cfRule>
  </conditionalFormatting>
  <conditionalFormatting sqref="A10:A20 K10:K20">
    <cfRule type="expression" dxfId="108" priority="117" stopIfTrue="1">
      <formula>#REF!&gt;0</formula>
    </cfRule>
    <cfRule type="expression" dxfId="107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692A-C431-4050-923C-7F8CA855267A}">
  <sheetPr codeName="גיליון7">
    <pageSetUpPr fitToPage="1"/>
  </sheetPr>
  <dimension ref="A1:S93"/>
  <sheetViews>
    <sheetView rightToLeft="1" topLeftCell="A7" zoomScale="80" zoomScaleNormal="80" workbookViewId="0">
      <selection activeCell="A7" sqref="A7:M88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2.42578125" style="81" bestFit="1" customWidth="1"/>
    <col min="8" max="8" width="10.28515625" style="81" bestFit="1" customWidth="1"/>
    <col min="9" max="9" width="16.5703125" style="81" customWidth="1"/>
    <col min="10" max="10" width="10.85546875" style="81" bestFit="1" customWidth="1"/>
    <col min="11" max="11" width="22" style="53" customWidth="1"/>
    <col min="12" max="12" width="25.42578125" style="53" customWidth="1"/>
    <col min="13" max="13" width="20.7109375" style="83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81"/>
      <c r="K1" s="53"/>
      <c r="L1" s="53"/>
      <c r="M1" s="83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81"/>
      <c r="H2" s="81"/>
      <c r="I2" s="81"/>
      <c r="J2" s="81"/>
      <c r="K2" s="53"/>
      <c r="L2" s="53"/>
      <c r="M2" s="83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81"/>
      <c r="K3" s="53"/>
      <c r="L3" s="53"/>
      <c r="M3" s="83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81"/>
      <c r="K4" s="53"/>
      <c r="L4" s="53"/>
      <c r="M4" s="83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159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136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3"/>
      <c r="B8" s="16"/>
      <c r="C8" s="16"/>
      <c r="D8" s="16"/>
      <c r="E8" s="16"/>
      <c r="F8" s="46"/>
      <c r="G8" s="15" t="s">
        <v>135</v>
      </c>
      <c r="H8" s="69"/>
      <c r="I8" s="15" t="s">
        <v>137</v>
      </c>
      <c r="J8" s="15" t="s">
        <v>137</v>
      </c>
      <c r="K8" s="69" t="s">
        <v>9</v>
      </c>
      <c r="L8" s="69" t="s">
        <v>9</v>
      </c>
      <c r="M8" s="75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4">
        <v>12</v>
      </c>
    </row>
    <row r="10" spans="1:19" s="137" customFormat="1" ht="12.75" customHeight="1" thickBot="1" x14ac:dyDescent="0.25">
      <c r="A10" s="169" t="s">
        <v>161</v>
      </c>
      <c r="B10" s="91"/>
      <c r="C10" s="91"/>
      <c r="D10" s="91"/>
      <c r="E10" s="91"/>
      <c r="F10" s="170"/>
      <c r="G10" s="171"/>
      <c r="H10" s="170"/>
      <c r="I10" s="173" t="s">
        <v>238</v>
      </c>
      <c r="J10" s="130">
        <v>37443.766421000015</v>
      </c>
      <c r="K10" s="91" t="s">
        <v>238</v>
      </c>
      <c r="L10" s="91">
        <v>1</v>
      </c>
      <c r="M10" s="104">
        <v>0.63713973629452181</v>
      </c>
    </row>
    <row r="11" spans="1:19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1" t="s">
        <v>238</v>
      </c>
      <c r="G11" s="153" t="s">
        <v>238</v>
      </c>
      <c r="H11" s="141" t="s">
        <v>238</v>
      </c>
      <c r="I11" s="142" t="s">
        <v>238</v>
      </c>
      <c r="J11" s="174">
        <v>22550.203540600003</v>
      </c>
      <c r="K11" s="140" t="s">
        <v>238</v>
      </c>
      <c r="L11" s="140">
        <v>0.60224186015520376</v>
      </c>
      <c r="M11" s="140">
        <v>0.38371221996480875</v>
      </c>
    </row>
    <row r="12" spans="1:19" s="137" customFormat="1" x14ac:dyDescent="0.2">
      <c r="A12" s="114" t="s">
        <v>437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5" t="s">
        <v>238</v>
      </c>
      <c r="G12" s="155" t="s">
        <v>238</v>
      </c>
      <c r="H12" s="141" t="s">
        <v>238</v>
      </c>
      <c r="I12" s="146" t="s">
        <v>238</v>
      </c>
      <c r="J12" s="146">
        <v>7548.4358800999998</v>
      </c>
      <c r="K12" s="144" t="s">
        <v>238</v>
      </c>
      <c r="L12" s="140">
        <v>0.20159392608181972</v>
      </c>
      <c r="M12" s="140">
        <v>0.12844350090234793</v>
      </c>
    </row>
    <row r="13" spans="1:19" x14ac:dyDescent="0.2">
      <c r="A13" s="33" t="s">
        <v>442</v>
      </c>
      <c r="B13" s="41" t="s">
        <v>443</v>
      </c>
      <c r="C13" s="41" t="s">
        <v>271</v>
      </c>
      <c r="D13" s="41" t="s">
        <v>444</v>
      </c>
      <c r="E13" s="76" t="s">
        <v>441</v>
      </c>
      <c r="F13" s="82" t="s">
        <v>244</v>
      </c>
      <c r="G13" s="90">
        <v>141688</v>
      </c>
      <c r="H13" s="87">
        <v>1253</v>
      </c>
      <c r="I13" s="106">
        <v>0</v>
      </c>
      <c r="J13" s="106">
        <v>1775.3506399999999</v>
      </c>
      <c r="K13" s="41">
        <v>1.2365442424914157E-2</v>
      </c>
      <c r="L13" s="49">
        <v>4.7413783646623485E-2</v>
      </c>
      <c r="M13" s="49">
        <v>3.0209205609335196E-2</v>
      </c>
      <c r="N13" s="28"/>
      <c r="O13" s="28"/>
      <c r="P13" s="28"/>
      <c r="Q13" s="28"/>
      <c r="R13" s="28"/>
    </row>
    <row r="14" spans="1:19" x14ac:dyDescent="0.2">
      <c r="A14" s="33" t="s">
        <v>451</v>
      </c>
      <c r="B14" s="41" t="s">
        <v>452</v>
      </c>
      <c r="C14" s="41" t="s">
        <v>271</v>
      </c>
      <c r="D14" s="41" t="s">
        <v>453</v>
      </c>
      <c r="E14" s="76" t="s">
        <v>441</v>
      </c>
      <c r="F14" s="82" t="s">
        <v>244</v>
      </c>
      <c r="G14" s="90">
        <v>6384</v>
      </c>
      <c r="H14" s="87">
        <v>1957</v>
      </c>
      <c r="I14" s="106">
        <v>0</v>
      </c>
      <c r="J14" s="106">
        <v>124.93488000000001</v>
      </c>
      <c r="K14" s="41">
        <v>3.5190130888104313E-3</v>
      </c>
      <c r="L14" s="49">
        <v>3.3366002392839242E-3</v>
      </c>
      <c r="M14" s="49">
        <v>2.1258805965775978E-3</v>
      </c>
      <c r="N14" s="28"/>
      <c r="O14" s="28"/>
      <c r="P14" s="28"/>
      <c r="Q14" s="28"/>
      <c r="R14" s="28"/>
    </row>
    <row r="15" spans="1:19" x14ac:dyDescent="0.2">
      <c r="A15" s="33" t="s">
        <v>438</v>
      </c>
      <c r="B15" s="41" t="s">
        <v>439</v>
      </c>
      <c r="C15" s="41" t="s">
        <v>271</v>
      </c>
      <c r="D15" s="41" t="s">
        <v>440</v>
      </c>
      <c r="E15" s="76" t="s">
        <v>441</v>
      </c>
      <c r="F15" s="82" t="s">
        <v>244</v>
      </c>
      <c r="G15" s="90">
        <v>122646</v>
      </c>
      <c r="H15" s="87">
        <v>1248</v>
      </c>
      <c r="I15" s="106">
        <v>0</v>
      </c>
      <c r="J15" s="106">
        <v>1530.6220800000001</v>
      </c>
      <c r="K15" s="41">
        <v>1.4612341534621119E-2</v>
      </c>
      <c r="L15" s="49">
        <v>4.0877887731442637E-2</v>
      </c>
      <c r="M15" s="49">
        <v>2.6044926609488428E-2</v>
      </c>
      <c r="N15" s="28"/>
      <c r="O15" s="28"/>
      <c r="P15" s="28"/>
      <c r="Q15" s="28"/>
      <c r="R15" s="28"/>
    </row>
    <row r="16" spans="1:19" x14ac:dyDescent="0.2">
      <c r="A16" s="33" t="s">
        <v>445</v>
      </c>
      <c r="B16" s="41" t="s">
        <v>446</v>
      </c>
      <c r="C16" s="41" t="s">
        <v>271</v>
      </c>
      <c r="D16" s="41" t="s">
        <v>447</v>
      </c>
      <c r="E16" s="76" t="s">
        <v>441</v>
      </c>
      <c r="F16" s="82" t="s">
        <v>244</v>
      </c>
      <c r="G16" s="90">
        <v>16466</v>
      </c>
      <c r="H16" s="87">
        <v>12460</v>
      </c>
      <c r="I16" s="106">
        <v>0</v>
      </c>
      <c r="J16" s="106">
        <v>2051.6636000000003</v>
      </c>
      <c r="K16" s="41">
        <v>1.1047069802640804E-2</v>
      </c>
      <c r="L16" s="49">
        <v>5.4793195132457152E-2</v>
      </c>
      <c r="M16" s="49">
        <v>3.4910921897428025E-2</v>
      </c>
      <c r="N16" s="28"/>
      <c r="O16" s="28"/>
      <c r="P16" s="28"/>
      <c r="Q16" s="28"/>
      <c r="R16" s="28"/>
    </row>
    <row r="17" spans="1:18" x14ac:dyDescent="0.2">
      <c r="A17" s="33" t="s">
        <v>448</v>
      </c>
      <c r="B17" s="41" t="s">
        <v>449</v>
      </c>
      <c r="C17" s="41" t="s">
        <v>271</v>
      </c>
      <c r="D17" s="41" t="s">
        <v>450</v>
      </c>
      <c r="E17" s="76" t="s">
        <v>441</v>
      </c>
      <c r="F17" s="82" t="s">
        <v>244</v>
      </c>
      <c r="G17" s="90">
        <v>164742</v>
      </c>
      <c r="H17" s="87">
        <v>1254</v>
      </c>
      <c r="I17" s="106">
        <v>0</v>
      </c>
      <c r="J17" s="106">
        <v>2065.8646800000001</v>
      </c>
      <c r="K17" s="41">
        <v>1.0731682912520192E-2</v>
      </c>
      <c r="L17" s="49">
        <v>5.517245932934188E-2</v>
      </c>
      <c r="M17" s="49">
        <v>3.5152566187817112E-2</v>
      </c>
      <c r="N17" s="28"/>
      <c r="O17" s="28"/>
      <c r="P17" s="28"/>
      <c r="Q17" s="28"/>
      <c r="R17" s="28"/>
    </row>
    <row r="18" spans="1:18" s="137" customFormat="1" x14ac:dyDescent="0.2">
      <c r="A18" s="114" t="s">
        <v>454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5" t="s">
        <v>238</v>
      </c>
      <c r="G18" s="155" t="s">
        <v>238</v>
      </c>
      <c r="H18" s="141" t="s">
        <v>238</v>
      </c>
      <c r="I18" s="146" t="s">
        <v>238</v>
      </c>
      <c r="J18" s="146">
        <v>0</v>
      </c>
      <c r="K18" s="144" t="s">
        <v>238</v>
      </c>
      <c r="L18" s="140">
        <v>0</v>
      </c>
      <c r="M18" s="140">
        <v>0</v>
      </c>
    </row>
    <row r="19" spans="1:18" s="137" customFormat="1" x14ac:dyDescent="0.2">
      <c r="A19" s="114" t="s">
        <v>455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5" t="s">
        <v>238</v>
      </c>
      <c r="G19" s="155" t="s">
        <v>238</v>
      </c>
      <c r="H19" s="141" t="s">
        <v>238</v>
      </c>
      <c r="I19" s="146" t="s">
        <v>238</v>
      </c>
      <c r="J19" s="146">
        <v>15001.7676601</v>
      </c>
      <c r="K19" s="144" t="s">
        <v>238</v>
      </c>
      <c r="L19" s="140">
        <v>0.40064793406270127</v>
      </c>
      <c r="M19" s="140">
        <v>0.2552687190556544</v>
      </c>
    </row>
    <row r="20" spans="1:18" x14ac:dyDescent="0.2">
      <c r="A20" s="33" t="s">
        <v>467</v>
      </c>
      <c r="B20" s="41" t="s">
        <v>468</v>
      </c>
      <c r="C20" s="41" t="s">
        <v>271</v>
      </c>
      <c r="D20" s="41" t="s">
        <v>444</v>
      </c>
      <c r="E20" s="76" t="s">
        <v>458</v>
      </c>
      <c r="F20" s="82" t="s">
        <v>244</v>
      </c>
      <c r="G20" s="90">
        <v>1185391</v>
      </c>
      <c r="H20" s="87">
        <v>331.93</v>
      </c>
      <c r="I20" s="106">
        <v>0</v>
      </c>
      <c r="J20" s="106">
        <v>3934.6683399999997</v>
      </c>
      <c r="K20" s="41">
        <v>1.3844342394232637E-2</v>
      </c>
      <c r="L20" s="49">
        <v>0.10508206615115714</v>
      </c>
      <c r="M20" s="49">
        <v>6.6951959916831755E-2</v>
      </c>
      <c r="N20" s="28"/>
      <c r="O20" s="28"/>
      <c r="P20" s="28"/>
      <c r="Q20" s="28"/>
      <c r="R20" s="28"/>
    </row>
    <row r="21" spans="1:18" x14ac:dyDescent="0.2">
      <c r="A21" s="33" t="s">
        <v>475</v>
      </c>
      <c r="B21" s="41" t="s">
        <v>476</v>
      </c>
      <c r="C21" s="41" t="s">
        <v>271</v>
      </c>
      <c r="D21" s="41" t="s">
        <v>444</v>
      </c>
      <c r="E21" s="76" t="s">
        <v>458</v>
      </c>
      <c r="F21" s="82" t="s">
        <v>244</v>
      </c>
      <c r="G21" s="90">
        <v>229145</v>
      </c>
      <c r="H21" s="87">
        <v>350.42</v>
      </c>
      <c r="I21" s="106">
        <v>0</v>
      </c>
      <c r="J21" s="106">
        <v>802.96990000000005</v>
      </c>
      <c r="K21" s="41">
        <v>1.4323015390873712E-2</v>
      </c>
      <c r="L21" s="49">
        <v>2.1444688308643579E-2</v>
      </c>
      <c r="M21" s="49">
        <v>1.3663263053887386E-2</v>
      </c>
      <c r="N21" s="28"/>
      <c r="O21" s="28"/>
      <c r="P21" s="28"/>
      <c r="Q21" s="28"/>
      <c r="R21" s="28"/>
    </row>
    <row r="22" spans="1:18" x14ac:dyDescent="0.2">
      <c r="A22" s="33" t="s">
        <v>456</v>
      </c>
      <c r="B22" s="41" t="s">
        <v>457</v>
      </c>
      <c r="C22" s="41" t="s">
        <v>271</v>
      </c>
      <c r="D22" s="41" t="s">
        <v>440</v>
      </c>
      <c r="E22" s="76" t="s">
        <v>458</v>
      </c>
      <c r="F22" s="82" t="s">
        <v>244</v>
      </c>
      <c r="G22" s="90">
        <v>482096</v>
      </c>
      <c r="H22" s="87">
        <v>323.10000000000002</v>
      </c>
      <c r="I22" s="106">
        <v>0</v>
      </c>
      <c r="J22" s="106">
        <v>1557.6521699999998</v>
      </c>
      <c r="K22" s="41">
        <v>6.4534365363437375E-3</v>
      </c>
      <c r="L22" s="49">
        <v>4.1599772642700927E-2</v>
      </c>
      <c r="M22" s="49">
        <v>2.6504868171482527E-2</v>
      </c>
      <c r="N22" s="28"/>
      <c r="O22" s="28"/>
      <c r="P22" s="28"/>
      <c r="Q22" s="28"/>
      <c r="R22" s="28"/>
    </row>
    <row r="23" spans="1:18" x14ac:dyDescent="0.2">
      <c r="A23" s="33" t="s">
        <v>459</v>
      </c>
      <c r="B23" s="41" t="s">
        <v>460</v>
      </c>
      <c r="C23" s="41" t="s">
        <v>271</v>
      </c>
      <c r="D23" s="41" t="s">
        <v>440</v>
      </c>
      <c r="E23" s="76" t="s">
        <v>458</v>
      </c>
      <c r="F23" s="82" t="s">
        <v>244</v>
      </c>
      <c r="G23" s="90">
        <v>38715</v>
      </c>
      <c r="H23" s="87">
        <v>3107.3</v>
      </c>
      <c r="I23" s="106">
        <v>0</v>
      </c>
      <c r="J23" s="106">
        <v>1202.99119</v>
      </c>
      <c r="K23" s="41">
        <v>0.10682298535960841</v>
      </c>
      <c r="L23" s="49">
        <v>3.2127942912423275E-2</v>
      </c>
      <c r="M23" s="49">
        <v>2.0469989074906814E-2</v>
      </c>
      <c r="N23" s="28"/>
      <c r="O23" s="28"/>
      <c r="P23" s="28"/>
      <c r="Q23" s="28"/>
      <c r="R23" s="28"/>
    </row>
    <row r="24" spans="1:18" x14ac:dyDescent="0.2">
      <c r="A24" s="33" t="s">
        <v>471</v>
      </c>
      <c r="B24" s="41" t="s">
        <v>472</v>
      </c>
      <c r="C24" s="41" t="s">
        <v>271</v>
      </c>
      <c r="D24" s="41" t="s">
        <v>440</v>
      </c>
      <c r="E24" s="76" t="s">
        <v>458</v>
      </c>
      <c r="F24" s="82" t="s">
        <v>244</v>
      </c>
      <c r="G24" s="90">
        <v>161210</v>
      </c>
      <c r="H24" s="87">
        <v>348.25</v>
      </c>
      <c r="I24" s="106">
        <v>0</v>
      </c>
      <c r="J24" s="106">
        <v>561.41381999999999</v>
      </c>
      <c r="K24" s="41">
        <v>1.1829526839472712E-2</v>
      </c>
      <c r="L24" s="49">
        <v>1.499351891280723E-2</v>
      </c>
      <c r="M24" s="49">
        <v>9.5529666862329242E-3</v>
      </c>
      <c r="N24" s="28"/>
      <c r="O24" s="28"/>
      <c r="P24" s="28"/>
      <c r="Q24" s="28"/>
      <c r="R24" s="28"/>
    </row>
    <row r="25" spans="1:18" x14ac:dyDescent="0.2">
      <c r="A25" s="33" t="s">
        <v>465</v>
      </c>
      <c r="B25" s="41" t="s">
        <v>466</v>
      </c>
      <c r="C25" s="41" t="s">
        <v>271</v>
      </c>
      <c r="D25" s="41" t="s">
        <v>447</v>
      </c>
      <c r="E25" s="76" t="s">
        <v>458</v>
      </c>
      <c r="F25" s="82" t="s">
        <v>244</v>
      </c>
      <c r="G25" s="90">
        <v>3269352</v>
      </c>
      <c r="H25" s="87">
        <v>98.41</v>
      </c>
      <c r="I25" s="106">
        <v>0</v>
      </c>
      <c r="J25" s="106">
        <v>3217.3692999999998</v>
      </c>
      <c r="K25" s="41">
        <v>1.5997467847560769E-2</v>
      </c>
      <c r="L25" s="49">
        <v>8.5925365088154335E-2</v>
      </c>
      <c r="M25" s="49">
        <v>5.474646445327716E-2</v>
      </c>
      <c r="N25" s="28"/>
      <c r="O25" s="28"/>
      <c r="P25" s="28"/>
      <c r="Q25" s="28"/>
      <c r="R25" s="28"/>
    </row>
    <row r="26" spans="1:18" x14ac:dyDescent="0.2">
      <c r="A26" s="33" t="s">
        <v>469</v>
      </c>
      <c r="B26" s="41" t="s">
        <v>470</v>
      </c>
      <c r="C26" s="41" t="s">
        <v>271</v>
      </c>
      <c r="D26" s="41" t="s">
        <v>447</v>
      </c>
      <c r="E26" s="76" t="s">
        <v>458</v>
      </c>
      <c r="F26" s="82" t="s">
        <v>244</v>
      </c>
      <c r="G26" s="90">
        <v>11524</v>
      </c>
      <c r="H26" s="87">
        <v>3479.8</v>
      </c>
      <c r="I26" s="106">
        <v>0</v>
      </c>
      <c r="J26" s="106">
        <v>401.01215000000002</v>
      </c>
      <c r="K26" s="41">
        <v>6.9661557507658903E-3</v>
      </c>
      <c r="L26" s="49">
        <v>1.0709717219448732E-2</v>
      </c>
      <c r="M26" s="49">
        <v>6.8235864049884633E-3</v>
      </c>
      <c r="N26" s="28"/>
      <c r="O26" s="28"/>
      <c r="P26" s="28"/>
      <c r="Q26" s="28"/>
      <c r="R26" s="28"/>
    </row>
    <row r="27" spans="1:18" x14ac:dyDescent="0.2">
      <c r="A27" s="33" t="s">
        <v>461</v>
      </c>
      <c r="B27" s="41" t="s">
        <v>462</v>
      </c>
      <c r="C27" s="41" t="s">
        <v>271</v>
      </c>
      <c r="D27" s="41" t="s">
        <v>450</v>
      </c>
      <c r="E27" s="76" t="s">
        <v>458</v>
      </c>
      <c r="F27" s="82" t="s">
        <v>244</v>
      </c>
      <c r="G27" s="90">
        <v>46857</v>
      </c>
      <c r="H27" s="87">
        <v>3122.0000000000005</v>
      </c>
      <c r="I27" s="106">
        <v>0</v>
      </c>
      <c r="J27" s="106">
        <v>1462.87554</v>
      </c>
      <c r="K27" s="41">
        <v>5.2605048432076092E-2</v>
      </c>
      <c r="L27" s="49">
        <v>3.9068600192409035E-2</v>
      </c>
      <c r="M27" s="49">
        <v>2.4892157623987596E-2</v>
      </c>
      <c r="N27" s="28"/>
      <c r="O27" s="28"/>
      <c r="P27" s="28"/>
      <c r="Q27" s="28"/>
      <c r="R27" s="28"/>
    </row>
    <row r="28" spans="1:18" x14ac:dyDescent="0.2">
      <c r="A28" s="33" t="s">
        <v>463</v>
      </c>
      <c r="B28" s="41" t="s">
        <v>464</v>
      </c>
      <c r="C28" s="41" t="s">
        <v>271</v>
      </c>
      <c r="D28" s="41" t="s">
        <v>450</v>
      </c>
      <c r="E28" s="76" t="s">
        <v>458</v>
      </c>
      <c r="F28" s="82" t="s">
        <v>244</v>
      </c>
      <c r="G28" s="90">
        <v>21488</v>
      </c>
      <c r="H28" s="87">
        <v>3122.4</v>
      </c>
      <c r="I28" s="106">
        <v>0</v>
      </c>
      <c r="J28" s="106">
        <v>670.94131000000004</v>
      </c>
      <c r="K28" s="41">
        <v>3.552557616638561E-2</v>
      </c>
      <c r="L28" s="49">
        <v>1.7918638377781047E-2</v>
      </c>
      <c r="M28" s="49">
        <v>1.1416676530776312E-2</v>
      </c>
      <c r="N28" s="28"/>
      <c r="O28" s="28"/>
      <c r="P28" s="28"/>
      <c r="Q28" s="28"/>
      <c r="R28" s="28"/>
    </row>
    <row r="29" spans="1:18" x14ac:dyDescent="0.2">
      <c r="A29" s="33" t="s">
        <v>473</v>
      </c>
      <c r="B29" s="41" t="s">
        <v>474</v>
      </c>
      <c r="C29" s="41" t="s">
        <v>271</v>
      </c>
      <c r="D29" s="41" t="s">
        <v>450</v>
      </c>
      <c r="E29" s="76" t="s">
        <v>458</v>
      </c>
      <c r="F29" s="82" t="s">
        <v>244</v>
      </c>
      <c r="G29" s="90">
        <v>338090</v>
      </c>
      <c r="H29" s="87">
        <v>351.94</v>
      </c>
      <c r="I29" s="106">
        <v>0</v>
      </c>
      <c r="J29" s="106">
        <v>1189.8739399999999</v>
      </c>
      <c r="K29" s="41">
        <v>1.3625388189965372E-2</v>
      </c>
      <c r="L29" s="49">
        <v>3.1777624254505268E-2</v>
      </c>
      <c r="M29" s="49">
        <v>2.0246787137581886E-2</v>
      </c>
      <c r="N29" s="28"/>
      <c r="O29" s="28"/>
      <c r="P29" s="28"/>
      <c r="Q29" s="28"/>
      <c r="R29" s="28"/>
    </row>
    <row r="30" spans="1:18" s="137" customFormat="1" x14ac:dyDescent="0.2">
      <c r="A30" s="114" t="s">
        <v>477</v>
      </c>
      <c r="B30" s="144" t="s">
        <v>238</v>
      </c>
      <c r="C30" s="144" t="s">
        <v>238</v>
      </c>
      <c r="D30" s="144" t="s">
        <v>238</v>
      </c>
      <c r="E30" s="144" t="s">
        <v>238</v>
      </c>
      <c r="F30" s="145" t="s">
        <v>238</v>
      </c>
      <c r="G30" s="155" t="s">
        <v>238</v>
      </c>
      <c r="H30" s="141" t="s">
        <v>238</v>
      </c>
      <c r="I30" s="146" t="s">
        <v>238</v>
      </c>
      <c r="J30" s="146">
        <v>0</v>
      </c>
      <c r="K30" s="144" t="s">
        <v>238</v>
      </c>
      <c r="L30" s="140">
        <v>0</v>
      </c>
      <c r="M30" s="140">
        <v>0</v>
      </c>
    </row>
    <row r="31" spans="1:18" s="137" customFormat="1" x14ac:dyDescent="0.2">
      <c r="A31" s="114" t="s">
        <v>478</v>
      </c>
      <c r="B31" s="144" t="s">
        <v>238</v>
      </c>
      <c r="C31" s="144" t="s">
        <v>238</v>
      </c>
      <c r="D31" s="144" t="s">
        <v>238</v>
      </c>
      <c r="E31" s="144" t="s">
        <v>238</v>
      </c>
      <c r="F31" s="145" t="s">
        <v>238</v>
      </c>
      <c r="G31" s="155" t="s">
        <v>238</v>
      </c>
      <c r="H31" s="141" t="s">
        <v>238</v>
      </c>
      <c r="I31" s="146" t="s">
        <v>238</v>
      </c>
      <c r="J31" s="146">
        <v>0</v>
      </c>
      <c r="K31" s="144" t="s">
        <v>238</v>
      </c>
      <c r="L31" s="140">
        <v>0</v>
      </c>
      <c r="M31" s="140">
        <v>0</v>
      </c>
    </row>
    <row r="32" spans="1:18" s="137" customFormat="1" x14ac:dyDescent="0.2">
      <c r="A32" s="114" t="s">
        <v>143</v>
      </c>
      <c r="B32" s="144" t="s">
        <v>238</v>
      </c>
      <c r="C32" s="144" t="s">
        <v>238</v>
      </c>
      <c r="D32" s="144" t="s">
        <v>238</v>
      </c>
      <c r="E32" s="144" t="s">
        <v>238</v>
      </c>
      <c r="F32" s="145" t="s">
        <v>238</v>
      </c>
      <c r="G32" s="155" t="s">
        <v>238</v>
      </c>
      <c r="H32" s="141" t="s">
        <v>238</v>
      </c>
      <c r="I32" s="146" t="s">
        <v>238</v>
      </c>
      <c r="J32" s="146">
        <v>0</v>
      </c>
      <c r="K32" s="144" t="s">
        <v>238</v>
      </c>
      <c r="L32" s="140">
        <v>0</v>
      </c>
      <c r="M32" s="140">
        <v>0</v>
      </c>
    </row>
    <row r="33" spans="1:18" s="137" customFormat="1" x14ac:dyDescent="0.2">
      <c r="A33" s="114" t="s">
        <v>365</v>
      </c>
      <c r="B33" s="144" t="s">
        <v>238</v>
      </c>
      <c r="C33" s="144" t="s">
        <v>238</v>
      </c>
      <c r="D33" s="144" t="s">
        <v>238</v>
      </c>
      <c r="E33" s="144" t="s">
        <v>238</v>
      </c>
      <c r="F33" s="145" t="s">
        <v>238</v>
      </c>
      <c r="G33" s="155" t="s">
        <v>238</v>
      </c>
      <c r="H33" s="141" t="s">
        <v>238</v>
      </c>
      <c r="I33" s="146" t="s">
        <v>238</v>
      </c>
      <c r="J33" s="146">
        <v>14893.562880400001</v>
      </c>
      <c r="K33" s="144" t="s">
        <v>238</v>
      </c>
      <c r="L33" s="140">
        <v>0.39775813984479602</v>
      </c>
      <c r="M33" s="140">
        <v>0.25342751632971283</v>
      </c>
    </row>
    <row r="34" spans="1:18" s="137" customFormat="1" x14ac:dyDescent="0.2">
      <c r="A34" s="114" t="s">
        <v>479</v>
      </c>
      <c r="B34" s="144" t="s">
        <v>238</v>
      </c>
      <c r="C34" s="144" t="s">
        <v>238</v>
      </c>
      <c r="D34" s="144" t="s">
        <v>238</v>
      </c>
      <c r="E34" s="144" t="s">
        <v>238</v>
      </c>
      <c r="F34" s="145" t="s">
        <v>238</v>
      </c>
      <c r="G34" s="155" t="s">
        <v>238</v>
      </c>
      <c r="H34" s="141" t="s">
        <v>238</v>
      </c>
      <c r="I34" s="146" t="s">
        <v>238</v>
      </c>
      <c r="J34" s="146">
        <v>9564.1819301000014</v>
      </c>
      <c r="K34" s="144" t="s">
        <v>238</v>
      </c>
      <c r="L34" s="140">
        <v>0.25542788144132883</v>
      </c>
      <c r="M34" s="140">
        <v>0.16274325302379664</v>
      </c>
    </row>
    <row r="35" spans="1:18" x14ac:dyDescent="0.2">
      <c r="A35" s="33" t="s">
        <v>512</v>
      </c>
      <c r="B35" s="41" t="s">
        <v>513</v>
      </c>
      <c r="C35" s="41" t="s">
        <v>514</v>
      </c>
      <c r="D35" s="41" t="s">
        <v>238</v>
      </c>
      <c r="E35" s="76" t="s">
        <v>483</v>
      </c>
      <c r="F35" s="82" t="s">
        <v>127</v>
      </c>
      <c r="G35" s="90">
        <v>45076</v>
      </c>
      <c r="H35" s="87">
        <v>349.56</v>
      </c>
      <c r="I35" s="106">
        <v>0</v>
      </c>
      <c r="J35" s="106">
        <v>614.56116000000009</v>
      </c>
      <c r="K35" s="41">
        <v>4.4248797101663348E-5</v>
      </c>
      <c r="L35" s="49">
        <v>1.6412909777562566E-2</v>
      </c>
      <c r="M35" s="49">
        <v>1.0457317007501993E-2</v>
      </c>
      <c r="N35" s="28"/>
      <c r="O35" s="28"/>
      <c r="P35" s="28"/>
      <c r="Q35" s="28"/>
      <c r="R35" s="28"/>
    </row>
    <row r="36" spans="1:18" x14ac:dyDescent="0.2">
      <c r="A36" s="33" t="s">
        <v>523</v>
      </c>
      <c r="B36" s="41" t="s">
        <v>524</v>
      </c>
      <c r="C36" s="41" t="s">
        <v>482</v>
      </c>
      <c r="D36" s="41" t="s">
        <v>238</v>
      </c>
      <c r="E36" s="76" t="s">
        <v>483</v>
      </c>
      <c r="F36" s="82" t="s">
        <v>126</v>
      </c>
      <c r="G36" s="90">
        <v>1696</v>
      </c>
      <c r="H36" s="87">
        <v>1448.04</v>
      </c>
      <c r="I36" s="106">
        <v>0</v>
      </c>
      <c r="J36" s="106">
        <v>87.551969999999997</v>
      </c>
      <c r="K36" s="41">
        <v>2.3272136487787273E-4</v>
      </c>
      <c r="L36" s="49">
        <v>2.3382255143782021E-3</v>
      </c>
      <c r="M36" s="49">
        <v>1.48977638762805E-3</v>
      </c>
      <c r="N36" s="28"/>
      <c r="O36" s="28"/>
      <c r="P36" s="28"/>
      <c r="Q36" s="28"/>
      <c r="R36" s="28"/>
    </row>
    <row r="37" spans="1:18" x14ac:dyDescent="0.2">
      <c r="A37" s="33" t="s">
        <v>484</v>
      </c>
      <c r="B37" s="41" t="s">
        <v>485</v>
      </c>
      <c r="C37" s="41" t="s">
        <v>486</v>
      </c>
      <c r="D37" s="41" t="s">
        <v>238</v>
      </c>
      <c r="E37" s="76" t="s">
        <v>483</v>
      </c>
      <c r="F37" s="82" t="s">
        <v>126</v>
      </c>
      <c r="G37" s="90">
        <v>316</v>
      </c>
      <c r="H37" s="87">
        <v>48430.5</v>
      </c>
      <c r="I37" s="106">
        <v>0</v>
      </c>
      <c r="J37" s="106">
        <v>545.58894999999995</v>
      </c>
      <c r="K37" s="41">
        <v>2.0836374718725425E-5</v>
      </c>
      <c r="L37" s="49">
        <v>1.4570888619100324E-2</v>
      </c>
      <c r="M37" s="49">
        <v>9.2836921323504289E-3</v>
      </c>
      <c r="N37" s="28"/>
      <c r="O37" s="28"/>
      <c r="P37" s="28"/>
      <c r="Q37" s="28"/>
      <c r="R37" s="28"/>
    </row>
    <row r="38" spans="1:18" x14ac:dyDescent="0.2">
      <c r="A38" s="33" t="s">
        <v>510</v>
      </c>
      <c r="B38" s="41" t="s">
        <v>511</v>
      </c>
      <c r="C38" s="41" t="s">
        <v>486</v>
      </c>
      <c r="D38" s="41" t="s">
        <v>238</v>
      </c>
      <c r="E38" s="76" t="s">
        <v>483</v>
      </c>
      <c r="F38" s="82" t="s">
        <v>126</v>
      </c>
      <c r="G38" s="90">
        <v>856</v>
      </c>
      <c r="H38" s="87">
        <v>3713.5</v>
      </c>
      <c r="I38" s="106">
        <v>0</v>
      </c>
      <c r="J38" s="106">
        <v>113.32265</v>
      </c>
      <c r="K38" s="41">
        <v>7.5800624168550828E-5</v>
      </c>
      <c r="L38" s="49">
        <v>3.0264757216422536E-3</v>
      </c>
      <c r="M38" s="49">
        <v>1.9282879431889179E-3</v>
      </c>
      <c r="N38" s="28"/>
      <c r="O38" s="28"/>
      <c r="P38" s="28"/>
      <c r="Q38" s="28"/>
      <c r="R38" s="28"/>
    </row>
    <row r="39" spans="1:18" x14ac:dyDescent="0.2">
      <c r="A39" s="33" t="s">
        <v>495</v>
      </c>
      <c r="B39" s="41" t="s">
        <v>496</v>
      </c>
      <c r="C39" s="41" t="s">
        <v>220</v>
      </c>
      <c r="D39" s="41" t="s">
        <v>238</v>
      </c>
      <c r="E39" s="76" t="s">
        <v>483</v>
      </c>
      <c r="F39" s="82" t="s">
        <v>127</v>
      </c>
      <c r="G39" s="90">
        <v>6099</v>
      </c>
      <c r="H39" s="87">
        <v>2723</v>
      </c>
      <c r="I39" s="106">
        <v>0</v>
      </c>
      <c r="J39" s="106">
        <v>647.74531999999999</v>
      </c>
      <c r="K39" s="41">
        <v>1.3807843493538805E-4</v>
      </c>
      <c r="L39" s="49">
        <v>1.729914968267502E-2</v>
      </c>
      <c r="M39" s="49">
        <v>1.1021975666939023E-2</v>
      </c>
      <c r="N39" s="28"/>
      <c r="O39" s="28"/>
      <c r="P39" s="28"/>
      <c r="Q39" s="28"/>
      <c r="R39" s="28"/>
    </row>
    <row r="40" spans="1:18" x14ac:dyDescent="0.2">
      <c r="A40" s="33" t="s">
        <v>495</v>
      </c>
      <c r="B40" s="41" t="s">
        <v>496</v>
      </c>
      <c r="C40" s="41" t="s">
        <v>220</v>
      </c>
      <c r="D40" s="41" t="s">
        <v>238</v>
      </c>
      <c r="E40" s="76" t="s">
        <v>483</v>
      </c>
      <c r="F40" s="82" t="s">
        <v>127</v>
      </c>
      <c r="G40" s="90">
        <v>959</v>
      </c>
      <c r="H40" s="87">
        <v>2723</v>
      </c>
      <c r="I40" s="106">
        <v>0</v>
      </c>
      <c r="J40" s="106">
        <v>101.85075000000001</v>
      </c>
      <c r="K40" s="41">
        <v>2.1711300066082495E-5</v>
      </c>
      <c r="L40" s="49">
        <v>2.7200989573227838E-3</v>
      </c>
      <c r="M40" s="49">
        <v>1.7330831323636422E-3</v>
      </c>
      <c r="N40" s="28"/>
      <c r="O40" s="28"/>
      <c r="P40" s="28"/>
      <c r="Q40" s="28"/>
      <c r="R40" s="28"/>
    </row>
    <row r="41" spans="1:18" x14ac:dyDescent="0.2">
      <c r="A41" s="33" t="s">
        <v>502</v>
      </c>
      <c r="B41" s="41" t="s">
        <v>503</v>
      </c>
      <c r="C41" s="41" t="s">
        <v>486</v>
      </c>
      <c r="D41" s="41" t="s">
        <v>238</v>
      </c>
      <c r="E41" s="76" t="s">
        <v>483</v>
      </c>
      <c r="F41" s="82" t="s">
        <v>2</v>
      </c>
      <c r="G41" s="90">
        <v>2837</v>
      </c>
      <c r="H41" s="87">
        <v>558</v>
      </c>
      <c r="I41" s="106">
        <v>0</v>
      </c>
      <c r="J41" s="106">
        <v>69.631860000000003</v>
      </c>
      <c r="K41" s="41">
        <v>2.2530107340999648E-6</v>
      </c>
      <c r="L41" s="49">
        <v>1.8596382430413724E-3</v>
      </c>
      <c r="M41" s="49">
        <v>1.1848494197745879E-3</v>
      </c>
      <c r="N41" s="28"/>
      <c r="O41" s="28"/>
      <c r="P41" s="28"/>
      <c r="Q41" s="28"/>
      <c r="R41" s="28"/>
    </row>
    <row r="42" spans="1:18" x14ac:dyDescent="0.2">
      <c r="A42" s="33" t="s">
        <v>491</v>
      </c>
      <c r="B42" s="41" t="s">
        <v>492</v>
      </c>
      <c r="C42" s="41" t="s">
        <v>482</v>
      </c>
      <c r="D42" s="41" t="s">
        <v>238</v>
      </c>
      <c r="E42" s="76" t="s">
        <v>483</v>
      </c>
      <c r="F42" s="82" t="s">
        <v>126</v>
      </c>
      <c r="G42" s="90">
        <v>88</v>
      </c>
      <c r="H42" s="87">
        <v>2077</v>
      </c>
      <c r="I42" s="106">
        <v>0</v>
      </c>
      <c r="J42" s="106">
        <v>6.5159599999999998</v>
      </c>
      <c r="K42" s="41">
        <v>9.6409491426785971E-6</v>
      </c>
      <c r="L42" s="49">
        <v>1.7401988696162736E-4</v>
      </c>
      <c r="M42" s="49">
        <v>1.1087498488873373E-4</v>
      </c>
      <c r="N42" s="28"/>
      <c r="O42" s="28"/>
      <c r="P42" s="28"/>
      <c r="Q42" s="28"/>
      <c r="R42" s="28"/>
    </row>
    <row r="43" spans="1:18" x14ac:dyDescent="0.2">
      <c r="A43" s="33" t="s">
        <v>504</v>
      </c>
      <c r="B43" s="41" t="s">
        <v>505</v>
      </c>
      <c r="C43" s="41" t="s">
        <v>482</v>
      </c>
      <c r="D43" s="41" t="s">
        <v>238</v>
      </c>
      <c r="E43" s="76" t="s">
        <v>483</v>
      </c>
      <c r="F43" s="82" t="s">
        <v>126</v>
      </c>
      <c r="G43" s="90">
        <v>463</v>
      </c>
      <c r="H43" s="87">
        <v>2356</v>
      </c>
      <c r="I43" s="106">
        <v>0</v>
      </c>
      <c r="J43" s="106">
        <v>38.888010000000001</v>
      </c>
      <c r="K43" s="41">
        <v>2.0550867467207141E-6</v>
      </c>
      <c r="L43" s="49">
        <v>1.0385710017192609E-3</v>
      </c>
      <c r="M43" s="49">
        <v>6.6171485415854716E-4</v>
      </c>
      <c r="N43" s="28"/>
      <c r="O43" s="28"/>
      <c r="P43" s="28"/>
      <c r="Q43" s="28"/>
      <c r="R43" s="28"/>
    </row>
    <row r="44" spans="1:18" x14ac:dyDescent="0.2">
      <c r="A44" s="33" t="s">
        <v>506</v>
      </c>
      <c r="B44" s="41" t="s">
        <v>507</v>
      </c>
      <c r="C44" s="41" t="s">
        <v>482</v>
      </c>
      <c r="D44" s="41" t="s">
        <v>238</v>
      </c>
      <c r="E44" s="76" t="s">
        <v>483</v>
      </c>
      <c r="F44" s="82" t="s">
        <v>126</v>
      </c>
      <c r="G44" s="90">
        <v>1689</v>
      </c>
      <c r="H44" s="87">
        <v>1554</v>
      </c>
      <c r="I44" s="106">
        <v>0</v>
      </c>
      <c r="J44" s="106">
        <v>93.570759999999993</v>
      </c>
      <c r="K44" s="41">
        <v>2.9336865429401301E-5</v>
      </c>
      <c r="L44" s="49">
        <v>2.4989676238211349E-3</v>
      </c>
      <c r="M44" s="49">
        <v>1.5921915728499454E-3</v>
      </c>
      <c r="N44" s="28"/>
      <c r="O44" s="28"/>
      <c r="P44" s="28"/>
      <c r="Q44" s="28"/>
      <c r="R44" s="28"/>
    </row>
    <row r="45" spans="1:18" x14ac:dyDescent="0.2">
      <c r="A45" s="33" t="s">
        <v>508</v>
      </c>
      <c r="B45" s="41" t="s">
        <v>509</v>
      </c>
      <c r="C45" s="41" t="s">
        <v>482</v>
      </c>
      <c r="D45" s="41" t="s">
        <v>238</v>
      </c>
      <c r="E45" s="76" t="s">
        <v>483</v>
      </c>
      <c r="F45" s="82" t="s">
        <v>126</v>
      </c>
      <c r="G45" s="90">
        <v>746</v>
      </c>
      <c r="H45" s="87">
        <v>3754</v>
      </c>
      <c r="I45" s="106">
        <v>0</v>
      </c>
      <c r="J45" s="106">
        <v>99.837249999999997</v>
      </c>
      <c r="K45" s="41">
        <v>7.0375978855810731E-6</v>
      </c>
      <c r="L45" s="49">
        <v>2.6663249865806005E-3</v>
      </c>
      <c r="M45" s="49">
        <v>1.6988215988254581E-3</v>
      </c>
      <c r="N45" s="28"/>
      <c r="O45" s="28"/>
      <c r="P45" s="28"/>
      <c r="Q45" s="28"/>
      <c r="R45" s="28"/>
    </row>
    <row r="46" spans="1:18" x14ac:dyDescent="0.2">
      <c r="A46" s="33" t="s">
        <v>515</v>
      </c>
      <c r="B46" s="41" t="s">
        <v>516</v>
      </c>
      <c r="C46" s="41" t="s">
        <v>482</v>
      </c>
      <c r="D46" s="41" t="s">
        <v>238</v>
      </c>
      <c r="E46" s="76" t="s">
        <v>483</v>
      </c>
      <c r="F46" s="82" t="s">
        <v>126</v>
      </c>
      <c r="G46" s="90">
        <v>3084</v>
      </c>
      <c r="H46" s="87">
        <v>4047</v>
      </c>
      <c r="I46" s="106">
        <v>0</v>
      </c>
      <c r="J46" s="106">
        <v>444.94578999999999</v>
      </c>
      <c r="K46" s="41">
        <v>2.8080229652136872E-6</v>
      </c>
      <c r="L46" s="49">
        <v>1.1883040423798178E-2</v>
      </c>
      <c r="M46" s="49">
        <v>7.571157241995914E-3</v>
      </c>
      <c r="N46" s="28"/>
      <c r="O46" s="28"/>
      <c r="P46" s="28"/>
      <c r="Q46" s="28"/>
      <c r="R46" s="28"/>
    </row>
    <row r="47" spans="1:18" x14ac:dyDescent="0.2">
      <c r="A47" s="33" t="s">
        <v>493</v>
      </c>
      <c r="B47" s="41" t="s">
        <v>494</v>
      </c>
      <c r="C47" s="41" t="s">
        <v>220</v>
      </c>
      <c r="D47" s="41" t="s">
        <v>238</v>
      </c>
      <c r="E47" s="76" t="s">
        <v>483</v>
      </c>
      <c r="F47" s="82" t="s">
        <v>127</v>
      </c>
      <c r="G47" s="90">
        <v>2210</v>
      </c>
      <c r="H47" s="87">
        <v>1646.3999999999999</v>
      </c>
      <c r="I47" s="106">
        <v>0</v>
      </c>
      <c r="J47" s="106">
        <v>141.91413</v>
      </c>
      <c r="K47" s="41">
        <v>9.2954714061625521E-5</v>
      </c>
      <c r="L47" s="49">
        <v>3.7900602307039469E-3</v>
      </c>
      <c r="M47" s="49">
        <v>2.4147979759310671E-3</v>
      </c>
      <c r="N47" s="28"/>
      <c r="O47" s="28"/>
      <c r="P47" s="28"/>
      <c r="Q47" s="28"/>
      <c r="R47" s="28"/>
    </row>
    <row r="48" spans="1:18" x14ac:dyDescent="0.2">
      <c r="A48" s="33" t="s">
        <v>525</v>
      </c>
      <c r="B48" s="41" t="s">
        <v>526</v>
      </c>
      <c r="C48" s="41" t="s">
        <v>514</v>
      </c>
      <c r="D48" s="41" t="s">
        <v>238</v>
      </c>
      <c r="E48" s="76" t="s">
        <v>483</v>
      </c>
      <c r="F48" s="82" t="s">
        <v>127</v>
      </c>
      <c r="G48" s="90">
        <v>601</v>
      </c>
      <c r="H48" s="87">
        <v>9447</v>
      </c>
      <c r="I48" s="106">
        <v>0</v>
      </c>
      <c r="J48" s="106">
        <v>221.44526000000002</v>
      </c>
      <c r="K48" s="41">
        <v>2.024094470315358E-4</v>
      </c>
      <c r="L48" s="49">
        <v>5.9140754567842931E-3</v>
      </c>
      <c r="M48" s="49">
        <v>3.768092476961448E-3</v>
      </c>
      <c r="N48" s="28"/>
      <c r="O48" s="28"/>
      <c r="P48" s="28"/>
      <c r="Q48" s="28"/>
      <c r="R48" s="28"/>
    </row>
    <row r="49" spans="1:18" x14ac:dyDescent="0.2">
      <c r="A49" s="33" t="s">
        <v>499</v>
      </c>
      <c r="B49" s="41" t="s">
        <v>500</v>
      </c>
      <c r="C49" s="41" t="s">
        <v>501</v>
      </c>
      <c r="D49" s="41" t="s">
        <v>238</v>
      </c>
      <c r="E49" s="76" t="s">
        <v>483</v>
      </c>
      <c r="F49" s="82" t="s">
        <v>261</v>
      </c>
      <c r="G49" s="90">
        <v>20371</v>
      </c>
      <c r="H49" s="87">
        <v>147300</v>
      </c>
      <c r="I49" s="106">
        <v>0</v>
      </c>
      <c r="J49" s="106">
        <v>983.85256000000004</v>
      </c>
      <c r="K49" s="41">
        <v>3.1314946732204158E-6</v>
      </c>
      <c r="L49" s="49">
        <v>2.6275469965762174E-2</v>
      </c>
      <c r="M49" s="49">
        <v>1.6741146005000339E-2</v>
      </c>
      <c r="N49" s="28"/>
      <c r="O49" s="28"/>
      <c r="P49" s="28"/>
      <c r="Q49" s="28"/>
      <c r="R49" s="28"/>
    </row>
    <row r="50" spans="1:18" x14ac:dyDescent="0.2">
      <c r="A50" s="33" t="s">
        <v>489</v>
      </c>
      <c r="B50" s="41" t="s">
        <v>490</v>
      </c>
      <c r="C50" s="41" t="s">
        <v>482</v>
      </c>
      <c r="D50" s="41" t="s">
        <v>238</v>
      </c>
      <c r="E50" s="76" t="s">
        <v>483</v>
      </c>
      <c r="F50" s="82" t="s">
        <v>126</v>
      </c>
      <c r="G50" s="90">
        <v>1918</v>
      </c>
      <c r="H50" s="87">
        <v>2951</v>
      </c>
      <c r="I50" s="106">
        <v>0</v>
      </c>
      <c r="J50" s="106">
        <v>201.77964</v>
      </c>
      <c r="K50" s="41">
        <v>3.6477719749210539E-5</v>
      </c>
      <c r="L50" s="49">
        <v>5.3888713472700668E-3</v>
      </c>
      <c r="M50" s="49">
        <v>3.4334640691247543E-3</v>
      </c>
      <c r="N50" s="28"/>
      <c r="O50" s="28"/>
      <c r="P50" s="28"/>
      <c r="Q50" s="28"/>
      <c r="R50" s="28"/>
    </row>
    <row r="51" spans="1:18" x14ac:dyDescent="0.2">
      <c r="A51" s="33" t="s">
        <v>480</v>
      </c>
      <c r="B51" s="41" t="s">
        <v>481</v>
      </c>
      <c r="C51" s="41" t="s">
        <v>482</v>
      </c>
      <c r="D51" s="41" t="s">
        <v>238</v>
      </c>
      <c r="E51" s="76" t="s">
        <v>483</v>
      </c>
      <c r="F51" s="82" t="s">
        <v>126</v>
      </c>
      <c r="G51" s="90">
        <v>4590</v>
      </c>
      <c r="H51" s="87">
        <v>23682</v>
      </c>
      <c r="I51" s="106">
        <v>0</v>
      </c>
      <c r="J51" s="106">
        <v>3875.1685400000001</v>
      </c>
      <c r="K51" s="41">
        <v>8.9057006441433132E-6</v>
      </c>
      <c r="L51" s="49">
        <v>0.10349302194734997</v>
      </c>
      <c r="M51" s="49">
        <v>6.5939516711857715E-2</v>
      </c>
      <c r="N51" s="28"/>
      <c r="O51" s="28"/>
      <c r="P51" s="28"/>
      <c r="Q51" s="28"/>
      <c r="R51" s="28"/>
    </row>
    <row r="52" spans="1:18" x14ac:dyDescent="0.2">
      <c r="A52" s="33" t="s">
        <v>497</v>
      </c>
      <c r="B52" s="41" t="s">
        <v>498</v>
      </c>
      <c r="C52" s="41" t="s">
        <v>220</v>
      </c>
      <c r="D52" s="41" t="s">
        <v>238</v>
      </c>
      <c r="E52" s="76" t="s">
        <v>483</v>
      </c>
      <c r="F52" s="82" t="s">
        <v>127</v>
      </c>
      <c r="G52" s="90">
        <v>3564</v>
      </c>
      <c r="H52" s="87">
        <v>2493.5</v>
      </c>
      <c r="I52" s="106">
        <v>1.4904200000000001</v>
      </c>
      <c r="J52" s="106">
        <v>348.10359999999997</v>
      </c>
      <c r="K52" s="41">
        <v>7.5322046128877961E-5</v>
      </c>
      <c r="L52" s="49">
        <v>9.2967036511788816E-3</v>
      </c>
      <c r="M52" s="49">
        <v>5.9232993127204293E-3</v>
      </c>
      <c r="N52" s="28"/>
      <c r="O52" s="28"/>
      <c r="P52" s="28"/>
      <c r="Q52" s="28"/>
      <c r="R52" s="28"/>
    </row>
    <row r="53" spans="1:18" x14ac:dyDescent="0.2">
      <c r="A53" s="33" t="s">
        <v>519</v>
      </c>
      <c r="B53" s="41" t="s">
        <v>520</v>
      </c>
      <c r="C53" s="41" t="s">
        <v>482</v>
      </c>
      <c r="D53" s="41" t="s">
        <v>238</v>
      </c>
      <c r="E53" s="76" t="s">
        <v>238</v>
      </c>
      <c r="F53" s="82" t="s">
        <v>126</v>
      </c>
      <c r="G53" s="90">
        <v>619</v>
      </c>
      <c r="H53" s="87">
        <v>1620</v>
      </c>
      <c r="I53" s="106">
        <v>0</v>
      </c>
      <c r="J53" s="106">
        <v>35.749099999999999</v>
      </c>
      <c r="K53" s="41">
        <v>1.8560461964201215E-5</v>
      </c>
      <c r="L53" s="49">
        <v>9.5474102679880054E-4</v>
      </c>
      <c r="M53" s="49">
        <v>6.083034460441487E-4</v>
      </c>
      <c r="N53" s="28"/>
      <c r="O53" s="28"/>
      <c r="P53" s="28"/>
      <c r="Q53" s="28"/>
      <c r="R53" s="28"/>
    </row>
    <row r="54" spans="1:18" x14ac:dyDescent="0.2">
      <c r="A54" s="33" t="s">
        <v>521</v>
      </c>
      <c r="B54" s="41" t="s">
        <v>522</v>
      </c>
      <c r="C54" s="41" t="s">
        <v>482</v>
      </c>
      <c r="D54" s="41" t="s">
        <v>238</v>
      </c>
      <c r="E54" s="76" t="s">
        <v>483</v>
      </c>
      <c r="F54" s="82" t="s">
        <v>126</v>
      </c>
      <c r="G54" s="90">
        <v>1098</v>
      </c>
      <c r="H54" s="87">
        <v>2442</v>
      </c>
      <c r="I54" s="106">
        <v>0</v>
      </c>
      <c r="J54" s="106">
        <v>95.588909999999998</v>
      </c>
      <c r="K54" s="41">
        <v>3.3715311228248785E-5</v>
      </c>
      <c r="L54" s="49">
        <v>2.5528657807882753E-3</v>
      </c>
      <c r="M54" s="49">
        <v>1.6265322303667502E-3</v>
      </c>
      <c r="N54" s="28"/>
      <c r="O54" s="28"/>
      <c r="P54" s="28"/>
      <c r="Q54" s="28"/>
      <c r="R54" s="28"/>
    </row>
    <row r="55" spans="1:18" x14ac:dyDescent="0.2">
      <c r="A55" s="33" t="s">
        <v>487</v>
      </c>
      <c r="B55" s="41" t="s">
        <v>488</v>
      </c>
      <c r="C55" s="41" t="s">
        <v>486</v>
      </c>
      <c r="D55" s="41" t="s">
        <v>238</v>
      </c>
      <c r="E55" s="76" t="s">
        <v>483</v>
      </c>
      <c r="F55" s="82" t="s">
        <v>126</v>
      </c>
      <c r="G55" s="90">
        <v>4522</v>
      </c>
      <c r="H55" s="87">
        <v>4904</v>
      </c>
      <c r="I55" s="106">
        <v>0</v>
      </c>
      <c r="J55" s="106">
        <v>790.57040000000006</v>
      </c>
      <c r="K55" s="41">
        <v>4.3757211726990799E-5</v>
      </c>
      <c r="L55" s="49">
        <v>2.1113538395448793E-2</v>
      </c>
      <c r="M55" s="49">
        <v>1.3452274285520505E-2</v>
      </c>
      <c r="N55" s="28"/>
      <c r="O55" s="28"/>
      <c r="P55" s="28"/>
      <c r="Q55" s="28"/>
      <c r="R55" s="28"/>
    </row>
    <row r="56" spans="1:18" x14ac:dyDescent="0.2">
      <c r="A56" s="33" t="s">
        <v>517</v>
      </c>
      <c r="B56" s="41" t="s">
        <v>518</v>
      </c>
      <c r="C56" s="41" t="s">
        <v>482</v>
      </c>
      <c r="D56" s="41" t="s">
        <v>238</v>
      </c>
      <c r="E56" s="76" t="s">
        <v>483</v>
      </c>
      <c r="F56" s="82" t="s">
        <v>126</v>
      </c>
      <c r="G56" s="90">
        <v>65</v>
      </c>
      <c r="H56" s="87">
        <v>2589</v>
      </c>
      <c r="I56" s="106">
        <v>0</v>
      </c>
      <c r="J56" s="106">
        <v>5.9993599999999994</v>
      </c>
      <c r="K56" s="41">
        <v>9.9577276079545217E-7</v>
      </c>
      <c r="L56" s="49">
        <v>1.6022319796961748E-4</v>
      </c>
      <c r="M56" s="49">
        <v>1.0208456610262702E-4</v>
      </c>
      <c r="N56" s="28"/>
      <c r="O56" s="28"/>
      <c r="P56" s="28"/>
      <c r="Q56" s="28"/>
      <c r="R56" s="28"/>
    </row>
    <row r="57" spans="1:18" s="137" customFormat="1" x14ac:dyDescent="0.2">
      <c r="A57" s="114" t="s">
        <v>527</v>
      </c>
      <c r="B57" s="144" t="s">
        <v>238</v>
      </c>
      <c r="C57" s="144" t="s">
        <v>238</v>
      </c>
      <c r="D57" s="144" t="s">
        <v>238</v>
      </c>
      <c r="E57" s="144" t="s">
        <v>238</v>
      </c>
      <c r="F57" s="145" t="s">
        <v>238</v>
      </c>
      <c r="G57" s="155" t="s">
        <v>238</v>
      </c>
      <c r="H57" s="141" t="s">
        <v>238</v>
      </c>
      <c r="I57" s="146" t="s">
        <v>238</v>
      </c>
      <c r="J57" s="146">
        <v>2981.7055600999997</v>
      </c>
      <c r="K57" s="144" t="s">
        <v>238</v>
      </c>
      <c r="L57" s="140">
        <v>7.9631560740314203E-2</v>
      </c>
      <c r="M57" s="140">
        <v>5.0736431610804981E-2</v>
      </c>
    </row>
    <row r="58" spans="1:18" x14ac:dyDescent="0.2">
      <c r="A58" s="33" t="s">
        <v>528</v>
      </c>
      <c r="B58" s="41" t="s">
        <v>529</v>
      </c>
      <c r="C58" s="41" t="s">
        <v>486</v>
      </c>
      <c r="D58" s="41" t="s">
        <v>238</v>
      </c>
      <c r="E58" s="76" t="s">
        <v>189</v>
      </c>
      <c r="F58" s="82" t="s">
        <v>126</v>
      </c>
      <c r="G58" s="90">
        <v>1536</v>
      </c>
      <c r="H58" s="87">
        <v>15633.000000000002</v>
      </c>
      <c r="I58" s="106">
        <v>0</v>
      </c>
      <c r="J58" s="106">
        <v>856.03806000000009</v>
      </c>
      <c r="K58" s="41">
        <v>2.5132117463524682E-5</v>
      </c>
      <c r="L58" s="49">
        <v>2.286196453570169E-2</v>
      </c>
      <c r="M58" s="49">
        <v>1.4566266055451684E-2</v>
      </c>
      <c r="N58" s="28"/>
      <c r="O58" s="28"/>
      <c r="P58" s="28"/>
      <c r="Q58" s="28"/>
      <c r="R58" s="28"/>
    </row>
    <row r="59" spans="1:18" x14ac:dyDescent="0.2">
      <c r="A59" s="33" t="s">
        <v>539</v>
      </c>
      <c r="B59" s="41" t="s">
        <v>540</v>
      </c>
      <c r="C59" s="41" t="s">
        <v>486</v>
      </c>
      <c r="D59" s="41" t="s">
        <v>238</v>
      </c>
      <c r="E59" s="76" t="s">
        <v>532</v>
      </c>
      <c r="F59" s="82" t="s">
        <v>126</v>
      </c>
      <c r="G59" s="90">
        <v>261</v>
      </c>
      <c r="H59" s="87">
        <v>9302.5</v>
      </c>
      <c r="I59" s="106">
        <v>0</v>
      </c>
      <c r="J59" s="106">
        <v>86.5565</v>
      </c>
      <c r="K59" s="41">
        <v>7.3650190940236402E-5</v>
      </c>
      <c r="L59" s="49">
        <v>2.311639780752813E-3</v>
      </c>
      <c r="M59" s="49">
        <v>1.4728375603167733E-3</v>
      </c>
      <c r="N59" s="28"/>
      <c r="O59" s="28"/>
      <c r="P59" s="28"/>
      <c r="Q59" s="28"/>
      <c r="R59" s="28"/>
    </row>
    <row r="60" spans="1:18" x14ac:dyDescent="0.2">
      <c r="A60" s="33" t="s">
        <v>539</v>
      </c>
      <c r="B60" s="41" t="s">
        <v>540</v>
      </c>
      <c r="C60" s="41" t="s">
        <v>486</v>
      </c>
      <c r="D60" s="41" t="s">
        <v>238</v>
      </c>
      <c r="E60" s="76" t="s">
        <v>532</v>
      </c>
      <c r="F60" s="82" t="s">
        <v>126</v>
      </c>
      <c r="G60" s="90">
        <v>50</v>
      </c>
      <c r="H60" s="87">
        <v>9302.5</v>
      </c>
      <c r="I60" s="106">
        <v>0</v>
      </c>
      <c r="J60" s="106">
        <v>16.581700000000001</v>
      </c>
      <c r="K60" s="41">
        <v>1.4109231980888199E-5</v>
      </c>
      <c r="L60" s="49">
        <v>4.4284273685406549E-4</v>
      </c>
      <c r="M60" s="49">
        <v>2.821527045791436E-4</v>
      </c>
      <c r="N60" s="28"/>
      <c r="O60" s="28"/>
      <c r="P60" s="28"/>
      <c r="Q60" s="28"/>
      <c r="R60" s="28"/>
    </row>
    <row r="61" spans="1:18" x14ac:dyDescent="0.2">
      <c r="A61" s="33" t="s">
        <v>533</v>
      </c>
      <c r="B61" s="41" t="s">
        <v>534</v>
      </c>
      <c r="C61" s="41" t="s">
        <v>486</v>
      </c>
      <c r="D61" s="41" t="s">
        <v>238</v>
      </c>
      <c r="E61" s="76" t="s">
        <v>532</v>
      </c>
      <c r="F61" s="82" t="s">
        <v>126</v>
      </c>
      <c r="G61" s="90">
        <v>1390</v>
      </c>
      <c r="H61" s="87">
        <v>11915</v>
      </c>
      <c r="I61" s="106">
        <v>0</v>
      </c>
      <c r="J61" s="106">
        <v>590.42994999999996</v>
      </c>
      <c r="K61" s="41">
        <v>2.3845175164683959E-5</v>
      </c>
      <c r="L61" s="49">
        <v>1.5768444428412586E-2</v>
      </c>
      <c r="M61" s="49">
        <v>1.0046702524893618E-2</v>
      </c>
      <c r="N61" s="28"/>
      <c r="O61" s="28"/>
      <c r="P61" s="28"/>
      <c r="Q61" s="28"/>
      <c r="R61" s="28"/>
    </row>
    <row r="62" spans="1:18" x14ac:dyDescent="0.2">
      <c r="A62" s="33" t="s">
        <v>537</v>
      </c>
      <c r="B62" s="41" t="s">
        <v>538</v>
      </c>
      <c r="C62" s="41" t="s">
        <v>486</v>
      </c>
      <c r="D62" s="41" t="s">
        <v>238</v>
      </c>
      <c r="E62" s="76" t="s">
        <v>532</v>
      </c>
      <c r="F62" s="82" t="s">
        <v>126</v>
      </c>
      <c r="G62" s="90">
        <v>2029</v>
      </c>
      <c r="H62" s="87">
        <v>9195</v>
      </c>
      <c r="I62" s="106">
        <v>0</v>
      </c>
      <c r="J62" s="106">
        <v>665.10974999999996</v>
      </c>
      <c r="K62" s="41">
        <v>5.4783491133998014E-5</v>
      </c>
      <c r="L62" s="49">
        <v>1.7762896566595902E-2</v>
      </c>
      <c r="M62" s="49">
        <v>1.1317447234267778E-2</v>
      </c>
      <c r="N62" s="28"/>
      <c r="O62" s="28"/>
      <c r="P62" s="28"/>
      <c r="Q62" s="28"/>
      <c r="R62" s="28"/>
    </row>
    <row r="63" spans="1:18" x14ac:dyDescent="0.2">
      <c r="A63" s="33" t="s">
        <v>543</v>
      </c>
      <c r="B63" s="41" t="s">
        <v>544</v>
      </c>
      <c r="C63" s="41" t="s">
        <v>486</v>
      </c>
      <c r="D63" s="41" t="s">
        <v>238</v>
      </c>
      <c r="E63" s="76" t="s">
        <v>532</v>
      </c>
      <c r="F63" s="82" t="s">
        <v>126</v>
      </c>
      <c r="G63" s="90">
        <v>1000</v>
      </c>
      <c r="H63" s="87">
        <v>5134</v>
      </c>
      <c r="I63" s="106">
        <v>0</v>
      </c>
      <c r="J63" s="106">
        <v>183.02710000000002</v>
      </c>
      <c r="K63" s="41">
        <v>8.3418894007444422E-6</v>
      </c>
      <c r="L63" s="49">
        <v>4.8880526051287097E-3</v>
      </c>
      <c r="M63" s="49">
        <v>3.1143725478254562E-3</v>
      </c>
      <c r="N63" s="28"/>
      <c r="O63" s="28"/>
      <c r="P63" s="28"/>
      <c r="Q63" s="28"/>
      <c r="R63" s="28"/>
    </row>
    <row r="64" spans="1:18" x14ac:dyDescent="0.2">
      <c r="A64" s="33" t="s">
        <v>530</v>
      </c>
      <c r="B64" s="41" t="s">
        <v>531</v>
      </c>
      <c r="C64" s="41" t="s">
        <v>486</v>
      </c>
      <c r="D64" s="41" t="s">
        <v>238</v>
      </c>
      <c r="E64" s="76" t="s">
        <v>532</v>
      </c>
      <c r="F64" s="82" t="s">
        <v>126</v>
      </c>
      <c r="G64" s="90">
        <v>460</v>
      </c>
      <c r="H64" s="87">
        <v>9881.5</v>
      </c>
      <c r="I64" s="106">
        <v>0.32327</v>
      </c>
      <c r="J64" s="106">
        <v>162.36998</v>
      </c>
      <c r="K64" s="41">
        <v>1.3554776738682999E-5</v>
      </c>
      <c r="L64" s="49">
        <v>4.3363687876478213E-3</v>
      </c>
      <c r="M64" s="49">
        <v>2.7628728658377275E-3</v>
      </c>
      <c r="N64" s="28"/>
      <c r="O64" s="28"/>
      <c r="P64" s="28"/>
      <c r="Q64" s="28"/>
      <c r="R64" s="28"/>
    </row>
    <row r="65" spans="1:18" x14ac:dyDescent="0.2">
      <c r="A65" s="33" t="s">
        <v>541</v>
      </c>
      <c r="B65" s="41" t="s">
        <v>542</v>
      </c>
      <c r="C65" s="41" t="s">
        <v>486</v>
      </c>
      <c r="D65" s="41" t="s">
        <v>238</v>
      </c>
      <c r="E65" s="76" t="s">
        <v>532</v>
      </c>
      <c r="F65" s="82" t="s">
        <v>126</v>
      </c>
      <c r="G65" s="90">
        <v>435</v>
      </c>
      <c r="H65" s="87">
        <v>6304.5</v>
      </c>
      <c r="I65" s="106">
        <v>0</v>
      </c>
      <c r="J65" s="106">
        <v>97.768600000000006</v>
      </c>
      <c r="K65" s="41">
        <v>8.5198990468348252E-6</v>
      </c>
      <c r="L65" s="49">
        <v>2.6110781405037113E-3</v>
      </c>
      <c r="M65" s="49">
        <v>1.6636216378849247E-3</v>
      </c>
      <c r="N65" s="28"/>
      <c r="O65" s="28"/>
      <c r="P65" s="28"/>
      <c r="Q65" s="28"/>
      <c r="R65" s="28"/>
    </row>
    <row r="66" spans="1:18" x14ac:dyDescent="0.2">
      <c r="A66" s="33" t="s">
        <v>535</v>
      </c>
      <c r="B66" s="41" t="s">
        <v>536</v>
      </c>
      <c r="C66" s="41" t="s">
        <v>486</v>
      </c>
      <c r="D66" s="41" t="s">
        <v>238</v>
      </c>
      <c r="E66" s="76" t="s">
        <v>532</v>
      </c>
      <c r="F66" s="82" t="s">
        <v>126</v>
      </c>
      <c r="G66" s="90">
        <v>5749</v>
      </c>
      <c r="H66" s="87">
        <v>1580</v>
      </c>
      <c r="I66" s="106">
        <v>0</v>
      </c>
      <c r="J66" s="106">
        <v>323.82391999999999</v>
      </c>
      <c r="K66" s="41">
        <v>6.826267062446879E-5</v>
      </c>
      <c r="L66" s="49">
        <v>8.6482731560462399E-3</v>
      </c>
      <c r="M66" s="49">
        <v>5.5101584780462929E-3</v>
      </c>
      <c r="N66" s="28"/>
      <c r="O66" s="28"/>
      <c r="P66" s="28"/>
      <c r="Q66" s="28"/>
      <c r="R66" s="28"/>
    </row>
    <row r="67" spans="1:18" s="137" customFormat="1" x14ac:dyDescent="0.2">
      <c r="A67" s="114" t="s">
        <v>143</v>
      </c>
      <c r="B67" s="144" t="s">
        <v>238</v>
      </c>
      <c r="C67" s="144" t="s">
        <v>238</v>
      </c>
      <c r="D67" s="144" t="s">
        <v>238</v>
      </c>
      <c r="E67" s="144" t="s">
        <v>238</v>
      </c>
      <c r="F67" s="145" t="s">
        <v>238</v>
      </c>
      <c r="G67" s="155" t="s">
        <v>238</v>
      </c>
      <c r="H67" s="141" t="s">
        <v>238</v>
      </c>
      <c r="I67" s="146" t="s">
        <v>238</v>
      </c>
      <c r="J67" s="146">
        <v>2347.6753901000006</v>
      </c>
      <c r="K67" s="144" t="s">
        <v>238</v>
      </c>
      <c r="L67" s="140">
        <v>6.2698697660482333E-2</v>
      </c>
      <c r="M67" s="140">
        <v>3.9947831693409666E-2</v>
      </c>
    </row>
    <row r="68" spans="1:18" x14ac:dyDescent="0.2">
      <c r="A68" s="33" t="s">
        <v>564</v>
      </c>
      <c r="B68" s="41" t="s">
        <v>565</v>
      </c>
      <c r="C68" s="41" t="s">
        <v>561</v>
      </c>
      <c r="D68" s="41" t="s">
        <v>238</v>
      </c>
      <c r="E68" s="76" t="s">
        <v>483</v>
      </c>
      <c r="F68" s="82" t="s">
        <v>126</v>
      </c>
      <c r="G68" s="90">
        <v>349</v>
      </c>
      <c r="H68" s="87">
        <v>4151</v>
      </c>
      <c r="I68" s="106">
        <v>0</v>
      </c>
      <c r="J68" s="106">
        <v>51.64611</v>
      </c>
      <c r="K68" s="41">
        <v>8.0226602221794148E-5</v>
      </c>
      <c r="L68" s="49">
        <v>1.3792979429290192E-3</v>
      </c>
      <c r="M68" s="49">
        <v>8.7880552762937159E-4</v>
      </c>
      <c r="N68" s="28"/>
      <c r="O68" s="28"/>
      <c r="P68" s="28"/>
      <c r="Q68" s="28"/>
      <c r="R68" s="28"/>
    </row>
    <row r="69" spans="1:18" x14ac:dyDescent="0.2">
      <c r="A69" s="33" t="s">
        <v>566</v>
      </c>
      <c r="B69" s="41" t="s">
        <v>567</v>
      </c>
      <c r="C69" s="41" t="s">
        <v>482</v>
      </c>
      <c r="D69" s="41" t="s">
        <v>238</v>
      </c>
      <c r="E69" s="76" t="s">
        <v>483</v>
      </c>
      <c r="F69" s="82" t="s">
        <v>126</v>
      </c>
      <c r="G69" s="90">
        <v>1747</v>
      </c>
      <c r="H69" s="87">
        <v>2179</v>
      </c>
      <c r="I69" s="106">
        <v>0</v>
      </c>
      <c r="J69" s="106">
        <v>135.70930999999999</v>
      </c>
      <c r="K69" s="41">
        <v>1.6866004757236695E-4</v>
      </c>
      <c r="L69" s="49">
        <v>3.624349871061278E-3</v>
      </c>
      <c r="M69" s="49">
        <v>2.3092173210870664E-3</v>
      </c>
      <c r="N69" s="28"/>
      <c r="O69" s="28"/>
      <c r="P69" s="28"/>
      <c r="Q69" s="28"/>
      <c r="R69" s="28"/>
    </row>
    <row r="70" spans="1:18" x14ac:dyDescent="0.2">
      <c r="A70" s="33" t="s">
        <v>583</v>
      </c>
      <c r="B70" s="41" t="s">
        <v>584</v>
      </c>
      <c r="C70" s="41" t="s">
        <v>482</v>
      </c>
      <c r="D70" s="41" t="s">
        <v>238</v>
      </c>
      <c r="E70" s="76" t="s">
        <v>483</v>
      </c>
      <c r="F70" s="82" t="s">
        <v>126</v>
      </c>
      <c r="G70" s="90">
        <v>605</v>
      </c>
      <c r="H70" s="87">
        <v>1617.0000000000002</v>
      </c>
      <c r="I70" s="106">
        <v>0</v>
      </c>
      <c r="J70" s="106">
        <v>34.875860000000003</v>
      </c>
      <c r="K70" s="41">
        <v>7.3156808172087062E-5</v>
      </c>
      <c r="L70" s="49">
        <v>9.3141965495330563E-4</v>
      </c>
      <c r="M70" s="49">
        <v>5.9344447333648366E-4</v>
      </c>
      <c r="N70" s="28"/>
      <c r="O70" s="28"/>
      <c r="P70" s="28"/>
      <c r="Q70" s="28"/>
      <c r="R70" s="28"/>
    </row>
    <row r="71" spans="1:18" x14ac:dyDescent="0.2">
      <c r="A71" s="33" t="s">
        <v>572</v>
      </c>
      <c r="B71" s="41" t="s">
        <v>573</v>
      </c>
      <c r="C71" s="41" t="s">
        <v>482</v>
      </c>
      <c r="D71" s="41" t="s">
        <v>238</v>
      </c>
      <c r="E71" s="76" t="s">
        <v>483</v>
      </c>
      <c r="F71" s="82" t="s">
        <v>126</v>
      </c>
      <c r="G71" s="90">
        <v>756</v>
      </c>
      <c r="H71" s="87">
        <v>2523</v>
      </c>
      <c r="I71" s="106">
        <v>0</v>
      </c>
      <c r="J71" s="106">
        <v>67.998380000000012</v>
      </c>
      <c r="K71" s="41">
        <v>4.5003482412329528E-5</v>
      </c>
      <c r="L71" s="49">
        <v>1.8160133581504158E-3</v>
      </c>
      <c r="M71" s="49">
        <v>1.1570542721192848E-3</v>
      </c>
      <c r="N71" s="28"/>
      <c r="O71" s="28"/>
      <c r="P71" s="28"/>
      <c r="Q71" s="28"/>
      <c r="R71" s="28"/>
    </row>
    <row r="72" spans="1:18" x14ac:dyDescent="0.2">
      <c r="A72" s="33" t="s">
        <v>574</v>
      </c>
      <c r="B72" s="41" t="s">
        <v>575</v>
      </c>
      <c r="C72" s="41" t="s">
        <v>576</v>
      </c>
      <c r="D72" s="41" t="s">
        <v>238</v>
      </c>
      <c r="E72" s="76" t="s">
        <v>238</v>
      </c>
      <c r="F72" s="82" t="s">
        <v>127</v>
      </c>
      <c r="G72" s="90">
        <v>963</v>
      </c>
      <c r="H72" s="87">
        <v>2946</v>
      </c>
      <c r="I72" s="106">
        <v>0</v>
      </c>
      <c r="J72" s="106">
        <v>110.65142999999999</v>
      </c>
      <c r="K72" s="41">
        <v>1.4770423446413731E-4</v>
      </c>
      <c r="L72" s="49">
        <v>2.9551362102809746E-3</v>
      </c>
      <c r="M72" s="49">
        <v>1.8828347057328126E-3</v>
      </c>
      <c r="N72" s="28"/>
      <c r="O72" s="28"/>
      <c r="P72" s="28"/>
      <c r="Q72" s="28"/>
      <c r="R72" s="28"/>
    </row>
    <row r="73" spans="1:18" x14ac:dyDescent="0.2">
      <c r="A73" s="33" t="s">
        <v>551</v>
      </c>
      <c r="B73" s="41" t="s">
        <v>552</v>
      </c>
      <c r="C73" s="41" t="s">
        <v>482</v>
      </c>
      <c r="D73" s="41" t="s">
        <v>238</v>
      </c>
      <c r="E73" s="76" t="s">
        <v>483</v>
      </c>
      <c r="F73" s="82" t="s">
        <v>126</v>
      </c>
      <c r="G73" s="90">
        <v>114</v>
      </c>
      <c r="H73" s="87">
        <v>22535</v>
      </c>
      <c r="I73" s="106">
        <v>0</v>
      </c>
      <c r="J73" s="106">
        <v>91.584490000000002</v>
      </c>
      <c r="K73" s="41">
        <v>6.1668159414788642E-6</v>
      </c>
      <c r="L73" s="49">
        <v>2.4459208769296147E-3</v>
      </c>
      <c r="M73" s="49">
        <v>1.5583933825242E-3</v>
      </c>
      <c r="N73" s="28"/>
      <c r="O73" s="28"/>
      <c r="P73" s="28"/>
      <c r="Q73" s="28"/>
      <c r="R73" s="28"/>
    </row>
    <row r="74" spans="1:18" x14ac:dyDescent="0.2">
      <c r="A74" s="33" t="s">
        <v>557</v>
      </c>
      <c r="B74" s="41" t="s">
        <v>558</v>
      </c>
      <c r="C74" s="41" t="s">
        <v>220</v>
      </c>
      <c r="D74" s="41" t="s">
        <v>238</v>
      </c>
      <c r="E74" s="76" t="s">
        <v>483</v>
      </c>
      <c r="F74" s="82" t="s">
        <v>126</v>
      </c>
      <c r="G74" s="90">
        <v>567</v>
      </c>
      <c r="H74" s="87">
        <v>2893</v>
      </c>
      <c r="I74" s="106">
        <v>0</v>
      </c>
      <c r="J74" s="106">
        <v>58.477800000000002</v>
      </c>
      <c r="K74" s="41">
        <v>2.1669641688079611E-5</v>
      </c>
      <c r="L74" s="49">
        <v>1.5617499410316596E-3</v>
      </c>
      <c r="M74" s="49">
        <v>9.950529455868965E-4</v>
      </c>
      <c r="N74" s="28"/>
      <c r="O74" s="28"/>
      <c r="P74" s="28"/>
      <c r="Q74" s="28"/>
      <c r="R74" s="28"/>
    </row>
    <row r="75" spans="1:18" x14ac:dyDescent="0.2">
      <c r="A75" s="33" t="s">
        <v>559</v>
      </c>
      <c r="B75" s="41" t="s">
        <v>560</v>
      </c>
      <c r="C75" s="41" t="s">
        <v>561</v>
      </c>
      <c r="D75" s="41" t="s">
        <v>238</v>
      </c>
      <c r="E75" s="76" t="s">
        <v>483</v>
      </c>
      <c r="F75" s="82" t="s">
        <v>126</v>
      </c>
      <c r="G75" s="90">
        <v>141</v>
      </c>
      <c r="H75" s="87">
        <v>20521</v>
      </c>
      <c r="I75" s="106">
        <v>0</v>
      </c>
      <c r="J75" s="106">
        <v>103.15188000000001</v>
      </c>
      <c r="K75" s="41">
        <v>1.3142531122865236E-5</v>
      </c>
      <c r="L75" s="49">
        <v>2.7548478654686875E-3</v>
      </c>
      <c r="M75" s="49">
        <v>1.7552230425362458E-3</v>
      </c>
      <c r="N75" s="28"/>
      <c r="O75" s="28"/>
      <c r="P75" s="28"/>
      <c r="Q75" s="28"/>
      <c r="R75" s="28"/>
    </row>
    <row r="76" spans="1:18" x14ac:dyDescent="0.2">
      <c r="A76" s="33" t="s">
        <v>568</v>
      </c>
      <c r="B76" s="41" t="s">
        <v>569</v>
      </c>
      <c r="C76" s="41" t="s">
        <v>482</v>
      </c>
      <c r="D76" s="41" t="s">
        <v>238</v>
      </c>
      <c r="E76" s="76" t="s">
        <v>483</v>
      </c>
      <c r="F76" s="82" t="s">
        <v>126</v>
      </c>
      <c r="G76" s="90">
        <v>221</v>
      </c>
      <c r="H76" s="87">
        <v>16671</v>
      </c>
      <c r="I76" s="106">
        <v>0</v>
      </c>
      <c r="J76" s="106">
        <v>131.34496999999999</v>
      </c>
      <c r="K76" s="41">
        <v>4.6073966436887526E-5</v>
      </c>
      <c r="L76" s="49">
        <v>3.507792686323786E-3</v>
      </c>
      <c r="M76" s="49">
        <v>2.234954107140189E-3</v>
      </c>
      <c r="N76" s="28"/>
      <c r="O76" s="28"/>
      <c r="P76" s="28"/>
      <c r="Q76" s="28"/>
      <c r="R76" s="28"/>
    </row>
    <row r="77" spans="1:18" x14ac:dyDescent="0.2">
      <c r="A77" s="33" t="s">
        <v>570</v>
      </c>
      <c r="B77" s="41" t="s">
        <v>571</v>
      </c>
      <c r="C77" s="41" t="s">
        <v>561</v>
      </c>
      <c r="D77" s="41" t="s">
        <v>238</v>
      </c>
      <c r="E77" s="76" t="s">
        <v>483</v>
      </c>
      <c r="F77" s="82" t="s">
        <v>126</v>
      </c>
      <c r="G77" s="90">
        <v>439</v>
      </c>
      <c r="H77" s="87">
        <v>2565</v>
      </c>
      <c r="I77" s="106">
        <v>0</v>
      </c>
      <c r="J77" s="106">
        <v>40.143140000000002</v>
      </c>
      <c r="K77" s="41">
        <v>2.4025227035659127E-5</v>
      </c>
      <c r="L77" s="49">
        <v>1.0720914009731154E-3</v>
      </c>
      <c r="M77" s="49">
        <v>6.8307203249963521E-4</v>
      </c>
      <c r="N77" s="28"/>
      <c r="O77" s="28"/>
      <c r="P77" s="28"/>
      <c r="Q77" s="28"/>
      <c r="R77" s="28"/>
    </row>
    <row r="78" spans="1:18" x14ac:dyDescent="0.2">
      <c r="A78" s="33" t="s">
        <v>585</v>
      </c>
      <c r="B78" s="41" t="s">
        <v>586</v>
      </c>
      <c r="C78" s="41" t="s">
        <v>482</v>
      </c>
      <c r="D78" s="41" t="s">
        <v>238</v>
      </c>
      <c r="E78" s="76" t="s">
        <v>483</v>
      </c>
      <c r="F78" s="82" t="s">
        <v>126</v>
      </c>
      <c r="G78" s="90">
        <v>1160</v>
      </c>
      <c r="H78" s="87">
        <v>4527</v>
      </c>
      <c r="I78" s="106">
        <v>0</v>
      </c>
      <c r="J78" s="106">
        <v>187.20954999999998</v>
      </c>
      <c r="K78" s="41">
        <v>2.2697241128817545E-5</v>
      </c>
      <c r="L78" s="49">
        <v>4.9997521054667496E-3</v>
      </c>
      <c r="M78" s="49">
        <v>3.1855407380150646E-3</v>
      </c>
      <c r="N78" s="28"/>
      <c r="O78" s="28"/>
      <c r="P78" s="28"/>
      <c r="Q78" s="28"/>
      <c r="R78" s="28"/>
    </row>
    <row r="79" spans="1:18" x14ac:dyDescent="0.2">
      <c r="A79" s="33" t="s">
        <v>577</v>
      </c>
      <c r="B79" s="41" t="s">
        <v>578</v>
      </c>
      <c r="C79" s="41" t="s">
        <v>514</v>
      </c>
      <c r="D79" s="41" t="s">
        <v>238</v>
      </c>
      <c r="E79" s="76" t="s">
        <v>483</v>
      </c>
      <c r="F79" s="82" t="s">
        <v>127</v>
      </c>
      <c r="G79" s="90">
        <v>647</v>
      </c>
      <c r="H79" s="87">
        <v>4268.2</v>
      </c>
      <c r="I79" s="106">
        <v>0</v>
      </c>
      <c r="J79" s="106">
        <v>107.70777000000001</v>
      </c>
      <c r="K79" s="41">
        <v>1.2839125558313443E-4</v>
      </c>
      <c r="L79" s="49">
        <v>2.8765207214729617E-3</v>
      </c>
      <c r="M79" s="49">
        <v>1.8327456539250103E-3</v>
      </c>
      <c r="N79" s="28"/>
      <c r="O79" s="28"/>
      <c r="P79" s="28"/>
      <c r="Q79" s="28"/>
      <c r="R79" s="28"/>
    </row>
    <row r="80" spans="1:18" x14ac:dyDescent="0.2">
      <c r="A80" s="33" t="s">
        <v>579</v>
      </c>
      <c r="B80" s="41" t="s">
        <v>580</v>
      </c>
      <c r="C80" s="41" t="s">
        <v>514</v>
      </c>
      <c r="D80" s="41" t="s">
        <v>238</v>
      </c>
      <c r="E80" s="76" t="s">
        <v>483</v>
      </c>
      <c r="F80" s="82" t="s">
        <v>127</v>
      </c>
      <c r="G80" s="90">
        <v>1514</v>
      </c>
      <c r="H80" s="87">
        <v>3088.2000000000003</v>
      </c>
      <c r="I80" s="106">
        <v>0</v>
      </c>
      <c r="J80" s="106">
        <v>182.35988</v>
      </c>
      <c r="K80" s="41">
        <v>1.3180660540880682E-4</v>
      </c>
      <c r="L80" s="49">
        <v>4.8702333507166908E-3</v>
      </c>
      <c r="M80" s="49">
        <v>3.1030191927684174E-3</v>
      </c>
      <c r="N80" s="28"/>
      <c r="O80" s="28"/>
      <c r="P80" s="28"/>
      <c r="Q80" s="28"/>
      <c r="R80" s="28"/>
    </row>
    <row r="81" spans="1:18" x14ac:dyDescent="0.2">
      <c r="A81" s="33" t="s">
        <v>581</v>
      </c>
      <c r="B81" s="41" t="s">
        <v>582</v>
      </c>
      <c r="C81" s="41" t="s">
        <v>514</v>
      </c>
      <c r="D81" s="41" t="s">
        <v>238</v>
      </c>
      <c r="E81" s="76" t="s">
        <v>238</v>
      </c>
      <c r="F81" s="82" t="s">
        <v>127</v>
      </c>
      <c r="G81" s="90">
        <v>2392</v>
      </c>
      <c r="H81" s="87">
        <v>1174.0999999999999</v>
      </c>
      <c r="I81" s="106">
        <v>0</v>
      </c>
      <c r="J81" s="106">
        <v>109.53785999999999</v>
      </c>
      <c r="K81" s="41">
        <v>9.2176613937558743E-5</v>
      </c>
      <c r="L81" s="49">
        <v>2.9253964136088254E-3</v>
      </c>
      <c r="M81" s="49">
        <v>1.8638862995236666E-3</v>
      </c>
      <c r="N81" s="28"/>
      <c r="O81" s="28"/>
      <c r="P81" s="28"/>
      <c r="Q81" s="28"/>
      <c r="R81" s="28"/>
    </row>
    <row r="82" spans="1:18" x14ac:dyDescent="0.2">
      <c r="A82" s="33" t="s">
        <v>553</v>
      </c>
      <c r="B82" s="41" t="s">
        <v>554</v>
      </c>
      <c r="C82" s="41" t="s">
        <v>482</v>
      </c>
      <c r="D82" s="41" t="s">
        <v>238</v>
      </c>
      <c r="E82" s="76" t="s">
        <v>483</v>
      </c>
      <c r="F82" s="82" t="s">
        <v>126</v>
      </c>
      <c r="G82" s="90">
        <v>4724</v>
      </c>
      <c r="H82" s="87">
        <v>2082</v>
      </c>
      <c r="I82" s="106">
        <v>0</v>
      </c>
      <c r="J82" s="106">
        <v>350.63085999999998</v>
      </c>
      <c r="K82" s="41">
        <v>6.4007674157005757E-6</v>
      </c>
      <c r="L82" s="49">
        <v>9.3641984638423471E-3</v>
      </c>
      <c r="M82" s="49">
        <v>5.9663029398620794E-3</v>
      </c>
      <c r="N82" s="28"/>
      <c r="O82" s="28"/>
      <c r="P82" s="28"/>
      <c r="Q82" s="28"/>
      <c r="R82" s="28"/>
    </row>
    <row r="83" spans="1:18" x14ac:dyDescent="0.2">
      <c r="A83" s="33" t="s">
        <v>562</v>
      </c>
      <c r="B83" s="41" t="s">
        <v>563</v>
      </c>
      <c r="C83" s="41" t="s">
        <v>482</v>
      </c>
      <c r="D83" s="41" t="s">
        <v>238</v>
      </c>
      <c r="E83" s="76" t="s">
        <v>483</v>
      </c>
      <c r="F83" s="82" t="s">
        <v>126</v>
      </c>
      <c r="G83" s="90">
        <v>418</v>
      </c>
      <c r="H83" s="87">
        <v>7744</v>
      </c>
      <c r="I83" s="106">
        <v>0</v>
      </c>
      <c r="J83" s="106">
        <v>115.39876</v>
      </c>
      <c r="K83" s="41">
        <v>9.0360995853403076E-6</v>
      </c>
      <c r="L83" s="49">
        <v>3.0819217998133757E-3</v>
      </c>
      <c r="M83" s="49">
        <v>1.9636148428134321E-3</v>
      </c>
      <c r="N83" s="28"/>
      <c r="O83" s="28"/>
      <c r="P83" s="28"/>
      <c r="Q83" s="28"/>
      <c r="R83" s="28"/>
    </row>
    <row r="84" spans="1:18" x14ac:dyDescent="0.2">
      <c r="A84" s="33" t="s">
        <v>545</v>
      </c>
      <c r="B84" s="41" t="s">
        <v>546</v>
      </c>
      <c r="C84" s="41" t="s">
        <v>482</v>
      </c>
      <c r="D84" s="41" t="s">
        <v>238</v>
      </c>
      <c r="E84" s="76" t="s">
        <v>483</v>
      </c>
      <c r="F84" s="82" t="s">
        <v>126</v>
      </c>
      <c r="G84" s="90">
        <v>246</v>
      </c>
      <c r="H84" s="87">
        <v>2906</v>
      </c>
      <c r="I84" s="106">
        <v>0</v>
      </c>
      <c r="J84" s="106">
        <v>25.485319999999998</v>
      </c>
      <c r="K84" s="41">
        <v>1.1091332869998162E-6</v>
      </c>
      <c r="L84" s="49">
        <v>6.8062917905894159E-4</v>
      </c>
      <c r="M84" s="49">
        <v>4.336558956599708E-4</v>
      </c>
      <c r="N84" s="28"/>
      <c r="O84" s="28"/>
      <c r="P84" s="28"/>
      <c r="Q84" s="28"/>
      <c r="R84" s="28"/>
    </row>
    <row r="85" spans="1:18" x14ac:dyDescent="0.2">
      <c r="A85" s="33" t="s">
        <v>547</v>
      </c>
      <c r="B85" s="41" t="s">
        <v>548</v>
      </c>
      <c r="C85" s="41" t="s">
        <v>482</v>
      </c>
      <c r="D85" s="41" t="s">
        <v>238</v>
      </c>
      <c r="E85" s="76" t="s">
        <v>483</v>
      </c>
      <c r="F85" s="82" t="s">
        <v>126</v>
      </c>
      <c r="G85" s="90">
        <v>711</v>
      </c>
      <c r="H85" s="87">
        <v>8858</v>
      </c>
      <c r="I85" s="106">
        <v>0</v>
      </c>
      <c r="J85" s="106">
        <v>224.52504999999999</v>
      </c>
      <c r="K85" s="41">
        <v>3.3794991453931116E-6</v>
      </c>
      <c r="L85" s="49">
        <v>5.9963265307113192E-3</v>
      </c>
      <c r="M85" s="49">
        <v>3.8204979045132546E-3</v>
      </c>
      <c r="N85" s="28"/>
      <c r="O85" s="28"/>
      <c r="P85" s="28"/>
      <c r="Q85" s="28"/>
      <c r="R85" s="28"/>
    </row>
    <row r="86" spans="1:18" x14ac:dyDescent="0.2">
      <c r="A86" s="33" t="s">
        <v>549</v>
      </c>
      <c r="B86" s="41" t="s">
        <v>550</v>
      </c>
      <c r="C86" s="41" t="s">
        <v>482</v>
      </c>
      <c r="D86" s="41" t="s">
        <v>238</v>
      </c>
      <c r="E86" s="76" t="s">
        <v>483</v>
      </c>
      <c r="F86" s="82" t="s">
        <v>126</v>
      </c>
      <c r="G86" s="90">
        <v>583</v>
      </c>
      <c r="H86" s="87">
        <v>5447</v>
      </c>
      <c r="I86" s="106">
        <v>0</v>
      </c>
      <c r="J86" s="106">
        <v>113.21017000000001</v>
      </c>
      <c r="K86" s="41">
        <v>2.4762720574517545E-6</v>
      </c>
      <c r="L86" s="49">
        <v>3.0234717503340438E-3</v>
      </c>
      <c r="M86" s="49">
        <v>1.926373993701769E-3</v>
      </c>
      <c r="N86" s="28"/>
      <c r="O86" s="28"/>
      <c r="P86" s="28"/>
      <c r="Q86" s="28"/>
      <c r="R86" s="28"/>
    </row>
    <row r="87" spans="1:18" x14ac:dyDescent="0.2">
      <c r="A87" s="33" t="s">
        <v>555</v>
      </c>
      <c r="B87" s="41" t="s">
        <v>556</v>
      </c>
      <c r="C87" s="41" t="s">
        <v>482</v>
      </c>
      <c r="D87" s="41" t="s">
        <v>238</v>
      </c>
      <c r="E87" s="76" t="s">
        <v>483</v>
      </c>
      <c r="F87" s="82" t="s">
        <v>126</v>
      </c>
      <c r="G87" s="90">
        <v>504</v>
      </c>
      <c r="H87" s="87">
        <v>5901</v>
      </c>
      <c r="I87" s="106">
        <v>0</v>
      </c>
      <c r="J87" s="106">
        <v>106.02680000000001</v>
      </c>
      <c r="K87" s="41">
        <v>4.2564649516384081E-6</v>
      </c>
      <c r="L87" s="49">
        <v>2.8316275346845395E-3</v>
      </c>
      <c r="M87" s="49">
        <v>1.8041424207332142E-3</v>
      </c>
      <c r="N87" s="28"/>
      <c r="O87" s="28"/>
      <c r="P87" s="28"/>
      <c r="Q87" s="28"/>
      <c r="R87" s="28"/>
    </row>
    <row r="88" spans="1:18" s="137" customFormat="1" x14ac:dyDescent="0.2">
      <c r="A88" s="239" t="s">
        <v>478</v>
      </c>
      <c r="B88" s="226" t="s">
        <v>238</v>
      </c>
      <c r="C88" s="226" t="s">
        <v>238</v>
      </c>
      <c r="D88" s="226" t="s">
        <v>238</v>
      </c>
      <c r="E88" s="226" t="s">
        <v>238</v>
      </c>
      <c r="F88" s="228" t="s">
        <v>238</v>
      </c>
      <c r="G88" s="244" t="s">
        <v>238</v>
      </c>
      <c r="H88" s="227" t="s">
        <v>238</v>
      </c>
      <c r="I88" s="229" t="s">
        <v>238</v>
      </c>
      <c r="J88" s="229">
        <v>0</v>
      </c>
      <c r="K88" s="226" t="s">
        <v>238</v>
      </c>
      <c r="L88" s="230">
        <v>0</v>
      </c>
      <c r="M88" s="230">
        <v>0</v>
      </c>
    </row>
    <row r="89" spans="1:18" s="137" customFormat="1" x14ac:dyDescent="0.2">
      <c r="A89" s="99" t="s">
        <v>230</v>
      </c>
      <c r="B89" s="147"/>
      <c r="C89" s="147"/>
      <c r="D89" s="147"/>
      <c r="E89" s="147"/>
      <c r="F89" s="147"/>
      <c r="G89" s="148"/>
      <c r="H89" s="148"/>
      <c r="I89" s="148"/>
      <c r="J89" s="148"/>
      <c r="K89" s="149"/>
      <c r="L89" s="149"/>
      <c r="M89" s="150"/>
      <c r="N89" s="168"/>
      <c r="O89" s="168"/>
      <c r="P89" s="168"/>
      <c r="Q89" s="152"/>
      <c r="R89" s="152"/>
    </row>
    <row r="90" spans="1:18" s="137" customFormat="1" x14ac:dyDescent="0.2">
      <c r="A90" s="99" t="s">
        <v>231</v>
      </c>
      <c r="B90" s="147"/>
      <c r="C90" s="147"/>
      <c r="D90" s="147"/>
      <c r="E90" s="147"/>
      <c r="F90" s="147"/>
      <c r="G90" s="148"/>
      <c r="H90" s="148"/>
      <c r="I90" s="148"/>
      <c r="J90" s="148"/>
      <c r="K90" s="149"/>
      <c r="L90" s="149"/>
      <c r="M90" s="150"/>
      <c r="N90" s="168"/>
      <c r="O90" s="168"/>
      <c r="P90" s="168"/>
      <c r="Q90" s="152"/>
      <c r="R90" s="152"/>
    </row>
    <row r="91" spans="1:18" s="137" customFormat="1" x14ac:dyDescent="0.2">
      <c r="A91" s="99" t="s">
        <v>232</v>
      </c>
      <c r="B91" s="147"/>
      <c r="C91" s="147"/>
      <c r="D91" s="147"/>
      <c r="E91" s="147"/>
      <c r="F91" s="147"/>
      <c r="G91" s="148"/>
      <c r="H91" s="148"/>
      <c r="I91" s="148"/>
      <c r="J91" s="148"/>
      <c r="K91" s="149"/>
      <c r="L91" s="149"/>
      <c r="M91" s="150"/>
      <c r="N91" s="168"/>
      <c r="O91" s="168"/>
      <c r="P91" s="168"/>
      <c r="Q91" s="152"/>
      <c r="R91" s="152"/>
    </row>
    <row r="92" spans="1:18" s="137" customFormat="1" x14ac:dyDescent="0.2">
      <c r="A92" s="99" t="s">
        <v>233</v>
      </c>
      <c r="B92" s="147"/>
      <c r="C92" s="147"/>
      <c r="D92" s="147"/>
      <c r="E92" s="147"/>
      <c r="F92" s="147"/>
      <c r="G92" s="148"/>
      <c r="H92" s="148"/>
      <c r="I92" s="148"/>
      <c r="J92" s="148"/>
      <c r="K92" s="149"/>
      <c r="L92" s="149"/>
      <c r="M92" s="150"/>
      <c r="N92" s="168"/>
      <c r="O92" s="168"/>
      <c r="P92" s="168"/>
      <c r="Q92" s="152"/>
      <c r="R92" s="152"/>
    </row>
    <row r="93" spans="1:18" s="137" customFormat="1" x14ac:dyDescent="0.2">
      <c r="A93" s="99" t="s">
        <v>234</v>
      </c>
      <c r="B93" s="147"/>
      <c r="C93" s="147"/>
      <c r="D93" s="147"/>
      <c r="E93" s="147"/>
      <c r="F93" s="147"/>
      <c r="G93" s="148"/>
      <c r="H93" s="148"/>
      <c r="I93" s="148"/>
      <c r="J93" s="148"/>
      <c r="K93" s="149"/>
      <c r="L93" s="149"/>
      <c r="M93" s="150"/>
      <c r="N93" s="168"/>
      <c r="O93" s="168"/>
      <c r="P93" s="168"/>
      <c r="Q93" s="152"/>
      <c r="R93" s="152"/>
    </row>
  </sheetData>
  <mergeCells count="2">
    <mergeCell ref="A6:M6"/>
    <mergeCell ref="A5:M5"/>
  </mergeCells>
  <conditionalFormatting sqref="C10:E88">
    <cfRule type="expression" dxfId="106" priority="11" stopIfTrue="1">
      <formula>LEFT($IC10,3)="TIR"</formula>
    </cfRule>
  </conditionalFormatting>
  <conditionalFormatting sqref="M1:M4 G10:H88 K10:K88 M89:M55623">
    <cfRule type="expression" dxfId="105" priority="130" stopIfTrue="1">
      <formula>LEFT(#REF!,3)="TIR"</formula>
    </cfRule>
  </conditionalFormatting>
  <conditionalFormatting sqref="B10:F88 L10:M88">
    <cfRule type="expression" dxfId="104" priority="134" stopIfTrue="1">
      <formula>OR(LEFT(#REF!,3)="TIR",LEFT(#REF!,2)="IR")</formula>
    </cfRule>
  </conditionalFormatting>
  <conditionalFormatting sqref="A10:A88 I10:J88">
    <cfRule type="expression" dxfId="103" priority="136" stopIfTrue="1">
      <formula>#REF!&gt;0</formula>
    </cfRule>
    <cfRule type="expression" dxfId="102" priority="137" stopIfTrue="1">
      <formula>LEFT(#REF!,3)="TIR"</formula>
    </cfRule>
  </conditionalFormatting>
  <conditionalFormatting sqref="C10:D88">
    <cfRule type="expression" dxfId="101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0B86-0525-4C89-9953-6AFB45268C0A}">
  <sheetPr codeName="גיליון8">
    <pageSetUpPr fitToPage="1"/>
  </sheetPr>
  <dimension ref="A1:S26"/>
  <sheetViews>
    <sheetView rightToLeft="1" zoomScale="80" zoomScaleNormal="80" workbookViewId="0">
      <selection activeCell="A7" sqref="A7:N21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81" customWidth="1"/>
    <col min="7" max="7" width="11.140625" style="81" customWidth="1"/>
    <col min="8" max="8" width="12" style="81" bestFit="1" customWidth="1"/>
    <col min="9" max="9" width="10.5703125" style="53" customWidth="1"/>
    <col min="10" max="10" width="8.8554687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81"/>
      <c r="G1" s="81"/>
      <c r="H1" s="81"/>
      <c r="I1" s="53"/>
      <c r="J1" s="83"/>
      <c r="K1" s="84"/>
      <c r="L1" s="84"/>
      <c r="M1" s="84"/>
      <c r="N1" s="84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81"/>
      <c r="G2" s="81"/>
      <c r="H2" s="81"/>
      <c r="I2" s="53"/>
      <c r="J2" s="83"/>
      <c r="K2" s="84"/>
      <c r="L2" s="84"/>
      <c r="M2" s="84"/>
      <c r="N2" s="84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81"/>
      <c r="G3" s="81"/>
      <c r="H3" s="81"/>
      <c r="I3" s="53"/>
      <c r="J3" s="83"/>
      <c r="K3" s="84"/>
      <c r="L3" s="84"/>
      <c r="M3" s="84"/>
      <c r="N3" s="84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81"/>
      <c r="G4" s="81"/>
      <c r="H4" s="81"/>
      <c r="I4" s="53"/>
      <c r="J4" s="83"/>
      <c r="K4" s="84"/>
      <c r="L4" s="84"/>
      <c r="M4" s="84"/>
      <c r="N4" s="84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159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3"/>
      <c r="B8" s="16"/>
      <c r="C8" s="16"/>
      <c r="D8" s="16"/>
      <c r="E8" s="16"/>
      <c r="F8" s="16"/>
      <c r="G8" s="73"/>
      <c r="H8" s="46"/>
      <c r="I8" s="15" t="s">
        <v>135</v>
      </c>
      <c r="J8" s="69"/>
      <c r="K8" s="15" t="s">
        <v>137</v>
      </c>
      <c r="L8" s="77" t="s">
        <v>9</v>
      </c>
      <c r="M8" s="77" t="s">
        <v>9</v>
      </c>
      <c r="N8" s="75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37" customFormat="1" ht="12.75" customHeight="1" thickBot="1" x14ac:dyDescent="0.25">
      <c r="A10" s="122" t="s">
        <v>54</v>
      </c>
      <c r="B10" s="88"/>
      <c r="C10" s="88"/>
      <c r="D10" s="88"/>
      <c r="E10" s="88"/>
      <c r="F10" s="123"/>
      <c r="G10" s="123"/>
      <c r="H10" s="123"/>
      <c r="I10" s="126"/>
      <c r="J10" s="123"/>
      <c r="K10" s="125">
        <v>24.292440800000001</v>
      </c>
      <c r="L10" s="88"/>
      <c r="M10" s="88">
        <v>1</v>
      </c>
      <c r="N10" s="103">
        <v>4.1335797129056333E-4</v>
      </c>
    </row>
    <row r="11" spans="1:19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1" t="s">
        <v>238</v>
      </c>
      <c r="G11" s="141" t="s">
        <v>238</v>
      </c>
      <c r="H11" s="141" t="s">
        <v>238</v>
      </c>
      <c r="I11" s="153" t="s">
        <v>238</v>
      </c>
      <c r="J11" s="141" t="s">
        <v>238</v>
      </c>
      <c r="K11" s="142">
        <v>0</v>
      </c>
      <c r="L11" s="140" t="s">
        <v>238</v>
      </c>
      <c r="M11" s="140">
        <v>0</v>
      </c>
      <c r="N11" s="140">
        <v>0</v>
      </c>
    </row>
    <row r="12" spans="1:19" s="137" customFormat="1" x14ac:dyDescent="0.2">
      <c r="A12" s="114" t="s">
        <v>58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1" t="s">
        <v>238</v>
      </c>
      <c r="G12" s="145" t="s">
        <v>238</v>
      </c>
      <c r="H12" s="145" t="s">
        <v>238</v>
      </c>
      <c r="I12" s="155" t="s">
        <v>238</v>
      </c>
      <c r="J12" s="145" t="s">
        <v>238</v>
      </c>
      <c r="K12" s="146">
        <v>0</v>
      </c>
      <c r="L12" s="144" t="s">
        <v>238</v>
      </c>
      <c r="M12" s="144">
        <v>0</v>
      </c>
      <c r="N12" s="140">
        <v>0</v>
      </c>
    </row>
    <row r="13" spans="1:19" s="137" customFormat="1" x14ac:dyDescent="0.2">
      <c r="A13" s="114" t="s">
        <v>587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1" t="s">
        <v>238</v>
      </c>
      <c r="G13" s="145" t="s">
        <v>238</v>
      </c>
      <c r="H13" s="145" t="s">
        <v>238</v>
      </c>
      <c r="I13" s="155" t="s">
        <v>238</v>
      </c>
      <c r="J13" s="145" t="s">
        <v>238</v>
      </c>
      <c r="K13" s="146">
        <v>0</v>
      </c>
      <c r="L13" s="144" t="s">
        <v>238</v>
      </c>
      <c r="M13" s="144">
        <v>0</v>
      </c>
      <c r="N13" s="140">
        <v>0</v>
      </c>
    </row>
    <row r="14" spans="1:19" s="137" customFormat="1" x14ac:dyDescent="0.2">
      <c r="A14" s="114" t="s">
        <v>59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1" t="s">
        <v>238</v>
      </c>
      <c r="G14" s="145" t="s">
        <v>238</v>
      </c>
      <c r="H14" s="145" t="s">
        <v>238</v>
      </c>
      <c r="I14" s="155" t="s">
        <v>238</v>
      </c>
      <c r="J14" s="145" t="s">
        <v>238</v>
      </c>
      <c r="K14" s="146">
        <v>0</v>
      </c>
      <c r="L14" s="144" t="s">
        <v>238</v>
      </c>
      <c r="M14" s="144">
        <v>0</v>
      </c>
      <c r="N14" s="140">
        <v>0</v>
      </c>
    </row>
    <row r="15" spans="1:19" s="137" customFormat="1" x14ac:dyDescent="0.2">
      <c r="A15" s="114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1" t="s">
        <v>238</v>
      </c>
      <c r="G15" s="145" t="s">
        <v>238</v>
      </c>
      <c r="H15" s="145" t="s">
        <v>238</v>
      </c>
      <c r="I15" s="155" t="s">
        <v>238</v>
      </c>
      <c r="J15" s="145" t="s">
        <v>238</v>
      </c>
      <c r="K15" s="146">
        <v>0</v>
      </c>
      <c r="L15" s="144" t="s">
        <v>238</v>
      </c>
      <c r="M15" s="144">
        <v>0</v>
      </c>
      <c r="N15" s="140">
        <v>0</v>
      </c>
    </row>
    <row r="16" spans="1:19" s="137" customFormat="1" x14ac:dyDescent="0.2">
      <c r="A16" s="114" t="s">
        <v>365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1" t="s">
        <v>238</v>
      </c>
      <c r="G16" s="145" t="s">
        <v>238</v>
      </c>
      <c r="H16" s="145" t="s">
        <v>238</v>
      </c>
      <c r="I16" s="155" t="s">
        <v>238</v>
      </c>
      <c r="J16" s="145" t="s">
        <v>238</v>
      </c>
      <c r="K16" s="146">
        <v>24.2924404</v>
      </c>
      <c r="L16" s="144" t="s">
        <v>238</v>
      </c>
      <c r="M16" s="144">
        <v>0.99999998353397235</v>
      </c>
      <c r="N16" s="140">
        <v>0</v>
      </c>
    </row>
    <row r="17" spans="1:16" s="137" customFormat="1" x14ac:dyDescent="0.2">
      <c r="A17" s="114" t="s">
        <v>58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1" t="s">
        <v>238</v>
      </c>
      <c r="G17" s="145" t="s">
        <v>238</v>
      </c>
      <c r="H17" s="145" t="s">
        <v>238</v>
      </c>
      <c r="I17" s="155" t="s">
        <v>238</v>
      </c>
      <c r="J17" s="145" t="s">
        <v>238</v>
      </c>
      <c r="K17" s="146">
        <v>0</v>
      </c>
      <c r="L17" s="144" t="s">
        <v>238</v>
      </c>
      <c r="M17" s="144">
        <v>0</v>
      </c>
      <c r="N17" s="140">
        <v>0</v>
      </c>
    </row>
    <row r="18" spans="1:16" s="137" customFormat="1" x14ac:dyDescent="0.2">
      <c r="A18" s="114" t="s">
        <v>587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1" t="s">
        <v>238</v>
      </c>
      <c r="G18" s="145" t="s">
        <v>238</v>
      </c>
      <c r="H18" s="145" t="s">
        <v>238</v>
      </c>
      <c r="I18" s="155" t="s">
        <v>238</v>
      </c>
      <c r="J18" s="145" t="s">
        <v>238</v>
      </c>
      <c r="K18" s="146">
        <v>0</v>
      </c>
      <c r="L18" s="144" t="s">
        <v>238</v>
      </c>
      <c r="M18" s="144">
        <v>0</v>
      </c>
      <c r="N18" s="140">
        <v>0</v>
      </c>
    </row>
    <row r="19" spans="1:16" s="137" customFormat="1" x14ac:dyDescent="0.2">
      <c r="A19" s="114" t="s">
        <v>59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1" t="s">
        <v>238</v>
      </c>
      <c r="G19" s="145" t="s">
        <v>238</v>
      </c>
      <c r="H19" s="145" t="s">
        <v>238</v>
      </c>
      <c r="I19" s="155" t="s">
        <v>238</v>
      </c>
      <c r="J19" s="145" t="s">
        <v>238</v>
      </c>
      <c r="K19" s="146">
        <v>0</v>
      </c>
      <c r="L19" s="144" t="s">
        <v>238</v>
      </c>
      <c r="M19" s="144">
        <v>0</v>
      </c>
      <c r="N19" s="140">
        <v>0</v>
      </c>
    </row>
    <row r="20" spans="1:16" s="137" customFormat="1" x14ac:dyDescent="0.2">
      <c r="A20" s="114" t="s">
        <v>143</v>
      </c>
      <c r="B20" s="144" t="s">
        <v>238</v>
      </c>
      <c r="C20" s="144" t="s">
        <v>238</v>
      </c>
      <c r="D20" s="144" t="s">
        <v>238</v>
      </c>
      <c r="E20" s="144" t="s">
        <v>238</v>
      </c>
      <c r="F20" s="141" t="s">
        <v>238</v>
      </c>
      <c r="G20" s="145" t="s">
        <v>238</v>
      </c>
      <c r="H20" s="145" t="s">
        <v>238</v>
      </c>
      <c r="I20" s="155" t="s">
        <v>238</v>
      </c>
      <c r="J20" s="145" t="s">
        <v>238</v>
      </c>
      <c r="K20" s="146">
        <v>24.2924401</v>
      </c>
      <c r="L20" s="144" t="s">
        <v>238</v>
      </c>
      <c r="M20" s="144">
        <v>0.99999997118445172</v>
      </c>
      <c r="N20" s="140">
        <v>0</v>
      </c>
    </row>
    <row r="21" spans="1:16" x14ac:dyDescent="0.2">
      <c r="A21" s="232" t="s">
        <v>588</v>
      </c>
      <c r="B21" s="233" t="s">
        <v>589</v>
      </c>
      <c r="C21" s="233" t="s">
        <v>220</v>
      </c>
      <c r="D21" s="233" t="s">
        <v>238</v>
      </c>
      <c r="E21" s="233" t="s">
        <v>238</v>
      </c>
      <c r="F21" s="234" t="s">
        <v>590</v>
      </c>
      <c r="G21" s="235" t="s">
        <v>370</v>
      </c>
      <c r="H21" s="235" t="s">
        <v>126</v>
      </c>
      <c r="I21" s="236">
        <v>6814.15</v>
      </c>
      <c r="J21" s="235">
        <v>100</v>
      </c>
      <c r="K21" s="237">
        <v>24.292439999999999</v>
      </c>
      <c r="L21" s="233" t="s">
        <v>238</v>
      </c>
      <c r="M21" s="233">
        <v>0.99999996706794481</v>
      </c>
      <c r="N21" s="238">
        <v>4.1335795767783579E-4</v>
      </c>
      <c r="O21" s="28"/>
      <c r="P21" s="28"/>
    </row>
    <row r="22" spans="1:16" s="137" customFormat="1" x14ac:dyDescent="0.2">
      <c r="A22" s="99" t="s">
        <v>230</v>
      </c>
      <c r="B22" s="147"/>
      <c r="C22" s="147"/>
      <c r="D22" s="147"/>
      <c r="E22" s="147"/>
      <c r="F22" s="148"/>
      <c r="G22" s="148"/>
      <c r="H22" s="148"/>
      <c r="I22" s="149"/>
      <c r="J22" s="150"/>
      <c r="K22" s="151"/>
      <c r="L22" s="151"/>
      <c r="M22" s="151"/>
      <c r="N22" s="151"/>
      <c r="O22" s="152"/>
      <c r="P22" s="152"/>
    </row>
    <row r="23" spans="1:16" s="137" customFormat="1" x14ac:dyDescent="0.2">
      <c r="A23" s="99" t="s">
        <v>231</v>
      </c>
      <c r="B23" s="147"/>
      <c r="C23" s="147"/>
      <c r="D23" s="147"/>
      <c r="E23" s="147"/>
      <c r="F23" s="148"/>
      <c r="G23" s="148"/>
      <c r="H23" s="148"/>
      <c r="I23" s="149"/>
      <c r="J23" s="150"/>
      <c r="K23" s="151"/>
      <c r="L23" s="151"/>
      <c r="M23" s="151"/>
      <c r="N23" s="151"/>
      <c r="O23" s="152"/>
      <c r="P23" s="152"/>
    </row>
    <row r="24" spans="1:16" s="137" customFormat="1" x14ac:dyDescent="0.2">
      <c r="A24" s="99" t="s">
        <v>232</v>
      </c>
      <c r="B24" s="147"/>
      <c r="C24" s="147"/>
      <c r="D24" s="147"/>
      <c r="E24" s="147"/>
      <c r="F24" s="148"/>
      <c r="G24" s="148"/>
      <c r="H24" s="148"/>
      <c r="I24" s="149"/>
      <c r="J24" s="150"/>
      <c r="K24" s="151"/>
      <c r="L24" s="151"/>
      <c r="M24" s="151"/>
      <c r="N24" s="151"/>
      <c r="O24" s="152"/>
      <c r="P24" s="152"/>
    </row>
    <row r="25" spans="1:16" s="137" customFormat="1" x14ac:dyDescent="0.2">
      <c r="A25" s="99" t="s">
        <v>233</v>
      </c>
      <c r="B25" s="147"/>
      <c r="C25" s="147"/>
      <c r="D25" s="147"/>
      <c r="E25" s="147"/>
      <c r="F25" s="148"/>
      <c r="G25" s="148"/>
      <c r="H25" s="148"/>
      <c r="I25" s="149"/>
      <c r="J25" s="150"/>
      <c r="K25" s="151"/>
      <c r="L25" s="151"/>
      <c r="M25" s="151"/>
      <c r="N25" s="151"/>
      <c r="O25" s="152"/>
      <c r="P25" s="152"/>
    </row>
    <row r="26" spans="1:16" s="137" customFormat="1" x14ac:dyDescent="0.2">
      <c r="A26" s="99" t="s">
        <v>234</v>
      </c>
      <c r="B26" s="147"/>
      <c r="C26" s="147"/>
      <c r="D26" s="147"/>
      <c r="E26" s="147"/>
      <c r="F26" s="148"/>
      <c r="G26" s="148"/>
      <c r="H26" s="148"/>
      <c r="I26" s="149"/>
      <c r="J26" s="150"/>
      <c r="K26" s="151"/>
      <c r="L26" s="151"/>
      <c r="M26" s="151"/>
      <c r="N26" s="151"/>
      <c r="O26" s="152"/>
      <c r="P26" s="152"/>
    </row>
  </sheetData>
  <mergeCells count="2">
    <mergeCell ref="A6:N6"/>
    <mergeCell ref="A5:N5"/>
  </mergeCells>
  <conditionalFormatting sqref="C10:D21">
    <cfRule type="expression" dxfId="100" priority="9" stopIfTrue="1">
      <formula>LEFT($IB10,3)="TIR"</formula>
    </cfRule>
  </conditionalFormatting>
  <conditionalFormatting sqref="J1:J4 I10:J21 L10:L21 J22:J55556">
    <cfRule type="expression" dxfId="99" priority="152" stopIfTrue="1">
      <formula>LEFT(#REF!,3)="TIR"</formula>
    </cfRule>
  </conditionalFormatting>
  <conditionalFormatting sqref="B10:H21 M10:N21">
    <cfRule type="expression" dxfId="98" priority="156" stopIfTrue="1">
      <formula>OR(LEFT(#REF!,3)="TIR",LEFT(#REF!,2)="IR")</formula>
    </cfRule>
  </conditionalFormatting>
  <conditionalFormatting sqref="A10:A21 K10:K21">
    <cfRule type="expression" dxfId="97" priority="158" stopIfTrue="1">
      <formula>#REF!&gt;0</formula>
    </cfRule>
    <cfRule type="expression" dxfId="96" priority="159" stopIfTrue="1">
      <formula>LEFT(#REF!,3)="TIR"</formula>
    </cfRule>
  </conditionalFormatting>
  <conditionalFormatting sqref="C10:D21">
    <cfRule type="expression" dxfId="95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C2A5-5E8C-4DBE-ACE2-FE23B1BD7FB7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3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81"/>
      <c r="F1" s="81"/>
      <c r="G1" s="81"/>
      <c r="H1" s="53"/>
      <c r="I1" s="83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81"/>
      <c r="F2" s="81"/>
      <c r="G2" s="81"/>
      <c r="H2" s="53"/>
      <c r="I2" s="83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81"/>
      <c r="F3" s="81"/>
      <c r="G3" s="81"/>
      <c r="H3" s="53"/>
      <c r="I3" s="83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81"/>
      <c r="G4" s="81"/>
      <c r="H4" s="53"/>
      <c r="I4" s="83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159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135</v>
      </c>
      <c r="G8" s="69"/>
      <c r="H8" s="15" t="s">
        <v>137</v>
      </c>
      <c r="I8" s="69" t="s">
        <v>9</v>
      </c>
      <c r="J8" s="69" t="s">
        <v>9</v>
      </c>
      <c r="K8" s="75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4">
        <v>10</v>
      </c>
    </row>
    <row r="10" spans="1:16" s="137" customFormat="1" ht="12.75" customHeight="1" thickBot="1" x14ac:dyDescent="0.25">
      <c r="A10" s="169" t="s">
        <v>55</v>
      </c>
      <c r="B10" s="91"/>
      <c r="C10" s="91"/>
      <c r="D10" s="91"/>
      <c r="E10" s="170"/>
      <c r="F10" s="175"/>
      <c r="G10" s="170"/>
      <c r="H10" s="173">
        <v>2.0000000000000002E-7</v>
      </c>
      <c r="I10" s="91"/>
      <c r="J10" s="105">
        <v>1</v>
      </c>
      <c r="K10" s="104">
        <v>0</v>
      </c>
    </row>
    <row r="11" spans="1:16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1" t="s">
        <v>238</v>
      </c>
      <c r="F11" s="153" t="s">
        <v>238</v>
      </c>
      <c r="G11" s="141" t="s">
        <v>238</v>
      </c>
      <c r="H11" s="142">
        <v>0</v>
      </c>
      <c r="I11" s="140" t="s">
        <v>238</v>
      </c>
      <c r="J11" s="140">
        <v>0</v>
      </c>
      <c r="K11" s="140">
        <v>0</v>
      </c>
    </row>
    <row r="12" spans="1:16" s="137" customFormat="1" x14ac:dyDescent="0.2">
      <c r="A12" s="114" t="s">
        <v>591</v>
      </c>
      <c r="B12" s="140" t="s">
        <v>238</v>
      </c>
      <c r="C12" s="144" t="s">
        <v>238</v>
      </c>
      <c r="D12" s="144" t="s">
        <v>238</v>
      </c>
      <c r="E12" s="145" t="s">
        <v>238</v>
      </c>
      <c r="F12" s="155" t="s">
        <v>238</v>
      </c>
      <c r="G12" s="141" t="s">
        <v>238</v>
      </c>
      <c r="H12" s="146">
        <v>0</v>
      </c>
      <c r="I12" s="144" t="s">
        <v>238</v>
      </c>
      <c r="J12" s="140">
        <v>0</v>
      </c>
      <c r="K12" s="140">
        <v>0</v>
      </c>
    </row>
    <row r="13" spans="1:16" s="137" customFormat="1" x14ac:dyDescent="0.2">
      <c r="A13" s="114" t="s">
        <v>365</v>
      </c>
      <c r="B13" s="140" t="s">
        <v>238</v>
      </c>
      <c r="C13" s="144" t="s">
        <v>238</v>
      </c>
      <c r="D13" s="144" t="s">
        <v>238</v>
      </c>
      <c r="E13" s="145" t="s">
        <v>238</v>
      </c>
      <c r="F13" s="155" t="s">
        <v>238</v>
      </c>
      <c r="G13" s="141" t="s">
        <v>238</v>
      </c>
      <c r="H13" s="146">
        <v>0</v>
      </c>
      <c r="I13" s="144" t="s">
        <v>238</v>
      </c>
      <c r="J13" s="140">
        <v>0</v>
      </c>
      <c r="K13" s="140">
        <v>0</v>
      </c>
    </row>
    <row r="14" spans="1:16" s="137" customFormat="1" x14ac:dyDescent="0.2">
      <c r="A14" s="239" t="s">
        <v>592</v>
      </c>
      <c r="B14" s="230" t="s">
        <v>238</v>
      </c>
      <c r="C14" s="226" t="s">
        <v>238</v>
      </c>
      <c r="D14" s="226" t="s">
        <v>238</v>
      </c>
      <c r="E14" s="228" t="s">
        <v>238</v>
      </c>
      <c r="F14" s="244" t="s">
        <v>238</v>
      </c>
      <c r="G14" s="227" t="s">
        <v>238</v>
      </c>
      <c r="H14" s="229">
        <v>0</v>
      </c>
      <c r="I14" s="226" t="s">
        <v>238</v>
      </c>
      <c r="J14" s="230">
        <v>0</v>
      </c>
      <c r="K14" s="230">
        <v>0</v>
      </c>
    </row>
    <row r="15" spans="1:16" s="137" customFormat="1" x14ac:dyDescent="0.2">
      <c r="A15" s="99" t="s">
        <v>230</v>
      </c>
      <c r="B15" s="147"/>
      <c r="C15" s="147"/>
      <c r="D15" s="147"/>
      <c r="E15" s="148"/>
      <c r="F15" s="148"/>
      <c r="G15" s="148"/>
      <c r="H15" s="149"/>
      <c r="I15" s="150"/>
      <c r="J15" s="150"/>
      <c r="K15" s="151"/>
      <c r="L15" s="168"/>
      <c r="M15" s="168"/>
      <c r="N15" s="152"/>
      <c r="O15" s="152"/>
    </row>
    <row r="16" spans="1:16" s="137" customFormat="1" x14ac:dyDescent="0.2">
      <c r="A16" s="99" t="s">
        <v>231</v>
      </c>
      <c r="B16" s="147"/>
      <c r="C16" s="147"/>
      <c r="D16" s="147"/>
      <c r="E16" s="148"/>
      <c r="F16" s="148"/>
      <c r="G16" s="148"/>
      <c r="H16" s="149"/>
      <c r="I16" s="150"/>
      <c r="J16" s="150"/>
      <c r="K16" s="151"/>
      <c r="L16" s="168"/>
      <c r="M16" s="168"/>
      <c r="N16" s="152"/>
      <c r="O16" s="152"/>
    </row>
    <row r="17" spans="1:15" s="137" customFormat="1" x14ac:dyDescent="0.2">
      <c r="A17" s="99" t="s">
        <v>232</v>
      </c>
      <c r="B17" s="147"/>
      <c r="C17" s="147"/>
      <c r="D17" s="147"/>
      <c r="E17" s="148"/>
      <c r="F17" s="148"/>
      <c r="G17" s="148"/>
      <c r="H17" s="149"/>
      <c r="I17" s="150"/>
      <c r="J17" s="150"/>
      <c r="K17" s="151"/>
      <c r="L17" s="168"/>
      <c r="M17" s="168"/>
      <c r="N17" s="152"/>
      <c r="O17" s="152"/>
    </row>
    <row r="18" spans="1:15" s="137" customFormat="1" x14ac:dyDescent="0.2">
      <c r="A18" s="99" t="s">
        <v>233</v>
      </c>
      <c r="B18" s="147"/>
      <c r="C18" s="147"/>
      <c r="D18" s="147"/>
      <c r="E18" s="148"/>
      <c r="F18" s="148"/>
      <c r="G18" s="148"/>
      <c r="H18" s="149"/>
      <c r="I18" s="150"/>
      <c r="J18" s="150"/>
      <c r="K18" s="151"/>
      <c r="L18" s="168"/>
      <c r="M18" s="168"/>
      <c r="N18" s="152"/>
      <c r="O18" s="152"/>
    </row>
    <row r="19" spans="1:15" s="137" customFormat="1" x14ac:dyDescent="0.2">
      <c r="A19" s="99" t="s">
        <v>234</v>
      </c>
      <c r="B19" s="147"/>
      <c r="C19" s="147"/>
      <c r="D19" s="147"/>
      <c r="E19" s="148"/>
      <c r="F19" s="148"/>
      <c r="G19" s="148"/>
      <c r="H19" s="149"/>
      <c r="I19" s="150"/>
      <c r="J19" s="150"/>
      <c r="K19" s="151"/>
      <c r="L19" s="168"/>
      <c r="M19" s="168"/>
      <c r="N19" s="152"/>
      <c r="O19" s="152"/>
    </row>
  </sheetData>
  <mergeCells count="2">
    <mergeCell ref="A6:K6"/>
    <mergeCell ref="A5:K5"/>
  </mergeCells>
  <conditionalFormatting sqref="B11:E14 J11:K14">
    <cfRule type="expression" dxfId="94" priority="168" stopIfTrue="1">
      <formula>OR(LEFT(#REF!,3)="TIR",LEFT(#REF!,2)="IR")</formula>
    </cfRule>
  </conditionalFormatting>
  <conditionalFormatting sqref="A10:A14 H10:H14">
    <cfRule type="expression" dxfId="93" priority="170" stopIfTrue="1">
      <formula>#REF!&gt;0</formula>
    </cfRule>
  </conditionalFormatting>
  <conditionalFormatting sqref="G11:G14">
    <cfRule type="expression" dxfId="92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1FF3-6363-44BF-85B7-377701712BCD}">
  <sheetPr codeName="גיליון10">
    <pageSetUpPr fitToPage="1"/>
  </sheetPr>
  <dimension ref="A1:P27"/>
  <sheetViews>
    <sheetView rightToLeft="1" zoomScale="90" zoomScaleNormal="90" workbookViewId="0">
      <selection activeCell="A7" sqref="A7:K22"/>
    </sheetView>
  </sheetViews>
  <sheetFormatPr defaultRowHeight="12.75" x14ac:dyDescent="0.2"/>
  <cols>
    <col min="1" max="1" width="21.7109375" style="23" customWidth="1"/>
    <col min="2" max="2" width="15.855468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1" customWidth="1"/>
    <col min="7" max="7" width="8.7109375" style="81" bestFit="1" customWidth="1"/>
    <col min="8" max="8" width="9.5703125" style="81" customWidth="1"/>
    <col min="9" max="9" width="21.140625" style="53" customWidth="1"/>
    <col min="10" max="10" width="24" style="83" customWidth="1"/>
    <col min="11" max="11" width="19.5703125" style="85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81"/>
      <c r="G1" s="81"/>
      <c r="H1" s="81"/>
      <c r="I1" s="53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81"/>
      <c r="G2" s="81"/>
      <c r="H2" s="81"/>
      <c r="I2" s="53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81"/>
      <c r="G3" s="81"/>
      <c r="H3" s="81"/>
      <c r="I3" s="53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81"/>
      <c r="G4" s="81"/>
      <c r="H4" s="81"/>
      <c r="I4" s="53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159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135</v>
      </c>
      <c r="G8" s="69"/>
      <c r="H8" s="15" t="s">
        <v>137</v>
      </c>
      <c r="I8" s="69" t="s">
        <v>9</v>
      </c>
      <c r="J8" s="77"/>
      <c r="K8" s="75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4">
        <v>10</v>
      </c>
    </row>
    <row r="10" spans="1:16" s="137" customFormat="1" ht="12.75" customHeight="1" thickBot="1" x14ac:dyDescent="0.25">
      <c r="A10" s="169" t="s">
        <v>56</v>
      </c>
      <c r="B10" s="91"/>
      <c r="C10" s="91"/>
      <c r="D10" s="91"/>
      <c r="E10" s="170"/>
      <c r="F10" s="171"/>
      <c r="G10" s="175"/>
      <c r="H10" s="130">
        <v>4.6800899999999999E-2</v>
      </c>
      <c r="I10" s="91"/>
      <c r="J10" s="91">
        <v>1</v>
      </c>
      <c r="K10" s="104">
        <v>7.9635987333856239E-7</v>
      </c>
    </row>
    <row r="11" spans="1:16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1" t="s">
        <v>238</v>
      </c>
      <c r="F11" s="153" t="s">
        <v>238</v>
      </c>
      <c r="G11" s="141" t="s">
        <v>238</v>
      </c>
      <c r="H11" s="142">
        <v>0</v>
      </c>
      <c r="I11" s="140" t="s">
        <v>238</v>
      </c>
      <c r="J11" s="140">
        <v>0</v>
      </c>
      <c r="K11" s="140">
        <v>0</v>
      </c>
    </row>
    <row r="12" spans="1:16" s="137" customFormat="1" x14ac:dyDescent="0.2">
      <c r="A12" s="114" t="s">
        <v>593</v>
      </c>
      <c r="B12" s="140" t="s">
        <v>238</v>
      </c>
      <c r="C12" s="140" t="s">
        <v>238</v>
      </c>
      <c r="D12" s="140" t="s">
        <v>238</v>
      </c>
      <c r="E12" s="141" t="s">
        <v>238</v>
      </c>
      <c r="F12" s="155" t="s">
        <v>238</v>
      </c>
      <c r="G12" s="141" t="s">
        <v>238</v>
      </c>
      <c r="H12" s="146">
        <v>0</v>
      </c>
      <c r="I12" s="144" t="s">
        <v>238</v>
      </c>
      <c r="J12" s="140">
        <v>0</v>
      </c>
      <c r="K12" s="144">
        <v>0</v>
      </c>
    </row>
    <row r="13" spans="1:16" s="137" customFormat="1" x14ac:dyDescent="0.2">
      <c r="A13" s="114" t="s">
        <v>594</v>
      </c>
      <c r="B13" s="140" t="s">
        <v>238</v>
      </c>
      <c r="C13" s="140" t="s">
        <v>238</v>
      </c>
      <c r="D13" s="140" t="s">
        <v>238</v>
      </c>
      <c r="E13" s="141" t="s">
        <v>238</v>
      </c>
      <c r="F13" s="155" t="s">
        <v>238</v>
      </c>
      <c r="G13" s="141" t="s">
        <v>238</v>
      </c>
      <c r="H13" s="146">
        <v>0</v>
      </c>
      <c r="I13" s="144" t="s">
        <v>238</v>
      </c>
      <c r="J13" s="140">
        <v>0</v>
      </c>
      <c r="K13" s="144">
        <v>0</v>
      </c>
    </row>
    <row r="14" spans="1:16" s="137" customFormat="1" x14ac:dyDescent="0.2">
      <c r="A14" s="114" t="s">
        <v>595</v>
      </c>
      <c r="B14" s="140" t="s">
        <v>238</v>
      </c>
      <c r="C14" s="140" t="s">
        <v>238</v>
      </c>
      <c r="D14" s="140" t="s">
        <v>238</v>
      </c>
      <c r="E14" s="141" t="s">
        <v>238</v>
      </c>
      <c r="F14" s="155" t="s">
        <v>238</v>
      </c>
      <c r="G14" s="141" t="s">
        <v>238</v>
      </c>
      <c r="H14" s="146">
        <v>0</v>
      </c>
      <c r="I14" s="144" t="s">
        <v>238</v>
      </c>
      <c r="J14" s="140">
        <v>0</v>
      </c>
      <c r="K14" s="144">
        <v>0</v>
      </c>
    </row>
    <row r="15" spans="1:16" s="137" customFormat="1" x14ac:dyDescent="0.2">
      <c r="A15" s="114" t="s">
        <v>143</v>
      </c>
      <c r="B15" s="140" t="s">
        <v>238</v>
      </c>
      <c r="C15" s="140" t="s">
        <v>238</v>
      </c>
      <c r="D15" s="140" t="s">
        <v>238</v>
      </c>
      <c r="E15" s="141" t="s">
        <v>238</v>
      </c>
      <c r="F15" s="155" t="s">
        <v>238</v>
      </c>
      <c r="G15" s="141" t="s">
        <v>238</v>
      </c>
      <c r="H15" s="146">
        <v>0</v>
      </c>
      <c r="I15" s="144" t="s">
        <v>238</v>
      </c>
      <c r="J15" s="140">
        <v>0</v>
      </c>
      <c r="K15" s="144">
        <v>0</v>
      </c>
    </row>
    <row r="16" spans="1:16" s="137" customFormat="1" x14ac:dyDescent="0.2">
      <c r="A16" s="114" t="s">
        <v>365</v>
      </c>
      <c r="B16" s="140" t="s">
        <v>238</v>
      </c>
      <c r="C16" s="140" t="s">
        <v>238</v>
      </c>
      <c r="D16" s="140" t="s">
        <v>238</v>
      </c>
      <c r="E16" s="141" t="s">
        <v>238</v>
      </c>
      <c r="F16" s="155" t="s">
        <v>238</v>
      </c>
      <c r="G16" s="141" t="s">
        <v>238</v>
      </c>
      <c r="H16" s="146">
        <v>4.6800500000000002E-2</v>
      </c>
      <c r="I16" s="144" t="s">
        <v>238</v>
      </c>
      <c r="J16" s="140">
        <v>0.99999145315581539</v>
      </c>
      <c r="K16" s="144">
        <v>7.963530669748101E-7</v>
      </c>
    </row>
    <row r="17" spans="1:15" s="137" customFormat="1" x14ac:dyDescent="0.2">
      <c r="A17" s="114" t="s">
        <v>593</v>
      </c>
      <c r="B17" s="140" t="s">
        <v>238</v>
      </c>
      <c r="C17" s="140" t="s">
        <v>238</v>
      </c>
      <c r="D17" s="140" t="s">
        <v>238</v>
      </c>
      <c r="E17" s="141" t="s">
        <v>238</v>
      </c>
      <c r="F17" s="155" t="s">
        <v>238</v>
      </c>
      <c r="G17" s="141" t="s">
        <v>238</v>
      </c>
      <c r="H17" s="146">
        <v>4.6800099999999997E-2</v>
      </c>
      <c r="I17" s="144" t="s">
        <v>238</v>
      </c>
      <c r="J17" s="140">
        <v>0.99998290631163078</v>
      </c>
      <c r="K17" s="144">
        <v>7.9634626061105771E-7</v>
      </c>
    </row>
    <row r="18" spans="1:15" x14ac:dyDescent="0.2">
      <c r="A18" s="33" t="s">
        <v>596</v>
      </c>
      <c r="B18" s="49" t="s">
        <v>597</v>
      </c>
      <c r="C18" s="49" t="s">
        <v>220</v>
      </c>
      <c r="D18" s="49" t="s">
        <v>189</v>
      </c>
      <c r="E18" s="87" t="s">
        <v>127</v>
      </c>
      <c r="F18" s="90">
        <v>6</v>
      </c>
      <c r="G18" s="87">
        <v>20</v>
      </c>
      <c r="H18" s="115">
        <v>4.6799999999999994E-2</v>
      </c>
      <c r="I18" s="41" t="s">
        <v>238</v>
      </c>
      <c r="J18" s="49">
        <v>0.99998076960058457</v>
      </c>
      <c r="K18" s="41">
        <v>7.9634455902011954E-7</v>
      </c>
      <c r="L18" s="28"/>
      <c r="M18" s="28"/>
      <c r="N18" s="28"/>
      <c r="O18" s="28"/>
    </row>
    <row r="19" spans="1:15" s="137" customFormat="1" x14ac:dyDescent="0.2">
      <c r="A19" s="114" t="s">
        <v>598</v>
      </c>
      <c r="B19" s="140" t="s">
        <v>238</v>
      </c>
      <c r="C19" s="140" t="s">
        <v>238</v>
      </c>
      <c r="D19" s="140" t="s">
        <v>238</v>
      </c>
      <c r="E19" s="141" t="s">
        <v>238</v>
      </c>
      <c r="F19" s="155" t="s">
        <v>238</v>
      </c>
      <c r="G19" s="141" t="s">
        <v>238</v>
      </c>
      <c r="H19" s="146">
        <v>0</v>
      </c>
      <c r="I19" s="144" t="s">
        <v>238</v>
      </c>
      <c r="J19" s="140">
        <v>0</v>
      </c>
      <c r="K19" s="144">
        <v>0</v>
      </c>
    </row>
    <row r="20" spans="1:15" s="137" customFormat="1" x14ac:dyDescent="0.2">
      <c r="A20" s="114" t="s">
        <v>595</v>
      </c>
      <c r="B20" s="140" t="s">
        <v>238</v>
      </c>
      <c r="C20" s="140" t="s">
        <v>238</v>
      </c>
      <c r="D20" s="140" t="s">
        <v>238</v>
      </c>
      <c r="E20" s="141" t="s">
        <v>238</v>
      </c>
      <c r="F20" s="155" t="s">
        <v>238</v>
      </c>
      <c r="G20" s="141" t="s">
        <v>238</v>
      </c>
      <c r="H20" s="146">
        <v>0</v>
      </c>
      <c r="I20" s="144" t="s">
        <v>238</v>
      </c>
      <c r="J20" s="140">
        <v>0</v>
      </c>
      <c r="K20" s="144">
        <v>0</v>
      </c>
    </row>
    <row r="21" spans="1:15" s="137" customFormat="1" x14ac:dyDescent="0.2">
      <c r="A21" s="114" t="s">
        <v>599</v>
      </c>
      <c r="B21" s="140" t="s">
        <v>238</v>
      </c>
      <c r="C21" s="140" t="s">
        <v>238</v>
      </c>
      <c r="D21" s="140" t="s">
        <v>238</v>
      </c>
      <c r="E21" s="141" t="s">
        <v>238</v>
      </c>
      <c r="F21" s="155" t="s">
        <v>238</v>
      </c>
      <c r="G21" s="141" t="s">
        <v>238</v>
      </c>
      <c r="H21" s="146">
        <v>0</v>
      </c>
      <c r="I21" s="144" t="s">
        <v>238</v>
      </c>
      <c r="J21" s="140">
        <v>0</v>
      </c>
      <c r="K21" s="144">
        <v>0</v>
      </c>
    </row>
    <row r="22" spans="1:15" s="137" customFormat="1" x14ac:dyDescent="0.2">
      <c r="A22" s="239" t="s">
        <v>143</v>
      </c>
      <c r="B22" s="230" t="s">
        <v>238</v>
      </c>
      <c r="C22" s="230" t="s">
        <v>238</v>
      </c>
      <c r="D22" s="230" t="s">
        <v>238</v>
      </c>
      <c r="E22" s="227" t="s">
        <v>238</v>
      </c>
      <c r="F22" s="244" t="s">
        <v>238</v>
      </c>
      <c r="G22" s="227" t="s">
        <v>238</v>
      </c>
      <c r="H22" s="229">
        <v>0</v>
      </c>
      <c r="I22" s="226" t="s">
        <v>238</v>
      </c>
      <c r="J22" s="230">
        <v>0</v>
      </c>
      <c r="K22" s="226">
        <v>0</v>
      </c>
    </row>
    <row r="23" spans="1:15" s="137" customFormat="1" x14ac:dyDescent="0.2">
      <c r="A23" s="99" t="s">
        <v>230</v>
      </c>
      <c r="B23" s="147"/>
      <c r="C23" s="147"/>
      <c r="D23" s="147"/>
      <c r="E23" s="147"/>
      <c r="F23" s="148"/>
      <c r="G23" s="148"/>
      <c r="H23" s="148"/>
      <c r="I23" s="149"/>
      <c r="J23" s="150"/>
      <c r="K23" s="151"/>
      <c r="L23" s="168"/>
      <c r="M23" s="168"/>
      <c r="N23" s="152"/>
      <c r="O23" s="152"/>
    </row>
    <row r="24" spans="1:15" s="137" customFormat="1" x14ac:dyDescent="0.2">
      <c r="A24" s="99" t="s">
        <v>231</v>
      </c>
      <c r="B24" s="147"/>
      <c r="C24" s="147"/>
      <c r="D24" s="147"/>
      <c r="E24" s="147"/>
      <c r="F24" s="148"/>
      <c r="G24" s="148"/>
      <c r="H24" s="148"/>
      <c r="I24" s="149"/>
      <c r="J24" s="150"/>
      <c r="K24" s="151"/>
      <c r="L24" s="168"/>
      <c r="M24" s="168"/>
      <c r="N24" s="152"/>
      <c r="O24" s="152"/>
    </row>
    <row r="25" spans="1:15" s="137" customFormat="1" x14ac:dyDescent="0.2">
      <c r="A25" s="99" t="s">
        <v>232</v>
      </c>
      <c r="B25" s="147"/>
      <c r="C25" s="147"/>
      <c r="D25" s="147"/>
      <c r="E25" s="147"/>
      <c r="F25" s="148"/>
      <c r="G25" s="148"/>
      <c r="H25" s="148"/>
      <c r="I25" s="149"/>
      <c r="J25" s="150"/>
      <c r="K25" s="151"/>
      <c r="L25" s="168"/>
      <c r="M25" s="168"/>
      <c r="N25" s="152"/>
      <c r="O25" s="152"/>
    </row>
    <row r="26" spans="1:15" s="137" customFormat="1" x14ac:dyDescent="0.2">
      <c r="A26" s="99" t="s">
        <v>233</v>
      </c>
      <c r="B26" s="147"/>
      <c r="C26" s="147"/>
      <c r="D26" s="147"/>
      <c r="E26" s="147"/>
      <c r="F26" s="148"/>
      <c r="G26" s="148"/>
      <c r="H26" s="148"/>
      <c r="I26" s="149"/>
      <c r="J26" s="150"/>
      <c r="K26" s="151"/>
      <c r="L26" s="168"/>
      <c r="M26" s="168"/>
      <c r="N26" s="152"/>
      <c r="O26" s="152"/>
    </row>
    <row r="27" spans="1:15" s="137" customFormat="1" x14ac:dyDescent="0.2">
      <c r="A27" s="99" t="s">
        <v>234</v>
      </c>
      <c r="B27" s="147"/>
      <c r="C27" s="147"/>
      <c r="D27" s="147"/>
      <c r="E27" s="147"/>
      <c r="F27" s="148"/>
      <c r="G27" s="148"/>
      <c r="H27" s="148"/>
      <c r="I27" s="149"/>
      <c r="J27" s="150"/>
      <c r="K27" s="151"/>
      <c r="L27" s="168"/>
      <c r="M27" s="168"/>
      <c r="N27" s="152"/>
      <c r="O27" s="152"/>
    </row>
  </sheetData>
  <mergeCells count="2">
    <mergeCell ref="A6:K6"/>
    <mergeCell ref="A5:K5"/>
  </mergeCells>
  <conditionalFormatting sqref="J1:J4 F10:I22 I23:I55557">
    <cfRule type="expression" dxfId="91" priority="183" stopIfTrue="1">
      <formula>LEFT(#REF!,3)="TIR"</formula>
    </cfRule>
  </conditionalFormatting>
  <conditionalFormatting sqref="B10:F22 J10:K22">
    <cfRule type="expression" dxfId="90" priority="186" stopIfTrue="1">
      <formula>LEFT(#REF!,3)="TIR"</formula>
    </cfRule>
  </conditionalFormatting>
  <conditionalFormatting sqref="A10:A22 I10:I22">
    <cfRule type="expression" dxfId="89" priority="188" stopIfTrue="1">
      <formula>#REF!&gt;0</formula>
    </cfRule>
    <cfRule type="expression" dxfId="88" priority="189" stopIfTrue="1">
      <formula>LEFT(#REF!,3)="TIR"</formula>
    </cfRule>
  </conditionalFormatting>
  <conditionalFormatting sqref="H11:H22 J11:K22">
    <cfRule type="expression" dxfId="87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2DCC-4F51-4C94-8A52-4C866828CD60}">
  <sheetPr codeName="גיליון11">
    <pageSetUpPr fitToPage="1"/>
  </sheetPr>
  <dimension ref="A1:P20"/>
  <sheetViews>
    <sheetView rightToLeft="1" workbookViewId="0">
      <selection activeCell="A7" sqref="A7:J15"/>
    </sheetView>
  </sheetViews>
  <sheetFormatPr defaultRowHeight="12.75" x14ac:dyDescent="0.2"/>
  <cols>
    <col min="1" max="1" width="22.28515625" style="23" customWidth="1"/>
    <col min="2" max="2" width="14.42578125" style="22" bestFit="1" customWidth="1"/>
    <col min="3" max="3" width="11.7109375" style="23" customWidth="1"/>
    <col min="4" max="4" width="11" style="23" customWidth="1"/>
    <col min="5" max="5" width="11.140625" style="81" bestFit="1" customWidth="1"/>
    <col min="6" max="6" width="10.140625" style="24" customWidth="1"/>
    <col min="7" max="7" width="7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81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81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81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81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159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135</v>
      </c>
      <c r="G8" s="15"/>
      <c r="H8" s="15" t="s">
        <v>137</v>
      </c>
      <c r="I8" s="47" t="s">
        <v>9</v>
      </c>
      <c r="J8" s="19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4">
        <v>9</v>
      </c>
    </row>
    <row r="10" spans="1:16" s="137" customFormat="1" ht="12.75" customHeight="1" thickBot="1" x14ac:dyDescent="0.25">
      <c r="A10" s="169" t="s">
        <v>62</v>
      </c>
      <c r="B10" s="91"/>
      <c r="C10" s="91"/>
      <c r="D10" s="91"/>
      <c r="E10" s="170"/>
      <c r="F10" s="171"/>
      <c r="G10" s="170"/>
      <c r="H10" s="173">
        <v>-42.9811598</v>
      </c>
      <c r="I10" s="91">
        <v>1</v>
      </c>
      <c r="J10" s="104">
        <v>-7.313635202372713E-4</v>
      </c>
    </row>
    <row r="11" spans="1:16" s="137" customFormat="1" x14ac:dyDescent="0.2">
      <c r="A11" s="113" t="s">
        <v>139</v>
      </c>
      <c r="B11" s="140" t="s">
        <v>238</v>
      </c>
      <c r="C11" s="140" t="s">
        <v>238</v>
      </c>
      <c r="D11" s="140"/>
      <c r="E11" s="141" t="s">
        <v>238</v>
      </c>
      <c r="F11" s="153" t="s">
        <v>238</v>
      </c>
      <c r="G11" s="141" t="s">
        <v>238</v>
      </c>
      <c r="H11" s="142">
        <v>0</v>
      </c>
      <c r="I11" s="140">
        <v>0</v>
      </c>
      <c r="J11" s="140">
        <v>0</v>
      </c>
    </row>
    <row r="12" spans="1:16" s="137" customFormat="1" x14ac:dyDescent="0.2">
      <c r="A12" s="114" t="s">
        <v>365</v>
      </c>
      <c r="B12" s="140" t="s">
        <v>238</v>
      </c>
      <c r="C12" s="144" t="s">
        <v>238</v>
      </c>
      <c r="D12" s="144"/>
      <c r="E12" s="145" t="s">
        <v>238</v>
      </c>
      <c r="F12" s="155" t="s">
        <v>238</v>
      </c>
      <c r="G12" s="145" t="s">
        <v>238</v>
      </c>
      <c r="H12" s="146">
        <v>-42.981159900000002</v>
      </c>
      <c r="I12" s="140">
        <v>1.0000000023266007</v>
      </c>
      <c r="J12" s="140">
        <v>-7.313635219388622E-4</v>
      </c>
    </row>
    <row r="13" spans="1:16" x14ac:dyDescent="0.2">
      <c r="A13" s="33" t="s">
        <v>600</v>
      </c>
      <c r="B13" s="49" t="s">
        <v>601</v>
      </c>
      <c r="C13" s="41" t="s">
        <v>220</v>
      </c>
      <c r="D13" s="41" t="s">
        <v>189</v>
      </c>
      <c r="E13" s="82" t="s">
        <v>2</v>
      </c>
      <c r="F13" s="90">
        <v>3</v>
      </c>
      <c r="G13" s="82">
        <v>182.5</v>
      </c>
      <c r="H13" s="106">
        <v>-17.220509999999997</v>
      </c>
      <c r="I13" s="49">
        <v>0.4006525203165876</v>
      </c>
      <c r="J13" s="49">
        <v>-2.9302263765067433E-4</v>
      </c>
      <c r="K13" s="28"/>
      <c r="L13" s="28"/>
      <c r="M13" s="28"/>
      <c r="N13" s="28"/>
      <c r="O13" s="28"/>
    </row>
    <row r="14" spans="1:16" x14ac:dyDescent="0.2">
      <c r="A14" s="33" t="s">
        <v>602</v>
      </c>
      <c r="B14" s="49" t="s">
        <v>603</v>
      </c>
      <c r="C14" s="41" t="s">
        <v>220</v>
      </c>
      <c r="D14" s="41" t="s">
        <v>189</v>
      </c>
      <c r="E14" s="82" t="s">
        <v>127</v>
      </c>
      <c r="F14" s="90">
        <v>2</v>
      </c>
      <c r="G14" s="82">
        <v>2747</v>
      </c>
      <c r="H14" s="106">
        <v>34.868679999999998</v>
      </c>
      <c r="I14" s="49">
        <v>-0.8112549815372827</v>
      </c>
      <c r="J14" s="49">
        <v>5.9332229910712955E-4</v>
      </c>
      <c r="K14" s="28"/>
      <c r="L14" s="28"/>
      <c r="M14" s="28"/>
      <c r="N14" s="28"/>
      <c r="O14" s="28"/>
    </row>
    <row r="15" spans="1:16" x14ac:dyDescent="0.2">
      <c r="A15" s="232" t="s">
        <v>604</v>
      </c>
      <c r="B15" s="238" t="s">
        <v>605</v>
      </c>
      <c r="C15" s="233" t="s">
        <v>220</v>
      </c>
      <c r="D15" s="233" t="s">
        <v>189</v>
      </c>
      <c r="E15" s="235" t="s">
        <v>126</v>
      </c>
      <c r="F15" s="236">
        <v>3</v>
      </c>
      <c r="G15" s="235">
        <v>2569.75</v>
      </c>
      <c r="H15" s="237">
        <v>-60.629330000000003</v>
      </c>
      <c r="I15" s="238">
        <v>1.4106024658738967</v>
      </c>
      <c r="J15" s="238">
        <v>-1.0316631850969084E-3</v>
      </c>
      <c r="K15" s="28"/>
      <c r="L15" s="28"/>
      <c r="M15" s="28"/>
      <c r="N15" s="28"/>
      <c r="O15" s="28"/>
    </row>
    <row r="16" spans="1:16" s="137" customFormat="1" x14ac:dyDescent="0.2">
      <c r="A16" s="99" t="s">
        <v>230</v>
      </c>
      <c r="B16" s="147"/>
      <c r="C16" s="99"/>
      <c r="D16" s="99"/>
      <c r="E16" s="148"/>
      <c r="F16" s="166"/>
      <c r="G16" s="166"/>
      <c r="H16" s="167"/>
      <c r="I16" s="167"/>
      <c r="J16" s="152"/>
      <c r="K16" s="168"/>
      <c r="L16" s="168"/>
      <c r="M16" s="168"/>
      <c r="N16" s="152"/>
      <c r="O16" s="152"/>
    </row>
    <row r="17" spans="1:15" s="137" customFormat="1" x14ac:dyDescent="0.2">
      <c r="A17" s="99" t="s">
        <v>231</v>
      </c>
      <c r="B17" s="147"/>
      <c r="C17" s="99"/>
      <c r="D17" s="99"/>
      <c r="E17" s="148"/>
      <c r="F17" s="166"/>
      <c r="G17" s="166"/>
      <c r="H17" s="167"/>
      <c r="I17" s="167"/>
      <c r="J17" s="152"/>
      <c r="K17" s="168"/>
      <c r="L17" s="168"/>
      <c r="M17" s="168"/>
      <c r="N17" s="152"/>
      <c r="O17" s="152"/>
    </row>
    <row r="18" spans="1:15" s="137" customFormat="1" x14ac:dyDescent="0.2">
      <c r="A18" s="99" t="s">
        <v>232</v>
      </c>
      <c r="B18" s="147"/>
      <c r="C18" s="99"/>
      <c r="D18" s="99"/>
      <c r="E18" s="148"/>
      <c r="F18" s="166"/>
      <c r="G18" s="166"/>
      <c r="H18" s="167"/>
      <c r="I18" s="167"/>
      <c r="J18" s="152"/>
      <c r="K18" s="168"/>
      <c r="L18" s="168"/>
      <c r="M18" s="168"/>
      <c r="N18" s="152"/>
      <c r="O18" s="152"/>
    </row>
    <row r="19" spans="1:15" s="137" customFormat="1" x14ac:dyDescent="0.2">
      <c r="A19" s="99" t="s">
        <v>233</v>
      </c>
      <c r="B19" s="147"/>
      <c r="C19" s="99"/>
      <c r="D19" s="99"/>
      <c r="E19" s="148"/>
      <c r="F19" s="166"/>
      <c r="G19" s="166"/>
      <c r="H19" s="167"/>
      <c r="I19" s="167"/>
      <c r="J19" s="152"/>
      <c r="K19" s="168"/>
      <c r="L19" s="168"/>
      <c r="M19" s="168"/>
      <c r="N19" s="152"/>
      <c r="O19" s="152"/>
    </row>
    <row r="20" spans="1:15" s="137" customFormat="1" x14ac:dyDescent="0.2">
      <c r="A20" s="99" t="s">
        <v>234</v>
      </c>
      <c r="B20" s="147"/>
      <c r="C20" s="99"/>
      <c r="D20" s="99"/>
      <c r="E20" s="148"/>
      <c r="F20" s="166"/>
      <c r="G20" s="166"/>
      <c r="H20" s="167"/>
      <c r="I20" s="167"/>
      <c r="J20" s="152"/>
      <c r="K20" s="168"/>
      <c r="L20" s="168"/>
      <c r="M20" s="168"/>
      <c r="N20" s="152"/>
      <c r="O20" s="152"/>
    </row>
  </sheetData>
  <mergeCells count="2">
    <mergeCell ref="A6:J6"/>
    <mergeCell ref="A5:J5"/>
  </mergeCells>
  <conditionalFormatting sqref="J1:J4 F10:G15 J16:J55550">
    <cfRule type="expression" dxfId="86" priority="209" stopIfTrue="1">
      <formula>LEFT(#REF!,3)="TIR"</formula>
    </cfRule>
  </conditionalFormatting>
  <conditionalFormatting sqref="B10:E15 I10:J15">
    <cfRule type="expression" dxfId="85" priority="212" stopIfTrue="1">
      <formula>LEFT(#REF!,3)="TIR"</formula>
    </cfRule>
  </conditionalFormatting>
  <conditionalFormatting sqref="A10:A15 H10:I10 I11:I15">
    <cfRule type="expression" dxfId="84" priority="214" stopIfTrue="1">
      <formula>#REF!&gt;0</formula>
    </cfRule>
    <cfRule type="expression" dxfId="83" priority="215" stopIfTrue="1">
      <formula>LEFT(#REF!,3)="TIR"</formula>
    </cfRule>
  </conditionalFormatting>
  <conditionalFormatting sqref="J11:J15">
    <cfRule type="expression" dxfId="82" priority="220" stopIfTrue="1">
      <formula>OR(LEFT(#REF!,3)="TIR",LEFT(#REF!,2)="IR")</formula>
    </cfRule>
  </conditionalFormatting>
  <conditionalFormatting sqref="H11:I15">
    <cfRule type="expression" dxfId="81" priority="221" stopIfTrue="1">
      <formula>#REF!&gt;0</formula>
    </cfRule>
    <cfRule type="expression" dxfId="80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1293-C514-40D5-87C3-71A813EC0299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3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81"/>
      <c r="E1" s="81"/>
      <c r="F1" s="81"/>
      <c r="G1" s="53"/>
      <c r="H1" s="83"/>
      <c r="I1" s="84"/>
      <c r="J1" s="84"/>
      <c r="K1" s="84"/>
      <c r="L1" s="83"/>
      <c r="M1" s="83"/>
      <c r="N1" s="86"/>
      <c r="O1" s="86"/>
      <c r="P1" s="60"/>
    </row>
    <row r="2" spans="1:16" s="20" customFormat="1" x14ac:dyDescent="0.2">
      <c r="A2" s="23" t="s">
        <v>226</v>
      </c>
      <c r="B2" s="22" t="s">
        <v>152</v>
      </c>
      <c r="D2" s="81"/>
      <c r="E2" s="81"/>
      <c r="F2" s="81"/>
      <c r="G2" s="53"/>
      <c r="H2" s="83"/>
      <c r="I2" s="84"/>
      <c r="J2" s="84"/>
      <c r="K2" s="84"/>
      <c r="L2" s="83"/>
      <c r="M2" s="83"/>
      <c r="N2" s="86"/>
      <c r="O2" s="86"/>
      <c r="P2" s="60"/>
    </row>
    <row r="3" spans="1:16" s="20" customFormat="1" x14ac:dyDescent="0.2">
      <c r="A3" s="23" t="s">
        <v>227</v>
      </c>
      <c r="B3" s="22" t="s">
        <v>228</v>
      </c>
      <c r="D3" s="81"/>
      <c r="E3" s="81"/>
      <c r="F3" s="81"/>
      <c r="G3" s="53"/>
      <c r="H3" s="83"/>
      <c r="I3" s="84"/>
      <c r="J3" s="84"/>
      <c r="K3" s="84"/>
      <c r="L3" s="83"/>
      <c r="M3" s="83"/>
      <c r="N3" s="86"/>
      <c r="O3" s="86"/>
      <c r="P3" s="60"/>
    </row>
    <row r="4" spans="1:16" s="20" customFormat="1" ht="13.5" thickBot="1" x14ac:dyDescent="0.25">
      <c r="A4" s="23" t="s">
        <v>229</v>
      </c>
      <c r="B4" s="22" t="s">
        <v>236</v>
      </c>
      <c r="D4" s="81"/>
      <c r="E4" s="81"/>
      <c r="F4" s="81"/>
      <c r="G4" s="53"/>
      <c r="H4" s="83"/>
      <c r="I4" s="84"/>
      <c r="J4" s="84"/>
      <c r="K4" s="84"/>
      <c r="L4" s="83"/>
      <c r="M4" s="83"/>
      <c r="N4" s="86"/>
      <c r="O4" s="86"/>
      <c r="P4" s="60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159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3"/>
      <c r="B8" s="16"/>
      <c r="C8" s="16"/>
      <c r="D8" s="16"/>
      <c r="E8" s="73"/>
      <c r="F8" s="73" t="s">
        <v>40</v>
      </c>
      <c r="G8" s="73" t="s">
        <v>16</v>
      </c>
      <c r="H8" s="46"/>
      <c r="I8" s="69" t="s">
        <v>9</v>
      </c>
      <c r="J8" s="69" t="s">
        <v>9</v>
      </c>
      <c r="K8" s="15" t="s">
        <v>135</v>
      </c>
      <c r="L8" s="69"/>
      <c r="M8" s="15" t="s">
        <v>137</v>
      </c>
      <c r="N8" s="77" t="s">
        <v>9</v>
      </c>
      <c r="O8" s="77" t="s">
        <v>9</v>
      </c>
      <c r="P8" s="75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37" customFormat="1" ht="12.75" customHeight="1" thickBot="1" x14ac:dyDescent="0.25">
      <c r="A10" s="122" t="s">
        <v>57</v>
      </c>
      <c r="B10" s="88"/>
      <c r="C10" s="88"/>
      <c r="D10" s="123"/>
      <c r="E10" s="123"/>
      <c r="F10" s="123"/>
      <c r="G10" s="123"/>
      <c r="H10" s="123"/>
      <c r="I10" s="88"/>
      <c r="J10" s="88"/>
      <c r="K10" s="124"/>
      <c r="L10" s="123"/>
      <c r="M10" s="127">
        <v>1.2000000000000002E-6</v>
      </c>
      <c r="N10" s="88"/>
      <c r="O10" s="88">
        <v>1</v>
      </c>
      <c r="P10" s="103">
        <v>0</v>
      </c>
    </row>
    <row r="11" spans="1:16" s="137" customFormat="1" x14ac:dyDescent="0.2">
      <c r="A11" s="113" t="s">
        <v>139</v>
      </c>
      <c r="B11" s="140" t="s">
        <v>238</v>
      </c>
      <c r="C11" s="140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0" t="s">
        <v>238</v>
      </c>
      <c r="J11" s="140" t="s">
        <v>238</v>
      </c>
      <c r="K11" s="153" t="s">
        <v>238</v>
      </c>
      <c r="L11" s="141" t="s">
        <v>238</v>
      </c>
      <c r="M11" s="142">
        <v>0</v>
      </c>
      <c r="N11" s="140" t="s">
        <v>238</v>
      </c>
      <c r="O11" s="140">
        <v>0</v>
      </c>
      <c r="P11" s="140">
        <v>0</v>
      </c>
    </row>
    <row r="12" spans="1:16" s="137" customFormat="1" x14ac:dyDescent="0.2">
      <c r="A12" s="114" t="s">
        <v>606</v>
      </c>
      <c r="B12" s="140" t="s">
        <v>238</v>
      </c>
      <c r="C12" s="144" t="s">
        <v>238</v>
      </c>
      <c r="D12" s="145" t="s">
        <v>238</v>
      </c>
      <c r="E12" s="145" t="s">
        <v>238</v>
      </c>
      <c r="F12" s="145" t="s">
        <v>238</v>
      </c>
      <c r="G12" s="145" t="s">
        <v>238</v>
      </c>
      <c r="H12" s="145" t="s">
        <v>238</v>
      </c>
      <c r="I12" s="144" t="s">
        <v>238</v>
      </c>
      <c r="J12" s="144" t="s">
        <v>238</v>
      </c>
      <c r="K12" s="155" t="s">
        <v>238</v>
      </c>
      <c r="L12" s="145" t="s">
        <v>238</v>
      </c>
      <c r="M12" s="146">
        <v>0</v>
      </c>
      <c r="N12" s="144" t="s">
        <v>238</v>
      </c>
      <c r="O12" s="144">
        <v>0</v>
      </c>
      <c r="P12" s="144">
        <v>0</v>
      </c>
    </row>
    <row r="13" spans="1:16" s="137" customFormat="1" x14ac:dyDescent="0.2">
      <c r="A13" s="114" t="s">
        <v>607</v>
      </c>
      <c r="B13" s="140" t="s">
        <v>238</v>
      </c>
      <c r="C13" s="144" t="s">
        <v>238</v>
      </c>
      <c r="D13" s="145" t="s">
        <v>238</v>
      </c>
      <c r="E13" s="145" t="s">
        <v>238</v>
      </c>
      <c r="F13" s="145" t="s">
        <v>238</v>
      </c>
      <c r="G13" s="145" t="s">
        <v>238</v>
      </c>
      <c r="H13" s="145" t="s">
        <v>238</v>
      </c>
      <c r="I13" s="144" t="s">
        <v>238</v>
      </c>
      <c r="J13" s="144" t="s">
        <v>238</v>
      </c>
      <c r="K13" s="155" t="s">
        <v>238</v>
      </c>
      <c r="L13" s="145" t="s">
        <v>238</v>
      </c>
      <c r="M13" s="146">
        <v>0</v>
      </c>
      <c r="N13" s="144" t="s">
        <v>238</v>
      </c>
      <c r="O13" s="144">
        <v>0</v>
      </c>
      <c r="P13" s="144">
        <v>0</v>
      </c>
    </row>
    <row r="14" spans="1:16" s="137" customFormat="1" x14ac:dyDescent="0.2">
      <c r="A14" s="114" t="s">
        <v>608</v>
      </c>
      <c r="B14" s="140" t="s">
        <v>238</v>
      </c>
      <c r="C14" s="144" t="s">
        <v>238</v>
      </c>
      <c r="D14" s="145" t="s">
        <v>238</v>
      </c>
      <c r="E14" s="145" t="s">
        <v>238</v>
      </c>
      <c r="F14" s="145" t="s">
        <v>238</v>
      </c>
      <c r="G14" s="145" t="s">
        <v>238</v>
      </c>
      <c r="H14" s="145" t="s">
        <v>238</v>
      </c>
      <c r="I14" s="144" t="s">
        <v>238</v>
      </c>
      <c r="J14" s="144" t="s">
        <v>238</v>
      </c>
      <c r="K14" s="155" t="s">
        <v>238</v>
      </c>
      <c r="L14" s="145" t="s">
        <v>238</v>
      </c>
      <c r="M14" s="146">
        <v>0</v>
      </c>
      <c r="N14" s="144" t="s">
        <v>238</v>
      </c>
      <c r="O14" s="144">
        <v>0</v>
      </c>
      <c r="P14" s="144">
        <v>0</v>
      </c>
    </row>
    <row r="15" spans="1:16" s="137" customFormat="1" x14ac:dyDescent="0.2">
      <c r="A15" s="114" t="s">
        <v>609</v>
      </c>
      <c r="B15" s="140" t="s">
        <v>238</v>
      </c>
      <c r="C15" s="144" t="s">
        <v>238</v>
      </c>
      <c r="D15" s="145" t="s">
        <v>238</v>
      </c>
      <c r="E15" s="145" t="s">
        <v>238</v>
      </c>
      <c r="F15" s="145" t="s">
        <v>238</v>
      </c>
      <c r="G15" s="145" t="s">
        <v>238</v>
      </c>
      <c r="H15" s="145" t="s">
        <v>238</v>
      </c>
      <c r="I15" s="144" t="s">
        <v>238</v>
      </c>
      <c r="J15" s="144" t="s">
        <v>238</v>
      </c>
      <c r="K15" s="155" t="s">
        <v>238</v>
      </c>
      <c r="L15" s="145" t="s">
        <v>238</v>
      </c>
      <c r="M15" s="146">
        <v>0</v>
      </c>
      <c r="N15" s="144" t="s">
        <v>238</v>
      </c>
      <c r="O15" s="144">
        <v>0</v>
      </c>
      <c r="P15" s="144">
        <v>0</v>
      </c>
    </row>
    <row r="16" spans="1:16" s="137" customFormat="1" x14ac:dyDescent="0.2">
      <c r="A16" s="114" t="s">
        <v>610</v>
      </c>
      <c r="B16" s="140" t="s">
        <v>238</v>
      </c>
      <c r="C16" s="144" t="s">
        <v>238</v>
      </c>
      <c r="D16" s="145" t="s">
        <v>238</v>
      </c>
      <c r="E16" s="145" t="s">
        <v>238</v>
      </c>
      <c r="F16" s="145" t="s">
        <v>238</v>
      </c>
      <c r="G16" s="145" t="s">
        <v>238</v>
      </c>
      <c r="H16" s="145" t="s">
        <v>238</v>
      </c>
      <c r="I16" s="144" t="s">
        <v>238</v>
      </c>
      <c r="J16" s="144" t="s">
        <v>238</v>
      </c>
      <c r="K16" s="155" t="s">
        <v>238</v>
      </c>
      <c r="L16" s="145" t="s">
        <v>238</v>
      </c>
      <c r="M16" s="146">
        <v>0</v>
      </c>
      <c r="N16" s="144" t="s">
        <v>238</v>
      </c>
      <c r="O16" s="144">
        <v>0</v>
      </c>
      <c r="P16" s="144">
        <v>0</v>
      </c>
    </row>
    <row r="17" spans="1:16" s="137" customFormat="1" x14ac:dyDescent="0.2">
      <c r="A17" s="114" t="s">
        <v>611</v>
      </c>
      <c r="B17" s="140" t="s">
        <v>238</v>
      </c>
      <c r="C17" s="144" t="s">
        <v>238</v>
      </c>
      <c r="D17" s="145" t="s">
        <v>238</v>
      </c>
      <c r="E17" s="145" t="s">
        <v>238</v>
      </c>
      <c r="F17" s="145" t="s">
        <v>238</v>
      </c>
      <c r="G17" s="145" t="s">
        <v>238</v>
      </c>
      <c r="H17" s="145" t="s">
        <v>238</v>
      </c>
      <c r="I17" s="144" t="s">
        <v>238</v>
      </c>
      <c r="J17" s="144" t="s">
        <v>238</v>
      </c>
      <c r="K17" s="155" t="s">
        <v>238</v>
      </c>
      <c r="L17" s="145" t="s">
        <v>238</v>
      </c>
      <c r="M17" s="146">
        <v>0</v>
      </c>
      <c r="N17" s="144" t="s">
        <v>238</v>
      </c>
      <c r="O17" s="144">
        <v>0</v>
      </c>
      <c r="P17" s="144">
        <v>0</v>
      </c>
    </row>
    <row r="18" spans="1:16" s="137" customFormat="1" x14ac:dyDescent="0.2">
      <c r="A18" s="114" t="s">
        <v>612</v>
      </c>
      <c r="B18" s="140" t="s">
        <v>238</v>
      </c>
      <c r="C18" s="144" t="s">
        <v>238</v>
      </c>
      <c r="D18" s="145" t="s">
        <v>238</v>
      </c>
      <c r="E18" s="145" t="s">
        <v>238</v>
      </c>
      <c r="F18" s="145" t="s">
        <v>238</v>
      </c>
      <c r="G18" s="145" t="s">
        <v>238</v>
      </c>
      <c r="H18" s="145" t="s">
        <v>238</v>
      </c>
      <c r="I18" s="144" t="s">
        <v>238</v>
      </c>
      <c r="J18" s="144" t="s">
        <v>238</v>
      </c>
      <c r="K18" s="155" t="s">
        <v>238</v>
      </c>
      <c r="L18" s="145" t="s">
        <v>238</v>
      </c>
      <c r="M18" s="146">
        <v>0</v>
      </c>
      <c r="N18" s="144" t="s">
        <v>238</v>
      </c>
      <c r="O18" s="144">
        <v>0</v>
      </c>
      <c r="P18" s="144">
        <v>0</v>
      </c>
    </row>
    <row r="19" spans="1:16" s="137" customFormat="1" x14ac:dyDescent="0.2">
      <c r="A19" s="114" t="s">
        <v>365</v>
      </c>
      <c r="B19" s="140" t="s">
        <v>238</v>
      </c>
      <c r="C19" s="144" t="s">
        <v>238</v>
      </c>
      <c r="D19" s="145" t="s">
        <v>238</v>
      </c>
      <c r="E19" s="145" t="s">
        <v>238</v>
      </c>
      <c r="F19" s="145" t="s">
        <v>238</v>
      </c>
      <c r="G19" s="145" t="s">
        <v>238</v>
      </c>
      <c r="H19" s="145" t="s">
        <v>238</v>
      </c>
      <c r="I19" s="144" t="s">
        <v>238</v>
      </c>
      <c r="J19" s="144" t="s">
        <v>238</v>
      </c>
      <c r="K19" s="155" t="s">
        <v>238</v>
      </c>
      <c r="L19" s="145" t="s">
        <v>238</v>
      </c>
      <c r="M19" s="146">
        <v>0</v>
      </c>
      <c r="N19" s="144" t="s">
        <v>238</v>
      </c>
      <c r="O19" s="144">
        <v>0</v>
      </c>
      <c r="P19" s="144">
        <v>0</v>
      </c>
    </row>
    <row r="20" spans="1:16" s="137" customFormat="1" x14ac:dyDescent="0.2">
      <c r="A20" s="114" t="s">
        <v>613</v>
      </c>
      <c r="B20" s="140" t="s">
        <v>238</v>
      </c>
      <c r="C20" s="144" t="s">
        <v>238</v>
      </c>
      <c r="D20" s="145" t="s">
        <v>238</v>
      </c>
      <c r="E20" s="145" t="s">
        <v>238</v>
      </c>
      <c r="F20" s="145" t="s">
        <v>238</v>
      </c>
      <c r="G20" s="145" t="s">
        <v>238</v>
      </c>
      <c r="H20" s="145" t="s">
        <v>238</v>
      </c>
      <c r="I20" s="144" t="s">
        <v>238</v>
      </c>
      <c r="J20" s="144" t="s">
        <v>238</v>
      </c>
      <c r="K20" s="155" t="s">
        <v>238</v>
      </c>
      <c r="L20" s="145" t="s">
        <v>238</v>
      </c>
      <c r="M20" s="146">
        <v>0</v>
      </c>
      <c r="N20" s="144" t="s">
        <v>238</v>
      </c>
      <c r="O20" s="144">
        <v>0</v>
      </c>
      <c r="P20" s="144">
        <v>0</v>
      </c>
    </row>
    <row r="21" spans="1:16" s="137" customFormat="1" x14ac:dyDescent="0.2">
      <c r="A21" s="114" t="s">
        <v>614</v>
      </c>
      <c r="B21" s="140" t="s">
        <v>238</v>
      </c>
      <c r="C21" s="144" t="s">
        <v>238</v>
      </c>
      <c r="D21" s="145" t="s">
        <v>238</v>
      </c>
      <c r="E21" s="145" t="s">
        <v>238</v>
      </c>
      <c r="F21" s="145" t="s">
        <v>238</v>
      </c>
      <c r="G21" s="145" t="s">
        <v>238</v>
      </c>
      <c r="H21" s="145" t="s">
        <v>238</v>
      </c>
      <c r="I21" s="144" t="s">
        <v>238</v>
      </c>
      <c r="J21" s="144" t="s">
        <v>238</v>
      </c>
      <c r="K21" s="155" t="s">
        <v>238</v>
      </c>
      <c r="L21" s="145" t="s">
        <v>238</v>
      </c>
      <c r="M21" s="146">
        <v>0</v>
      </c>
      <c r="N21" s="144" t="s">
        <v>238</v>
      </c>
      <c r="O21" s="144">
        <v>0</v>
      </c>
      <c r="P21" s="144">
        <v>0</v>
      </c>
    </row>
    <row r="22" spans="1:16" s="137" customFormat="1" x14ac:dyDescent="0.2">
      <c r="A22" s="114" t="s">
        <v>615</v>
      </c>
      <c r="B22" s="140" t="s">
        <v>238</v>
      </c>
      <c r="C22" s="144" t="s">
        <v>238</v>
      </c>
      <c r="D22" s="145" t="s">
        <v>238</v>
      </c>
      <c r="E22" s="145" t="s">
        <v>238</v>
      </c>
      <c r="F22" s="145" t="s">
        <v>238</v>
      </c>
      <c r="G22" s="145" t="s">
        <v>238</v>
      </c>
      <c r="H22" s="145" t="s">
        <v>238</v>
      </c>
      <c r="I22" s="144" t="s">
        <v>238</v>
      </c>
      <c r="J22" s="144" t="s">
        <v>238</v>
      </c>
      <c r="K22" s="155" t="s">
        <v>238</v>
      </c>
      <c r="L22" s="145" t="s">
        <v>238</v>
      </c>
      <c r="M22" s="146">
        <v>0</v>
      </c>
      <c r="N22" s="144" t="s">
        <v>238</v>
      </c>
      <c r="O22" s="144">
        <v>0</v>
      </c>
      <c r="P22" s="144">
        <v>0</v>
      </c>
    </row>
    <row r="23" spans="1:16" s="137" customFormat="1" x14ac:dyDescent="0.2">
      <c r="A23" s="114" t="s">
        <v>609</v>
      </c>
      <c r="B23" s="140" t="s">
        <v>238</v>
      </c>
      <c r="C23" s="144" t="s">
        <v>238</v>
      </c>
      <c r="D23" s="145" t="s">
        <v>238</v>
      </c>
      <c r="E23" s="145" t="s">
        <v>238</v>
      </c>
      <c r="F23" s="145" t="s">
        <v>238</v>
      </c>
      <c r="G23" s="145" t="s">
        <v>238</v>
      </c>
      <c r="H23" s="145" t="s">
        <v>238</v>
      </c>
      <c r="I23" s="144" t="s">
        <v>238</v>
      </c>
      <c r="J23" s="144" t="s">
        <v>238</v>
      </c>
      <c r="K23" s="155" t="s">
        <v>238</v>
      </c>
      <c r="L23" s="145" t="s">
        <v>238</v>
      </c>
      <c r="M23" s="146">
        <v>0</v>
      </c>
      <c r="N23" s="144" t="s">
        <v>238</v>
      </c>
      <c r="O23" s="144">
        <v>0</v>
      </c>
      <c r="P23" s="144">
        <v>0</v>
      </c>
    </row>
    <row r="24" spans="1:16" s="137" customFormat="1" x14ac:dyDescent="0.2">
      <c r="A24" s="114" t="s">
        <v>610</v>
      </c>
      <c r="B24" s="140" t="s">
        <v>238</v>
      </c>
      <c r="C24" s="144" t="s">
        <v>238</v>
      </c>
      <c r="D24" s="145" t="s">
        <v>238</v>
      </c>
      <c r="E24" s="145" t="s">
        <v>238</v>
      </c>
      <c r="F24" s="145" t="s">
        <v>238</v>
      </c>
      <c r="G24" s="145" t="s">
        <v>238</v>
      </c>
      <c r="H24" s="145" t="s">
        <v>238</v>
      </c>
      <c r="I24" s="144" t="s">
        <v>238</v>
      </c>
      <c r="J24" s="144" t="s">
        <v>238</v>
      </c>
      <c r="K24" s="155" t="s">
        <v>238</v>
      </c>
      <c r="L24" s="145" t="s">
        <v>238</v>
      </c>
      <c r="M24" s="146">
        <v>0</v>
      </c>
      <c r="N24" s="144" t="s">
        <v>238</v>
      </c>
      <c r="O24" s="144">
        <v>0</v>
      </c>
      <c r="P24" s="144">
        <v>0</v>
      </c>
    </row>
    <row r="25" spans="1:16" s="137" customFormat="1" x14ac:dyDescent="0.2">
      <c r="A25" s="114" t="s">
        <v>611</v>
      </c>
      <c r="B25" s="140" t="s">
        <v>238</v>
      </c>
      <c r="C25" s="144" t="s">
        <v>238</v>
      </c>
      <c r="D25" s="145" t="s">
        <v>238</v>
      </c>
      <c r="E25" s="145" t="s">
        <v>238</v>
      </c>
      <c r="F25" s="145" t="s">
        <v>238</v>
      </c>
      <c r="G25" s="145" t="s">
        <v>238</v>
      </c>
      <c r="H25" s="145" t="s">
        <v>238</v>
      </c>
      <c r="I25" s="144" t="s">
        <v>238</v>
      </c>
      <c r="J25" s="144" t="s">
        <v>238</v>
      </c>
      <c r="K25" s="155" t="s">
        <v>238</v>
      </c>
      <c r="L25" s="145" t="s">
        <v>238</v>
      </c>
      <c r="M25" s="146">
        <v>0</v>
      </c>
      <c r="N25" s="144" t="s">
        <v>238</v>
      </c>
      <c r="O25" s="144">
        <v>0</v>
      </c>
      <c r="P25" s="144">
        <v>0</v>
      </c>
    </row>
    <row r="26" spans="1:16" s="137" customFormat="1" x14ac:dyDescent="0.2">
      <c r="A26" s="239" t="s">
        <v>612</v>
      </c>
      <c r="B26" s="230" t="s">
        <v>238</v>
      </c>
      <c r="C26" s="226" t="s">
        <v>238</v>
      </c>
      <c r="D26" s="228" t="s">
        <v>238</v>
      </c>
      <c r="E26" s="228" t="s">
        <v>238</v>
      </c>
      <c r="F26" s="228" t="s">
        <v>238</v>
      </c>
      <c r="G26" s="228" t="s">
        <v>238</v>
      </c>
      <c r="H26" s="228" t="s">
        <v>238</v>
      </c>
      <c r="I26" s="226" t="s">
        <v>238</v>
      </c>
      <c r="J26" s="226" t="s">
        <v>238</v>
      </c>
      <c r="K26" s="244" t="s">
        <v>238</v>
      </c>
      <c r="L26" s="228" t="s">
        <v>238</v>
      </c>
      <c r="M26" s="229">
        <v>0</v>
      </c>
      <c r="N26" s="226" t="s">
        <v>238</v>
      </c>
      <c r="O26" s="226">
        <v>0</v>
      </c>
      <c r="P26" s="226">
        <v>0</v>
      </c>
    </row>
    <row r="27" spans="1:16" s="137" customFormat="1" x14ac:dyDescent="0.2">
      <c r="A27" s="99" t="s">
        <v>230</v>
      </c>
      <c r="B27" s="147"/>
      <c r="C27" s="99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9" t="s">
        <v>231</v>
      </c>
      <c r="B28" s="147"/>
      <c r="C28" s="99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9" t="s">
        <v>232</v>
      </c>
      <c r="B29" s="147"/>
      <c r="C29" s="99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9" t="s">
        <v>233</v>
      </c>
      <c r="B30" s="147"/>
      <c r="C30" s="99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9" t="s">
        <v>234</v>
      </c>
      <c r="B31" s="147"/>
      <c r="C31" s="99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B11:F26 H11:H26 O11:P26">
    <cfRule type="expression" dxfId="79" priority="227" stopIfTrue="1">
      <formula>OR(LEFT(#REF!,3)="TIR",LEFT(#REF!,2)="IR")</formula>
    </cfRule>
  </conditionalFormatting>
  <conditionalFormatting sqref="A11:A26 M11:M26">
    <cfRule type="expression" dxfId="78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72D4-B7CD-4AA5-919A-D42CE95B68C2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159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7" t="s">
        <v>9</v>
      </c>
      <c r="N8" s="47" t="s">
        <v>9</v>
      </c>
      <c r="O8" s="19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37" customFormat="1" ht="12.75" customHeight="1" thickBot="1" x14ac:dyDescent="0.25">
      <c r="A10" s="93" t="s">
        <v>52</v>
      </c>
      <c r="B10" s="138" t="s">
        <v>238</v>
      </c>
      <c r="C10" s="138"/>
      <c r="D10" s="138"/>
      <c r="E10" s="138" t="s">
        <v>238</v>
      </c>
      <c r="F10" s="138" t="s">
        <v>238</v>
      </c>
      <c r="G10" s="138" t="s">
        <v>238</v>
      </c>
      <c r="H10" s="138" t="s">
        <v>238</v>
      </c>
      <c r="I10" s="138" t="s">
        <v>238</v>
      </c>
      <c r="J10" s="176" t="s">
        <v>238</v>
      </c>
      <c r="K10" s="138" t="s">
        <v>238</v>
      </c>
      <c r="L10" s="129">
        <v>6.9999999999999997E-7</v>
      </c>
      <c r="M10" s="138" t="s">
        <v>238</v>
      </c>
      <c r="N10" s="128">
        <v>1</v>
      </c>
      <c r="O10" s="80">
        <v>0</v>
      </c>
    </row>
    <row r="11" spans="1:15" s="137" customFormat="1" x14ac:dyDescent="0.2">
      <c r="A11" s="113" t="s">
        <v>139</v>
      </c>
      <c r="B11" s="140" t="s">
        <v>238</v>
      </c>
      <c r="C11" s="160" t="s">
        <v>238</v>
      </c>
      <c r="D11" s="160" t="s">
        <v>238</v>
      </c>
      <c r="E11" s="160" t="s">
        <v>238</v>
      </c>
      <c r="F11" s="160" t="s">
        <v>238</v>
      </c>
      <c r="G11" s="160" t="s">
        <v>238</v>
      </c>
      <c r="H11" s="161" t="s">
        <v>238</v>
      </c>
      <c r="I11" s="161" t="s">
        <v>238</v>
      </c>
      <c r="J11" s="162" t="s">
        <v>238</v>
      </c>
      <c r="K11" s="160" t="s">
        <v>238</v>
      </c>
      <c r="L11" s="142">
        <v>0</v>
      </c>
      <c r="M11" s="161" t="s">
        <v>238</v>
      </c>
      <c r="N11" s="140">
        <v>0</v>
      </c>
      <c r="O11" s="140">
        <v>0</v>
      </c>
    </row>
    <row r="12" spans="1:15" s="137" customFormat="1" x14ac:dyDescent="0.2">
      <c r="A12" s="114" t="s">
        <v>616</v>
      </c>
      <c r="B12" s="140" t="s">
        <v>238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5" t="s">
        <v>238</v>
      </c>
      <c r="K12" s="163" t="s">
        <v>238</v>
      </c>
      <c r="L12" s="146">
        <v>0</v>
      </c>
      <c r="M12" s="164" t="s">
        <v>238</v>
      </c>
      <c r="N12" s="144">
        <v>0</v>
      </c>
      <c r="O12" s="144">
        <v>0</v>
      </c>
    </row>
    <row r="13" spans="1:15" s="137" customFormat="1" x14ac:dyDescent="0.2">
      <c r="A13" s="114" t="s">
        <v>617</v>
      </c>
      <c r="B13" s="140" t="s">
        <v>238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63" t="s">
        <v>238</v>
      </c>
      <c r="H13" s="164" t="s">
        <v>238</v>
      </c>
      <c r="I13" s="164" t="s">
        <v>238</v>
      </c>
      <c r="J13" s="165" t="s">
        <v>238</v>
      </c>
      <c r="K13" s="163" t="s">
        <v>238</v>
      </c>
      <c r="L13" s="146">
        <v>0</v>
      </c>
      <c r="M13" s="164" t="s">
        <v>238</v>
      </c>
      <c r="N13" s="144">
        <v>0</v>
      </c>
      <c r="O13" s="144">
        <v>0</v>
      </c>
    </row>
    <row r="14" spans="1:15" s="137" customFormat="1" x14ac:dyDescent="0.2">
      <c r="A14" s="114" t="s">
        <v>618</v>
      </c>
      <c r="B14" s="140" t="s">
        <v>238</v>
      </c>
      <c r="C14" s="163" t="s">
        <v>238</v>
      </c>
      <c r="D14" s="163" t="s">
        <v>238</v>
      </c>
      <c r="E14" s="163" t="s">
        <v>238</v>
      </c>
      <c r="F14" s="163" t="s">
        <v>238</v>
      </c>
      <c r="G14" s="163" t="s">
        <v>238</v>
      </c>
      <c r="H14" s="164" t="s">
        <v>238</v>
      </c>
      <c r="I14" s="164" t="s">
        <v>238</v>
      </c>
      <c r="J14" s="165" t="s">
        <v>238</v>
      </c>
      <c r="K14" s="163" t="s">
        <v>238</v>
      </c>
      <c r="L14" s="146">
        <v>0</v>
      </c>
      <c r="M14" s="164" t="s">
        <v>238</v>
      </c>
      <c r="N14" s="144">
        <v>0</v>
      </c>
      <c r="O14" s="144">
        <v>0</v>
      </c>
    </row>
    <row r="15" spans="1:15" s="137" customFormat="1" x14ac:dyDescent="0.2">
      <c r="A15" s="114" t="s">
        <v>619</v>
      </c>
      <c r="B15" s="140" t="s">
        <v>238</v>
      </c>
      <c r="C15" s="163" t="s">
        <v>238</v>
      </c>
      <c r="D15" s="163" t="s">
        <v>238</v>
      </c>
      <c r="E15" s="163" t="s">
        <v>238</v>
      </c>
      <c r="F15" s="163" t="s">
        <v>238</v>
      </c>
      <c r="G15" s="163" t="s">
        <v>238</v>
      </c>
      <c r="H15" s="164" t="s">
        <v>238</v>
      </c>
      <c r="I15" s="164" t="s">
        <v>238</v>
      </c>
      <c r="J15" s="165" t="s">
        <v>238</v>
      </c>
      <c r="K15" s="163" t="s">
        <v>238</v>
      </c>
      <c r="L15" s="146">
        <v>0</v>
      </c>
      <c r="M15" s="164" t="s">
        <v>238</v>
      </c>
      <c r="N15" s="144">
        <v>0</v>
      </c>
      <c r="O15" s="144">
        <v>0</v>
      </c>
    </row>
    <row r="16" spans="1:15" s="137" customFormat="1" x14ac:dyDescent="0.2">
      <c r="A16" s="114" t="s">
        <v>220</v>
      </c>
      <c r="B16" s="140" t="s">
        <v>238</v>
      </c>
      <c r="C16" s="163" t="s">
        <v>238</v>
      </c>
      <c r="D16" s="163" t="s">
        <v>238</v>
      </c>
      <c r="E16" s="163" t="s">
        <v>238</v>
      </c>
      <c r="F16" s="163" t="s">
        <v>238</v>
      </c>
      <c r="G16" s="163" t="s">
        <v>238</v>
      </c>
      <c r="H16" s="164" t="s">
        <v>238</v>
      </c>
      <c r="I16" s="164" t="s">
        <v>238</v>
      </c>
      <c r="J16" s="165" t="s">
        <v>238</v>
      </c>
      <c r="K16" s="163" t="s">
        <v>238</v>
      </c>
      <c r="L16" s="146">
        <v>0</v>
      </c>
      <c r="M16" s="164" t="s">
        <v>238</v>
      </c>
      <c r="N16" s="144">
        <v>0</v>
      </c>
      <c r="O16" s="144">
        <v>0</v>
      </c>
    </row>
    <row r="17" spans="1:15" s="137" customFormat="1" x14ac:dyDescent="0.2">
      <c r="A17" s="114" t="s">
        <v>365</v>
      </c>
      <c r="B17" s="140" t="s">
        <v>238</v>
      </c>
      <c r="C17" s="163" t="s">
        <v>238</v>
      </c>
      <c r="D17" s="163" t="s">
        <v>238</v>
      </c>
      <c r="E17" s="163" t="s">
        <v>238</v>
      </c>
      <c r="F17" s="163" t="s">
        <v>238</v>
      </c>
      <c r="G17" s="163" t="s">
        <v>238</v>
      </c>
      <c r="H17" s="164" t="s">
        <v>238</v>
      </c>
      <c r="I17" s="164" t="s">
        <v>238</v>
      </c>
      <c r="J17" s="165" t="s">
        <v>238</v>
      </c>
      <c r="K17" s="163" t="s">
        <v>238</v>
      </c>
      <c r="L17" s="146">
        <v>0</v>
      </c>
      <c r="M17" s="164" t="s">
        <v>238</v>
      </c>
      <c r="N17" s="144">
        <v>0</v>
      </c>
      <c r="O17" s="144">
        <v>0</v>
      </c>
    </row>
    <row r="18" spans="1:15" s="137" customFormat="1" x14ac:dyDescent="0.2">
      <c r="A18" s="114" t="s">
        <v>620</v>
      </c>
      <c r="B18" s="140" t="s">
        <v>238</v>
      </c>
      <c r="C18" s="163" t="s">
        <v>238</v>
      </c>
      <c r="D18" s="163" t="s">
        <v>238</v>
      </c>
      <c r="E18" s="163" t="s">
        <v>238</v>
      </c>
      <c r="F18" s="163" t="s">
        <v>238</v>
      </c>
      <c r="G18" s="163" t="s">
        <v>238</v>
      </c>
      <c r="H18" s="164" t="s">
        <v>238</v>
      </c>
      <c r="I18" s="164" t="s">
        <v>238</v>
      </c>
      <c r="J18" s="165" t="s">
        <v>238</v>
      </c>
      <c r="K18" s="163" t="s">
        <v>238</v>
      </c>
      <c r="L18" s="146">
        <v>0</v>
      </c>
      <c r="M18" s="164" t="s">
        <v>238</v>
      </c>
      <c r="N18" s="144">
        <v>0</v>
      </c>
      <c r="O18" s="144">
        <v>0</v>
      </c>
    </row>
    <row r="19" spans="1:15" s="137" customFormat="1" x14ac:dyDescent="0.2">
      <c r="A19" s="239" t="s">
        <v>621</v>
      </c>
      <c r="B19" s="230" t="s">
        <v>238</v>
      </c>
      <c r="C19" s="241" t="s">
        <v>238</v>
      </c>
      <c r="D19" s="241" t="s">
        <v>238</v>
      </c>
      <c r="E19" s="241" t="s">
        <v>238</v>
      </c>
      <c r="F19" s="241" t="s">
        <v>238</v>
      </c>
      <c r="G19" s="241" t="s">
        <v>238</v>
      </c>
      <c r="H19" s="242" t="s">
        <v>238</v>
      </c>
      <c r="I19" s="242" t="s">
        <v>238</v>
      </c>
      <c r="J19" s="243" t="s">
        <v>238</v>
      </c>
      <c r="K19" s="241" t="s">
        <v>238</v>
      </c>
      <c r="L19" s="229">
        <v>0</v>
      </c>
      <c r="M19" s="242" t="s">
        <v>238</v>
      </c>
      <c r="N19" s="226">
        <v>0</v>
      </c>
      <c r="O19" s="226">
        <v>0</v>
      </c>
    </row>
    <row r="20" spans="1:15" s="137" customFormat="1" x14ac:dyDescent="0.2">
      <c r="A20" s="99" t="s">
        <v>230</v>
      </c>
      <c r="B20" s="147"/>
      <c r="C20" s="99"/>
      <c r="D20" s="166"/>
      <c r="E20" s="166"/>
      <c r="F20" s="166"/>
      <c r="G20" s="167"/>
      <c r="H20" s="152"/>
      <c r="I20" s="168"/>
      <c r="J20" s="168"/>
      <c r="K20" s="168"/>
      <c r="L20" s="152"/>
      <c r="M20" s="152"/>
      <c r="N20" s="152"/>
    </row>
    <row r="21" spans="1:15" s="137" customFormat="1" x14ac:dyDescent="0.2">
      <c r="A21" s="99" t="s">
        <v>231</v>
      </c>
      <c r="B21" s="147"/>
      <c r="C21" s="99"/>
      <c r="D21" s="166"/>
      <c r="E21" s="166"/>
      <c r="F21" s="166"/>
      <c r="G21" s="167"/>
      <c r="H21" s="152"/>
      <c r="I21" s="168"/>
      <c r="J21" s="168"/>
      <c r="K21" s="168"/>
      <c r="L21" s="152"/>
      <c r="M21" s="152"/>
      <c r="N21" s="152"/>
    </row>
    <row r="22" spans="1:15" s="137" customFormat="1" x14ac:dyDescent="0.2">
      <c r="A22" s="99" t="s">
        <v>232</v>
      </c>
      <c r="B22" s="147"/>
      <c r="C22" s="99"/>
      <c r="D22" s="166"/>
      <c r="E22" s="166"/>
      <c r="F22" s="166"/>
      <c r="G22" s="167"/>
      <c r="H22" s="152"/>
      <c r="I22" s="168"/>
      <c r="J22" s="168"/>
      <c r="K22" s="168"/>
      <c r="L22" s="152"/>
      <c r="M22" s="152"/>
      <c r="N22" s="152"/>
    </row>
    <row r="23" spans="1:15" s="137" customFormat="1" x14ac:dyDescent="0.2">
      <c r="A23" s="99" t="s">
        <v>233</v>
      </c>
      <c r="B23" s="147"/>
      <c r="C23" s="99"/>
      <c r="D23" s="166"/>
      <c r="E23" s="166"/>
      <c r="F23" s="166"/>
      <c r="G23" s="167"/>
      <c r="H23" s="152"/>
      <c r="I23" s="168"/>
      <c r="J23" s="168"/>
      <c r="K23" s="168"/>
      <c r="L23" s="152"/>
      <c r="M23" s="152"/>
      <c r="N23" s="152"/>
    </row>
    <row r="24" spans="1:15" s="137" customFormat="1" x14ac:dyDescent="0.2">
      <c r="A24" s="99" t="s">
        <v>234</v>
      </c>
      <c r="B24" s="147"/>
      <c r="C24" s="99"/>
      <c r="D24" s="166"/>
      <c r="E24" s="166"/>
      <c r="F24" s="166"/>
      <c r="G24" s="167"/>
      <c r="H24" s="152"/>
      <c r="I24" s="168"/>
      <c r="J24" s="168"/>
      <c r="K24" s="168"/>
      <c r="L24" s="152"/>
      <c r="M24" s="152"/>
      <c r="N24" s="152"/>
    </row>
  </sheetData>
  <mergeCells count="2">
    <mergeCell ref="A6:O6"/>
    <mergeCell ref="A5:O5"/>
  </mergeCells>
  <conditionalFormatting sqref="H1:H4 F11:F19 H11:K19 M11:N19 H20:H55554">
    <cfRule type="expression" dxfId="77" priority="242" stopIfTrue="1">
      <formula>LEFT(#REF!,3)="TIR"</formula>
    </cfRule>
  </conditionalFormatting>
  <conditionalFormatting sqref="H7">
    <cfRule type="expression" dxfId="76" priority="247" stopIfTrue="1">
      <formula>LEFT(#REF!,3)="TIR"</formula>
    </cfRule>
  </conditionalFormatting>
  <conditionalFormatting sqref="B11:E19 G11:G19 N11:O19">
    <cfRule type="expression" dxfId="75" priority="248" stopIfTrue="1">
      <formula>OR(LEFT(#REF!,3)="TIR",LEFT(#REF!,2)="IR")</formula>
    </cfRule>
  </conditionalFormatting>
  <conditionalFormatting sqref="A11:A19 L11:L19">
    <cfRule type="expression" dxfId="74" priority="251" stopIfTrue="1">
      <formula>#REF!&gt;0</formula>
    </cfRule>
    <cfRule type="expression" dxfId="73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C38E-C2FA-4D13-983A-13A6D33C7816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159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7" t="s">
        <v>9</v>
      </c>
      <c r="Q8" s="47" t="s">
        <v>9</v>
      </c>
      <c r="R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7" customFormat="1" ht="12.75" customHeight="1" thickBot="1" x14ac:dyDescent="0.25">
      <c r="A10" s="122" t="s">
        <v>61</v>
      </c>
      <c r="B10" s="88" t="s">
        <v>238</v>
      </c>
      <c r="C10" s="88" t="s">
        <v>238</v>
      </c>
      <c r="D10" s="88" t="s">
        <v>238</v>
      </c>
      <c r="E10" s="88" t="s">
        <v>238</v>
      </c>
      <c r="F10" s="123"/>
      <c r="G10" s="157" t="s">
        <v>238</v>
      </c>
      <c r="H10" s="157" t="s">
        <v>238</v>
      </c>
      <c r="I10" s="157" t="s">
        <v>238</v>
      </c>
      <c r="J10" s="157" t="s">
        <v>238</v>
      </c>
      <c r="K10" s="158" t="s">
        <v>238</v>
      </c>
      <c r="L10" s="158" t="s">
        <v>238</v>
      </c>
      <c r="M10" s="124" t="s">
        <v>238</v>
      </c>
      <c r="N10" s="157" t="s">
        <v>238</v>
      </c>
      <c r="O10" s="125">
        <v>6.0000000000000008E-7</v>
      </c>
      <c r="P10" s="138" t="s">
        <v>238</v>
      </c>
      <c r="Q10" s="128">
        <v>1</v>
      </c>
      <c r="R10" s="80">
        <v>0</v>
      </c>
    </row>
    <row r="11" spans="1:18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1" t="s">
        <v>238</v>
      </c>
      <c r="G11" s="160" t="s">
        <v>238</v>
      </c>
      <c r="H11" s="160" t="s">
        <v>238</v>
      </c>
      <c r="I11" s="160" t="s">
        <v>238</v>
      </c>
      <c r="J11" s="160" t="s">
        <v>238</v>
      </c>
      <c r="K11" s="161" t="s">
        <v>238</v>
      </c>
      <c r="L11" s="161" t="s">
        <v>238</v>
      </c>
      <c r="M11" s="153" t="s">
        <v>238</v>
      </c>
      <c r="N11" s="160" t="s">
        <v>238</v>
      </c>
      <c r="O11" s="142">
        <v>0</v>
      </c>
      <c r="P11" s="161" t="s">
        <v>238</v>
      </c>
      <c r="Q11" s="140">
        <v>0</v>
      </c>
      <c r="R11" s="140">
        <v>0</v>
      </c>
    </row>
    <row r="12" spans="1:18" s="137" customFormat="1" x14ac:dyDescent="0.2">
      <c r="A12" s="114" t="s">
        <v>622</v>
      </c>
      <c r="B12" s="140" t="s">
        <v>238</v>
      </c>
      <c r="C12" s="144" t="s">
        <v>238</v>
      </c>
      <c r="D12" s="144" t="s">
        <v>238</v>
      </c>
      <c r="E12" s="144" t="s">
        <v>238</v>
      </c>
      <c r="F12" s="145" t="s">
        <v>238</v>
      </c>
      <c r="G12" s="163" t="s">
        <v>238</v>
      </c>
      <c r="H12" s="163" t="s">
        <v>238</v>
      </c>
      <c r="I12" s="163" t="s">
        <v>238</v>
      </c>
      <c r="J12" s="163" t="s">
        <v>238</v>
      </c>
      <c r="K12" s="164" t="s">
        <v>238</v>
      </c>
      <c r="L12" s="164" t="s">
        <v>238</v>
      </c>
      <c r="M12" s="155" t="s">
        <v>238</v>
      </c>
      <c r="N12" s="163" t="s">
        <v>238</v>
      </c>
      <c r="O12" s="146">
        <v>0</v>
      </c>
      <c r="P12" s="164" t="s">
        <v>238</v>
      </c>
      <c r="Q12" s="144">
        <v>0</v>
      </c>
      <c r="R12" s="144">
        <v>0</v>
      </c>
    </row>
    <row r="13" spans="1:18" s="137" customFormat="1" x14ac:dyDescent="0.2">
      <c r="A13" s="114" t="s">
        <v>623</v>
      </c>
      <c r="B13" s="140" t="s">
        <v>238</v>
      </c>
      <c r="C13" s="144" t="s">
        <v>238</v>
      </c>
      <c r="D13" s="144" t="s">
        <v>238</v>
      </c>
      <c r="E13" s="144" t="s">
        <v>238</v>
      </c>
      <c r="F13" s="145" t="s">
        <v>238</v>
      </c>
      <c r="G13" s="163" t="s">
        <v>238</v>
      </c>
      <c r="H13" s="163" t="s">
        <v>238</v>
      </c>
      <c r="I13" s="163" t="s">
        <v>238</v>
      </c>
      <c r="J13" s="163" t="s">
        <v>238</v>
      </c>
      <c r="K13" s="164" t="s">
        <v>238</v>
      </c>
      <c r="L13" s="164" t="s">
        <v>238</v>
      </c>
      <c r="M13" s="155" t="s">
        <v>238</v>
      </c>
      <c r="N13" s="163" t="s">
        <v>238</v>
      </c>
      <c r="O13" s="146">
        <v>0</v>
      </c>
      <c r="P13" s="164" t="s">
        <v>238</v>
      </c>
      <c r="Q13" s="144">
        <v>0</v>
      </c>
      <c r="R13" s="144">
        <v>0</v>
      </c>
    </row>
    <row r="14" spans="1:18" s="137" customFormat="1" x14ac:dyDescent="0.2">
      <c r="A14" s="114" t="s">
        <v>378</v>
      </c>
      <c r="B14" s="140" t="s">
        <v>238</v>
      </c>
      <c r="C14" s="144" t="s">
        <v>238</v>
      </c>
      <c r="D14" s="144" t="s">
        <v>238</v>
      </c>
      <c r="E14" s="144" t="s">
        <v>238</v>
      </c>
      <c r="F14" s="145" t="s">
        <v>238</v>
      </c>
      <c r="G14" s="163" t="s">
        <v>238</v>
      </c>
      <c r="H14" s="163" t="s">
        <v>238</v>
      </c>
      <c r="I14" s="163" t="s">
        <v>238</v>
      </c>
      <c r="J14" s="163" t="s">
        <v>238</v>
      </c>
      <c r="K14" s="164" t="s">
        <v>238</v>
      </c>
      <c r="L14" s="164" t="s">
        <v>238</v>
      </c>
      <c r="M14" s="155" t="s">
        <v>238</v>
      </c>
      <c r="N14" s="145" t="s">
        <v>238</v>
      </c>
      <c r="O14" s="146">
        <v>0</v>
      </c>
      <c r="P14" s="164" t="s">
        <v>238</v>
      </c>
      <c r="Q14" s="144">
        <v>0</v>
      </c>
      <c r="R14" s="144">
        <v>0</v>
      </c>
    </row>
    <row r="15" spans="1:18" s="137" customFormat="1" x14ac:dyDescent="0.2">
      <c r="A15" s="114" t="s">
        <v>143</v>
      </c>
      <c r="B15" s="140" t="s">
        <v>238</v>
      </c>
      <c r="C15" s="144" t="s">
        <v>238</v>
      </c>
      <c r="D15" s="144" t="s">
        <v>238</v>
      </c>
      <c r="E15" s="144" t="s">
        <v>238</v>
      </c>
      <c r="F15" s="145" t="s">
        <v>238</v>
      </c>
      <c r="G15" s="163" t="s">
        <v>238</v>
      </c>
      <c r="H15" s="163" t="s">
        <v>238</v>
      </c>
      <c r="I15" s="163" t="s">
        <v>238</v>
      </c>
      <c r="J15" s="163" t="s">
        <v>238</v>
      </c>
      <c r="K15" s="164" t="s">
        <v>238</v>
      </c>
      <c r="L15" s="164" t="s">
        <v>238</v>
      </c>
      <c r="M15" s="155" t="s">
        <v>238</v>
      </c>
      <c r="N15" s="163" t="s">
        <v>238</v>
      </c>
      <c r="O15" s="146">
        <v>0</v>
      </c>
      <c r="P15" s="164" t="s">
        <v>238</v>
      </c>
      <c r="Q15" s="144">
        <v>0</v>
      </c>
      <c r="R15" s="144">
        <v>0</v>
      </c>
    </row>
    <row r="16" spans="1:18" s="137" customFormat="1" x14ac:dyDescent="0.2">
      <c r="A16" s="114" t="s">
        <v>365</v>
      </c>
      <c r="B16" s="140" t="s">
        <v>238</v>
      </c>
      <c r="C16" s="144" t="s">
        <v>238</v>
      </c>
      <c r="D16" s="144" t="s">
        <v>238</v>
      </c>
      <c r="E16" s="144" t="s">
        <v>238</v>
      </c>
      <c r="F16" s="145" t="s">
        <v>238</v>
      </c>
      <c r="G16" s="163" t="s">
        <v>238</v>
      </c>
      <c r="H16" s="163" t="s">
        <v>238</v>
      </c>
      <c r="I16" s="163" t="s">
        <v>238</v>
      </c>
      <c r="J16" s="163" t="s">
        <v>238</v>
      </c>
      <c r="K16" s="164" t="s">
        <v>238</v>
      </c>
      <c r="L16" s="164" t="s">
        <v>238</v>
      </c>
      <c r="M16" s="155" t="s">
        <v>238</v>
      </c>
      <c r="N16" s="163" t="s">
        <v>238</v>
      </c>
      <c r="O16" s="146">
        <v>0</v>
      </c>
      <c r="P16" s="164" t="s">
        <v>238</v>
      </c>
      <c r="Q16" s="144">
        <v>0</v>
      </c>
      <c r="R16" s="144">
        <v>0</v>
      </c>
    </row>
    <row r="17" spans="1:18" s="137" customFormat="1" x14ac:dyDescent="0.2">
      <c r="A17" s="114" t="s">
        <v>624</v>
      </c>
      <c r="B17" s="140" t="s">
        <v>238</v>
      </c>
      <c r="C17" s="144" t="s">
        <v>238</v>
      </c>
      <c r="D17" s="144" t="s">
        <v>238</v>
      </c>
      <c r="E17" s="144" t="s">
        <v>238</v>
      </c>
      <c r="F17" s="145" t="s">
        <v>238</v>
      </c>
      <c r="G17" s="163" t="s">
        <v>238</v>
      </c>
      <c r="H17" s="163" t="s">
        <v>238</v>
      </c>
      <c r="I17" s="163" t="s">
        <v>238</v>
      </c>
      <c r="J17" s="163" t="s">
        <v>238</v>
      </c>
      <c r="K17" s="164" t="s">
        <v>238</v>
      </c>
      <c r="L17" s="164" t="s">
        <v>238</v>
      </c>
      <c r="M17" s="155" t="s">
        <v>238</v>
      </c>
      <c r="N17" s="163" t="s">
        <v>238</v>
      </c>
      <c r="O17" s="146">
        <v>0</v>
      </c>
      <c r="P17" s="164" t="s">
        <v>238</v>
      </c>
      <c r="Q17" s="144">
        <v>0</v>
      </c>
      <c r="R17" s="144">
        <v>0</v>
      </c>
    </row>
    <row r="18" spans="1:18" s="137" customFormat="1" x14ac:dyDescent="0.2">
      <c r="A18" s="239" t="s">
        <v>625</v>
      </c>
      <c r="B18" s="230" t="s">
        <v>238</v>
      </c>
      <c r="C18" s="226" t="s">
        <v>238</v>
      </c>
      <c r="D18" s="226" t="s">
        <v>238</v>
      </c>
      <c r="E18" s="226" t="s">
        <v>238</v>
      </c>
      <c r="F18" s="228" t="s">
        <v>238</v>
      </c>
      <c r="G18" s="241" t="s">
        <v>238</v>
      </c>
      <c r="H18" s="241" t="s">
        <v>238</v>
      </c>
      <c r="I18" s="241" t="s">
        <v>238</v>
      </c>
      <c r="J18" s="241" t="s">
        <v>238</v>
      </c>
      <c r="K18" s="242" t="s">
        <v>238</v>
      </c>
      <c r="L18" s="242" t="s">
        <v>238</v>
      </c>
      <c r="M18" s="244" t="s">
        <v>238</v>
      </c>
      <c r="N18" s="241" t="s">
        <v>238</v>
      </c>
      <c r="O18" s="229">
        <v>0</v>
      </c>
      <c r="P18" s="242" t="s">
        <v>238</v>
      </c>
      <c r="Q18" s="226">
        <v>0</v>
      </c>
      <c r="R18" s="226">
        <v>0</v>
      </c>
    </row>
    <row r="19" spans="1:18" s="137" customFormat="1" x14ac:dyDescent="0.2">
      <c r="A19" s="99" t="s">
        <v>230</v>
      </c>
      <c r="B19" s="147"/>
      <c r="C19" s="147"/>
      <c r="D19" s="147"/>
      <c r="E19" s="99"/>
      <c r="F19" s="166"/>
      <c r="G19" s="166"/>
      <c r="H19" s="166"/>
      <c r="I19" s="167"/>
      <c r="J19" s="152"/>
      <c r="K19" s="168"/>
      <c r="L19" s="168"/>
      <c r="M19" s="168"/>
      <c r="N19" s="152"/>
      <c r="O19" s="152"/>
    </row>
    <row r="20" spans="1:18" s="137" customFormat="1" x14ac:dyDescent="0.2">
      <c r="A20" s="99" t="s">
        <v>231</v>
      </c>
      <c r="B20" s="147"/>
      <c r="C20" s="147"/>
      <c r="D20" s="147"/>
      <c r="E20" s="99"/>
      <c r="F20" s="166"/>
      <c r="G20" s="166"/>
      <c r="H20" s="166"/>
      <c r="I20" s="167"/>
      <c r="J20" s="152"/>
      <c r="K20" s="168"/>
      <c r="L20" s="168"/>
      <c r="M20" s="168"/>
      <c r="N20" s="152"/>
      <c r="O20" s="152"/>
    </row>
    <row r="21" spans="1:18" s="137" customFormat="1" x14ac:dyDescent="0.2">
      <c r="A21" s="99" t="s">
        <v>232</v>
      </c>
      <c r="B21" s="147"/>
      <c r="C21" s="147"/>
      <c r="D21" s="147"/>
      <c r="E21" s="99"/>
      <c r="F21" s="166"/>
      <c r="G21" s="166"/>
      <c r="H21" s="166"/>
      <c r="I21" s="167"/>
      <c r="J21" s="152"/>
      <c r="K21" s="168"/>
      <c r="L21" s="168"/>
      <c r="M21" s="168"/>
      <c r="N21" s="152"/>
      <c r="O21" s="152"/>
    </row>
    <row r="22" spans="1:18" s="137" customFormat="1" x14ac:dyDescent="0.2">
      <c r="A22" s="99" t="s">
        <v>233</v>
      </c>
      <c r="B22" s="147"/>
      <c r="C22" s="147"/>
      <c r="D22" s="147"/>
      <c r="E22" s="99"/>
      <c r="F22" s="166"/>
      <c r="G22" s="166"/>
      <c r="H22" s="166"/>
      <c r="I22" s="167"/>
      <c r="J22" s="152"/>
      <c r="K22" s="168"/>
      <c r="L22" s="168"/>
      <c r="M22" s="168"/>
      <c r="N22" s="152"/>
      <c r="O22" s="152"/>
    </row>
    <row r="23" spans="1:18" s="137" customFormat="1" x14ac:dyDescent="0.2">
      <c r="A23" s="99" t="s">
        <v>234</v>
      </c>
      <c r="B23" s="147"/>
      <c r="C23" s="147"/>
      <c r="D23" s="147"/>
      <c r="E23" s="99"/>
      <c r="F23" s="166"/>
      <c r="G23" s="166"/>
      <c r="H23" s="166"/>
      <c r="I23" s="167"/>
      <c r="J23" s="152"/>
      <c r="K23" s="168"/>
      <c r="L23" s="168"/>
      <c r="M23" s="168"/>
      <c r="N23" s="152"/>
      <c r="O23" s="152"/>
    </row>
  </sheetData>
  <mergeCells count="2">
    <mergeCell ref="A6:R6"/>
    <mergeCell ref="A5:R5"/>
  </mergeCells>
  <conditionalFormatting sqref="J1:J4 I10:I18 K10:N18 P11:Q18 J19:J55553">
    <cfRule type="expression" dxfId="72" priority="266" stopIfTrue="1">
      <formula>LEFT(#REF!,3)="TIR"</formula>
    </cfRule>
  </conditionalFormatting>
  <conditionalFormatting sqref="K7">
    <cfRule type="expression" dxfId="71" priority="271" stopIfTrue="1">
      <formula>LEFT(#REF!,3)="TIR"</formula>
    </cfRule>
  </conditionalFormatting>
  <conditionalFormatting sqref="B10:H18 J10:J18">
    <cfRule type="expression" dxfId="70" priority="272" stopIfTrue="1">
      <formula>LEFT(#REF!,3)="TIR"</formula>
    </cfRule>
  </conditionalFormatting>
  <conditionalFormatting sqref="A10:A18 O11:O18">
    <cfRule type="expression" dxfId="69" priority="274" stopIfTrue="1">
      <formula>#REF!&gt;0</formula>
    </cfRule>
    <cfRule type="expression" dxfId="68" priority="275" stopIfTrue="1">
      <formula>LEFT(#REF!,3)="TIR"</formula>
    </cfRule>
  </conditionalFormatting>
  <conditionalFormatting sqref="Q11:R18">
    <cfRule type="expression" dxfId="67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A575-79B6-4B75-A08A-7A52D6A56E6E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81" customWidth="1"/>
    <col min="7" max="7" width="11.140625" style="81" customWidth="1"/>
    <col min="8" max="8" width="14.140625" style="81" customWidth="1"/>
    <col min="9" max="9" width="7.85546875" style="53" customWidth="1"/>
    <col min="10" max="10" width="11.28515625" style="83" customWidth="1"/>
    <col min="11" max="11" width="12.5703125" style="85" customWidth="1"/>
    <col min="12" max="12" width="14.140625" style="85" customWidth="1"/>
    <col min="13" max="13" width="10.5703125" style="85" customWidth="1"/>
    <col min="14" max="14" width="8.85546875" style="83" bestFit="1" customWidth="1"/>
    <col min="15" max="15" width="10.42578125" style="83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81"/>
      <c r="G1" s="81"/>
      <c r="H1" s="81"/>
      <c r="I1" s="53"/>
      <c r="J1" s="83"/>
      <c r="K1" s="84"/>
      <c r="L1" s="84"/>
      <c r="M1" s="84"/>
      <c r="N1" s="83"/>
      <c r="O1" s="83"/>
      <c r="P1" s="86"/>
      <c r="Q1" s="86"/>
      <c r="R1" s="60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81"/>
      <c r="G2" s="81"/>
      <c r="H2" s="81"/>
      <c r="I2" s="53"/>
      <c r="J2" s="83"/>
      <c r="K2" s="84"/>
      <c r="L2" s="84"/>
      <c r="M2" s="84"/>
      <c r="N2" s="83"/>
      <c r="O2" s="83"/>
      <c r="P2" s="86"/>
      <c r="Q2" s="86"/>
      <c r="R2" s="60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81"/>
      <c r="G3" s="81"/>
      <c r="H3" s="81"/>
      <c r="I3" s="53"/>
      <c r="J3" s="83"/>
      <c r="K3" s="84"/>
      <c r="L3" s="84"/>
      <c r="M3" s="84"/>
      <c r="N3" s="83"/>
      <c r="O3" s="83"/>
      <c r="P3" s="86"/>
      <c r="Q3" s="86"/>
      <c r="R3" s="60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81"/>
      <c r="G4" s="81"/>
      <c r="H4" s="81"/>
      <c r="I4" s="53"/>
      <c r="J4" s="83"/>
      <c r="K4" s="84"/>
      <c r="L4" s="84"/>
      <c r="M4" s="84"/>
      <c r="N4" s="83"/>
      <c r="O4" s="83"/>
      <c r="P4" s="86"/>
      <c r="Q4" s="86"/>
      <c r="R4" s="60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159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7" t="s">
        <v>9</v>
      </c>
      <c r="Q8" s="47" t="s">
        <v>9</v>
      </c>
      <c r="R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7" customFormat="1" ht="12.75" customHeight="1" thickBot="1" x14ac:dyDescent="0.25">
      <c r="A10" s="122" t="s">
        <v>58</v>
      </c>
      <c r="B10" s="88"/>
      <c r="C10" s="88"/>
      <c r="D10" s="88"/>
      <c r="E10" s="88"/>
      <c r="F10" s="123"/>
      <c r="G10" s="123"/>
      <c r="H10" s="123"/>
      <c r="I10" s="123"/>
      <c r="J10" s="123"/>
      <c r="K10" s="88"/>
      <c r="L10" s="88"/>
      <c r="M10" s="124"/>
      <c r="N10" s="123"/>
      <c r="O10" s="127">
        <v>6.0000000000000008E-7</v>
      </c>
      <c r="P10" s="88"/>
      <c r="Q10" s="88">
        <v>1</v>
      </c>
      <c r="R10" s="103">
        <v>0</v>
      </c>
    </row>
    <row r="11" spans="1:18" s="137" customFormat="1" x14ac:dyDescent="0.2">
      <c r="A11" s="113" t="s">
        <v>139</v>
      </c>
      <c r="B11" s="140" t="s">
        <v>238</v>
      </c>
      <c r="C11" s="140" t="s">
        <v>238</v>
      </c>
      <c r="D11" s="140" t="s">
        <v>238</v>
      </c>
      <c r="E11" s="140" t="s">
        <v>238</v>
      </c>
      <c r="F11" s="141" t="s">
        <v>238</v>
      </c>
      <c r="G11" s="141" t="s">
        <v>238</v>
      </c>
      <c r="H11" s="141" t="s">
        <v>238</v>
      </c>
      <c r="I11" s="153" t="s">
        <v>238</v>
      </c>
      <c r="J11" s="141" t="s">
        <v>238</v>
      </c>
      <c r="K11" s="140" t="s">
        <v>238</v>
      </c>
      <c r="L11" s="140" t="s">
        <v>238</v>
      </c>
      <c r="M11" s="153" t="s">
        <v>238</v>
      </c>
      <c r="N11" s="141" t="s">
        <v>238</v>
      </c>
      <c r="O11" s="154">
        <v>0</v>
      </c>
      <c r="P11" s="140" t="s">
        <v>238</v>
      </c>
      <c r="Q11" s="140">
        <v>0</v>
      </c>
      <c r="R11" s="140">
        <v>0</v>
      </c>
    </row>
    <row r="12" spans="1:18" s="137" customFormat="1" x14ac:dyDescent="0.2">
      <c r="A12" s="114" t="s">
        <v>622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1" t="s">
        <v>238</v>
      </c>
      <c r="G12" s="145" t="s">
        <v>238</v>
      </c>
      <c r="H12" s="145" t="s">
        <v>238</v>
      </c>
      <c r="I12" s="153" t="s">
        <v>238</v>
      </c>
      <c r="J12" s="145" t="s">
        <v>238</v>
      </c>
      <c r="K12" s="144" t="s">
        <v>238</v>
      </c>
      <c r="L12" s="144" t="s">
        <v>238</v>
      </c>
      <c r="M12" s="155" t="s">
        <v>238</v>
      </c>
      <c r="N12" s="141" t="s">
        <v>238</v>
      </c>
      <c r="O12" s="146">
        <v>0</v>
      </c>
      <c r="P12" s="144" t="s">
        <v>238</v>
      </c>
      <c r="Q12" s="140">
        <v>0</v>
      </c>
      <c r="R12" s="140">
        <v>0</v>
      </c>
    </row>
    <row r="13" spans="1:18" s="137" customFormat="1" x14ac:dyDescent="0.2">
      <c r="A13" s="114" t="s">
        <v>623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1" t="s">
        <v>238</v>
      </c>
      <c r="G13" s="145" t="s">
        <v>238</v>
      </c>
      <c r="H13" s="145" t="s">
        <v>238</v>
      </c>
      <c r="I13" s="153" t="s">
        <v>238</v>
      </c>
      <c r="J13" s="145" t="s">
        <v>238</v>
      </c>
      <c r="K13" s="144" t="s">
        <v>238</v>
      </c>
      <c r="L13" s="144" t="s">
        <v>238</v>
      </c>
      <c r="M13" s="155" t="s">
        <v>238</v>
      </c>
      <c r="N13" s="141" t="s">
        <v>238</v>
      </c>
      <c r="O13" s="146">
        <v>0</v>
      </c>
      <c r="P13" s="144" t="s">
        <v>238</v>
      </c>
      <c r="Q13" s="140">
        <v>0</v>
      </c>
      <c r="R13" s="140">
        <v>0</v>
      </c>
    </row>
    <row r="14" spans="1:18" s="137" customFormat="1" x14ac:dyDescent="0.2">
      <c r="A14" s="114" t="s">
        <v>378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1" t="s">
        <v>238</v>
      </c>
      <c r="G14" s="145" t="s">
        <v>238</v>
      </c>
      <c r="H14" s="145" t="s">
        <v>238</v>
      </c>
      <c r="I14" s="153" t="s">
        <v>238</v>
      </c>
      <c r="J14" s="145" t="s">
        <v>238</v>
      </c>
      <c r="K14" s="144" t="s">
        <v>238</v>
      </c>
      <c r="L14" s="144" t="s">
        <v>238</v>
      </c>
      <c r="M14" s="155" t="s">
        <v>238</v>
      </c>
      <c r="N14" s="141" t="s">
        <v>238</v>
      </c>
      <c r="O14" s="146">
        <v>0</v>
      </c>
      <c r="P14" s="144" t="s">
        <v>238</v>
      </c>
      <c r="Q14" s="140">
        <v>0</v>
      </c>
      <c r="R14" s="140">
        <v>0</v>
      </c>
    </row>
    <row r="15" spans="1:18" s="137" customFormat="1" x14ac:dyDescent="0.2">
      <c r="A15" s="114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1" t="s">
        <v>238</v>
      </c>
      <c r="G15" s="145" t="s">
        <v>238</v>
      </c>
      <c r="H15" s="145" t="s">
        <v>238</v>
      </c>
      <c r="I15" s="153" t="s">
        <v>238</v>
      </c>
      <c r="J15" s="145" t="s">
        <v>238</v>
      </c>
      <c r="K15" s="144" t="s">
        <v>238</v>
      </c>
      <c r="L15" s="144" t="s">
        <v>238</v>
      </c>
      <c r="M15" s="155" t="s">
        <v>238</v>
      </c>
      <c r="N15" s="141" t="s">
        <v>238</v>
      </c>
      <c r="O15" s="146">
        <v>0</v>
      </c>
      <c r="P15" s="144" t="s">
        <v>238</v>
      </c>
      <c r="Q15" s="140">
        <v>0</v>
      </c>
      <c r="R15" s="140">
        <v>0</v>
      </c>
    </row>
    <row r="16" spans="1:18" s="137" customFormat="1" x14ac:dyDescent="0.2">
      <c r="A16" s="114" t="s">
        <v>365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1" t="s">
        <v>238</v>
      </c>
      <c r="G16" s="145" t="s">
        <v>238</v>
      </c>
      <c r="H16" s="145" t="s">
        <v>238</v>
      </c>
      <c r="I16" s="153" t="s">
        <v>238</v>
      </c>
      <c r="J16" s="145" t="s">
        <v>238</v>
      </c>
      <c r="K16" s="144" t="s">
        <v>238</v>
      </c>
      <c r="L16" s="144" t="s">
        <v>238</v>
      </c>
      <c r="M16" s="155" t="s">
        <v>238</v>
      </c>
      <c r="N16" s="141" t="s">
        <v>238</v>
      </c>
      <c r="O16" s="146">
        <v>0</v>
      </c>
      <c r="P16" s="144" t="s">
        <v>238</v>
      </c>
      <c r="Q16" s="140">
        <v>0</v>
      </c>
      <c r="R16" s="140">
        <v>0</v>
      </c>
    </row>
    <row r="17" spans="1:18" s="137" customFormat="1" x14ac:dyDescent="0.2">
      <c r="A17" s="114" t="s">
        <v>626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1" t="s">
        <v>238</v>
      </c>
      <c r="G17" s="145" t="s">
        <v>238</v>
      </c>
      <c r="H17" s="145" t="s">
        <v>238</v>
      </c>
      <c r="I17" s="153" t="s">
        <v>238</v>
      </c>
      <c r="J17" s="145" t="s">
        <v>238</v>
      </c>
      <c r="K17" s="144" t="s">
        <v>238</v>
      </c>
      <c r="L17" s="144" t="s">
        <v>238</v>
      </c>
      <c r="M17" s="155" t="s">
        <v>238</v>
      </c>
      <c r="N17" s="141" t="s">
        <v>238</v>
      </c>
      <c r="O17" s="146">
        <v>0</v>
      </c>
      <c r="P17" s="144" t="s">
        <v>238</v>
      </c>
      <c r="Q17" s="140">
        <v>0</v>
      </c>
      <c r="R17" s="140">
        <v>0</v>
      </c>
    </row>
    <row r="18" spans="1:18" s="137" customFormat="1" x14ac:dyDescent="0.2">
      <c r="A18" s="239" t="s">
        <v>627</v>
      </c>
      <c r="B18" s="226" t="s">
        <v>238</v>
      </c>
      <c r="C18" s="226" t="s">
        <v>238</v>
      </c>
      <c r="D18" s="226" t="s">
        <v>238</v>
      </c>
      <c r="E18" s="226" t="s">
        <v>238</v>
      </c>
      <c r="F18" s="227" t="s">
        <v>238</v>
      </c>
      <c r="G18" s="228" t="s">
        <v>238</v>
      </c>
      <c r="H18" s="228" t="s">
        <v>238</v>
      </c>
      <c r="I18" s="246" t="s">
        <v>238</v>
      </c>
      <c r="J18" s="228" t="s">
        <v>238</v>
      </c>
      <c r="K18" s="226" t="s">
        <v>238</v>
      </c>
      <c r="L18" s="226" t="s">
        <v>238</v>
      </c>
      <c r="M18" s="244" t="s">
        <v>238</v>
      </c>
      <c r="N18" s="227" t="s">
        <v>238</v>
      </c>
      <c r="O18" s="229">
        <v>0</v>
      </c>
      <c r="P18" s="226" t="s">
        <v>238</v>
      </c>
      <c r="Q18" s="230">
        <v>0</v>
      </c>
      <c r="R18" s="230">
        <v>0</v>
      </c>
    </row>
    <row r="19" spans="1:18" s="137" customFormat="1" x14ac:dyDescent="0.2">
      <c r="A19" s="99" t="s">
        <v>230</v>
      </c>
      <c r="B19" s="147"/>
      <c r="C19" s="147"/>
      <c r="D19" s="147"/>
      <c r="E19" s="99"/>
      <c r="F19" s="148"/>
      <c r="G19" s="148"/>
      <c r="H19" s="148"/>
      <c r="I19" s="149"/>
      <c r="J19" s="150"/>
      <c r="K19" s="151"/>
      <c r="L19" s="151"/>
      <c r="M19" s="151"/>
      <c r="N19" s="150"/>
      <c r="O19" s="150"/>
      <c r="P19" s="156"/>
      <c r="Q19" s="156"/>
      <c r="R19" s="156"/>
    </row>
    <row r="20" spans="1:18" s="137" customFormat="1" x14ac:dyDescent="0.2">
      <c r="A20" s="99" t="s">
        <v>231</v>
      </c>
      <c r="B20" s="147"/>
      <c r="C20" s="147"/>
      <c r="D20" s="147"/>
      <c r="E20" s="99"/>
      <c r="F20" s="148"/>
      <c r="G20" s="148"/>
      <c r="H20" s="148"/>
      <c r="I20" s="149"/>
      <c r="J20" s="150"/>
      <c r="K20" s="151"/>
      <c r="L20" s="151"/>
      <c r="M20" s="151"/>
      <c r="N20" s="150"/>
      <c r="O20" s="150"/>
      <c r="P20" s="156"/>
      <c r="Q20" s="156"/>
      <c r="R20" s="156"/>
    </row>
    <row r="21" spans="1:18" s="137" customFormat="1" x14ac:dyDescent="0.2">
      <c r="A21" s="99" t="s">
        <v>232</v>
      </c>
      <c r="B21" s="147"/>
      <c r="C21" s="147"/>
      <c r="D21" s="147"/>
      <c r="E21" s="99"/>
      <c r="F21" s="148"/>
      <c r="G21" s="148"/>
      <c r="H21" s="148"/>
      <c r="I21" s="149"/>
      <c r="J21" s="150"/>
      <c r="K21" s="151"/>
      <c r="L21" s="151"/>
      <c r="M21" s="151"/>
      <c r="N21" s="150"/>
      <c r="O21" s="150"/>
      <c r="P21" s="156"/>
      <c r="Q21" s="156"/>
      <c r="R21" s="156"/>
    </row>
    <row r="22" spans="1:18" s="137" customFormat="1" x14ac:dyDescent="0.2">
      <c r="A22" s="99" t="s">
        <v>233</v>
      </c>
      <c r="B22" s="147"/>
      <c r="C22" s="147"/>
      <c r="D22" s="147"/>
      <c r="E22" s="99"/>
      <c r="F22" s="148"/>
      <c r="G22" s="148"/>
      <c r="H22" s="148"/>
      <c r="I22" s="149"/>
      <c r="J22" s="150"/>
      <c r="K22" s="151"/>
      <c r="L22" s="151"/>
      <c r="M22" s="151"/>
      <c r="N22" s="150"/>
      <c r="O22" s="150"/>
      <c r="P22" s="156"/>
      <c r="Q22" s="156"/>
      <c r="R22" s="156"/>
    </row>
    <row r="23" spans="1:18" s="137" customFormat="1" x14ac:dyDescent="0.2">
      <c r="A23" s="99" t="s">
        <v>234</v>
      </c>
      <c r="B23" s="147"/>
      <c r="C23" s="147"/>
      <c r="D23" s="147"/>
      <c r="E23" s="99"/>
      <c r="F23" s="148"/>
      <c r="G23" s="148"/>
      <c r="H23" s="148"/>
      <c r="I23" s="149"/>
      <c r="J23" s="150"/>
      <c r="K23" s="151"/>
      <c r="L23" s="151"/>
      <c r="M23" s="151"/>
      <c r="N23" s="150"/>
      <c r="O23" s="150"/>
      <c r="P23" s="156"/>
      <c r="Q23" s="156"/>
      <c r="R23" s="156"/>
    </row>
  </sheetData>
  <mergeCells count="2">
    <mergeCell ref="A6:R6"/>
    <mergeCell ref="A5:R5"/>
  </mergeCells>
  <conditionalFormatting sqref="B10:H18 J10:J18 Q10:R18">
    <cfRule type="expression" dxfId="66" priority="290" stopIfTrue="1">
      <formula>OR(LEFT(#REF!,3)="TIR",LEFT(#REF!,2)="IR")</formula>
    </cfRule>
  </conditionalFormatting>
  <conditionalFormatting sqref="J1:J4 I10:I18 K10:N18 P10:Q18 J19:J55553">
    <cfRule type="expression" dxfId="65" priority="293" stopIfTrue="1">
      <formula>LEFT(#REF!,3)="TIR"</formula>
    </cfRule>
  </conditionalFormatting>
  <conditionalFormatting sqref="K7">
    <cfRule type="expression" dxfId="64" priority="298" stopIfTrue="1">
      <formula>LEFT(#REF!,3)="TIR"</formula>
    </cfRule>
  </conditionalFormatting>
  <conditionalFormatting sqref="A10:A18 O10:O18">
    <cfRule type="expression" dxfId="63" priority="299" stopIfTrue="1">
      <formula>#REF!&gt;0</formula>
    </cfRule>
    <cfRule type="expression" dxfId="62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EF2F-BA47-474F-B893-484E01D02396}">
  <sheetPr codeName="גיליון16">
    <pageSetUpPr fitToPage="1"/>
  </sheetPr>
  <dimension ref="A1:R20"/>
  <sheetViews>
    <sheetView rightToLeft="1" zoomScale="80" zoomScaleNormal="80" workbookViewId="0">
      <selection activeCell="B8" sqref="B8:M15"/>
    </sheetView>
  </sheetViews>
  <sheetFormatPr defaultRowHeight="12.75" x14ac:dyDescent="0.2"/>
  <cols>
    <col min="1" max="1" width="5.7109375" style="28" bestFit="1" customWidth="1"/>
    <col min="2" max="2" width="25" style="23" bestFit="1" customWidth="1"/>
    <col min="3" max="3" width="13.5703125" style="22" bestFit="1" customWidth="1"/>
    <col min="4" max="4" width="12.5703125" style="22" customWidth="1"/>
    <col min="5" max="5" width="13.28515625" style="22" customWidth="1"/>
    <col min="6" max="6" width="11.5703125" style="23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0.42578125" style="53" customWidth="1"/>
    <col min="11" max="11" width="22" style="83" customWidth="1"/>
    <col min="12" max="12" width="25.42578125" style="83" customWidth="1"/>
    <col min="13" max="13" width="20.7109375" style="85" customWidth="1"/>
    <col min="14" max="14" width="11.42578125" style="36" bestFit="1" customWidth="1"/>
    <col min="15" max="15" width="7.28515625" style="36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/>
      <c r="B1" s="20" t="s">
        <v>225</v>
      </c>
      <c r="C1" s="22" t="s">
        <v>235</v>
      </c>
      <c r="D1" s="22"/>
      <c r="E1" s="22"/>
      <c r="F1" s="23"/>
      <c r="G1" s="81"/>
      <c r="H1" s="81"/>
      <c r="I1" s="81"/>
      <c r="J1" s="53"/>
      <c r="K1" s="83"/>
      <c r="L1" s="83"/>
      <c r="M1" s="84"/>
      <c r="N1" s="27"/>
      <c r="O1" s="27"/>
      <c r="P1" s="26"/>
      <c r="Q1" s="26"/>
      <c r="R1" s="28"/>
    </row>
    <row r="2" spans="1:18" s="20" customFormat="1" x14ac:dyDescent="0.2">
      <c r="B2" s="23" t="s">
        <v>226</v>
      </c>
      <c r="C2" s="22" t="s">
        <v>152</v>
      </c>
      <c r="D2" s="22"/>
      <c r="E2" s="22"/>
      <c r="F2" s="23"/>
      <c r="G2" s="81"/>
      <c r="H2" s="81"/>
      <c r="I2" s="81"/>
      <c r="J2" s="53"/>
      <c r="K2" s="83"/>
      <c r="L2" s="83"/>
      <c r="M2" s="84"/>
      <c r="N2" s="27"/>
      <c r="O2" s="27"/>
      <c r="P2" s="26"/>
      <c r="Q2" s="26"/>
      <c r="R2" s="28"/>
    </row>
    <row r="3" spans="1:18" s="20" customFormat="1" x14ac:dyDescent="0.2">
      <c r="B3" s="23" t="s">
        <v>227</v>
      </c>
      <c r="C3" s="22" t="s">
        <v>228</v>
      </c>
      <c r="D3" s="22"/>
      <c r="E3" s="22"/>
      <c r="F3" s="23"/>
      <c r="G3" s="81"/>
      <c r="H3" s="81"/>
      <c r="I3" s="81"/>
      <c r="J3" s="53"/>
      <c r="K3" s="83"/>
      <c r="L3" s="83"/>
      <c r="M3" s="84"/>
      <c r="N3" s="27"/>
      <c r="O3" s="27"/>
      <c r="P3" s="26"/>
      <c r="Q3" s="26"/>
      <c r="R3" s="28"/>
    </row>
    <row r="4" spans="1:18" s="20" customFormat="1" x14ac:dyDescent="0.2">
      <c r="B4" s="23" t="s">
        <v>229</v>
      </c>
      <c r="C4" s="22" t="s">
        <v>236</v>
      </c>
      <c r="D4" s="22"/>
      <c r="E4" s="22"/>
      <c r="F4" s="23"/>
      <c r="G4" s="81"/>
      <c r="H4" s="81"/>
      <c r="I4" s="81"/>
      <c r="J4" s="53"/>
      <c r="K4" s="83"/>
      <c r="L4" s="83"/>
      <c r="M4" s="84"/>
      <c r="N4" s="27"/>
      <c r="O4" s="27"/>
      <c r="P4" s="26"/>
      <c r="Q4" s="26"/>
      <c r="R4" s="28"/>
    </row>
    <row r="5" spans="1:18" s="20" customFormat="1" ht="13.5" thickBot="1" x14ac:dyDescent="0.25">
      <c r="B5" s="29"/>
      <c r="C5" s="30"/>
      <c r="D5" s="30"/>
      <c r="E5" s="30"/>
      <c r="F5" s="31"/>
      <c r="G5" s="81"/>
      <c r="H5" s="81"/>
      <c r="I5" s="81"/>
      <c r="J5" s="53"/>
      <c r="K5" s="83"/>
      <c r="L5" s="83"/>
      <c r="M5" s="84"/>
      <c r="N5" s="27"/>
      <c r="O5" s="27"/>
      <c r="P5" s="26"/>
      <c r="Q5" s="26"/>
      <c r="R5" s="28"/>
    </row>
    <row r="6" spans="1:18" s="20" customFormat="1" ht="13.5" thickBot="1" x14ac:dyDescent="0.25">
      <c r="B6" s="4" t="s">
        <v>28</v>
      </c>
      <c r="C6" s="3"/>
      <c r="D6" s="3"/>
      <c r="E6" s="3"/>
      <c r="F6" s="3"/>
      <c r="G6" s="3"/>
      <c r="H6" s="3"/>
      <c r="I6" s="3"/>
      <c r="J6" s="3"/>
      <c r="K6" s="3"/>
      <c r="L6" s="2"/>
      <c r="M6" s="1"/>
      <c r="N6" s="27"/>
      <c r="O6" s="27"/>
      <c r="P6" s="26"/>
      <c r="Q6" s="26"/>
      <c r="R6" s="28"/>
    </row>
    <row r="7" spans="1:18" s="20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5"/>
    </row>
    <row r="8" spans="1:18" s="20" customFormat="1" ht="33.75" customHeight="1" x14ac:dyDescent="0.2">
      <c r="B8" s="108" t="s">
        <v>159</v>
      </c>
      <c r="C8" s="109" t="s">
        <v>69</v>
      </c>
      <c r="D8" s="109" t="s">
        <v>79</v>
      </c>
      <c r="E8" s="109" t="s">
        <v>74</v>
      </c>
      <c r="F8" s="109" t="s">
        <v>19</v>
      </c>
      <c r="G8" s="109" t="s">
        <v>6</v>
      </c>
      <c r="H8" s="110" t="s">
        <v>67</v>
      </c>
      <c r="I8" s="110" t="s">
        <v>68</v>
      </c>
      <c r="J8" s="110" t="s">
        <v>7</v>
      </c>
      <c r="K8" s="110" t="s">
        <v>17</v>
      </c>
      <c r="L8" s="111" t="s">
        <v>75</v>
      </c>
      <c r="M8" s="112" t="s">
        <v>8</v>
      </c>
    </row>
    <row r="9" spans="1:18" s="20" customFormat="1" x14ac:dyDescent="0.2">
      <c r="B9" s="43"/>
      <c r="C9" s="16"/>
      <c r="D9" s="16"/>
      <c r="E9" s="16"/>
      <c r="F9" s="16"/>
      <c r="G9" s="46"/>
      <c r="H9" s="15" t="s">
        <v>135</v>
      </c>
      <c r="I9" s="15"/>
      <c r="J9" s="15" t="s">
        <v>137</v>
      </c>
      <c r="K9" s="15" t="s">
        <v>9</v>
      </c>
      <c r="L9" s="47" t="s">
        <v>9</v>
      </c>
      <c r="M9" s="19" t="s">
        <v>9</v>
      </c>
    </row>
    <row r="10" spans="1:18" s="32" customFormat="1" ht="12.75" customHeight="1" x14ac:dyDescent="0.2">
      <c r="B10" s="43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79">
        <v>10</v>
      </c>
      <c r="M10" s="64">
        <v>11</v>
      </c>
    </row>
    <row r="11" spans="1:18" s="137" customFormat="1" ht="12.75" customHeight="1" thickBot="1" x14ac:dyDescent="0.25">
      <c r="B11" s="122" t="s">
        <v>59</v>
      </c>
      <c r="C11" s="88"/>
      <c r="D11" s="88"/>
      <c r="E11" s="88"/>
      <c r="F11" s="88"/>
      <c r="G11" s="123"/>
      <c r="H11" s="124"/>
      <c r="I11" s="123"/>
      <c r="J11" s="127">
        <v>3.0000000000000004E-7</v>
      </c>
      <c r="K11" s="88"/>
      <c r="L11" s="88">
        <v>1</v>
      </c>
      <c r="M11" s="80">
        <v>0</v>
      </c>
    </row>
    <row r="12" spans="1:18" s="137" customFormat="1" x14ac:dyDescent="0.2">
      <c r="B12" s="113" t="s">
        <v>139</v>
      </c>
      <c r="C12" s="140" t="s">
        <v>238</v>
      </c>
      <c r="D12" s="140" t="s">
        <v>238</v>
      </c>
      <c r="E12" s="140" t="s">
        <v>238</v>
      </c>
      <c r="F12" s="140" t="s">
        <v>238</v>
      </c>
      <c r="G12" s="141" t="s">
        <v>238</v>
      </c>
      <c r="H12" s="153" t="s">
        <v>238</v>
      </c>
      <c r="I12" s="141" t="s">
        <v>238</v>
      </c>
      <c r="J12" s="154">
        <v>0</v>
      </c>
      <c r="K12" s="140" t="s">
        <v>238</v>
      </c>
      <c r="L12" s="140">
        <v>0</v>
      </c>
      <c r="M12" s="140">
        <v>0</v>
      </c>
    </row>
    <row r="13" spans="1:18" s="137" customFormat="1" x14ac:dyDescent="0.2">
      <c r="B13" s="114" t="s">
        <v>365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5" t="s">
        <v>238</v>
      </c>
      <c r="H13" s="155" t="s">
        <v>238</v>
      </c>
      <c r="I13" s="141" t="s">
        <v>238</v>
      </c>
      <c r="J13" s="142">
        <v>0</v>
      </c>
      <c r="K13" s="140" t="s">
        <v>238</v>
      </c>
      <c r="L13" s="140">
        <v>0</v>
      </c>
      <c r="M13" s="140">
        <v>0</v>
      </c>
    </row>
    <row r="14" spans="1:18" s="137" customFormat="1" x14ac:dyDescent="0.2">
      <c r="B14" s="114" t="s">
        <v>145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5" t="s">
        <v>238</v>
      </c>
      <c r="H14" s="155" t="s">
        <v>238</v>
      </c>
      <c r="I14" s="141" t="s">
        <v>238</v>
      </c>
      <c r="J14" s="142">
        <v>0</v>
      </c>
      <c r="K14" s="140" t="s">
        <v>238</v>
      </c>
      <c r="L14" s="140">
        <v>0</v>
      </c>
      <c r="M14" s="140">
        <v>0</v>
      </c>
    </row>
    <row r="15" spans="1:18" s="137" customFormat="1" x14ac:dyDescent="0.2">
      <c r="B15" s="239" t="s">
        <v>146</v>
      </c>
      <c r="C15" s="226" t="s">
        <v>238</v>
      </c>
      <c r="D15" s="226" t="s">
        <v>238</v>
      </c>
      <c r="E15" s="226" t="s">
        <v>238</v>
      </c>
      <c r="F15" s="226" t="s">
        <v>238</v>
      </c>
      <c r="G15" s="228" t="s">
        <v>238</v>
      </c>
      <c r="H15" s="244" t="s">
        <v>238</v>
      </c>
      <c r="I15" s="227" t="s">
        <v>238</v>
      </c>
      <c r="J15" s="247">
        <v>0</v>
      </c>
      <c r="K15" s="230" t="s">
        <v>238</v>
      </c>
      <c r="L15" s="230">
        <v>0</v>
      </c>
      <c r="M15" s="230">
        <v>0</v>
      </c>
    </row>
    <row r="16" spans="1:18" s="137" customFormat="1" x14ac:dyDescent="0.2">
      <c r="B16" s="99" t="s">
        <v>230</v>
      </c>
      <c r="C16" s="147"/>
      <c r="D16" s="147"/>
      <c r="E16" s="147"/>
      <c r="F16" s="99"/>
      <c r="G16" s="148"/>
      <c r="H16" s="148"/>
      <c r="I16" s="148"/>
      <c r="J16" s="149"/>
      <c r="K16" s="150"/>
      <c r="L16" s="150"/>
      <c r="M16" s="151"/>
      <c r="N16" s="168"/>
      <c r="O16" s="168"/>
      <c r="P16" s="152"/>
      <c r="Q16" s="152"/>
    </row>
    <row r="17" spans="2:17" s="137" customFormat="1" x14ac:dyDescent="0.2">
      <c r="B17" s="99" t="s">
        <v>231</v>
      </c>
      <c r="C17" s="147"/>
      <c r="D17" s="147"/>
      <c r="E17" s="147"/>
      <c r="F17" s="99"/>
      <c r="G17" s="148"/>
      <c r="H17" s="148"/>
      <c r="I17" s="148"/>
      <c r="J17" s="149"/>
      <c r="K17" s="150"/>
      <c r="L17" s="150"/>
      <c r="M17" s="151"/>
      <c r="N17" s="168"/>
      <c r="O17" s="168"/>
      <c r="P17" s="152"/>
      <c r="Q17" s="152"/>
    </row>
    <row r="18" spans="2:17" s="137" customFormat="1" x14ac:dyDescent="0.2">
      <c r="B18" s="99" t="s">
        <v>232</v>
      </c>
      <c r="C18" s="147"/>
      <c r="D18" s="147"/>
      <c r="E18" s="147"/>
      <c r="F18" s="99"/>
      <c r="G18" s="148"/>
      <c r="H18" s="148"/>
      <c r="I18" s="148"/>
      <c r="J18" s="149"/>
      <c r="K18" s="150"/>
      <c r="L18" s="150"/>
      <c r="M18" s="151"/>
      <c r="N18" s="168"/>
      <c r="O18" s="168"/>
      <c r="P18" s="152"/>
      <c r="Q18" s="152"/>
    </row>
    <row r="19" spans="2:17" s="137" customFormat="1" x14ac:dyDescent="0.2">
      <c r="B19" s="99" t="s">
        <v>233</v>
      </c>
      <c r="C19" s="147"/>
      <c r="D19" s="147"/>
      <c r="E19" s="147"/>
      <c r="F19" s="99"/>
      <c r="G19" s="148"/>
      <c r="H19" s="148"/>
      <c r="I19" s="148"/>
      <c r="J19" s="149"/>
      <c r="K19" s="150"/>
      <c r="L19" s="150"/>
      <c r="M19" s="151"/>
      <c r="N19" s="168"/>
      <c r="O19" s="168"/>
      <c r="P19" s="152"/>
      <c r="Q19" s="152"/>
    </row>
    <row r="20" spans="2:17" s="137" customFormat="1" x14ac:dyDescent="0.2">
      <c r="B20" s="99" t="s">
        <v>234</v>
      </c>
      <c r="C20" s="147"/>
      <c r="D20" s="147"/>
      <c r="E20" s="147"/>
      <c r="F20" s="99"/>
      <c r="G20" s="148"/>
      <c r="H20" s="148"/>
      <c r="I20" s="148"/>
      <c r="J20" s="149"/>
      <c r="K20" s="150"/>
      <c r="L20" s="150"/>
      <c r="M20" s="151"/>
      <c r="N20" s="168"/>
      <c r="O20" s="168"/>
      <c r="P20" s="152"/>
      <c r="Q20" s="152"/>
    </row>
  </sheetData>
  <mergeCells count="2">
    <mergeCell ref="B7:M7"/>
    <mergeCell ref="B6:M6"/>
  </mergeCells>
  <conditionalFormatting sqref="K1:L5 H11:I15 K11:K55550">
    <cfRule type="expression" dxfId="61" priority="312" stopIfTrue="1">
      <formula>LEFT(#REF!,3)="TIR"</formula>
    </cfRule>
  </conditionalFormatting>
  <conditionalFormatting sqref="C11:G15 L11:L15 M12:M15">
    <cfRule type="expression" dxfId="60" priority="315" stopIfTrue="1">
      <formula>OR(LEFT(#REF!,3)="TIR",LEFT(#REF!,2)="IR")</formula>
    </cfRule>
  </conditionalFormatting>
  <conditionalFormatting sqref="B11:B15 J11:J15">
    <cfRule type="expression" dxfId="59" priority="318" stopIfTrue="1">
      <formula>#REF!&gt;0</formula>
    </cfRule>
    <cfRule type="expression" dxfId="58" priority="319" stopIfTrue="1">
      <formula>LEFT(#REF!,3)="TIR"</formula>
    </cfRule>
  </conditionalFormatting>
  <conditionalFormatting sqref="D11:E15">
    <cfRule type="expression" dxfId="57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0520-F4F5-47BF-B093-BF68EC885017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81" customWidth="1"/>
    <col min="4" max="4" width="14.140625" style="81" customWidth="1"/>
    <col min="5" max="5" width="10.5703125" style="81" customWidth="1"/>
    <col min="6" max="6" width="7" style="53" customWidth="1"/>
    <col min="7" max="7" width="10.42578125" style="83" customWidth="1"/>
    <col min="8" max="8" width="22" style="85" customWidth="1"/>
    <col min="9" max="9" width="25.42578125" style="85" customWidth="1"/>
    <col min="10" max="10" width="20.7109375" style="85" customWidth="1"/>
    <col min="11" max="11" width="7.28515625" style="36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81"/>
      <c r="D1" s="81"/>
      <c r="E1" s="81"/>
      <c r="F1" s="53"/>
      <c r="G1" s="83"/>
      <c r="H1" s="84"/>
      <c r="I1" s="84"/>
      <c r="J1" s="84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81"/>
      <c r="D2" s="81"/>
      <c r="E2" s="81"/>
      <c r="F2" s="53"/>
      <c r="G2" s="83"/>
      <c r="H2" s="84"/>
      <c r="I2" s="84"/>
      <c r="J2" s="84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81"/>
      <c r="D3" s="81"/>
      <c r="E3" s="81"/>
      <c r="F3" s="53"/>
      <c r="G3" s="83"/>
      <c r="H3" s="84"/>
      <c r="I3" s="84"/>
      <c r="J3" s="84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81"/>
      <c r="D4" s="81"/>
      <c r="E4" s="81"/>
      <c r="F4" s="53"/>
      <c r="G4" s="83"/>
      <c r="H4" s="84"/>
      <c r="I4" s="84"/>
      <c r="J4" s="84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159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3"/>
      <c r="B8" s="16"/>
      <c r="C8" s="46"/>
      <c r="D8" s="45" t="s">
        <v>15</v>
      </c>
      <c r="E8" s="15" t="s">
        <v>135</v>
      </c>
      <c r="F8" s="15"/>
      <c r="G8" s="15" t="s">
        <v>137</v>
      </c>
      <c r="H8" s="47" t="s">
        <v>9</v>
      </c>
      <c r="I8" s="47" t="s">
        <v>9</v>
      </c>
      <c r="J8" s="19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37" customFormat="1" ht="12.75" customHeight="1" thickBot="1" x14ac:dyDescent="0.25">
      <c r="A10" s="122" t="s">
        <v>60</v>
      </c>
      <c r="B10" s="88" t="s">
        <v>238</v>
      </c>
      <c r="C10" s="123" t="s">
        <v>238</v>
      </c>
      <c r="D10" s="123" t="s">
        <v>238</v>
      </c>
      <c r="E10" s="124" t="s">
        <v>238</v>
      </c>
      <c r="F10" s="123" t="s">
        <v>238</v>
      </c>
      <c r="G10" s="127">
        <v>8.0000000000000007E-7</v>
      </c>
      <c r="H10" s="88" t="s">
        <v>238</v>
      </c>
      <c r="I10" s="88">
        <v>1</v>
      </c>
      <c r="J10" s="103">
        <v>0</v>
      </c>
    </row>
    <row r="11" spans="1:17" s="137" customFormat="1" x14ac:dyDescent="0.2">
      <c r="A11" s="113" t="s">
        <v>628</v>
      </c>
      <c r="B11" s="140" t="s">
        <v>238</v>
      </c>
      <c r="C11" s="141" t="s">
        <v>238</v>
      </c>
      <c r="D11" s="141" t="s">
        <v>238</v>
      </c>
      <c r="E11" s="153" t="s">
        <v>238</v>
      </c>
      <c r="F11" s="141" t="s">
        <v>238</v>
      </c>
      <c r="G11" s="154">
        <v>0</v>
      </c>
      <c r="H11" s="140" t="s">
        <v>238</v>
      </c>
      <c r="I11" s="140">
        <v>0</v>
      </c>
      <c r="J11" s="140">
        <v>0</v>
      </c>
    </row>
    <row r="12" spans="1:17" s="137" customFormat="1" x14ac:dyDescent="0.2">
      <c r="A12" s="114" t="s">
        <v>629</v>
      </c>
      <c r="B12" s="144" t="s">
        <v>238</v>
      </c>
      <c r="C12" s="145" t="s">
        <v>238</v>
      </c>
      <c r="D12" s="145" t="s">
        <v>238</v>
      </c>
      <c r="E12" s="155" t="s">
        <v>238</v>
      </c>
      <c r="F12" s="145" t="s">
        <v>238</v>
      </c>
      <c r="G12" s="146">
        <v>0</v>
      </c>
      <c r="H12" s="144" t="s">
        <v>238</v>
      </c>
      <c r="I12" s="144">
        <v>0</v>
      </c>
      <c r="J12" s="144">
        <v>0</v>
      </c>
    </row>
    <row r="13" spans="1:17" s="137" customFormat="1" x14ac:dyDescent="0.2">
      <c r="A13" s="114" t="s">
        <v>630</v>
      </c>
      <c r="B13" s="144" t="s">
        <v>238</v>
      </c>
      <c r="C13" s="145" t="s">
        <v>238</v>
      </c>
      <c r="D13" s="145" t="s">
        <v>238</v>
      </c>
      <c r="E13" s="155" t="s">
        <v>238</v>
      </c>
      <c r="F13" s="145" t="s">
        <v>238</v>
      </c>
      <c r="G13" s="146">
        <v>0</v>
      </c>
      <c r="H13" s="144" t="s">
        <v>238</v>
      </c>
      <c r="I13" s="144">
        <v>0</v>
      </c>
      <c r="J13" s="144">
        <v>0</v>
      </c>
    </row>
    <row r="14" spans="1:17" s="137" customFormat="1" x14ac:dyDescent="0.2">
      <c r="A14" s="114" t="s">
        <v>631</v>
      </c>
      <c r="B14" s="144" t="s">
        <v>238</v>
      </c>
      <c r="C14" s="145" t="s">
        <v>238</v>
      </c>
      <c r="D14" s="145" t="s">
        <v>238</v>
      </c>
      <c r="E14" s="155" t="s">
        <v>238</v>
      </c>
      <c r="F14" s="145" t="s">
        <v>238</v>
      </c>
      <c r="G14" s="146">
        <v>0</v>
      </c>
      <c r="H14" s="144" t="s">
        <v>238</v>
      </c>
      <c r="I14" s="144">
        <v>0</v>
      </c>
      <c r="J14" s="144">
        <v>0</v>
      </c>
    </row>
    <row r="15" spans="1:17" s="137" customFormat="1" x14ac:dyDescent="0.2">
      <c r="A15" s="114" t="s">
        <v>632</v>
      </c>
      <c r="B15" s="144" t="s">
        <v>238</v>
      </c>
      <c r="C15" s="145" t="s">
        <v>238</v>
      </c>
      <c r="D15" s="145" t="s">
        <v>238</v>
      </c>
      <c r="E15" s="155" t="s">
        <v>238</v>
      </c>
      <c r="F15" s="145" t="s">
        <v>238</v>
      </c>
      <c r="G15" s="146">
        <v>0</v>
      </c>
      <c r="H15" s="144" t="s">
        <v>238</v>
      </c>
      <c r="I15" s="144">
        <v>0</v>
      </c>
      <c r="J15" s="144">
        <v>0</v>
      </c>
    </row>
    <row r="16" spans="1:17" s="137" customFormat="1" x14ac:dyDescent="0.2">
      <c r="A16" s="114" t="s">
        <v>633</v>
      </c>
      <c r="B16" s="144" t="s">
        <v>238</v>
      </c>
      <c r="C16" s="145" t="s">
        <v>238</v>
      </c>
      <c r="D16" s="145" t="s">
        <v>238</v>
      </c>
      <c r="E16" s="155" t="s">
        <v>238</v>
      </c>
      <c r="F16" s="145" t="s">
        <v>238</v>
      </c>
      <c r="G16" s="146">
        <v>0</v>
      </c>
      <c r="H16" s="144" t="s">
        <v>238</v>
      </c>
      <c r="I16" s="144">
        <v>0</v>
      </c>
      <c r="J16" s="144">
        <v>0</v>
      </c>
    </row>
    <row r="17" spans="1:13" s="137" customFormat="1" x14ac:dyDescent="0.2">
      <c r="A17" s="114" t="s">
        <v>629</v>
      </c>
      <c r="B17" s="144" t="s">
        <v>238</v>
      </c>
      <c r="C17" s="145" t="s">
        <v>238</v>
      </c>
      <c r="D17" s="145" t="s">
        <v>238</v>
      </c>
      <c r="E17" s="155" t="s">
        <v>238</v>
      </c>
      <c r="F17" s="145" t="s">
        <v>238</v>
      </c>
      <c r="G17" s="146">
        <v>0</v>
      </c>
      <c r="H17" s="144" t="s">
        <v>238</v>
      </c>
      <c r="I17" s="144">
        <v>0</v>
      </c>
      <c r="J17" s="144">
        <v>0</v>
      </c>
    </row>
    <row r="18" spans="1:13" s="137" customFormat="1" x14ac:dyDescent="0.2">
      <c r="A18" s="114" t="s">
        <v>630</v>
      </c>
      <c r="B18" s="144" t="s">
        <v>238</v>
      </c>
      <c r="C18" s="145" t="s">
        <v>238</v>
      </c>
      <c r="D18" s="145" t="s">
        <v>238</v>
      </c>
      <c r="E18" s="155" t="s">
        <v>238</v>
      </c>
      <c r="F18" s="145" t="s">
        <v>238</v>
      </c>
      <c r="G18" s="146">
        <v>0</v>
      </c>
      <c r="H18" s="144" t="s">
        <v>238</v>
      </c>
      <c r="I18" s="144">
        <v>0</v>
      </c>
      <c r="J18" s="144">
        <v>0</v>
      </c>
    </row>
    <row r="19" spans="1:13" s="137" customFormat="1" x14ac:dyDescent="0.2">
      <c r="A19" s="114" t="s">
        <v>631</v>
      </c>
      <c r="B19" s="144" t="s">
        <v>238</v>
      </c>
      <c r="C19" s="145" t="s">
        <v>238</v>
      </c>
      <c r="D19" s="145" t="s">
        <v>238</v>
      </c>
      <c r="E19" s="155" t="s">
        <v>238</v>
      </c>
      <c r="F19" s="145" t="s">
        <v>238</v>
      </c>
      <c r="G19" s="146">
        <v>0</v>
      </c>
      <c r="H19" s="144" t="s">
        <v>238</v>
      </c>
      <c r="I19" s="144">
        <v>0</v>
      </c>
      <c r="J19" s="144">
        <v>0</v>
      </c>
    </row>
    <row r="20" spans="1:13" s="137" customFormat="1" x14ac:dyDescent="0.2">
      <c r="A20" s="239" t="s">
        <v>632</v>
      </c>
      <c r="B20" s="226" t="s">
        <v>238</v>
      </c>
      <c r="C20" s="228" t="s">
        <v>238</v>
      </c>
      <c r="D20" s="228" t="s">
        <v>238</v>
      </c>
      <c r="E20" s="244" t="s">
        <v>238</v>
      </c>
      <c r="F20" s="228" t="s">
        <v>238</v>
      </c>
      <c r="G20" s="229">
        <v>0</v>
      </c>
      <c r="H20" s="226" t="s">
        <v>238</v>
      </c>
      <c r="I20" s="226">
        <v>0</v>
      </c>
      <c r="J20" s="226">
        <v>0</v>
      </c>
    </row>
    <row r="21" spans="1:13" s="137" customFormat="1" x14ac:dyDescent="0.2">
      <c r="A21" s="99" t="s">
        <v>230</v>
      </c>
      <c r="B21" s="147"/>
      <c r="C21" s="148"/>
      <c r="D21" s="148"/>
      <c r="E21" s="148"/>
      <c r="F21" s="149"/>
      <c r="G21" s="150"/>
      <c r="H21" s="151"/>
      <c r="I21" s="151"/>
      <c r="J21" s="151"/>
      <c r="K21" s="168"/>
      <c r="L21" s="152"/>
      <c r="M21" s="152"/>
    </row>
    <row r="22" spans="1:13" s="137" customFormat="1" x14ac:dyDescent="0.2">
      <c r="A22" s="99" t="s">
        <v>231</v>
      </c>
      <c r="B22" s="147"/>
      <c r="C22" s="148"/>
      <c r="D22" s="148"/>
      <c r="E22" s="148"/>
      <c r="F22" s="149"/>
      <c r="G22" s="150"/>
      <c r="H22" s="151"/>
      <c r="I22" s="151"/>
      <c r="J22" s="151"/>
      <c r="K22" s="168"/>
      <c r="L22" s="152"/>
      <c r="M22" s="152"/>
    </row>
    <row r="23" spans="1:13" s="137" customFormat="1" x14ac:dyDescent="0.2">
      <c r="A23" s="99" t="s">
        <v>232</v>
      </c>
      <c r="B23" s="147"/>
      <c r="C23" s="148"/>
      <c r="D23" s="148"/>
      <c r="E23" s="148"/>
      <c r="F23" s="149"/>
      <c r="G23" s="150"/>
      <c r="H23" s="151"/>
      <c r="I23" s="151"/>
      <c r="J23" s="151"/>
      <c r="K23" s="168"/>
      <c r="L23" s="152"/>
      <c r="M23" s="152"/>
    </row>
    <row r="24" spans="1:13" s="137" customFormat="1" x14ac:dyDescent="0.2">
      <c r="A24" s="99" t="s">
        <v>233</v>
      </c>
      <c r="B24" s="147"/>
      <c r="C24" s="148"/>
      <c r="D24" s="148"/>
      <c r="E24" s="148"/>
      <c r="F24" s="149"/>
      <c r="G24" s="150"/>
      <c r="H24" s="151"/>
      <c r="I24" s="151"/>
      <c r="J24" s="151"/>
      <c r="K24" s="168"/>
      <c r="L24" s="152"/>
      <c r="M24" s="152"/>
    </row>
    <row r="25" spans="1:13" s="137" customFormat="1" x14ac:dyDescent="0.2">
      <c r="A25" s="99" t="s">
        <v>234</v>
      </c>
      <c r="B25" s="147"/>
      <c r="C25" s="148"/>
      <c r="D25" s="148"/>
      <c r="E25" s="148"/>
      <c r="F25" s="149"/>
      <c r="G25" s="150"/>
      <c r="H25" s="151"/>
      <c r="I25" s="151"/>
      <c r="J25" s="151"/>
      <c r="K25" s="168"/>
      <c r="L25" s="152"/>
      <c r="M25" s="152"/>
    </row>
  </sheetData>
  <mergeCells count="2">
    <mergeCell ref="A6:J6"/>
    <mergeCell ref="A5:J5"/>
  </mergeCells>
  <conditionalFormatting sqref="B11:D20 I11:J20">
    <cfRule type="expression" dxfId="56" priority="326" stopIfTrue="1">
      <formula>OR(LEFT(#REF!,3)="TIR",LEFT(#REF!,2)="IR")</formula>
    </cfRule>
  </conditionalFormatting>
  <conditionalFormatting sqref="A11:A20 G11:G20">
    <cfRule type="expression" dxfId="55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1546-1729-4D7D-9083-31EF982A1758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159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7" t="s">
        <v>9</v>
      </c>
      <c r="J8" s="47" t="s">
        <v>9</v>
      </c>
      <c r="K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4">
        <v>10</v>
      </c>
    </row>
    <row r="10" spans="1:18" s="137" customFormat="1" ht="12.75" customHeight="1" thickBot="1" x14ac:dyDescent="0.25">
      <c r="A10" s="122" t="s">
        <v>55</v>
      </c>
      <c r="B10" s="88" t="s">
        <v>238</v>
      </c>
      <c r="C10" s="88" t="s">
        <v>238</v>
      </c>
      <c r="D10" s="157" t="s">
        <v>238</v>
      </c>
      <c r="E10" s="157" t="s">
        <v>238</v>
      </c>
      <c r="F10" s="159" t="s">
        <v>238</v>
      </c>
      <c r="G10" s="157" t="s">
        <v>238</v>
      </c>
      <c r="H10" s="173">
        <v>2.0000000000000002E-7</v>
      </c>
      <c r="I10" s="91"/>
      <c r="J10" s="105">
        <v>1</v>
      </c>
      <c r="K10" s="104">
        <v>0</v>
      </c>
    </row>
    <row r="11" spans="1:18" s="137" customFormat="1" x14ac:dyDescent="0.2">
      <c r="A11" s="113" t="s">
        <v>634</v>
      </c>
      <c r="B11" s="140" t="s">
        <v>238</v>
      </c>
      <c r="C11" s="140" t="s">
        <v>238</v>
      </c>
      <c r="D11" s="160" t="s">
        <v>238</v>
      </c>
      <c r="E11" s="160" t="s">
        <v>238</v>
      </c>
      <c r="F11" s="162" t="s">
        <v>238</v>
      </c>
      <c r="G11" s="160" t="s">
        <v>238</v>
      </c>
      <c r="H11" s="142">
        <v>0</v>
      </c>
      <c r="I11" s="140" t="s">
        <v>238</v>
      </c>
      <c r="J11" s="140">
        <v>0</v>
      </c>
      <c r="K11" s="140">
        <v>0</v>
      </c>
    </row>
    <row r="12" spans="1:18" s="137" customFormat="1" x14ac:dyDescent="0.2">
      <c r="A12" s="239" t="s">
        <v>635</v>
      </c>
      <c r="B12" s="226" t="s">
        <v>238</v>
      </c>
      <c r="C12" s="226" t="s">
        <v>238</v>
      </c>
      <c r="D12" s="241" t="s">
        <v>238</v>
      </c>
      <c r="E12" s="241" t="s">
        <v>238</v>
      </c>
      <c r="F12" s="243" t="s">
        <v>238</v>
      </c>
      <c r="G12" s="241" t="s">
        <v>238</v>
      </c>
      <c r="H12" s="229">
        <v>0</v>
      </c>
      <c r="I12" s="226" t="s">
        <v>238</v>
      </c>
      <c r="J12" s="230">
        <v>0</v>
      </c>
      <c r="K12" s="230">
        <v>0</v>
      </c>
    </row>
    <row r="13" spans="1:18" s="137" customFormat="1" x14ac:dyDescent="0.2">
      <c r="A13" s="99" t="s">
        <v>230</v>
      </c>
      <c r="B13" s="147"/>
      <c r="C13" s="99"/>
      <c r="D13" s="166"/>
      <c r="E13" s="166"/>
      <c r="F13" s="166"/>
      <c r="G13" s="167"/>
      <c r="H13" s="152"/>
      <c r="I13" s="168"/>
      <c r="J13" s="168"/>
      <c r="K13" s="168"/>
      <c r="L13" s="168"/>
      <c r="M13" s="152"/>
      <c r="N13" s="152"/>
    </row>
    <row r="14" spans="1:18" s="137" customFormat="1" x14ac:dyDescent="0.2">
      <c r="A14" s="99" t="s">
        <v>231</v>
      </c>
      <c r="B14" s="147"/>
      <c r="C14" s="99"/>
      <c r="D14" s="166"/>
      <c r="E14" s="166"/>
      <c r="F14" s="166"/>
      <c r="G14" s="167"/>
      <c r="H14" s="152"/>
      <c r="I14" s="168"/>
      <c r="J14" s="168"/>
      <c r="K14" s="168"/>
      <c r="L14" s="168"/>
      <c r="M14" s="152"/>
      <c r="N14" s="152"/>
    </row>
    <row r="15" spans="1:18" s="137" customFormat="1" x14ac:dyDescent="0.2">
      <c r="A15" s="99" t="s">
        <v>232</v>
      </c>
      <c r="B15" s="147"/>
      <c r="C15" s="99"/>
      <c r="D15" s="166"/>
      <c r="E15" s="166"/>
      <c r="F15" s="166"/>
      <c r="G15" s="167"/>
      <c r="H15" s="152"/>
      <c r="I15" s="168"/>
      <c r="J15" s="168"/>
      <c r="K15" s="168"/>
      <c r="L15" s="168"/>
      <c r="M15" s="152"/>
      <c r="N15" s="152"/>
    </row>
    <row r="16" spans="1:18" s="137" customFormat="1" x14ac:dyDescent="0.2">
      <c r="A16" s="99" t="s">
        <v>233</v>
      </c>
      <c r="B16" s="147"/>
      <c r="C16" s="99"/>
      <c r="D16" s="166"/>
      <c r="E16" s="166"/>
      <c r="F16" s="166"/>
      <c r="G16" s="167"/>
      <c r="H16" s="152"/>
      <c r="I16" s="168"/>
      <c r="J16" s="168"/>
      <c r="K16" s="168"/>
      <c r="L16" s="168"/>
      <c r="M16" s="152"/>
      <c r="N16" s="152"/>
    </row>
    <row r="17" spans="1:14" s="137" customFormat="1" x14ac:dyDescent="0.2">
      <c r="A17" s="99" t="s">
        <v>234</v>
      </c>
      <c r="B17" s="147"/>
      <c r="C17" s="99"/>
      <c r="D17" s="166"/>
      <c r="E17" s="166"/>
      <c r="F17" s="166"/>
      <c r="G17" s="167"/>
      <c r="H17" s="152"/>
      <c r="I17" s="168"/>
      <c r="J17" s="168"/>
      <c r="K17" s="168"/>
      <c r="L17" s="168"/>
      <c r="M17" s="152"/>
      <c r="N17" s="152"/>
    </row>
  </sheetData>
  <mergeCells count="2">
    <mergeCell ref="A6:K6"/>
    <mergeCell ref="A5:K5"/>
  </mergeCells>
  <conditionalFormatting sqref="A10:A12 H10:H12">
    <cfRule type="expression" dxfId="54" priority="332" stopIfTrue="1">
      <formula>#REF!&gt;0</formula>
    </cfRule>
  </conditionalFormatting>
  <conditionalFormatting sqref="J10:K12">
    <cfRule type="expression" dxfId="53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CD4D-D2F9-452A-A9DC-FFA32591CF7D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1" bestFit="1" customWidth="1"/>
    <col min="5" max="5" width="14.140625" style="81" customWidth="1"/>
    <col min="6" max="6" width="11.5703125" style="81" bestFit="1" customWidth="1"/>
    <col min="7" max="7" width="7" style="53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6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81"/>
      <c r="E1" s="81"/>
      <c r="F1" s="81"/>
      <c r="G1" s="53"/>
      <c r="H1" s="83"/>
      <c r="I1" s="84"/>
      <c r="J1" s="84"/>
      <c r="K1" s="84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81"/>
      <c r="E2" s="81"/>
      <c r="F2" s="81"/>
      <c r="G2" s="53"/>
      <c r="H2" s="83"/>
      <c r="I2" s="84"/>
      <c r="J2" s="84"/>
      <c r="K2" s="84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81"/>
      <c r="E3" s="81"/>
      <c r="F3" s="81"/>
      <c r="G3" s="53"/>
      <c r="H3" s="83"/>
      <c r="I3" s="84"/>
      <c r="J3" s="84"/>
      <c r="K3" s="84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81"/>
      <c r="E4" s="81"/>
      <c r="F4" s="81"/>
      <c r="G4" s="53"/>
      <c r="H4" s="83"/>
      <c r="I4" s="84"/>
      <c r="J4" s="84"/>
      <c r="K4" s="84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159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7" t="s">
        <v>9</v>
      </c>
      <c r="J8" s="47" t="s">
        <v>9</v>
      </c>
      <c r="K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37" customFormat="1" ht="12.75" customHeight="1" thickBot="1" x14ac:dyDescent="0.25">
      <c r="A10" s="122" t="s">
        <v>56</v>
      </c>
      <c r="B10" s="88" t="s">
        <v>238</v>
      </c>
      <c r="C10" s="88" t="s">
        <v>238</v>
      </c>
      <c r="D10" s="123" t="s">
        <v>238</v>
      </c>
      <c r="E10" s="123" t="s">
        <v>238</v>
      </c>
      <c r="F10" s="124" t="s">
        <v>238</v>
      </c>
      <c r="G10" s="123" t="s">
        <v>238</v>
      </c>
      <c r="H10" s="131">
        <v>53.930651000000005</v>
      </c>
      <c r="I10" s="88" t="s">
        <v>238</v>
      </c>
      <c r="J10" s="88">
        <v>1</v>
      </c>
      <c r="K10" s="103">
        <v>9.1767907026202951E-4</v>
      </c>
    </row>
    <row r="11" spans="1:18" s="137" customFormat="1" x14ac:dyDescent="0.2">
      <c r="A11" s="113" t="s">
        <v>636</v>
      </c>
      <c r="B11" s="140" t="s">
        <v>238</v>
      </c>
      <c r="C11" s="140" t="s">
        <v>238</v>
      </c>
      <c r="D11" s="141" t="s">
        <v>238</v>
      </c>
      <c r="E11" s="141" t="s">
        <v>238</v>
      </c>
      <c r="F11" s="153" t="s">
        <v>238</v>
      </c>
      <c r="G11" s="141" t="s">
        <v>238</v>
      </c>
      <c r="H11" s="142">
        <v>53.930650499999999</v>
      </c>
      <c r="I11" s="140" t="s">
        <v>238</v>
      </c>
      <c r="J11" s="140">
        <v>0.99999999072883416</v>
      </c>
      <c r="K11" s="140">
        <v>9.1767906175407464E-4</v>
      </c>
    </row>
    <row r="12" spans="1:18" s="137" customFormat="1" x14ac:dyDescent="0.2">
      <c r="A12" s="114" t="s">
        <v>593</v>
      </c>
      <c r="B12" s="144" t="s">
        <v>238</v>
      </c>
      <c r="C12" s="144" t="s">
        <v>238</v>
      </c>
      <c r="D12" s="145" t="s">
        <v>238</v>
      </c>
      <c r="E12" s="145" t="s">
        <v>238</v>
      </c>
      <c r="F12" s="155" t="s">
        <v>238</v>
      </c>
      <c r="G12" s="145" t="s">
        <v>238</v>
      </c>
      <c r="H12" s="146">
        <v>0</v>
      </c>
      <c r="I12" s="144" t="s">
        <v>238</v>
      </c>
      <c r="J12" s="144">
        <v>0</v>
      </c>
      <c r="K12" s="144">
        <v>0</v>
      </c>
    </row>
    <row r="13" spans="1:18" s="137" customFormat="1" x14ac:dyDescent="0.2">
      <c r="A13" s="114" t="s">
        <v>637</v>
      </c>
      <c r="B13" s="144" t="s">
        <v>238</v>
      </c>
      <c r="C13" s="144" t="s">
        <v>238</v>
      </c>
      <c r="D13" s="145" t="s">
        <v>238</v>
      </c>
      <c r="E13" s="145" t="s">
        <v>238</v>
      </c>
      <c r="F13" s="155" t="s">
        <v>238</v>
      </c>
      <c r="G13" s="145" t="s">
        <v>238</v>
      </c>
      <c r="H13" s="146">
        <v>53.930650100000008</v>
      </c>
      <c r="I13" s="144" t="s">
        <v>238</v>
      </c>
      <c r="J13" s="144">
        <v>0.99999998331190176</v>
      </c>
      <c r="K13" s="144">
        <v>9.1767905494771112E-4</v>
      </c>
    </row>
    <row r="14" spans="1:18" x14ac:dyDescent="0.2">
      <c r="A14" s="33" t="s">
        <v>638</v>
      </c>
      <c r="B14" s="41" t="s">
        <v>643</v>
      </c>
      <c r="C14" s="41" t="s">
        <v>238</v>
      </c>
      <c r="D14" s="82" t="s">
        <v>126</v>
      </c>
      <c r="E14" s="82" t="s">
        <v>644</v>
      </c>
      <c r="F14" s="90">
        <v>101000</v>
      </c>
      <c r="G14" s="82">
        <v>2.2570000000000001</v>
      </c>
      <c r="H14" s="106">
        <v>8.12697</v>
      </c>
      <c r="I14" s="41" t="s">
        <v>238</v>
      </c>
      <c r="J14" s="41">
        <v>0.15069297049649927</v>
      </c>
      <c r="K14" s="41">
        <v>1.382877850602509E-4</v>
      </c>
      <c r="L14" s="28"/>
      <c r="M14" s="28"/>
      <c r="N14" s="28"/>
    </row>
    <row r="15" spans="1:18" x14ac:dyDescent="0.2">
      <c r="A15" s="33" t="s">
        <v>641</v>
      </c>
      <c r="B15" s="41" t="s">
        <v>645</v>
      </c>
      <c r="C15" s="41" t="s">
        <v>238</v>
      </c>
      <c r="D15" s="82" t="s">
        <v>126</v>
      </c>
      <c r="E15" s="82" t="s">
        <v>644</v>
      </c>
      <c r="F15" s="90">
        <v>-101000</v>
      </c>
      <c r="G15" s="82">
        <v>0.39510000000000001</v>
      </c>
      <c r="H15" s="106">
        <v>-1.4226400000000001</v>
      </c>
      <c r="I15" s="41" t="s">
        <v>238</v>
      </c>
      <c r="J15" s="41">
        <v>-2.6379062251631266E-2</v>
      </c>
      <c r="K15" s="41">
        <v>-2.4207513321461178E-5</v>
      </c>
      <c r="L15" s="28"/>
      <c r="M15" s="28"/>
      <c r="N15" s="28"/>
    </row>
    <row r="16" spans="1:18" x14ac:dyDescent="0.2">
      <c r="A16" s="33" t="s">
        <v>646</v>
      </c>
      <c r="B16" s="41" t="s">
        <v>647</v>
      </c>
      <c r="C16" s="41" t="s">
        <v>238</v>
      </c>
      <c r="D16" s="82" t="s">
        <v>126</v>
      </c>
      <c r="E16" s="82" t="s">
        <v>648</v>
      </c>
      <c r="F16" s="90">
        <v>-101000</v>
      </c>
      <c r="G16" s="82">
        <v>0.39069999999999999</v>
      </c>
      <c r="H16" s="106">
        <v>-1.4069</v>
      </c>
      <c r="I16" s="41" t="s">
        <v>238</v>
      </c>
      <c r="J16" s="41">
        <v>-2.6087205956405013E-2</v>
      </c>
      <c r="K16" s="41">
        <v>-2.393968290780783E-5</v>
      </c>
      <c r="L16" s="28"/>
      <c r="M16" s="28"/>
      <c r="N16" s="28"/>
    </row>
    <row r="17" spans="1:14" x14ac:dyDescent="0.2">
      <c r="A17" s="33" t="s">
        <v>649</v>
      </c>
      <c r="B17" s="41" t="s">
        <v>650</v>
      </c>
      <c r="C17" s="41" t="s">
        <v>238</v>
      </c>
      <c r="D17" s="82" t="s">
        <v>126</v>
      </c>
      <c r="E17" s="82" t="s">
        <v>648</v>
      </c>
      <c r="F17" s="90">
        <v>101000</v>
      </c>
      <c r="G17" s="82">
        <v>2.2865000000000002</v>
      </c>
      <c r="H17" s="106">
        <v>8.2329799999999995</v>
      </c>
      <c r="I17" s="41" t="s">
        <v>238</v>
      </c>
      <c r="J17" s="41">
        <v>0.15265864304141255</v>
      </c>
      <c r="K17" s="41">
        <v>1.4009164161370651E-4</v>
      </c>
      <c r="L17" s="28"/>
      <c r="M17" s="28"/>
      <c r="N17" s="28"/>
    </row>
    <row r="18" spans="1:14" x14ac:dyDescent="0.2">
      <c r="A18" s="33" t="s">
        <v>651</v>
      </c>
      <c r="B18" s="41" t="s">
        <v>652</v>
      </c>
      <c r="C18" s="41" t="s">
        <v>238</v>
      </c>
      <c r="D18" s="82" t="s">
        <v>126</v>
      </c>
      <c r="E18" s="82" t="s">
        <v>653</v>
      </c>
      <c r="F18" s="90">
        <v>-101000</v>
      </c>
      <c r="G18" s="82">
        <v>0.46850000000000003</v>
      </c>
      <c r="H18" s="106">
        <v>-1.6869000000000001</v>
      </c>
      <c r="I18" s="41" t="s">
        <v>238</v>
      </c>
      <c r="J18" s="41">
        <v>-3.1279058730442545E-2</v>
      </c>
      <c r="K18" s="41">
        <v>-2.8704137534423928E-5</v>
      </c>
      <c r="L18" s="28"/>
      <c r="M18" s="28"/>
      <c r="N18" s="28"/>
    </row>
    <row r="19" spans="1:14" x14ac:dyDescent="0.2">
      <c r="A19" s="33" t="s">
        <v>654</v>
      </c>
      <c r="B19" s="41" t="s">
        <v>655</v>
      </c>
      <c r="C19" s="41" t="s">
        <v>238</v>
      </c>
      <c r="D19" s="82" t="s">
        <v>126</v>
      </c>
      <c r="E19" s="82" t="s">
        <v>653</v>
      </c>
      <c r="F19" s="90">
        <v>101000</v>
      </c>
      <c r="G19" s="82">
        <v>2.3109000000000002</v>
      </c>
      <c r="H19" s="106">
        <v>8.3210899999999999</v>
      </c>
      <c r="I19" s="41" t="s">
        <v>238</v>
      </c>
      <c r="J19" s="41">
        <v>0.15429240785541415</v>
      </c>
      <c r="K19" s="41">
        <v>1.4159091338924632E-4</v>
      </c>
      <c r="L19" s="28"/>
      <c r="M19" s="28"/>
      <c r="N19" s="28"/>
    </row>
    <row r="20" spans="1:14" x14ac:dyDescent="0.2">
      <c r="A20" s="33" t="s">
        <v>665</v>
      </c>
      <c r="B20" s="41" t="s">
        <v>666</v>
      </c>
      <c r="C20" s="41" t="s">
        <v>238</v>
      </c>
      <c r="D20" s="82" t="s">
        <v>126</v>
      </c>
      <c r="E20" s="82" t="s">
        <v>667</v>
      </c>
      <c r="F20" s="90">
        <v>98000</v>
      </c>
      <c r="G20" s="82">
        <v>2.448</v>
      </c>
      <c r="H20" s="106">
        <v>8.5526599999999995</v>
      </c>
      <c r="I20" s="41" t="s">
        <v>238</v>
      </c>
      <c r="J20" s="41">
        <v>0.15858625552285655</v>
      </c>
      <c r="K20" s="41">
        <v>1.4553128752455163E-4</v>
      </c>
      <c r="L20" s="28"/>
      <c r="M20" s="28"/>
      <c r="N20" s="28"/>
    </row>
    <row r="21" spans="1:14" x14ac:dyDescent="0.2">
      <c r="A21" s="33" t="s">
        <v>668</v>
      </c>
      <c r="B21" s="41" t="s">
        <v>669</v>
      </c>
      <c r="C21" s="41" t="s">
        <v>238</v>
      </c>
      <c r="D21" s="82" t="s">
        <v>126</v>
      </c>
      <c r="E21" s="82" t="s">
        <v>667</v>
      </c>
      <c r="F21" s="90">
        <v>-98000</v>
      </c>
      <c r="G21" s="82">
        <v>0.61760000000000004</v>
      </c>
      <c r="H21" s="106">
        <v>-2.15788</v>
      </c>
      <c r="I21" s="41" t="s">
        <v>238</v>
      </c>
      <c r="J21" s="41">
        <v>-4.0012125943000389E-2</v>
      </c>
      <c r="K21" s="41">
        <v>-3.6718290534579823E-5</v>
      </c>
      <c r="L21" s="28"/>
      <c r="M21" s="28"/>
      <c r="N21" s="28"/>
    </row>
    <row r="22" spans="1:14" x14ac:dyDescent="0.2">
      <c r="A22" s="33" t="s">
        <v>638</v>
      </c>
      <c r="B22" s="41" t="s">
        <v>639</v>
      </c>
      <c r="C22" s="41" t="s">
        <v>238</v>
      </c>
      <c r="D22" s="82" t="s">
        <v>126</v>
      </c>
      <c r="E22" s="82" t="s">
        <v>640</v>
      </c>
      <c r="F22" s="90">
        <v>203361</v>
      </c>
      <c r="G22" s="82">
        <v>2.2745000000000002</v>
      </c>
      <c r="H22" s="106">
        <v>16.490200000000002</v>
      </c>
      <c r="I22" s="41" t="s">
        <v>238</v>
      </c>
      <c r="J22" s="41">
        <v>0.30576675219440608</v>
      </c>
      <c r="K22" s="41">
        <v>2.8059574887080295E-4</v>
      </c>
      <c r="L22" s="28"/>
      <c r="M22" s="28"/>
      <c r="N22" s="28"/>
    </row>
    <row r="23" spans="1:14" x14ac:dyDescent="0.2">
      <c r="A23" s="33" t="s">
        <v>641</v>
      </c>
      <c r="B23" s="41" t="s">
        <v>642</v>
      </c>
      <c r="C23" s="41" t="s">
        <v>238</v>
      </c>
      <c r="D23" s="82" t="s">
        <v>126</v>
      </c>
      <c r="E23" s="82" t="s">
        <v>640</v>
      </c>
      <c r="F23" s="90">
        <v>-203361</v>
      </c>
      <c r="G23" s="82">
        <v>0.38229999999999997</v>
      </c>
      <c r="H23" s="106">
        <v>-2.77169</v>
      </c>
      <c r="I23" s="41" t="s">
        <v>238</v>
      </c>
      <c r="J23" s="41">
        <v>-5.1393594340257448E-2</v>
      </c>
      <c r="K23" s="41">
        <v>-4.7162825871591357E-5</v>
      </c>
      <c r="L23" s="28"/>
      <c r="M23" s="28"/>
      <c r="N23" s="28"/>
    </row>
    <row r="24" spans="1:14" x14ac:dyDescent="0.2">
      <c r="A24" s="33" t="s">
        <v>654</v>
      </c>
      <c r="B24" s="41" t="s">
        <v>656</v>
      </c>
      <c r="C24" s="41" t="s">
        <v>238</v>
      </c>
      <c r="D24" s="82" t="s">
        <v>126</v>
      </c>
      <c r="E24" s="82" t="s">
        <v>657</v>
      </c>
      <c r="F24" s="90">
        <v>101000</v>
      </c>
      <c r="G24" s="82">
        <v>2.3067000000000002</v>
      </c>
      <c r="H24" s="106">
        <v>8.3056200000000011</v>
      </c>
      <c r="I24" s="41" t="s">
        <v>238</v>
      </c>
      <c r="J24" s="41">
        <v>0.1540055579896486</v>
      </c>
      <c r="K24" s="41">
        <v>1.413276772711258E-4</v>
      </c>
      <c r="L24" s="28"/>
      <c r="M24" s="28"/>
      <c r="N24" s="28"/>
    </row>
    <row r="25" spans="1:14" x14ac:dyDescent="0.2">
      <c r="A25" s="33" t="s">
        <v>658</v>
      </c>
      <c r="B25" s="41" t="s">
        <v>659</v>
      </c>
      <c r="C25" s="41" t="s">
        <v>238</v>
      </c>
      <c r="D25" s="82" t="s">
        <v>126</v>
      </c>
      <c r="E25" s="82" t="s">
        <v>657</v>
      </c>
      <c r="F25" s="90">
        <v>-101000</v>
      </c>
      <c r="G25" s="82">
        <v>0.38090000000000002</v>
      </c>
      <c r="H25" s="106">
        <v>-1.3717999999999999</v>
      </c>
      <c r="I25" s="41" t="s">
        <v>238</v>
      </c>
      <c r="J25" s="41">
        <v>-2.5436370126516734E-2</v>
      </c>
      <c r="K25" s="41">
        <v>-2.3342424488542737E-5</v>
      </c>
      <c r="L25" s="28"/>
      <c r="M25" s="28"/>
      <c r="N25" s="28"/>
    </row>
    <row r="26" spans="1:14" x14ac:dyDescent="0.2">
      <c r="A26" s="33" t="s">
        <v>660</v>
      </c>
      <c r="B26" s="41" t="s">
        <v>661</v>
      </c>
      <c r="C26" s="41" t="s">
        <v>238</v>
      </c>
      <c r="D26" s="82" t="s">
        <v>126</v>
      </c>
      <c r="E26" s="82" t="s">
        <v>662</v>
      </c>
      <c r="F26" s="90">
        <v>101000</v>
      </c>
      <c r="G26" s="82">
        <v>2.3306</v>
      </c>
      <c r="H26" s="106">
        <v>8.39175</v>
      </c>
      <c r="I26" s="41" t="s">
        <v>238</v>
      </c>
      <c r="J26" s="41">
        <v>0.1556026089876052</v>
      </c>
      <c r="K26" s="41">
        <v>1.4279325754609166E-4</v>
      </c>
      <c r="L26" s="28"/>
      <c r="M26" s="28"/>
      <c r="N26" s="28"/>
    </row>
    <row r="27" spans="1:14" x14ac:dyDescent="0.2">
      <c r="A27" s="33" t="s">
        <v>663</v>
      </c>
      <c r="B27" s="41" t="s">
        <v>664</v>
      </c>
      <c r="C27" s="41" t="s">
        <v>238</v>
      </c>
      <c r="D27" s="82" t="s">
        <v>126</v>
      </c>
      <c r="E27" s="82" t="s">
        <v>662</v>
      </c>
      <c r="F27" s="90">
        <v>-101000</v>
      </c>
      <c r="G27" s="82">
        <v>0.46450000000000002</v>
      </c>
      <c r="H27" s="106">
        <v>-1.6728099999999999</v>
      </c>
      <c r="I27" s="41" t="s">
        <v>238</v>
      </c>
      <c r="J27" s="41">
        <v>-3.1017797281920438E-2</v>
      </c>
      <c r="K27" s="41">
        <v>-2.8464383371248854E-5</v>
      </c>
      <c r="L27" s="28"/>
      <c r="M27" s="28"/>
      <c r="N27" s="28"/>
    </row>
    <row r="28" spans="1:14" s="137" customFormat="1" x14ac:dyDescent="0.2">
      <c r="A28" s="114" t="s">
        <v>670</v>
      </c>
      <c r="B28" s="144" t="s">
        <v>238</v>
      </c>
      <c r="C28" s="144" t="s">
        <v>238</v>
      </c>
      <c r="D28" s="145" t="s">
        <v>238</v>
      </c>
      <c r="E28" s="145" t="s">
        <v>238</v>
      </c>
      <c r="F28" s="155" t="s">
        <v>238</v>
      </c>
      <c r="G28" s="145" t="s">
        <v>238</v>
      </c>
      <c r="H28" s="146">
        <v>0</v>
      </c>
      <c r="I28" s="144" t="s">
        <v>238</v>
      </c>
      <c r="J28" s="144">
        <v>0</v>
      </c>
      <c r="K28" s="144">
        <v>0</v>
      </c>
    </row>
    <row r="29" spans="1:14" s="137" customFormat="1" x14ac:dyDescent="0.2">
      <c r="A29" s="114" t="s">
        <v>595</v>
      </c>
      <c r="B29" s="144" t="s">
        <v>238</v>
      </c>
      <c r="C29" s="144" t="s">
        <v>238</v>
      </c>
      <c r="D29" s="145" t="s">
        <v>238</v>
      </c>
      <c r="E29" s="145" t="s">
        <v>238</v>
      </c>
      <c r="F29" s="155" t="s">
        <v>238</v>
      </c>
      <c r="G29" s="145" t="s">
        <v>238</v>
      </c>
      <c r="H29" s="146">
        <v>0</v>
      </c>
      <c r="I29" s="144" t="s">
        <v>238</v>
      </c>
      <c r="J29" s="144">
        <v>0</v>
      </c>
      <c r="K29" s="144">
        <v>0</v>
      </c>
    </row>
    <row r="30" spans="1:14" s="137" customFormat="1" x14ac:dyDescent="0.2">
      <c r="A30" s="114" t="s">
        <v>143</v>
      </c>
      <c r="B30" s="144" t="s">
        <v>238</v>
      </c>
      <c r="C30" s="144" t="s">
        <v>238</v>
      </c>
      <c r="D30" s="145" t="s">
        <v>238</v>
      </c>
      <c r="E30" s="145" t="s">
        <v>238</v>
      </c>
      <c r="F30" s="155" t="s">
        <v>238</v>
      </c>
      <c r="G30" s="145" t="s">
        <v>238</v>
      </c>
      <c r="H30" s="146">
        <v>0</v>
      </c>
      <c r="I30" s="144" t="s">
        <v>238</v>
      </c>
      <c r="J30" s="144">
        <v>0</v>
      </c>
      <c r="K30" s="144">
        <v>0</v>
      </c>
    </row>
    <row r="31" spans="1:14" s="137" customFormat="1" x14ac:dyDescent="0.2">
      <c r="A31" s="114" t="s">
        <v>671</v>
      </c>
      <c r="B31" s="144" t="s">
        <v>238</v>
      </c>
      <c r="C31" s="144" t="s">
        <v>238</v>
      </c>
      <c r="D31" s="145" t="s">
        <v>238</v>
      </c>
      <c r="E31" s="145" t="s">
        <v>238</v>
      </c>
      <c r="F31" s="155" t="s">
        <v>238</v>
      </c>
      <c r="G31" s="145" t="s">
        <v>238</v>
      </c>
      <c r="H31" s="146">
        <v>0</v>
      </c>
      <c r="I31" s="144" t="s">
        <v>238</v>
      </c>
      <c r="J31" s="144">
        <v>0</v>
      </c>
      <c r="K31" s="144">
        <v>0</v>
      </c>
    </row>
    <row r="32" spans="1:14" s="137" customFormat="1" x14ac:dyDescent="0.2">
      <c r="A32" s="114" t="s">
        <v>593</v>
      </c>
      <c r="B32" s="144" t="s">
        <v>238</v>
      </c>
      <c r="C32" s="144" t="s">
        <v>238</v>
      </c>
      <c r="D32" s="145" t="s">
        <v>238</v>
      </c>
      <c r="E32" s="145" t="s">
        <v>238</v>
      </c>
      <c r="F32" s="155" t="s">
        <v>238</v>
      </c>
      <c r="G32" s="145" t="s">
        <v>238</v>
      </c>
      <c r="H32" s="146">
        <v>0</v>
      </c>
      <c r="I32" s="144" t="s">
        <v>238</v>
      </c>
      <c r="J32" s="144">
        <v>0</v>
      </c>
      <c r="K32" s="144">
        <v>0</v>
      </c>
    </row>
    <row r="33" spans="1:14" s="137" customFormat="1" x14ac:dyDescent="0.2">
      <c r="A33" s="114" t="s">
        <v>598</v>
      </c>
      <c r="B33" s="144" t="s">
        <v>238</v>
      </c>
      <c r="C33" s="144" t="s">
        <v>238</v>
      </c>
      <c r="D33" s="145" t="s">
        <v>238</v>
      </c>
      <c r="E33" s="145" t="s">
        <v>238</v>
      </c>
      <c r="F33" s="155" t="s">
        <v>238</v>
      </c>
      <c r="G33" s="145" t="s">
        <v>238</v>
      </c>
      <c r="H33" s="146">
        <v>0</v>
      </c>
      <c r="I33" s="144" t="s">
        <v>238</v>
      </c>
      <c r="J33" s="144">
        <v>0</v>
      </c>
      <c r="K33" s="144">
        <v>0</v>
      </c>
    </row>
    <row r="34" spans="1:14" s="137" customFormat="1" x14ac:dyDescent="0.2">
      <c r="A34" s="114" t="s">
        <v>595</v>
      </c>
      <c r="B34" s="144" t="s">
        <v>238</v>
      </c>
      <c r="C34" s="144" t="s">
        <v>238</v>
      </c>
      <c r="D34" s="145" t="s">
        <v>238</v>
      </c>
      <c r="E34" s="145" t="s">
        <v>238</v>
      </c>
      <c r="F34" s="155" t="s">
        <v>238</v>
      </c>
      <c r="G34" s="145" t="s">
        <v>238</v>
      </c>
      <c r="H34" s="146">
        <v>0</v>
      </c>
      <c r="I34" s="144" t="s">
        <v>238</v>
      </c>
      <c r="J34" s="144">
        <v>0</v>
      </c>
      <c r="K34" s="144">
        <v>0</v>
      </c>
    </row>
    <row r="35" spans="1:14" s="137" customFormat="1" x14ac:dyDescent="0.2">
      <c r="A35" s="114" t="s">
        <v>599</v>
      </c>
      <c r="B35" s="144" t="s">
        <v>238</v>
      </c>
      <c r="C35" s="144" t="s">
        <v>238</v>
      </c>
      <c r="D35" s="145" t="s">
        <v>238</v>
      </c>
      <c r="E35" s="145" t="s">
        <v>238</v>
      </c>
      <c r="F35" s="155" t="s">
        <v>238</v>
      </c>
      <c r="G35" s="145" t="s">
        <v>238</v>
      </c>
      <c r="H35" s="146">
        <v>0</v>
      </c>
      <c r="I35" s="144" t="s">
        <v>238</v>
      </c>
      <c r="J35" s="144">
        <v>0</v>
      </c>
      <c r="K35" s="144">
        <v>0</v>
      </c>
    </row>
    <row r="36" spans="1:14" s="137" customFormat="1" x14ac:dyDescent="0.2">
      <c r="A36" s="239" t="s">
        <v>143</v>
      </c>
      <c r="B36" s="226" t="s">
        <v>238</v>
      </c>
      <c r="C36" s="226" t="s">
        <v>238</v>
      </c>
      <c r="D36" s="228" t="s">
        <v>238</v>
      </c>
      <c r="E36" s="228" t="s">
        <v>238</v>
      </c>
      <c r="F36" s="244" t="s">
        <v>238</v>
      </c>
      <c r="G36" s="228" t="s">
        <v>238</v>
      </c>
      <c r="H36" s="229">
        <v>0</v>
      </c>
      <c r="I36" s="226" t="s">
        <v>238</v>
      </c>
      <c r="J36" s="226">
        <v>0</v>
      </c>
      <c r="K36" s="226">
        <v>0</v>
      </c>
    </row>
    <row r="37" spans="1:14" s="137" customFormat="1" x14ac:dyDescent="0.2">
      <c r="A37" s="99" t="s">
        <v>230</v>
      </c>
      <c r="B37" s="147"/>
      <c r="C37" s="147"/>
      <c r="D37" s="148"/>
      <c r="E37" s="148"/>
      <c r="F37" s="148"/>
      <c r="G37" s="149"/>
      <c r="H37" s="150"/>
      <c r="I37" s="151"/>
      <c r="J37" s="151"/>
      <c r="K37" s="151"/>
      <c r="L37" s="168"/>
      <c r="M37" s="152"/>
      <c r="N37" s="152"/>
    </row>
    <row r="38" spans="1:14" s="137" customFormat="1" x14ac:dyDescent="0.2">
      <c r="A38" s="99" t="s">
        <v>231</v>
      </c>
      <c r="B38" s="147"/>
      <c r="C38" s="147"/>
      <c r="D38" s="148"/>
      <c r="E38" s="148"/>
      <c r="F38" s="148"/>
      <c r="G38" s="149"/>
      <c r="H38" s="150"/>
      <c r="I38" s="151"/>
      <c r="J38" s="151"/>
      <c r="K38" s="151"/>
      <c r="L38" s="168"/>
      <c r="M38" s="152"/>
      <c r="N38" s="152"/>
    </row>
    <row r="39" spans="1:14" s="137" customFormat="1" x14ac:dyDescent="0.2">
      <c r="A39" s="99" t="s">
        <v>232</v>
      </c>
      <c r="B39" s="147"/>
      <c r="C39" s="147"/>
      <c r="D39" s="148"/>
      <c r="E39" s="148"/>
      <c r="F39" s="148"/>
      <c r="G39" s="149"/>
      <c r="H39" s="150"/>
      <c r="I39" s="151"/>
      <c r="J39" s="151"/>
      <c r="K39" s="151"/>
      <c r="L39" s="168"/>
      <c r="M39" s="152"/>
      <c r="N39" s="152"/>
    </row>
    <row r="40" spans="1:14" s="137" customFormat="1" x14ac:dyDescent="0.2">
      <c r="A40" s="99" t="s">
        <v>233</v>
      </c>
      <c r="B40" s="147"/>
      <c r="C40" s="147"/>
      <c r="D40" s="148"/>
      <c r="E40" s="148"/>
      <c r="F40" s="148"/>
      <c r="G40" s="149"/>
      <c r="H40" s="150"/>
      <c r="I40" s="151"/>
      <c r="J40" s="151"/>
      <c r="K40" s="151"/>
      <c r="L40" s="168"/>
      <c r="M40" s="152"/>
      <c r="N40" s="152"/>
    </row>
    <row r="41" spans="1:14" s="137" customFormat="1" x14ac:dyDescent="0.2">
      <c r="A41" s="99" t="s">
        <v>234</v>
      </c>
      <c r="B41" s="147"/>
      <c r="C41" s="147"/>
      <c r="D41" s="148"/>
      <c r="E41" s="148"/>
      <c r="F41" s="148"/>
      <c r="G41" s="149"/>
      <c r="H41" s="150"/>
      <c r="I41" s="151"/>
      <c r="J41" s="151"/>
      <c r="K41" s="151"/>
      <c r="L41" s="168"/>
      <c r="M41" s="152"/>
      <c r="N41" s="152"/>
    </row>
  </sheetData>
  <mergeCells count="2">
    <mergeCell ref="A6:K6"/>
    <mergeCell ref="A5:K5"/>
  </mergeCells>
  <conditionalFormatting sqref="B11:E36 J11:K36">
    <cfRule type="expression" dxfId="52" priority="338" stopIfTrue="1">
      <formula>OR(LEFT(#REF!,3)="TIR",LEFT(#REF!,2)="IR")</formula>
    </cfRule>
  </conditionalFormatting>
  <conditionalFormatting sqref="A11:A36 H11:H36">
    <cfRule type="expression" dxfId="51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86C-1958-47D3-9C8D-F5D23604029D}">
  <sheetPr codeName="גיליון20">
    <pageSetUpPr fitToPage="1"/>
  </sheetPr>
  <dimension ref="A1:O102"/>
  <sheetViews>
    <sheetView rightToLeft="1" topLeftCell="A7" zoomScale="85" zoomScaleNormal="85" workbookViewId="0">
      <selection activeCell="A7" sqref="A7:J97"/>
    </sheetView>
  </sheetViews>
  <sheetFormatPr defaultRowHeight="12.75" x14ac:dyDescent="0.2"/>
  <cols>
    <col min="1" max="1" width="28.42578125" style="23" bestFit="1" customWidth="1"/>
    <col min="2" max="2" width="12.7109375" style="22" bestFit="1" customWidth="1"/>
    <col min="3" max="3" width="11.140625" style="23" customWidth="1"/>
    <col min="4" max="4" width="11.85546875" style="81" bestFit="1" customWidth="1"/>
    <col min="5" max="5" width="13.42578125" style="81" customWidth="1"/>
    <col min="6" max="6" width="13.5703125" style="81" bestFit="1" customWidth="1"/>
    <col min="7" max="7" width="6.7109375" style="53" customWidth="1"/>
    <col min="8" max="8" width="9.85546875" style="83" customWidth="1"/>
    <col min="9" max="9" width="24" style="83" customWidth="1"/>
    <col min="10" max="10" width="19.7109375" style="85" customWidth="1"/>
    <col min="11" max="11" width="11.42578125" style="36" bestFit="1" customWidth="1"/>
    <col min="12" max="12" width="7.28515625" style="36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81"/>
      <c r="E1" s="81"/>
      <c r="F1" s="81"/>
      <c r="G1" s="53"/>
      <c r="H1" s="83"/>
      <c r="I1" s="83"/>
      <c r="J1" s="84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81"/>
      <c r="E2" s="81"/>
      <c r="F2" s="81"/>
      <c r="G2" s="53"/>
      <c r="H2" s="83"/>
      <c r="I2" s="83"/>
      <c r="J2" s="84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81"/>
      <c r="E3" s="81"/>
      <c r="F3" s="81"/>
      <c r="G3" s="53"/>
      <c r="H3" s="83"/>
      <c r="I3" s="83"/>
      <c r="J3" s="84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81"/>
      <c r="E4" s="81"/>
      <c r="F4" s="81"/>
      <c r="G4" s="53"/>
      <c r="H4" s="83"/>
      <c r="I4" s="83"/>
      <c r="J4" s="84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8" t="s">
        <v>159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7" t="s">
        <v>9</v>
      </c>
      <c r="J8" s="19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37" customFormat="1" ht="12.75" customHeight="1" thickBot="1" x14ac:dyDescent="0.25">
      <c r="A10" s="122" t="s">
        <v>62</v>
      </c>
      <c r="B10" s="88"/>
      <c r="C10" s="88"/>
      <c r="D10" s="123"/>
      <c r="E10" s="123"/>
      <c r="F10" s="124"/>
      <c r="G10" s="123"/>
      <c r="H10" s="125">
        <v>-68.991639099999674</v>
      </c>
      <c r="I10" s="88">
        <v>1</v>
      </c>
      <c r="J10" s="103">
        <v>-1.1739554789565061E-3</v>
      </c>
    </row>
    <row r="11" spans="1:15" s="137" customFormat="1" x14ac:dyDescent="0.2">
      <c r="A11" s="113" t="s">
        <v>672</v>
      </c>
      <c r="B11" s="140" t="s">
        <v>238</v>
      </c>
      <c r="C11" s="140" t="s">
        <v>238</v>
      </c>
      <c r="D11" s="141" t="s">
        <v>238</v>
      </c>
      <c r="E11" s="141" t="s">
        <v>238</v>
      </c>
      <c r="F11" s="153" t="s">
        <v>238</v>
      </c>
      <c r="G11" s="141" t="s">
        <v>238</v>
      </c>
      <c r="H11" s="142">
        <v>-40.578419499999868</v>
      </c>
      <c r="I11" s="140">
        <v>0.58816430554988874</v>
      </c>
      <c r="J11" s="140">
        <v>-6.9047870902694058E-4</v>
      </c>
    </row>
    <row r="12" spans="1:15" s="137" customFormat="1" x14ac:dyDescent="0.2">
      <c r="A12" s="114" t="s">
        <v>593</v>
      </c>
      <c r="B12" s="144" t="s">
        <v>238</v>
      </c>
      <c r="C12" s="144" t="s">
        <v>238</v>
      </c>
      <c r="D12" s="145" t="s">
        <v>238</v>
      </c>
      <c r="E12" s="145" t="s">
        <v>238</v>
      </c>
      <c r="F12" s="155" t="s">
        <v>238</v>
      </c>
      <c r="G12" s="145" t="s">
        <v>238</v>
      </c>
      <c r="H12" s="146">
        <v>0</v>
      </c>
      <c r="I12" s="144">
        <v>0</v>
      </c>
      <c r="J12" s="144">
        <v>0</v>
      </c>
    </row>
    <row r="13" spans="1:15" s="137" customFormat="1" x14ac:dyDescent="0.2">
      <c r="A13" s="114" t="s">
        <v>595</v>
      </c>
      <c r="B13" s="144" t="s">
        <v>238</v>
      </c>
      <c r="C13" s="144" t="s">
        <v>238</v>
      </c>
      <c r="D13" s="145" t="s">
        <v>238</v>
      </c>
      <c r="E13" s="145" t="s">
        <v>238</v>
      </c>
      <c r="F13" s="155" t="s">
        <v>238</v>
      </c>
      <c r="G13" s="145" t="s">
        <v>238</v>
      </c>
      <c r="H13" s="146">
        <v>0</v>
      </c>
      <c r="I13" s="144">
        <v>0</v>
      </c>
      <c r="J13" s="144">
        <v>0</v>
      </c>
    </row>
    <row r="14" spans="1:15" s="137" customFormat="1" x14ac:dyDescent="0.2">
      <c r="A14" s="114" t="s">
        <v>673</v>
      </c>
      <c r="B14" s="144" t="s">
        <v>238</v>
      </c>
      <c r="C14" s="144" t="s">
        <v>238</v>
      </c>
      <c r="D14" s="145" t="s">
        <v>238</v>
      </c>
      <c r="E14" s="145" t="s">
        <v>238</v>
      </c>
      <c r="F14" s="155" t="s">
        <v>238</v>
      </c>
      <c r="G14" s="145" t="s">
        <v>238</v>
      </c>
      <c r="H14" s="146">
        <v>0</v>
      </c>
      <c r="I14" s="144">
        <v>0</v>
      </c>
      <c r="J14" s="144">
        <v>0</v>
      </c>
    </row>
    <row r="15" spans="1:15" s="137" customFormat="1" x14ac:dyDescent="0.2">
      <c r="A15" s="114" t="s">
        <v>670</v>
      </c>
      <c r="B15" s="144" t="s">
        <v>238</v>
      </c>
      <c r="C15" s="144" t="s">
        <v>238</v>
      </c>
      <c r="D15" s="145" t="s">
        <v>238</v>
      </c>
      <c r="E15" s="145" t="s">
        <v>238</v>
      </c>
      <c r="F15" s="155" t="s">
        <v>238</v>
      </c>
      <c r="G15" s="145" t="s">
        <v>238</v>
      </c>
      <c r="H15" s="146">
        <v>24.325260100000065</v>
      </c>
      <c r="I15" s="144">
        <v>-0.35258272476671998</v>
      </c>
      <c r="J15" s="144">
        <v>4.139164215253048E-4</v>
      </c>
    </row>
    <row r="16" spans="1:15" x14ac:dyDescent="0.2">
      <c r="A16" s="33" t="s">
        <v>690</v>
      </c>
      <c r="B16" s="41" t="s">
        <v>701</v>
      </c>
      <c r="C16" s="41" t="s">
        <v>202</v>
      </c>
      <c r="D16" s="82" t="s">
        <v>126</v>
      </c>
      <c r="E16" s="82" t="s">
        <v>702</v>
      </c>
      <c r="F16" s="90">
        <v>18231.78</v>
      </c>
      <c r="G16" s="82">
        <v>0.99970000000000003</v>
      </c>
      <c r="H16" s="106">
        <v>64.982839999999996</v>
      </c>
      <c r="I16" s="41">
        <v>-0.94189442152274216</v>
      </c>
      <c r="J16" s="41">
        <v>1.1057421167451921E-3</v>
      </c>
      <c r="K16" s="28"/>
      <c r="L16" s="28"/>
      <c r="M16" s="28"/>
      <c r="N16" s="28"/>
    </row>
    <row r="17" spans="1:14" x14ac:dyDescent="0.2">
      <c r="A17" s="33" t="s">
        <v>693</v>
      </c>
      <c r="B17" s="41" t="s">
        <v>703</v>
      </c>
      <c r="C17" s="41" t="s">
        <v>202</v>
      </c>
      <c r="D17" s="82" t="s">
        <v>127</v>
      </c>
      <c r="E17" s="82" t="s">
        <v>702</v>
      </c>
      <c r="F17" s="90">
        <v>-16600</v>
      </c>
      <c r="G17" s="82">
        <v>1.0036</v>
      </c>
      <c r="H17" s="106">
        <v>-64.983040000000003</v>
      </c>
      <c r="I17" s="41">
        <v>0.94189732042473395</v>
      </c>
      <c r="J17" s="41">
        <v>-1.1057455199270684E-3</v>
      </c>
      <c r="K17" s="28"/>
      <c r="L17" s="28"/>
      <c r="M17" s="28"/>
      <c r="N17" s="28"/>
    </row>
    <row r="18" spans="1:14" x14ac:dyDescent="0.2">
      <c r="A18" s="33" t="s">
        <v>674</v>
      </c>
      <c r="B18" s="41" t="s">
        <v>675</v>
      </c>
      <c r="C18" s="41" t="s">
        <v>202</v>
      </c>
      <c r="D18" s="82" t="s">
        <v>126</v>
      </c>
      <c r="E18" s="82" t="s">
        <v>676</v>
      </c>
      <c r="F18" s="90">
        <v>61993</v>
      </c>
      <c r="G18" s="82">
        <v>1</v>
      </c>
      <c r="H18" s="106">
        <v>221.00570000000002</v>
      </c>
      <c r="I18" s="41">
        <v>-3.2033693195731168</v>
      </c>
      <c r="J18" s="41">
        <v>3.760612963834036E-3</v>
      </c>
      <c r="K18" s="28"/>
      <c r="L18" s="28"/>
      <c r="M18" s="28"/>
      <c r="N18" s="28"/>
    </row>
    <row r="19" spans="1:14" x14ac:dyDescent="0.2">
      <c r="A19" s="33" t="s">
        <v>677</v>
      </c>
      <c r="B19" s="41" t="s">
        <v>678</v>
      </c>
      <c r="C19" s="41" t="s">
        <v>202</v>
      </c>
      <c r="D19" s="82" t="s">
        <v>2</v>
      </c>
      <c r="E19" s="82" t="s">
        <v>676</v>
      </c>
      <c r="F19" s="90">
        <v>-47000</v>
      </c>
      <c r="G19" s="82">
        <v>0.99990000000000001</v>
      </c>
      <c r="H19" s="106">
        <v>-206.73254</v>
      </c>
      <c r="I19" s="41">
        <v>2.9964868598114083</v>
      </c>
      <c r="J19" s="41">
        <v>-3.5177421666967787E-3</v>
      </c>
      <c r="K19" s="28"/>
      <c r="L19" s="28"/>
      <c r="M19" s="28"/>
      <c r="N19" s="28"/>
    </row>
    <row r="20" spans="1:14" x14ac:dyDescent="0.2">
      <c r="A20" s="33" t="s">
        <v>679</v>
      </c>
      <c r="B20" s="41" t="s">
        <v>680</v>
      </c>
      <c r="C20" s="41" t="s">
        <v>202</v>
      </c>
      <c r="D20" s="82" t="s">
        <v>261</v>
      </c>
      <c r="E20" s="82" t="s">
        <v>681</v>
      </c>
      <c r="F20" s="90">
        <v>3914787</v>
      </c>
      <c r="G20" s="82">
        <v>1.0024999999999999</v>
      </c>
      <c r="H20" s="106">
        <v>128.68854999999999</v>
      </c>
      <c r="I20" s="41">
        <v>-1.8652774695419663</v>
      </c>
      <c r="J20" s="41">
        <v>2.189752705142919E-3</v>
      </c>
      <c r="K20" s="28"/>
      <c r="L20" s="28"/>
      <c r="M20" s="28"/>
      <c r="N20" s="28"/>
    </row>
    <row r="21" spans="1:14" x14ac:dyDescent="0.2">
      <c r="A21" s="33" t="s">
        <v>682</v>
      </c>
      <c r="B21" s="41" t="s">
        <v>683</v>
      </c>
      <c r="C21" s="41" t="s">
        <v>202</v>
      </c>
      <c r="D21" s="82" t="s">
        <v>126</v>
      </c>
      <c r="E21" s="82" t="s">
        <v>681</v>
      </c>
      <c r="F21" s="90">
        <v>-36138.61</v>
      </c>
      <c r="G21" s="82">
        <v>0.99980000000000002</v>
      </c>
      <c r="H21" s="106">
        <v>-128.81828999999999</v>
      </c>
      <c r="I21" s="41">
        <v>1.8671579872640045</v>
      </c>
      <c r="J21" s="41">
        <v>-2.1919603492259803E-3</v>
      </c>
      <c r="K21" s="28"/>
      <c r="L21" s="28"/>
      <c r="M21" s="28"/>
      <c r="N21" s="28"/>
    </row>
    <row r="22" spans="1:14" x14ac:dyDescent="0.2">
      <c r="A22" s="33" t="s">
        <v>679</v>
      </c>
      <c r="B22" s="41" t="s">
        <v>684</v>
      </c>
      <c r="C22" s="41" t="s">
        <v>202</v>
      </c>
      <c r="D22" s="82" t="s">
        <v>261</v>
      </c>
      <c r="E22" s="82" t="s">
        <v>685</v>
      </c>
      <c r="F22" s="90">
        <v>2256491</v>
      </c>
      <c r="G22" s="82">
        <v>1.0024999999999999</v>
      </c>
      <c r="H22" s="106">
        <v>74.176339999999996</v>
      </c>
      <c r="I22" s="41">
        <v>-1.0751496988277864</v>
      </c>
      <c r="J22" s="41">
        <v>1.2621778796373176E-3</v>
      </c>
      <c r="K22" s="28"/>
      <c r="L22" s="28"/>
      <c r="M22" s="28"/>
      <c r="N22" s="28"/>
    </row>
    <row r="23" spans="1:14" x14ac:dyDescent="0.2">
      <c r="A23" s="33" t="s">
        <v>682</v>
      </c>
      <c r="B23" s="41" t="s">
        <v>686</v>
      </c>
      <c r="C23" s="41" t="s">
        <v>202</v>
      </c>
      <c r="D23" s="82" t="s">
        <v>126</v>
      </c>
      <c r="E23" s="82" t="s">
        <v>685</v>
      </c>
      <c r="F23" s="90">
        <v>-20835.560000000001</v>
      </c>
      <c r="G23" s="82">
        <v>0.99980000000000002</v>
      </c>
      <c r="H23" s="106">
        <v>-74.269630000000006</v>
      </c>
      <c r="I23" s="41">
        <v>1.076501891661831</v>
      </c>
      <c r="J23" s="41">
        <v>-1.26376529382345E-3</v>
      </c>
      <c r="K23" s="28"/>
      <c r="L23" s="28"/>
      <c r="M23" s="28"/>
      <c r="N23" s="28"/>
    </row>
    <row r="24" spans="1:14" x14ac:dyDescent="0.2">
      <c r="A24" s="33" t="s">
        <v>682</v>
      </c>
      <c r="B24" s="41" t="s">
        <v>687</v>
      </c>
      <c r="C24" s="41" t="s">
        <v>202</v>
      </c>
      <c r="D24" s="82" t="s">
        <v>126</v>
      </c>
      <c r="E24" s="82" t="s">
        <v>688</v>
      </c>
      <c r="F24" s="90">
        <v>234193.14</v>
      </c>
      <c r="G24" s="82">
        <v>0.99980000000000002</v>
      </c>
      <c r="H24" s="106">
        <v>834.79584999999997</v>
      </c>
      <c r="I24" s="41">
        <v>-12.099956761282453</v>
      </c>
      <c r="J24" s="41">
        <v>1.4204810535044358E-2</v>
      </c>
      <c r="K24" s="28"/>
      <c r="L24" s="28"/>
      <c r="M24" s="28"/>
      <c r="N24" s="28"/>
    </row>
    <row r="25" spans="1:14" x14ac:dyDescent="0.2">
      <c r="A25" s="33" t="s">
        <v>679</v>
      </c>
      <c r="B25" s="41" t="s">
        <v>689</v>
      </c>
      <c r="C25" s="41" t="s">
        <v>202</v>
      </c>
      <c r="D25" s="82" t="s">
        <v>261</v>
      </c>
      <c r="E25" s="82" t="s">
        <v>688</v>
      </c>
      <c r="F25" s="90">
        <v>-25277637</v>
      </c>
      <c r="G25" s="82">
        <v>1.0024999999999999</v>
      </c>
      <c r="H25" s="106">
        <v>-830.93732999999997</v>
      </c>
      <c r="I25" s="41">
        <v>12.044029404716721</v>
      </c>
      <c r="J25" s="41">
        <v>-1.4139154308380463E-2</v>
      </c>
      <c r="K25" s="28"/>
      <c r="L25" s="28"/>
      <c r="M25" s="28"/>
      <c r="N25" s="28"/>
    </row>
    <row r="26" spans="1:14" x14ac:dyDescent="0.2">
      <c r="A26" s="33" t="s">
        <v>690</v>
      </c>
      <c r="B26" s="41" t="s">
        <v>691</v>
      </c>
      <c r="C26" s="41" t="s">
        <v>202</v>
      </c>
      <c r="D26" s="82" t="s">
        <v>126</v>
      </c>
      <c r="E26" s="82" t="s">
        <v>692</v>
      </c>
      <c r="F26" s="90">
        <v>51866.38</v>
      </c>
      <c r="G26" s="82">
        <v>0.99970000000000003</v>
      </c>
      <c r="H26" s="106">
        <v>184.86535999999998</v>
      </c>
      <c r="I26" s="41">
        <v>-2.6795328015333504</v>
      </c>
      <c r="J26" s="41">
        <v>3.1456522134037531E-3</v>
      </c>
      <c r="K26" s="28"/>
      <c r="L26" s="28"/>
      <c r="M26" s="28"/>
      <c r="N26" s="28"/>
    </row>
    <row r="27" spans="1:14" x14ac:dyDescent="0.2">
      <c r="A27" s="33" t="s">
        <v>693</v>
      </c>
      <c r="B27" s="41" t="s">
        <v>694</v>
      </c>
      <c r="C27" s="41" t="s">
        <v>202</v>
      </c>
      <c r="D27" s="82" t="s">
        <v>127</v>
      </c>
      <c r="E27" s="82" t="s">
        <v>692</v>
      </c>
      <c r="F27" s="90">
        <v>-46000</v>
      </c>
      <c r="G27" s="82">
        <v>1.0036</v>
      </c>
      <c r="H27" s="106">
        <v>-180.07314000000002</v>
      </c>
      <c r="I27" s="41">
        <v>2.6100719210192072</v>
      </c>
      <c r="J27" s="41">
        <v>-3.0641082321510318E-3</v>
      </c>
      <c r="K27" s="28"/>
      <c r="L27" s="28"/>
      <c r="M27" s="28"/>
      <c r="N27" s="28"/>
    </row>
    <row r="28" spans="1:14" x14ac:dyDescent="0.2">
      <c r="A28" s="33" t="s">
        <v>693</v>
      </c>
      <c r="B28" s="41" t="s">
        <v>695</v>
      </c>
      <c r="C28" s="41" t="s">
        <v>202</v>
      </c>
      <c r="D28" s="82" t="s">
        <v>127</v>
      </c>
      <c r="E28" s="82" t="s">
        <v>696</v>
      </c>
      <c r="F28" s="90">
        <v>13000</v>
      </c>
      <c r="G28" s="82">
        <v>1.0036</v>
      </c>
      <c r="H28" s="106">
        <v>50.890230000000003</v>
      </c>
      <c r="I28" s="41">
        <v>-0.73762894553407177</v>
      </c>
      <c r="J28" s="41">
        <v>8.6594354204663391E-4</v>
      </c>
      <c r="K28" s="28"/>
      <c r="L28" s="28"/>
      <c r="M28" s="28"/>
      <c r="N28" s="28"/>
    </row>
    <row r="29" spans="1:14" x14ac:dyDescent="0.2">
      <c r="A29" s="33" t="s">
        <v>690</v>
      </c>
      <c r="B29" s="41" t="s">
        <v>697</v>
      </c>
      <c r="C29" s="41" t="s">
        <v>202</v>
      </c>
      <c r="D29" s="82" t="s">
        <v>126</v>
      </c>
      <c r="E29" s="82" t="s">
        <v>696</v>
      </c>
      <c r="F29" s="90">
        <v>-14248</v>
      </c>
      <c r="G29" s="82">
        <v>0.99970000000000003</v>
      </c>
      <c r="H29" s="106">
        <v>-50.7836</v>
      </c>
      <c r="I29" s="41">
        <v>0.73608339593717864</v>
      </c>
      <c r="J29" s="41">
        <v>-8.6412913562936217E-4</v>
      </c>
      <c r="K29" s="28"/>
      <c r="L29" s="28"/>
      <c r="M29" s="28"/>
      <c r="N29" s="28"/>
    </row>
    <row r="30" spans="1:14" x14ac:dyDescent="0.2">
      <c r="A30" s="33" t="s">
        <v>690</v>
      </c>
      <c r="B30" s="41" t="s">
        <v>698</v>
      </c>
      <c r="C30" s="41" t="s">
        <v>202</v>
      </c>
      <c r="D30" s="82" t="s">
        <v>126</v>
      </c>
      <c r="E30" s="82" t="s">
        <v>699</v>
      </c>
      <c r="F30" s="90">
        <v>11145.54</v>
      </c>
      <c r="G30" s="82">
        <v>0.99970000000000003</v>
      </c>
      <c r="H30" s="106">
        <v>39.725660000000005</v>
      </c>
      <c r="I30" s="41">
        <v>-0.57580397448478926</v>
      </c>
      <c r="J30" s="41">
        <v>6.7596823065135066E-4</v>
      </c>
      <c r="K30" s="28"/>
      <c r="L30" s="28"/>
      <c r="M30" s="28"/>
      <c r="N30" s="28"/>
    </row>
    <row r="31" spans="1:14" x14ac:dyDescent="0.2">
      <c r="A31" s="33" t="s">
        <v>693</v>
      </c>
      <c r="B31" s="41" t="s">
        <v>700</v>
      </c>
      <c r="C31" s="41" t="s">
        <v>202</v>
      </c>
      <c r="D31" s="82" t="s">
        <v>127</v>
      </c>
      <c r="E31" s="82" t="s">
        <v>699</v>
      </c>
      <c r="F31" s="90">
        <v>-9800</v>
      </c>
      <c r="G31" s="82">
        <v>1.0036</v>
      </c>
      <c r="H31" s="106">
        <v>-38.363480000000003</v>
      </c>
      <c r="I31" s="41">
        <v>0.55605984290928645</v>
      </c>
      <c r="J31" s="41">
        <v>-6.5278949921105094E-4</v>
      </c>
      <c r="K31" s="28"/>
      <c r="L31" s="28"/>
      <c r="M31" s="28"/>
      <c r="N31" s="28"/>
    </row>
    <row r="32" spans="1:14" x14ac:dyDescent="0.2">
      <c r="A32" s="33" t="s">
        <v>690</v>
      </c>
      <c r="B32" s="41" t="s">
        <v>704</v>
      </c>
      <c r="C32" s="41" t="s">
        <v>202</v>
      </c>
      <c r="D32" s="82" t="s">
        <v>126</v>
      </c>
      <c r="E32" s="82" t="s">
        <v>702</v>
      </c>
      <c r="F32" s="90">
        <v>13772.5</v>
      </c>
      <c r="G32" s="82">
        <v>0.99970000000000003</v>
      </c>
      <c r="H32" s="106">
        <v>49.088790000000003</v>
      </c>
      <c r="I32" s="41">
        <v>-0.711517955514123</v>
      </c>
      <c r="J32" s="41">
        <v>8.352904022517364E-4</v>
      </c>
      <c r="K32" s="28"/>
      <c r="L32" s="28"/>
      <c r="M32" s="28"/>
      <c r="N32" s="28"/>
    </row>
    <row r="33" spans="1:14" x14ac:dyDescent="0.2">
      <c r="A33" s="33" t="s">
        <v>693</v>
      </c>
      <c r="B33" s="41" t="s">
        <v>705</v>
      </c>
      <c r="C33" s="41" t="s">
        <v>202</v>
      </c>
      <c r="D33" s="82" t="s">
        <v>127</v>
      </c>
      <c r="E33" s="82" t="s">
        <v>702</v>
      </c>
      <c r="F33" s="90">
        <v>-12500</v>
      </c>
      <c r="G33" s="82">
        <v>1.0036</v>
      </c>
      <c r="H33" s="106">
        <v>-48.933010000000003</v>
      </c>
      <c r="I33" s="41">
        <v>0.70926000075276119</v>
      </c>
      <c r="J33" s="41">
        <v>-8.3263966388839969E-4</v>
      </c>
      <c r="K33" s="28"/>
      <c r="L33" s="28"/>
      <c r="M33" s="28"/>
      <c r="N33" s="28"/>
    </row>
    <row r="34" spans="1:14" s="137" customFormat="1" x14ac:dyDescent="0.2">
      <c r="A34" s="114" t="s">
        <v>637</v>
      </c>
      <c r="B34" s="144" t="s">
        <v>238</v>
      </c>
      <c r="C34" s="144" t="s">
        <v>238</v>
      </c>
      <c r="D34" s="145" t="s">
        <v>238</v>
      </c>
      <c r="E34" s="145" t="s">
        <v>238</v>
      </c>
      <c r="F34" s="155" t="s">
        <v>238</v>
      </c>
      <c r="G34" s="145" t="s">
        <v>238</v>
      </c>
      <c r="H34" s="146">
        <v>-64.903679899999574</v>
      </c>
      <c r="I34" s="144">
        <v>0.94074703466495657</v>
      </c>
      <c r="J34" s="144">
        <v>-1.1043951356570121E-3</v>
      </c>
    </row>
    <row r="35" spans="1:14" x14ac:dyDescent="0.2">
      <c r="A35" s="33" t="s">
        <v>731</v>
      </c>
      <c r="B35" s="41" t="s">
        <v>732</v>
      </c>
      <c r="C35" s="41" t="s">
        <v>202</v>
      </c>
      <c r="D35" s="82" t="s">
        <v>244</v>
      </c>
      <c r="E35" s="82" t="s">
        <v>653</v>
      </c>
      <c r="F35" s="90">
        <v>479878</v>
      </c>
      <c r="G35" s="82">
        <v>1.0051000000000001</v>
      </c>
      <c r="H35" s="106">
        <v>482.35465000000005</v>
      </c>
      <c r="I35" s="41">
        <v>-6.9914942780363987</v>
      </c>
      <c r="J35" s="41">
        <v>8.2077030137938933E-3</v>
      </c>
      <c r="K35" s="28"/>
      <c r="L35" s="28"/>
      <c r="M35" s="28"/>
      <c r="N35" s="28"/>
    </row>
    <row r="36" spans="1:14" x14ac:dyDescent="0.2">
      <c r="A36" s="33" t="s">
        <v>733</v>
      </c>
      <c r="B36" s="41" t="s">
        <v>734</v>
      </c>
      <c r="C36" s="41" t="s">
        <v>202</v>
      </c>
      <c r="D36" s="82" t="s">
        <v>126</v>
      </c>
      <c r="E36" s="82" t="s">
        <v>653</v>
      </c>
      <c r="F36" s="90">
        <v>-140000</v>
      </c>
      <c r="G36" s="82">
        <v>0.99970000000000003</v>
      </c>
      <c r="H36" s="106">
        <v>-498.98520000000002</v>
      </c>
      <c r="I36" s="41">
        <v>7.2325459506295786</v>
      </c>
      <c r="J36" s="41">
        <v>-8.4906869455462861E-3</v>
      </c>
      <c r="K36" s="28"/>
      <c r="L36" s="28"/>
      <c r="M36" s="28"/>
      <c r="N36" s="28"/>
    </row>
    <row r="37" spans="1:14" x14ac:dyDescent="0.2">
      <c r="A37" s="33" t="s">
        <v>735</v>
      </c>
      <c r="B37" s="41" t="s">
        <v>736</v>
      </c>
      <c r="C37" s="41" t="s">
        <v>202</v>
      </c>
      <c r="D37" s="82" t="s">
        <v>244</v>
      </c>
      <c r="E37" s="82" t="s">
        <v>662</v>
      </c>
      <c r="F37" s="90">
        <v>687970</v>
      </c>
      <c r="G37" s="82">
        <v>1.0022</v>
      </c>
      <c r="H37" s="106">
        <v>689.50209999999993</v>
      </c>
      <c r="I37" s="41">
        <v>-9.9939950549747589</v>
      </c>
      <c r="J37" s="41">
        <v>1.1732505251451846E-2</v>
      </c>
      <c r="K37" s="28"/>
      <c r="L37" s="28"/>
      <c r="M37" s="28"/>
      <c r="N37" s="28"/>
    </row>
    <row r="38" spans="1:14" x14ac:dyDescent="0.2">
      <c r="A38" s="33" t="s">
        <v>737</v>
      </c>
      <c r="B38" s="41" t="s">
        <v>738</v>
      </c>
      <c r="C38" s="41" t="s">
        <v>202</v>
      </c>
      <c r="D38" s="82" t="s">
        <v>126</v>
      </c>
      <c r="E38" s="82" t="s">
        <v>662</v>
      </c>
      <c r="F38" s="90">
        <v>-200000</v>
      </c>
      <c r="G38" s="82">
        <v>0.99980000000000002</v>
      </c>
      <c r="H38" s="106">
        <v>-712.92442000000005</v>
      </c>
      <c r="I38" s="41">
        <v>10.333490105469945</v>
      </c>
      <c r="J38" s="41">
        <v>-1.2131057326059286E-2</v>
      </c>
      <c r="K38" s="28"/>
      <c r="L38" s="28"/>
      <c r="M38" s="28"/>
      <c r="N38" s="28"/>
    </row>
    <row r="39" spans="1:14" x14ac:dyDescent="0.2">
      <c r="A39" s="33" t="s">
        <v>706</v>
      </c>
      <c r="B39" s="41" t="s">
        <v>707</v>
      </c>
      <c r="C39" s="41" t="s">
        <v>202</v>
      </c>
      <c r="D39" s="82" t="s">
        <v>244</v>
      </c>
      <c r="E39" s="82" t="s">
        <v>708</v>
      </c>
      <c r="F39" s="90">
        <v>349470</v>
      </c>
      <c r="G39" s="82">
        <v>1.0014000000000001</v>
      </c>
      <c r="H39" s="106">
        <v>349.99245000000002</v>
      </c>
      <c r="I39" s="41">
        <v>-5.0729690519847592</v>
      </c>
      <c r="J39" s="41">
        <v>5.9554398131543016E-3</v>
      </c>
      <c r="K39" s="28"/>
      <c r="L39" s="28"/>
      <c r="M39" s="28"/>
      <c r="N39" s="28"/>
    </row>
    <row r="40" spans="1:14" x14ac:dyDescent="0.2">
      <c r="A40" s="33" t="s">
        <v>709</v>
      </c>
      <c r="B40" s="41" t="s">
        <v>710</v>
      </c>
      <c r="C40" s="41" t="s">
        <v>202</v>
      </c>
      <c r="D40" s="82" t="s">
        <v>126</v>
      </c>
      <c r="E40" s="82" t="s">
        <v>708</v>
      </c>
      <c r="F40" s="90">
        <v>-100000</v>
      </c>
      <c r="G40" s="82">
        <v>0.99990000000000001</v>
      </c>
      <c r="H40" s="106">
        <v>-356.47183000000001</v>
      </c>
      <c r="I40" s="41">
        <v>5.1668844899207746</v>
      </c>
      <c r="J40" s="41">
        <v>-6.0656923560778861E-3</v>
      </c>
      <c r="K40" s="28"/>
      <c r="L40" s="28"/>
      <c r="M40" s="28"/>
      <c r="N40" s="28"/>
    </row>
    <row r="41" spans="1:14" x14ac:dyDescent="0.2">
      <c r="A41" s="33" t="s">
        <v>721</v>
      </c>
      <c r="B41" s="41" t="s">
        <v>725</v>
      </c>
      <c r="C41" s="41" t="s">
        <v>202</v>
      </c>
      <c r="D41" s="82" t="s">
        <v>244</v>
      </c>
      <c r="E41" s="82" t="s">
        <v>644</v>
      </c>
      <c r="F41" s="90">
        <v>173619</v>
      </c>
      <c r="G41" s="82">
        <v>1.0045999999999999</v>
      </c>
      <c r="H41" s="106">
        <v>174.42770999999999</v>
      </c>
      <c r="I41" s="41">
        <v>-2.5282441796632251</v>
      </c>
      <c r="J41" s="41">
        <v>2.9680461068555407E-3</v>
      </c>
      <c r="K41" s="28"/>
      <c r="L41" s="28"/>
      <c r="M41" s="28"/>
      <c r="N41" s="28"/>
    </row>
    <row r="42" spans="1:14" x14ac:dyDescent="0.2">
      <c r="A42" s="33" t="s">
        <v>723</v>
      </c>
      <c r="B42" s="41" t="s">
        <v>726</v>
      </c>
      <c r="C42" s="41" t="s">
        <v>202</v>
      </c>
      <c r="D42" s="82" t="s">
        <v>126</v>
      </c>
      <c r="E42" s="82" t="s">
        <v>644</v>
      </c>
      <c r="F42" s="90">
        <v>-50500</v>
      </c>
      <c r="G42" s="82">
        <v>0.99980000000000002</v>
      </c>
      <c r="H42" s="106">
        <v>-179.99919</v>
      </c>
      <c r="I42" s="41">
        <v>2.6090000520077634</v>
      </c>
      <c r="J42" s="41">
        <v>-3.0628499056523234E-3</v>
      </c>
      <c r="K42" s="28"/>
      <c r="L42" s="28"/>
      <c r="M42" s="28"/>
      <c r="N42" s="28"/>
    </row>
    <row r="43" spans="1:14" x14ac:dyDescent="0.2">
      <c r="A43" s="33" t="s">
        <v>727</v>
      </c>
      <c r="B43" s="41" t="s">
        <v>728</v>
      </c>
      <c r="C43" s="41" t="s">
        <v>202</v>
      </c>
      <c r="D43" s="82" t="s">
        <v>244</v>
      </c>
      <c r="E43" s="82" t="s">
        <v>648</v>
      </c>
      <c r="F43" s="90">
        <v>173063.5</v>
      </c>
      <c r="G43" s="82">
        <v>1.0048999999999999</v>
      </c>
      <c r="H43" s="106">
        <v>173.91324</v>
      </c>
      <c r="I43" s="41">
        <v>-2.5207871891247877</v>
      </c>
      <c r="J43" s="41">
        <v>2.9592919319564154E-3</v>
      </c>
      <c r="K43" s="28"/>
      <c r="L43" s="28"/>
      <c r="M43" s="28"/>
      <c r="N43" s="28"/>
    </row>
    <row r="44" spans="1:14" x14ac:dyDescent="0.2">
      <c r="A44" s="33" t="s">
        <v>729</v>
      </c>
      <c r="B44" s="41" t="s">
        <v>730</v>
      </c>
      <c r="C44" s="41" t="s">
        <v>202</v>
      </c>
      <c r="D44" s="82" t="s">
        <v>126</v>
      </c>
      <c r="E44" s="82" t="s">
        <v>648</v>
      </c>
      <c r="F44" s="90">
        <v>-50500</v>
      </c>
      <c r="G44" s="82">
        <v>0.99970000000000003</v>
      </c>
      <c r="H44" s="106">
        <v>-179.99523000000002</v>
      </c>
      <c r="I44" s="41">
        <v>2.6089426537483269</v>
      </c>
      <c r="J44" s="41">
        <v>-3.0627825226511758E-3</v>
      </c>
      <c r="K44" s="28"/>
      <c r="L44" s="28"/>
      <c r="M44" s="28"/>
      <c r="N44" s="28"/>
    </row>
    <row r="45" spans="1:14" x14ac:dyDescent="0.2">
      <c r="A45" s="33" t="s">
        <v>747</v>
      </c>
      <c r="B45" s="41" t="s">
        <v>748</v>
      </c>
      <c r="C45" s="41" t="s">
        <v>202</v>
      </c>
      <c r="D45" s="82" t="s">
        <v>244</v>
      </c>
      <c r="E45" s="82" t="s">
        <v>749</v>
      </c>
      <c r="F45" s="90">
        <v>309246.59999999998</v>
      </c>
      <c r="G45" s="82">
        <v>1.0039</v>
      </c>
      <c r="H45" s="106">
        <v>310.46843000000001</v>
      </c>
      <c r="I45" s="41">
        <v>-4.5000877504880359</v>
      </c>
      <c r="J45" s="41">
        <v>5.2829026704704889E-3</v>
      </c>
      <c r="K45" s="28"/>
      <c r="L45" s="28"/>
      <c r="M45" s="28"/>
      <c r="N45" s="28"/>
    </row>
    <row r="46" spans="1:14" x14ac:dyDescent="0.2">
      <c r="A46" s="33" t="s">
        <v>750</v>
      </c>
      <c r="B46" s="41" t="s">
        <v>751</v>
      </c>
      <c r="C46" s="41" t="s">
        <v>202</v>
      </c>
      <c r="D46" s="82" t="s">
        <v>126</v>
      </c>
      <c r="E46" s="82" t="s">
        <v>749</v>
      </c>
      <c r="F46" s="90">
        <v>-82000</v>
      </c>
      <c r="G46" s="82">
        <v>0.99980000000000002</v>
      </c>
      <c r="H46" s="106">
        <v>-292.28321999999997</v>
      </c>
      <c r="I46" s="41">
        <v>4.2365020430425071</v>
      </c>
      <c r="J46" s="41">
        <v>-4.9734647850401834E-3</v>
      </c>
      <c r="K46" s="28"/>
      <c r="L46" s="28"/>
      <c r="M46" s="28"/>
      <c r="N46" s="28"/>
    </row>
    <row r="47" spans="1:14" x14ac:dyDescent="0.2">
      <c r="A47" s="33" t="s">
        <v>711</v>
      </c>
      <c r="B47" s="41" t="s">
        <v>712</v>
      </c>
      <c r="C47" s="41" t="s">
        <v>202</v>
      </c>
      <c r="D47" s="82" t="s">
        <v>244</v>
      </c>
      <c r="E47" s="82" t="s">
        <v>713</v>
      </c>
      <c r="F47" s="90">
        <v>1033350</v>
      </c>
      <c r="G47" s="82">
        <v>1.0009999999999999</v>
      </c>
      <c r="H47" s="106">
        <v>1034.43191</v>
      </c>
      <c r="I47" s="41">
        <v>-14.993583621062351</v>
      </c>
      <c r="J47" s="41">
        <v>1.7601799641138678E-2</v>
      </c>
      <c r="K47" s="28"/>
      <c r="L47" s="28"/>
      <c r="M47" s="28"/>
      <c r="N47" s="28"/>
    </row>
    <row r="48" spans="1:14" x14ac:dyDescent="0.2">
      <c r="A48" s="33" t="s">
        <v>714</v>
      </c>
      <c r="B48" s="41" t="s">
        <v>715</v>
      </c>
      <c r="C48" s="41" t="s">
        <v>202</v>
      </c>
      <c r="D48" s="82" t="s">
        <v>126</v>
      </c>
      <c r="E48" s="82" t="s">
        <v>713</v>
      </c>
      <c r="F48" s="90">
        <v>-300000</v>
      </c>
      <c r="G48" s="82">
        <v>0.99990000000000001</v>
      </c>
      <c r="H48" s="106">
        <v>-1069.4336899999998</v>
      </c>
      <c r="I48" s="41">
        <v>15.500917269843571</v>
      </c>
      <c r="J48" s="41">
        <v>-1.8197386757784387E-2</v>
      </c>
      <c r="K48" s="28"/>
      <c r="L48" s="28"/>
      <c r="M48" s="28"/>
      <c r="N48" s="28"/>
    </row>
    <row r="49" spans="1:14" x14ac:dyDescent="0.2">
      <c r="A49" s="33" t="s">
        <v>716</v>
      </c>
      <c r="B49" s="41" t="s">
        <v>717</v>
      </c>
      <c r="C49" s="41" t="s">
        <v>202</v>
      </c>
      <c r="D49" s="82" t="s">
        <v>244</v>
      </c>
      <c r="E49" s="82" t="s">
        <v>718</v>
      </c>
      <c r="F49" s="90">
        <v>173105</v>
      </c>
      <c r="G49" s="82">
        <v>1.0018</v>
      </c>
      <c r="H49" s="106">
        <v>173.42229999999998</v>
      </c>
      <c r="I49" s="41">
        <v>-2.5136712544056774</v>
      </c>
      <c r="J49" s="41">
        <v>2.9509381414050189E-3</v>
      </c>
      <c r="K49" s="28"/>
      <c r="L49" s="28"/>
      <c r="M49" s="28"/>
      <c r="N49" s="28"/>
    </row>
    <row r="50" spans="1:14" x14ac:dyDescent="0.2">
      <c r="A50" s="33" t="s">
        <v>719</v>
      </c>
      <c r="B50" s="41" t="s">
        <v>720</v>
      </c>
      <c r="C50" s="41" t="s">
        <v>202</v>
      </c>
      <c r="D50" s="82" t="s">
        <v>126</v>
      </c>
      <c r="E50" s="82" t="s">
        <v>718</v>
      </c>
      <c r="F50" s="90">
        <v>-50000</v>
      </c>
      <c r="G50" s="82">
        <v>0.99990000000000001</v>
      </c>
      <c r="H50" s="106">
        <v>-178.23376999999999</v>
      </c>
      <c r="I50" s="41">
        <v>2.5834111542365257</v>
      </c>
      <c r="J50" s="41">
        <v>-3.032809678913321E-3</v>
      </c>
      <c r="K50" s="28"/>
      <c r="L50" s="28"/>
      <c r="M50" s="28"/>
      <c r="N50" s="28"/>
    </row>
    <row r="51" spans="1:14" x14ac:dyDescent="0.2">
      <c r="A51" s="33" t="s">
        <v>721</v>
      </c>
      <c r="B51" s="41" t="s">
        <v>722</v>
      </c>
      <c r="C51" s="41" t="s">
        <v>202</v>
      </c>
      <c r="D51" s="82" t="s">
        <v>244</v>
      </c>
      <c r="E51" s="82" t="s">
        <v>640</v>
      </c>
      <c r="F51" s="90">
        <v>327925.42</v>
      </c>
      <c r="G51" s="82">
        <v>1.0045999999999999</v>
      </c>
      <c r="H51" s="106">
        <v>329.45289000000002</v>
      </c>
      <c r="I51" s="41">
        <v>-4.7752581950180328</v>
      </c>
      <c r="J51" s="41">
        <v>5.605940521473376E-3</v>
      </c>
      <c r="K51" s="28"/>
      <c r="L51" s="28"/>
      <c r="M51" s="28"/>
      <c r="N51" s="28"/>
    </row>
    <row r="52" spans="1:14" x14ac:dyDescent="0.2">
      <c r="A52" s="33" t="s">
        <v>723</v>
      </c>
      <c r="B52" s="41" t="s">
        <v>724</v>
      </c>
      <c r="C52" s="41" t="s">
        <v>202</v>
      </c>
      <c r="D52" s="82" t="s">
        <v>126</v>
      </c>
      <c r="E52" s="82" t="s">
        <v>640</v>
      </c>
      <c r="F52" s="90">
        <v>-95580</v>
      </c>
      <c r="G52" s="82">
        <v>0.99980000000000002</v>
      </c>
      <c r="H52" s="106">
        <v>-340.67965999999996</v>
      </c>
      <c r="I52" s="41">
        <v>4.9379847245867445</v>
      </c>
      <c r="J52" s="41">
        <v>-5.796974222432142E-3</v>
      </c>
      <c r="K52" s="28"/>
      <c r="L52" s="28"/>
      <c r="M52" s="28"/>
      <c r="N52" s="28"/>
    </row>
    <row r="53" spans="1:14" x14ac:dyDescent="0.2">
      <c r="A53" s="33" t="s">
        <v>739</v>
      </c>
      <c r="B53" s="41" t="s">
        <v>740</v>
      </c>
      <c r="C53" s="41" t="s">
        <v>202</v>
      </c>
      <c r="D53" s="82" t="s">
        <v>244</v>
      </c>
      <c r="E53" s="82" t="s">
        <v>741</v>
      </c>
      <c r="F53" s="90">
        <v>588068</v>
      </c>
      <c r="G53" s="82">
        <v>1.0031000000000001</v>
      </c>
      <c r="H53" s="106">
        <v>589.89277000000004</v>
      </c>
      <c r="I53" s="41">
        <v>-8.5502066293131858</v>
      </c>
      <c r="J53" s="41">
        <v>1.0037561918692456E-2</v>
      </c>
      <c r="K53" s="28"/>
      <c r="L53" s="28"/>
      <c r="M53" s="28"/>
      <c r="N53" s="28"/>
    </row>
    <row r="54" spans="1:14" x14ac:dyDescent="0.2">
      <c r="A54" s="33" t="s">
        <v>742</v>
      </c>
      <c r="B54" s="41" t="s">
        <v>743</v>
      </c>
      <c r="C54" s="41" t="s">
        <v>202</v>
      </c>
      <c r="D54" s="82" t="s">
        <v>126</v>
      </c>
      <c r="E54" s="82" t="s">
        <v>741</v>
      </c>
      <c r="F54" s="90">
        <v>-172000</v>
      </c>
      <c r="G54" s="82">
        <v>0.99980000000000002</v>
      </c>
      <c r="H54" s="106">
        <v>-613.09721999999999</v>
      </c>
      <c r="I54" s="41">
        <v>8.8865437609236739</v>
      </c>
      <c r="J54" s="41">
        <v>-1.0432406737123104E-2</v>
      </c>
      <c r="K54" s="28"/>
      <c r="L54" s="28"/>
      <c r="M54" s="28"/>
      <c r="N54" s="28"/>
    </row>
    <row r="55" spans="1:14" x14ac:dyDescent="0.2">
      <c r="A55" s="33" t="s">
        <v>721</v>
      </c>
      <c r="B55" s="41" t="s">
        <v>744</v>
      </c>
      <c r="C55" s="41" t="s">
        <v>202</v>
      </c>
      <c r="D55" s="82" t="s">
        <v>244</v>
      </c>
      <c r="E55" s="82" t="s">
        <v>745</v>
      </c>
      <c r="F55" s="90">
        <v>1266013</v>
      </c>
      <c r="G55" s="82">
        <v>1.0045999999999999</v>
      </c>
      <c r="H55" s="106">
        <v>1271.9100800000001</v>
      </c>
      <c r="I55" s="41">
        <v>-18.435713321094383</v>
      </c>
      <c r="J55" s="41">
        <v>2.1642706661770195E-2</v>
      </c>
      <c r="K55" s="28"/>
      <c r="L55" s="28"/>
      <c r="M55" s="28"/>
      <c r="N55" s="28"/>
    </row>
    <row r="56" spans="1:14" x14ac:dyDescent="0.2">
      <c r="A56" s="33" t="s">
        <v>723</v>
      </c>
      <c r="B56" s="41" t="s">
        <v>746</v>
      </c>
      <c r="C56" s="41" t="s">
        <v>202</v>
      </c>
      <c r="D56" s="82" t="s">
        <v>126</v>
      </c>
      <c r="E56" s="82" t="s">
        <v>745</v>
      </c>
      <c r="F56" s="90">
        <v>-343000</v>
      </c>
      <c r="G56" s="82">
        <v>0.99980000000000002</v>
      </c>
      <c r="H56" s="106">
        <v>-1222.5687800000001</v>
      </c>
      <c r="I56" s="41">
        <v>17.720535356870595</v>
      </c>
      <c r="J56" s="41">
        <v>-2.0803119572240722E-2</v>
      </c>
      <c r="K56" s="28"/>
      <c r="L56" s="28"/>
      <c r="M56" s="28"/>
      <c r="N56" s="28"/>
    </row>
    <row r="57" spans="1:14" s="137" customFormat="1" x14ac:dyDescent="0.2">
      <c r="A57" s="114" t="s">
        <v>752</v>
      </c>
      <c r="B57" s="144" t="s">
        <v>238</v>
      </c>
      <c r="C57" s="144" t="s">
        <v>238</v>
      </c>
      <c r="D57" s="145" t="s">
        <v>238</v>
      </c>
      <c r="E57" s="145" t="s">
        <v>238</v>
      </c>
      <c r="F57" s="155" t="s">
        <v>238</v>
      </c>
      <c r="G57" s="145" t="s">
        <v>238</v>
      </c>
      <c r="H57" s="146">
        <v>-28.413219599999838</v>
      </c>
      <c r="I57" s="144">
        <v>0.41183569445011153</v>
      </c>
      <c r="J57" s="144">
        <v>-4.8347676992956606E-4</v>
      </c>
    </row>
    <row r="58" spans="1:14" s="137" customFormat="1" x14ac:dyDescent="0.2">
      <c r="A58" s="114" t="s">
        <v>593</v>
      </c>
      <c r="B58" s="144" t="s">
        <v>238</v>
      </c>
      <c r="C58" s="144" t="s">
        <v>238</v>
      </c>
      <c r="D58" s="145" t="s">
        <v>238</v>
      </c>
      <c r="E58" s="145" t="s">
        <v>238</v>
      </c>
      <c r="F58" s="155" t="s">
        <v>238</v>
      </c>
      <c r="G58" s="145" t="s">
        <v>238</v>
      </c>
      <c r="H58" s="146">
        <v>0</v>
      </c>
      <c r="I58" s="144">
        <v>0</v>
      </c>
      <c r="J58" s="144">
        <v>0</v>
      </c>
    </row>
    <row r="59" spans="1:14" s="137" customFormat="1" x14ac:dyDescent="0.2">
      <c r="A59" s="114" t="s">
        <v>598</v>
      </c>
      <c r="B59" s="144" t="s">
        <v>238</v>
      </c>
      <c r="C59" s="144" t="s">
        <v>238</v>
      </c>
      <c r="D59" s="145" t="s">
        <v>238</v>
      </c>
      <c r="E59" s="145" t="s">
        <v>238</v>
      </c>
      <c r="F59" s="155" t="s">
        <v>238</v>
      </c>
      <c r="G59" s="145" t="s">
        <v>238</v>
      </c>
      <c r="H59" s="146">
        <v>-28.413219899999909</v>
      </c>
      <c r="I59" s="144">
        <v>0.4118356987984656</v>
      </c>
      <c r="J59" s="144">
        <v>-4.8347677503434008E-4</v>
      </c>
    </row>
    <row r="60" spans="1:14" x14ac:dyDescent="0.2">
      <c r="A60" s="33" t="s">
        <v>682</v>
      </c>
      <c r="B60" s="41" t="s">
        <v>753</v>
      </c>
      <c r="C60" s="41" t="s">
        <v>202</v>
      </c>
      <c r="D60" s="82" t="s">
        <v>126</v>
      </c>
      <c r="E60" s="82" t="s">
        <v>754</v>
      </c>
      <c r="F60" s="90">
        <v>35171.599999999999</v>
      </c>
      <c r="G60" s="82">
        <v>0.99980000000000002</v>
      </c>
      <c r="H60" s="106">
        <v>125.37133</v>
      </c>
      <c r="I60" s="41">
        <v>-1.8171959912168629</v>
      </c>
      <c r="J60" s="41">
        <v>2.1333071902268352E-3</v>
      </c>
      <c r="K60" s="28"/>
      <c r="L60" s="28"/>
      <c r="M60" s="28"/>
      <c r="N60" s="28"/>
    </row>
    <row r="61" spans="1:14" x14ac:dyDescent="0.2">
      <c r="A61" s="33" t="s">
        <v>679</v>
      </c>
      <c r="B61" s="41" t="s">
        <v>755</v>
      </c>
      <c r="C61" s="41" t="s">
        <v>202</v>
      </c>
      <c r="D61" s="82" t="s">
        <v>261</v>
      </c>
      <c r="E61" s="82" t="s">
        <v>754</v>
      </c>
      <c r="F61" s="90">
        <v>-3762060</v>
      </c>
      <c r="G61" s="82">
        <v>1.0024999999999999</v>
      </c>
      <c r="H61" s="106">
        <v>-123.66805000000001</v>
      </c>
      <c r="I61" s="41">
        <v>1.7925077822944575</v>
      </c>
      <c r="J61" s="41">
        <v>-2.1043243320967545E-3</v>
      </c>
      <c r="K61" s="28"/>
      <c r="L61" s="28"/>
      <c r="M61" s="28"/>
      <c r="N61" s="28"/>
    </row>
    <row r="62" spans="1:14" x14ac:dyDescent="0.2">
      <c r="A62" s="33" t="s">
        <v>677</v>
      </c>
      <c r="B62" s="41" t="s">
        <v>756</v>
      </c>
      <c r="C62" s="41" t="s">
        <v>202</v>
      </c>
      <c r="D62" s="82" t="s">
        <v>2</v>
      </c>
      <c r="E62" s="82" t="s">
        <v>757</v>
      </c>
      <c r="F62" s="90">
        <v>178000</v>
      </c>
      <c r="G62" s="82">
        <v>0.99990000000000001</v>
      </c>
      <c r="H62" s="106">
        <v>782.94452999999999</v>
      </c>
      <c r="I62" s="41">
        <v>-11.348397287172203</v>
      </c>
      <c r="J62" s="41">
        <v>1.3322513172650959E-2</v>
      </c>
      <c r="K62" s="28"/>
      <c r="L62" s="28"/>
      <c r="M62" s="28"/>
      <c r="N62" s="28"/>
    </row>
    <row r="63" spans="1:14" x14ac:dyDescent="0.2">
      <c r="A63" s="33" t="s">
        <v>674</v>
      </c>
      <c r="B63" s="41" t="s">
        <v>758</v>
      </c>
      <c r="C63" s="41" t="s">
        <v>202</v>
      </c>
      <c r="D63" s="82" t="s">
        <v>126</v>
      </c>
      <c r="E63" s="82" t="s">
        <v>757</v>
      </c>
      <c r="F63" s="90">
        <v>-230177.14</v>
      </c>
      <c r="G63" s="82">
        <v>1</v>
      </c>
      <c r="H63" s="106">
        <v>-820.58395999999993</v>
      </c>
      <c r="I63" s="41">
        <v>11.893962380145911</v>
      </c>
      <c r="J63" s="41">
        <v>-1.396298230267486E-2</v>
      </c>
      <c r="K63" s="28"/>
      <c r="L63" s="28"/>
      <c r="M63" s="28"/>
      <c r="N63" s="28"/>
    </row>
    <row r="64" spans="1:14" x14ac:dyDescent="0.2">
      <c r="A64" s="33" t="s">
        <v>677</v>
      </c>
      <c r="B64" s="41" t="s">
        <v>759</v>
      </c>
      <c r="C64" s="41" t="s">
        <v>202</v>
      </c>
      <c r="D64" s="82" t="s">
        <v>2</v>
      </c>
      <c r="E64" s="82" t="s">
        <v>713</v>
      </c>
      <c r="F64" s="90">
        <v>33000</v>
      </c>
      <c r="G64" s="82">
        <v>0.99990000000000001</v>
      </c>
      <c r="H64" s="106">
        <v>145.15263000000002</v>
      </c>
      <c r="I64" s="41">
        <v>-2.1039162410623273</v>
      </c>
      <c r="J64" s="41">
        <v>2.4699039984606968E-3</v>
      </c>
      <c r="K64" s="28"/>
      <c r="L64" s="28"/>
      <c r="M64" s="28"/>
      <c r="N64" s="28"/>
    </row>
    <row r="65" spans="1:14" x14ac:dyDescent="0.2">
      <c r="A65" s="33" t="s">
        <v>674</v>
      </c>
      <c r="B65" s="41" t="s">
        <v>760</v>
      </c>
      <c r="C65" s="41" t="s">
        <v>202</v>
      </c>
      <c r="D65" s="82" t="s">
        <v>126</v>
      </c>
      <c r="E65" s="82" t="s">
        <v>713</v>
      </c>
      <c r="F65" s="90">
        <v>-42748.2</v>
      </c>
      <c r="G65" s="82">
        <v>1</v>
      </c>
      <c r="H65" s="106">
        <v>-152.39779000000001</v>
      </c>
      <c r="I65" s="41">
        <v>2.208931284834494</v>
      </c>
      <c r="J65" s="41">
        <v>-2.5931869844698892E-3</v>
      </c>
      <c r="K65" s="28"/>
      <c r="L65" s="28"/>
      <c r="M65" s="28"/>
      <c r="N65" s="28"/>
    </row>
    <row r="66" spans="1:14" x14ac:dyDescent="0.2">
      <c r="A66" s="33" t="s">
        <v>674</v>
      </c>
      <c r="B66" s="41" t="s">
        <v>761</v>
      </c>
      <c r="C66" s="41" t="s">
        <v>202</v>
      </c>
      <c r="D66" s="82" t="s">
        <v>126</v>
      </c>
      <c r="E66" s="82" t="s">
        <v>762</v>
      </c>
      <c r="F66" s="90">
        <v>37625</v>
      </c>
      <c r="G66" s="82">
        <v>1</v>
      </c>
      <c r="H66" s="106">
        <v>134.13351999999998</v>
      </c>
      <c r="I66" s="41">
        <v>-1.9441996414316327</v>
      </c>
      <c r="J66" s="41">
        <v>2.2824038212439397E-3</v>
      </c>
      <c r="K66" s="28"/>
      <c r="L66" s="28"/>
      <c r="M66" s="28"/>
      <c r="N66" s="28"/>
    </row>
    <row r="67" spans="1:14" x14ac:dyDescent="0.2">
      <c r="A67" s="33" t="s">
        <v>677</v>
      </c>
      <c r="B67" s="41" t="s">
        <v>763</v>
      </c>
      <c r="C67" s="41" t="s">
        <v>202</v>
      </c>
      <c r="D67" s="82" t="s">
        <v>2</v>
      </c>
      <c r="E67" s="82" t="s">
        <v>762</v>
      </c>
      <c r="F67" s="90">
        <v>-28000</v>
      </c>
      <c r="G67" s="82">
        <v>0.99990000000000001</v>
      </c>
      <c r="H67" s="106">
        <v>-123.15980999999999</v>
      </c>
      <c r="I67" s="41">
        <v>1.7851410925530622</v>
      </c>
      <c r="J67" s="41">
        <v>-2.0956761663130708E-3</v>
      </c>
      <c r="K67" s="28"/>
      <c r="L67" s="28"/>
      <c r="M67" s="28"/>
      <c r="N67" s="28"/>
    </row>
    <row r="68" spans="1:14" x14ac:dyDescent="0.2">
      <c r="A68" s="33" t="s">
        <v>674</v>
      </c>
      <c r="B68" s="41" t="s">
        <v>764</v>
      </c>
      <c r="C68" s="41" t="s">
        <v>202</v>
      </c>
      <c r="D68" s="82" t="s">
        <v>126</v>
      </c>
      <c r="E68" s="82" t="s">
        <v>718</v>
      </c>
      <c r="F68" s="90">
        <v>18540.900000000001</v>
      </c>
      <c r="G68" s="82">
        <v>1</v>
      </c>
      <c r="H68" s="106">
        <v>66.098500000000001</v>
      </c>
      <c r="I68" s="41">
        <v>-0.95806536650323337</v>
      </c>
      <c r="J68" s="41">
        <v>1.1247260862049439E-3</v>
      </c>
      <c r="K68" s="28"/>
      <c r="L68" s="28"/>
      <c r="M68" s="28"/>
      <c r="N68" s="28"/>
    </row>
    <row r="69" spans="1:14" x14ac:dyDescent="0.2">
      <c r="A69" s="33" t="s">
        <v>677</v>
      </c>
      <c r="B69" s="41" t="s">
        <v>765</v>
      </c>
      <c r="C69" s="41" t="s">
        <v>202</v>
      </c>
      <c r="D69" s="82" t="s">
        <v>2</v>
      </c>
      <c r="E69" s="82" t="s">
        <v>718</v>
      </c>
      <c r="F69" s="90">
        <v>-14000</v>
      </c>
      <c r="G69" s="82">
        <v>0.99990000000000001</v>
      </c>
      <c r="H69" s="106">
        <v>-61.579900000000002</v>
      </c>
      <c r="I69" s="41">
        <v>0.89257047380398136</v>
      </c>
      <c r="J69" s="41">
        <v>-1.0478379980769887E-3</v>
      </c>
      <c r="K69" s="28"/>
      <c r="L69" s="28"/>
      <c r="M69" s="28"/>
      <c r="N69" s="28"/>
    </row>
    <row r="70" spans="1:14" x14ac:dyDescent="0.2">
      <c r="A70" s="33" t="s">
        <v>674</v>
      </c>
      <c r="B70" s="41" t="s">
        <v>766</v>
      </c>
      <c r="C70" s="41" t="s">
        <v>202</v>
      </c>
      <c r="D70" s="82" t="s">
        <v>126</v>
      </c>
      <c r="E70" s="82" t="s">
        <v>767</v>
      </c>
      <c r="F70" s="90">
        <v>19698.599999999999</v>
      </c>
      <c r="G70" s="82">
        <v>1</v>
      </c>
      <c r="H70" s="106">
        <v>70.225710000000007</v>
      </c>
      <c r="I70" s="41">
        <v>-1.0178872529497611</v>
      </c>
      <c r="J70" s="41">
        <v>1.1949543175603593E-3</v>
      </c>
      <c r="K70" s="28"/>
      <c r="L70" s="28"/>
      <c r="M70" s="28"/>
      <c r="N70" s="28"/>
    </row>
    <row r="71" spans="1:14" x14ac:dyDescent="0.2">
      <c r="A71" s="33" t="s">
        <v>677</v>
      </c>
      <c r="B71" s="41" t="s">
        <v>768</v>
      </c>
      <c r="C71" s="41" t="s">
        <v>202</v>
      </c>
      <c r="D71" s="82" t="s">
        <v>2</v>
      </c>
      <c r="E71" s="82" t="s">
        <v>767</v>
      </c>
      <c r="F71" s="90">
        <v>-15000</v>
      </c>
      <c r="G71" s="82">
        <v>0.99990000000000001</v>
      </c>
      <c r="H71" s="106">
        <v>-65.978470000000002</v>
      </c>
      <c r="I71" s="41">
        <v>0.95632559047289412</v>
      </c>
      <c r="J71" s="41">
        <v>-1.12268366660197E-3</v>
      </c>
      <c r="K71" s="28"/>
      <c r="L71" s="28"/>
      <c r="M71" s="28"/>
      <c r="N71" s="28"/>
    </row>
    <row r="72" spans="1:14" x14ac:dyDescent="0.2">
      <c r="A72" s="33" t="s">
        <v>682</v>
      </c>
      <c r="B72" s="41" t="s">
        <v>769</v>
      </c>
      <c r="C72" s="41" t="s">
        <v>202</v>
      </c>
      <c r="D72" s="82" t="s">
        <v>126</v>
      </c>
      <c r="E72" s="82" t="s">
        <v>688</v>
      </c>
      <c r="F72" s="90">
        <v>183000</v>
      </c>
      <c r="G72" s="82">
        <v>0.99980000000000002</v>
      </c>
      <c r="H72" s="106">
        <v>652.31475</v>
      </c>
      <c r="I72" s="41">
        <v>-9.4549826400631645</v>
      </c>
      <c r="J72" s="41">
        <v>1.1099728673740804E-2</v>
      </c>
      <c r="K72" s="28"/>
      <c r="L72" s="28"/>
      <c r="M72" s="28"/>
      <c r="N72" s="28"/>
    </row>
    <row r="73" spans="1:14" x14ac:dyDescent="0.2">
      <c r="A73" s="33" t="s">
        <v>679</v>
      </c>
      <c r="B73" s="41" t="s">
        <v>770</v>
      </c>
      <c r="C73" s="41" t="s">
        <v>202</v>
      </c>
      <c r="D73" s="82" t="s">
        <v>261</v>
      </c>
      <c r="E73" s="82" t="s">
        <v>688</v>
      </c>
      <c r="F73" s="90">
        <v>-19668474</v>
      </c>
      <c r="G73" s="82">
        <v>1.0024999999999999</v>
      </c>
      <c r="H73" s="106">
        <v>-646.55051000000003</v>
      </c>
      <c r="I73" s="41">
        <v>9.3714328059789924</v>
      </c>
      <c r="J73" s="41">
        <v>-1.1001644888251784E-2</v>
      </c>
      <c r="K73" s="28"/>
      <c r="L73" s="28"/>
      <c r="M73" s="28"/>
      <c r="N73" s="28"/>
    </row>
    <row r="74" spans="1:14" x14ac:dyDescent="0.2">
      <c r="A74" s="33" t="s">
        <v>679</v>
      </c>
      <c r="B74" s="41" t="s">
        <v>771</v>
      </c>
      <c r="C74" s="41" t="s">
        <v>202</v>
      </c>
      <c r="D74" s="82" t="s">
        <v>261</v>
      </c>
      <c r="E74" s="82" t="s">
        <v>772</v>
      </c>
      <c r="F74" s="90">
        <v>20000000</v>
      </c>
      <c r="G74" s="82">
        <v>1.0024999999999999</v>
      </c>
      <c r="H74" s="106">
        <v>657.44857999999999</v>
      </c>
      <c r="I74" s="41">
        <v>-9.5293949901242883</v>
      </c>
      <c r="J74" s="41">
        <v>1.118708545979709E-2</v>
      </c>
      <c r="K74" s="28"/>
      <c r="L74" s="28"/>
      <c r="M74" s="28"/>
      <c r="N74" s="28"/>
    </row>
    <row r="75" spans="1:14" x14ac:dyDescent="0.2">
      <c r="A75" s="33" t="s">
        <v>682</v>
      </c>
      <c r="B75" s="41" t="s">
        <v>773</v>
      </c>
      <c r="C75" s="41" t="s">
        <v>202</v>
      </c>
      <c r="D75" s="82" t="s">
        <v>126</v>
      </c>
      <c r="E75" s="82" t="s">
        <v>772</v>
      </c>
      <c r="F75" s="90">
        <v>-185680.33</v>
      </c>
      <c r="G75" s="82">
        <v>0.99980000000000002</v>
      </c>
      <c r="H75" s="106">
        <v>-661.86894999999993</v>
      </c>
      <c r="I75" s="41">
        <v>9.5934660871103006</v>
      </c>
      <c r="J75" s="41">
        <v>-1.1262302075146571E-2</v>
      </c>
      <c r="K75" s="28"/>
      <c r="L75" s="28"/>
      <c r="M75" s="28"/>
      <c r="N75" s="28"/>
    </row>
    <row r="76" spans="1:14" x14ac:dyDescent="0.2">
      <c r="A76" s="33" t="s">
        <v>690</v>
      </c>
      <c r="B76" s="41" t="s">
        <v>774</v>
      </c>
      <c r="C76" s="41" t="s">
        <v>202</v>
      </c>
      <c r="D76" s="82" t="s">
        <v>126</v>
      </c>
      <c r="E76" s="82" t="s">
        <v>775</v>
      </c>
      <c r="F76" s="90">
        <v>61161.98</v>
      </c>
      <c r="G76" s="82">
        <v>0.99970000000000003</v>
      </c>
      <c r="H76" s="106">
        <v>217.99732</v>
      </c>
      <c r="I76" s="41">
        <v>-3.159764325703649</v>
      </c>
      <c r="J76" s="41">
        <v>3.7094226423711094E-3</v>
      </c>
      <c r="K76" s="28"/>
      <c r="L76" s="28"/>
      <c r="M76" s="28"/>
      <c r="N76" s="28"/>
    </row>
    <row r="77" spans="1:14" x14ac:dyDescent="0.2">
      <c r="A77" s="33" t="s">
        <v>693</v>
      </c>
      <c r="B77" s="41" t="s">
        <v>776</v>
      </c>
      <c r="C77" s="41" t="s">
        <v>202</v>
      </c>
      <c r="D77" s="82" t="s">
        <v>127</v>
      </c>
      <c r="E77" s="82" t="s">
        <v>775</v>
      </c>
      <c r="F77" s="90">
        <v>-54359.199999999997</v>
      </c>
      <c r="G77" s="82">
        <v>1.0036</v>
      </c>
      <c r="H77" s="106">
        <v>-212.79635000000002</v>
      </c>
      <c r="I77" s="41">
        <v>3.0843788142438986</v>
      </c>
      <c r="J77" s="41">
        <v>-3.6209234081589969E-3</v>
      </c>
      <c r="K77" s="28"/>
      <c r="L77" s="28"/>
      <c r="M77" s="28"/>
      <c r="N77" s="28"/>
    </row>
    <row r="78" spans="1:14" x14ac:dyDescent="0.2">
      <c r="A78" s="33" t="s">
        <v>693</v>
      </c>
      <c r="B78" s="41" t="s">
        <v>777</v>
      </c>
      <c r="C78" s="41" t="s">
        <v>202</v>
      </c>
      <c r="D78" s="82" t="s">
        <v>127</v>
      </c>
      <c r="E78" s="82" t="s">
        <v>657</v>
      </c>
      <c r="F78" s="90">
        <v>33000</v>
      </c>
      <c r="G78" s="82">
        <v>1.0036</v>
      </c>
      <c r="H78" s="106">
        <v>129.18316000000002</v>
      </c>
      <c r="I78" s="41">
        <v>-1.8724465991126251</v>
      </c>
      <c r="J78" s="41">
        <v>2.1981689440817428E-3</v>
      </c>
      <c r="K78" s="28"/>
      <c r="L78" s="28"/>
      <c r="M78" s="28"/>
      <c r="N78" s="28"/>
    </row>
    <row r="79" spans="1:14" x14ac:dyDescent="0.2">
      <c r="A79" s="33" t="s">
        <v>690</v>
      </c>
      <c r="B79" s="41" t="s">
        <v>778</v>
      </c>
      <c r="C79" s="41" t="s">
        <v>202</v>
      </c>
      <c r="D79" s="82" t="s">
        <v>126</v>
      </c>
      <c r="E79" s="82" t="s">
        <v>657</v>
      </c>
      <c r="F79" s="90">
        <v>-37009.5</v>
      </c>
      <c r="G79" s="82">
        <v>0.99970000000000003</v>
      </c>
      <c r="H79" s="106">
        <v>-131.91167999999999</v>
      </c>
      <c r="I79" s="41">
        <v>1.9119951594250586</v>
      </c>
      <c r="J79" s="41">
        <v>-2.2445971931453661E-3</v>
      </c>
      <c r="K79" s="28"/>
      <c r="L79" s="28"/>
      <c r="M79" s="28"/>
      <c r="N79" s="28"/>
    </row>
    <row r="80" spans="1:14" x14ac:dyDescent="0.2">
      <c r="A80" s="33" t="s">
        <v>679</v>
      </c>
      <c r="B80" s="41" t="s">
        <v>779</v>
      </c>
      <c r="C80" s="41" t="s">
        <v>202</v>
      </c>
      <c r="D80" s="82" t="s">
        <v>261</v>
      </c>
      <c r="E80" s="82" t="s">
        <v>780</v>
      </c>
      <c r="F80" s="90">
        <v>5300000</v>
      </c>
      <c r="G80" s="82">
        <v>1.0024999999999999</v>
      </c>
      <c r="H80" s="106">
        <v>174.22387000000001</v>
      </c>
      <c r="I80" s="41">
        <v>-2.5252896187532499</v>
      </c>
      <c r="J80" s="41">
        <v>2.9645775838873646E-3</v>
      </c>
      <c r="K80" s="28"/>
      <c r="L80" s="28"/>
      <c r="M80" s="28"/>
      <c r="N80" s="28"/>
    </row>
    <row r="81" spans="1:14" x14ac:dyDescent="0.2">
      <c r="A81" s="33" t="s">
        <v>682</v>
      </c>
      <c r="B81" s="41" t="s">
        <v>781</v>
      </c>
      <c r="C81" s="41" t="s">
        <v>202</v>
      </c>
      <c r="D81" s="82" t="s">
        <v>126</v>
      </c>
      <c r="E81" s="82" t="s">
        <v>780</v>
      </c>
      <c r="F81" s="90">
        <v>-48481.08</v>
      </c>
      <c r="G81" s="82">
        <v>0.99980000000000002</v>
      </c>
      <c r="H81" s="106">
        <v>-172.81379000000001</v>
      </c>
      <c r="I81" s="41">
        <v>2.5048512001507266</v>
      </c>
      <c r="J81" s="41">
        <v>-2.9405837903877258E-3</v>
      </c>
      <c r="K81" s="28"/>
      <c r="L81" s="28"/>
      <c r="M81" s="28"/>
      <c r="N81" s="28"/>
    </row>
    <row r="82" spans="1:14" x14ac:dyDescent="0.2">
      <c r="A82" s="33" t="s">
        <v>679</v>
      </c>
      <c r="B82" s="41" t="s">
        <v>782</v>
      </c>
      <c r="C82" s="41" t="s">
        <v>202</v>
      </c>
      <c r="D82" s="82" t="s">
        <v>261</v>
      </c>
      <c r="E82" s="82" t="s">
        <v>783</v>
      </c>
      <c r="F82" s="90">
        <v>7600000</v>
      </c>
      <c r="G82" s="82">
        <v>1.0024999999999999</v>
      </c>
      <c r="H82" s="106">
        <v>249.83045999999999</v>
      </c>
      <c r="I82" s="41">
        <v>-3.6211700904494259</v>
      </c>
      <c r="J82" s="41">
        <v>4.2510924679165308E-3</v>
      </c>
      <c r="K82" s="28"/>
      <c r="L82" s="28"/>
      <c r="M82" s="28"/>
      <c r="N82" s="28"/>
    </row>
    <row r="83" spans="1:14" x14ac:dyDescent="0.2">
      <c r="A83" s="33" t="s">
        <v>682</v>
      </c>
      <c r="B83" s="41" t="s">
        <v>784</v>
      </c>
      <c r="C83" s="41" t="s">
        <v>202</v>
      </c>
      <c r="D83" s="82" t="s">
        <v>126</v>
      </c>
      <c r="E83" s="82" t="s">
        <v>783</v>
      </c>
      <c r="F83" s="90">
        <v>-69574.13</v>
      </c>
      <c r="G83" s="82">
        <v>0.99980000000000002</v>
      </c>
      <c r="H83" s="106">
        <v>-248.00126</v>
      </c>
      <c r="I83" s="41">
        <v>3.5946567328330246</v>
      </c>
      <c r="J83" s="41">
        <v>-4.2199669664772232E-3</v>
      </c>
      <c r="K83" s="28"/>
      <c r="L83" s="28"/>
      <c r="M83" s="28"/>
      <c r="N83" s="28"/>
    </row>
    <row r="84" spans="1:14" x14ac:dyDescent="0.2">
      <c r="A84" s="33" t="s">
        <v>682</v>
      </c>
      <c r="B84" s="41" t="s">
        <v>785</v>
      </c>
      <c r="C84" s="41" t="s">
        <v>202</v>
      </c>
      <c r="D84" s="82" t="s">
        <v>126</v>
      </c>
      <c r="E84" s="82" t="s">
        <v>786</v>
      </c>
      <c r="F84" s="90">
        <v>59514</v>
      </c>
      <c r="G84" s="82">
        <v>0.99980000000000002</v>
      </c>
      <c r="H84" s="106">
        <v>212.14131</v>
      </c>
      <c r="I84" s="41">
        <v>-3.0748843304405704</v>
      </c>
      <c r="J84" s="41">
        <v>3.6097773068782158E-3</v>
      </c>
      <c r="K84" s="28"/>
      <c r="L84" s="28"/>
      <c r="M84" s="28"/>
      <c r="N84" s="28"/>
    </row>
    <row r="85" spans="1:14" x14ac:dyDescent="0.2">
      <c r="A85" s="33" t="s">
        <v>679</v>
      </c>
      <c r="B85" s="41" t="s">
        <v>787</v>
      </c>
      <c r="C85" s="41" t="s">
        <v>202</v>
      </c>
      <c r="D85" s="82" t="s">
        <v>261</v>
      </c>
      <c r="E85" s="82" t="s">
        <v>786</v>
      </c>
      <c r="F85" s="90">
        <v>-6500000</v>
      </c>
      <c r="G85" s="82">
        <v>1.0024999999999999</v>
      </c>
      <c r="H85" s="106">
        <v>-213.67078000000001</v>
      </c>
      <c r="I85" s="41">
        <v>3.0970532485870592</v>
      </c>
      <c r="J85" s="41">
        <v>-3.6358026297988251E-3</v>
      </c>
      <c r="K85" s="28"/>
      <c r="L85" s="28"/>
      <c r="M85" s="28"/>
      <c r="N85" s="28"/>
    </row>
    <row r="86" spans="1:14" x14ac:dyDescent="0.2">
      <c r="A86" s="33" t="s">
        <v>679</v>
      </c>
      <c r="B86" s="41" t="s">
        <v>788</v>
      </c>
      <c r="C86" s="41" t="s">
        <v>202</v>
      </c>
      <c r="D86" s="82" t="s">
        <v>261</v>
      </c>
      <c r="E86" s="82" t="s">
        <v>667</v>
      </c>
      <c r="F86" s="90">
        <v>3035605</v>
      </c>
      <c r="G86" s="82">
        <v>1.0024999999999999</v>
      </c>
      <c r="H86" s="106">
        <v>99.787710000000004</v>
      </c>
      <c r="I86" s="41">
        <v>-1.4463739563480014</v>
      </c>
      <c r="J86" s="41">
        <v>1.6979786306747348E-3</v>
      </c>
      <c r="K86" s="28"/>
      <c r="L86" s="28"/>
      <c r="M86" s="28"/>
      <c r="N86" s="28"/>
    </row>
    <row r="87" spans="1:14" x14ac:dyDescent="0.2">
      <c r="A87" s="33" t="s">
        <v>682</v>
      </c>
      <c r="B87" s="41" t="s">
        <v>789</v>
      </c>
      <c r="C87" s="41" t="s">
        <v>202</v>
      </c>
      <c r="D87" s="82" t="s">
        <v>126</v>
      </c>
      <c r="E87" s="82" t="s">
        <v>667</v>
      </c>
      <c r="F87" s="90">
        <v>-28400</v>
      </c>
      <c r="G87" s="82">
        <v>0.99980000000000002</v>
      </c>
      <c r="H87" s="106">
        <v>-101.23353999999999</v>
      </c>
      <c r="I87" s="41">
        <v>1.4673305536815469</v>
      </c>
      <c r="J87" s="41">
        <v>-1.7225807429347359E-3</v>
      </c>
      <c r="K87" s="28"/>
      <c r="L87" s="28"/>
      <c r="M87" s="28"/>
      <c r="N87" s="28"/>
    </row>
    <row r="88" spans="1:14" x14ac:dyDescent="0.2">
      <c r="A88" s="33" t="s">
        <v>693</v>
      </c>
      <c r="B88" s="41" t="s">
        <v>790</v>
      </c>
      <c r="C88" s="41" t="s">
        <v>202</v>
      </c>
      <c r="D88" s="82" t="s">
        <v>127</v>
      </c>
      <c r="E88" s="82" t="s">
        <v>791</v>
      </c>
      <c r="F88" s="90">
        <v>33000</v>
      </c>
      <c r="G88" s="82">
        <v>1.0036</v>
      </c>
      <c r="H88" s="106">
        <v>129.18316000000002</v>
      </c>
      <c r="I88" s="41">
        <v>-1.8724465991126251</v>
      </c>
      <c r="J88" s="41">
        <v>2.1981689440817428E-3</v>
      </c>
      <c r="K88" s="28"/>
      <c r="L88" s="28"/>
      <c r="M88" s="28"/>
      <c r="N88" s="28"/>
    </row>
    <row r="89" spans="1:14" x14ac:dyDescent="0.2">
      <c r="A89" s="33" t="s">
        <v>690</v>
      </c>
      <c r="B89" s="41" t="s">
        <v>792</v>
      </c>
      <c r="C89" s="41" t="s">
        <v>202</v>
      </c>
      <c r="D89" s="82" t="s">
        <v>126</v>
      </c>
      <c r="E89" s="82" t="s">
        <v>791</v>
      </c>
      <c r="F89" s="90">
        <v>-37523.64</v>
      </c>
      <c r="G89" s="82">
        <v>0.99970000000000003</v>
      </c>
      <c r="H89" s="106">
        <v>-133.74420999999998</v>
      </c>
      <c r="I89" s="41">
        <v>1.9385567837596225</v>
      </c>
      <c r="J89" s="41">
        <v>-2.2757793575629115E-3</v>
      </c>
      <c r="K89" s="28"/>
      <c r="L89" s="28"/>
      <c r="M89" s="28"/>
      <c r="N89" s="28"/>
    </row>
    <row r="90" spans="1:14" x14ac:dyDescent="0.2">
      <c r="A90" s="33" t="s">
        <v>679</v>
      </c>
      <c r="B90" s="41" t="s">
        <v>793</v>
      </c>
      <c r="C90" s="41" t="s">
        <v>202</v>
      </c>
      <c r="D90" s="82" t="s">
        <v>261</v>
      </c>
      <c r="E90" s="82" t="s">
        <v>791</v>
      </c>
      <c r="F90" s="90">
        <v>4058000</v>
      </c>
      <c r="G90" s="82">
        <v>1.0024999999999999</v>
      </c>
      <c r="H90" s="106">
        <v>133.39631</v>
      </c>
      <c r="I90" s="41">
        <v>-1.9335141437450007</v>
      </c>
      <c r="J90" s="41">
        <v>2.2698595226893414E-3</v>
      </c>
      <c r="K90" s="28"/>
      <c r="L90" s="28"/>
      <c r="M90" s="28"/>
      <c r="N90" s="28"/>
    </row>
    <row r="91" spans="1:14" x14ac:dyDescent="0.2">
      <c r="A91" s="33" t="s">
        <v>682</v>
      </c>
      <c r="B91" s="41" t="s">
        <v>794</v>
      </c>
      <c r="C91" s="41" t="s">
        <v>202</v>
      </c>
      <c r="D91" s="82" t="s">
        <v>126</v>
      </c>
      <c r="E91" s="82" t="s">
        <v>791</v>
      </c>
      <c r="F91" s="90">
        <v>-38695.9</v>
      </c>
      <c r="G91" s="82">
        <v>0.99980000000000002</v>
      </c>
      <c r="H91" s="106">
        <v>-137.93391</v>
      </c>
      <c r="I91" s="41">
        <v>1.9992844321334677</v>
      </c>
      <c r="J91" s="41">
        <v>-2.3470709130955316E-3</v>
      </c>
      <c r="K91" s="28"/>
      <c r="L91" s="28"/>
      <c r="M91" s="28"/>
      <c r="N91" s="28"/>
    </row>
    <row r="92" spans="1:14" x14ac:dyDescent="0.2">
      <c r="A92" s="33" t="s">
        <v>674</v>
      </c>
      <c r="B92" s="41" t="s">
        <v>795</v>
      </c>
      <c r="C92" s="41" t="s">
        <v>202</v>
      </c>
      <c r="D92" s="82" t="s">
        <v>126</v>
      </c>
      <c r="E92" s="82" t="s">
        <v>796</v>
      </c>
      <c r="F92" s="90">
        <v>185700</v>
      </c>
      <c r="G92" s="82">
        <v>1</v>
      </c>
      <c r="H92" s="106">
        <v>662.02247999999997</v>
      </c>
      <c r="I92" s="41">
        <v>-9.5956914292242566</v>
      </c>
      <c r="J92" s="41">
        <v>1.1264914527713802E-2</v>
      </c>
      <c r="K92" s="28"/>
      <c r="L92" s="28"/>
      <c r="M92" s="28"/>
      <c r="N92" s="28"/>
    </row>
    <row r="93" spans="1:14" x14ac:dyDescent="0.2">
      <c r="A93" s="33" t="s">
        <v>677</v>
      </c>
      <c r="B93" s="41" t="s">
        <v>797</v>
      </c>
      <c r="C93" s="41" t="s">
        <v>202</v>
      </c>
      <c r="D93" s="82" t="s">
        <v>2</v>
      </c>
      <c r="E93" s="82" t="s">
        <v>796</v>
      </c>
      <c r="F93" s="90">
        <v>-150000</v>
      </c>
      <c r="G93" s="82">
        <v>0.99990000000000001</v>
      </c>
      <c r="H93" s="106">
        <v>-659.78471999999999</v>
      </c>
      <c r="I93" s="41">
        <v>9.5632561946191394</v>
      </c>
      <c r="J93" s="41">
        <v>-1.1226837006337887E-2</v>
      </c>
      <c r="K93" s="28"/>
      <c r="L93" s="28"/>
      <c r="M93" s="28"/>
      <c r="N93" s="28"/>
    </row>
    <row r="94" spans="1:14" x14ac:dyDescent="0.2">
      <c r="A94" s="33" t="s">
        <v>798</v>
      </c>
      <c r="B94" s="41" t="s">
        <v>799</v>
      </c>
      <c r="C94" s="41" t="s">
        <v>202</v>
      </c>
      <c r="D94" s="82" t="s">
        <v>2</v>
      </c>
      <c r="E94" s="82" t="s">
        <v>796</v>
      </c>
      <c r="F94" s="90">
        <v>150000</v>
      </c>
      <c r="G94" s="82">
        <v>1.0015000000000001</v>
      </c>
      <c r="H94" s="106">
        <v>660.82916</v>
      </c>
      <c r="I94" s="41">
        <v>-9.5783948406003745</v>
      </c>
      <c r="J94" s="41">
        <v>1.1244609102731541E-2</v>
      </c>
      <c r="K94" s="28"/>
      <c r="L94" s="28"/>
      <c r="M94" s="28"/>
      <c r="N94" s="28"/>
    </row>
    <row r="95" spans="1:14" x14ac:dyDescent="0.2">
      <c r="A95" s="33" t="s">
        <v>800</v>
      </c>
      <c r="B95" s="41" t="s">
        <v>801</v>
      </c>
      <c r="C95" s="41" t="s">
        <v>202</v>
      </c>
      <c r="D95" s="82" t="s">
        <v>126</v>
      </c>
      <c r="E95" s="82" t="s">
        <v>796</v>
      </c>
      <c r="F95" s="90">
        <v>-186036</v>
      </c>
      <c r="G95" s="82">
        <v>0.99970000000000003</v>
      </c>
      <c r="H95" s="106">
        <v>-663.02003000000002</v>
      </c>
      <c r="I95" s="41">
        <v>9.6101504276335294</v>
      </c>
      <c r="J95" s="41">
        <v>-1.1281888748116592E-2</v>
      </c>
      <c r="K95" s="28"/>
      <c r="L95" s="28"/>
      <c r="M95" s="28"/>
      <c r="N95" s="28"/>
    </row>
    <row r="96" spans="1:14" s="137" customFormat="1" x14ac:dyDescent="0.2">
      <c r="A96" s="114" t="s">
        <v>595</v>
      </c>
      <c r="B96" s="144" t="s">
        <v>238</v>
      </c>
      <c r="C96" s="144" t="s">
        <v>238</v>
      </c>
      <c r="D96" s="145" t="s">
        <v>238</v>
      </c>
      <c r="E96" s="145" t="s">
        <v>238</v>
      </c>
      <c r="F96" s="155" t="s">
        <v>238</v>
      </c>
      <c r="G96" s="145" t="s">
        <v>238</v>
      </c>
      <c r="H96" s="146">
        <v>0</v>
      </c>
      <c r="I96" s="144">
        <v>0</v>
      </c>
      <c r="J96" s="144">
        <v>0</v>
      </c>
    </row>
    <row r="97" spans="1:14" s="137" customFormat="1" x14ac:dyDescent="0.2">
      <c r="A97" s="239" t="s">
        <v>143</v>
      </c>
      <c r="B97" s="226" t="s">
        <v>238</v>
      </c>
      <c r="C97" s="226" t="s">
        <v>238</v>
      </c>
      <c r="D97" s="228" t="s">
        <v>238</v>
      </c>
      <c r="E97" s="228" t="s">
        <v>238</v>
      </c>
      <c r="F97" s="244" t="s">
        <v>238</v>
      </c>
      <c r="G97" s="228" t="s">
        <v>238</v>
      </c>
      <c r="H97" s="229">
        <v>0</v>
      </c>
      <c r="I97" s="226">
        <v>0</v>
      </c>
      <c r="J97" s="226">
        <v>0</v>
      </c>
    </row>
    <row r="98" spans="1:14" s="137" customFormat="1" x14ac:dyDescent="0.2">
      <c r="A98" s="99" t="s">
        <v>230</v>
      </c>
      <c r="B98" s="147"/>
      <c r="C98" s="99"/>
      <c r="D98" s="148"/>
      <c r="E98" s="148"/>
      <c r="F98" s="148"/>
      <c r="G98" s="149"/>
      <c r="H98" s="150"/>
      <c r="I98" s="150"/>
      <c r="J98" s="151"/>
      <c r="K98" s="168"/>
      <c r="L98" s="168"/>
      <c r="M98" s="152"/>
      <c r="N98" s="152"/>
    </row>
    <row r="99" spans="1:14" s="137" customFormat="1" x14ac:dyDescent="0.2">
      <c r="A99" s="99" t="s">
        <v>231</v>
      </c>
      <c r="B99" s="147"/>
      <c r="C99" s="99"/>
      <c r="D99" s="148"/>
      <c r="E99" s="148"/>
      <c r="F99" s="148"/>
      <c r="G99" s="149"/>
      <c r="H99" s="150"/>
      <c r="I99" s="150"/>
      <c r="J99" s="151"/>
      <c r="K99" s="168"/>
      <c r="L99" s="168"/>
      <c r="M99" s="152"/>
      <c r="N99" s="152"/>
    </row>
    <row r="100" spans="1:14" s="137" customFormat="1" x14ac:dyDescent="0.2">
      <c r="A100" s="99" t="s">
        <v>232</v>
      </c>
      <c r="B100" s="147"/>
      <c r="C100" s="99"/>
      <c r="D100" s="148"/>
      <c r="E100" s="148"/>
      <c r="F100" s="148"/>
      <c r="G100" s="149"/>
      <c r="H100" s="150"/>
      <c r="I100" s="150"/>
      <c r="J100" s="151"/>
      <c r="K100" s="168"/>
      <c r="L100" s="168"/>
      <c r="M100" s="152"/>
      <c r="N100" s="152"/>
    </row>
    <row r="101" spans="1:14" s="137" customFormat="1" x14ac:dyDescent="0.2">
      <c r="A101" s="99" t="s">
        <v>233</v>
      </c>
      <c r="B101" s="147"/>
      <c r="C101" s="99"/>
      <c r="D101" s="148"/>
      <c r="E101" s="148"/>
      <c r="F101" s="148"/>
      <c r="G101" s="149"/>
      <c r="H101" s="150"/>
      <c r="I101" s="150"/>
      <c r="J101" s="151"/>
      <c r="K101" s="168"/>
      <c r="L101" s="168"/>
      <c r="M101" s="152"/>
      <c r="N101" s="152"/>
    </row>
    <row r="102" spans="1:14" s="137" customFormat="1" x14ac:dyDescent="0.2">
      <c r="A102" s="99" t="s">
        <v>234</v>
      </c>
      <c r="B102" s="147"/>
      <c r="C102" s="99"/>
      <c r="D102" s="148"/>
      <c r="E102" s="148"/>
      <c r="F102" s="148"/>
      <c r="G102" s="149"/>
      <c r="H102" s="150"/>
      <c r="I102" s="150"/>
      <c r="J102" s="151"/>
      <c r="K102" s="168"/>
      <c r="L102" s="168"/>
      <c r="M102" s="152"/>
      <c r="N102" s="152"/>
    </row>
  </sheetData>
  <mergeCells count="2">
    <mergeCell ref="A6:J6"/>
    <mergeCell ref="A5:J5"/>
  </mergeCells>
  <conditionalFormatting sqref="B11:E97 I11:J97">
    <cfRule type="expression" dxfId="50" priority="344" stopIfTrue="1">
      <formula>OR(LEFT(#REF!,3)="TIR",LEFT(#REF!,2)="IR")</formula>
    </cfRule>
  </conditionalFormatting>
  <conditionalFormatting sqref="A11:A97 H11:I97">
    <cfRule type="expression" dxfId="49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A7D1-97A6-430D-8EFC-815AC0AB517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3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81"/>
      <c r="E1" s="81"/>
      <c r="F1" s="81"/>
      <c r="G1" s="53"/>
      <c r="H1" s="83"/>
      <c r="I1" s="84"/>
      <c r="J1" s="84"/>
      <c r="K1" s="84"/>
      <c r="L1" s="83"/>
      <c r="M1" s="83"/>
      <c r="N1" s="86"/>
      <c r="O1" s="86"/>
      <c r="P1" s="60"/>
    </row>
    <row r="2" spans="1:16" s="20" customFormat="1" x14ac:dyDescent="0.2">
      <c r="A2" s="23" t="s">
        <v>226</v>
      </c>
      <c r="B2" s="22" t="s">
        <v>152</v>
      </c>
      <c r="D2" s="81"/>
      <c r="E2" s="81"/>
      <c r="F2" s="81"/>
      <c r="G2" s="53"/>
      <c r="H2" s="83"/>
      <c r="I2" s="84"/>
      <c r="J2" s="84"/>
      <c r="K2" s="84"/>
      <c r="L2" s="83"/>
      <c r="M2" s="83"/>
      <c r="N2" s="86"/>
      <c r="O2" s="86"/>
      <c r="P2" s="60"/>
    </row>
    <row r="3" spans="1:16" s="20" customFormat="1" x14ac:dyDescent="0.2">
      <c r="A3" s="23" t="s">
        <v>227</v>
      </c>
      <c r="B3" s="22" t="s">
        <v>228</v>
      </c>
      <c r="D3" s="81"/>
      <c r="E3" s="81"/>
      <c r="F3" s="81"/>
      <c r="G3" s="53"/>
      <c r="H3" s="83"/>
      <c r="I3" s="84"/>
      <c r="J3" s="84"/>
      <c r="K3" s="84"/>
      <c r="L3" s="83"/>
      <c r="M3" s="83"/>
      <c r="N3" s="86"/>
      <c r="O3" s="86"/>
      <c r="P3" s="60"/>
    </row>
    <row r="4" spans="1:16" s="20" customFormat="1" ht="13.5" thickBot="1" x14ac:dyDescent="0.25">
      <c r="A4" s="23" t="s">
        <v>229</v>
      </c>
      <c r="B4" s="22" t="s">
        <v>236</v>
      </c>
      <c r="D4" s="81"/>
      <c r="E4" s="81"/>
      <c r="F4" s="81"/>
      <c r="G4" s="53"/>
      <c r="H4" s="83"/>
      <c r="I4" s="84"/>
      <c r="J4" s="84"/>
      <c r="K4" s="84"/>
      <c r="L4" s="83"/>
      <c r="M4" s="83"/>
      <c r="N4" s="86"/>
      <c r="O4" s="86"/>
      <c r="P4" s="60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159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7" t="s">
        <v>9</v>
      </c>
      <c r="O8" s="77" t="s">
        <v>9</v>
      </c>
      <c r="P8" s="19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8">
        <v>14</v>
      </c>
      <c r="P9" s="39">
        <v>15</v>
      </c>
    </row>
    <row r="10" spans="1:16" s="137" customFormat="1" ht="12.75" customHeight="1" thickBot="1" x14ac:dyDescent="0.25">
      <c r="A10" s="122" t="s">
        <v>57</v>
      </c>
      <c r="B10" s="88" t="s">
        <v>238</v>
      </c>
      <c r="C10" s="88" t="s">
        <v>238</v>
      </c>
      <c r="D10" s="123"/>
      <c r="E10" s="123" t="s">
        <v>238</v>
      </c>
      <c r="F10" s="123" t="s">
        <v>238</v>
      </c>
      <c r="G10" s="123" t="s">
        <v>238</v>
      </c>
      <c r="H10" s="123" t="s">
        <v>238</v>
      </c>
      <c r="I10" s="88" t="s">
        <v>238</v>
      </c>
      <c r="J10" s="88" t="s">
        <v>238</v>
      </c>
      <c r="K10" s="124" t="s">
        <v>238</v>
      </c>
      <c r="L10" s="123" t="s">
        <v>238</v>
      </c>
      <c r="M10" s="125">
        <v>1.2000000000000002E-6</v>
      </c>
      <c r="N10" s="88" t="s">
        <v>238</v>
      </c>
      <c r="O10" s="88">
        <v>0</v>
      </c>
      <c r="P10" s="103">
        <v>0</v>
      </c>
    </row>
    <row r="11" spans="1:16" s="137" customFormat="1" x14ac:dyDescent="0.2">
      <c r="A11" s="113" t="s">
        <v>139</v>
      </c>
      <c r="B11" s="140" t="s">
        <v>238</v>
      </c>
      <c r="C11" s="140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0" t="s">
        <v>238</v>
      </c>
      <c r="J11" s="140" t="s">
        <v>238</v>
      </c>
      <c r="K11" s="153" t="s">
        <v>238</v>
      </c>
      <c r="L11" s="141" t="s">
        <v>238</v>
      </c>
      <c r="M11" s="142">
        <v>0</v>
      </c>
      <c r="N11" s="140" t="s">
        <v>238</v>
      </c>
      <c r="O11" s="140">
        <v>0</v>
      </c>
      <c r="P11" s="140">
        <v>0</v>
      </c>
    </row>
    <row r="12" spans="1:16" s="137" customFormat="1" x14ac:dyDescent="0.2">
      <c r="A12" s="114" t="s">
        <v>606</v>
      </c>
      <c r="B12" s="144" t="s">
        <v>238</v>
      </c>
      <c r="C12" s="144" t="s">
        <v>238</v>
      </c>
      <c r="D12" s="145" t="s">
        <v>238</v>
      </c>
      <c r="E12" s="145" t="s">
        <v>238</v>
      </c>
      <c r="F12" s="145" t="s">
        <v>238</v>
      </c>
      <c r="G12" s="145" t="s">
        <v>238</v>
      </c>
      <c r="H12" s="145" t="s">
        <v>238</v>
      </c>
      <c r="I12" s="144" t="s">
        <v>238</v>
      </c>
      <c r="J12" s="144" t="s">
        <v>238</v>
      </c>
      <c r="K12" s="155" t="s">
        <v>238</v>
      </c>
      <c r="L12" s="141" t="s">
        <v>238</v>
      </c>
      <c r="M12" s="146">
        <v>0</v>
      </c>
      <c r="N12" s="144" t="s">
        <v>238</v>
      </c>
      <c r="O12" s="144">
        <v>0</v>
      </c>
      <c r="P12" s="144">
        <v>0</v>
      </c>
    </row>
    <row r="13" spans="1:16" s="137" customFormat="1" x14ac:dyDescent="0.2">
      <c r="A13" s="114" t="s">
        <v>607</v>
      </c>
      <c r="B13" s="144" t="s">
        <v>238</v>
      </c>
      <c r="C13" s="144" t="s">
        <v>238</v>
      </c>
      <c r="D13" s="145" t="s">
        <v>238</v>
      </c>
      <c r="E13" s="145" t="s">
        <v>238</v>
      </c>
      <c r="F13" s="145" t="s">
        <v>238</v>
      </c>
      <c r="G13" s="145" t="s">
        <v>238</v>
      </c>
      <c r="H13" s="145" t="s">
        <v>238</v>
      </c>
      <c r="I13" s="144" t="s">
        <v>238</v>
      </c>
      <c r="J13" s="144" t="s">
        <v>238</v>
      </c>
      <c r="K13" s="155" t="s">
        <v>238</v>
      </c>
      <c r="L13" s="141" t="s">
        <v>238</v>
      </c>
      <c r="M13" s="146">
        <v>0</v>
      </c>
      <c r="N13" s="144" t="s">
        <v>238</v>
      </c>
      <c r="O13" s="144">
        <v>0</v>
      </c>
      <c r="P13" s="144">
        <v>0</v>
      </c>
    </row>
    <row r="14" spans="1:16" s="137" customFormat="1" x14ac:dyDescent="0.2">
      <c r="A14" s="114" t="s">
        <v>608</v>
      </c>
      <c r="B14" s="144" t="s">
        <v>238</v>
      </c>
      <c r="C14" s="144" t="s">
        <v>238</v>
      </c>
      <c r="D14" s="145" t="s">
        <v>238</v>
      </c>
      <c r="E14" s="145" t="s">
        <v>238</v>
      </c>
      <c r="F14" s="145" t="s">
        <v>238</v>
      </c>
      <c r="G14" s="145" t="s">
        <v>238</v>
      </c>
      <c r="H14" s="145" t="s">
        <v>238</v>
      </c>
      <c r="I14" s="144" t="s">
        <v>238</v>
      </c>
      <c r="J14" s="144" t="s">
        <v>238</v>
      </c>
      <c r="K14" s="155" t="s">
        <v>238</v>
      </c>
      <c r="L14" s="141" t="s">
        <v>238</v>
      </c>
      <c r="M14" s="146">
        <v>0</v>
      </c>
      <c r="N14" s="144" t="s">
        <v>238</v>
      </c>
      <c r="O14" s="144">
        <v>0</v>
      </c>
      <c r="P14" s="144">
        <v>0</v>
      </c>
    </row>
    <row r="15" spans="1:16" s="137" customFormat="1" x14ac:dyDescent="0.2">
      <c r="A15" s="114" t="s">
        <v>609</v>
      </c>
      <c r="B15" s="144" t="s">
        <v>238</v>
      </c>
      <c r="C15" s="144" t="s">
        <v>238</v>
      </c>
      <c r="D15" s="145" t="s">
        <v>238</v>
      </c>
      <c r="E15" s="145" t="s">
        <v>238</v>
      </c>
      <c r="F15" s="145" t="s">
        <v>238</v>
      </c>
      <c r="G15" s="145" t="s">
        <v>238</v>
      </c>
      <c r="H15" s="145" t="s">
        <v>238</v>
      </c>
      <c r="I15" s="144" t="s">
        <v>238</v>
      </c>
      <c r="J15" s="144" t="s">
        <v>238</v>
      </c>
      <c r="K15" s="155" t="s">
        <v>238</v>
      </c>
      <c r="L15" s="141" t="s">
        <v>238</v>
      </c>
      <c r="M15" s="146">
        <v>0</v>
      </c>
      <c r="N15" s="144" t="s">
        <v>238</v>
      </c>
      <c r="O15" s="144">
        <v>0</v>
      </c>
      <c r="P15" s="144">
        <v>0</v>
      </c>
    </row>
    <row r="16" spans="1:16" s="137" customFormat="1" x14ac:dyDescent="0.2">
      <c r="A16" s="114" t="s">
        <v>610</v>
      </c>
      <c r="B16" s="144" t="s">
        <v>238</v>
      </c>
      <c r="C16" s="144" t="s">
        <v>238</v>
      </c>
      <c r="D16" s="145" t="s">
        <v>238</v>
      </c>
      <c r="E16" s="145" t="s">
        <v>238</v>
      </c>
      <c r="F16" s="145" t="s">
        <v>238</v>
      </c>
      <c r="G16" s="145" t="s">
        <v>238</v>
      </c>
      <c r="H16" s="145" t="s">
        <v>238</v>
      </c>
      <c r="I16" s="144" t="s">
        <v>238</v>
      </c>
      <c r="J16" s="144" t="s">
        <v>238</v>
      </c>
      <c r="K16" s="155" t="s">
        <v>238</v>
      </c>
      <c r="L16" s="141" t="s">
        <v>238</v>
      </c>
      <c r="M16" s="146">
        <v>0</v>
      </c>
      <c r="N16" s="144" t="s">
        <v>238</v>
      </c>
      <c r="O16" s="144">
        <v>0</v>
      </c>
      <c r="P16" s="144">
        <v>0</v>
      </c>
    </row>
    <row r="17" spans="1:16" s="137" customFormat="1" x14ac:dyDescent="0.2">
      <c r="A17" s="114" t="s">
        <v>611</v>
      </c>
      <c r="B17" s="144" t="s">
        <v>238</v>
      </c>
      <c r="C17" s="144" t="s">
        <v>238</v>
      </c>
      <c r="D17" s="145" t="s">
        <v>238</v>
      </c>
      <c r="E17" s="145" t="s">
        <v>238</v>
      </c>
      <c r="F17" s="145" t="s">
        <v>238</v>
      </c>
      <c r="G17" s="145" t="s">
        <v>238</v>
      </c>
      <c r="H17" s="145" t="s">
        <v>238</v>
      </c>
      <c r="I17" s="144" t="s">
        <v>238</v>
      </c>
      <c r="J17" s="144" t="s">
        <v>238</v>
      </c>
      <c r="K17" s="155" t="s">
        <v>238</v>
      </c>
      <c r="L17" s="141" t="s">
        <v>238</v>
      </c>
      <c r="M17" s="146">
        <v>0</v>
      </c>
      <c r="N17" s="144" t="s">
        <v>238</v>
      </c>
      <c r="O17" s="144">
        <v>0</v>
      </c>
      <c r="P17" s="144">
        <v>0</v>
      </c>
    </row>
    <row r="18" spans="1:16" s="137" customFormat="1" x14ac:dyDescent="0.2">
      <c r="A18" s="114" t="s">
        <v>612</v>
      </c>
      <c r="B18" s="144" t="s">
        <v>238</v>
      </c>
      <c r="C18" s="144" t="s">
        <v>238</v>
      </c>
      <c r="D18" s="145" t="s">
        <v>238</v>
      </c>
      <c r="E18" s="145" t="s">
        <v>238</v>
      </c>
      <c r="F18" s="145" t="s">
        <v>238</v>
      </c>
      <c r="G18" s="145" t="s">
        <v>238</v>
      </c>
      <c r="H18" s="145" t="s">
        <v>238</v>
      </c>
      <c r="I18" s="144" t="s">
        <v>238</v>
      </c>
      <c r="J18" s="144" t="s">
        <v>238</v>
      </c>
      <c r="K18" s="155" t="s">
        <v>238</v>
      </c>
      <c r="L18" s="141" t="s">
        <v>238</v>
      </c>
      <c r="M18" s="146">
        <v>0</v>
      </c>
      <c r="N18" s="144" t="s">
        <v>238</v>
      </c>
      <c r="O18" s="144">
        <v>0</v>
      </c>
      <c r="P18" s="144">
        <v>0</v>
      </c>
    </row>
    <row r="19" spans="1:16" s="137" customFormat="1" x14ac:dyDescent="0.2">
      <c r="A19" s="114" t="s">
        <v>365</v>
      </c>
      <c r="B19" s="144" t="s">
        <v>238</v>
      </c>
      <c r="C19" s="144" t="s">
        <v>238</v>
      </c>
      <c r="D19" s="145" t="s">
        <v>238</v>
      </c>
      <c r="E19" s="145" t="s">
        <v>238</v>
      </c>
      <c r="F19" s="145" t="s">
        <v>238</v>
      </c>
      <c r="G19" s="145" t="s">
        <v>238</v>
      </c>
      <c r="H19" s="145" t="s">
        <v>238</v>
      </c>
      <c r="I19" s="144" t="s">
        <v>238</v>
      </c>
      <c r="J19" s="144" t="s">
        <v>238</v>
      </c>
      <c r="K19" s="155" t="s">
        <v>238</v>
      </c>
      <c r="L19" s="141" t="s">
        <v>238</v>
      </c>
      <c r="M19" s="146">
        <v>0</v>
      </c>
      <c r="N19" s="144" t="s">
        <v>238</v>
      </c>
      <c r="O19" s="144">
        <v>0</v>
      </c>
      <c r="P19" s="144">
        <v>0</v>
      </c>
    </row>
    <row r="20" spans="1:16" s="137" customFormat="1" x14ac:dyDescent="0.2">
      <c r="A20" s="114" t="s">
        <v>606</v>
      </c>
      <c r="B20" s="144" t="s">
        <v>238</v>
      </c>
      <c r="C20" s="144" t="s">
        <v>238</v>
      </c>
      <c r="D20" s="145" t="s">
        <v>238</v>
      </c>
      <c r="E20" s="145" t="s">
        <v>238</v>
      </c>
      <c r="F20" s="145" t="s">
        <v>238</v>
      </c>
      <c r="G20" s="145" t="s">
        <v>238</v>
      </c>
      <c r="H20" s="145" t="s">
        <v>238</v>
      </c>
      <c r="I20" s="144" t="s">
        <v>238</v>
      </c>
      <c r="J20" s="144" t="s">
        <v>238</v>
      </c>
      <c r="K20" s="155" t="s">
        <v>238</v>
      </c>
      <c r="L20" s="141" t="s">
        <v>238</v>
      </c>
      <c r="M20" s="146">
        <v>0</v>
      </c>
      <c r="N20" s="144" t="s">
        <v>238</v>
      </c>
      <c r="O20" s="144">
        <v>0</v>
      </c>
      <c r="P20" s="144">
        <v>0</v>
      </c>
    </row>
    <row r="21" spans="1:16" s="137" customFormat="1" x14ac:dyDescent="0.2">
      <c r="A21" s="114" t="s">
        <v>607</v>
      </c>
      <c r="B21" s="144" t="s">
        <v>238</v>
      </c>
      <c r="C21" s="144" t="s">
        <v>238</v>
      </c>
      <c r="D21" s="145" t="s">
        <v>238</v>
      </c>
      <c r="E21" s="145" t="s">
        <v>238</v>
      </c>
      <c r="F21" s="145" t="s">
        <v>238</v>
      </c>
      <c r="G21" s="145" t="s">
        <v>238</v>
      </c>
      <c r="H21" s="145" t="s">
        <v>238</v>
      </c>
      <c r="I21" s="144" t="s">
        <v>238</v>
      </c>
      <c r="J21" s="144" t="s">
        <v>238</v>
      </c>
      <c r="K21" s="155" t="s">
        <v>238</v>
      </c>
      <c r="L21" s="141" t="s">
        <v>238</v>
      </c>
      <c r="M21" s="146">
        <v>0</v>
      </c>
      <c r="N21" s="144" t="s">
        <v>238</v>
      </c>
      <c r="O21" s="144">
        <v>0</v>
      </c>
      <c r="P21" s="144">
        <v>0</v>
      </c>
    </row>
    <row r="22" spans="1:16" s="137" customFormat="1" x14ac:dyDescent="0.2">
      <c r="A22" s="114" t="s">
        <v>608</v>
      </c>
      <c r="B22" s="144" t="s">
        <v>238</v>
      </c>
      <c r="C22" s="144" t="s">
        <v>238</v>
      </c>
      <c r="D22" s="145" t="s">
        <v>238</v>
      </c>
      <c r="E22" s="145" t="s">
        <v>238</v>
      </c>
      <c r="F22" s="145" t="s">
        <v>238</v>
      </c>
      <c r="G22" s="145" t="s">
        <v>238</v>
      </c>
      <c r="H22" s="145" t="s">
        <v>238</v>
      </c>
      <c r="I22" s="144" t="s">
        <v>238</v>
      </c>
      <c r="J22" s="144" t="s">
        <v>238</v>
      </c>
      <c r="K22" s="155" t="s">
        <v>238</v>
      </c>
      <c r="L22" s="141" t="s">
        <v>238</v>
      </c>
      <c r="M22" s="146">
        <v>0</v>
      </c>
      <c r="N22" s="144" t="s">
        <v>238</v>
      </c>
      <c r="O22" s="144">
        <v>0</v>
      </c>
      <c r="P22" s="144">
        <v>0</v>
      </c>
    </row>
    <row r="23" spans="1:16" s="137" customFormat="1" x14ac:dyDescent="0.2">
      <c r="A23" s="114" t="s">
        <v>609</v>
      </c>
      <c r="B23" s="144" t="s">
        <v>238</v>
      </c>
      <c r="C23" s="144" t="s">
        <v>238</v>
      </c>
      <c r="D23" s="145" t="s">
        <v>238</v>
      </c>
      <c r="E23" s="145" t="s">
        <v>238</v>
      </c>
      <c r="F23" s="145" t="s">
        <v>238</v>
      </c>
      <c r="G23" s="145" t="s">
        <v>238</v>
      </c>
      <c r="H23" s="145" t="s">
        <v>238</v>
      </c>
      <c r="I23" s="144" t="s">
        <v>238</v>
      </c>
      <c r="J23" s="144" t="s">
        <v>238</v>
      </c>
      <c r="K23" s="155" t="s">
        <v>238</v>
      </c>
      <c r="L23" s="141" t="s">
        <v>238</v>
      </c>
      <c r="M23" s="146">
        <v>0</v>
      </c>
      <c r="N23" s="144" t="s">
        <v>238</v>
      </c>
      <c r="O23" s="144">
        <v>0</v>
      </c>
      <c r="P23" s="144">
        <v>0</v>
      </c>
    </row>
    <row r="24" spans="1:16" s="137" customFormat="1" x14ac:dyDescent="0.2">
      <c r="A24" s="114" t="s">
        <v>610</v>
      </c>
      <c r="B24" s="144" t="s">
        <v>238</v>
      </c>
      <c r="C24" s="144" t="s">
        <v>238</v>
      </c>
      <c r="D24" s="145" t="s">
        <v>238</v>
      </c>
      <c r="E24" s="145" t="s">
        <v>238</v>
      </c>
      <c r="F24" s="145" t="s">
        <v>238</v>
      </c>
      <c r="G24" s="145" t="s">
        <v>238</v>
      </c>
      <c r="H24" s="145" t="s">
        <v>238</v>
      </c>
      <c r="I24" s="144" t="s">
        <v>238</v>
      </c>
      <c r="J24" s="144" t="s">
        <v>238</v>
      </c>
      <c r="K24" s="155" t="s">
        <v>238</v>
      </c>
      <c r="L24" s="141" t="s">
        <v>238</v>
      </c>
      <c r="M24" s="146">
        <v>0</v>
      </c>
      <c r="N24" s="144" t="s">
        <v>238</v>
      </c>
      <c r="O24" s="144">
        <v>0</v>
      </c>
      <c r="P24" s="144">
        <v>0</v>
      </c>
    </row>
    <row r="25" spans="1:16" s="137" customFormat="1" x14ac:dyDescent="0.2">
      <c r="A25" s="114" t="s">
        <v>611</v>
      </c>
      <c r="B25" s="144" t="s">
        <v>238</v>
      </c>
      <c r="C25" s="144" t="s">
        <v>238</v>
      </c>
      <c r="D25" s="145" t="s">
        <v>238</v>
      </c>
      <c r="E25" s="145" t="s">
        <v>238</v>
      </c>
      <c r="F25" s="145" t="s">
        <v>238</v>
      </c>
      <c r="G25" s="145" t="s">
        <v>238</v>
      </c>
      <c r="H25" s="145" t="s">
        <v>238</v>
      </c>
      <c r="I25" s="144" t="s">
        <v>238</v>
      </c>
      <c r="J25" s="144" t="s">
        <v>238</v>
      </c>
      <c r="K25" s="155" t="s">
        <v>238</v>
      </c>
      <c r="L25" s="141" t="s">
        <v>238</v>
      </c>
      <c r="M25" s="146">
        <v>0</v>
      </c>
      <c r="N25" s="144" t="s">
        <v>238</v>
      </c>
      <c r="O25" s="144">
        <v>0</v>
      </c>
      <c r="P25" s="144">
        <v>0</v>
      </c>
    </row>
    <row r="26" spans="1:16" s="137" customFormat="1" x14ac:dyDescent="0.2">
      <c r="A26" s="239" t="s">
        <v>612</v>
      </c>
      <c r="B26" s="226" t="s">
        <v>238</v>
      </c>
      <c r="C26" s="226" t="s">
        <v>238</v>
      </c>
      <c r="D26" s="228" t="s">
        <v>238</v>
      </c>
      <c r="E26" s="228" t="s">
        <v>238</v>
      </c>
      <c r="F26" s="228" t="s">
        <v>238</v>
      </c>
      <c r="G26" s="228" t="s">
        <v>238</v>
      </c>
      <c r="H26" s="228" t="s">
        <v>238</v>
      </c>
      <c r="I26" s="226" t="s">
        <v>238</v>
      </c>
      <c r="J26" s="226" t="s">
        <v>238</v>
      </c>
      <c r="K26" s="244" t="s">
        <v>238</v>
      </c>
      <c r="L26" s="227" t="s">
        <v>238</v>
      </c>
      <c r="M26" s="229">
        <v>0</v>
      </c>
      <c r="N26" s="226" t="s">
        <v>238</v>
      </c>
      <c r="O26" s="226">
        <v>0</v>
      </c>
      <c r="P26" s="226">
        <v>0</v>
      </c>
    </row>
    <row r="27" spans="1:16" s="137" customFormat="1" x14ac:dyDescent="0.2">
      <c r="A27" s="99" t="s">
        <v>230</v>
      </c>
      <c r="B27" s="147"/>
      <c r="C27" s="99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9" t="s">
        <v>231</v>
      </c>
      <c r="B28" s="147"/>
      <c r="C28" s="99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9" t="s">
        <v>232</v>
      </c>
      <c r="B29" s="147"/>
      <c r="C29" s="99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9" t="s">
        <v>233</v>
      </c>
      <c r="B30" s="147"/>
      <c r="C30" s="99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9" t="s">
        <v>234</v>
      </c>
      <c r="B31" s="147"/>
      <c r="C31" s="99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B11:F26 H11:H26 O11:P26">
    <cfRule type="expression" dxfId="48" priority="351" stopIfTrue="1">
      <formula>OR(LEFT(#REF!,3)="TIR",LEFT(#REF!,2)="IR")</formula>
    </cfRule>
  </conditionalFormatting>
  <conditionalFormatting sqref="A11:A26 M11:M26">
    <cfRule type="expression" dxfId="47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3461-4424-4BB5-9131-A5C1F5135AB2}">
  <sheetPr codeName="גיליון22">
    <pageSetUpPr fitToPage="1"/>
  </sheetPr>
  <dimension ref="A1:T36"/>
  <sheetViews>
    <sheetView rightToLeft="1" zoomScale="80" zoomScaleNormal="80" workbookViewId="0">
      <selection activeCell="A6" sqref="A6:Q31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0.85546875" style="81" customWidth="1"/>
    <col min="10" max="10" width="11.28515625" style="81" customWidth="1"/>
    <col min="11" max="11" width="18.28515625" style="53" customWidth="1"/>
    <col min="12" max="12" width="14.140625" style="83" customWidth="1"/>
    <col min="13" max="13" width="10.5703125" style="85" customWidth="1"/>
    <col min="14" max="14" width="7" style="85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60"/>
      <c r="F1" s="81"/>
      <c r="G1" s="81"/>
      <c r="H1" s="81"/>
      <c r="I1" s="81"/>
      <c r="J1" s="81"/>
      <c r="K1" s="53"/>
      <c r="L1" s="83"/>
      <c r="M1" s="84"/>
      <c r="N1" s="84"/>
      <c r="O1" s="84"/>
      <c r="P1" s="84"/>
      <c r="Q1" s="83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60"/>
      <c r="F2" s="81"/>
      <c r="G2" s="81"/>
      <c r="H2" s="81"/>
      <c r="I2" s="81"/>
      <c r="J2" s="81"/>
      <c r="K2" s="53"/>
      <c r="L2" s="83"/>
      <c r="M2" s="84"/>
      <c r="N2" s="84"/>
      <c r="O2" s="84"/>
      <c r="P2" s="84"/>
      <c r="Q2" s="83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60"/>
      <c r="F3" s="81"/>
      <c r="G3" s="81"/>
      <c r="H3" s="81"/>
      <c r="I3" s="81"/>
      <c r="J3" s="81"/>
      <c r="K3" s="53"/>
      <c r="L3" s="83"/>
      <c r="M3" s="84"/>
      <c r="N3" s="84"/>
      <c r="O3" s="84"/>
      <c r="P3" s="84"/>
      <c r="Q3" s="83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60"/>
      <c r="F4" s="81"/>
      <c r="G4" s="81"/>
      <c r="H4" s="81"/>
      <c r="I4" s="81"/>
      <c r="J4" s="81"/>
      <c r="K4" s="53"/>
      <c r="L4" s="83"/>
      <c r="M4" s="84"/>
      <c r="N4" s="84"/>
      <c r="O4" s="84"/>
      <c r="P4" s="84"/>
      <c r="Q4" s="83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159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162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7" t="s">
        <v>9</v>
      </c>
      <c r="Q7" s="19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8">
        <v>15</v>
      </c>
      <c r="Q8" s="52">
        <v>16</v>
      </c>
    </row>
    <row r="9" spans="1:20" s="137" customFormat="1" ht="12.75" customHeight="1" thickBot="1" x14ac:dyDescent="0.25">
      <c r="A9" s="122" t="s">
        <v>122</v>
      </c>
      <c r="B9" s="88" t="s">
        <v>238</v>
      </c>
      <c r="C9" s="88" t="s">
        <v>238</v>
      </c>
      <c r="D9" s="88"/>
      <c r="E9" s="123" t="s">
        <v>238</v>
      </c>
      <c r="F9" s="123"/>
      <c r="G9" s="123" t="s">
        <v>238</v>
      </c>
      <c r="H9" s="124" t="s">
        <v>238</v>
      </c>
      <c r="I9" s="124"/>
      <c r="J9" s="123" t="s">
        <v>238</v>
      </c>
      <c r="K9" s="88" t="s">
        <v>238</v>
      </c>
      <c r="L9" s="88" t="s">
        <v>238</v>
      </c>
      <c r="M9" s="133" t="s">
        <v>238</v>
      </c>
      <c r="N9" s="123" t="s">
        <v>238</v>
      </c>
      <c r="O9" s="125">
        <v>2497.2104313000004</v>
      </c>
      <c r="P9" s="88">
        <v>1</v>
      </c>
      <c r="Q9" s="103">
        <v>4.2492306403718837E-2</v>
      </c>
    </row>
    <row r="10" spans="1:20" s="137" customFormat="1" x14ac:dyDescent="0.2">
      <c r="A10" s="113" t="s">
        <v>139</v>
      </c>
      <c r="B10" s="140" t="s">
        <v>238</v>
      </c>
      <c r="C10" s="140" t="s">
        <v>238</v>
      </c>
      <c r="D10" s="140" t="s">
        <v>238</v>
      </c>
      <c r="E10" s="141" t="s">
        <v>238</v>
      </c>
      <c r="F10" s="141" t="s">
        <v>238</v>
      </c>
      <c r="G10" s="141" t="s">
        <v>238</v>
      </c>
      <c r="H10" s="153" t="s">
        <v>238</v>
      </c>
      <c r="I10" s="177"/>
      <c r="J10" s="141" t="s">
        <v>238</v>
      </c>
      <c r="K10" s="140" t="s">
        <v>238</v>
      </c>
      <c r="L10" s="140" t="s">
        <v>238</v>
      </c>
      <c r="M10" s="178" t="s">
        <v>238</v>
      </c>
      <c r="N10" s="141" t="s">
        <v>238</v>
      </c>
      <c r="O10" s="142">
        <v>2497.2104309000001</v>
      </c>
      <c r="P10" s="140">
        <v>0.99999999983982113</v>
      </c>
      <c r="Q10" s="140">
        <v>4.2492306396912469E-2</v>
      </c>
    </row>
    <row r="11" spans="1:20" s="137" customFormat="1" x14ac:dyDescent="0.2">
      <c r="A11" s="114" t="s">
        <v>802</v>
      </c>
      <c r="B11" s="144" t="s">
        <v>238</v>
      </c>
      <c r="C11" s="144" t="s">
        <v>238</v>
      </c>
      <c r="D11" s="144" t="s">
        <v>238</v>
      </c>
      <c r="E11" s="145"/>
      <c r="F11" s="145"/>
      <c r="G11" s="145"/>
      <c r="H11" s="155"/>
      <c r="I11" s="145"/>
      <c r="J11" s="145"/>
      <c r="K11" s="144" t="s">
        <v>238</v>
      </c>
      <c r="L11" s="144" t="s">
        <v>238</v>
      </c>
      <c r="M11" s="179" t="s">
        <v>238</v>
      </c>
      <c r="N11" s="145" t="s">
        <v>238</v>
      </c>
      <c r="O11" s="146">
        <v>2497.2104300999999</v>
      </c>
      <c r="P11" s="144">
        <v>0.99999999951946361</v>
      </c>
      <c r="Q11" s="144">
        <v>4.249230638329974E-2</v>
      </c>
    </row>
    <row r="12" spans="1:20" s="137" customFormat="1" x14ac:dyDescent="0.2">
      <c r="A12" s="189" t="s">
        <v>836</v>
      </c>
      <c r="B12" s="190"/>
      <c r="C12" s="190"/>
      <c r="D12" s="190"/>
      <c r="E12" s="191" t="s">
        <v>803</v>
      </c>
      <c r="F12" s="191" t="s">
        <v>238</v>
      </c>
      <c r="G12" s="191"/>
      <c r="H12" s="192">
        <v>2.3224075629559517</v>
      </c>
      <c r="I12" s="191"/>
      <c r="J12" s="191" t="s">
        <v>244</v>
      </c>
      <c r="K12" s="190">
        <v>1.3993494171000423E-2</v>
      </c>
      <c r="L12" s="190">
        <v>1.3993494171000423E-2</v>
      </c>
      <c r="M12" s="193"/>
      <c r="N12" s="191"/>
      <c r="O12" s="194">
        <v>820.75935009999944</v>
      </c>
      <c r="P12" s="190">
        <v>0.32867047959299434</v>
      </c>
      <c r="Q12" s="190">
        <v>1.3965966724722736E-2</v>
      </c>
    </row>
    <row r="13" spans="1:20" s="137" customFormat="1" x14ac:dyDescent="0.2">
      <c r="A13" s="189" t="s">
        <v>837</v>
      </c>
      <c r="B13" s="190"/>
      <c r="C13" s="195">
        <v>28851</v>
      </c>
      <c r="D13" s="195">
        <v>28851</v>
      </c>
      <c r="E13" s="191" t="s">
        <v>803</v>
      </c>
      <c r="F13" s="191"/>
      <c r="G13" s="191"/>
      <c r="H13" s="192">
        <v>1.5</v>
      </c>
      <c r="I13" s="191"/>
      <c r="J13" s="191" t="s">
        <v>244</v>
      </c>
      <c r="K13" s="190">
        <v>1.3000000000000001E-2</v>
      </c>
      <c r="L13" s="190">
        <v>1.3000000000000001E-2</v>
      </c>
      <c r="M13" s="193"/>
      <c r="N13" s="191"/>
      <c r="O13" s="194">
        <v>149.53873000000002</v>
      </c>
      <c r="P13" s="190">
        <v>5.9882310327429231E-2</v>
      </c>
      <c r="Q13" s="190">
        <v>2.5445374785956999E-3</v>
      </c>
    </row>
    <row r="14" spans="1:20" s="137" customFormat="1" x14ac:dyDescent="0.2">
      <c r="A14" s="189" t="s">
        <v>838</v>
      </c>
      <c r="B14" s="190"/>
      <c r="C14" s="195">
        <v>30110</v>
      </c>
      <c r="D14" s="195">
        <v>30110</v>
      </c>
      <c r="E14" s="191" t="s">
        <v>803</v>
      </c>
      <c r="F14" s="191"/>
      <c r="G14" s="191"/>
      <c r="H14" s="192">
        <v>2.7</v>
      </c>
      <c r="I14" s="191"/>
      <c r="J14" s="191" t="s">
        <v>244</v>
      </c>
      <c r="K14" s="190">
        <v>1.8500000000000003E-2</v>
      </c>
      <c r="L14" s="190">
        <v>1.8500000000000003E-2</v>
      </c>
      <c r="M14" s="193"/>
      <c r="N14" s="191"/>
      <c r="O14" s="194">
        <v>136.21831</v>
      </c>
      <c r="P14" s="190">
        <v>5.4548190369798882E-2</v>
      </c>
      <c r="Q14" s="190">
        <v>2.3178784189618793E-3</v>
      </c>
    </row>
    <row r="15" spans="1:20" s="137" customFormat="1" x14ac:dyDescent="0.2">
      <c r="A15" s="189" t="s">
        <v>839</v>
      </c>
      <c r="B15" s="190"/>
      <c r="C15" s="195">
        <v>31196</v>
      </c>
      <c r="D15" s="195">
        <v>31196</v>
      </c>
      <c r="E15" s="191" t="s">
        <v>803</v>
      </c>
      <c r="F15" s="191"/>
      <c r="G15" s="191"/>
      <c r="H15" s="192">
        <v>2</v>
      </c>
      <c r="I15" s="191"/>
      <c r="J15" s="191" t="s">
        <v>244</v>
      </c>
      <c r="K15" s="190">
        <v>1.3999999999999999E-2</v>
      </c>
      <c r="L15" s="190">
        <v>1.3999999999999999E-2</v>
      </c>
      <c r="M15" s="193"/>
      <c r="N15" s="191"/>
      <c r="O15" s="194">
        <v>845.25277000000006</v>
      </c>
      <c r="P15" s="190">
        <v>0.33847879193744096</v>
      </c>
      <c r="Q15" s="190">
        <v>1.4382744538166339E-2</v>
      </c>
    </row>
    <row r="16" spans="1:20" s="137" customFormat="1" x14ac:dyDescent="0.2">
      <c r="A16" s="189" t="s">
        <v>840</v>
      </c>
      <c r="B16" s="190"/>
      <c r="C16" s="195">
        <v>33538</v>
      </c>
      <c r="D16" s="195">
        <v>33538</v>
      </c>
      <c r="E16" s="191" t="s">
        <v>803</v>
      </c>
      <c r="F16" s="191"/>
      <c r="G16" s="191"/>
      <c r="H16" s="192">
        <v>2.4</v>
      </c>
      <c r="I16" s="191"/>
      <c r="J16" s="191" t="s">
        <v>244</v>
      </c>
      <c r="K16" s="190">
        <v>1.2500000000000001E-2</v>
      </c>
      <c r="L16" s="190">
        <v>1.2500000000000001E-2</v>
      </c>
      <c r="M16" s="193"/>
      <c r="N16" s="191"/>
      <c r="O16" s="194">
        <v>397.36723999999998</v>
      </c>
      <c r="P16" s="190">
        <v>0.15912445143565179</v>
      </c>
      <c r="Q16" s="190">
        <v>6.7615649467273938E-3</v>
      </c>
    </row>
    <row r="17" spans="1:18" s="137" customFormat="1" x14ac:dyDescent="0.2">
      <c r="A17" s="189" t="s">
        <v>841</v>
      </c>
      <c r="B17" s="190"/>
      <c r="C17" s="195">
        <v>34495</v>
      </c>
      <c r="D17" s="195">
        <v>34495</v>
      </c>
      <c r="E17" s="191" t="s">
        <v>803</v>
      </c>
      <c r="F17" s="191"/>
      <c r="G17" s="191"/>
      <c r="H17" s="192">
        <v>4.4000000000000004</v>
      </c>
      <c r="I17" s="191"/>
      <c r="J17" s="191" t="s">
        <v>244</v>
      </c>
      <c r="K17" s="190">
        <v>1.2500000000000001E-2</v>
      </c>
      <c r="L17" s="190">
        <v>1.2500000000000001E-2</v>
      </c>
      <c r="M17" s="193"/>
      <c r="N17" s="191"/>
      <c r="O17" s="194">
        <v>148.07402999999999</v>
      </c>
      <c r="P17" s="190">
        <v>5.9295775856148196E-2</v>
      </c>
      <c r="Q17" s="190">
        <v>2.519614276125683E-3</v>
      </c>
    </row>
    <row r="18" spans="1:18" s="137" customFormat="1" x14ac:dyDescent="0.2">
      <c r="A18" s="114" t="s">
        <v>804</v>
      </c>
      <c r="B18" s="144" t="s">
        <v>238</v>
      </c>
      <c r="C18" s="144" t="s">
        <v>238</v>
      </c>
      <c r="D18" s="144" t="s">
        <v>238</v>
      </c>
      <c r="E18" s="145" t="s">
        <v>238</v>
      </c>
      <c r="F18" s="145" t="s">
        <v>238</v>
      </c>
      <c r="G18" s="145" t="s">
        <v>238</v>
      </c>
      <c r="H18" s="155" t="s">
        <v>238</v>
      </c>
      <c r="I18" s="145" t="s">
        <v>238</v>
      </c>
      <c r="J18" s="145" t="s">
        <v>238</v>
      </c>
      <c r="K18" s="144" t="s">
        <v>238</v>
      </c>
      <c r="L18" s="144" t="s">
        <v>238</v>
      </c>
      <c r="M18" s="179" t="s">
        <v>238</v>
      </c>
      <c r="N18" s="145" t="s">
        <v>238</v>
      </c>
      <c r="O18" s="146">
        <v>0</v>
      </c>
      <c r="P18" s="144">
        <v>0</v>
      </c>
      <c r="Q18" s="144">
        <v>0</v>
      </c>
    </row>
    <row r="19" spans="1:18" s="137" customFormat="1" x14ac:dyDescent="0.2">
      <c r="A19" s="114" t="s">
        <v>805</v>
      </c>
      <c r="B19" s="144" t="s">
        <v>238</v>
      </c>
      <c r="C19" s="144" t="s">
        <v>238</v>
      </c>
      <c r="D19" s="144" t="s">
        <v>238</v>
      </c>
      <c r="E19" s="145" t="s">
        <v>238</v>
      </c>
      <c r="F19" s="145" t="s">
        <v>238</v>
      </c>
      <c r="G19" s="145" t="s">
        <v>238</v>
      </c>
      <c r="H19" s="155" t="s">
        <v>238</v>
      </c>
      <c r="I19" s="145" t="s">
        <v>238</v>
      </c>
      <c r="J19" s="145" t="s">
        <v>238</v>
      </c>
      <c r="K19" s="144" t="s">
        <v>238</v>
      </c>
      <c r="L19" s="144" t="s">
        <v>238</v>
      </c>
      <c r="M19" s="179" t="s">
        <v>238</v>
      </c>
      <c r="N19" s="145" t="s">
        <v>238</v>
      </c>
      <c r="O19" s="146">
        <v>0</v>
      </c>
      <c r="P19" s="144">
        <v>0</v>
      </c>
      <c r="Q19" s="144">
        <v>0</v>
      </c>
    </row>
    <row r="20" spans="1:18" s="137" customFormat="1" x14ac:dyDescent="0.2">
      <c r="A20" s="114" t="s">
        <v>806</v>
      </c>
      <c r="B20" s="144" t="s">
        <v>238</v>
      </c>
      <c r="C20" s="144" t="s">
        <v>238</v>
      </c>
      <c r="D20" s="144" t="s">
        <v>238</v>
      </c>
      <c r="E20" s="145" t="s">
        <v>238</v>
      </c>
      <c r="F20" s="145" t="s">
        <v>238</v>
      </c>
      <c r="G20" s="145" t="s">
        <v>238</v>
      </c>
      <c r="H20" s="155" t="s">
        <v>238</v>
      </c>
      <c r="I20" s="145" t="s">
        <v>238</v>
      </c>
      <c r="J20" s="145" t="s">
        <v>238</v>
      </c>
      <c r="K20" s="144" t="s">
        <v>238</v>
      </c>
      <c r="L20" s="144" t="s">
        <v>238</v>
      </c>
      <c r="M20" s="179" t="s">
        <v>238</v>
      </c>
      <c r="N20" s="145" t="s">
        <v>238</v>
      </c>
      <c r="O20" s="146">
        <v>0</v>
      </c>
      <c r="P20" s="144">
        <v>0</v>
      </c>
      <c r="Q20" s="144">
        <v>0</v>
      </c>
    </row>
    <row r="21" spans="1:18" s="137" customFormat="1" x14ac:dyDescent="0.2">
      <c r="A21" s="114" t="s">
        <v>807</v>
      </c>
      <c r="B21" s="144" t="s">
        <v>238</v>
      </c>
      <c r="C21" s="144" t="s">
        <v>238</v>
      </c>
      <c r="D21" s="144" t="s">
        <v>238</v>
      </c>
      <c r="E21" s="145" t="s">
        <v>238</v>
      </c>
      <c r="F21" s="145" t="s">
        <v>238</v>
      </c>
      <c r="G21" s="145" t="s">
        <v>238</v>
      </c>
      <c r="H21" s="155" t="s">
        <v>238</v>
      </c>
      <c r="I21" s="145" t="s">
        <v>238</v>
      </c>
      <c r="J21" s="145" t="s">
        <v>238</v>
      </c>
      <c r="K21" s="144" t="s">
        <v>238</v>
      </c>
      <c r="L21" s="144" t="s">
        <v>238</v>
      </c>
      <c r="M21" s="179" t="s">
        <v>238</v>
      </c>
      <c r="N21" s="145" t="s">
        <v>238</v>
      </c>
      <c r="O21" s="146">
        <v>0</v>
      </c>
      <c r="P21" s="144">
        <v>0</v>
      </c>
      <c r="Q21" s="144">
        <v>0</v>
      </c>
    </row>
    <row r="22" spans="1:18" s="137" customFormat="1" x14ac:dyDescent="0.2">
      <c r="A22" s="114" t="s">
        <v>808</v>
      </c>
      <c r="B22" s="144" t="s">
        <v>238</v>
      </c>
      <c r="C22" s="144" t="s">
        <v>238</v>
      </c>
      <c r="D22" s="144" t="s">
        <v>238</v>
      </c>
      <c r="E22" s="145" t="s">
        <v>238</v>
      </c>
      <c r="F22" s="145" t="s">
        <v>238</v>
      </c>
      <c r="G22" s="145" t="s">
        <v>238</v>
      </c>
      <c r="H22" s="155">
        <v>0</v>
      </c>
      <c r="I22" s="145" t="s">
        <v>238</v>
      </c>
      <c r="J22" s="145" t="s">
        <v>238</v>
      </c>
      <c r="K22" s="144">
        <v>0</v>
      </c>
      <c r="L22" s="144">
        <v>0</v>
      </c>
      <c r="M22" s="179">
        <v>0</v>
      </c>
      <c r="N22" s="145" t="s">
        <v>238</v>
      </c>
      <c r="O22" s="146">
        <v>0</v>
      </c>
      <c r="P22" s="144">
        <v>0</v>
      </c>
      <c r="Q22" s="144">
        <v>0</v>
      </c>
    </row>
    <row r="23" spans="1:18" s="137" customFormat="1" x14ac:dyDescent="0.2">
      <c r="A23" s="114" t="s">
        <v>809</v>
      </c>
      <c r="B23" s="144" t="s">
        <v>238</v>
      </c>
      <c r="C23" s="144" t="s">
        <v>238</v>
      </c>
      <c r="D23" s="144" t="s">
        <v>238</v>
      </c>
      <c r="E23" s="145" t="s">
        <v>238</v>
      </c>
      <c r="F23" s="145" t="s">
        <v>238</v>
      </c>
      <c r="G23" s="145" t="s">
        <v>238</v>
      </c>
      <c r="H23" s="155" t="s">
        <v>238</v>
      </c>
      <c r="I23" s="145" t="s">
        <v>238</v>
      </c>
      <c r="J23" s="145" t="s">
        <v>238</v>
      </c>
      <c r="K23" s="144" t="s">
        <v>238</v>
      </c>
      <c r="L23" s="144" t="s">
        <v>238</v>
      </c>
      <c r="M23" s="179" t="s">
        <v>238</v>
      </c>
      <c r="N23" s="145" t="s">
        <v>238</v>
      </c>
      <c r="O23" s="146">
        <v>0</v>
      </c>
      <c r="P23" s="144">
        <v>0</v>
      </c>
      <c r="Q23" s="144">
        <v>0</v>
      </c>
    </row>
    <row r="24" spans="1:18" s="137" customFormat="1" x14ac:dyDescent="0.2">
      <c r="A24" s="114" t="s">
        <v>810</v>
      </c>
      <c r="B24" s="144" t="s">
        <v>238</v>
      </c>
      <c r="C24" s="144" t="s">
        <v>238</v>
      </c>
      <c r="D24" s="144" t="s">
        <v>238</v>
      </c>
      <c r="E24" s="145" t="s">
        <v>238</v>
      </c>
      <c r="F24" s="145" t="s">
        <v>238</v>
      </c>
      <c r="G24" s="145" t="s">
        <v>238</v>
      </c>
      <c r="H24" s="155" t="s">
        <v>238</v>
      </c>
      <c r="I24" s="145" t="s">
        <v>238</v>
      </c>
      <c r="J24" s="145" t="s">
        <v>238</v>
      </c>
      <c r="K24" s="144" t="s">
        <v>238</v>
      </c>
      <c r="L24" s="144" t="s">
        <v>238</v>
      </c>
      <c r="M24" s="179" t="s">
        <v>238</v>
      </c>
      <c r="N24" s="145" t="s">
        <v>238</v>
      </c>
      <c r="O24" s="146">
        <v>0</v>
      </c>
      <c r="P24" s="144">
        <v>0</v>
      </c>
      <c r="Q24" s="144">
        <v>0</v>
      </c>
    </row>
    <row r="25" spans="1:18" s="137" customFormat="1" x14ac:dyDescent="0.2">
      <c r="A25" s="114" t="s">
        <v>811</v>
      </c>
      <c r="B25" s="144" t="s">
        <v>238</v>
      </c>
      <c r="C25" s="144" t="s">
        <v>238</v>
      </c>
      <c r="D25" s="144" t="s">
        <v>238</v>
      </c>
      <c r="E25" s="145" t="s">
        <v>238</v>
      </c>
      <c r="F25" s="145" t="s">
        <v>238</v>
      </c>
      <c r="G25" s="145" t="s">
        <v>238</v>
      </c>
      <c r="H25" s="155">
        <v>0</v>
      </c>
      <c r="I25" s="145" t="s">
        <v>238</v>
      </c>
      <c r="J25" s="145" t="s">
        <v>238</v>
      </c>
      <c r="K25" s="144">
        <v>0</v>
      </c>
      <c r="L25" s="144">
        <v>0</v>
      </c>
      <c r="M25" s="179">
        <v>0</v>
      </c>
      <c r="N25" s="145" t="s">
        <v>238</v>
      </c>
      <c r="O25" s="146">
        <v>0</v>
      </c>
      <c r="P25" s="144">
        <v>0</v>
      </c>
      <c r="Q25" s="144">
        <v>0</v>
      </c>
    </row>
    <row r="26" spans="1:18" s="137" customFormat="1" x14ac:dyDescent="0.2">
      <c r="A26" s="114" t="s">
        <v>812</v>
      </c>
      <c r="B26" s="144" t="s">
        <v>238</v>
      </c>
      <c r="C26" s="144" t="s">
        <v>238</v>
      </c>
      <c r="D26" s="144" t="s">
        <v>238</v>
      </c>
      <c r="E26" s="145" t="s">
        <v>238</v>
      </c>
      <c r="F26" s="145" t="s">
        <v>238</v>
      </c>
      <c r="G26" s="145" t="s">
        <v>238</v>
      </c>
      <c r="H26" s="155" t="s">
        <v>238</v>
      </c>
      <c r="I26" s="145" t="s">
        <v>238</v>
      </c>
      <c r="J26" s="145" t="s">
        <v>238</v>
      </c>
      <c r="K26" s="144" t="s">
        <v>238</v>
      </c>
      <c r="L26" s="144" t="s">
        <v>238</v>
      </c>
      <c r="M26" s="179" t="s">
        <v>238</v>
      </c>
      <c r="N26" s="145" t="s">
        <v>238</v>
      </c>
      <c r="O26" s="146">
        <v>0</v>
      </c>
      <c r="P26" s="144">
        <v>0</v>
      </c>
      <c r="Q26" s="144">
        <v>0</v>
      </c>
    </row>
    <row r="27" spans="1:18" s="137" customFormat="1" x14ac:dyDescent="0.2">
      <c r="A27" s="114" t="s">
        <v>365</v>
      </c>
      <c r="B27" s="144" t="s">
        <v>238</v>
      </c>
      <c r="C27" s="144" t="s">
        <v>238</v>
      </c>
      <c r="D27" s="144" t="s">
        <v>238</v>
      </c>
      <c r="E27" s="145" t="s">
        <v>238</v>
      </c>
      <c r="F27" s="145" t="s">
        <v>238</v>
      </c>
      <c r="G27" s="145" t="s">
        <v>238</v>
      </c>
      <c r="H27" s="155" t="s">
        <v>238</v>
      </c>
      <c r="I27" s="145" t="s">
        <v>238</v>
      </c>
      <c r="J27" s="145" t="s">
        <v>238</v>
      </c>
      <c r="K27" s="144" t="s">
        <v>238</v>
      </c>
      <c r="L27" s="144" t="s">
        <v>238</v>
      </c>
      <c r="M27" s="179" t="s">
        <v>238</v>
      </c>
      <c r="N27" s="145" t="s">
        <v>238</v>
      </c>
      <c r="O27" s="146">
        <v>0</v>
      </c>
      <c r="P27" s="144">
        <v>0</v>
      </c>
      <c r="Q27" s="144">
        <v>0</v>
      </c>
    </row>
    <row r="28" spans="1:18" s="137" customFormat="1" x14ac:dyDescent="0.2">
      <c r="A28" s="114" t="s">
        <v>804</v>
      </c>
      <c r="B28" s="144" t="s">
        <v>238</v>
      </c>
      <c r="C28" s="144" t="s">
        <v>238</v>
      </c>
      <c r="D28" s="144" t="s">
        <v>238</v>
      </c>
      <c r="E28" s="145" t="s">
        <v>238</v>
      </c>
      <c r="F28" s="145" t="s">
        <v>238</v>
      </c>
      <c r="G28" s="145" t="s">
        <v>238</v>
      </c>
      <c r="H28" s="155" t="s">
        <v>238</v>
      </c>
      <c r="I28" s="145" t="s">
        <v>238</v>
      </c>
      <c r="J28" s="145" t="s">
        <v>238</v>
      </c>
      <c r="K28" s="144" t="s">
        <v>238</v>
      </c>
      <c r="L28" s="144" t="s">
        <v>238</v>
      </c>
      <c r="M28" s="179" t="s">
        <v>238</v>
      </c>
      <c r="N28" s="145" t="s">
        <v>238</v>
      </c>
      <c r="O28" s="146">
        <v>0</v>
      </c>
      <c r="P28" s="144">
        <v>0</v>
      </c>
      <c r="Q28" s="144">
        <v>0</v>
      </c>
    </row>
    <row r="29" spans="1:18" s="137" customFormat="1" x14ac:dyDescent="0.2">
      <c r="A29" s="114" t="s">
        <v>805</v>
      </c>
      <c r="B29" s="144" t="s">
        <v>238</v>
      </c>
      <c r="C29" s="144" t="s">
        <v>238</v>
      </c>
      <c r="D29" s="144" t="s">
        <v>238</v>
      </c>
      <c r="E29" s="145" t="s">
        <v>238</v>
      </c>
      <c r="F29" s="145" t="s">
        <v>238</v>
      </c>
      <c r="G29" s="145" t="s">
        <v>238</v>
      </c>
      <c r="H29" s="155" t="s">
        <v>238</v>
      </c>
      <c r="I29" s="145" t="s">
        <v>238</v>
      </c>
      <c r="J29" s="145" t="s">
        <v>238</v>
      </c>
      <c r="K29" s="144" t="s">
        <v>238</v>
      </c>
      <c r="L29" s="144" t="s">
        <v>238</v>
      </c>
      <c r="M29" s="179" t="s">
        <v>238</v>
      </c>
      <c r="N29" s="145" t="s">
        <v>238</v>
      </c>
      <c r="O29" s="146">
        <v>0</v>
      </c>
      <c r="P29" s="144">
        <v>0</v>
      </c>
      <c r="Q29" s="144">
        <v>0</v>
      </c>
    </row>
    <row r="30" spans="1:18" s="137" customFormat="1" x14ac:dyDescent="0.2">
      <c r="A30" s="114" t="s">
        <v>806</v>
      </c>
      <c r="B30" s="144" t="s">
        <v>238</v>
      </c>
      <c r="C30" s="144" t="s">
        <v>238</v>
      </c>
      <c r="D30" s="144" t="s">
        <v>238</v>
      </c>
      <c r="E30" s="145" t="s">
        <v>238</v>
      </c>
      <c r="F30" s="145" t="s">
        <v>238</v>
      </c>
      <c r="G30" s="145" t="s">
        <v>238</v>
      </c>
      <c r="H30" s="155" t="s">
        <v>238</v>
      </c>
      <c r="I30" s="145" t="s">
        <v>238</v>
      </c>
      <c r="J30" s="145" t="s">
        <v>238</v>
      </c>
      <c r="K30" s="144" t="s">
        <v>238</v>
      </c>
      <c r="L30" s="144" t="s">
        <v>238</v>
      </c>
      <c r="M30" s="179" t="s">
        <v>238</v>
      </c>
      <c r="N30" s="145" t="s">
        <v>238</v>
      </c>
      <c r="O30" s="146">
        <v>0</v>
      </c>
      <c r="P30" s="144">
        <v>0</v>
      </c>
      <c r="Q30" s="144">
        <v>0</v>
      </c>
    </row>
    <row r="31" spans="1:18" s="137" customFormat="1" x14ac:dyDescent="0.2">
      <c r="A31" s="239" t="s">
        <v>812</v>
      </c>
      <c r="B31" s="226" t="s">
        <v>238</v>
      </c>
      <c r="C31" s="226" t="s">
        <v>238</v>
      </c>
      <c r="D31" s="226" t="s">
        <v>238</v>
      </c>
      <c r="E31" s="228" t="s">
        <v>238</v>
      </c>
      <c r="F31" s="228" t="s">
        <v>238</v>
      </c>
      <c r="G31" s="228" t="s">
        <v>238</v>
      </c>
      <c r="H31" s="244" t="s">
        <v>238</v>
      </c>
      <c r="I31" s="228" t="s">
        <v>238</v>
      </c>
      <c r="J31" s="228" t="s">
        <v>238</v>
      </c>
      <c r="K31" s="226" t="s">
        <v>238</v>
      </c>
      <c r="L31" s="226" t="s">
        <v>238</v>
      </c>
      <c r="M31" s="248" t="s">
        <v>238</v>
      </c>
      <c r="N31" s="228" t="s">
        <v>238</v>
      </c>
      <c r="O31" s="229">
        <v>0</v>
      </c>
      <c r="P31" s="226">
        <v>0</v>
      </c>
      <c r="Q31" s="226">
        <v>0</v>
      </c>
    </row>
    <row r="32" spans="1:18" s="137" customFormat="1" x14ac:dyDescent="0.2">
      <c r="A32" s="99" t="s">
        <v>230</v>
      </c>
      <c r="B32" s="99"/>
      <c r="C32" s="147"/>
      <c r="D32" s="147"/>
      <c r="E32" s="147"/>
      <c r="F32" s="148"/>
      <c r="G32" s="148"/>
      <c r="H32" s="148"/>
      <c r="I32" s="148"/>
      <c r="J32" s="148"/>
      <c r="K32" s="149"/>
      <c r="L32" s="150"/>
      <c r="M32" s="151"/>
      <c r="N32" s="151"/>
      <c r="O32" s="151"/>
      <c r="P32" s="151"/>
      <c r="Q32" s="150"/>
      <c r="R32" s="152"/>
    </row>
    <row r="33" spans="1:18" s="137" customFormat="1" x14ac:dyDescent="0.2">
      <c r="A33" s="99" t="s">
        <v>231</v>
      </c>
      <c r="B33" s="99"/>
      <c r="C33" s="147"/>
      <c r="D33" s="147"/>
      <c r="E33" s="147"/>
      <c r="F33" s="148"/>
      <c r="G33" s="148"/>
      <c r="H33" s="148"/>
      <c r="I33" s="148"/>
      <c r="J33" s="148"/>
      <c r="K33" s="149"/>
      <c r="L33" s="150"/>
      <c r="M33" s="151"/>
      <c r="N33" s="151"/>
      <c r="O33" s="151"/>
      <c r="P33" s="151"/>
      <c r="Q33" s="150"/>
      <c r="R33" s="152"/>
    </row>
    <row r="34" spans="1:18" s="137" customFormat="1" x14ac:dyDescent="0.2">
      <c r="A34" s="99" t="s">
        <v>232</v>
      </c>
      <c r="B34" s="99"/>
      <c r="C34" s="147"/>
      <c r="D34" s="147"/>
      <c r="E34" s="147"/>
      <c r="F34" s="148"/>
      <c r="G34" s="148"/>
      <c r="H34" s="148"/>
      <c r="I34" s="148"/>
      <c r="J34" s="148"/>
      <c r="K34" s="149"/>
      <c r="L34" s="150"/>
      <c r="M34" s="151"/>
      <c r="N34" s="151"/>
      <c r="O34" s="151"/>
      <c r="P34" s="151"/>
      <c r="Q34" s="150"/>
      <c r="R34" s="152"/>
    </row>
    <row r="35" spans="1:18" s="137" customFormat="1" x14ac:dyDescent="0.2">
      <c r="A35" s="99" t="s">
        <v>233</v>
      </c>
      <c r="B35" s="99"/>
      <c r="C35" s="147"/>
      <c r="D35" s="147"/>
      <c r="E35" s="147"/>
      <c r="F35" s="148"/>
      <c r="G35" s="148"/>
      <c r="H35" s="148"/>
      <c r="I35" s="148"/>
      <c r="J35" s="148"/>
      <c r="K35" s="149"/>
      <c r="L35" s="150"/>
      <c r="M35" s="151"/>
      <c r="N35" s="151"/>
      <c r="O35" s="151"/>
      <c r="P35" s="151"/>
      <c r="Q35" s="150"/>
      <c r="R35" s="152"/>
    </row>
    <row r="36" spans="1:18" s="137" customFormat="1" x14ac:dyDescent="0.2">
      <c r="A36" s="99" t="s">
        <v>234</v>
      </c>
      <c r="B36" s="99"/>
      <c r="C36" s="147"/>
      <c r="D36" s="147"/>
      <c r="E36" s="147"/>
      <c r="F36" s="148"/>
      <c r="G36" s="148"/>
      <c r="H36" s="148"/>
      <c r="I36" s="148"/>
      <c r="J36" s="148"/>
      <c r="K36" s="149"/>
      <c r="L36" s="150"/>
      <c r="M36" s="151"/>
      <c r="N36" s="151"/>
      <c r="O36" s="151"/>
      <c r="P36" s="151"/>
      <c r="Q36" s="150"/>
      <c r="R36" s="152"/>
    </row>
  </sheetData>
  <mergeCells count="1">
    <mergeCell ref="A5:Q5"/>
  </mergeCells>
  <conditionalFormatting sqref="B10:G10 J10 P10:Q10 B18:G31 I18:J31 P18:Q31">
    <cfRule type="expression" dxfId="46" priority="364" stopIfTrue="1">
      <formula>OR(LEFT(#REF!,3)="TIR",LEFT(#REF!,2)="IR")</formula>
    </cfRule>
  </conditionalFormatting>
  <conditionalFormatting sqref="A10 O10:P10 A18:A31 O18:P31">
    <cfRule type="expression" dxfId="45" priority="368" stopIfTrue="1">
      <formula>#REF!&gt;0</formula>
    </cfRule>
  </conditionalFormatting>
  <conditionalFormatting sqref="B11:G17 I11:J17">
    <cfRule type="expression" dxfId="44" priority="3" stopIfTrue="1">
      <formula>OR(LEFT(#REF!,3)="TIR",LEFT(#REF!,2)="IR")</formula>
    </cfRule>
  </conditionalFormatting>
  <conditionalFormatting sqref="A11:A17 O11:O17">
    <cfRule type="expression" dxfId="43" priority="4" stopIfTrue="1">
      <formula>#REF!&gt;0</formula>
    </cfRule>
  </conditionalFormatting>
  <conditionalFormatting sqref="P11:P17">
    <cfRule type="expression" dxfId="42" priority="2" stopIfTrue="1">
      <formula>OR(LEFT(#REF!,3)="TIR",LEFT(#REF!,2)="IR")</formula>
    </cfRule>
  </conditionalFormatting>
  <conditionalFormatting sqref="Q11:Q17">
    <cfRule type="expression" dxfId="41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21 I24 I26 I29:I31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C8E3-7120-46C9-936B-E07AAD9AF527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3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60"/>
      <c r="E1" s="81"/>
      <c r="F1" s="81"/>
      <c r="G1" s="81"/>
      <c r="H1" s="53"/>
      <c r="I1" s="83"/>
      <c r="J1" s="84"/>
      <c r="K1" s="84"/>
      <c r="L1" s="84"/>
      <c r="M1" s="84"/>
      <c r="N1" s="83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60"/>
      <c r="E2" s="81"/>
      <c r="F2" s="81"/>
      <c r="G2" s="81"/>
      <c r="H2" s="53"/>
      <c r="I2" s="83"/>
      <c r="J2" s="84"/>
      <c r="K2" s="84"/>
      <c r="L2" s="84"/>
      <c r="M2" s="84"/>
      <c r="N2" s="83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60"/>
      <c r="E3" s="81"/>
      <c r="F3" s="81"/>
      <c r="G3" s="81"/>
      <c r="H3" s="53"/>
      <c r="I3" s="83"/>
      <c r="J3" s="84"/>
      <c r="K3" s="84"/>
      <c r="L3" s="84"/>
      <c r="M3" s="84"/>
      <c r="N3" s="83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60"/>
      <c r="E4" s="81"/>
      <c r="F4" s="81"/>
      <c r="G4" s="81"/>
      <c r="H4" s="53"/>
      <c r="I4" s="83"/>
      <c r="J4" s="84"/>
      <c r="K4" s="84"/>
      <c r="L4" s="84"/>
      <c r="M4" s="84"/>
      <c r="N4" s="83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159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7" t="s">
        <v>9</v>
      </c>
      <c r="N7" s="19" t="s">
        <v>9</v>
      </c>
    </row>
    <row r="8" spans="1:17" s="32" customFormat="1" ht="12.75" customHeight="1" x14ac:dyDescent="0.2">
      <c r="A8" s="37"/>
      <c r="B8" s="67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8">
        <v>12</v>
      </c>
      <c r="N8" s="52">
        <v>13</v>
      </c>
    </row>
    <row r="9" spans="1:17" s="137" customFormat="1" ht="12.75" customHeight="1" thickBot="1" x14ac:dyDescent="0.25">
      <c r="A9" s="122" t="s">
        <v>123</v>
      </c>
      <c r="B9" s="88" t="s">
        <v>238</v>
      </c>
      <c r="C9" s="123" t="s">
        <v>238</v>
      </c>
      <c r="D9" s="123"/>
      <c r="E9" s="123" t="s">
        <v>238</v>
      </c>
      <c r="F9" s="123" t="s">
        <v>238</v>
      </c>
      <c r="G9" s="123" t="s">
        <v>238</v>
      </c>
      <c r="H9" s="88" t="s">
        <v>238</v>
      </c>
      <c r="I9" s="88" t="s">
        <v>238</v>
      </c>
      <c r="J9" s="124" t="s">
        <v>238</v>
      </c>
      <c r="K9" s="123" t="s">
        <v>238</v>
      </c>
      <c r="L9" s="125">
        <v>6.0000000000000008E-7</v>
      </c>
      <c r="M9" s="88">
        <v>0</v>
      </c>
      <c r="N9" s="103">
        <v>0</v>
      </c>
    </row>
    <row r="10" spans="1:17" s="137" customFormat="1" x14ac:dyDescent="0.2">
      <c r="A10" s="113" t="s">
        <v>139</v>
      </c>
      <c r="B10" s="140" t="s">
        <v>238</v>
      </c>
      <c r="C10" s="141" t="s">
        <v>238</v>
      </c>
      <c r="D10" s="141" t="s">
        <v>238</v>
      </c>
      <c r="E10" s="141" t="s">
        <v>238</v>
      </c>
      <c r="F10" s="141" t="s">
        <v>238</v>
      </c>
      <c r="G10" s="141" t="s">
        <v>238</v>
      </c>
      <c r="H10" s="140" t="s">
        <v>238</v>
      </c>
      <c r="I10" s="140" t="s">
        <v>238</v>
      </c>
      <c r="J10" s="153" t="s">
        <v>238</v>
      </c>
      <c r="K10" s="141" t="s">
        <v>238</v>
      </c>
      <c r="L10" s="142">
        <v>0</v>
      </c>
      <c r="M10" s="140">
        <v>0</v>
      </c>
      <c r="N10" s="140">
        <v>0</v>
      </c>
    </row>
    <row r="11" spans="1:17" s="137" customFormat="1" x14ac:dyDescent="0.2">
      <c r="A11" s="114" t="s">
        <v>813</v>
      </c>
      <c r="B11" s="144" t="s">
        <v>238</v>
      </c>
      <c r="C11" s="145" t="s">
        <v>238</v>
      </c>
      <c r="D11" s="145" t="s">
        <v>238</v>
      </c>
      <c r="E11" s="145" t="s">
        <v>238</v>
      </c>
      <c r="F11" s="145" t="s">
        <v>238</v>
      </c>
      <c r="G11" s="145" t="s">
        <v>238</v>
      </c>
      <c r="H11" s="144" t="s">
        <v>238</v>
      </c>
      <c r="I11" s="144" t="s">
        <v>238</v>
      </c>
      <c r="J11" s="155" t="s">
        <v>238</v>
      </c>
      <c r="K11" s="145" t="s">
        <v>238</v>
      </c>
      <c r="L11" s="146">
        <v>0</v>
      </c>
      <c r="M11" s="144">
        <v>0</v>
      </c>
      <c r="N11" s="144">
        <v>0</v>
      </c>
    </row>
    <row r="12" spans="1:17" s="137" customFormat="1" x14ac:dyDescent="0.2">
      <c r="A12" s="114" t="s">
        <v>623</v>
      </c>
      <c r="B12" s="144" t="s">
        <v>238</v>
      </c>
      <c r="C12" s="145" t="s">
        <v>238</v>
      </c>
      <c r="D12" s="145" t="s">
        <v>238</v>
      </c>
      <c r="E12" s="145" t="s">
        <v>238</v>
      </c>
      <c r="F12" s="145" t="s">
        <v>238</v>
      </c>
      <c r="G12" s="145" t="s">
        <v>238</v>
      </c>
      <c r="H12" s="144" t="s">
        <v>238</v>
      </c>
      <c r="I12" s="144" t="s">
        <v>238</v>
      </c>
      <c r="J12" s="155" t="s">
        <v>238</v>
      </c>
      <c r="K12" s="145" t="s">
        <v>238</v>
      </c>
      <c r="L12" s="146">
        <v>0</v>
      </c>
      <c r="M12" s="144">
        <v>0</v>
      </c>
      <c r="N12" s="144">
        <v>0</v>
      </c>
    </row>
    <row r="13" spans="1:17" s="137" customFormat="1" x14ac:dyDescent="0.2">
      <c r="A13" s="114" t="s">
        <v>814</v>
      </c>
      <c r="B13" s="144" t="s">
        <v>238</v>
      </c>
      <c r="C13" s="145" t="s">
        <v>238</v>
      </c>
      <c r="D13" s="145" t="s">
        <v>238</v>
      </c>
      <c r="E13" s="145" t="s">
        <v>238</v>
      </c>
      <c r="F13" s="145" t="s">
        <v>238</v>
      </c>
      <c r="G13" s="145" t="s">
        <v>238</v>
      </c>
      <c r="H13" s="144" t="s">
        <v>238</v>
      </c>
      <c r="I13" s="144" t="s">
        <v>238</v>
      </c>
      <c r="J13" s="155" t="s">
        <v>238</v>
      </c>
      <c r="K13" s="145" t="s">
        <v>238</v>
      </c>
      <c r="L13" s="146">
        <v>0</v>
      </c>
      <c r="M13" s="144">
        <v>0</v>
      </c>
      <c r="N13" s="144">
        <v>0</v>
      </c>
    </row>
    <row r="14" spans="1:17" s="137" customFormat="1" x14ac:dyDescent="0.2">
      <c r="A14" s="114" t="s">
        <v>815</v>
      </c>
      <c r="B14" s="144" t="s">
        <v>238</v>
      </c>
      <c r="C14" s="145" t="s">
        <v>238</v>
      </c>
      <c r="D14" s="145" t="s">
        <v>238</v>
      </c>
      <c r="E14" s="145" t="s">
        <v>238</v>
      </c>
      <c r="F14" s="145" t="s">
        <v>238</v>
      </c>
      <c r="G14" s="145" t="s">
        <v>238</v>
      </c>
      <c r="H14" s="144" t="s">
        <v>238</v>
      </c>
      <c r="I14" s="144" t="s">
        <v>238</v>
      </c>
      <c r="J14" s="155" t="s">
        <v>238</v>
      </c>
      <c r="K14" s="145" t="s">
        <v>238</v>
      </c>
      <c r="L14" s="146">
        <v>0</v>
      </c>
      <c r="M14" s="144">
        <v>0</v>
      </c>
      <c r="N14" s="144">
        <v>0</v>
      </c>
    </row>
    <row r="15" spans="1:17" s="137" customFormat="1" x14ac:dyDescent="0.2">
      <c r="A15" s="114" t="s">
        <v>143</v>
      </c>
      <c r="B15" s="144" t="s">
        <v>238</v>
      </c>
      <c r="C15" s="145" t="s">
        <v>238</v>
      </c>
      <c r="D15" s="145" t="s">
        <v>238</v>
      </c>
      <c r="E15" s="145" t="s">
        <v>238</v>
      </c>
      <c r="F15" s="145" t="s">
        <v>238</v>
      </c>
      <c r="G15" s="145" t="s">
        <v>238</v>
      </c>
      <c r="H15" s="144" t="s">
        <v>238</v>
      </c>
      <c r="I15" s="144" t="s">
        <v>238</v>
      </c>
      <c r="J15" s="155" t="s">
        <v>238</v>
      </c>
      <c r="K15" s="145" t="s">
        <v>238</v>
      </c>
      <c r="L15" s="146">
        <v>0</v>
      </c>
      <c r="M15" s="144">
        <v>0</v>
      </c>
      <c r="N15" s="144">
        <v>0</v>
      </c>
    </row>
    <row r="16" spans="1:17" s="137" customFormat="1" x14ac:dyDescent="0.2">
      <c r="A16" s="239" t="s">
        <v>379</v>
      </c>
      <c r="B16" s="226" t="s">
        <v>238</v>
      </c>
      <c r="C16" s="228" t="s">
        <v>238</v>
      </c>
      <c r="D16" s="228" t="s">
        <v>238</v>
      </c>
      <c r="E16" s="228" t="s">
        <v>238</v>
      </c>
      <c r="F16" s="228" t="s">
        <v>238</v>
      </c>
      <c r="G16" s="228" t="s">
        <v>238</v>
      </c>
      <c r="H16" s="226" t="s">
        <v>238</v>
      </c>
      <c r="I16" s="226" t="s">
        <v>238</v>
      </c>
      <c r="J16" s="244" t="s">
        <v>238</v>
      </c>
      <c r="K16" s="228" t="s">
        <v>238</v>
      </c>
      <c r="L16" s="229">
        <v>0</v>
      </c>
      <c r="M16" s="226">
        <v>0</v>
      </c>
      <c r="N16" s="226">
        <v>0</v>
      </c>
    </row>
    <row r="17" spans="1:15" s="137" customFormat="1" x14ac:dyDescent="0.2">
      <c r="A17" s="99" t="s">
        <v>230</v>
      </c>
      <c r="B17" s="99"/>
      <c r="C17" s="147"/>
      <c r="D17" s="147"/>
      <c r="E17" s="148"/>
      <c r="F17" s="148"/>
      <c r="G17" s="148"/>
      <c r="H17" s="149"/>
      <c r="I17" s="150"/>
      <c r="J17" s="151"/>
      <c r="K17" s="151"/>
      <c r="L17" s="151"/>
      <c r="M17" s="151"/>
      <c r="N17" s="150"/>
      <c r="O17" s="152"/>
    </row>
    <row r="18" spans="1:15" s="137" customFormat="1" x14ac:dyDescent="0.2">
      <c r="A18" s="99" t="s">
        <v>231</v>
      </c>
      <c r="B18" s="99"/>
      <c r="C18" s="147"/>
      <c r="D18" s="147"/>
      <c r="E18" s="148"/>
      <c r="F18" s="148"/>
      <c r="G18" s="148"/>
      <c r="H18" s="149"/>
      <c r="I18" s="150"/>
      <c r="J18" s="151"/>
      <c r="K18" s="151"/>
      <c r="L18" s="151"/>
      <c r="M18" s="151"/>
      <c r="N18" s="150"/>
      <c r="O18" s="152"/>
    </row>
    <row r="19" spans="1:15" s="137" customFormat="1" x14ac:dyDescent="0.2">
      <c r="A19" s="99" t="s">
        <v>232</v>
      </c>
      <c r="B19" s="99"/>
      <c r="C19" s="147"/>
      <c r="D19" s="147"/>
      <c r="E19" s="148"/>
      <c r="F19" s="148"/>
      <c r="G19" s="148"/>
      <c r="H19" s="149"/>
      <c r="I19" s="150"/>
      <c r="J19" s="151"/>
      <c r="K19" s="151"/>
      <c r="L19" s="151"/>
      <c r="M19" s="151"/>
      <c r="N19" s="150"/>
      <c r="O19" s="152"/>
    </row>
    <row r="20" spans="1:15" s="137" customFormat="1" x14ac:dyDescent="0.2">
      <c r="A20" s="99" t="s">
        <v>233</v>
      </c>
      <c r="B20" s="99"/>
      <c r="C20" s="147"/>
      <c r="D20" s="147"/>
      <c r="E20" s="148"/>
      <c r="F20" s="148"/>
      <c r="G20" s="148"/>
      <c r="H20" s="149"/>
      <c r="I20" s="150"/>
      <c r="J20" s="151"/>
      <c r="K20" s="151"/>
      <c r="L20" s="151"/>
      <c r="M20" s="151"/>
      <c r="N20" s="150"/>
      <c r="O20" s="152"/>
    </row>
    <row r="21" spans="1:15" s="137" customFormat="1" x14ac:dyDescent="0.2">
      <c r="A21" s="99" t="s">
        <v>234</v>
      </c>
      <c r="B21" s="99"/>
      <c r="C21" s="147"/>
      <c r="D21" s="147"/>
      <c r="E21" s="148"/>
      <c r="F21" s="148"/>
      <c r="G21" s="148"/>
      <c r="H21" s="149"/>
      <c r="I21" s="150"/>
      <c r="J21" s="151"/>
      <c r="K21" s="151"/>
      <c r="L21" s="151"/>
      <c r="M21" s="151"/>
      <c r="N21" s="150"/>
      <c r="O21" s="152"/>
    </row>
  </sheetData>
  <mergeCells count="1">
    <mergeCell ref="A5:N5"/>
  </mergeCells>
  <conditionalFormatting sqref="B10:E16 G10:G16 M10:N16">
    <cfRule type="expression" dxfId="40" priority="369" stopIfTrue="1">
      <formula>OR(LEFT(#REF!,3)="TIR",LEFT(#REF!,2)="IR")</formula>
    </cfRule>
  </conditionalFormatting>
  <conditionalFormatting sqref="A9:A16 L9:M16">
    <cfRule type="expression" dxfId="39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00B2-DEDA-46B3-A897-39FD529EE82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13.28515625" style="81" customWidth="1"/>
    <col min="10" max="10" width="9.5703125" style="25" customWidth="1"/>
    <col min="11" max="11" width="12.140625" style="26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81"/>
      <c r="F1" s="81"/>
      <c r="G1" s="81"/>
      <c r="H1" s="81"/>
      <c r="I1" s="81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81"/>
      <c r="F2" s="81"/>
      <c r="G2" s="81"/>
      <c r="H2" s="81"/>
      <c r="I2" s="81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81"/>
      <c r="F3" s="81"/>
      <c r="G3" s="81"/>
      <c r="H3" s="81"/>
      <c r="I3" s="81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81"/>
      <c r="F4" s="81"/>
      <c r="G4" s="81"/>
      <c r="H4" s="81"/>
      <c r="I4" s="81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9" t="s">
        <v>38</v>
      </c>
      <c r="B5" s="250"/>
      <c r="C5" s="250"/>
      <c r="D5" s="250"/>
      <c r="E5" s="250"/>
      <c r="F5" s="250"/>
      <c r="G5" s="250"/>
      <c r="H5" s="250"/>
      <c r="I5" s="251"/>
      <c r="J5" s="25"/>
      <c r="K5" s="25"/>
      <c r="L5" s="25"/>
    </row>
    <row r="6" spans="1:17" s="20" customFormat="1" ht="33" customHeight="1" x14ac:dyDescent="0.2">
      <c r="A6" s="108" t="s">
        <v>159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138</v>
      </c>
    </row>
    <row r="7" spans="1:17" s="20" customFormat="1" x14ac:dyDescent="0.2">
      <c r="A7" s="43"/>
      <c r="B7" s="16" t="s">
        <v>40</v>
      </c>
      <c r="C7" s="16"/>
      <c r="D7" s="46" t="s">
        <v>9</v>
      </c>
      <c r="E7" s="46"/>
      <c r="F7" s="15" t="s">
        <v>137</v>
      </c>
      <c r="G7" s="47" t="s">
        <v>9</v>
      </c>
      <c r="H7" s="47" t="s">
        <v>9</v>
      </c>
      <c r="I7" s="19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4">
        <v>8</v>
      </c>
    </row>
    <row r="9" spans="1:17" s="137" customFormat="1" ht="12.75" customHeight="1" thickBot="1" x14ac:dyDescent="0.25">
      <c r="A9" s="169" t="s">
        <v>73</v>
      </c>
      <c r="B9" s="91"/>
      <c r="C9" s="91" t="s">
        <v>238</v>
      </c>
      <c r="D9" s="180"/>
      <c r="E9" s="170"/>
      <c r="F9" s="173">
        <v>4.0000000000000003E-7</v>
      </c>
      <c r="G9" s="91">
        <v>1</v>
      </c>
      <c r="H9" s="91">
        <v>0</v>
      </c>
      <c r="I9" s="104"/>
    </row>
    <row r="10" spans="1:17" s="137" customFormat="1" x14ac:dyDescent="0.2">
      <c r="A10" s="113" t="s">
        <v>816</v>
      </c>
      <c r="B10" s="140"/>
      <c r="C10" s="140" t="s">
        <v>238</v>
      </c>
      <c r="D10" s="160"/>
      <c r="E10" s="141" t="s">
        <v>238</v>
      </c>
      <c r="F10" s="142">
        <v>0</v>
      </c>
      <c r="G10" s="140">
        <v>0</v>
      </c>
      <c r="H10" s="140">
        <v>0</v>
      </c>
      <c r="I10" s="140" t="s">
        <v>238</v>
      </c>
    </row>
    <row r="11" spans="1:17" s="137" customFormat="1" x14ac:dyDescent="0.2">
      <c r="A11" s="114" t="s">
        <v>817</v>
      </c>
      <c r="B11" s="140"/>
      <c r="C11" s="140" t="s">
        <v>238</v>
      </c>
      <c r="D11" s="160"/>
      <c r="E11" s="141" t="s">
        <v>238</v>
      </c>
      <c r="F11" s="142">
        <v>0</v>
      </c>
      <c r="G11" s="140">
        <v>0</v>
      </c>
      <c r="H11" s="140">
        <v>0</v>
      </c>
      <c r="I11" s="140" t="s">
        <v>238</v>
      </c>
    </row>
    <row r="12" spans="1:17" s="137" customFormat="1" x14ac:dyDescent="0.2">
      <c r="A12" s="114" t="s">
        <v>818</v>
      </c>
      <c r="B12" s="140"/>
      <c r="C12" s="140" t="s">
        <v>238</v>
      </c>
      <c r="D12" s="160"/>
      <c r="E12" s="141" t="s">
        <v>238</v>
      </c>
      <c r="F12" s="142">
        <v>0</v>
      </c>
      <c r="G12" s="140">
        <v>0</v>
      </c>
      <c r="H12" s="140">
        <v>0</v>
      </c>
      <c r="I12" s="140" t="s">
        <v>238</v>
      </c>
    </row>
    <row r="13" spans="1:17" s="137" customFormat="1" x14ac:dyDescent="0.2">
      <c r="A13" s="114" t="s">
        <v>819</v>
      </c>
      <c r="B13" s="140"/>
      <c r="C13" s="140" t="s">
        <v>238</v>
      </c>
      <c r="D13" s="160"/>
      <c r="E13" s="141" t="s">
        <v>238</v>
      </c>
      <c r="F13" s="142">
        <v>0</v>
      </c>
      <c r="G13" s="140">
        <v>0</v>
      </c>
      <c r="H13" s="140">
        <v>0</v>
      </c>
      <c r="I13" s="140" t="s">
        <v>238</v>
      </c>
    </row>
    <row r="14" spans="1:17" s="137" customFormat="1" x14ac:dyDescent="0.2">
      <c r="A14" s="114" t="s">
        <v>817</v>
      </c>
      <c r="B14" s="140"/>
      <c r="C14" s="140" t="s">
        <v>238</v>
      </c>
      <c r="D14" s="160"/>
      <c r="E14" s="141" t="s">
        <v>238</v>
      </c>
      <c r="F14" s="142">
        <v>0</v>
      </c>
      <c r="G14" s="140">
        <v>0</v>
      </c>
      <c r="H14" s="140">
        <v>0</v>
      </c>
      <c r="I14" s="140" t="s">
        <v>238</v>
      </c>
    </row>
    <row r="15" spans="1:17" s="137" customFormat="1" x14ac:dyDescent="0.2">
      <c r="A15" s="239" t="s">
        <v>818</v>
      </c>
      <c r="B15" s="230"/>
      <c r="C15" s="230" t="s">
        <v>238</v>
      </c>
      <c r="D15" s="240"/>
      <c r="E15" s="227" t="s">
        <v>238</v>
      </c>
      <c r="F15" s="247">
        <v>0</v>
      </c>
      <c r="G15" s="230">
        <v>0</v>
      </c>
      <c r="H15" s="230">
        <v>0</v>
      </c>
      <c r="I15" s="230" t="s">
        <v>238</v>
      </c>
    </row>
    <row r="16" spans="1:17" s="137" customFormat="1" x14ac:dyDescent="0.2">
      <c r="A16" s="99" t="s">
        <v>230</v>
      </c>
      <c r="B16" s="147"/>
      <c r="C16" s="99"/>
      <c r="D16" s="166"/>
      <c r="E16" s="148"/>
      <c r="F16" s="148"/>
      <c r="G16" s="148"/>
      <c r="H16" s="148"/>
      <c r="I16" s="148"/>
      <c r="J16" s="167"/>
      <c r="K16" s="152"/>
      <c r="L16" s="168"/>
      <c r="M16" s="168"/>
      <c r="N16" s="168"/>
      <c r="O16" s="152"/>
      <c r="P16" s="152"/>
    </row>
    <row r="17" spans="1:16" s="137" customFormat="1" x14ac:dyDescent="0.2">
      <c r="A17" s="99" t="s">
        <v>231</v>
      </c>
      <c r="B17" s="147"/>
      <c r="C17" s="99"/>
      <c r="D17" s="166"/>
      <c r="E17" s="148"/>
      <c r="F17" s="148"/>
      <c r="G17" s="148"/>
      <c r="H17" s="148"/>
      <c r="I17" s="148"/>
      <c r="J17" s="167"/>
      <c r="K17" s="152"/>
      <c r="L17" s="168"/>
      <c r="M17" s="168"/>
      <c r="N17" s="168"/>
      <c r="O17" s="152"/>
      <c r="P17" s="152"/>
    </row>
    <row r="18" spans="1:16" s="137" customFormat="1" x14ac:dyDescent="0.2">
      <c r="A18" s="99" t="s">
        <v>232</v>
      </c>
      <c r="B18" s="147"/>
      <c r="C18" s="99"/>
      <c r="D18" s="166"/>
      <c r="E18" s="148"/>
      <c r="F18" s="148"/>
      <c r="G18" s="148"/>
      <c r="H18" s="148"/>
      <c r="I18" s="148"/>
      <c r="J18" s="167"/>
      <c r="K18" s="152"/>
      <c r="L18" s="168"/>
      <c r="M18" s="168"/>
      <c r="N18" s="168"/>
      <c r="O18" s="152"/>
      <c r="P18" s="152"/>
    </row>
    <row r="19" spans="1:16" s="137" customFormat="1" x14ac:dyDescent="0.2">
      <c r="A19" s="99" t="s">
        <v>233</v>
      </c>
      <c r="B19" s="147"/>
      <c r="C19" s="99"/>
      <c r="D19" s="166"/>
      <c r="E19" s="148"/>
      <c r="F19" s="148"/>
      <c r="G19" s="148"/>
      <c r="H19" s="148"/>
      <c r="I19" s="148"/>
      <c r="J19" s="167"/>
      <c r="K19" s="152"/>
      <c r="L19" s="168"/>
      <c r="M19" s="168"/>
      <c r="N19" s="168"/>
      <c r="O19" s="152"/>
      <c r="P19" s="152"/>
    </row>
    <row r="20" spans="1:16" s="137" customFormat="1" x14ac:dyDescent="0.2">
      <c r="A20" s="99" t="s">
        <v>234</v>
      </c>
      <c r="B20" s="147"/>
      <c r="C20" s="99"/>
      <c r="D20" s="166"/>
      <c r="E20" s="148"/>
      <c r="F20" s="148"/>
      <c r="G20" s="148"/>
      <c r="H20" s="148"/>
      <c r="I20" s="148"/>
      <c r="J20" s="167"/>
      <c r="K20" s="152"/>
      <c r="L20" s="168"/>
      <c r="M20" s="168"/>
      <c r="N20" s="168"/>
      <c r="O20" s="152"/>
      <c r="P20" s="152"/>
    </row>
  </sheetData>
  <mergeCells count="1">
    <mergeCell ref="A5:I5"/>
  </mergeCells>
  <conditionalFormatting sqref="K1:K4 K16:K55550">
    <cfRule type="expression" dxfId="38" priority="379" stopIfTrue="1">
      <formula>LEFT(#REF!,3)="TIR"</formula>
    </cfRule>
  </conditionalFormatting>
  <conditionalFormatting sqref="B9:E15 G9:I15">
    <cfRule type="expression" dxfId="37" priority="381" stopIfTrue="1">
      <formula>LEFT(#REF!,3)="TIR"</formula>
    </cfRule>
  </conditionalFormatting>
  <conditionalFormatting sqref="A9:A15 F9:I15">
    <cfRule type="expression" dxfId="36" priority="383" stopIfTrue="1">
      <formula>#REF!&gt;0</formula>
    </cfRule>
    <cfRule type="expression" dxfId="35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A69D-6ABC-4561-9781-729EE9711A42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5" customWidth="1"/>
    <col min="12" max="12" width="12.140625" style="26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81"/>
      <c r="F1" s="81"/>
      <c r="G1" s="81"/>
      <c r="H1" s="81"/>
      <c r="I1" s="81"/>
      <c r="J1" s="81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81"/>
      <c r="F2" s="81"/>
      <c r="G2" s="81"/>
      <c r="H2" s="81"/>
      <c r="I2" s="81"/>
      <c r="J2" s="81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81"/>
      <c r="F3" s="81"/>
      <c r="G3" s="81"/>
      <c r="H3" s="81"/>
      <c r="I3" s="81"/>
      <c r="J3" s="81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81"/>
      <c r="F4" s="81"/>
      <c r="G4" s="81"/>
      <c r="H4" s="81"/>
      <c r="I4" s="81"/>
      <c r="J4" s="81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159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3"/>
      <c r="B7" s="16"/>
      <c r="C7" s="16"/>
      <c r="D7" s="46"/>
      <c r="E7" s="46" t="s">
        <v>9</v>
      </c>
      <c r="F7" s="15"/>
      <c r="G7" s="47" t="s">
        <v>9</v>
      </c>
      <c r="H7" s="47" t="s">
        <v>137</v>
      </c>
      <c r="I7" s="47" t="s">
        <v>9</v>
      </c>
      <c r="J7" s="19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4">
        <v>9</v>
      </c>
    </row>
    <row r="9" spans="1:18" s="137" customFormat="1" ht="12.75" customHeight="1" thickBot="1" x14ac:dyDescent="0.25">
      <c r="A9" s="122" t="s">
        <v>124</v>
      </c>
      <c r="B9" s="91"/>
      <c r="C9" s="91"/>
      <c r="D9" s="180"/>
      <c r="E9" s="170"/>
      <c r="F9" s="130"/>
      <c r="G9" s="130"/>
      <c r="H9" s="173">
        <v>2.0000000000000002E-7</v>
      </c>
      <c r="I9" s="91">
        <v>1</v>
      </c>
      <c r="J9" s="103">
        <v>3.4031818761543579E-12</v>
      </c>
    </row>
    <row r="10" spans="1:18" s="137" customFormat="1" x14ac:dyDescent="0.2">
      <c r="A10" s="113" t="s">
        <v>820</v>
      </c>
      <c r="B10" s="140" t="s">
        <v>238</v>
      </c>
      <c r="C10" s="140" t="s">
        <v>238</v>
      </c>
      <c r="D10" s="140" t="s">
        <v>238</v>
      </c>
      <c r="E10" s="140" t="s">
        <v>238</v>
      </c>
      <c r="F10" s="154" t="s">
        <v>238</v>
      </c>
      <c r="G10" s="181" t="s">
        <v>238</v>
      </c>
      <c r="H10" s="142">
        <v>0</v>
      </c>
      <c r="I10" s="140">
        <v>0</v>
      </c>
      <c r="J10" s="140">
        <v>0</v>
      </c>
    </row>
    <row r="11" spans="1:18" s="137" customFormat="1" x14ac:dyDescent="0.2">
      <c r="A11" s="252" t="s">
        <v>821</v>
      </c>
      <c r="B11" s="230" t="s">
        <v>238</v>
      </c>
      <c r="C11" s="230" t="s">
        <v>238</v>
      </c>
      <c r="D11" s="230" t="s">
        <v>238</v>
      </c>
      <c r="E11" s="230" t="s">
        <v>238</v>
      </c>
      <c r="F11" s="253" t="s">
        <v>238</v>
      </c>
      <c r="G11" s="254" t="s">
        <v>238</v>
      </c>
      <c r="H11" s="247">
        <v>0</v>
      </c>
      <c r="I11" s="230">
        <v>0</v>
      </c>
      <c r="J11" s="230">
        <v>0</v>
      </c>
    </row>
    <row r="12" spans="1:18" s="137" customFormat="1" x14ac:dyDescent="0.2">
      <c r="A12" s="99" t="s">
        <v>230</v>
      </c>
      <c r="B12" s="147"/>
      <c r="C12" s="99"/>
      <c r="D12" s="166"/>
      <c r="E12" s="148"/>
      <c r="F12" s="148"/>
      <c r="G12" s="148"/>
      <c r="H12" s="148"/>
      <c r="I12" s="148"/>
      <c r="J12" s="148"/>
      <c r="K12" s="167"/>
      <c r="L12" s="152"/>
      <c r="M12" s="168"/>
      <c r="N12" s="168"/>
      <c r="O12" s="168"/>
      <c r="P12" s="152"/>
      <c r="Q12" s="152"/>
    </row>
    <row r="13" spans="1:18" s="137" customFormat="1" x14ac:dyDescent="0.2">
      <c r="A13" s="99" t="s">
        <v>231</v>
      </c>
      <c r="B13" s="147"/>
      <c r="C13" s="99"/>
      <c r="D13" s="166"/>
      <c r="E13" s="148"/>
      <c r="F13" s="148"/>
      <c r="G13" s="148"/>
      <c r="H13" s="148"/>
      <c r="I13" s="148"/>
      <c r="J13" s="148"/>
      <c r="K13" s="167"/>
      <c r="L13" s="152"/>
      <c r="M13" s="168"/>
      <c r="N13" s="168"/>
      <c r="O13" s="168"/>
      <c r="P13" s="152"/>
      <c r="Q13" s="152"/>
    </row>
    <row r="14" spans="1:18" s="137" customFormat="1" x14ac:dyDescent="0.2">
      <c r="A14" s="99" t="s">
        <v>232</v>
      </c>
      <c r="B14" s="147"/>
      <c r="C14" s="99"/>
      <c r="D14" s="166"/>
      <c r="E14" s="148"/>
      <c r="F14" s="148"/>
      <c r="G14" s="148"/>
      <c r="H14" s="148"/>
      <c r="I14" s="148"/>
      <c r="J14" s="148"/>
      <c r="K14" s="167"/>
      <c r="L14" s="152"/>
      <c r="M14" s="168"/>
      <c r="N14" s="168"/>
      <c r="O14" s="168"/>
      <c r="P14" s="152"/>
      <c r="Q14" s="152"/>
    </row>
    <row r="15" spans="1:18" s="137" customFormat="1" x14ac:dyDescent="0.2">
      <c r="A15" s="99" t="s">
        <v>233</v>
      </c>
      <c r="B15" s="147"/>
      <c r="C15" s="99"/>
      <c r="D15" s="166"/>
      <c r="E15" s="148"/>
      <c r="F15" s="148"/>
      <c r="G15" s="148"/>
      <c r="H15" s="148"/>
      <c r="I15" s="148"/>
      <c r="J15" s="148"/>
      <c r="K15" s="167"/>
      <c r="L15" s="152"/>
      <c r="M15" s="168"/>
      <c r="N15" s="168"/>
      <c r="O15" s="168"/>
      <c r="P15" s="152"/>
      <c r="Q15" s="152"/>
    </row>
    <row r="16" spans="1:18" s="137" customFormat="1" x14ac:dyDescent="0.2">
      <c r="A16" s="99" t="s">
        <v>234</v>
      </c>
      <c r="B16" s="147"/>
      <c r="C16" s="99"/>
      <c r="D16" s="166"/>
      <c r="E16" s="148"/>
      <c r="F16" s="148"/>
      <c r="G16" s="148"/>
      <c r="H16" s="148"/>
      <c r="I16" s="148"/>
      <c r="J16" s="148"/>
      <c r="K16" s="167"/>
      <c r="L16" s="152"/>
      <c r="M16" s="168"/>
      <c r="N16" s="168"/>
      <c r="O16" s="168"/>
      <c r="P16" s="152"/>
      <c r="Q16" s="152"/>
    </row>
  </sheetData>
  <mergeCells count="1">
    <mergeCell ref="A5:J5"/>
  </mergeCells>
  <conditionalFormatting sqref="L1:L4 L12:L55546">
    <cfRule type="expression" dxfId="34" priority="391" stopIfTrue="1">
      <formula>LEFT(#REF!,3)="TIR"</formula>
    </cfRule>
  </conditionalFormatting>
  <conditionalFormatting sqref="B9:E11 I9:J11">
    <cfRule type="expression" dxfId="33" priority="393" stopIfTrue="1">
      <formula>LEFT(#REF!,3)="TIR"</formula>
    </cfRule>
  </conditionalFormatting>
  <conditionalFormatting sqref="A9:A11 F9:J11">
    <cfRule type="expression" dxfId="32" priority="395" stopIfTrue="1">
      <formula>#REF!&gt;0</formula>
    </cfRule>
    <cfRule type="expression" dxfId="31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490B-7921-4C75-B0CF-CB5EE71AC8C1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23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3" customWidth="1"/>
    <col min="11" max="11" width="12.140625" style="26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3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3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3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3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159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137</v>
      </c>
      <c r="I7" s="47" t="s">
        <v>9</v>
      </c>
      <c r="J7" s="19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37" customFormat="1" ht="12.75" customHeight="1" thickBot="1" x14ac:dyDescent="0.25">
      <c r="A9" s="93" t="s">
        <v>125</v>
      </c>
      <c r="B9" s="138"/>
      <c r="C9" s="138"/>
      <c r="D9" s="138" t="s">
        <v>238</v>
      </c>
      <c r="E9" s="138" t="s">
        <v>238</v>
      </c>
      <c r="F9" s="138" t="s">
        <v>238</v>
      </c>
      <c r="G9" s="138" t="s">
        <v>238</v>
      </c>
      <c r="H9" s="116">
        <v>-36.747419799999996</v>
      </c>
      <c r="I9" s="98">
        <v>1</v>
      </c>
      <c r="J9" s="80">
        <v>-6.2529076529397882E-4</v>
      </c>
    </row>
    <row r="10" spans="1:20" s="137" customFormat="1" x14ac:dyDescent="0.2">
      <c r="A10" s="113" t="s">
        <v>139</v>
      </c>
      <c r="B10" s="182"/>
      <c r="C10" s="141" t="s">
        <v>238</v>
      </c>
      <c r="D10" s="160" t="s">
        <v>238</v>
      </c>
      <c r="E10" s="161" t="s">
        <v>238</v>
      </c>
      <c r="F10" s="154" t="s">
        <v>238</v>
      </c>
      <c r="G10" s="161" t="s">
        <v>238</v>
      </c>
      <c r="H10" s="142">
        <v>-36.747419900000004</v>
      </c>
      <c r="I10" s="140">
        <v>1.0000000027212796</v>
      </c>
      <c r="J10" s="140">
        <v>-6.2529076699556995E-4</v>
      </c>
    </row>
    <row r="11" spans="1:20" x14ac:dyDescent="0.2">
      <c r="A11" s="33" t="s">
        <v>822</v>
      </c>
      <c r="B11" s="40" t="s">
        <v>823</v>
      </c>
      <c r="C11" s="87" t="s">
        <v>803</v>
      </c>
      <c r="D11" s="42" t="s">
        <v>238</v>
      </c>
      <c r="E11" s="34">
        <v>0</v>
      </c>
      <c r="F11" s="89" t="s">
        <v>244</v>
      </c>
      <c r="G11" s="34">
        <v>0</v>
      </c>
      <c r="H11" s="107">
        <v>-36.747419999999998</v>
      </c>
      <c r="I11" s="97">
        <v>1.0000000054425591</v>
      </c>
      <c r="J11" s="49">
        <v>-6.2529076869716075E-4</v>
      </c>
      <c r="K11" s="28"/>
      <c r="L11" s="28"/>
      <c r="M11" s="28"/>
      <c r="N11" s="28"/>
      <c r="O11" s="28"/>
      <c r="P11" s="28"/>
    </row>
    <row r="12" spans="1:20" s="137" customFormat="1" x14ac:dyDescent="0.2">
      <c r="A12" s="239" t="s">
        <v>365</v>
      </c>
      <c r="B12" s="255" t="s">
        <v>238</v>
      </c>
      <c r="C12" s="227" t="s">
        <v>238</v>
      </c>
      <c r="D12" s="241" t="s">
        <v>238</v>
      </c>
      <c r="E12" s="242" t="s">
        <v>238</v>
      </c>
      <c r="F12" s="253" t="s">
        <v>238</v>
      </c>
      <c r="G12" s="242" t="s">
        <v>238</v>
      </c>
      <c r="H12" s="247">
        <v>0</v>
      </c>
      <c r="I12" s="230">
        <v>0</v>
      </c>
      <c r="J12" s="230">
        <v>0</v>
      </c>
    </row>
    <row r="13" spans="1:20" s="137" customFormat="1" x14ac:dyDescent="0.2">
      <c r="A13" s="99" t="s">
        <v>230</v>
      </c>
      <c r="B13" s="99"/>
      <c r="C13" s="147"/>
      <c r="D13" s="99"/>
      <c r="E13" s="166"/>
      <c r="F13" s="166"/>
      <c r="G13" s="166"/>
      <c r="H13" s="166"/>
      <c r="I13" s="166"/>
      <c r="J13" s="149"/>
      <c r="K13" s="152"/>
      <c r="L13" s="168"/>
      <c r="M13" s="168"/>
      <c r="N13" s="168"/>
      <c r="O13" s="152"/>
      <c r="P13" s="152"/>
    </row>
    <row r="14" spans="1:20" s="137" customFormat="1" x14ac:dyDescent="0.2">
      <c r="A14" s="99" t="s">
        <v>231</v>
      </c>
      <c r="B14" s="99"/>
      <c r="C14" s="147"/>
      <c r="D14" s="99"/>
      <c r="E14" s="166"/>
      <c r="F14" s="166"/>
      <c r="G14" s="166"/>
      <c r="H14" s="166"/>
      <c r="I14" s="166"/>
      <c r="J14" s="149"/>
      <c r="K14" s="152"/>
      <c r="L14" s="168"/>
      <c r="M14" s="168"/>
      <c r="N14" s="168"/>
      <c r="O14" s="152"/>
      <c r="P14" s="152"/>
    </row>
    <row r="15" spans="1:20" s="137" customFormat="1" x14ac:dyDescent="0.2">
      <c r="A15" s="99" t="s">
        <v>232</v>
      </c>
      <c r="B15" s="99"/>
      <c r="C15" s="147"/>
      <c r="D15" s="99"/>
      <c r="E15" s="166"/>
      <c r="F15" s="166"/>
      <c r="G15" s="166"/>
      <c r="H15" s="166"/>
      <c r="I15" s="166"/>
      <c r="J15" s="149"/>
      <c r="K15" s="152"/>
      <c r="L15" s="168"/>
      <c r="M15" s="168"/>
      <c r="N15" s="168"/>
      <c r="O15" s="152"/>
      <c r="P15" s="152"/>
    </row>
    <row r="16" spans="1:20" s="137" customFormat="1" x14ac:dyDescent="0.2">
      <c r="A16" s="99" t="s">
        <v>233</v>
      </c>
      <c r="B16" s="99"/>
      <c r="C16" s="147"/>
      <c r="D16" s="99"/>
      <c r="E16" s="166"/>
      <c r="F16" s="166"/>
      <c r="G16" s="166"/>
      <c r="H16" s="166"/>
      <c r="I16" s="166"/>
      <c r="J16" s="149"/>
      <c r="K16" s="152"/>
      <c r="L16" s="168"/>
      <c r="M16" s="168"/>
      <c r="N16" s="168"/>
      <c r="O16" s="152"/>
      <c r="P16" s="152"/>
    </row>
    <row r="17" spans="1:16" s="137" customFormat="1" x14ac:dyDescent="0.2">
      <c r="A17" s="99" t="s">
        <v>234</v>
      </c>
      <c r="B17" s="99"/>
      <c r="C17" s="147"/>
      <c r="D17" s="99"/>
      <c r="E17" s="166"/>
      <c r="F17" s="166"/>
      <c r="G17" s="166"/>
      <c r="H17" s="166"/>
      <c r="I17" s="166"/>
      <c r="J17" s="149"/>
      <c r="K17" s="152"/>
      <c r="L17" s="168"/>
      <c r="M17" s="168"/>
      <c r="N17" s="168"/>
      <c r="O17" s="152"/>
      <c r="P17" s="152"/>
    </row>
  </sheetData>
  <mergeCells count="1">
    <mergeCell ref="A5:J5"/>
  </mergeCells>
  <conditionalFormatting sqref="L5:T5 E10:G12 K13:K55547 K1:K5">
    <cfRule type="expression" dxfId="30" priority="406" stopIfTrue="1">
      <formula>LEFT(#REF!,3)="TIR"</formula>
    </cfRule>
  </conditionalFormatting>
  <conditionalFormatting sqref="E6:F6">
    <cfRule type="expression" dxfId="29" priority="410" stopIfTrue="1">
      <formula>LEFT(#REF!,3)="TIR"</formula>
    </cfRule>
  </conditionalFormatting>
  <conditionalFormatting sqref="B10:D12 J10:J12">
    <cfRule type="expression" dxfId="28" priority="411" stopIfTrue="1">
      <formula>LEFT(#REF!,3)="TIR"</formula>
    </cfRule>
  </conditionalFormatting>
  <conditionalFormatting sqref="A10:A12 F10:F12 H10:J12">
    <cfRule type="expression" dxfId="27" priority="413" stopIfTrue="1">
      <formula>#REF!&gt;0</formula>
    </cfRule>
    <cfRule type="expression" dxfId="26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2C92-196C-4AFE-96CC-296162287393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customHeight="1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8" t="s">
        <v>159</v>
      </c>
      <c r="B6" s="109" t="s">
        <v>63</v>
      </c>
      <c r="C6" s="118" t="s">
        <v>64</v>
      </c>
    </row>
    <row r="7" spans="1:3" x14ac:dyDescent="0.2">
      <c r="A7" s="43"/>
      <c r="B7" s="16" t="s">
        <v>10</v>
      </c>
      <c r="C7" s="64" t="s">
        <v>40</v>
      </c>
    </row>
    <row r="8" spans="1:3" s="134" customFormat="1" x14ac:dyDescent="0.2">
      <c r="A8" s="183"/>
      <c r="B8" s="184">
        <v>1</v>
      </c>
      <c r="C8" s="185">
        <v>2</v>
      </c>
    </row>
    <row r="9" spans="1:3" s="134" customFormat="1" ht="13.5" thickBot="1" x14ac:dyDescent="0.25">
      <c r="A9" s="93" t="s">
        <v>834</v>
      </c>
      <c r="B9" s="186">
        <v>2.0000000000000002E-7</v>
      </c>
      <c r="C9" s="136" t="s">
        <v>238</v>
      </c>
    </row>
    <row r="10" spans="1:3" s="134" customFormat="1" x14ac:dyDescent="0.2">
      <c r="A10" s="135" t="s">
        <v>139</v>
      </c>
      <c r="B10" s="187">
        <v>1.0000000000000001E-7</v>
      </c>
      <c r="C10" s="188" t="s">
        <v>238</v>
      </c>
    </row>
    <row r="11" spans="1:3" s="134" customFormat="1" x14ac:dyDescent="0.2">
      <c r="A11" s="256" t="s">
        <v>365</v>
      </c>
      <c r="B11" s="257">
        <v>1.0000000000000001E-7</v>
      </c>
      <c r="C11" s="258" t="s">
        <v>238</v>
      </c>
    </row>
    <row r="12" spans="1:3" x14ac:dyDescent="0.2">
      <c r="A12" t="s">
        <v>833</v>
      </c>
    </row>
  </sheetData>
  <mergeCells count="1">
    <mergeCell ref="A5:C5"/>
  </mergeCells>
  <conditionalFormatting sqref="A9:C11">
    <cfRule type="expression" dxfId="25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D012-C4FC-46F4-AE5B-F5C924126263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3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9" t="s">
        <v>99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159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0" t="s">
        <v>117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139</v>
      </c>
      <c r="B10" s="48"/>
      <c r="C10" s="48"/>
      <c r="D10" s="48"/>
      <c r="E10" s="48"/>
      <c r="F10" s="48"/>
      <c r="G10" s="48"/>
      <c r="H10" s="87"/>
      <c r="I10" s="50"/>
      <c r="J10" s="51"/>
      <c r="K10" s="89"/>
      <c r="L10" s="51"/>
      <c r="M10" s="92"/>
      <c r="N10" s="96"/>
      <c r="O10" s="49"/>
      <c r="P10" s="28"/>
      <c r="Q10" s="28"/>
      <c r="R10" s="28"/>
      <c r="S10" s="28"/>
      <c r="T10" s="28"/>
      <c r="U10" s="28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5"/>
      <c r="N11" s="97"/>
      <c r="O11" s="41"/>
      <c r="P11" s="28"/>
      <c r="Q11" s="28"/>
      <c r="R11" s="28"/>
      <c r="S11" s="28"/>
      <c r="T11" s="28"/>
      <c r="U11" s="28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5"/>
      <c r="N12" s="97"/>
      <c r="O12" s="41"/>
      <c r="P12" s="28"/>
      <c r="Q12" s="28"/>
      <c r="R12" s="28"/>
      <c r="S12" s="28"/>
      <c r="T12" s="28"/>
      <c r="U12" s="28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5"/>
      <c r="N13" s="97"/>
      <c r="O13" s="41"/>
      <c r="P13" s="28"/>
      <c r="Q13" s="28"/>
      <c r="R13" s="28"/>
      <c r="S13" s="28"/>
      <c r="T13" s="28"/>
      <c r="U13" s="28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5"/>
      <c r="N14" s="97"/>
      <c r="O14" s="41"/>
      <c r="P14" s="28"/>
      <c r="Q14" s="28"/>
      <c r="R14" s="28"/>
      <c r="S14" s="28"/>
      <c r="T14" s="28"/>
      <c r="U14" s="28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5"/>
      <c r="N15" s="97"/>
      <c r="O15" s="41"/>
      <c r="P15" s="28"/>
      <c r="Q15" s="28"/>
      <c r="R15" s="28"/>
      <c r="S15" s="28"/>
      <c r="T15" s="28"/>
      <c r="U15" s="28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5"/>
      <c r="N16" s="97"/>
      <c r="O16" s="41"/>
      <c r="P16" s="28"/>
      <c r="Q16" s="28"/>
      <c r="R16" s="28"/>
      <c r="S16" s="28"/>
      <c r="T16" s="28"/>
      <c r="U16" s="28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5"/>
      <c r="N17" s="97"/>
      <c r="O17" s="41"/>
      <c r="P17" s="28"/>
      <c r="Q17" s="28"/>
      <c r="R17" s="28"/>
      <c r="S17" s="28"/>
      <c r="T17" s="28"/>
      <c r="U17" s="28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5"/>
      <c r="N18" s="96"/>
      <c r="O18" s="41"/>
      <c r="P18" s="28"/>
      <c r="Q18" s="28"/>
      <c r="R18" s="28"/>
      <c r="S18" s="28"/>
      <c r="T18" s="28"/>
      <c r="U18" s="28"/>
    </row>
    <row r="19" spans="1:21" x14ac:dyDescent="0.2">
      <c r="A19" s="232"/>
      <c r="B19" s="259"/>
      <c r="C19" s="259"/>
      <c r="D19" s="259"/>
      <c r="E19" s="259"/>
      <c r="F19" s="259"/>
      <c r="G19" s="259"/>
      <c r="H19" s="235"/>
      <c r="I19" s="260"/>
      <c r="J19" s="261"/>
      <c r="K19" s="262"/>
      <c r="L19" s="261"/>
      <c r="M19" s="263"/>
      <c r="N19" s="264"/>
      <c r="O19" s="233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4"/>
      <c r="Q20" s="35"/>
      <c r="R20" s="35"/>
      <c r="S20" s="35"/>
    </row>
    <row r="21" spans="1:21" x14ac:dyDescent="0.2">
      <c r="A21" s="132" t="s">
        <v>148</v>
      </c>
      <c r="O21" s="54"/>
      <c r="Q21" s="35"/>
      <c r="R21" s="35"/>
      <c r="S21" s="35"/>
    </row>
    <row r="22" spans="1:21" x14ac:dyDescent="0.2">
      <c r="A22" s="132" t="s">
        <v>149</v>
      </c>
      <c r="O22" s="54"/>
      <c r="Q22" s="35"/>
      <c r="R22" s="35"/>
      <c r="S22" s="35"/>
    </row>
    <row r="23" spans="1:21" x14ac:dyDescent="0.2">
      <c r="A23" s="132" t="s">
        <v>150</v>
      </c>
      <c r="O23" s="54"/>
      <c r="Q23" s="35"/>
      <c r="R23" s="35"/>
      <c r="S23" s="35"/>
    </row>
    <row r="24" spans="1:21" x14ac:dyDescent="0.2">
      <c r="A24" s="132" t="s">
        <v>151</v>
      </c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  <row r="649" spans="15:19" x14ac:dyDescent="0.2">
      <c r="O649" s="54"/>
      <c r="Q649" s="35"/>
      <c r="R649" s="35"/>
      <c r="S649" s="35"/>
    </row>
    <row r="650" spans="15:19" x14ac:dyDescent="0.2">
      <c r="O650" s="54"/>
      <c r="Q650" s="35"/>
      <c r="R650" s="35"/>
      <c r="S650" s="35"/>
    </row>
    <row r="651" spans="15:19" x14ac:dyDescent="0.2">
      <c r="O651" s="54"/>
      <c r="Q651" s="35"/>
      <c r="R651" s="35"/>
      <c r="S651" s="35"/>
    </row>
    <row r="652" spans="15:19" x14ac:dyDescent="0.2">
      <c r="O652" s="54"/>
      <c r="Q652" s="35"/>
      <c r="R652" s="35"/>
      <c r="S652" s="35"/>
    </row>
    <row r="653" spans="15:19" x14ac:dyDescent="0.2">
      <c r="O653" s="54"/>
      <c r="Q653" s="35"/>
      <c r="R653" s="35"/>
      <c r="S653" s="35"/>
    </row>
    <row r="654" spans="15:19" x14ac:dyDescent="0.2">
      <c r="O654" s="54"/>
      <c r="Q654" s="35"/>
      <c r="R654" s="35"/>
      <c r="S654" s="35"/>
    </row>
    <row r="655" spans="15:19" x14ac:dyDescent="0.2">
      <c r="O655" s="54"/>
      <c r="Q655" s="35"/>
      <c r="R655" s="35"/>
      <c r="S655" s="35"/>
    </row>
    <row r="656" spans="15:19" x14ac:dyDescent="0.2">
      <c r="O656" s="54"/>
      <c r="Q656" s="35"/>
      <c r="R656" s="35"/>
      <c r="S656" s="35"/>
    </row>
    <row r="657" spans="15:19" x14ac:dyDescent="0.2">
      <c r="O657" s="54"/>
      <c r="Q657" s="35"/>
      <c r="R657" s="35"/>
      <c r="S657" s="35"/>
    </row>
    <row r="658" spans="15:19" x14ac:dyDescent="0.2">
      <c r="O658" s="54"/>
      <c r="Q658" s="35"/>
      <c r="R658" s="35"/>
      <c r="S658" s="35"/>
    </row>
    <row r="659" spans="15:19" x14ac:dyDescent="0.2">
      <c r="O659" s="54"/>
      <c r="Q659" s="35"/>
      <c r="R659" s="35"/>
      <c r="S659" s="35"/>
    </row>
    <row r="660" spans="15:19" x14ac:dyDescent="0.2">
      <c r="O660" s="54"/>
      <c r="Q660" s="35"/>
      <c r="R660" s="35"/>
      <c r="S660" s="35"/>
    </row>
    <row r="661" spans="15:19" x14ac:dyDescent="0.2">
      <c r="O661" s="54"/>
      <c r="Q661" s="35"/>
      <c r="R661" s="35"/>
      <c r="S661" s="35"/>
    </row>
    <row r="662" spans="15:19" x14ac:dyDescent="0.2">
      <c r="O662" s="54"/>
      <c r="Q662" s="35"/>
      <c r="R662" s="35"/>
      <c r="S662" s="35"/>
    </row>
    <row r="663" spans="15:19" x14ac:dyDescent="0.2">
      <c r="O663" s="54"/>
      <c r="Q663" s="35"/>
      <c r="R663" s="35"/>
      <c r="S663" s="35"/>
    </row>
    <row r="664" spans="15:19" x14ac:dyDescent="0.2">
      <c r="O664" s="54"/>
      <c r="Q664" s="35"/>
      <c r="R664" s="35"/>
      <c r="S664" s="35"/>
    </row>
    <row r="665" spans="15:19" x14ac:dyDescent="0.2">
      <c r="O665" s="54"/>
      <c r="Q665" s="35"/>
      <c r="R665" s="35"/>
      <c r="S665" s="35"/>
    </row>
    <row r="666" spans="15:19" x14ac:dyDescent="0.2">
      <c r="O666" s="54"/>
      <c r="Q666" s="35"/>
      <c r="R666" s="35"/>
      <c r="S666" s="35"/>
    </row>
    <row r="667" spans="15:19" x14ac:dyDescent="0.2">
      <c r="O667" s="54"/>
      <c r="Q667" s="35"/>
      <c r="R667" s="35"/>
      <c r="S667" s="35"/>
    </row>
    <row r="668" spans="15:19" x14ac:dyDescent="0.2">
      <c r="O668" s="54"/>
      <c r="Q668" s="35"/>
      <c r="R668" s="35"/>
      <c r="S668" s="35"/>
    </row>
    <row r="669" spans="15:19" x14ac:dyDescent="0.2">
      <c r="O669" s="54"/>
      <c r="Q669" s="35"/>
      <c r="R669" s="35"/>
      <c r="S669" s="35"/>
    </row>
    <row r="670" spans="15:19" x14ac:dyDescent="0.2">
      <c r="O670" s="54"/>
      <c r="Q670" s="35"/>
      <c r="R670" s="35"/>
      <c r="S670" s="35"/>
    </row>
    <row r="671" spans="15:19" x14ac:dyDescent="0.2">
      <c r="O671" s="54"/>
      <c r="Q671" s="35"/>
      <c r="R671" s="35"/>
      <c r="S671" s="35"/>
    </row>
    <row r="672" spans="15:19" x14ac:dyDescent="0.2">
      <c r="O672" s="54"/>
      <c r="Q672" s="35"/>
      <c r="R672" s="35"/>
      <c r="S672" s="35"/>
    </row>
    <row r="673" spans="15:19" x14ac:dyDescent="0.2">
      <c r="O673" s="54"/>
      <c r="Q673" s="35"/>
      <c r="R673" s="35"/>
      <c r="S673" s="35"/>
    </row>
    <row r="674" spans="15:19" x14ac:dyDescent="0.2">
      <c r="O674" s="54"/>
      <c r="Q674" s="35"/>
      <c r="R674" s="35"/>
      <c r="S674" s="35"/>
    </row>
    <row r="675" spans="15:19" x14ac:dyDescent="0.2">
      <c r="O675" s="54"/>
      <c r="Q675" s="35"/>
      <c r="R675" s="35"/>
      <c r="S675" s="35"/>
    </row>
    <row r="676" spans="15:19" x14ac:dyDescent="0.2">
      <c r="O676" s="54"/>
      <c r="Q676" s="35"/>
      <c r="R676" s="35"/>
      <c r="S676" s="35"/>
    </row>
    <row r="677" spans="15:19" x14ac:dyDescent="0.2">
      <c r="O677" s="54"/>
      <c r="Q677" s="35"/>
      <c r="R677" s="35"/>
      <c r="S677" s="35"/>
    </row>
    <row r="678" spans="15:19" x14ac:dyDescent="0.2">
      <c r="O678" s="54"/>
      <c r="Q678" s="35"/>
      <c r="R678" s="35"/>
      <c r="S678" s="35"/>
    </row>
    <row r="679" spans="15:19" x14ac:dyDescent="0.2">
      <c r="O679" s="54"/>
      <c r="Q679" s="35"/>
      <c r="R679" s="35"/>
      <c r="S679" s="35"/>
    </row>
    <row r="680" spans="15:19" x14ac:dyDescent="0.2">
      <c r="O680" s="54"/>
      <c r="Q680" s="35"/>
      <c r="R680" s="35"/>
      <c r="S680" s="35"/>
    </row>
    <row r="681" spans="15:19" x14ac:dyDescent="0.2">
      <c r="O681" s="54"/>
      <c r="Q681" s="35"/>
      <c r="R681" s="35"/>
      <c r="S681" s="35"/>
    </row>
    <row r="682" spans="15:19" x14ac:dyDescent="0.2">
      <c r="O682" s="54"/>
      <c r="Q682" s="35"/>
      <c r="R682" s="35"/>
      <c r="S682" s="35"/>
    </row>
    <row r="683" spans="15:19" x14ac:dyDescent="0.2">
      <c r="O683" s="54"/>
      <c r="Q683" s="35"/>
      <c r="R683" s="35"/>
      <c r="S683" s="35"/>
    </row>
    <row r="684" spans="15:19" x14ac:dyDescent="0.2">
      <c r="O684" s="54"/>
      <c r="Q684" s="35"/>
      <c r="R684" s="35"/>
      <c r="S684" s="35"/>
    </row>
    <row r="685" spans="15:19" x14ac:dyDescent="0.2">
      <c r="O685" s="54"/>
      <c r="Q685" s="35"/>
      <c r="R685" s="35"/>
      <c r="S685" s="35"/>
    </row>
    <row r="686" spans="15:19" x14ac:dyDescent="0.2">
      <c r="O686" s="54"/>
      <c r="Q686" s="35"/>
      <c r="R686" s="35"/>
      <c r="S686" s="35"/>
    </row>
    <row r="687" spans="15:19" x14ac:dyDescent="0.2">
      <c r="O687" s="54"/>
      <c r="Q687" s="35"/>
      <c r="R687" s="35"/>
      <c r="S687" s="35"/>
    </row>
    <row r="688" spans="15:19" x14ac:dyDescent="0.2">
      <c r="O688" s="54"/>
      <c r="Q688" s="35"/>
      <c r="R688" s="35"/>
      <c r="S688" s="35"/>
    </row>
    <row r="689" spans="15:19" x14ac:dyDescent="0.2">
      <c r="O689" s="54"/>
      <c r="Q689" s="35"/>
      <c r="R689" s="35"/>
      <c r="S689" s="35"/>
    </row>
    <row r="690" spans="15:19" x14ac:dyDescent="0.2">
      <c r="O690" s="54"/>
      <c r="Q690" s="35"/>
      <c r="R690" s="35"/>
      <c r="S690" s="35"/>
    </row>
    <row r="691" spans="15:19" x14ac:dyDescent="0.2">
      <c r="O691" s="54"/>
      <c r="Q691" s="35"/>
      <c r="R691" s="35"/>
      <c r="S691" s="35"/>
    </row>
    <row r="692" spans="15:19" x14ac:dyDescent="0.2">
      <c r="O692" s="54"/>
      <c r="Q692" s="35"/>
      <c r="R692" s="35"/>
      <c r="S692" s="35"/>
    </row>
    <row r="693" spans="15:19" x14ac:dyDescent="0.2">
      <c r="O693" s="54"/>
      <c r="Q693" s="35"/>
      <c r="R693" s="35"/>
      <c r="S693" s="35"/>
    </row>
    <row r="694" spans="15:19" x14ac:dyDescent="0.2">
      <c r="O694" s="54"/>
      <c r="Q694" s="35"/>
      <c r="R694" s="35"/>
      <c r="S694" s="35"/>
    </row>
    <row r="695" spans="15:19" x14ac:dyDescent="0.2">
      <c r="O695" s="54"/>
      <c r="Q695" s="35"/>
      <c r="R695" s="35"/>
      <c r="S695" s="35"/>
    </row>
    <row r="696" spans="15:19" x14ac:dyDescent="0.2">
      <c r="O696" s="54"/>
      <c r="Q696" s="35"/>
      <c r="R696" s="35"/>
      <c r="S696" s="35"/>
    </row>
    <row r="697" spans="15:19" x14ac:dyDescent="0.2">
      <c r="O697" s="54"/>
      <c r="Q697" s="35"/>
      <c r="R697" s="35"/>
      <c r="S697" s="35"/>
    </row>
    <row r="698" spans="15:19" x14ac:dyDescent="0.2">
      <c r="O698" s="54"/>
      <c r="Q698" s="35"/>
      <c r="R698" s="35"/>
      <c r="S698" s="35"/>
    </row>
    <row r="699" spans="15:19" x14ac:dyDescent="0.2">
      <c r="O699" s="54"/>
      <c r="Q699" s="35"/>
      <c r="R699" s="35"/>
      <c r="S699" s="35"/>
    </row>
    <row r="700" spans="15:19" x14ac:dyDescent="0.2">
      <c r="O700" s="54"/>
      <c r="Q700" s="35"/>
      <c r="R700" s="35"/>
      <c r="S700" s="35"/>
    </row>
    <row r="701" spans="15:19" x14ac:dyDescent="0.2">
      <c r="O701" s="54"/>
      <c r="Q701" s="35"/>
      <c r="R701" s="35"/>
      <c r="S701" s="35"/>
    </row>
    <row r="702" spans="15:19" x14ac:dyDescent="0.2">
      <c r="O702" s="54"/>
      <c r="Q702" s="35"/>
      <c r="R702" s="35"/>
      <c r="S702" s="35"/>
    </row>
    <row r="703" spans="15:19" x14ac:dyDescent="0.2">
      <c r="O703" s="54"/>
      <c r="Q703" s="35"/>
      <c r="R703" s="35"/>
      <c r="S703" s="35"/>
    </row>
    <row r="704" spans="15:19" x14ac:dyDescent="0.2">
      <c r="O704" s="54"/>
      <c r="Q704" s="35"/>
      <c r="R704" s="35"/>
      <c r="S704" s="35"/>
    </row>
    <row r="705" spans="15:19" x14ac:dyDescent="0.2">
      <c r="O705" s="54"/>
      <c r="Q705" s="35"/>
      <c r="R705" s="35"/>
      <c r="S705" s="35"/>
    </row>
    <row r="706" spans="15:19" x14ac:dyDescent="0.2">
      <c r="O706" s="54"/>
      <c r="Q706" s="35"/>
      <c r="R706" s="35"/>
      <c r="S706" s="35"/>
    </row>
    <row r="707" spans="15:19" x14ac:dyDescent="0.2">
      <c r="O707" s="54"/>
      <c r="Q707" s="35"/>
      <c r="R707" s="35"/>
      <c r="S707" s="35"/>
    </row>
    <row r="708" spans="15:19" x14ac:dyDescent="0.2">
      <c r="O708" s="54"/>
      <c r="Q708" s="35"/>
      <c r="R708" s="35"/>
      <c r="S708" s="35"/>
    </row>
    <row r="709" spans="15:19" x14ac:dyDescent="0.2">
      <c r="O709" s="54"/>
      <c r="Q709" s="35"/>
      <c r="R709" s="35"/>
      <c r="S709" s="35"/>
    </row>
    <row r="710" spans="15:19" x14ac:dyDescent="0.2">
      <c r="O710" s="54"/>
      <c r="Q710" s="35"/>
      <c r="R710" s="35"/>
      <c r="S710" s="35"/>
    </row>
    <row r="711" spans="15:19" x14ac:dyDescent="0.2">
      <c r="O711" s="54"/>
      <c r="Q711" s="35"/>
      <c r="R711" s="35"/>
      <c r="S711" s="35"/>
    </row>
    <row r="712" spans="15:19" x14ac:dyDescent="0.2">
      <c r="O712" s="54"/>
      <c r="Q712" s="35"/>
      <c r="R712" s="35"/>
      <c r="S712" s="35"/>
    </row>
    <row r="713" spans="15:19" x14ac:dyDescent="0.2">
      <c r="O713" s="54"/>
      <c r="Q713" s="35"/>
      <c r="R713" s="35"/>
      <c r="S713" s="35"/>
    </row>
    <row r="714" spans="15:19" x14ac:dyDescent="0.2">
      <c r="O714" s="54"/>
      <c r="Q714" s="35"/>
      <c r="R714" s="35"/>
      <c r="S714" s="35"/>
    </row>
    <row r="715" spans="15:19" x14ac:dyDescent="0.2">
      <c r="O715" s="54"/>
      <c r="Q715" s="35"/>
      <c r="R715" s="35"/>
      <c r="S715" s="35"/>
    </row>
    <row r="716" spans="15:19" x14ac:dyDescent="0.2">
      <c r="O716" s="54"/>
      <c r="Q716" s="35"/>
      <c r="R716" s="35"/>
      <c r="S716" s="35"/>
    </row>
    <row r="717" spans="15:19" x14ac:dyDescent="0.2">
      <c r="O717" s="54"/>
      <c r="Q717" s="35"/>
      <c r="R717" s="35"/>
      <c r="S717" s="35"/>
    </row>
    <row r="718" spans="15:19" x14ac:dyDescent="0.2">
      <c r="O718" s="54"/>
      <c r="Q718" s="35"/>
      <c r="R718" s="35"/>
      <c r="S718" s="35"/>
    </row>
    <row r="719" spans="15:19" x14ac:dyDescent="0.2">
      <c r="O719" s="54"/>
      <c r="Q719" s="35"/>
      <c r="R719" s="35"/>
      <c r="S719" s="35"/>
    </row>
    <row r="720" spans="15:19" x14ac:dyDescent="0.2">
      <c r="O720" s="54"/>
      <c r="Q720" s="35"/>
      <c r="R720" s="35"/>
      <c r="S720" s="35"/>
    </row>
    <row r="721" spans="15:19" x14ac:dyDescent="0.2">
      <c r="O721" s="54"/>
      <c r="Q721" s="35"/>
      <c r="R721" s="35"/>
      <c r="S721" s="35"/>
    </row>
    <row r="722" spans="15:19" x14ac:dyDescent="0.2">
      <c r="O722" s="54"/>
      <c r="Q722" s="35"/>
      <c r="R722" s="35"/>
      <c r="S722" s="35"/>
    </row>
    <row r="723" spans="15:19" x14ac:dyDescent="0.2">
      <c r="O723" s="54"/>
      <c r="Q723" s="35"/>
      <c r="R723" s="35"/>
      <c r="S723" s="35"/>
    </row>
    <row r="724" spans="15:19" x14ac:dyDescent="0.2">
      <c r="O724" s="54"/>
      <c r="Q724" s="35"/>
      <c r="R724" s="35"/>
      <c r="S724" s="35"/>
    </row>
    <row r="725" spans="15:19" x14ac:dyDescent="0.2">
      <c r="O725" s="54"/>
      <c r="Q725" s="35"/>
      <c r="R725" s="35"/>
      <c r="S725" s="35"/>
    </row>
    <row r="726" spans="15:19" x14ac:dyDescent="0.2">
      <c r="O726" s="54"/>
      <c r="Q726" s="35"/>
      <c r="R726" s="35"/>
      <c r="S726" s="35"/>
    </row>
    <row r="727" spans="15:19" x14ac:dyDescent="0.2">
      <c r="O727" s="54"/>
      <c r="Q727" s="35"/>
      <c r="R727" s="35"/>
      <c r="S727" s="35"/>
    </row>
    <row r="728" spans="15:19" x14ac:dyDescent="0.2">
      <c r="O728" s="54"/>
      <c r="Q728" s="35"/>
      <c r="R728" s="35"/>
      <c r="S728" s="35"/>
    </row>
    <row r="729" spans="15:19" x14ac:dyDescent="0.2">
      <c r="O729" s="54"/>
      <c r="Q729" s="35"/>
      <c r="R729" s="35"/>
      <c r="S729" s="35"/>
    </row>
    <row r="730" spans="15:19" x14ac:dyDescent="0.2">
      <c r="O730" s="54"/>
      <c r="Q730" s="35"/>
      <c r="R730" s="35"/>
      <c r="S730" s="35"/>
    </row>
    <row r="731" spans="15:19" x14ac:dyDescent="0.2">
      <c r="O731" s="54"/>
      <c r="Q731" s="35"/>
      <c r="R731" s="35"/>
      <c r="S731" s="35"/>
    </row>
    <row r="732" spans="15:19" x14ac:dyDescent="0.2">
      <c r="O732" s="54"/>
      <c r="Q732" s="35"/>
      <c r="R732" s="35"/>
      <c r="S732" s="35"/>
    </row>
    <row r="733" spans="15:19" x14ac:dyDescent="0.2">
      <c r="O733" s="54"/>
      <c r="Q733" s="35"/>
      <c r="R733" s="35"/>
      <c r="S733" s="35"/>
    </row>
    <row r="734" spans="15:19" x14ac:dyDescent="0.2">
      <c r="O734" s="54"/>
      <c r="Q734" s="35"/>
      <c r="R734" s="35"/>
      <c r="S734" s="35"/>
    </row>
    <row r="735" spans="15:19" x14ac:dyDescent="0.2">
      <c r="O735" s="54"/>
      <c r="Q735" s="35"/>
      <c r="R735" s="35"/>
      <c r="S735" s="35"/>
    </row>
    <row r="736" spans="15:19" x14ac:dyDescent="0.2">
      <c r="O736" s="54"/>
      <c r="Q736" s="35"/>
      <c r="R736" s="35"/>
      <c r="S736" s="35"/>
    </row>
    <row r="737" spans="15:19" x14ac:dyDescent="0.2">
      <c r="O737" s="54"/>
      <c r="Q737" s="35"/>
      <c r="R737" s="35"/>
      <c r="S737" s="35"/>
    </row>
    <row r="738" spans="15:19" x14ac:dyDescent="0.2">
      <c r="O738" s="54"/>
      <c r="Q738" s="35"/>
      <c r="R738" s="35"/>
      <c r="S738" s="35"/>
    </row>
    <row r="739" spans="15:19" x14ac:dyDescent="0.2">
      <c r="O739" s="54"/>
      <c r="Q739" s="35"/>
      <c r="R739" s="35"/>
      <c r="S739" s="35"/>
    </row>
    <row r="740" spans="15:19" x14ac:dyDescent="0.2">
      <c r="O740" s="54"/>
      <c r="Q740" s="35"/>
      <c r="R740" s="35"/>
      <c r="S740" s="35"/>
    </row>
    <row r="741" spans="15:19" x14ac:dyDescent="0.2">
      <c r="O741" s="54"/>
      <c r="Q741" s="35"/>
      <c r="R741" s="35"/>
      <c r="S741" s="35"/>
    </row>
    <row r="742" spans="15:19" x14ac:dyDescent="0.2">
      <c r="O742" s="54"/>
      <c r="Q742" s="35"/>
      <c r="R742" s="35"/>
      <c r="S742" s="35"/>
    </row>
    <row r="743" spans="15:19" x14ac:dyDescent="0.2">
      <c r="O743" s="54"/>
      <c r="Q743" s="35"/>
      <c r="R743" s="35"/>
      <c r="S743" s="35"/>
    </row>
    <row r="744" spans="15:19" x14ac:dyDescent="0.2">
      <c r="O744" s="54"/>
      <c r="Q744" s="35"/>
      <c r="R744" s="35"/>
      <c r="S744" s="35"/>
    </row>
    <row r="745" spans="15:19" x14ac:dyDescent="0.2">
      <c r="O745" s="54"/>
      <c r="Q745" s="35"/>
      <c r="R745" s="35"/>
      <c r="S745" s="35"/>
    </row>
    <row r="746" spans="15:19" x14ac:dyDescent="0.2">
      <c r="O746" s="54"/>
      <c r="Q746" s="35"/>
      <c r="R746" s="35"/>
      <c r="S746" s="35"/>
    </row>
    <row r="747" spans="15:19" x14ac:dyDescent="0.2">
      <c r="O747" s="54"/>
      <c r="Q747" s="35"/>
      <c r="R747" s="35"/>
      <c r="S747" s="35"/>
    </row>
    <row r="748" spans="15:19" x14ac:dyDescent="0.2">
      <c r="O748" s="54"/>
      <c r="Q748" s="35"/>
      <c r="R748" s="35"/>
      <c r="S748" s="35"/>
    </row>
    <row r="749" spans="15:19" x14ac:dyDescent="0.2">
      <c r="O749" s="54"/>
      <c r="Q749" s="35"/>
      <c r="R749" s="35"/>
      <c r="S749" s="35"/>
    </row>
    <row r="750" spans="15:19" x14ac:dyDescent="0.2">
      <c r="O750" s="54"/>
      <c r="Q750" s="35"/>
      <c r="R750" s="35"/>
      <c r="S750" s="35"/>
    </row>
    <row r="751" spans="15:19" x14ac:dyDescent="0.2">
      <c r="O751" s="54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24" priority="11" stopIfTrue="1">
      <formula>LEFT(#REF!,3)="TIR"</formula>
    </cfRule>
  </conditionalFormatting>
  <conditionalFormatting sqref="Q5:Y5">
    <cfRule type="expression" dxfId="23" priority="9" stopIfTrue="1">
      <formula>LEFT(#REF!,3)="TIR"</formula>
    </cfRule>
  </conditionalFormatting>
  <conditionalFormatting sqref="B10:I19 O10:O19">
    <cfRule type="expression" dxfId="22" priority="7" stopIfTrue="1">
      <formula>LEFT(#REF!,3)="TIR"</formula>
    </cfRule>
  </conditionalFormatting>
  <conditionalFormatting sqref="A10:A19 M10:N19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K10:K19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27CE-CFCB-4FB3-B8D7-81B1FF20F02F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3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9" t="s">
        <v>118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159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0" t="s">
        <v>120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139</v>
      </c>
      <c r="B10" s="48"/>
      <c r="C10" s="48"/>
      <c r="D10" s="48"/>
      <c r="E10" s="48"/>
      <c r="F10" s="48"/>
      <c r="G10" s="48"/>
      <c r="H10" s="87"/>
      <c r="I10" s="50"/>
      <c r="J10" s="51"/>
      <c r="K10" s="89"/>
      <c r="L10" s="51"/>
      <c r="M10" s="92"/>
      <c r="N10" s="96"/>
      <c r="O10" s="49"/>
      <c r="P10" s="28"/>
      <c r="Q10" s="28"/>
      <c r="R10" s="28"/>
      <c r="S10" s="28"/>
      <c r="T10" s="28"/>
      <c r="U10" s="28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5"/>
      <c r="N11" s="97"/>
      <c r="O11" s="41"/>
      <c r="P11" s="28"/>
      <c r="Q11" s="28"/>
      <c r="R11" s="28"/>
      <c r="S11" s="28"/>
      <c r="T11" s="28"/>
      <c r="U11" s="28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5"/>
      <c r="N12" s="97"/>
      <c r="O12" s="41"/>
      <c r="P12" s="28"/>
      <c r="Q12" s="28"/>
      <c r="R12" s="28"/>
      <c r="S12" s="28"/>
      <c r="T12" s="28"/>
      <c r="U12" s="28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5"/>
      <c r="N13" s="97"/>
      <c r="O13" s="41"/>
      <c r="P13" s="28"/>
      <c r="Q13" s="28"/>
      <c r="R13" s="28"/>
      <c r="S13" s="28"/>
      <c r="T13" s="28"/>
      <c r="U13" s="28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5"/>
      <c r="N14" s="97"/>
      <c r="O14" s="41"/>
      <c r="P14" s="28"/>
      <c r="Q14" s="28"/>
      <c r="R14" s="28"/>
      <c r="S14" s="28"/>
      <c r="T14" s="28"/>
      <c r="U14" s="28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5"/>
      <c r="N15" s="97"/>
      <c r="O15" s="41"/>
      <c r="P15" s="28"/>
      <c r="Q15" s="28"/>
      <c r="R15" s="28"/>
      <c r="S15" s="28"/>
      <c r="T15" s="28"/>
      <c r="U15" s="28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5"/>
      <c r="N16" s="97"/>
      <c r="O16" s="41"/>
      <c r="P16" s="28"/>
      <c r="Q16" s="28"/>
      <c r="R16" s="28"/>
      <c r="S16" s="28"/>
      <c r="T16" s="28"/>
      <c r="U16" s="28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5"/>
      <c r="N17" s="97"/>
      <c r="O17" s="41"/>
      <c r="P17" s="28"/>
      <c r="Q17" s="28"/>
      <c r="R17" s="28"/>
      <c r="S17" s="28"/>
      <c r="T17" s="28"/>
      <c r="U17" s="28"/>
    </row>
    <row r="18" spans="1:21" x14ac:dyDescent="0.2">
      <c r="A18" s="232"/>
      <c r="B18" s="259"/>
      <c r="C18" s="259"/>
      <c r="D18" s="259"/>
      <c r="E18" s="259"/>
      <c r="F18" s="259"/>
      <c r="G18" s="259"/>
      <c r="H18" s="235"/>
      <c r="I18" s="260"/>
      <c r="J18" s="261"/>
      <c r="K18" s="262"/>
      <c r="L18" s="261"/>
      <c r="M18" s="263"/>
      <c r="N18" s="264"/>
      <c r="O18" s="233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4"/>
      <c r="Q19" s="35"/>
      <c r="R19" s="35"/>
      <c r="S19" s="35"/>
    </row>
    <row r="20" spans="1:21" x14ac:dyDescent="0.2">
      <c r="A20" s="132" t="s">
        <v>148</v>
      </c>
      <c r="O20" s="54"/>
      <c r="Q20" s="35"/>
      <c r="R20" s="35"/>
      <c r="S20" s="35"/>
    </row>
    <row r="21" spans="1:21" x14ac:dyDescent="0.2">
      <c r="A21" s="132" t="s">
        <v>149</v>
      </c>
      <c r="O21" s="54"/>
      <c r="Q21" s="35"/>
      <c r="R21" s="35"/>
      <c r="S21" s="35"/>
    </row>
    <row r="22" spans="1:21" x14ac:dyDescent="0.2">
      <c r="A22" s="132" t="s">
        <v>150</v>
      </c>
      <c r="O22" s="54"/>
      <c r="Q22" s="35"/>
      <c r="R22" s="35"/>
      <c r="S22" s="35"/>
    </row>
    <row r="23" spans="1:21" x14ac:dyDescent="0.2">
      <c r="A23" s="132" t="s">
        <v>151</v>
      </c>
      <c r="O23" s="54"/>
      <c r="Q23" s="35"/>
      <c r="R23" s="35"/>
      <c r="S23" s="35"/>
    </row>
    <row r="24" spans="1:21" x14ac:dyDescent="0.2"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  <row r="649" spans="15:19" x14ac:dyDescent="0.2">
      <c r="O649" s="54"/>
      <c r="Q649" s="35"/>
      <c r="R649" s="35"/>
      <c r="S649" s="35"/>
    </row>
    <row r="650" spans="15:19" x14ac:dyDescent="0.2">
      <c r="O650" s="54"/>
      <c r="Q650" s="35"/>
      <c r="R650" s="35"/>
      <c r="S650" s="35"/>
    </row>
    <row r="651" spans="15:19" x14ac:dyDescent="0.2">
      <c r="O651" s="54"/>
      <c r="Q651" s="35"/>
      <c r="R651" s="35"/>
      <c r="S651" s="35"/>
    </row>
    <row r="652" spans="15:19" x14ac:dyDescent="0.2">
      <c r="O652" s="54"/>
      <c r="Q652" s="35"/>
      <c r="R652" s="35"/>
      <c r="S652" s="35"/>
    </row>
    <row r="653" spans="15:19" x14ac:dyDescent="0.2">
      <c r="O653" s="54"/>
      <c r="Q653" s="35"/>
      <c r="R653" s="35"/>
      <c r="S653" s="35"/>
    </row>
    <row r="654" spans="15:19" x14ac:dyDescent="0.2">
      <c r="O654" s="54"/>
      <c r="Q654" s="35"/>
      <c r="R654" s="35"/>
      <c r="S654" s="35"/>
    </row>
    <row r="655" spans="15:19" x14ac:dyDescent="0.2">
      <c r="O655" s="54"/>
      <c r="Q655" s="35"/>
      <c r="R655" s="35"/>
      <c r="S655" s="35"/>
    </row>
    <row r="656" spans="15:19" x14ac:dyDescent="0.2">
      <c r="O656" s="54"/>
      <c r="Q656" s="35"/>
      <c r="R656" s="35"/>
      <c r="S656" s="35"/>
    </row>
    <row r="657" spans="15:19" x14ac:dyDescent="0.2">
      <c r="O657" s="54"/>
      <c r="Q657" s="35"/>
      <c r="R657" s="35"/>
      <c r="S657" s="35"/>
    </row>
    <row r="658" spans="15:19" x14ac:dyDescent="0.2">
      <c r="O658" s="54"/>
      <c r="Q658" s="35"/>
      <c r="R658" s="35"/>
      <c r="S658" s="35"/>
    </row>
    <row r="659" spans="15:19" x14ac:dyDescent="0.2">
      <c r="O659" s="54"/>
      <c r="Q659" s="35"/>
      <c r="R659" s="35"/>
      <c r="S659" s="35"/>
    </row>
    <row r="660" spans="15:19" x14ac:dyDescent="0.2">
      <c r="O660" s="54"/>
      <c r="Q660" s="35"/>
      <c r="R660" s="35"/>
      <c r="S660" s="35"/>
    </row>
    <row r="661" spans="15:19" x14ac:dyDescent="0.2">
      <c r="O661" s="54"/>
      <c r="Q661" s="35"/>
      <c r="R661" s="35"/>
      <c r="S661" s="35"/>
    </row>
    <row r="662" spans="15:19" x14ac:dyDescent="0.2">
      <c r="O662" s="54"/>
      <c r="Q662" s="35"/>
      <c r="R662" s="35"/>
      <c r="S662" s="35"/>
    </row>
    <row r="663" spans="15:19" x14ac:dyDescent="0.2">
      <c r="O663" s="54"/>
      <c r="Q663" s="35"/>
      <c r="R663" s="35"/>
      <c r="S663" s="35"/>
    </row>
    <row r="664" spans="15:19" x14ac:dyDescent="0.2">
      <c r="O664" s="54"/>
      <c r="Q664" s="35"/>
      <c r="R664" s="35"/>
      <c r="S664" s="35"/>
    </row>
    <row r="665" spans="15:19" x14ac:dyDescent="0.2">
      <c r="O665" s="54"/>
      <c r="Q665" s="35"/>
      <c r="R665" s="35"/>
      <c r="S665" s="35"/>
    </row>
    <row r="666" spans="15:19" x14ac:dyDescent="0.2">
      <c r="O666" s="54"/>
      <c r="Q666" s="35"/>
      <c r="R666" s="35"/>
      <c r="S666" s="35"/>
    </row>
    <row r="667" spans="15:19" x14ac:dyDescent="0.2">
      <c r="O667" s="54"/>
      <c r="Q667" s="35"/>
      <c r="R667" s="35"/>
      <c r="S667" s="35"/>
    </row>
    <row r="668" spans="15:19" x14ac:dyDescent="0.2">
      <c r="O668" s="54"/>
      <c r="Q668" s="35"/>
      <c r="R668" s="35"/>
      <c r="S668" s="35"/>
    </row>
    <row r="669" spans="15:19" x14ac:dyDescent="0.2">
      <c r="O669" s="54"/>
      <c r="Q669" s="35"/>
      <c r="R669" s="35"/>
      <c r="S669" s="35"/>
    </row>
    <row r="670" spans="15:19" x14ac:dyDescent="0.2">
      <c r="O670" s="54"/>
      <c r="Q670" s="35"/>
      <c r="R670" s="35"/>
      <c r="S670" s="35"/>
    </row>
    <row r="671" spans="15:19" x14ac:dyDescent="0.2">
      <c r="O671" s="54"/>
      <c r="Q671" s="35"/>
      <c r="R671" s="35"/>
      <c r="S671" s="35"/>
    </row>
    <row r="672" spans="15:19" x14ac:dyDescent="0.2">
      <c r="O672" s="54"/>
      <c r="Q672" s="35"/>
      <c r="R672" s="35"/>
      <c r="S672" s="35"/>
    </row>
    <row r="673" spans="15:19" x14ac:dyDescent="0.2">
      <c r="O673" s="54"/>
      <c r="Q673" s="35"/>
      <c r="R673" s="35"/>
      <c r="S673" s="35"/>
    </row>
    <row r="674" spans="15:19" x14ac:dyDescent="0.2">
      <c r="O674" s="54"/>
      <c r="Q674" s="35"/>
      <c r="R674" s="35"/>
      <c r="S674" s="35"/>
    </row>
    <row r="675" spans="15:19" x14ac:dyDescent="0.2">
      <c r="O675" s="54"/>
      <c r="Q675" s="35"/>
      <c r="R675" s="35"/>
      <c r="S675" s="35"/>
    </row>
    <row r="676" spans="15:19" x14ac:dyDescent="0.2">
      <c r="O676" s="54"/>
      <c r="Q676" s="35"/>
      <c r="R676" s="35"/>
      <c r="S676" s="35"/>
    </row>
    <row r="677" spans="15:19" x14ac:dyDescent="0.2">
      <c r="O677" s="54"/>
      <c r="Q677" s="35"/>
      <c r="R677" s="35"/>
      <c r="S677" s="35"/>
    </row>
    <row r="678" spans="15:19" x14ac:dyDescent="0.2">
      <c r="O678" s="54"/>
      <c r="Q678" s="35"/>
      <c r="R678" s="35"/>
      <c r="S678" s="35"/>
    </row>
    <row r="679" spans="15:19" x14ac:dyDescent="0.2">
      <c r="O679" s="54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17" priority="11" stopIfTrue="1">
      <formula>LEFT(#REF!,3)="TIR"</formula>
    </cfRule>
  </conditionalFormatting>
  <conditionalFormatting sqref="Q5:Y5">
    <cfRule type="expression" dxfId="16" priority="9" stopIfTrue="1">
      <formula>LEFT(#REF!,3)="TIR"</formula>
    </cfRule>
  </conditionalFormatting>
  <conditionalFormatting sqref="B10:I18 O10:O18">
    <cfRule type="expression" dxfId="15" priority="7" stopIfTrue="1">
      <formula>LEFT(#REF!,3)="TIR"</formula>
    </cfRule>
  </conditionalFormatting>
  <conditionalFormatting sqref="M10:N18 A18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K10:K18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A10:A17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D040-FB10-4169-9D4C-EC298ABF82AE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7" width="12.5703125" style="23" customWidth="1"/>
    <col min="8" max="8" width="10.42578125" style="22" bestFit="1" customWidth="1"/>
    <col min="9" max="9" width="10.42578125" style="23" bestFit="1" customWidth="1"/>
    <col min="10" max="10" width="9.85546875" style="24" bestFit="1" customWidth="1"/>
    <col min="11" max="11" width="11.5703125" style="24" bestFit="1" customWidth="1"/>
    <col min="12" max="12" width="11.28515625" style="24" customWidth="1"/>
    <col min="13" max="13" width="8" style="24" bestFit="1" customWidth="1"/>
    <col min="14" max="14" width="12.5703125" style="24" customWidth="1"/>
    <col min="15" max="15" width="11" style="53" bestFit="1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10" t="s">
        <v>119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159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9" t="s">
        <v>103</v>
      </c>
      <c r="M6" s="109" t="s">
        <v>17</v>
      </c>
      <c r="N6" s="109" t="s">
        <v>75</v>
      </c>
      <c r="O6" s="118" t="s">
        <v>104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139</v>
      </c>
      <c r="B10" s="48"/>
      <c r="C10" s="48"/>
      <c r="D10" s="48"/>
      <c r="E10" s="48"/>
      <c r="F10" s="48"/>
      <c r="G10" s="48"/>
      <c r="H10" s="87"/>
      <c r="I10" s="50"/>
      <c r="J10" s="51"/>
      <c r="K10" s="89"/>
      <c r="L10" s="51"/>
      <c r="M10" s="92"/>
      <c r="N10" s="96"/>
      <c r="O10" s="49"/>
      <c r="P10" s="28"/>
      <c r="Q10" s="28"/>
      <c r="R10" s="28"/>
      <c r="S10" s="28"/>
      <c r="T10" s="28"/>
      <c r="U10" s="28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5"/>
      <c r="N11" s="97"/>
      <c r="O11" s="41"/>
      <c r="P11" s="28"/>
      <c r="Q11" s="28"/>
      <c r="R11" s="28"/>
      <c r="S11" s="28"/>
      <c r="T11" s="28"/>
      <c r="U11" s="28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5"/>
      <c r="N12" s="97"/>
      <c r="O12" s="41"/>
      <c r="P12" s="28"/>
      <c r="Q12" s="28"/>
      <c r="R12" s="28"/>
      <c r="S12" s="28"/>
      <c r="T12" s="28"/>
      <c r="U12" s="28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5"/>
      <c r="N13" s="97"/>
      <c r="O13" s="41"/>
      <c r="P13" s="28"/>
      <c r="Q13" s="28"/>
      <c r="R13" s="28"/>
      <c r="S13" s="28"/>
      <c r="T13" s="28"/>
      <c r="U13" s="28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5"/>
      <c r="N14" s="97"/>
      <c r="O14" s="41"/>
      <c r="P14" s="28"/>
      <c r="Q14" s="28"/>
      <c r="R14" s="28"/>
      <c r="S14" s="28"/>
      <c r="T14" s="28"/>
      <c r="U14" s="28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5"/>
      <c r="N15" s="97"/>
      <c r="O15" s="41"/>
      <c r="P15" s="28"/>
      <c r="Q15" s="28"/>
      <c r="R15" s="28"/>
      <c r="S15" s="28"/>
      <c r="T15" s="28"/>
      <c r="U15" s="28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5"/>
      <c r="N16" s="97"/>
      <c r="O16" s="41"/>
      <c r="P16" s="28"/>
      <c r="Q16" s="28"/>
      <c r="R16" s="28"/>
      <c r="S16" s="28"/>
      <c r="T16" s="28"/>
      <c r="U16" s="28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5"/>
      <c r="N17" s="97"/>
      <c r="O17" s="41"/>
      <c r="P17" s="28"/>
      <c r="Q17" s="28"/>
      <c r="R17" s="28"/>
      <c r="S17" s="28"/>
      <c r="T17" s="28"/>
      <c r="U17" s="28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5"/>
      <c r="N18" s="96"/>
      <c r="O18" s="41"/>
      <c r="P18" s="28"/>
      <c r="Q18" s="28"/>
      <c r="R18" s="28"/>
      <c r="S18" s="28"/>
      <c r="T18" s="28"/>
      <c r="U18" s="28"/>
    </row>
    <row r="19" spans="1:21" x14ac:dyDescent="0.2">
      <c r="A19" s="33"/>
      <c r="B19" s="40"/>
      <c r="C19" s="40"/>
      <c r="D19" s="40"/>
      <c r="E19" s="40"/>
      <c r="F19" s="40"/>
      <c r="G19" s="40"/>
      <c r="H19" s="82"/>
      <c r="I19" s="42"/>
      <c r="J19" s="34"/>
      <c r="K19" s="89"/>
      <c r="L19" s="34"/>
      <c r="M19" s="65"/>
      <c r="N19" s="96"/>
      <c r="O19" s="41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4"/>
      <c r="Q20" s="35"/>
      <c r="R20" s="35"/>
      <c r="S20" s="35"/>
    </row>
    <row r="21" spans="1:21" x14ac:dyDescent="0.2">
      <c r="A21" s="132" t="s">
        <v>148</v>
      </c>
      <c r="O21" s="54"/>
      <c r="Q21" s="35"/>
      <c r="R21" s="35"/>
      <c r="S21" s="35"/>
    </row>
    <row r="22" spans="1:21" x14ac:dyDescent="0.2">
      <c r="A22" s="132" t="s">
        <v>149</v>
      </c>
      <c r="O22" s="54"/>
      <c r="Q22" s="35"/>
      <c r="R22" s="35"/>
      <c r="S22" s="35"/>
    </row>
    <row r="23" spans="1:21" x14ac:dyDescent="0.2">
      <c r="A23" s="132" t="s">
        <v>150</v>
      </c>
      <c r="O23" s="54"/>
      <c r="Q23" s="35"/>
      <c r="R23" s="35"/>
      <c r="S23" s="35"/>
    </row>
    <row r="24" spans="1:21" x14ac:dyDescent="0.2">
      <c r="A24" s="132" t="s">
        <v>151</v>
      </c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8" priority="13" stopIfTrue="1">
      <formula>LEFT(#REF!,3)="TIR"</formula>
    </cfRule>
  </conditionalFormatting>
  <conditionalFormatting sqref="Q5:Y5">
    <cfRule type="expression" dxfId="7" priority="11" stopIfTrue="1">
      <formula>LEFT(#REF!,3)="TIR"</formula>
    </cfRule>
  </conditionalFormatting>
  <conditionalFormatting sqref="B10:I19 O10:O19">
    <cfRule type="expression" dxfId="6" priority="9" stopIfTrue="1">
      <formula>LEFT(#REF!,3)="TIR"</formula>
    </cfRule>
  </conditionalFormatting>
  <conditionalFormatting sqref="K10:K19 M10:N19 A19">
    <cfRule type="expression" dxfId="5" priority="7" stopIfTrue="1">
      <formula>#REF!&gt;0</formula>
    </cfRule>
    <cfRule type="expression" dxfId="4" priority="8" stopIfTrue="1">
      <formula>LEFT(#REF!,3)="TIR"</formula>
    </cfRule>
  </conditionalFormatting>
  <conditionalFormatting sqref="A18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A10:A17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3BDE-9277-4E0B-95C1-620AC394A90B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165</v>
      </c>
    </row>
    <row r="2" spans="1:1" x14ac:dyDescent="0.2">
      <c r="A2" t="s">
        <v>166</v>
      </c>
    </row>
    <row r="3" spans="1:1" x14ac:dyDescent="0.2">
      <c r="A3" t="s">
        <v>167</v>
      </c>
    </row>
    <row r="4" spans="1:1" x14ac:dyDescent="0.2">
      <c r="A4" t="s">
        <v>168</v>
      </c>
    </row>
    <row r="5" spans="1:1" x14ac:dyDescent="0.2">
      <c r="A5" t="s">
        <v>169</v>
      </c>
    </row>
    <row r="6" spans="1:1" x14ac:dyDescent="0.2">
      <c r="A6" t="s">
        <v>170</v>
      </c>
    </row>
    <row r="7" spans="1:1" x14ac:dyDescent="0.2">
      <c r="A7" t="s">
        <v>171</v>
      </c>
    </row>
    <row r="8" spans="1:1" x14ac:dyDescent="0.2">
      <c r="A8" t="s">
        <v>172</v>
      </c>
    </row>
    <row r="9" spans="1:1" x14ac:dyDescent="0.2">
      <c r="A9" t="s">
        <v>173</v>
      </c>
    </row>
    <row r="10" spans="1:1" x14ac:dyDescent="0.2">
      <c r="A10" t="s">
        <v>174</v>
      </c>
    </row>
    <row r="11" spans="1:1" x14ac:dyDescent="0.2">
      <c r="A11" t="s">
        <v>175</v>
      </c>
    </row>
    <row r="12" spans="1:1" x14ac:dyDescent="0.2">
      <c r="A12" t="s">
        <v>176</v>
      </c>
    </row>
    <row r="13" spans="1:1" x14ac:dyDescent="0.2">
      <c r="A13" t="s">
        <v>177</v>
      </c>
    </row>
    <row r="14" spans="1:1" x14ac:dyDescent="0.2">
      <c r="A14" t="s">
        <v>178</v>
      </c>
    </row>
    <row r="15" spans="1:1" x14ac:dyDescent="0.2">
      <c r="A15" t="s">
        <v>179</v>
      </c>
    </row>
    <row r="16" spans="1:1" x14ac:dyDescent="0.2">
      <c r="A16" t="s">
        <v>180</v>
      </c>
    </row>
    <row r="17" spans="1:1" x14ac:dyDescent="0.2">
      <c r="A17" t="s">
        <v>181</v>
      </c>
    </row>
    <row r="18" spans="1:1" x14ac:dyDescent="0.2">
      <c r="A18" t="s">
        <v>182</v>
      </c>
    </row>
    <row r="19" spans="1:1" x14ac:dyDescent="0.2">
      <c r="A19" t="s">
        <v>183</v>
      </c>
    </row>
    <row r="20" spans="1:1" x14ac:dyDescent="0.2">
      <c r="A20" t="s">
        <v>184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5" spans="1:1" x14ac:dyDescent="0.2">
      <c r="A25" t="s">
        <v>189</v>
      </c>
    </row>
    <row r="26" spans="1:1" x14ac:dyDescent="0.2">
      <c r="A26" t="s">
        <v>190</v>
      </c>
    </row>
    <row r="27" spans="1:1" x14ac:dyDescent="0.2">
      <c r="A27" t="s">
        <v>191</v>
      </c>
    </row>
    <row r="28" spans="1:1" x14ac:dyDescent="0.2">
      <c r="A28" t="s">
        <v>192</v>
      </c>
    </row>
    <row r="29" spans="1:1" x14ac:dyDescent="0.2">
      <c r="A29" t="s">
        <v>193</v>
      </c>
    </row>
    <row r="30" spans="1:1" x14ac:dyDescent="0.2">
      <c r="A30" t="s">
        <v>194</v>
      </c>
    </row>
    <row r="31" spans="1:1" x14ac:dyDescent="0.2">
      <c r="A31" t="s">
        <v>195</v>
      </c>
    </row>
    <row r="32" spans="1:1" x14ac:dyDescent="0.2">
      <c r="A32" t="s">
        <v>196</v>
      </c>
    </row>
    <row r="33" spans="1:1" x14ac:dyDescent="0.2">
      <c r="A33" t="s">
        <v>197</v>
      </c>
    </row>
    <row r="34" spans="1:1" x14ac:dyDescent="0.2">
      <c r="A34" t="s">
        <v>198</v>
      </c>
    </row>
    <row r="35" spans="1:1" x14ac:dyDescent="0.2">
      <c r="A35" t="s">
        <v>199</v>
      </c>
    </row>
    <row r="36" spans="1:1" x14ac:dyDescent="0.2">
      <c r="A36" t="s">
        <v>200</v>
      </c>
    </row>
    <row r="37" spans="1:1" x14ac:dyDescent="0.2">
      <c r="A37" t="s">
        <v>201</v>
      </c>
    </row>
    <row r="38" spans="1:1" x14ac:dyDescent="0.2">
      <c r="A38" t="s">
        <v>202</v>
      </c>
    </row>
    <row r="39" spans="1:1" x14ac:dyDescent="0.2">
      <c r="A39" t="s">
        <v>203</v>
      </c>
    </row>
    <row r="40" spans="1:1" x14ac:dyDescent="0.2">
      <c r="A40" t="s">
        <v>204</v>
      </c>
    </row>
    <row r="41" spans="1:1" x14ac:dyDescent="0.2">
      <c r="A41" t="s">
        <v>205</v>
      </c>
    </row>
    <row r="42" spans="1:1" x14ac:dyDescent="0.2">
      <c r="A42" t="s">
        <v>206</v>
      </c>
    </row>
    <row r="43" spans="1:1" x14ac:dyDescent="0.2">
      <c r="A43" t="s">
        <v>207</v>
      </c>
    </row>
    <row r="44" spans="1:1" x14ac:dyDescent="0.2">
      <c r="A44" t="s">
        <v>208</v>
      </c>
    </row>
    <row r="45" spans="1:1" x14ac:dyDescent="0.2">
      <c r="A45" t="s">
        <v>209</v>
      </c>
    </row>
    <row r="46" spans="1:1" x14ac:dyDescent="0.2">
      <c r="A46" t="s">
        <v>210</v>
      </c>
    </row>
    <row r="47" spans="1:1" x14ac:dyDescent="0.2">
      <c r="A47" t="s">
        <v>211</v>
      </c>
    </row>
    <row r="48" spans="1:1" x14ac:dyDescent="0.2">
      <c r="A48" t="s">
        <v>212</v>
      </c>
    </row>
    <row r="49" spans="1:1" x14ac:dyDescent="0.2">
      <c r="A49" t="s">
        <v>213</v>
      </c>
    </row>
    <row r="50" spans="1:1" x14ac:dyDescent="0.2">
      <c r="A50" t="s">
        <v>214</v>
      </c>
    </row>
    <row r="51" spans="1:1" x14ac:dyDescent="0.2">
      <c r="A51" t="s">
        <v>215</v>
      </c>
    </row>
    <row r="52" spans="1:1" x14ac:dyDescent="0.2">
      <c r="A52" t="s">
        <v>216</v>
      </c>
    </row>
    <row r="53" spans="1:1" x14ac:dyDescent="0.2">
      <c r="A53" t="s">
        <v>217</v>
      </c>
    </row>
    <row r="54" spans="1:1" x14ac:dyDescent="0.2">
      <c r="A54" t="s">
        <v>218</v>
      </c>
    </row>
    <row r="55" spans="1:1" x14ac:dyDescent="0.2">
      <c r="A55" t="s">
        <v>219</v>
      </c>
    </row>
    <row r="56" spans="1:1" x14ac:dyDescent="0.2">
      <c r="A56" t="s">
        <v>220</v>
      </c>
    </row>
    <row r="57" spans="1:1" x14ac:dyDescent="0.2">
      <c r="A57" t="s">
        <v>221</v>
      </c>
    </row>
    <row r="58" spans="1:1" x14ac:dyDescent="0.2">
      <c r="A58" t="s">
        <v>222</v>
      </c>
    </row>
    <row r="59" spans="1:1" x14ac:dyDescent="0.2">
      <c r="A59" t="s">
        <v>223</v>
      </c>
    </row>
    <row r="60" spans="1:1" x14ac:dyDescent="0.2">
      <c r="A60" t="s">
        <v>224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2023-06-06T13:01:43Z</dcterms:created>
  <dcterms:modified xsi:type="dcterms:W3CDTF">2023-06-06T13:01:43Z</dcterms:modified>
  <cp:category/>
</cp:coreProperties>
</file>