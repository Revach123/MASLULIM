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ניות\דוח נכסים\רבעון 3\"/>
    </mc:Choice>
  </mc:AlternateContent>
  <xr:revisionPtr revIDLastSave="0" documentId="8_{F36C9F1B-B402-4CC3-9FA3-734D30B75C56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קונצרני'!$A$5:$T$23</definedName>
    <definedName name="_xlnm.Print_Area" localSheetId="9">אופציות!$A$5:$K$37</definedName>
    <definedName name="_xlnm.Print_Area" localSheetId="21">הלוואות!$A$5:$Q$66</definedName>
    <definedName name="_xlnm.Print_Area" localSheetId="25">'השקעות אחרות'!$A$5:$J$15</definedName>
    <definedName name="_xlnm.Print_Area" localSheetId="23">'זכויות מקרקעין'!$A$5:$H$15</definedName>
    <definedName name="_xlnm.Print_Area" localSheetId="10">'חוזים עתידיים'!$A$5:$G$45</definedName>
    <definedName name="_xlnm.Print_Area" localSheetId="26">'יתרת התחייבות להשקעה'!$A$1:$B$12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קונצרני'!$A$5:$R$23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מניות'!$A$5:$L$20</definedName>
    <definedName name="_xlnm.Print_Area" localSheetId="16">'לא סחיר - קרנות השקעה'!$A$5:$J$27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מזומנים!$A$5:$K$112</definedName>
    <definedName name="_xlnm.Print_Area" localSheetId="5">מניות!$A$5:$N$302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נאמנות'!$A$5:$N$36</definedName>
    <definedName name="_xlnm.Print_Area" localSheetId="6">'קרנות סל'!$A$5:$M$77</definedName>
    <definedName name="_xlnm.Print_Area" localSheetId="2">'תעודות התחייבות ממשלתיות'!$A$5:$Q$20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<sst xmlns="http://schemas.openxmlformats.org/spreadsheetml/2006/main" count="8541" uniqueCount="1940">
  <si>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</si>
  <si>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</si>
  <si>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</si>
  <si>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</si>
  <si>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</si>
  <si>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</si>
  <si>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</si>
  <si>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</si>
  <si>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</si>
  <si>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</si>
  <si>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</si>
  <si>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</si>
  <si>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</si>
  <si>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</si>
  <si>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</si>
  <si>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</si>
  <si>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</si>
  <si>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</si>
  <si>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</si>
  <si>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</si>
  <si>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</si>
  <si>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</si>
  <si>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</si>
  <si>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</si>
  <si>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</si>
  <si>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</si>
  <si>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</si>
  <si>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</si>
  <si>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</si>
  <si>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</si>
  <si>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</si>
  <si>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</si>
  <si>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</si>
  <si>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</si>
  <si>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</si>
  <si>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</si>
  <si>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</si>
  <si>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</si>
  <si>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</si>
  <si>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</si>
  <si>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</si>
  <si>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</si>
  <si>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</si>
  <si>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</si>
  <si>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</si>
  <si>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</si>
  <si>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</si>
  <si>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</si>
  <si>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</si>
  <si>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</si>
  <si>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</si>
  <si>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</si>
  <si>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</si>
  <si>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</si>
  <si>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</si>
  <si>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</si>
  <si>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</si>
  <si>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</si>
  <si>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</si>
  <si>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</si>
  <si>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</si>
  <si>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</si>
  <si>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</si>
  <si>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</si>
  <si>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</si>
  <si>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</si>
  <si>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</si>
  <si>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</si>
  <si>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</si>
  <si>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</si>
  <si>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</si>
  <si>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</si>
  <si>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</si>
  <si>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</si>
  <si>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</si>
  <si>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</si>
  <si>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</si>
  <si>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</si>
  <si>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</si>
  <si>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</si>
  <si>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</si>
  <si>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</si>
  <si>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</si>
  <si>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</si>
  <si>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</si>
  <si>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</si>
  <si>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</si>
  <si>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</si>
  <si>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</si>
  <si>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</si>
  <si>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</si>
  <si>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</si>
  <si>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</si>
  <si>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</si>
  <si>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</si>
  <si>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</si>
  <si>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</si>
  <si>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</si>
  <si>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</si>
  <si>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</si>
  <si>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</si>
  <si>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</si>
  <si>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</si>
  <si>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</si>
  <si>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</si>
  <si>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</si>
  <si>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</si>
  <si>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</si>
  <si>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</si>
  <si>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</si>
  <si>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</si>
  <si>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</si>
  <si>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</si>
  <si>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</si>
  <si>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</si>
  <si>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</si>
  <si>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</si>
  <si>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</si>
  <si>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</si>
  <si>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</si>
  <si>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</si>
  <si>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</si>
  <si>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</si>
  <si>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</si>
  <si>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</si>
  <si>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</si>
  <si>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</si>
  <si>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</si>
  <si>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</si>
  <si>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</si>
  <si>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</si>
  <si>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</si>
  <si>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</si>
  <si>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</si>
  <si>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</si>
  <si>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</si>
  <si>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</si>
  <si>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</si>
  <si>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</si>
  <si>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</si>
  <si>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</si>
  <si>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</si>
  <si>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</si>
  <si>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</si>
  <si>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</si>
  <si>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</si>
  <si>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</si>
  <si>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</si>
  <si>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</si>
  <si>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</si>
  <si>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</si>
  <si>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</si>
  <si>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</si>
  <si>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</si>
  <si>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</si>
  <si>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</si>
  <si>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</si>
  <si>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</si>
  <si>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</si>
  <si>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</si>
  <si>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</si>
  <si>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</si>
  <si>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</si>
  <si>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</si>
  <si>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</si>
  <si>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</si>
  <si>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</si>
  <si>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</si>
  <si>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</si>
  <si>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</si>
  <si>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</si>
  <si>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</si>
  <si>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</si>
  <si>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</si>
  <si>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</si>
  <si>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</si>
  <si>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</si>
  <si>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</si>
  <si>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</si>
  <si>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</si>
  <si>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</si>
  <si>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</si>
  <si>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</si>
  <si>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</si>
  <si>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</si>
  <si>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</si>
  <si>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</si>
  <si>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</si>
  <si>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</si>
  <si>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</si>
  <si>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</si>
  <si>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</si>
  <si>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</si>
  <si>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</si>
  <si>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</si>
  <si>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</si>
  <si>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</si>
  <si>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</si>
  <si>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</si>
  <si>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</si>
  <si>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</si>
  <si>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</si>
  <si>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</si>
  <si>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</si>
  <si>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</si>
  <si>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</si>
  <si>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</si>
  <si>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</si>
  <si>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</si>
  <si>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</si>
  <si>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</si>
  <si>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</si>
  <si>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</si>
  <si>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</si>
  <si>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</si>
  <si>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</si>
  <si>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</si>
  <si>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</si>
  <si>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</si>
  <si>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</si>
  <si>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</si>
  <si>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</si>
  <si>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</si>
  <si>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</si>
  <si>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</si>
  <si>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</si>
  <si>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</si>
  <si>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</si>
  <si>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</si>
  <si>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</si>
  <si>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</si>
  <si>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</si>
  <si>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</si>
  <si>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</si>
  <si>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</si>
  <si>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</si>
  <si>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</si>
  <si>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127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</si>
  <si>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</si>
  <si>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</si>
  <si>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</si>
  <si>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</si>
  <si>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</si>
  <si>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</si>
  <si>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</si>
  <si>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</si>
  <si>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</si>
  <si>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</si>
  <si>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</si>
  <si>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</si>
  <si>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31</t>
  </si>
  <si>
    <t>30019940</t>
  </si>
  <si>
    <t>20</t>
  </si>
  <si>
    <t>30024160</t>
  </si>
  <si>
    <t>10</t>
  </si>
  <si>
    <t>30041130</t>
  </si>
  <si>
    <t>30091650</t>
  </si>
  <si>
    <t>30099230</t>
  </si>
  <si>
    <t>30022260</t>
  </si>
  <si>
    <t>30029290</t>
  </si>
  <si>
    <t>27401409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</si>
  <si>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</si>
  <si>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</si>
  <si>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</si>
  <si>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</si>
  <si>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</si>
  <si>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</si>
  <si>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</si>
  <si>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</si>
  <si>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</si>
  <si>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</si>
  <si>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</si>
  <si>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</si>
  <si>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</si>
  <si>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</si>
  <si>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</si>
  <si>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</si>
  <si>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</si>
  <si>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</si>
  <si>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</si>
  <si>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51722814</t>
  </si>
  <si>
    <t>30091690</t>
  </si>
  <si>
    <t>30005480</t>
  </si>
  <si>
    <t>30020380</t>
  </si>
  <si>
    <t>30099270</t>
  </si>
  <si>
    <t>30024200</t>
  </si>
  <si>
    <t>30029330</t>
  </si>
  <si>
    <t>26295742</t>
  </si>
  <si>
    <t>30023530</t>
  </si>
  <si>
    <t>30091710</t>
  </si>
  <si>
    <t>30020400</t>
  </si>
  <si>
    <t>30023590</t>
  </si>
  <si>
    <t>84517228</t>
  </si>
  <si>
    <t>65274/1 + כל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</si>
  <si>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</si>
  <si>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</si>
  <si>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</si>
  <si>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</si>
  <si>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</si>
  <si>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</si>
  <si>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</si>
  <si>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</si>
  <si>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</si>
  <si>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30099250</t>
  </si>
  <si>
    <t>30029310</t>
  </si>
  <si>
    <t>29295735</t>
  </si>
  <si>
    <t>29401409</t>
  </si>
  <si>
    <t>30019390</t>
  </si>
  <si>
    <t>30023510</t>
  </si>
  <si>
    <t>30030300</t>
  </si>
  <si>
    <t>30022360</t>
  </si>
  <si>
    <t>29517283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</si>
  <si>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</si>
  <si>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</si>
  <si>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</si>
  <si>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</si>
  <si>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</si>
  <si>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</si>
  <si>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</si>
  <si>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</si>
  <si>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</si>
  <si>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</si>
  <si>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</si>
  <si>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</si>
  <si>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</si>
  <si>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</si>
  <si>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</si>
  <si>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</si>
  <si>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</si>
  <si>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</si>
  <si>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30002640</t>
  </si>
  <si>
    <t>30022320</t>
  </si>
  <si>
    <t>30029410</t>
  </si>
  <si>
    <t>30091770</t>
  </si>
  <si>
    <t>30022080</t>
  </si>
  <si>
    <t>30023610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</si>
  <si>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</si>
  <si>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</si>
  <si>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</si>
  <si>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</si>
  <si>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</si>
  <si>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</si>
  <si>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</si>
  <si>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</si>
  <si>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</si>
  <si>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</si>
  <si>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</si>
  <si>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30096450</t>
  </si>
  <si>
    <t>88</t>
  </si>
  <si>
    <t>A1</t>
  </si>
  <si>
    <t>Moodys</t>
  </si>
  <si>
    <t>26857051</t>
  </si>
  <si>
    <t>26702320</t>
  </si>
  <si>
    <t>30180994</t>
  </si>
  <si>
    <t>23857051</t>
  </si>
  <si>
    <t>70232855</t>
  </si>
  <si>
    <t>30033010</t>
  </si>
  <si>
    <t>30006810</t>
  </si>
  <si>
    <t>30096430</t>
  </si>
  <si>
    <t>29857051</t>
  </si>
  <si>
    <t>30040310</t>
  </si>
  <si>
    <t>30064710</t>
  </si>
  <si>
    <t>30099730</t>
  </si>
  <si>
    <t>30099750</t>
  </si>
  <si>
    <t>30099810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</si>
  <si>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</si>
  <si>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</si>
  <si>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</si>
  <si>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</si>
  <si>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</si>
  <si>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</si>
  <si>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</si>
  <si>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</si>
  <si>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</si>
  <si>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</si>
  <si>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פטרוכימיים אגח 1</t>
  </si>
  <si>
    <t>7560154</t>
  </si>
  <si>
    <t>TASE</t>
  </si>
  <si>
    <t>520029315</t>
  </si>
  <si>
    <t>אנרגיה</t>
  </si>
  <si>
    <t>NR</t>
  </si>
  <si>
    <t>29/06/2015</t>
  </si>
  <si>
    <t>אנרגיקס אגח ב</t>
  </si>
  <si>
    <t>1168483</t>
  </si>
  <si>
    <t>513901371</t>
  </si>
  <si>
    <t>A2.il</t>
  </si>
  <si>
    <t>מידרוג</t>
  </si>
  <si>
    <t>07/09/2020</t>
  </si>
  <si>
    <t>סה"כ צמודות למדד אחר</t>
  </si>
  <si>
    <t>WIX 0 08/15/25</t>
  </si>
  <si>
    <t>US92940WAC38</t>
  </si>
  <si>
    <t>Bloomberg</t>
  </si>
  <si>
    <t>14/08/2020</t>
  </si>
  <si>
    <t>NICEIT 0 09/15/25</t>
  </si>
  <si>
    <t>US653656AA68</t>
  </si>
  <si>
    <t>520036872</t>
  </si>
  <si>
    <t>27/08/2020</t>
  </si>
  <si>
    <t>CNK 4.5 08/15/25</t>
  </si>
  <si>
    <t>US17243VAA08</t>
  </si>
  <si>
    <t>16/09/2020</t>
  </si>
  <si>
    <t>סה"כ תל אביב 35</t>
  </si>
  <si>
    <t>בזק- חברה ישראלית לתקשורת בע"מ</t>
  </si>
  <si>
    <t>230011</t>
  </si>
  <si>
    <t>520031931</t>
  </si>
  <si>
    <t>נייס סיסטמס -דואלי</t>
  </si>
  <si>
    <t>273011</t>
  </si>
  <si>
    <t>איי.סי.אל</t>
  </si>
  <si>
    <t>281014</t>
  </si>
  <si>
    <t>520027830</t>
  </si>
  <si>
    <t>טבע דואלי</t>
  </si>
  <si>
    <t>629014</t>
  </si>
  <si>
    <t>520013954</t>
  </si>
  <si>
    <t>פארמה</t>
  </si>
  <si>
    <t>691212</t>
  </si>
  <si>
    <t>520007030</t>
  </si>
  <si>
    <t>שטראוס עלית (עלית  1 )</t>
  </si>
  <si>
    <t>746016</t>
  </si>
  <si>
    <t>520003781</t>
  </si>
  <si>
    <t>אלביט מערכות דואלי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</si>
  <si>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</si>
  <si>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</si>
  <si>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</si>
  <si>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</si>
  <si>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</si>
  <si>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</si>
  <si>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</si>
  <si>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</si>
  <si>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</si>
  <si>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</si>
  <si>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</si>
  <si>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</si>
  <si>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</si>
  <si>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</si>
  <si>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נדל"ן מניב בישראל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</si>
  <si>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</si>
  <si>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</si>
  <si>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</si>
  <si>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</si>
  <si>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</si>
  <si>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</si>
  <si>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</si>
  <si>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</si>
  <si>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</si>
  <si>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</si>
  <si>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</si>
  <si>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</si>
  <si>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</si>
  <si>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</si>
  <si>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</si>
  <si>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</si>
  <si>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</si>
  <si>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</si>
  <si>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</si>
  <si>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</si>
  <si>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511659401</t>
  </si>
  <si>
    <t>אלוני חץ</t>
  </si>
  <si>
    <t>390013</t>
  </si>
  <si>
    <t>520038506</t>
  </si>
  <si>
    <t>אמות</t>
  </si>
  <si>
    <t>1097278</t>
  </si>
  <si>
    <t>520026683</t>
  </si>
  <si>
    <t>שופרסל</t>
  </si>
  <si>
    <t>777037</t>
  </si>
  <si>
    <t>520022732</t>
  </si>
  <si>
    <t>הפניקס 1</t>
  </si>
  <si>
    <t>767012</t>
  </si>
  <si>
    <t>520017450</t>
  </si>
  <si>
    <t>שפיר הנדסה</t>
  </si>
  <si>
    <t>1133875</t>
  </si>
  <si>
    <t>514892801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</si>
  <si>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</si>
  <si>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</si>
  <si>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</si>
  <si>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</si>
  <si>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</si>
  <si>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</si>
  <si>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</si>
  <si>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</si>
  <si>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520036104</t>
  </si>
  <si>
    <t>בנייה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</si>
  <si>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</si>
  <si>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</si>
  <si>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</si>
  <si>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</si>
  <si>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</si>
  <si>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</si>
  <si>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520024126</t>
  </si>
  <si>
    <t>אלקטרה</t>
  </si>
  <si>
    <t>739037</t>
  </si>
  <si>
    <t>520028911</t>
  </si>
  <si>
    <t>השקעה ואחזקות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</si>
  <si>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</si>
  <si>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</si>
  <si>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</si>
  <si>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</si>
  <si>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</si>
  <si>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</si>
  <si>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</si>
  <si>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</si>
  <si>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</si>
  <si>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</si>
  <si>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</si>
  <si>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</si>
  <si>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</si>
  <si>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</si>
  <si>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</si>
  <si>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</si>
  <si>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</si>
  <si>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</si>
  <si>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</si>
  <si>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</si>
  <si>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</si>
  <si>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</si>
  <si>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</si>
  <si>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</si>
  <si>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</si>
  <si>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</si>
  <si>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</si>
  <si>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</si>
  <si>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</si>
  <si>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</si>
  <si>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</si>
  <si>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</si>
  <si>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אלקו</t>
  </si>
  <si>
    <t>694034</t>
  </si>
  <si>
    <t>520025370</t>
  </si>
  <si>
    <t>אפריקה נכסים</t>
  </si>
  <si>
    <t>1091354</t>
  </si>
  <si>
    <t>510560188</t>
  </si>
  <si>
    <t>נדל"ן מניב בחו"ל</t>
  </si>
  <si>
    <t>דלק רכב</t>
  </si>
  <si>
    <t>829010</t>
  </si>
  <si>
    <t>520033291</t>
  </si>
  <si>
    <t>רבוע כחול נדלן</t>
  </si>
  <si>
    <t>1098565</t>
  </si>
  <si>
    <t>513765859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</si>
  <si>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</si>
  <si>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</si>
  <si>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</si>
  <si>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</si>
  <si>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</si>
  <si>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</si>
  <si>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</si>
  <si>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</si>
  <si>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</si>
  <si>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</si>
  <si>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</si>
  <si>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</si>
  <si>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</si>
  <si>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</si>
  <si>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</si>
  <si>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</si>
  <si>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</si>
  <si>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</si>
  <si>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</si>
  <si>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</si>
  <si>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</si>
  <si>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</si>
  <si>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</si>
  <si>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</si>
  <si>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</si>
  <si>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</si>
  <si>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</si>
  <si>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</si>
  <si>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</si>
  <si>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</si>
  <si>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</si>
  <si>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</si>
  <si>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520036617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</si>
  <si>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</si>
  <si>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</si>
  <si>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</si>
  <si>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</si>
  <si>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</si>
  <si>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</si>
  <si>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</si>
  <si>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</si>
  <si>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</si>
  <si>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</si>
  <si>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</si>
  <si>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</si>
  <si>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</si>
  <si>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</si>
  <si>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513257873</t>
  </si>
  <si>
    <t>מגדלי תיכון</t>
  </si>
  <si>
    <t>1131523</t>
  </si>
  <si>
    <t>512719485</t>
  </si>
  <si>
    <t>מג'יק תעשיות תכנה דואלי</t>
  </si>
  <si>
    <t>1082312</t>
  </si>
  <si>
    <t>520036740</t>
  </si>
  <si>
    <t>ישרס</t>
  </si>
  <si>
    <t>613034</t>
  </si>
  <si>
    <t>520017807</t>
  </si>
  <si>
    <t>קרסו</t>
  </si>
  <si>
    <t>1123850</t>
  </si>
  <si>
    <t>514065283</t>
  </si>
  <si>
    <t>או פי סי אנרגיה</t>
  </si>
  <si>
    <t>1141571</t>
  </si>
  <si>
    <t>514401702</t>
  </si>
  <si>
    <t>ביג</t>
  </si>
  <si>
    <t>1097260</t>
  </si>
  <si>
    <t>513623314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</si>
  <si>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</si>
  <si>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</si>
  <si>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</si>
  <si>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</si>
  <si>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</si>
  <si>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</si>
  <si>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</si>
  <si>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</si>
  <si>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</si>
  <si>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</si>
  <si>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</si>
  <si>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</si>
  <si>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</si>
  <si>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</si>
  <si>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</si>
  <si>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</si>
  <si>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</si>
  <si>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</si>
  <si>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</si>
  <si>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</si>
  <si>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</si>
  <si>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</si>
  <si>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</si>
  <si>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</si>
  <si>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</si>
  <si>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</si>
  <si>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</si>
  <si>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</si>
  <si>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</si>
  <si>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</si>
  <si>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</si>
  <si>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</si>
  <si>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</si>
  <si>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</si>
  <si>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</si>
  <si>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</si>
  <si>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</si>
  <si>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</si>
  <si>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</si>
  <si>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</si>
  <si>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</si>
  <si>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</si>
  <si>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</si>
  <si>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</si>
  <si>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</si>
  <si>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</si>
  <si>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</si>
  <si>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</si>
  <si>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</si>
  <si>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</si>
  <si>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</si>
  <si>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</si>
  <si>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</si>
  <si>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</si>
  <si>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</si>
  <si>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</si>
  <si>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</si>
  <si>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</si>
  <si>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</si>
  <si>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</si>
  <si>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</si>
  <si>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</si>
  <si>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</si>
  <si>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510381601</t>
  </si>
  <si>
    <t>אפריקה מגורים</t>
  </si>
  <si>
    <t>1097948</t>
  </si>
  <si>
    <t>520034760</t>
  </si>
  <si>
    <t>אבגול</t>
  </si>
  <si>
    <t>1100957</t>
  </si>
  <si>
    <t>510119068</t>
  </si>
  <si>
    <t>נובולוג</t>
  </si>
  <si>
    <t>1140151</t>
  </si>
  <si>
    <t>510475312</t>
  </si>
  <si>
    <t>פתאל החזקות</t>
  </si>
  <si>
    <t>1143429</t>
  </si>
  <si>
    <t>512607888</t>
  </si>
  <si>
    <t>דוראל</t>
  </si>
  <si>
    <t>1166768</t>
  </si>
  <si>
    <t>515364891</t>
  </si>
  <si>
    <t>גזית גלוב</t>
  </si>
  <si>
    <t>126011</t>
  </si>
  <si>
    <t>520033234</t>
  </si>
  <si>
    <t>בתי זיקוק בזן</t>
  </si>
  <si>
    <t>2590248</t>
  </si>
  <si>
    <t>520036658</t>
  </si>
  <si>
    <t>חברה לישראל</t>
  </si>
  <si>
    <t>576017</t>
  </si>
  <si>
    <t>520028010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</si>
  <si>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</si>
  <si>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</si>
  <si>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</si>
  <si>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</si>
  <si>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</si>
  <si>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</si>
  <si>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</si>
  <si>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</si>
  <si>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</si>
  <si>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</si>
  <si>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</si>
  <si>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</si>
  <si>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</si>
  <si>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</si>
  <si>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</si>
  <si>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</si>
  <si>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</si>
  <si>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</si>
  <si>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</si>
  <si>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</si>
  <si>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</si>
  <si>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</si>
  <si>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</si>
  <si>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</si>
  <si>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</si>
  <si>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</si>
  <si>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</si>
  <si>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</si>
  <si>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</si>
  <si>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</si>
  <si>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</si>
  <si>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</si>
  <si>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</si>
  <si>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</si>
  <si>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</si>
  <si>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</si>
  <si>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</si>
  <si>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</si>
  <si>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</si>
  <si>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</si>
  <si>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</si>
  <si>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</si>
  <si>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</si>
  <si>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</si>
  <si>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</si>
  <si>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</si>
  <si>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</si>
  <si>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</si>
  <si>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</si>
  <si>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</si>
  <si>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</si>
  <si>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</si>
  <si>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</si>
  <si>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</si>
  <si>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</si>
  <si>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</si>
  <si>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</si>
  <si>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</si>
  <si>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</si>
  <si>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</si>
  <si>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</si>
  <si>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</si>
  <si>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</si>
  <si>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515327120</t>
  </si>
  <si>
    <t>ג'נריישן קפיטל</t>
  </si>
  <si>
    <t>1156926</t>
  </si>
  <si>
    <t>515846558</t>
  </si>
  <si>
    <t>אלרוב נדלן ומלונאות (אל קנית)</t>
  </si>
  <si>
    <t>387019</t>
  </si>
  <si>
    <t>520038894</t>
  </si>
  <si>
    <t>מגוריט</t>
  </si>
  <si>
    <t>1139195</t>
  </si>
  <si>
    <t>515434074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</si>
  <si>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</si>
  <si>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</si>
  <si>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</si>
  <si>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</si>
  <si>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</si>
  <si>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</si>
  <si>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</si>
  <si>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</si>
  <si>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</si>
  <si>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</si>
  <si>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</si>
  <si>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</si>
  <si>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</si>
  <si>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</si>
  <si>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</si>
  <si>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</si>
  <si>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</si>
  <si>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</si>
  <si>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</si>
  <si>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</si>
  <si>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</si>
  <si>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</si>
  <si>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520043878</t>
  </si>
  <si>
    <t>צור שמיר</t>
  </si>
  <si>
    <t>730010</t>
  </si>
  <si>
    <t>520025586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</si>
  <si>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</si>
  <si>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</si>
  <si>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</si>
  <si>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</si>
  <si>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</si>
  <si>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</si>
  <si>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</si>
  <si>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</si>
  <si>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</si>
  <si>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</si>
  <si>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</si>
  <si>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</si>
  <si>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</si>
  <si>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</si>
  <si>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</si>
  <si>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</si>
  <si>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</si>
  <si>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</si>
  <si>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</si>
  <si>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</si>
  <si>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</si>
  <si>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</si>
  <si>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</si>
  <si>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</si>
  <si>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</si>
  <si>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</si>
  <si>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</si>
  <si>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</si>
  <si>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</si>
  <si>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</si>
  <si>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</si>
  <si>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</si>
  <si>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</si>
  <si>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</si>
  <si>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</si>
  <si>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</si>
  <si>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</si>
  <si>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</si>
  <si>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</si>
  <si>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</si>
  <si>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</si>
  <si>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</si>
  <si>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</si>
  <si>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</si>
  <si>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</si>
  <si>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</si>
  <si>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</si>
  <si>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</si>
  <si>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</si>
  <si>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</si>
  <si>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</si>
  <si>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</si>
  <si>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</si>
  <si>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</si>
  <si>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</si>
  <si>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</si>
  <si>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</si>
  <si>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</si>
  <si>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</si>
  <si>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</si>
  <si>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</si>
  <si>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</si>
  <si>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</si>
  <si>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</si>
  <si>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</si>
  <si>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</si>
  <si>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</si>
  <si>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</si>
  <si>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</si>
  <si>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</si>
  <si>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</si>
  <si>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</si>
  <si>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</si>
  <si>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</si>
  <si>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</si>
  <si>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</si>
  <si>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</si>
  <si>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</si>
  <si>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</si>
  <si>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</si>
  <si>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</si>
  <si>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</si>
  <si>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</si>
  <si>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</si>
  <si>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</si>
  <si>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</si>
  <si>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</si>
  <si>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</si>
  <si>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</si>
  <si>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</si>
  <si>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</si>
  <si>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</si>
  <si>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</si>
  <si>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</si>
  <si>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</si>
  <si>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</si>
  <si>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</si>
  <si>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</si>
  <si>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</si>
  <si>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</si>
  <si>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</si>
  <si>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</si>
  <si>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</si>
  <si>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</si>
  <si>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</si>
  <si>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</si>
  <si>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</si>
  <si>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</si>
  <si>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</si>
  <si>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</si>
  <si>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</si>
  <si>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</si>
  <si>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</si>
  <si>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</si>
  <si>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</si>
  <si>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</si>
  <si>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</si>
  <si>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</si>
  <si>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</si>
  <si>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</si>
  <si>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</si>
  <si>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</si>
  <si>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</si>
  <si>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</si>
  <si>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</si>
  <si>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</si>
  <si>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</si>
  <si>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BOO LN Equity</t>
  </si>
  <si>
    <t>JE00BG6L7297</t>
  </si>
  <si>
    <t>ITM LN Equity</t>
  </si>
  <si>
    <t>GB00B0130H42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</si>
  <si>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</si>
  <si>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</si>
  <si>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</si>
  <si>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</si>
  <si>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</si>
  <si>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</si>
  <si>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</si>
  <si>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</si>
  <si>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</si>
  <si>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</si>
  <si>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</si>
  <si>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</si>
  <si>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</si>
  <si>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</si>
  <si>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</si>
  <si>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</si>
  <si>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</si>
  <si>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</si>
  <si>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</si>
  <si>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</si>
  <si>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</si>
  <si>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</si>
  <si>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</si>
  <si>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</si>
  <si>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</si>
  <si>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</si>
  <si>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</si>
  <si>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</si>
  <si>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</si>
  <si>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</si>
  <si>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</si>
  <si>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</si>
  <si>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</si>
  <si>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</si>
  <si>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</si>
  <si>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</si>
  <si>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</si>
  <si>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</si>
  <si>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</si>
  <si>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</si>
  <si>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</si>
  <si>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</si>
  <si>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</si>
  <si>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</si>
  <si>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</si>
  <si>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</si>
  <si>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C US Equity</t>
  </si>
  <si>
    <t>US1729674242</t>
  </si>
  <si>
    <t>560014706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</si>
  <si>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</si>
  <si>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</si>
  <si>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</si>
  <si>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</si>
  <si>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</si>
  <si>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</si>
  <si>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</si>
  <si>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</si>
  <si>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</si>
  <si>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</si>
  <si>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</si>
  <si>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</si>
  <si>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</si>
  <si>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</si>
  <si>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</si>
  <si>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</si>
  <si>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</si>
  <si>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</si>
  <si>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</si>
  <si>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</si>
  <si>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</si>
  <si>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</si>
  <si>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</si>
  <si>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</si>
  <si>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</si>
  <si>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</si>
  <si>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</si>
  <si>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</si>
  <si>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</si>
  <si>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</si>
  <si>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</si>
  <si>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</si>
  <si>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</si>
  <si>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</si>
  <si>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</si>
  <si>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</si>
  <si>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</si>
  <si>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</si>
  <si>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</si>
  <si>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</si>
  <si>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</si>
  <si>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</si>
  <si>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</si>
  <si>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</si>
  <si>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</si>
  <si>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</si>
  <si>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</si>
  <si>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</si>
  <si>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</si>
  <si>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</si>
  <si>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</si>
  <si>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</si>
  <si>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</si>
  <si>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</si>
  <si>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</si>
  <si>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</si>
  <si>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</si>
  <si>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</si>
  <si>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</si>
  <si>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</si>
  <si>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</si>
  <si>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</si>
  <si>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</si>
  <si>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</si>
  <si>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</si>
  <si>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</si>
  <si>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</si>
  <si>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</si>
  <si>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</si>
  <si>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</si>
  <si>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</si>
  <si>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</si>
  <si>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</si>
  <si>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</si>
  <si>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</si>
  <si>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</si>
  <si>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</si>
  <si>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</si>
  <si>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</si>
  <si>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</si>
  <si>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</si>
  <si>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</si>
  <si>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</si>
  <si>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</si>
  <si>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</si>
  <si>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</si>
  <si>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</si>
  <si>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</si>
  <si>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</si>
  <si>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</si>
  <si>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</si>
  <si>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</si>
  <si>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</si>
  <si>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</si>
  <si>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</si>
  <si>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</si>
  <si>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</si>
  <si>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</si>
  <si>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</si>
  <si>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</si>
  <si>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</si>
  <si>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</si>
  <si>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</si>
  <si>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</si>
  <si>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</si>
  <si>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</si>
  <si>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</si>
  <si>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</si>
  <si>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</si>
  <si>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</si>
  <si>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</si>
  <si>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</si>
  <si>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</si>
  <si>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</si>
  <si>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</si>
  <si>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</si>
  <si>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</si>
  <si>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</si>
  <si>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</si>
  <si>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</si>
  <si>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</si>
  <si>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</si>
  <si>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</si>
  <si>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</si>
  <si>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</si>
  <si>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</si>
  <si>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</si>
  <si>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</si>
  <si>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</si>
  <si>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</si>
  <si>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</si>
  <si>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</si>
  <si>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</si>
  <si>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</si>
  <si>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</si>
  <si>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</si>
  <si>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</si>
  <si>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</si>
  <si>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</si>
  <si>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</si>
  <si>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90</t>
  </si>
  <si>
    <t>1143783</t>
  </si>
  <si>
    <t>513534974</t>
  </si>
  <si>
    <t>מניות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</si>
  <si>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</si>
  <si>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</si>
  <si>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</si>
  <si>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</si>
  <si>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</si>
  <si>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</si>
  <si>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</si>
  <si>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</si>
  <si>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</si>
  <si>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</si>
  <si>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</si>
  <si>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</si>
  <si>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</si>
  <si>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</si>
  <si>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</si>
  <si>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</si>
  <si>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</si>
  <si>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</si>
  <si>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</si>
  <si>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</si>
  <si>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</si>
  <si>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</si>
  <si>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</si>
  <si>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</si>
  <si>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</si>
  <si>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</si>
  <si>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</si>
  <si>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</si>
  <si>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</si>
  <si>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</si>
  <si>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</si>
  <si>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</si>
  <si>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</si>
  <si>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</si>
  <si>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</si>
  <si>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</si>
  <si>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</si>
  <si>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</si>
  <si>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</si>
  <si>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</si>
  <si>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</si>
  <si>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</si>
  <si>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</si>
  <si>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</si>
  <si>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</si>
  <si>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</si>
  <si>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</si>
  <si>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</si>
  <si>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</si>
  <si>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</si>
  <si>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</si>
  <si>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</si>
  <si>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</si>
  <si>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</si>
  <si>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</si>
  <si>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</si>
  <si>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</si>
  <si>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</si>
  <si>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</si>
  <si>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</si>
  <si>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</si>
  <si>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</si>
  <si>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</si>
  <si>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</si>
  <si>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</si>
  <si>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</si>
  <si>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</si>
  <si>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</si>
  <si>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</si>
  <si>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</si>
  <si>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</si>
  <si>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</si>
  <si>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</si>
  <si>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</si>
  <si>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</si>
  <si>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</si>
  <si>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</si>
  <si>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</si>
  <si>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</si>
  <si>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GLD US Equity</t>
  </si>
  <si>
    <t>US78463V1070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</si>
  <si>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</si>
  <si>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</si>
  <si>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</si>
  <si>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</si>
  <si>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</si>
  <si>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</si>
  <si>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</si>
  <si>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</si>
  <si>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</si>
  <si>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</si>
  <si>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</si>
  <si>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</si>
  <si>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</si>
  <si>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</si>
  <si>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</si>
  <si>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</si>
  <si>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</si>
  <si>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</si>
  <si>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</si>
  <si>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</si>
  <si>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</si>
  <si>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</si>
  <si>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</si>
  <si>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</si>
  <si>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</si>
  <si>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</si>
  <si>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</si>
  <si>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</si>
  <si>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</si>
  <si>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</si>
  <si>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</si>
  <si>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</si>
  <si>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</si>
  <si>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</si>
  <si>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</si>
  <si>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</si>
  <si>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</si>
  <si>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</si>
  <si>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</si>
  <si>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</si>
  <si>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</si>
  <si>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</si>
  <si>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</si>
  <si>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</si>
  <si>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</si>
  <si>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</si>
  <si>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</si>
  <si>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</si>
  <si>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</si>
  <si>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</si>
  <si>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</si>
  <si>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</si>
  <si>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</si>
  <si>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</si>
  <si>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</si>
  <si>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</si>
  <si>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</si>
  <si>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</si>
  <si>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</si>
  <si>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</si>
  <si>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</si>
  <si>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</si>
  <si>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</si>
  <si>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</si>
  <si>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</si>
  <si>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</si>
  <si>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</si>
  <si>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</si>
  <si>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</si>
  <si>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</si>
  <si>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</si>
  <si>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</si>
  <si>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</si>
  <si>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</si>
  <si>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</si>
  <si>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</si>
  <si>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</si>
  <si>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</si>
  <si>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</si>
  <si>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</si>
  <si>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</si>
  <si>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</si>
  <si>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</si>
  <si>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</si>
  <si>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</si>
  <si>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</si>
  <si>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</si>
  <si>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</si>
  <si>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CLZ0P 43.00 Comdty</t>
  </si>
  <si>
    <t>70429469</t>
  </si>
  <si>
    <t>CLZ0C 48.00 Comdty</t>
  </si>
  <si>
    <t>70448824</t>
  </si>
  <si>
    <t>LCV0C 100 Comdty</t>
  </si>
  <si>
    <t>70517131</t>
  </si>
  <si>
    <t>C Z0C 400 Comdty</t>
  </si>
  <si>
    <t>70540463</t>
  </si>
  <si>
    <t>CLX0P 35.00 Comdty</t>
  </si>
  <si>
    <t>70720974</t>
  </si>
  <si>
    <t>C Z0C 360 Comdty</t>
  </si>
  <si>
    <t>70700844</t>
  </si>
  <si>
    <t>S F1P 920 Comdty</t>
  </si>
  <si>
    <t>70737473</t>
  </si>
  <si>
    <t>C H1P 350 Comdty</t>
  </si>
  <si>
    <t>70737556</t>
  </si>
  <si>
    <t>C H1P 340 Comdty</t>
  </si>
  <si>
    <t>70738133</t>
  </si>
  <si>
    <t>CLG1P 40.00 Comdty</t>
  </si>
  <si>
    <t>70706718</t>
  </si>
  <si>
    <t>09/2020 JPM GXU0 Index התחייבות</t>
  </si>
  <si>
    <t>557000382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</si>
  <si>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</si>
  <si>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</si>
  <si>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</si>
  <si>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</si>
  <si>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</si>
  <si>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</si>
  <si>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</si>
  <si>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</si>
  <si>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</si>
  <si>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</si>
  <si>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</si>
  <si>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</si>
  <si>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</si>
  <si>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</si>
  <si>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</si>
  <si>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</si>
  <si>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</si>
  <si>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</si>
  <si>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12/2020 JPM SLBZ0 Index משתנה</t>
  </si>
  <si>
    <t>557000413</t>
  </si>
  <si>
    <t>12/2020 JPM SLBZ0 Index התחייבות</t>
  </si>
  <si>
    <t>557000414</t>
  </si>
  <si>
    <t>CLZ0 Comdty</t>
  </si>
  <si>
    <t>70560529</t>
  </si>
  <si>
    <t>S X0 Comdty</t>
  </si>
  <si>
    <t>70497441</t>
  </si>
  <si>
    <t>QSZ0 Comdty</t>
  </si>
  <si>
    <t>GB00H1K80826</t>
  </si>
  <si>
    <t>C Z0 Comdty</t>
  </si>
  <si>
    <t>70436548</t>
  </si>
  <si>
    <t>CLN1 Comdty</t>
  </si>
  <si>
    <t>70670021</t>
  </si>
  <si>
    <t>BOZ0 Comdty</t>
  </si>
  <si>
    <t>70521729</t>
  </si>
  <si>
    <t>W Z0 Comdty</t>
  </si>
  <si>
    <t>70694427</t>
  </si>
  <si>
    <t>12/2020 JPM GCZ0 Comdty משתנה</t>
  </si>
  <si>
    <t>557000397</t>
  </si>
  <si>
    <t>12/2020 JPM GCZ0 Comdty התחייבות</t>
  </si>
  <si>
    <t>557000398</t>
  </si>
  <si>
    <t>GCZ0 Comdty</t>
  </si>
  <si>
    <t>70687736</t>
  </si>
  <si>
    <t>DFX0 Comdty</t>
  </si>
  <si>
    <t>GB00H372Z645</t>
  </si>
  <si>
    <t>LCV0 Comdty</t>
  </si>
  <si>
    <t>70517081</t>
  </si>
  <si>
    <t>HGZ0 Comdty</t>
  </si>
  <si>
    <t>70193206</t>
  </si>
  <si>
    <t>SIZ0 Comdty</t>
  </si>
  <si>
    <t>70279468</t>
  </si>
  <si>
    <t>CLX0 Comdty</t>
  </si>
  <si>
    <t>70465885</t>
  </si>
  <si>
    <t>KWZ0 Comdty</t>
  </si>
  <si>
    <t>70145776</t>
  </si>
  <si>
    <t>SMZ0 Comdty</t>
  </si>
  <si>
    <t>70637236</t>
  </si>
  <si>
    <t>CAZ0 Comdty</t>
  </si>
  <si>
    <t>FRENX0078886</t>
  </si>
  <si>
    <t>UXX0 Index</t>
  </si>
  <si>
    <t>70706577</t>
  </si>
  <si>
    <t>LCZ0 Comdty</t>
  </si>
  <si>
    <t>70765656</t>
  </si>
  <si>
    <t>UXZ0 Index</t>
  </si>
  <si>
    <t>70939269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</si>
  <si>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</si>
  <si>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</si>
  <si>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</si>
  <si>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</si>
  <si>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</si>
  <si>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</si>
  <si>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</si>
  <si>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</si>
  <si>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</si>
  <si>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</si>
  <si>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</si>
  <si>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</si>
  <si>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</si>
  <si>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</si>
  <si>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22/04/2020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</si>
  <si>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</si>
  <si>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</si>
  <si>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</si>
  <si>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</si>
  <si>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</si>
  <si>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</si>
  <si>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</si>
  <si>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</si>
  <si>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</si>
  <si>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</si>
  <si>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</si>
  <si>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</si>
  <si>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</si>
  <si>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</si>
  <si>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</si>
  <si>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</si>
  <si>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</si>
  <si>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</si>
  <si>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</si>
  <si>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</si>
  <si>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</si>
  <si>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</si>
  <si>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02/01/2007</t>
  </si>
  <si>
    <t>מנורה מבטחים אגח ב רצף מוסדי</t>
  </si>
  <si>
    <t>5660055</t>
  </si>
  <si>
    <t>Aa2.il</t>
  </si>
  <si>
    <t>01/07/2010</t>
  </si>
  <si>
    <t>עיריית רמלה נשר</t>
  </si>
  <si>
    <t>1094739</t>
  </si>
  <si>
    <t>513736512</t>
  </si>
  <si>
    <t>06/11/2005</t>
  </si>
  <si>
    <t>נתיבים אגח א רצף מוסדי</t>
  </si>
  <si>
    <t>1090281</t>
  </si>
  <si>
    <t>513502229</t>
  </si>
  <si>
    <t>ilAA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</si>
  <si>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</si>
  <si>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</si>
  <si>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</si>
  <si>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</si>
  <si>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</si>
  <si>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</si>
  <si>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צים הסדר 7.2014 מניה ל"ס</t>
  </si>
  <si>
    <t>207013519</t>
  </si>
  <si>
    <t>520015041</t>
  </si>
  <si>
    <t>REE Automotive Direct Equity</t>
  </si>
  <si>
    <t>999999441</t>
  </si>
  <si>
    <t>514557339</t>
  </si>
  <si>
    <t>InFarm Co-Investment SPV</t>
  </si>
  <si>
    <t>89241</t>
  </si>
  <si>
    <t>540298031</t>
  </si>
  <si>
    <t>Argo Properties N.V</t>
  </si>
  <si>
    <t>9999991</t>
  </si>
  <si>
    <t>GSV CH</t>
  </si>
  <si>
    <t>89237</t>
  </si>
  <si>
    <t>208176241</t>
  </si>
  <si>
    <t>סה"כ קרנות השקעה בישראל</t>
  </si>
  <si>
    <t>סה"כ קרנות הון סיכון</t>
  </si>
  <si>
    <t>סה"כ קרנות גידור</t>
  </si>
  <si>
    <t>IONISCL KY Equity</t>
  </si>
  <si>
    <t>834107</t>
  </si>
  <si>
    <t>27/04/2017</t>
  </si>
  <si>
    <t>SGHMGTI KY Equity</t>
  </si>
  <si>
    <t>70427570</t>
  </si>
  <si>
    <t>31/07/2017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</si>
  <si>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</si>
  <si>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</si>
  <si>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</si>
  <si>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</si>
  <si>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</si>
  <si>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</si>
  <si>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</si>
  <si>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</si>
  <si>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</si>
  <si>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105841</t>
  </si>
  <si>
    <t>02/06/2020</t>
  </si>
  <si>
    <t>סה"כ קרנות נדל"ן</t>
  </si>
  <si>
    <t>סה"כ קרנות השקעה אחרות</t>
  </si>
  <si>
    <t>סה"כ קרנות השקעה בחו"ל</t>
  </si>
  <si>
    <t>HSPV</t>
  </si>
  <si>
    <t>89236</t>
  </si>
  <si>
    <t>08/07/2020</t>
  </si>
  <si>
    <t>סה"כ כתבי אופציה בישראל:</t>
  </si>
  <si>
    <t>אלומיי אופציה לא סחירה</t>
  </si>
  <si>
    <t>1130277</t>
  </si>
  <si>
    <t>18/02/2020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</si>
  <si>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</si>
  <si>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</si>
  <si>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</si>
  <si>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</si>
  <si>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</si>
  <si>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</si>
  <si>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</si>
  <si>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</si>
  <si>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</si>
  <si>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</si>
  <si>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</si>
  <si>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</si>
  <si>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</si>
  <si>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</si>
  <si>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</si>
  <si>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26/08/2020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</si>
  <si>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</si>
  <si>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</si>
  <si>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</si>
  <si>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</si>
  <si>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</si>
  <si>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</si>
  <si>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</si>
  <si>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445141346</t>
  </si>
  <si>
    <t>01/06/2020</t>
  </si>
  <si>
    <t>FW USDJPY 14/10/2020 - USD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</si>
  <si>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</si>
  <si>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</si>
  <si>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</si>
  <si>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</si>
  <si>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</si>
  <si>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</si>
  <si>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</si>
  <si>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</si>
  <si>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</si>
  <si>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</si>
  <si>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</si>
  <si>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</si>
  <si>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</si>
  <si>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</si>
  <si>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</si>
  <si>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</si>
  <si>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</si>
  <si>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</si>
  <si>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</si>
  <si>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</si>
  <si>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</si>
  <si>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</si>
  <si>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</si>
  <si>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</si>
  <si>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</si>
  <si>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</si>
  <si>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445135704</t>
  </si>
  <si>
    <t>20/04/2020</t>
  </si>
  <si>
    <t>FW USDILS 04/11/2020 - USD</t>
  </si>
  <si>
    <t>445135705</t>
  </si>
  <si>
    <t>445135984</t>
  </si>
  <si>
    <t>21/04/2020</t>
  </si>
  <si>
    <t>445135985</t>
  </si>
  <si>
    <t>445136230</t>
  </si>
  <si>
    <t>445136231</t>
  </si>
  <si>
    <t>FW USDILS 12/05/2021 - ILS</t>
  </si>
  <si>
    <t>445137842</t>
  </si>
  <si>
    <t>06/05/2020</t>
  </si>
  <si>
    <t>FW USDILS 12/05/2021 - USD</t>
  </si>
  <si>
    <t>445137843</t>
  </si>
  <si>
    <t>445138088</t>
  </si>
  <si>
    <t>07/05/2020</t>
  </si>
  <si>
    <t>445138089</t>
  </si>
  <si>
    <t>FW USDILS 08/12/2020 - ILS</t>
  </si>
  <si>
    <t>445141714</t>
  </si>
  <si>
    <t>08/06/2020</t>
  </si>
  <si>
    <t>FW USDILS 08/12/2020 - USD</t>
  </si>
  <si>
    <t>445141715</t>
  </si>
  <si>
    <t>FW USDILS 09/12/2020 - ILS</t>
  </si>
  <si>
    <t>445142102</t>
  </si>
  <si>
    <t>11/06/2020</t>
  </si>
  <si>
    <t>FW USDILS 09/12/2020 - USD</t>
  </si>
  <si>
    <t>445142103</t>
  </si>
  <si>
    <t>FW USDILS 22/12/2020 - ILS</t>
  </si>
  <si>
    <t>445142442</t>
  </si>
  <si>
    <t>15/06/2020</t>
  </si>
  <si>
    <t>FW USDILS 22/12/2020 - USD</t>
  </si>
  <si>
    <t>445142443</t>
  </si>
  <si>
    <t>FW USDILS 06/01/2021 - ILS</t>
  </si>
  <si>
    <t>445142718</t>
  </si>
  <si>
    <t>FW USDILS 06/01/2021 - USD</t>
  </si>
  <si>
    <t>445142719</t>
  </si>
  <si>
    <t>FW USDILS 20/01/2021 - ILS</t>
  </si>
  <si>
    <t>445142900</t>
  </si>
  <si>
    <t>22/06/2020</t>
  </si>
  <si>
    <t>FW USDILS 20/01/2021 - USD</t>
  </si>
  <si>
    <t>445142901</t>
  </si>
  <si>
    <t>FW USDILS 13/01/2021 - ILS</t>
  </si>
  <si>
    <t>445143264</t>
  </si>
  <si>
    <t>23/06/2020</t>
  </si>
  <si>
    <t>FW USDILS 13/01/2021 - USD</t>
  </si>
  <si>
    <t>445143265</t>
  </si>
  <si>
    <t>445143796</t>
  </si>
  <si>
    <t>01/07/2020</t>
  </si>
  <si>
    <t>445143797</t>
  </si>
  <si>
    <t>FW USDILS 03/02/2021 - ILS</t>
  </si>
  <si>
    <t>445144150</t>
  </si>
  <si>
    <t>06/07/2020</t>
  </si>
  <si>
    <t>FW USDILS 03/02/2021 - USD</t>
  </si>
  <si>
    <t>445144151</t>
  </si>
  <si>
    <t>FW USDILS 03/03/2021 - ILS</t>
  </si>
  <si>
    <t>445145450</t>
  </si>
  <si>
    <t>09/07/2020</t>
  </si>
  <si>
    <t>FW USDILS 03/03/2021 - USD</t>
  </si>
  <si>
    <t>445145451</t>
  </si>
  <si>
    <t>FW USDILS 17/03/2021 - ILS</t>
  </si>
  <si>
    <t>445145708</t>
  </si>
  <si>
    <t>FW USDILS 17/03/2021 - USD</t>
  </si>
  <si>
    <t>445145709</t>
  </si>
  <si>
    <t>FW USDILS 07/04/2021 - ILS</t>
  </si>
  <si>
    <t>445146002</t>
  </si>
  <si>
    <t>13/07/2020</t>
  </si>
  <si>
    <t>FW USDILS 07/04/2021 - USD</t>
  </si>
  <si>
    <t>445146003</t>
  </si>
  <si>
    <t>FW USDILS 21/07/2021 - ILS</t>
  </si>
  <si>
    <t>445147042</t>
  </si>
  <si>
    <t>20/07/2020</t>
  </si>
  <si>
    <t>FW USDILS 21/07/2021 - USD</t>
  </si>
  <si>
    <t>445147043</t>
  </si>
  <si>
    <t>FW USDILS 10/08/2021 - ILS</t>
  </si>
  <si>
    <t>445149234</t>
  </si>
  <si>
    <t>10/08/2020</t>
  </si>
  <si>
    <t>FW USDILS 10/08/2021 - USD</t>
  </si>
  <si>
    <t>445149235</t>
  </si>
  <si>
    <t>445149370</t>
  </si>
  <si>
    <t>445149371</t>
  </si>
  <si>
    <t>445149484</t>
  </si>
  <si>
    <t>11/08/2020</t>
  </si>
  <si>
    <t>445149485</t>
  </si>
  <si>
    <t>445149726</t>
  </si>
  <si>
    <t>445149727</t>
  </si>
  <si>
    <t>445150270</t>
  </si>
  <si>
    <t>17/08/2020</t>
  </si>
  <si>
    <t>445150271</t>
  </si>
  <si>
    <t>FW USDILS 01/09/2021 - ILS</t>
  </si>
  <si>
    <t>445150272</t>
  </si>
  <si>
    <t>FW USDILS 01/09/2021 - USD</t>
  </si>
  <si>
    <t>445150273</t>
  </si>
  <si>
    <t>445151750</t>
  </si>
  <si>
    <t>01/09/2020</t>
  </si>
  <si>
    <t>445151751</t>
  </si>
  <si>
    <t>FW USDILS 17/08/2021 - ILS</t>
  </si>
  <si>
    <t>445151752</t>
  </si>
  <si>
    <t>FW USDILS 17/08/2021 - USD</t>
  </si>
  <si>
    <t>445151753</t>
  </si>
  <si>
    <t>445151980</t>
  </si>
  <si>
    <t>445151981</t>
  </si>
  <si>
    <t>445152520</t>
  </si>
  <si>
    <t>08/09/2020</t>
  </si>
  <si>
    <t>445152521</t>
  </si>
  <si>
    <t>FW USDILS 20/10/2021 - ILS</t>
  </si>
  <si>
    <t>445152522</t>
  </si>
  <si>
    <t>FW USDILS 20/10/2021 - USD</t>
  </si>
  <si>
    <t>445152523</t>
  </si>
  <si>
    <t>FW USDILS 03/11/2021 - ILS</t>
  </si>
  <si>
    <t>445153210</t>
  </si>
  <si>
    <t>10/09/2020</t>
  </si>
  <si>
    <t>FW USDILS 03/11/2021 - USD</t>
  </si>
  <si>
    <t>445153211</t>
  </si>
  <si>
    <t>445153294</t>
  </si>
  <si>
    <t>14/09/2020</t>
  </si>
  <si>
    <t>445153295</t>
  </si>
  <si>
    <t>445153298</t>
  </si>
  <si>
    <t>445153299</t>
  </si>
  <si>
    <t>445153328</t>
  </si>
  <si>
    <t>15/09/2020</t>
  </si>
  <si>
    <t>445153329</t>
  </si>
  <si>
    <t>445153402</t>
  </si>
  <si>
    <t>17/09/2020</t>
  </si>
  <si>
    <t>445153403</t>
  </si>
  <si>
    <t>445153558</t>
  </si>
  <si>
    <t>445153559</t>
  </si>
  <si>
    <t>FW USDILS 07/10/2020 - USD</t>
  </si>
  <si>
    <t>445154582</t>
  </si>
  <si>
    <t>FW USDILS 07/10/2020 - ILS</t>
  </si>
  <si>
    <t>445154583</t>
  </si>
  <si>
    <t>445155252</t>
  </si>
  <si>
    <t>445155253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</si>
  <si>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</si>
  <si>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</si>
  <si>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</si>
  <si>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</si>
  <si>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</si>
  <si>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</si>
  <si>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</si>
  <si>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</si>
  <si>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</si>
  <si>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</si>
  <si>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</si>
  <si>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</si>
  <si>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</si>
  <si>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</si>
  <si>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</si>
  <si>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</si>
  <si>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</si>
  <si>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</si>
  <si>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</si>
  <si>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</si>
  <si>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</si>
  <si>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</si>
  <si>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</si>
  <si>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</si>
  <si>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</si>
  <si>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</si>
  <si>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26/04/2020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</si>
  <si>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</si>
  <si>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</si>
  <si>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</si>
  <si>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</si>
  <si>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</si>
  <si>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</si>
  <si>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</si>
  <si>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</si>
  <si>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</si>
  <si>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</si>
  <si>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</si>
  <si>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</si>
  <si>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</si>
  <si>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21/05/2020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</si>
  <si>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</si>
  <si>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</si>
  <si>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</si>
  <si>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</si>
  <si>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</si>
  <si>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</si>
  <si>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</si>
  <si>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07/06/2020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</si>
  <si>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</si>
  <si>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</si>
  <si>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</si>
  <si>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</si>
  <si>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</si>
  <si>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</si>
  <si>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</si>
  <si>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</si>
  <si>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</si>
  <si>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</si>
  <si>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</si>
  <si>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</si>
  <si>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</si>
  <si>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</si>
  <si>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</si>
  <si>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</si>
  <si>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</si>
  <si>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</si>
  <si>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</si>
  <si>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</si>
  <si>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</si>
  <si>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</si>
  <si>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</si>
  <si>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</si>
  <si>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</si>
  <si>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</si>
  <si>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</si>
  <si>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</si>
  <si>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</si>
  <si>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</si>
  <si>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</si>
  <si>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</si>
  <si>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</si>
  <si>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</si>
  <si>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</si>
  <si>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</si>
  <si>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</si>
  <si>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</si>
  <si>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</si>
  <si>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</si>
  <si>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09/09/2020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</si>
  <si>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</si>
  <si>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</si>
  <si>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</si>
  <si>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</si>
  <si>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</si>
  <si>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</si>
  <si>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445141142</t>
  </si>
  <si>
    <t>445141143</t>
  </si>
  <si>
    <t>445143470</t>
  </si>
  <si>
    <t>24/06/2020</t>
  </si>
  <si>
    <t>445143471</t>
  </si>
  <si>
    <t>445143892</t>
  </si>
  <si>
    <t>445143893</t>
  </si>
  <si>
    <t>445144874</t>
  </si>
  <si>
    <t>445144875</t>
  </si>
  <si>
    <t>445145102</t>
  </si>
  <si>
    <t>445145103</t>
  </si>
  <si>
    <t>445145844</t>
  </si>
  <si>
    <t>445145845</t>
  </si>
  <si>
    <t>445147082</t>
  </si>
  <si>
    <t>445147083</t>
  </si>
  <si>
    <t>445147158</t>
  </si>
  <si>
    <t>22/07/2020</t>
  </si>
  <si>
    <t>445147159</t>
  </si>
  <si>
    <t>445147186</t>
  </si>
  <si>
    <t>445147187</t>
  </si>
  <si>
    <t>445147222</t>
  </si>
  <si>
    <t>445147223</t>
  </si>
  <si>
    <t>445147516</t>
  </si>
  <si>
    <t>27/07/2020</t>
  </si>
  <si>
    <t>445147517</t>
  </si>
  <si>
    <t>445147628</t>
  </si>
  <si>
    <t>29/07/2020</t>
  </si>
  <si>
    <t>445147629</t>
  </si>
  <si>
    <t>445147698</t>
  </si>
  <si>
    <t>31/07/2020</t>
  </si>
  <si>
    <t>445147699</t>
  </si>
  <si>
    <t>445148290</t>
  </si>
  <si>
    <t>05/08/2020</t>
  </si>
  <si>
    <t>445148291</t>
  </si>
  <si>
    <t>ND FW USDKRW 21/10/2020 - KRW</t>
  </si>
  <si>
    <t>445148392</t>
  </si>
  <si>
    <t>ND FW USDKRW 21/10/2020 - USD</t>
  </si>
  <si>
    <t>445148393</t>
  </si>
  <si>
    <t>445149572</t>
  </si>
  <si>
    <t>445149573</t>
  </si>
  <si>
    <t>445150994</t>
  </si>
  <si>
    <t>445150995</t>
  </si>
  <si>
    <t>445151006</t>
  </si>
  <si>
    <t>445151007</t>
  </si>
  <si>
    <t>445151310</t>
  </si>
  <si>
    <t>445151311</t>
  </si>
  <si>
    <t>445151588</t>
  </si>
  <si>
    <t>445151589</t>
  </si>
  <si>
    <t>445152404</t>
  </si>
  <si>
    <t>445152405</t>
  </si>
  <si>
    <t>445152726</t>
  </si>
  <si>
    <t>445152727</t>
  </si>
  <si>
    <t>445152736</t>
  </si>
  <si>
    <t>445152737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</si>
  <si>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</si>
  <si>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</si>
  <si>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</si>
  <si>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</si>
  <si>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</si>
  <si>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</si>
  <si>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</si>
  <si>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</si>
  <si>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סה"כ כנגד חסכון עמיתים/מבוטחים</t>
  </si>
  <si>
    <t>הלוואות עמיתים גמל תמר מניות - שקלי</t>
  </si>
  <si>
    <t>333300004</t>
  </si>
  <si>
    <t>סה"כ מובטחות במשכנתא או תיקי משכנתאות</t>
  </si>
  <si>
    <t>סה"כ מובטחות בערבות בנקאית</t>
  </si>
  <si>
    <t>סה"כ מובטחות בבטחונות אחרים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</si>
  <si>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</si>
  <si>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</si>
  <si>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</si>
  <si>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</si>
  <si>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</si>
  <si>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</si>
  <si>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</si>
  <si>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</si>
  <si>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</si>
  <si>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</si>
  <si>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</si>
  <si>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</si>
  <si>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</si>
  <si>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</si>
  <si>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</si>
  <si>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</si>
  <si>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</si>
  <si>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</si>
  <si>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</si>
  <si>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</si>
  <si>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</si>
  <si>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</si>
  <si>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</si>
  <si>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</si>
  <si>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</si>
  <si>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</si>
  <si>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</si>
  <si>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</si>
  <si>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</si>
  <si>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</si>
  <si>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</si>
  <si>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</si>
  <si>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</si>
  <si>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</si>
  <si>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</si>
  <si>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</si>
  <si>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</si>
  <si>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</si>
  <si>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</si>
  <si>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</si>
  <si>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</si>
  <si>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</si>
  <si>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</si>
  <si>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</si>
  <si>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</si>
  <si>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</si>
  <si>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</si>
  <si>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</si>
  <si>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</si>
  <si>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</si>
  <si>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</si>
  <si>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</si>
  <si>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</si>
  <si>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</si>
  <si>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</si>
  <si>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הפחתת שווי-חש</t>
  </si>
  <si>
    <t>20701423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</si>
  <si>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</si>
  <si>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</si>
  <si>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</si>
  <si>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</si>
  <si>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</si>
  <si>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</si>
  <si>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</si>
  <si>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</si>
  <si>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מזרחי בנק מזרחי טפחות בע"מ</t>
  </si>
  <si>
    <t>דולר  דיסקונט בנק דיסקונט לישראל בע"מ</t>
  </si>
  <si>
    <t>דולר  מזרחי בנק מזרחי טפחות בע"מ</t>
  </si>
  <si>
    <t>שקל  הפועלים בנק הפועלים בע"מ</t>
  </si>
  <si>
    <t>דולר  הפועלים בנק הפועלים בע"מ</t>
  </si>
  <si>
    <t>Margin FW  Hapoalim USD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</si>
  <si>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</si>
  <si>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</si>
  <si>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</si>
  <si>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</si>
  <si>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</si>
  <si>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</si>
  <si>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</si>
  <si>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מרכנטיל דיסקונט בנק מרכנתיל דיסקונט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</si>
  <si>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</si>
  <si>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</si>
  <si>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</si>
  <si>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</si>
  <si>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</si>
  <si>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</si>
  <si>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</si>
  <si>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</si>
  <si>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</si>
  <si>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</si>
  <si>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Margin FW  Mizrahi USD בנק מזרחי טפחות בע"מ</t>
  </si>
  <si>
    <t>אירו  BNY Bny Mellon</t>
  </si>
  <si>
    <t>אירו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</si>
  <si>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</si>
  <si>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</si>
  <si>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</si>
  <si>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</si>
  <si>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</si>
  <si>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</si>
  <si>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</si>
  <si>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</si>
  <si>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שקל  יובנק הבנק הבינלאומי הראשון לישראל בע"מ</t>
  </si>
  <si>
    <t>שקל  יו בנק הבנק הבינלאומי הראשון לישראל בע"מ</t>
  </si>
  <si>
    <t>אירו  דיסקונט בנק דיסקונט לישראל בע"מ</t>
  </si>
  <si>
    <t>אירו 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</si>
  <si>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</si>
  <si>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</si>
  <si>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</si>
  <si>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דולר  הפועלים עדכון ידני בנק הפועלים בע"מ</t>
  </si>
  <si>
    <t>דולר  פועלים בנק הפועלים בע"מ</t>
  </si>
  <si>
    <t>אירו  לאומי עדכון ידני בנק לאומי לישראל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</si>
  <si>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</si>
  <si>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</si>
  <si>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</si>
  <si>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</si>
  <si>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</si>
  <si>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</si>
  <si>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</si>
  <si>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</si>
  <si>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Commitment Amount Co-Investments SPV</t>
  </si>
  <si>
    <t>KYG4939W1006</t>
  </si>
  <si>
    <t>עמית א</t>
  </si>
  <si>
    <t>עמית ב</t>
  </si>
  <si>
    <t>הלוואה לגורם 113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</si>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</sst>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6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2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2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0" fontId="0" fillId="3" borderId="5" xfId="0" applyFont="1" applyFill="1" applyBorder="1" applyAlignment="1">
      <alignment horizontal="right"/>
    </xf>
    <xf numFmtId="4" fontId="0" fillId="3" borderId="32" xfId="1" applyNumberFormat="1" applyFont="1" applyFill="1" applyBorder="1" applyAlignment="1">
      <alignment horizontal="center"/>
    </xf>
    <xf numFmtId="4" fontId="0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2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4" fontId="3" fillId="3" borderId="32" xfId="2" applyNumberFormat="1" applyFont="1" applyFill="1" applyBorder="1" applyAlignment="1">
      <alignment horizontal="center"/>
    </xf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89A925-5B53-4C5D-BA76-2F6CEC60196E}" name="טבלה2" displayName="טבלה2" ref="A6:C42" totalsRowShown="0" headerRowBorderDxfId="586" tableBorderDxfId="587">
  <autoFilter ref="A6:C42" xr:uid="{4D8A3EAA-7175-4136-9983-847ECEA7195C}">
    <filterColumn colId="0" hiddenButton="1"/>
    <filterColumn colId="1" hiddenButton="1"/>
    <filterColumn colId="2" hiddenButton="1"/>
  </autoFilter>
  <tableColumns count="3">
    <tableColumn id="1" xr3:uid="{EB3ED5F6-34E1-4394-AB2F-EE525C5DD82D}" name="עמודה ריקה" dataDxfId="585" dataCellStyle="היפר-קישור"/>
    <tableColumn id="2" xr3:uid="{5E1232FF-F742-4DC3-AF2B-FA6ECA096D14}" name="שווי הוגן" dataDxfId="584" dataCellStyle="Comma"/>
    <tableColumn id="3" xr3:uid="{2DA43AA3-0982-409F-A375-B0392FA7B090}" name="שיעור מנכסי השקעה" dataDxfId="58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FD4B13-0BCF-4303-9BBE-B7E1BF877260}" name="טבלה3" displayName="טבלה3" ref="B44:C68" totalsRowShown="0" headerRowDxfId="577" headerRowBorderDxfId="581" tableBorderDxfId="582" totalsRowBorderDxfId="580">
  <autoFilter ref="B44:C68" xr:uid="{099D38D5-DAE7-4EF4-BFB0-9F6AB566D425}">
    <filterColumn colId="0" hiddenButton="1"/>
    <filterColumn colId="1" hiddenButton="1"/>
  </autoFilter>
  <tableColumns count="2">
    <tableColumn id="1" xr3:uid="{EDD442CC-E997-47B0-816A-A2A7A0B90659}" name="שם המטבע" dataDxfId="579"/>
    <tableColumn id="2" xr3:uid="{5C691C89-87A9-4E1A-A79F-DDFEFEAE1014}" name="שע&quot;ח" dataDxfId="57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81141-F575-4FC7-AE39-5DE2A1A6965F}" name="טבלה1" displayName="טבלה1" ref="A6:K112" totalsRowShown="0" headerRowDxfId="588" headerRowBorderDxfId="600" tableBorderDxfId="601" headerRowCellStyle="Percent">
  <autoFilter ref="A6:K112" xr:uid="{B3EC9277-8A21-42BD-A30D-9801300E69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9BC91F9-618F-42E6-A102-8C4D5343C4DC}" name="שם המנפיק/שם נייר ערך" dataDxfId="599"/>
    <tableColumn id="2" xr3:uid="{CFAFEE1A-1DE5-474A-B8B2-2DECB61732B7}" name="מספר נ&quot;ע" dataDxfId="598" dataCellStyle="Percent"/>
    <tableColumn id="3" xr3:uid="{CB152DBB-D48B-4540-B8C4-B392E4C6B61E}" name="מספר מנפיק" dataDxfId="597" dataCellStyle="Percent"/>
    <tableColumn id="4" xr3:uid="{8D675F3F-A030-416F-9C8D-6B20D4D8CC64}" name="דירוג" dataDxfId="596" dataCellStyle="Percent"/>
    <tableColumn id="5" xr3:uid="{338E89C7-9C0F-4F36-AB2C-82BFC603851D}" name="שם מדרג" dataDxfId="595" dataCellStyle="Percent"/>
    <tableColumn id="6" xr3:uid="{B70ED74F-63DE-4CD5-9913-7F66167A73E4}" name="סוג מטבע" dataDxfId="594" dataCellStyle="Percent"/>
    <tableColumn id="7" xr3:uid="{F748BB8A-E454-4E94-9E3B-6C828EE1AF63}" name="שעור ריבית" dataDxfId="593" dataCellStyle="Percent"/>
    <tableColumn id="8" xr3:uid="{40FB65F7-1741-42E0-AE27-99C8AEC8E379}" name="תשואה לפדיון" dataDxfId="592" dataCellStyle="Percent"/>
    <tableColumn id="9" xr3:uid="{DCEEE62E-F915-442C-9B64-6B82329F52A1}" name="שווי שוק" dataDxfId="591" dataCellStyle="Comma"/>
    <tableColumn id="10" xr3:uid="{403A9421-5CDA-4647-AF50-C90EE6ECB074}" name="שעור מנכסי אפיק ההשקעה" dataDxfId="590" dataCellStyle="Percent"/>
    <tableColumn id="11" xr3:uid="{7FCA72B2-22E0-4EE5-ACF2-A3B490996160}" name="שעור מנכסי השקעה" dataDxfId="589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840F0D-22F0-4AD1-A9C7-580A3308C79C}" name="טבלה4" displayName="טבלה4" ref="A7:Q20" totalsRowShown="0" headerRowDxfId="557" headerRowBorderDxfId="575" tableBorderDxfId="576" headerRowCellStyle="Percent">
  <autoFilter ref="A7:Q20" xr:uid="{057CEFC9-7524-4E1C-BED4-5FA424FCE8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E3E67560-542E-4A34-A06B-D8F18D319B5E}" name="שם המנפיק/שם נייר ערך" dataDxfId="574"/>
    <tableColumn id="2" xr3:uid="{85A47404-0D8E-4E63-88DE-DF639F4A3D83}" name="מספר נ&quot;ע" dataDxfId="573" dataCellStyle="Percent"/>
    <tableColumn id="3" xr3:uid="{0014E638-09DE-4F35-99F9-41CCBF54BA37}" name="זירת מסחר" dataDxfId="572" dataCellStyle="Percent"/>
    <tableColumn id="4" xr3:uid="{DA53F7AF-7E4A-46E6-9D76-D7848E5C0654}" name="דירוג" dataDxfId="571" dataCellStyle="Percent"/>
    <tableColumn id="5" xr3:uid="{83025F6C-0C82-4199-8F12-A7B4AB0C8579}" name="שם מדרג" dataDxfId="570" dataCellStyle="Percent"/>
    <tableColumn id="6" xr3:uid="{12EF8A9D-BF46-44C2-8473-D7834BBEA096}" name="תאריך רכישה" dataDxfId="569" dataCellStyle="Percent"/>
    <tableColumn id="7" xr3:uid="{F91DE301-B26E-4D62-84AD-B33228D6CD77}" name="מח&quot;מ" dataDxfId="568" dataCellStyle="Percent"/>
    <tableColumn id="8" xr3:uid="{0F335457-9352-4B52-A9BD-E87A66D3578B}" name="סוג מטבע" dataDxfId="567" dataCellStyle="Percent"/>
    <tableColumn id="9" xr3:uid="{D3AF3756-98DA-4C78-ADFE-7E5D0D3D0FE8}" name="שעור ריבית" dataDxfId="566" dataCellStyle="Percent"/>
    <tableColumn id="10" xr3:uid="{99D5C95B-267B-473D-BECF-45AA4020E38B}" name="תשואה לפדיון" dataDxfId="565" dataCellStyle="Percent"/>
    <tableColumn id="11" xr3:uid="{F0F56C1C-33FC-47DC-AC05-ABF73DCA758F}" name="ערך נקוב" dataDxfId="564" dataCellStyle="Percent"/>
    <tableColumn id="12" xr3:uid="{2057BE99-8EB0-4FDE-A2BF-E1184968CD66}" name="שער" dataDxfId="563" dataCellStyle="Percent"/>
    <tableColumn id="13" xr3:uid="{8E74BE99-3B21-4A6D-B375-7DBB4997C0DD}" name="פדיון/ריבית לקבל" dataDxfId="562" dataCellStyle="Percent"/>
    <tableColumn id="14" xr3:uid="{542441C8-6578-417B-A8FA-E1F14BF2C860}" name="שווי שוק" dataDxfId="561" dataCellStyle="Comma"/>
    <tableColumn id="15" xr3:uid="{17113D78-BEF5-47CA-A82E-ED6490A886B7}" name="שעור מערך נקוב מונפק" dataDxfId="560" dataCellStyle="Percent"/>
    <tableColumn id="16" xr3:uid="{17F655E3-4A03-4047-9037-19A641C60306}" name="שעור מנכסי אפיק ההשקעה" dataDxfId="559" dataCellStyle="Percent"/>
    <tableColumn id="17" xr3:uid="{6B480740-92E5-4AC2-AFA5-594789D89A45}" name="שעור מנכסי השקעה" dataDxfId="558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2D406F-FD3B-4B3E-B099-C98ECA2012BA}" name="טבלה5" displayName="טבלה5" ref="A7:T17" totalsRowShown="0" headerRowDxfId="534" headerRowBorderDxfId="555" tableBorderDxfId="556" headerRowCellStyle="Percent">
  <autoFilter ref="A7:T17" xr:uid="{9AA57453-AF64-4EBC-B8D2-E2280BBE32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AB41F30B-17F6-4A79-9F0A-943BEAF3B173}" name="שם המנפיק/שם נייר ערך" dataDxfId="554"/>
    <tableColumn id="2" xr3:uid="{60749388-752C-4DA5-8AF2-D3E58F04E777}" name="מספר נ&quot;ע" dataDxfId="553" dataCellStyle="Percent"/>
    <tableColumn id="3" xr3:uid="{B0D30B6B-983E-4847-BECA-145A695A79F4}" name="זירת מסחר" dataDxfId="552" dataCellStyle="Percent"/>
    <tableColumn id="4" xr3:uid="{3E6B041F-FC80-4160-8308-87EEAA06990F}" name="ספק מידע" dataDxfId="551" dataCellStyle="Percent"/>
    <tableColumn id="5" xr3:uid="{008540DE-5FE8-4D95-B39C-9E88F10569ED}" name="מספר מנפיק" dataDxfId="550" dataCellStyle="Percent"/>
    <tableColumn id="6" xr3:uid="{BD9B64EA-015E-4A88-BF4C-8CF80BC02502}" name="ענף מסחר" dataDxfId="549" dataCellStyle="Percent"/>
    <tableColumn id="7" xr3:uid="{979E36EC-4A56-4E2E-999A-8F51D3C991B8}" name="דירוג" dataDxfId="548" dataCellStyle="Percent"/>
    <tableColumn id="8" xr3:uid="{9F9F304E-966B-4572-8074-414316739FB0}" name="שם מדרג" dataDxfId="547" dataCellStyle="Percent"/>
    <tableColumn id="9" xr3:uid="{F96E72DD-167F-4502-834F-31910CE2412C}" name="תאריך רכישה" dataDxfId="546" dataCellStyle="Percent"/>
    <tableColumn id="10" xr3:uid="{B2D25DFA-ADE4-412B-9640-A2A44E40ECB9}" name="מח&quot;מ" dataDxfId="545" dataCellStyle="Percent"/>
    <tableColumn id="11" xr3:uid="{D88B30F8-4555-4406-859D-F6223CDE82C8}" name="סוג מטבע" dataDxfId="544" dataCellStyle="Percent"/>
    <tableColumn id="12" xr3:uid="{EEC8D5D9-881F-4C1A-A812-4E0F79A73EFD}" name="שעור ריבית" dataDxfId="543" dataCellStyle="Percent"/>
    <tableColumn id="13" xr3:uid="{B1EC78ED-1A58-4CFC-9E83-243BA82ACEA9}" name="תשואה לפדיון" dataDxfId="542" dataCellStyle="Percent"/>
    <tableColumn id="14" xr3:uid="{B32B2251-86D6-4FED-A834-F75E91570601}" name="ערך נקוב" dataDxfId="541" dataCellStyle="Percent"/>
    <tableColumn id="15" xr3:uid="{B3B7B752-84D6-4080-85AD-F1D69C77779F}" name="שער" dataDxfId="540" dataCellStyle="Percent"/>
    <tableColumn id="16" xr3:uid="{F4C182EC-0E90-426F-AB16-2C328416E187}" name="פדיון/ריבית לקבל" dataDxfId="539" dataCellStyle="Percent"/>
    <tableColumn id="17" xr3:uid="{DCEDE779-F55D-4E5F-930E-949AC1C1E470}" name="שווי שוק" dataDxfId="538" dataCellStyle="Comma"/>
    <tableColumn id="18" xr3:uid="{25DA5107-0E11-4D71-A1E4-A4BD6625A8DE}" name="שעור מערך נקוב מונפק" dataDxfId="537" dataCellStyle="Percent"/>
    <tableColumn id="19" xr3:uid="{7D8714EF-5BB4-4AD1-B99A-C782D373AB37}" name="שעור מנכסי אפיק ההשקעה" dataDxfId="536" dataCellStyle="Percent"/>
    <tableColumn id="20" xr3:uid="{DEB66A18-F258-4DBB-A393-C320AC2D5715}" name="שעור מנכסי השקעה" dataDxfId="535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82C1BE-F097-45E5-BE5F-9F0B2F1AD123}" name="טבלה6" displayName="טבלה6" ref="A7:T23" totalsRowShown="0" headerRowDxfId="528" headerRowBorderDxfId="532" tableBorderDxfId="533" headerRowCellStyle="Percent">
  <autoFilter ref="A7:T23" xr:uid="{2B0C4AB8-9EE5-485D-9A72-62FECA1164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88023BF-F32A-4FD3-AE31-4D7FD31E1013}" name="שם המנפיק/שם נייר ערך" dataDxfId="531"/>
    <tableColumn id="2" xr3:uid="{7B2FA0A7-F39F-4DFA-BCC6-417A2890E4B0}" name="מספר נ&quot;ע"/>
    <tableColumn id="3" xr3:uid="{DBA9B312-0264-453B-9223-B0C2D85BDC6C}" name="זירת מסחר"/>
    <tableColumn id="4" xr3:uid="{92DD8ED1-6775-4E32-8122-8729D3039213}" name="ספק מידע"/>
    <tableColumn id="5" xr3:uid="{6551F562-B146-4E7B-A933-2D0929BB339F}" name="מספר מנפיק"/>
    <tableColumn id="6" xr3:uid="{16DB9F5E-8394-49B7-A034-C7855DD307EF}" name="ענף מסחר"/>
    <tableColumn id="7" xr3:uid="{DCEAAB8A-8B44-4051-A6EB-AE26E9BA9E31}" name="דירוג"/>
    <tableColumn id="8" xr3:uid="{5C709E1B-FA63-487F-A90F-72181CF377F3}" name="שם מדרג"/>
    <tableColumn id="9" xr3:uid="{9E7D251C-9E07-4FEE-8EF9-1ACAD824DC15}" name="תאריך רכישה"/>
    <tableColumn id="10" xr3:uid="{A3B73601-1D88-4A38-A2CA-07545DE2876E}" name="מח&quot;מ"/>
    <tableColumn id="11" xr3:uid="{C8198277-5059-4A21-B419-61C6E46B7CE5}" name="סוג מטבע"/>
    <tableColumn id="12" xr3:uid="{7D8064F1-9233-446B-B799-DBE65D9616B8}" name="שעור ריבית"/>
    <tableColumn id="13" xr3:uid="{B5BA7C08-BE5F-4C3D-92F5-70ACC89667A0}" name="תשואה לפדיון"/>
    <tableColumn id="14" xr3:uid="{72AB124A-6564-4686-90D5-BD2E975A9848}" name="ערך נקוב"/>
    <tableColumn id="15" xr3:uid="{9DD06B51-E41D-4A73-A95E-CF0AFF30970B}" name="שער"/>
    <tableColumn id="16" xr3:uid="{62CAECC8-733C-4D5C-81E0-B9DB95612EE0}" name="פדיון/ריבית לקבל" dataDxfId="530" dataCellStyle="Comma"/>
    <tableColumn id="17" xr3:uid="{B70C0005-4B4F-4E23-8AD7-5E477B387388}" name="שווי שוק" dataDxfId="529" dataCellStyle="Comma"/>
    <tableColumn id="18" xr3:uid="{89344E99-2283-46E3-8CC9-22CE6A1861D0}" name="שעור מערך נקוב מונפק"/>
    <tableColumn id="19" xr3:uid="{6D3E8222-D237-4112-B5A5-A35A9950D39A}" name="שעור מנכסי אפיק ההשקעה"/>
    <tableColumn id="20" xr3:uid="{B9291002-C436-454C-8B33-00DB983349E5}" name="שעור מנכסי השקעה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5FC2BB-39B8-4981-AF4E-144C08E59280}" name="טבלה7" displayName="טבלה7" ref="A7:N302" totalsRowShown="0" headerRowDxfId="510" dataDxfId="511" headerRowBorderDxfId="526" tableBorderDxfId="527" headerRowCellStyle="Percent" dataCellStyle="Percent">
  <autoFilter ref="A7:N302" xr:uid="{CCC9D8B0-EC1E-4D0C-843D-BEC2760653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E35DDE0-4D97-4EA1-A6C0-BDFFEE9514EF}" name="שם המנפיק/שם נייר ערך" dataDxfId="525"/>
    <tableColumn id="2" xr3:uid="{15A6874E-62A3-4293-9B61-4276FFC50CF0}" name="מספר נ&quot;ע" dataDxfId="524" dataCellStyle="Percent"/>
    <tableColumn id="3" xr3:uid="{80B8C348-20EC-4588-9BF1-20248894B0ED}" name="זירת מסחר" dataDxfId="523" dataCellStyle="Percent"/>
    <tableColumn id="4" xr3:uid="{C693DE9C-CE8D-4CE5-A62C-766D99D6222D}" name="ספק מידע" dataDxfId="522" dataCellStyle="Percent"/>
    <tableColumn id="5" xr3:uid="{4D0D26BF-6A32-44A2-B2E6-DD597DBAB07D}" name="מספר מנפיק" dataDxfId="521" dataCellStyle="Percent"/>
    <tableColumn id="6" xr3:uid="{597C7FD4-3054-45C4-86F8-FED6F35BC753}" name="ענף מסחר" dataDxfId="520" dataCellStyle="Percent"/>
    <tableColumn id="7" xr3:uid="{9C987132-7A47-4467-97FE-ACB20B5B1EA6}" name="סוג מטבע" dataDxfId="519" dataCellStyle="Percent"/>
    <tableColumn id="8" xr3:uid="{174C4824-A080-40D1-93B1-3BF8F76692F9}" name="ערך נקוב" dataDxfId="518" dataCellStyle="Percent"/>
    <tableColumn id="9" xr3:uid="{17B15184-9B4E-417F-A583-F296CD9E0455}" name="שער" dataDxfId="517" dataCellStyle="Percent"/>
    <tableColumn id="10" xr3:uid="{B0548B62-A5B5-4FE4-B22F-E97C626E8E34}" name="פדיון/ריבית לקבל" dataDxfId="516" dataCellStyle="Percent"/>
    <tableColumn id="11" xr3:uid="{AE248597-4DF8-4808-93CA-550FD89F8542}" name="שווי שוק" dataDxfId="515" dataCellStyle="Comma"/>
    <tableColumn id="12" xr3:uid="{EA52FBAF-846A-43DC-8FBF-623D50BA5536}" name="שעור מערך נקוב מונפק" dataDxfId="514" dataCellStyle="Percent"/>
    <tableColumn id="13" xr3:uid="{9318690E-6B97-4E67-887D-F7689C932E3B}" name="שעור מנכסי אפיק ההשקעה" dataDxfId="513" dataCellStyle="Percent"/>
    <tableColumn id="14" xr3:uid="{18C3C101-E108-41BB-878B-620BD136B1C4}" name="שעור מנכסי השקעה" dataDxfId="51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CFBE06-5C72-48F1-A837-360748B20215}" name="טבלה8" displayName="טבלה8" ref="A7:M77" totalsRowShown="0" headerRowDxfId="494" headerRowBorderDxfId="508" tableBorderDxfId="509" headerRowCellStyle="Percent">
  <autoFilter ref="A7:M77" xr:uid="{8D46420B-4504-4B61-B422-F82065D15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0F3C05D-CEBF-427A-A2F6-A419DB5016EC}" name="שם המנפיק/שם נייר ערך" dataDxfId="507"/>
    <tableColumn id="2" xr3:uid="{7C69F9F9-DE4C-4758-9D17-400547238A59}" name="מספר נ&quot;ע" dataDxfId="506" dataCellStyle="Percent"/>
    <tableColumn id="3" xr3:uid="{B04EF283-25AC-41FC-A15E-09E90546323E}" name="זירת מסחר" dataDxfId="505" dataCellStyle="Percent"/>
    <tableColumn id="4" xr3:uid="{8734AB2F-D068-4729-89CA-0B8061874A91}" name="מספר מנפיק" dataDxfId="504" dataCellStyle="Percent"/>
    <tableColumn id="5" xr3:uid="{C16A32D4-76E2-48CB-85A8-CAED59D0F03E}" name="ענף מסחר" dataDxfId="503" dataCellStyle="Percent"/>
    <tableColumn id="6" xr3:uid="{E98E9BE6-7083-4693-BDF2-9466B0701007}" name="סוג מטבע" dataDxfId="502" dataCellStyle="Percent"/>
    <tableColumn id="7" xr3:uid="{3B54E7C9-E38C-4E7F-B034-C62454F1ACB8}" name="ערך נקוב" dataDxfId="501" dataCellStyle="Percent"/>
    <tableColumn id="8" xr3:uid="{D19A03E6-55DA-4075-9DF0-9FD353D80F80}" name="שער" dataDxfId="500" dataCellStyle="Percent"/>
    <tableColumn id="9" xr3:uid="{4AE2039F-89F5-4F7E-9935-9B1CC14C44F3}" name="פדיון/ריבית לקבל" dataDxfId="499" dataCellStyle="Comma"/>
    <tableColumn id="10" xr3:uid="{DF62DBA4-965F-47A7-9BAA-10CD08D9837C}" name="שווי שוק" dataDxfId="498" dataCellStyle="Comma"/>
    <tableColumn id="11" xr3:uid="{B89F81B2-053A-4C18-B17E-FA6A57598EA0}" name="שעור מערך נקוב מונפק" dataDxfId="497" dataCellStyle="Percent"/>
    <tableColumn id="12" xr3:uid="{A8DEA470-9759-4DD3-8E89-F94C2C98BDB7}" name="שעור מנכסי אפיק ההשקעה" dataDxfId="496" dataCellStyle="Percent"/>
    <tableColumn id="13" xr3:uid="{068EA571-DBEE-424B-A1C0-6362164F3686}" name="שעור מנכסי השקעה" dataDxfId="49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CCCC14-43FB-47B6-ADCB-557F4FF98AE5}" name="טבלה9" displayName="טבלה9" ref="A7:N36" totalsRowShown="0" headerRowDxfId="476" dataDxfId="477" headerRowBorderDxfId="492" tableBorderDxfId="493" headerRowCellStyle="Percent" dataCellStyle="Percent">
  <autoFilter ref="A7:N36" xr:uid="{5397AA9D-0688-43A9-8053-4E7129EE3D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B787C07-73C5-4AA6-92A2-A141522DCCB1}" name="שם המנפיק/שם נייר ערך" dataDxfId="491"/>
    <tableColumn id="2" xr3:uid="{17EAFF59-BD23-46AE-8F6A-C101E0C473D4}" name="מספר נ&quot;ע" dataDxfId="490" dataCellStyle="Percent"/>
    <tableColumn id="3" xr3:uid="{CC2D3EF5-F706-4517-82AB-67953FE4EE55}" name="זירת מסחר" dataDxfId="489" dataCellStyle="Percent"/>
    <tableColumn id="4" xr3:uid="{3E73F881-14FD-4E5F-B6FE-8D93D1844AA6}" name="מספר מנפיק" dataDxfId="488" dataCellStyle="Percent"/>
    <tableColumn id="5" xr3:uid="{71519B34-C0A3-414A-9F8D-BAAA635E95DE}" name="ענף מסחר" dataDxfId="487" dataCellStyle="Percent"/>
    <tableColumn id="6" xr3:uid="{5E32F96D-855B-458C-8875-80CF2A589D6A}" name="דירוג" dataDxfId="486" dataCellStyle="Percent"/>
    <tableColumn id="7" xr3:uid="{C2900F96-A556-4E54-B5FA-4716DDAB8063}" name="שם מדרג" dataDxfId="485" dataCellStyle="Percent"/>
    <tableColumn id="8" xr3:uid="{08F76930-BEA0-461D-ADD4-0C196261BAB0}" name="סוג מטבע" dataDxfId="484" dataCellStyle="Percent"/>
    <tableColumn id="9" xr3:uid="{F164ECB2-BDA6-4516-A07C-0B68596003BE}" name="ערך נקוב" dataDxfId="483" dataCellStyle="Percent"/>
    <tableColumn id="10" xr3:uid="{37798D20-49DC-4157-81AA-2938BBBB6849}" name="שער" dataDxfId="482" dataCellStyle="Percent"/>
    <tableColumn id="11" xr3:uid="{79378BA9-461B-4457-A891-AC94E2A16541}" name="שווי שוק" dataDxfId="481" dataCellStyle="Comma"/>
    <tableColumn id="12" xr3:uid="{5D2C0EC2-EB19-471F-B4E1-756CF2B0ED45}" name="שעור מערך נקוב מונפק" dataDxfId="480" dataCellStyle="Percent"/>
    <tableColumn id="13" xr3:uid="{9A899BF0-4E47-4FAB-911E-04C8ADFBCAA1}" name="שעור מנכסי אפיק ההשקעה" dataDxfId="479" dataCellStyle="Percent"/>
    <tableColumn id="14" xr3:uid="{05DE76B2-0B97-4F17-B5DA-295FDB63FEC2}" name="שעור מנכסי השקעה" dataDxfId="47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84536B-4E7A-4948-82D1-64750F56AC5D}" name="טבלה10" displayName="טבלה10" ref="A7:K16" totalsRowShown="0" headerRowDxfId="461" dataDxfId="462" headerRowBorderDxfId="474" tableBorderDxfId="475" headerRowCellStyle="Percent" dataCellStyle="Percent">
  <autoFilter ref="A7:K16" xr:uid="{3661411D-CB11-4B32-9247-91659C3165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BE55E40-ACB7-4B5F-88B8-0D463DE4B0F5}" name="שם המנפיק/שם נייר ערך" dataDxfId="473"/>
    <tableColumn id="2" xr3:uid="{C764D6F5-0DA0-4FAE-8246-F160A3C73C3C}" name="מספר נ&quot;ע" dataDxfId="472" dataCellStyle="Percent"/>
    <tableColumn id="3" xr3:uid="{D53BC892-CD1F-4FED-8D84-D6A7C027EB31}" name="זירת מסחר" dataDxfId="471" dataCellStyle="Percent"/>
    <tableColumn id="4" xr3:uid="{498F7D2B-C445-4451-B02F-7EE786D4A869}" name="ענף מסחר" dataDxfId="470" dataCellStyle="Percent"/>
    <tableColumn id="5" xr3:uid="{C18F332E-B7AA-4839-95BE-1A7842A7ACC5}" name="סוג מטבע" dataDxfId="469" dataCellStyle="Percent"/>
    <tableColumn id="6" xr3:uid="{BD997CB8-FAD1-40DB-BE17-BEFFA61EAEAF}" name="ערך נקוב" dataDxfId="468" dataCellStyle="Percent"/>
    <tableColumn id="7" xr3:uid="{A8507D06-AF81-4050-81B3-E5DD0B209E1D}" name="שער" dataDxfId="467" dataCellStyle="Percent"/>
    <tableColumn id="8" xr3:uid="{5347F123-1ED9-4ADC-A948-88298AB7833B}" name="שווי שוק" dataDxfId="466" dataCellStyle="Comma"/>
    <tableColumn id="9" xr3:uid="{68A89D3F-8938-42C3-A4FF-C0D6286BAC2B}" name="שעור מערך נקוב מונפק" dataDxfId="465" dataCellStyle="Percent"/>
    <tableColumn id="10" xr3:uid="{AD3B753D-CF8D-4B9F-92FC-0A651A59DEF8}" name="שעור מנכסי אפיק ההשקעה" dataDxfId="464" dataCellStyle="Percent"/>
    <tableColumn id="11" xr3:uid="{349DBC0B-CA1E-4583-93E9-D9C6A4199596}" name="שעור מנכסי השקעה" dataDxfId="46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C838CB-8A18-47B0-9D21-1B0826776EA0}" name="טבלה11" displayName="טבלה11" ref="A7:K37" totalsRowShown="0" headerRowDxfId="447" headerRowBorderDxfId="459" tableBorderDxfId="460" headerRowCellStyle="Percent">
  <autoFilter ref="A7:K37" xr:uid="{F6780FE1-53E8-4473-A118-F9DB535642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2E37811-516F-46FB-8CB9-0A3E0368B8C5}" name="שם המנפיק/שם נייר ערך" dataDxfId="458"/>
    <tableColumn id="2" xr3:uid="{75C8C32F-7F14-4704-A8B9-CC9E908BB7B5}" name="מספר נ&quot;ע" dataDxfId="457" dataCellStyle="Percent"/>
    <tableColumn id="3" xr3:uid="{71F001E7-CE11-4A84-AA68-DF4FE54FC3A3}" name="זירת מסחר" dataDxfId="456" dataCellStyle="Percent"/>
    <tableColumn id="4" xr3:uid="{E9C1B968-ED16-4226-9396-1F4CFE674200}" name="ענף מסחר" dataDxfId="455" dataCellStyle="Percent"/>
    <tableColumn id="5" xr3:uid="{4E34E473-ED88-4879-912D-1374A6F08067}" name="סוג מטבע" dataDxfId="454" dataCellStyle="Percent"/>
    <tableColumn id="6" xr3:uid="{D9D08F45-49EB-4264-98A6-CC2CDC1E0E21}" name="ערך נקוב" dataDxfId="453" dataCellStyle="Percent"/>
    <tableColumn id="7" xr3:uid="{C2CA26CD-009B-4BEE-B1FB-5429D077A1C7}" name="שער" dataDxfId="452" dataCellStyle="Percent"/>
    <tableColumn id="8" xr3:uid="{B5B72434-846B-49CF-9015-6911C391FF75}" name="שווי שוק" dataDxfId="451" dataCellStyle="Comma"/>
    <tableColumn id="9" xr3:uid="{19CE3CE2-6E63-4239-A4A6-541B4094E6DF}" name="שעור מערך נקוב מונפק" dataDxfId="450" dataCellStyle="Percent"/>
    <tableColumn id="10" xr3:uid="{09D5458B-2A0E-4153-94D7-DC8729F2FD31}" name="שעור מנכסי אפיק ההשקעה" dataDxfId="449" dataCellStyle="Percent"/>
    <tableColumn id="11" xr3:uid="{5F7EA175-CC6A-4D34-AEB3-78B08E4C87BE}" name="שעור מנכסי השקעה" dataDxfId="44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5D3D58-8026-4993-BEDA-B31C8381DB47}" name="טבלה12" displayName="טבלה12" ref="A7:J45" totalsRowShown="0" headerRowDxfId="434" headerRowBorderDxfId="445" tableBorderDxfId="446" headerRowCellStyle="Percent">
  <autoFilter ref="A7:J45" xr:uid="{4A4B780C-1386-47BA-825F-1748A429CD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282AE47-E9C9-4F39-BB9B-83633BD0CB5F}" name="שם המנפיק/שם נייר ערך" dataDxfId="444"/>
    <tableColumn id="2" xr3:uid="{F882DDC2-623E-40B6-9C53-3684554C2147}" name="מספר נ&quot;ע" dataDxfId="443" dataCellStyle="Percent"/>
    <tableColumn id="3" xr3:uid="{61BED8E9-E25A-493E-8589-82FFD45C7123}" name="זירת מסחר" dataDxfId="442" dataCellStyle="Percent"/>
    <tableColumn id="4" xr3:uid="{BFD0CF78-AFD8-4550-81A4-3BE50349D45A}" name="ענף מסחר" dataDxfId="441" dataCellStyle="Percent"/>
    <tableColumn id="5" xr3:uid="{5DC9340B-C8E6-4237-80BA-8396A64E735A}" name="סוג מטבע" dataDxfId="440" dataCellStyle="Percent"/>
    <tableColumn id="6" xr3:uid="{FDF829C7-FA29-461A-A631-6A5F3D42D139}" name="ערך נקוב" dataDxfId="439" dataCellStyle="Percent"/>
    <tableColumn id="7" xr3:uid="{AF6448BF-C00F-4DC1-876C-9344DF4DD542}" name="שער" dataDxfId="438" dataCellStyle="Percent"/>
    <tableColumn id="8" xr3:uid="{09EC3884-EF73-408B-99B4-2C164F0AD1CF}" name="שווי שוק" dataDxfId="437" dataCellStyle="Comma"/>
    <tableColumn id="9" xr3:uid="{952A38EF-7462-4348-9CDF-488BA532B657}" name="שעור מנכסי אפיק ההשקעה" dataDxfId="436" dataCellStyle="Percent"/>
    <tableColumn id="10" xr3:uid="{6B39AB46-418E-4658-9528-23E4E6CAB02B}" name="שעור מנכסי השקעה" dataDxfId="435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C8C47A-2285-4216-9984-E0216A97D791}" name="טבלה13" displayName="טבלה13" ref="A7:P29" totalsRowShown="0" headerRowDxfId="414" dataDxfId="415" headerRowBorderDxfId="432" tableBorderDxfId="433" headerRowCellStyle="Percent" dataCellStyle="Percent">
  <autoFilter ref="A7:P29" xr:uid="{FBDF08D3-DD59-4E70-8FA6-54BE5B16B0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D299FA1-2198-4F62-B7FB-FE27C8009EC9}" name="שם המנפיק/שם נייר ערך" dataDxfId="431"/>
    <tableColumn id="2" xr3:uid="{0C9B29F1-2C4F-449C-B1C9-CEDE67FA84BB}" name="מספר נ&quot;ע" dataDxfId="430" dataCellStyle="Percent"/>
    <tableColumn id="3" xr3:uid="{3F1D9522-1FA8-4735-B0F9-6672426B9EF9}" name="נכס הבסיס" dataDxfId="429" dataCellStyle="Percent"/>
    <tableColumn id="4" xr3:uid="{6C45AD2B-5078-4356-8E53-E91BAF00D5AD}" name="דירוג" dataDxfId="428" dataCellStyle="Percent"/>
    <tableColumn id="5" xr3:uid="{356E9B76-E639-4DEE-876E-1AB7D7227535}" name="שם מדרג" dataDxfId="427" dataCellStyle="Percent"/>
    <tableColumn id="6" xr3:uid="{5527F848-5E04-4A4F-AEDD-26ED4A178D4F}" name="תאריך רכישה" dataDxfId="426" dataCellStyle="Percent"/>
    <tableColumn id="7" xr3:uid="{F8BE64FD-F034-42CC-B8BC-B1F9BAC6497B}" name="מח&quot;מ" dataDxfId="425" dataCellStyle="Percent"/>
    <tableColumn id="8" xr3:uid="{59042582-00C1-4B9B-9A8A-ADD29A540704}" name="סוג מטבע" dataDxfId="424" dataCellStyle="Percent"/>
    <tableColumn id="9" xr3:uid="{FA06F354-FC02-409D-9AE0-6553934AAD9C}" name="שעור ריבית" dataDxfId="423" dataCellStyle="Percent"/>
    <tableColumn id="10" xr3:uid="{6D448AAC-9166-4F3A-A663-BC56B8AD5F6A}" name="תשואה לפדיון" dataDxfId="422" dataCellStyle="Percent"/>
    <tableColumn id="11" xr3:uid="{A934D474-13DC-4AB0-9753-4F019DC68510}" name="ערך נקוב" dataDxfId="421" dataCellStyle="Percent"/>
    <tableColumn id="12" xr3:uid="{3E2465B7-81E3-4DEC-B0F5-142B473F4C5D}" name="שער" dataDxfId="420" dataCellStyle="Percent"/>
    <tableColumn id="13" xr3:uid="{28DE9AA8-0882-4209-BEF8-B1082FB67498}" name="שווי שוק" dataDxfId="419" dataCellStyle="Comma"/>
    <tableColumn id="14" xr3:uid="{135DDAF7-102F-4D2B-BAAC-626391207E0E}" name="שעור מערך נקוב מונפק" dataDxfId="418" dataCellStyle="Percent"/>
    <tableColumn id="15" xr3:uid="{3D3EE5B1-F33A-485B-8C96-20348E4AB1C5}" name="שעור מנכסי אפיק ההשקעה" dataDxfId="417" dataCellStyle="Percent"/>
    <tableColumn id="16" xr3:uid="{020175A2-BE08-4B8F-B4D3-43F6860B95A1}" name="שעור מנכסי השקעה" dataDxfId="41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9DF6E68-6533-4B25-AAB5-5E986AD107E2}" name="טבלה14" displayName="טבלה14" ref="A7:O19" totalsRowShown="0" headerRowDxfId="396" headerRowBorderDxfId="412" tableBorderDxfId="413" headerRowCellStyle="Percent">
  <autoFilter ref="A7:O19" xr:uid="{B68D9AA1-8EF9-449B-B7FC-55B3BAE7EC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BCD454F-9065-4A08-904C-532F8EF2C06D}" name="שם המנפיק/שם נייר ערך" dataDxfId="411"/>
    <tableColumn id="2" xr3:uid="{41087BA9-1B7A-4C0D-BF3D-6DB026405E4D}" name="מספר נ&quot;ע" dataDxfId="410" dataCellStyle="Percent"/>
    <tableColumn id="3" xr3:uid="{5834EC63-38AE-4DC7-A08A-B41CC6B44C17}" name="דירוג" dataDxfId="409" dataCellStyle="Percent"/>
    <tableColumn id="4" xr3:uid="{6876A0C1-CA3C-46C5-8156-24F90FCFB5EE}" name="שם מדרג" dataDxfId="408" dataCellStyle="Percent"/>
    <tableColumn id="5" xr3:uid="{95A86D0A-7939-400F-A896-A44C06CEBE5F}" name="תאריך רכישה" dataDxfId="407" dataCellStyle="Percent"/>
    <tableColumn id="6" xr3:uid="{7C91E7DC-7073-46BD-8090-C2C9E7F9D1B0}" name="מח&quot;מ" dataDxfId="406" dataCellStyle="Percent"/>
    <tableColumn id="7" xr3:uid="{A1E60958-44FE-4147-842F-026743759EBA}" name="סוג מטבע" dataDxfId="405" dataCellStyle="Percent"/>
    <tableColumn id="8" xr3:uid="{0E0E670A-122E-404D-B01E-E5F723A9A5BD}" name="שעור ריבית" dataDxfId="404" dataCellStyle="Percent"/>
    <tableColumn id="9" xr3:uid="{81CC094E-508A-47A8-BC3D-49AEE1629825}" name="תשואה לפדיון" dataDxfId="403" dataCellStyle="Percent"/>
    <tableColumn id="10" xr3:uid="{28F90751-3B74-41AF-ADFB-880330C830C5}" name="ערך נקוב" dataDxfId="402" dataCellStyle="Percent"/>
    <tableColumn id="11" xr3:uid="{6558368C-AF3A-4D42-A333-D2D3EC739DEF}" name="שער" dataDxfId="401" dataCellStyle="Percent"/>
    <tableColumn id="12" xr3:uid="{00627B9A-94A3-4ED3-9492-81CFEFE3372D}" name="שווי הוגן" dataDxfId="400" dataCellStyle="Comma"/>
    <tableColumn id="13" xr3:uid="{13593806-2F54-484E-AE80-462074EA601D}" name="שעור מערך נקוב מונפק" dataDxfId="399" dataCellStyle="Percent"/>
    <tableColumn id="14" xr3:uid="{3B646F70-DE9C-4374-98A7-ABAAD6D64E29}" name="שעור מנכסי אפיק ההשקעה" dataDxfId="398" dataCellStyle="Percent"/>
    <tableColumn id="15" xr3:uid="{E33B6EEA-4521-4C45-A421-B0FD58094842}" name="שעור מנכסי השקעה" dataDxfId="39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175A742-DB95-4BC6-A48E-0DED9A9E6A32}" name="טבלה15" displayName="טבלה15" ref="A7:R18" totalsRowShown="0" headerRowDxfId="375" headerRowBorderDxfId="394" tableBorderDxfId="395" headerRowCellStyle="Percent">
  <autoFilter ref="A7:R18" xr:uid="{1900DA83-5FC0-4DBD-B5E4-3FFA9427AE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24834DA-E5A8-4201-8709-4DF582D896AE}" name="שם המנפיק/שם נייר ערך" dataDxfId="393"/>
    <tableColumn id="2" xr3:uid="{F3CC2FE3-5A22-451D-855A-4F6F51447F5B}" name="מספר נ&quot;ע" dataDxfId="392" dataCellStyle="Percent"/>
    <tableColumn id="3" xr3:uid="{FE3ECA5B-4BCE-419C-A58B-D44A2BCCBBB2}" name="ספק המידע" dataDxfId="391" dataCellStyle="Percent"/>
    <tableColumn id="4" xr3:uid="{AACA5478-75F7-4ED1-AD80-9E9BC3EC34F0}" name="מספר מנפיק" dataDxfId="390" dataCellStyle="Percent"/>
    <tableColumn id="5" xr3:uid="{32FE5892-96E6-4279-B0D6-CB1A0DD4483A}" name="ענף מסחר" dataDxfId="389" dataCellStyle="Percent"/>
    <tableColumn id="6" xr3:uid="{442B9F00-DA38-4CDF-8372-40EAF17A8A22}" name="דירוג" dataDxfId="388" dataCellStyle="Percent"/>
    <tableColumn id="7" xr3:uid="{EFD065E5-76CD-4CD0-A118-A42AD0BA7DBC}" name="שם מדרג" dataDxfId="387" dataCellStyle="Percent"/>
    <tableColumn id="8" xr3:uid="{3BCD2167-BA33-4449-9B68-72996B647EF4}" name="תאריך רכישה" dataDxfId="386" dataCellStyle="Percent"/>
    <tableColumn id="9" xr3:uid="{1C257C6B-4F27-407E-BA87-327117B7965E}" name="מח&quot;מ" dataDxfId="385" dataCellStyle="Percent"/>
    <tableColumn id="10" xr3:uid="{BFE62D2F-3A31-4B48-AAB1-738A19EF82BE}" name="סוג מטבע" dataDxfId="384" dataCellStyle="Percent"/>
    <tableColumn id="11" xr3:uid="{7E37118F-24D9-4681-8D0E-603DD988C4D0}" name="שעור ריבית" dataDxfId="383" dataCellStyle="Percent"/>
    <tableColumn id="12" xr3:uid="{8113CEC7-DA1D-4769-8BB5-CFB4F274FE9C}" name="תשואה לפדיון" dataDxfId="382" dataCellStyle="Percent"/>
    <tableColumn id="13" xr3:uid="{6130B054-DA73-4BF8-A4A6-E20635B8D08B}" name="ערך נקוב" dataDxfId="381" dataCellStyle="Percent"/>
    <tableColumn id="14" xr3:uid="{4F14AF8C-0C83-47AC-B667-840CD89D5F2E}" name="שער" dataDxfId="380" dataCellStyle="Percent"/>
    <tableColumn id="15" xr3:uid="{C4B3992F-2FC1-4467-8C60-C16CCC1CF69C}" name="שווי הוגן" dataDxfId="379" dataCellStyle="Comma"/>
    <tableColumn id="16" xr3:uid="{24D7D6A0-F1FD-4710-A1F6-42B249AE0522}" name="שעור מערך נקוב מונפק" dataDxfId="378" dataCellStyle="Percent"/>
    <tableColumn id="17" xr3:uid="{6EE4CA74-9C26-49AB-9CA7-2A3238F84312}" name="שעור מנכסי אפיק ההשקעה" dataDxfId="377" dataCellStyle="Percent"/>
    <tableColumn id="18" xr3:uid="{B54C1D8D-47FA-4234-8267-8A4A06CC6CF2}" name="שעור מנכסי השקעה" dataDxfId="37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65812A-F3BB-427C-AAA6-3FB03E0A9814}" name="טבלה16" displayName="טבלה16" ref="A7:R23" totalsRowShown="0" headerRowDxfId="353" dataDxfId="354" headerRowBorderDxfId="373" tableBorderDxfId="374" headerRowCellStyle="Percent" dataCellStyle="Percent">
  <autoFilter ref="A7:R23" xr:uid="{0435E5FD-6C38-464E-BC47-B374ED77E9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32C3141-3330-414F-A681-62E16828FAD4}" name="שם המנפיק/שם נייר ערך" dataDxfId="372"/>
    <tableColumn id="2" xr3:uid="{0E1BBCA2-584E-4BAE-946C-C44E0ED8B9DE}" name="מספר נ&quot;ע" dataDxfId="371" dataCellStyle="Percent"/>
    <tableColumn id="3" xr3:uid="{00F5141D-465E-4D21-8B0B-8C12463C646D}" name="ספק המידע" dataDxfId="370" dataCellStyle="Percent"/>
    <tableColumn id="4" xr3:uid="{2C801F23-D0C7-48B3-9C07-959228A99198}" name="מספר מנפיק" dataDxfId="369" dataCellStyle="Percent"/>
    <tableColumn id="5" xr3:uid="{9915C3F8-A950-4E07-9F5D-C2346330B603}" name="ענף מסחר" dataDxfId="368" dataCellStyle="Percent"/>
    <tableColumn id="6" xr3:uid="{CBBB3FA3-6E0C-46DE-91BD-03B6186F169C}" name="דירוג" dataDxfId="367" dataCellStyle="Percent"/>
    <tableColumn id="7" xr3:uid="{7838D87C-6515-452A-800E-0A53107CA394}" name="שם מדרג" dataDxfId="366" dataCellStyle="Percent"/>
    <tableColumn id="8" xr3:uid="{DE889CB5-407A-4EBF-85A7-9EE1065A8114}" name="תאריך רכישה" dataDxfId="365" dataCellStyle="Percent"/>
    <tableColumn id="9" xr3:uid="{D9E5DD17-53B0-4FAD-BF32-AC366EE99FD9}" name="מח&quot;מ" dataDxfId="364" dataCellStyle="Percent"/>
    <tableColumn id="10" xr3:uid="{4886B0DE-4F04-4C0B-BA23-150FDB43BCD0}" name="סוג מטבע" dataDxfId="363" dataCellStyle="Percent"/>
    <tableColumn id="11" xr3:uid="{CDAD9C83-11E5-46E7-BF40-D6AA6371BD84}" name="שעור ריבית" dataDxfId="362" dataCellStyle="Percent"/>
    <tableColumn id="12" xr3:uid="{27B1F254-E204-45F6-B3F8-B5FB1D00665A}" name="תשואה לפדיון" dataDxfId="361" dataCellStyle="Percent"/>
    <tableColumn id="13" xr3:uid="{A9E98AC0-DBEB-429F-A57D-F39718B43938}" name="ערך נקוב" dataDxfId="360" dataCellStyle="Percent"/>
    <tableColumn id="14" xr3:uid="{915A0CA4-F57C-4932-9A73-D178DB5B044A}" name="שער" dataDxfId="359" dataCellStyle="Percent"/>
    <tableColumn id="15" xr3:uid="{706103C1-BAE3-4856-9399-316C5A5C2FC8}" name="שווי הוגן" dataDxfId="358" dataCellStyle="Comma"/>
    <tableColumn id="16" xr3:uid="{79E91FF0-99E1-4C1A-A306-DABA836DEE3F}" name="שעור מערך נקוב מונפק" dataDxfId="357" dataCellStyle="Percent"/>
    <tableColumn id="17" xr3:uid="{F9701E5F-A6A1-4B7D-99D4-1A5096BBE840}" name="שעור מנכסי אפיק ההשקעה" dataDxfId="356" dataCellStyle="Percent"/>
    <tableColumn id="18" xr3:uid="{CA17B751-B5E8-4D7D-8EF7-75D018370F97}" name="שעור מנכסי השקעה" dataDxfId="35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8D2DF6-3AD4-4167-AC15-EC166AFB990C}" name="טבלה17" displayName="טבלה17" ref="A7:L20" totalsRowShown="0" headerRowDxfId="337" dataDxfId="338" headerRowBorderDxfId="351" tableBorderDxfId="352" headerRowCellStyle="Percent" dataCellStyle="Percent">
  <autoFilter ref="A7:L20" xr:uid="{454ADB98-3385-426A-9E1B-E0E42D1958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0CB3AB6-41D9-4D7E-B363-F01290E33CEC}" name="שם המנפיק/שם נייר ערך" dataDxfId="350"/>
    <tableColumn id="2" xr3:uid="{5F4F5EF5-8C29-47B7-A840-9DD1EAF786DB}" name="מספר נ&quot;ע" dataDxfId="349" dataCellStyle="Percent"/>
    <tableColumn id="3" xr3:uid="{D9939B0F-D6B0-4C3D-90D0-4EE2EA3E9347}" name="ספק המידע" dataDxfId="348" dataCellStyle="Percent"/>
    <tableColumn id="4" xr3:uid="{1EB3EDD1-8E0C-4B75-9DA8-B90237CCD66E}" name="מספר מנפיק" dataDxfId="347" dataCellStyle="Percent"/>
    <tableColumn id="5" xr3:uid="{98579B68-B759-45E3-8164-54E81C7DF77D}" name="ענף מסחר" dataDxfId="346" dataCellStyle="Percent"/>
    <tableColumn id="6" xr3:uid="{578C63F8-17B0-458E-A116-AEBC05418CC0}" name="סוג מטבע" dataDxfId="345" dataCellStyle="Percent"/>
    <tableColumn id="7" xr3:uid="{521607A9-01F2-4DD5-8452-5643F095BCF4}" name="ערך נקוב" dataDxfId="344" dataCellStyle="Percent"/>
    <tableColumn id="8" xr3:uid="{AB3093B1-2DA7-4C9A-AFC9-8F1DF01F6AAE}" name="שער" dataDxfId="343" dataCellStyle="Percent"/>
    <tableColumn id="9" xr3:uid="{CE1FE6C0-5497-4CCE-A70D-7B5DFDE85755}" name="שווי שוק" dataDxfId="342" dataCellStyle="Comma"/>
    <tableColumn id="10" xr3:uid="{42099862-A55D-4D4A-B274-5891AA181288}" name="שעור מערך נקוב מונפק" dataDxfId="341" dataCellStyle="Percent"/>
    <tableColumn id="11" xr3:uid="{E503DA63-A762-4BCC-95E8-E64360C837B6}" name="שעור מנכסי אפיק ההשקעה" dataDxfId="340" dataCellStyle="Percent"/>
    <tableColumn id="12" xr3:uid="{26C8449E-CA3B-4867-A3A7-02D17DD1351C}" name="שעור מנכסי השקעה" dataDxfId="33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DDDCB19-E664-4C4E-93B5-EEEEF1F71782}" name="טבלה18" displayName="טבלה18" ref="A7:J27" totalsRowShown="0" headerRowDxfId="323" dataDxfId="324" headerRowBorderDxfId="335" tableBorderDxfId="336" headerRowCellStyle="Percent" dataCellStyle="Percent">
  <autoFilter ref="A7:J27" xr:uid="{004DA9AA-C5C5-41CF-A106-5147DFC92B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25EA37F-1EAA-4696-8AB4-4CE2EEEF3304}" name="שם המנפיק/שם נייר ערך" dataDxfId="334"/>
    <tableColumn id="2" xr3:uid="{D8F0E341-13A2-447A-88A2-E746D20820B3}" name="מספר נ&quot;ע" dataDxfId="333" dataCellStyle="Percent"/>
    <tableColumn id="3" xr3:uid="{F4F9A207-A87A-4FDD-AB0C-E9990B39C482}" name="סוג מטבע" dataDxfId="332" dataCellStyle="Percent"/>
    <tableColumn id="4" xr3:uid="{EE37C266-78AD-4D63-9554-A64B2D301AA9}" name="תאריך רכישה" dataDxfId="331" dataCellStyle="Percent"/>
    <tableColumn id="5" xr3:uid="{81CACA9E-06AC-443F-B5B1-DB62CBDDB72E}" name="ערך נקוב" dataDxfId="330" dataCellStyle="Percent"/>
    <tableColumn id="6" xr3:uid="{116916F3-8247-4197-BE2C-5F5480C8D762}" name="שער" dataDxfId="329" dataCellStyle="Percent"/>
    <tableColumn id="7" xr3:uid="{99B59544-48D6-4FF7-AF01-AABAF5AFA821}" name="שווי הוגן" dataDxfId="328" dataCellStyle="Comma"/>
    <tableColumn id="8" xr3:uid="{26C10768-02A8-48DB-9FDE-DF0D980B6CAD}" name="שעור מערך נקוב מונפק" dataDxfId="327" dataCellStyle="Percent"/>
    <tableColumn id="9" xr3:uid="{0EB753E6-1D8E-4A1B-8000-C2A138A9C471}" name="שעור מנכסי אפיק ההשקעה" dataDxfId="326" dataCellStyle="Percent"/>
    <tableColumn id="10" xr3:uid="{27F1992C-008B-4C58-B3BB-6AA4E9E02ADB}" name="שעור מנכסי השקעה" dataDxfId="32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523C4E5-4E12-4916-8B0F-29BC05DE5736}" name="טבלה19" displayName="טבלה19" ref="A7:K14" totalsRowShown="0" headerRowDxfId="320" headerRowBorderDxfId="321" tableBorderDxfId="322" headerRowCellStyle="Percent">
  <autoFilter ref="A7:K14" xr:uid="{0FEB42D4-719F-4EFB-A47C-6AC9A00DF6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C5F9685-1508-4086-A63A-B519F07B3748}" name="שם המנפיק/שם נייר ערך"/>
    <tableColumn id="2" xr3:uid="{45A7C0A7-E2FE-4FDF-BAA5-31C578B07B9D}" name="מספר נ&quot;ע"/>
    <tableColumn id="3" xr3:uid="{21A35648-C920-43E5-AF01-2F1903CEB0C1}" name="ענף מסחר"/>
    <tableColumn id="4" xr3:uid="{07083142-34E2-4D21-AA1E-33702D27C913}" name="סוג מטבע"/>
    <tableColumn id="5" xr3:uid="{3E0ECBE4-D05F-47D3-9EC8-F72F876F3EB6}" name="תאריך רכישה"/>
    <tableColumn id="6" xr3:uid="{52445971-4B4A-42F3-9569-899985852CAA}" name="ערך נקוב"/>
    <tableColumn id="7" xr3:uid="{0CA2A744-1E28-447F-97E4-DA766D23885A}" name="שער"/>
    <tableColumn id="8" xr3:uid="{5DDDCA56-2DA9-4F80-A52F-3BC1F4AECBDA}" name="שווי הוגן"/>
    <tableColumn id="9" xr3:uid="{ECD0AD29-C419-4814-A34F-78C86048F3A3}" name="שעור מערך נקוב מונפק"/>
    <tableColumn id="10" xr3:uid="{0AD3599C-CC82-4523-9277-010629491C2D}" name="שעור מנכסי אפיק ההשקעה"/>
    <tableColumn id="11" xr3:uid="{770F89F4-0259-4137-881B-23288E32D9D6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FA99833-5576-4E93-A070-D0B59C29C28B}" name="טבלה20" displayName="טבלה20" ref="A7:K26" totalsRowShown="0" headerRowDxfId="305" dataDxfId="306" headerRowBorderDxfId="318" tableBorderDxfId="319" headerRowCellStyle="Percent" dataCellStyle="Percent">
  <autoFilter ref="A7:K26" xr:uid="{FD3D680F-7A81-4D22-9072-36947B652F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2A4FE75-0D52-4871-9BFB-560F663724C1}" name="שם המנפיק/שם נייר ערך" dataDxfId="317"/>
    <tableColumn id="2" xr3:uid="{6C2205B5-B23E-41C0-9B1C-ABAEC53BC0C2}" name="מספר נ&quot;ע" dataDxfId="316" dataCellStyle="Percent"/>
    <tableColumn id="3" xr3:uid="{2D43EE24-D4C6-447C-BB53-1A46AADC1C27}" name="ענף מסחר" dataDxfId="315" dataCellStyle="Percent"/>
    <tableColumn id="4" xr3:uid="{25588C68-BB66-437D-9D50-854B5510854C}" name="סוג מטבע" dataDxfId="314" dataCellStyle="Percent"/>
    <tableColumn id="5" xr3:uid="{C8E51ADD-E5F5-4AE0-98AB-ABEA8DBA9F89}" name="תאריך רכישה" dataDxfId="313" dataCellStyle="Percent"/>
    <tableColumn id="6" xr3:uid="{9513B269-2FA5-49E0-94F1-E457CD88D466}" name="ערך נקוב" dataDxfId="312" dataCellStyle="Percent"/>
    <tableColumn id="7" xr3:uid="{C3E934A2-4FFE-424D-BBAD-9D15DA549FEE}" name="שער" dataDxfId="311" dataCellStyle="Percent"/>
    <tableColumn id="8" xr3:uid="{C98B244E-AA4B-41B1-A706-2CB02135AADE}" name="שווי הוגן" dataDxfId="310" dataCellStyle="Comma"/>
    <tableColumn id="9" xr3:uid="{E8D73D7E-E1F0-4B6E-B797-6D1440D5E4EA}" name="שעור מערך נקוב מונפק" dataDxfId="309" dataCellStyle="Percent"/>
    <tableColumn id="10" xr3:uid="{D86CD965-6485-48BB-B91E-DC4445D829B7}" name="שעור מנכסי אפיק ההשקעה" dataDxfId="308" dataCellStyle="Percent"/>
    <tableColumn id="11" xr3:uid="{FFDD0E09-7CB3-4C03-B755-B91FF6CBE506}" name="שעור מנכסי השקעה" dataDxfId="307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AE156D9-3A44-4C98-A4D5-A073F343B4AE}" name="טבלה21" displayName="טבלה21" ref="A7:J213" totalsRowShown="0" headerRowDxfId="291" dataDxfId="292" headerRowBorderDxfId="303" tableBorderDxfId="304" headerRowCellStyle="Percent" dataCellStyle="Percent">
  <autoFilter ref="A7:J213" xr:uid="{AD738F82-5565-4C30-A632-6C1D80E1D0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3B09918-88FE-46A7-B457-A5D319796EB7}" name="שם המנפיק/שם נייר ערך" dataDxfId="302"/>
    <tableColumn id="2" xr3:uid="{2DD68F72-F98B-4F3C-8ADF-6FE8905862A8}" name="מספר נ&quot;ע" dataDxfId="301" dataCellStyle="Percent"/>
    <tableColumn id="3" xr3:uid="{51F09721-3087-4C78-9F26-3D03CD5F19DB}" name="ענף מסחר" dataDxfId="300" dataCellStyle="Percent"/>
    <tableColumn id="4" xr3:uid="{0C1B45C2-50E3-4CDC-A83E-90BED0F3C968}" name="סוג מטבע" dataDxfId="299" dataCellStyle="Percent"/>
    <tableColumn id="5" xr3:uid="{C21CAE5B-34F6-4017-B5AE-64ADF6E18693}" name="תאריך רכישה" dataDxfId="298" dataCellStyle="Percent"/>
    <tableColumn id="6" xr3:uid="{35403393-2A2B-45BE-AACF-CB399A3F1B5B}" name="ערך נקוב" dataDxfId="297" dataCellStyle="Percent"/>
    <tableColumn id="7" xr3:uid="{2ACE84EE-BC53-4FED-B5B9-5C0278D28B7E}" name="שער" dataDxfId="296" dataCellStyle="Percent"/>
    <tableColumn id="8" xr3:uid="{25DA09B3-8532-4C7F-8CD0-AB60442E9D43}" name="שווי הוגן" dataDxfId="295" dataCellStyle="Comma"/>
    <tableColumn id="9" xr3:uid="{66B8B881-835D-42FC-AACE-AB34A255E04A}" name="שעור מנכסי אפיק ההשקעה" dataDxfId="294" dataCellStyle="Percent"/>
    <tableColumn id="10" xr3:uid="{0BA3CCE2-EEEA-4BF8-8454-99D0174A38A9}" name="שעור מנכסי השקעה" dataDxfId="29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FB5512-E1FF-445C-9AF0-6C8C25A3E027}" name="טבלה22" displayName="טבלה22" ref="A7:P26" totalsRowShown="0" headerRowDxfId="271" dataDxfId="272" headerRowBorderDxfId="289" tableBorderDxfId="290" headerRowCellStyle="Percent" dataCellStyle="Percent">
  <autoFilter ref="A7:P26" xr:uid="{147F1670-BAFF-4142-A521-BC686CCE38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D260DED-62B7-47FA-A3D3-12D9E42EA1B5}" name="שם המנפיק/שם נייר ערך" dataDxfId="288"/>
    <tableColumn id="2" xr3:uid="{AD133155-1D94-43B9-9F01-CE83A545401C}" name="מספר נ&quot;ע" dataDxfId="287" dataCellStyle="Percent"/>
    <tableColumn id="3" xr3:uid="{82EC8F50-B39F-4A29-828A-A838412D7B81}" name="נכס הבסיס" dataDxfId="286" dataCellStyle="Percent"/>
    <tableColumn id="4" xr3:uid="{18D3834F-370B-49EE-AFC9-6D83516BEFAE}" name="דירוג" dataDxfId="285" dataCellStyle="Percent"/>
    <tableColumn id="5" xr3:uid="{D505F0D4-1CF5-46BE-92B0-4E9AFA727A23}" name="שם מדרג" dataDxfId="284" dataCellStyle="Percent"/>
    <tableColumn id="6" xr3:uid="{2EBEF04D-2123-4AD6-B8BB-1EF222429BAC}" name="תאריך רכישה" dataDxfId="283" dataCellStyle="Percent"/>
    <tableColumn id="7" xr3:uid="{234010C0-3D34-4EFD-8485-7FE46E2185AA}" name="מח&quot;מ" dataDxfId="282" dataCellStyle="Percent"/>
    <tableColumn id="8" xr3:uid="{BD8D3C68-AC25-47E7-B11B-91C62B287D6F}" name="סוג מטבע" dataDxfId="281" dataCellStyle="Percent"/>
    <tableColumn id="9" xr3:uid="{9A3F6F8A-52BE-4C30-8C08-1E21DF2AD4ED}" name="שעור ריבית" dataDxfId="280" dataCellStyle="Percent"/>
    <tableColumn id="10" xr3:uid="{56DDAFBF-5EA3-4DF9-81B8-39B16805A1D3}" name="תשואה לפדיון" dataDxfId="279" dataCellStyle="Percent"/>
    <tableColumn id="11" xr3:uid="{B33DD74B-4F31-49A8-A1D8-4D4E49C1AE02}" name="ערך נקוב" dataDxfId="278" dataCellStyle="Percent"/>
    <tableColumn id="12" xr3:uid="{24F64AC7-06E9-4727-824F-985EB9EBD9A0}" name="שער" dataDxfId="277" dataCellStyle="Percent"/>
    <tableColumn id="13" xr3:uid="{AC201088-BA62-4646-B06D-28C1DDCEEE9F}" name="שווי שוק" dataDxfId="276" dataCellStyle="Comma"/>
    <tableColumn id="14" xr3:uid="{489700A6-6EB3-4B5A-A759-CB87C2E318E8}" name="שעור מערך נקוב מונפק" dataDxfId="275" dataCellStyle="Percent"/>
    <tableColumn id="15" xr3:uid="{DCCF6952-433C-421B-A825-D1FDD78F27AD}" name="שעור מנכסי אפיק ההשקעה" dataDxfId="274" dataCellStyle="Percent"/>
    <tableColumn id="16" xr3:uid="{114C7B24-4C67-408E-8BA1-B2BB8DD2F4ED}" name="שעור מנכסי השקעה" dataDxfId="27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C973F0-EBD0-488C-9B54-442E9BF1AED4}" name="טבלה23" displayName="טבלה23" ref="A6:Q66" totalsRowShown="0" headerRowDxfId="250" dataDxfId="251" headerRowBorderDxfId="269" tableBorderDxfId="270" headerRowCellStyle="Percent" dataCellStyle="Percent">
  <autoFilter ref="A6:Q66" xr:uid="{47CD0582-31DC-4F13-B4B6-C789AB2210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CE4BB33-F63C-473E-91B2-D624BE604B55}" name="שם המנפיק/שם נייר ערך" dataDxfId="268"/>
    <tableColumn id="2" xr3:uid="{C9968F36-61ED-47B3-9F61-0DD4FFF4BF4C}" name="קונסורציום" dataDxfId="267" dataCellStyle="Percent"/>
    <tableColumn id="3" xr3:uid="{DC855392-2C89-499C-A3CF-CA6A633CB682}" name="מספר נ&quot;ע" dataDxfId="266" dataCellStyle="Percent"/>
    <tableColumn id="4" xr3:uid="{02611D3E-EA5C-4EAF-B5E1-793F86C3C474}" name="מספר מנפיק" dataDxfId="265" dataCellStyle="Percent"/>
    <tableColumn id="5" xr3:uid="{2943A99A-02D5-4A15-9E92-A6CF28A0C0CC}" name="דירוג" dataDxfId="264" dataCellStyle="Percent"/>
    <tableColumn id="6" xr3:uid="{C29E95DE-1F6C-49F2-BACA-85F609772D7C}" name="תאריך רכישה" dataDxfId="263" dataCellStyle="Percent"/>
    <tableColumn id="7" xr3:uid="{776A417C-CA04-4749-B7C6-375C070AB2BB}" name="שם מדרג" dataDxfId="262" dataCellStyle="Percent"/>
    <tableColumn id="8" xr3:uid="{33F7B655-FF95-49D7-B414-EEBFAEF057F3}" name="מח&quot;מ" dataDxfId="261" dataCellStyle="Percent"/>
    <tableColumn id="9" xr3:uid="{DC3E1751-C258-4167-8B80-DC934311A47F}" name="ענף משק" dataDxfId="260" dataCellStyle="Percent"/>
    <tableColumn id="10" xr3:uid="{49B90824-86FE-445E-BC05-E923C0F36C6F}" name="סוג מטבע" dataDxfId="259" dataCellStyle="Percent"/>
    <tableColumn id="11" xr3:uid="{1E0BB13A-E5F3-4032-9F9F-24008C4DC10C}" name="שעור ריבית ממוצע" dataDxfId="258" dataCellStyle="Percent"/>
    <tableColumn id="12" xr3:uid="{ACFFEFC5-7F5B-4712-A4B1-983244285D7F}" name="תשואה לפדיון" dataDxfId="257" dataCellStyle="Percent"/>
    <tableColumn id="13" xr3:uid="{C64BB35B-62DF-478B-A6A6-DD8DFD0BBC8C}" name="ערך נקוב" dataDxfId="256" dataCellStyle="Comma"/>
    <tableColumn id="14" xr3:uid="{7F9E2DF1-AEF4-41CA-82DF-D6CE072DF472}" name="שער" dataDxfId="255" dataCellStyle="Percent"/>
    <tableColumn id="15" xr3:uid="{A5F3CD83-453A-4B08-8574-110E573BB3E6}" name="שווי הוגן" dataDxfId="254" dataCellStyle="Comma"/>
    <tableColumn id="16" xr3:uid="{BC62ACBB-DC2F-46F3-90ED-6E7D755791CE}" name="שעור מנכסי אפיק ההשקעה" dataDxfId="253" dataCellStyle="Percent"/>
    <tableColumn id="17" xr3:uid="{6F93937F-BF41-41B9-A852-B4F9ACE475B0}" name="שעור מנכסי השקעה" dataDxfId="25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767D5E7-A418-475B-9BD5-E88A7E6367EC}" name="טבלה24" displayName="טבלה24" ref="A6:N16" totalsRowShown="0" headerRowDxfId="232" dataDxfId="233" headerRowBorderDxfId="248" tableBorderDxfId="249" headerRowCellStyle="Percent" dataCellStyle="Percent">
  <autoFilter ref="A6:N16" xr:uid="{93699F81-1F63-4FAB-81D6-BBD34F8D70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698D2C1-2F07-4469-82A1-F5ECC40D2CA8}" name="שם המנפיק/שם נייר ערך" dataDxfId="247"/>
    <tableColumn id="2" xr3:uid="{E9F1BF3D-01F3-4548-9D06-2F64A71699E7}" name="מספר נ&quot;ע" dataDxfId="246" dataCellStyle="Percent"/>
    <tableColumn id="3" xr3:uid="{0B1BEEBF-0386-4DC3-912A-A11261A898BC}" name="מספר מנפיק" dataDxfId="245" dataCellStyle="Percent"/>
    <tableColumn id="4" xr3:uid="{6CD5E408-6767-4E82-8100-52CF235813DC}" name="דירוג" dataDxfId="244" dataCellStyle="Percent"/>
    <tableColumn id="5" xr3:uid="{45CD9877-9732-4C2D-8C8B-F30558CDF61D}" name="שם מדרג" dataDxfId="243" dataCellStyle="Percent"/>
    <tableColumn id="6" xr3:uid="{5653011E-060C-44CA-980B-958DB80FE7CD}" name="מח&quot;מ" dataDxfId="242" dataCellStyle="Percent"/>
    <tableColumn id="7" xr3:uid="{48C8DCEA-66A5-4E02-8ACB-BCF7FF95BAF4}" name="סוג מטבע" dataDxfId="241" dataCellStyle="Percent"/>
    <tableColumn id="8" xr3:uid="{C5E78281-33A4-49FC-9286-30961219537D}" name="תנאי ושיעור ריבית" dataDxfId="240" dataCellStyle="Percent"/>
    <tableColumn id="9" xr3:uid="{878A5718-1E6A-44FC-885E-9E81AF8B88A9}" name="תשואה לפדיון" dataDxfId="239" dataCellStyle="Percent"/>
    <tableColumn id="10" xr3:uid="{2D678640-76E7-481C-90C1-0F1B6992D5BF}" name="ערך נקוב" dataDxfId="238" dataCellStyle="Percent"/>
    <tableColumn id="11" xr3:uid="{AF41BB16-81DF-4E2C-A148-4091B3FADF18}" name="שער" dataDxfId="237" dataCellStyle="Percent"/>
    <tableColumn id="12" xr3:uid="{9F3AD651-4140-4A82-A19C-2C0B6C8E034C}" name="שווי הוגן" dataDxfId="236" dataCellStyle="Comma"/>
    <tableColumn id="13" xr3:uid="{E0212C3B-24B4-4BE4-BBC9-4DBE7C5BFD95}" name="שעור מנכסי אפיק ההשקעה" dataDxfId="235" dataCellStyle="Percent"/>
    <tableColumn id="14" xr3:uid="{7A2F870A-642D-45ED-99AE-1FAD927359F5}" name="שעור מנכסי השקעה" dataDxfId="234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E6FB655-7A29-446C-8EC2-08DE07CE52C6}" name="טבלה25" displayName="טבלה25" ref="A6:I15" totalsRowShown="0" headerRowDxfId="219" dataDxfId="220" headerRowBorderDxfId="230" tableBorderDxfId="231" headerRowCellStyle="Percent" dataCellStyle="Percent">
  <autoFilter ref="A6:I15" xr:uid="{A304E7F3-9193-4C6E-90E8-1BB175FFB1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BA1903-B908-4B6C-9E6B-C7B07D6B3DE4}" name="שם המנפיק/שם נייר ערך" dataDxfId="229"/>
    <tableColumn id="2" xr3:uid="{437DAD12-CBC4-4293-9A91-7DD4B58A2323}" name="תאריך שערוך אחרון" dataDxfId="228" dataCellStyle="Percent"/>
    <tableColumn id="3" xr3:uid="{A619DC69-C0DE-4BC2-9D58-D19176D9B130}" name="אופי הנכס" dataDxfId="227" dataCellStyle="Percent"/>
    <tableColumn id="4" xr3:uid="{421B4BED-2A63-49C7-9DA6-855B2750AA24}" name="שעור תשואה במהלך התקופה" dataDxfId="226" dataCellStyle="Percent"/>
    <tableColumn id="5" xr3:uid="{3865814D-A521-4B46-A350-BF75BCDA91F8}" name="סוג מטבע" dataDxfId="225" dataCellStyle="Percent"/>
    <tableColumn id="6" xr3:uid="{C8EAC8E9-00E5-499F-8E26-35C038425504}" name="שווי משוערך" dataDxfId="224" dataCellStyle="Comma"/>
    <tableColumn id="7" xr3:uid="{2565F815-0F24-4A08-9116-F45B196FAA1E}" name="שעור מנכסי אפיק ההשקעה" dataDxfId="223" dataCellStyle="Percent"/>
    <tableColumn id="8" xr3:uid="{11DD9B5F-347C-429E-8FB3-4D9B0BC167CB}" name="שעור מנכסי השקעה" dataDxfId="222" dataCellStyle="Percent"/>
    <tableColumn id="9" xr3:uid="{97B06E01-AB0C-49D8-9C66-CA772DE08BA3}" name="כתובת הנכס" dataDxfId="221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AD7441B-2246-452A-A2D3-EDE9922060F5}" name="טבלה26" displayName="טבלה26" ref="A6:J11" totalsRowShown="0" headerRowDxfId="216" headerRowBorderDxfId="217" tableBorderDxfId="218" headerRowCellStyle="Percent">
  <autoFilter ref="A6:J11" xr:uid="{89177DD8-D874-4C03-B53A-A53ABCF54F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C68C814-94E7-428B-9C7F-6BBD63577789}" name="שם המנפיק/שם נייר ערך"/>
    <tableColumn id="2" xr3:uid="{B49466F1-6F1F-4E04-8C2D-C467E7ED2D6B}" name="מספר מנפיק"/>
    <tableColumn id="3" xr3:uid="{D4D632DE-6B18-4E42-9108-AA586248ADA6}" name="דירוג"/>
    <tableColumn id="4" xr3:uid="{7E78D32F-9342-459A-B2A6-A2AB6F6B3313}" name="שם המדרג"/>
    <tableColumn id="5" xr3:uid="{7BCEC314-CF25-46AE-B69D-56A6F0511525}" name="שעור הריבית"/>
    <tableColumn id="6" xr3:uid="{CB53E0EC-5760-4EF1-8809-19EA883CBE40}" name="סוג מטבע"/>
    <tableColumn id="7" xr3:uid="{94CF7A65-0FF7-4811-800B-285D1AE6569C}" name="תשואה לפדיון"/>
    <tableColumn id="8" xr3:uid="{21EE1334-2991-4AB1-A6E9-55BC45DE0A12}" name="שווי הוגן"/>
    <tableColumn id="9" xr3:uid="{154DDE5A-038E-4D81-BB35-F2ABA95B5F29}" name="שעור מנכסי אפיק ההשקעה"/>
    <tableColumn id="10" xr3:uid="{1A44136A-DA6B-46E1-AA8D-3BE7D70D21AF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145BE4E-86D6-493B-9B5F-2CF676D27E09}" name="טבלה27" displayName="טבלה27" ref="A6:J15" totalsRowShown="0" headerRowDxfId="203" headerRowBorderDxfId="214" tableBorderDxfId="215" headerRowCellStyle="Percent">
  <autoFilter ref="A6:J15" xr:uid="{2804DCB8-0012-4A1C-A143-4C6D2B735E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FB8FA29-DDE0-4ACC-9A2E-AA4FFAA8B7AB}" name="שם המנפיק/שם נייר ערך" dataDxfId="213"/>
    <tableColumn id="2" xr3:uid="{5BE43D4B-3BE2-46E8-B0B9-65BD9BCBA125}" name="מספר נייר" dataDxfId="212" dataCellStyle="Percent"/>
    <tableColumn id="3" xr3:uid="{750C60AF-781B-4898-AC7D-16AEC4EB294B}" name="דירוג" dataDxfId="211" dataCellStyle="Percent"/>
    <tableColumn id="4" xr3:uid="{31DAFB5D-5EE3-4115-8E01-C7327C99EADA}" name="שם מדרג" dataDxfId="210" dataCellStyle="Percent"/>
    <tableColumn id="5" xr3:uid="{856FB2DC-B0C6-4233-9030-FC920EEECDC8}" name="שעור ריבית" dataDxfId="209" dataCellStyle="Percent"/>
    <tableColumn id="6" xr3:uid="{EE71B7A8-FA9B-41C7-8247-ADFB442D2196}" name="סוג מטבע" dataDxfId="208" dataCellStyle="Comma"/>
    <tableColumn id="7" xr3:uid="{AC1EDF15-24B0-426A-ABEB-A98887452182}" name="תשואה לפדיון" dataDxfId="207" dataCellStyle="Percent"/>
    <tableColumn id="8" xr3:uid="{6A5EFEC7-2A02-48CA-A5A5-2AC716E8E279}" name="שווי הוגן" dataDxfId="206" dataCellStyle="Comma"/>
    <tableColumn id="9" xr3:uid="{27C4FE67-F59B-4199-82E1-FF897E9123FD}" name="שעור מנכסי אפיק ההשקעה" dataDxfId="205" dataCellStyle="Percent"/>
    <tableColumn id="10" xr3:uid="{D5A507D5-D25A-4BF4-8F13-D4CFFB233A43}" name="שעור מנכסי השקעה" dataDxfId="204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CDF7F75-D50E-4CE6-9914-1806B43A599F}" name="טבלה28" displayName="טבלה28" ref="A6:C12" totalsRowShown="0" headerRowBorderDxfId="201" tableBorderDxfId="202">
  <autoFilter ref="A6:C12" xr:uid="{C76F0F42-6C86-4FF1-80A2-671686192B09}">
    <filterColumn colId="0" hiddenButton="1"/>
    <filterColumn colId="1" hiddenButton="1"/>
    <filterColumn colId="2" hiddenButton="1"/>
  </autoFilter>
  <tableColumns count="3">
    <tableColumn id="1" xr3:uid="{F1BCD19C-9277-43A7-84F3-CBF66C1AA46A}" name="שם המנפיק/שם נייר ערך"/>
    <tableColumn id="2" xr3:uid="{77F96B6B-7A41-4387-9577-C24CABE4550A}" name="סכום ההתחייבות"/>
    <tableColumn id="3" xr3:uid="{C113F083-6A95-4E3D-B010-3012B51B10DC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6CD71AC-D260-4A6A-9060-660B3561E5B5}" name="טבלה29" displayName="טבלה29" ref="A6:O19" totalsRowShown="0" headerRowDxfId="183" headerRowBorderDxfId="199" tableBorderDxfId="200" headerRowCellStyle="Percent">
  <autoFilter ref="A6:O19" xr:uid="{87526964-F6EE-4269-B4B3-33F27089E2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1F4614B-5D86-4583-8037-B16D20D4904D}" name="שם המנפיק/שם נייר ערך" dataDxfId="198"/>
    <tableColumn id="2" xr3:uid="{50F5E705-02BE-438E-A5E8-012EF80947E3}" name="מספר ני&quot;ע" dataDxfId="197" dataCellStyle="Percent"/>
    <tableColumn id="3" xr3:uid="{6721FAAE-2567-45A5-A498-91789F5ADB76}" name="ענף מסחר" dataDxfId="196" dataCellStyle="Percent"/>
    <tableColumn id="4" xr3:uid="{B1ACB68D-08D3-45A9-A4DD-A69E2751990E}" name="דירוג" dataDxfId="195" dataCellStyle="Percent"/>
    <tableColumn id="5" xr3:uid="{7D50ECB9-59DD-4E78-802E-30BE77BA281E}" name="שם מדרג" dataDxfId="194" dataCellStyle="Percent"/>
    <tableColumn id="6" xr3:uid="{123B735B-3B44-465C-B8D7-A28CA1520F67}" name="תאריך רכישה" dataDxfId="193" dataCellStyle="Percent"/>
    <tableColumn id="7" xr3:uid="{4A593533-55DC-4787-9D51-609BBE6D7E62}" name="מח&quot;מ" dataDxfId="192" dataCellStyle="Percent"/>
    <tableColumn id="8" xr3:uid="{41DBA6AE-E0AD-4180-97EC-03263EF2A5BF}" name="סוג מטבע" dataDxfId="191" dataCellStyle="Percent"/>
    <tableColumn id="9" xr3:uid="{3715DC01-8BEF-4B1A-8BEE-FD0D00401288}" name="שיעור ריבית" dataDxfId="190" dataCellStyle="Percent"/>
    <tableColumn id="10" xr3:uid="{963B5B0B-6131-4601-A58C-6BDFBEC28CD2}" name="ריבית אפקטיבית" dataDxfId="189" dataCellStyle="Percent"/>
    <tableColumn id="11" xr3:uid="{9119A271-886B-4A94-8B86-ED512E6F0AEF}" name="ערך נקוב" dataDxfId="188" dataCellStyle="Comma"/>
    <tableColumn id="12" xr3:uid="{07B5908C-1571-40F7-A500-6C7E93AF0A38}" name="עלות מתואמת" dataDxfId="187" dataCellStyle="Percent"/>
    <tableColumn id="13" xr3:uid="{244CD484-08EC-4560-B1F9-12B3376C9377}" name="שעור מערך נקוב מונפק" dataDxfId="186" dataCellStyle="Comma"/>
    <tableColumn id="14" xr3:uid="{B5B7C707-ADEC-439B-92E4-1D3794536BD1}" name="שעור מנכסי אפיק ההשקעה" dataDxfId="185" dataCellStyle="Percent"/>
    <tableColumn id="15" xr3:uid="{2A7FE1B5-D7B2-4F99-AEE2-A1BBCA6138D0}" name="שעור מסך נכסי השקעה**" dataDxfId="18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4CB9D1F-6DF8-4CC6-B001-1D0B8C2C218B}" name="טבלה30" displayName="טבלה30" ref="A6:O18" totalsRowShown="0" headerRowDxfId="165" headerRowBorderDxfId="181" tableBorderDxfId="182" headerRowCellStyle="Percent">
  <autoFilter ref="A6:O18" xr:uid="{0FE0DA46-1016-4027-8D00-BE8EBBB5BD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B485E63-8590-4913-8116-AF546FA3431D}" name="שם המנפיק/שם נייר ערך" dataDxfId="180"/>
    <tableColumn id="2" xr3:uid="{7E233320-7CD6-4501-BF09-D9F6CB18C0C2}" name="מספר ני&quot;ע" dataDxfId="179" dataCellStyle="Percent"/>
    <tableColumn id="3" xr3:uid="{C9A8CFCB-6C1E-484E-9648-4D1DF3B57964}" name="ענף מסחר" dataDxfId="178" dataCellStyle="Percent"/>
    <tableColumn id="4" xr3:uid="{A7594CB7-F32D-47A6-8205-D17CE863A3D4}" name="דירוג" dataDxfId="177" dataCellStyle="Percent"/>
    <tableColumn id="5" xr3:uid="{C3755230-FA38-4744-8F55-8226E1E66831}" name="שם מדרג" dataDxfId="176" dataCellStyle="Percent"/>
    <tableColumn id="6" xr3:uid="{DE6A3221-6CA1-4AF1-9AAC-85437D06EF82}" name="תאריך רכישה" dataDxfId="175" dataCellStyle="Percent"/>
    <tableColumn id="7" xr3:uid="{80C749ED-9F4D-4DEE-8CCF-03CC19BEFF46}" name="מח&quot;מ" dataDxfId="174" dataCellStyle="Percent"/>
    <tableColumn id="8" xr3:uid="{0925DBDA-5898-478B-8A45-11DE2A25C2EF}" name="סוג מטבע" dataDxfId="173" dataCellStyle="Percent"/>
    <tableColumn id="9" xr3:uid="{778F0E5E-0A5B-4DD7-99C2-EE0B68E34189}" name="שיעור ריבית" dataDxfId="172" dataCellStyle="Percent"/>
    <tableColumn id="10" xr3:uid="{496A45E0-94A3-4B1C-9219-30F496AF2C75}" name="ריבית אפקטיבית" dataDxfId="171" dataCellStyle="Percent"/>
    <tableColumn id="11" xr3:uid="{FD9A2CCF-F0B9-4077-92D8-5DAE3B8BD0A9}" name="ערך נקוב" dataDxfId="170" dataCellStyle="Comma"/>
    <tableColumn id="12" xr3:uid="{98A7F211-DAC5-4474-A9A8-49823F0E6885}" name="עלות מתואמת" dataDxfId="169" dataCellStyle="Percent"/>
    <tableColumn id="13" xr3:uid="{876B7C99-735D-4288-9FCB-B595D8874894}" name="שעור מערך נקוב מונפק" dataDxfId="168" dataCellStyle="Comma"/>
    <tableColumn id="14" xr3:uid="{EEEFBE27-4009-40D7-8A74-EDA6431C08C8}" name="שעור מנכסי אפיק ההשקעה" dataDxfId="167" dataCellStyle="Percent"/>
    <tableColumn id="15" xr3:uid="{2062EEF2-A477-4EAE-B3A7-374DAC747D21}" name="שעור מסך נכסי השקעה**" dataDxfId="16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E156974-2FEF-446B-85D3-D78E8D133055}" name="טבלה31" displayName="טבלה31" ref="A6:O19" totalsRowShown="0" headerRowDxfId="0" headerRowBorderDxfId="16" tableBorderDxfId="17" headerRowCellStyle="Percent">
  <autoFilter ref="A6:O19" xr:uid="{BEAAA4A2-4F76-4E99-8161-829415FC13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93D4AA1-3228-4737-ADEF-0252D1C1A31F}" name="שם המנפיק/שם נייר ערך" dataDxfId="15"/>
    <tableColumn id="2" xr3:uid="{F6BCE30F-191C-4903-BEAC-1D7F9FBBA7FC}" name="מספר ני&quot;ע" dataDxfId="14" dataCellStyle="Percent"/>
    <tableColumn id="3" xr3:uid="{FC1687BC-F7AB-4956-95B7-81F4B882FC19}" name="ענף מסחר" dataDxfId="13" dataCellStyle="Percent"/>
    <tableColumn id="4" xr3:uid="{DA95FE60-24C1-4D05-BEF9-2CDC39DCF36B}" name="דירוג" dataDxfId="12" dataCellStyle="Percent"/>
    <tableColumn id="5" xr3:uid="{CB26B4A5-4DFF-4F4A-93C1-FD2D69A88BA8}" name="שם מדרג" dataDxfId="11" dataCellStyle="Percent"/>
    <tableColumn id="6" xr3:uid="{6A245100-FAE9-4BCB-A4C8-D4C389C06BB4}" name="תאריך רכישה" dataDxfId="10" dataCellStyle="Percent"/>
    <tableColumn id="7" xr3:uid="{04E94998-196A-4E15-BA3E-B26C3AFC5F6C}" name="מח&quot;מ" dataDxfId="9" dataCellStyle="Percent"/>
    <tableColumn id="8" xr3:uid="{BF12249B-84AB-4C89-B1D9-1A04BCA844C1}" name="סוג מטבע" dataDxfId="8" dataCellStyle="Percent"/>
    <tableColumn id="9" xr3:uid="{C7212A25-D1FD-402F-AA38-F3045EA12FFD}" name="שיעור ריבית" dataDxfId="7" dataCellStyle="Percent"/>
    <tableColumn id="10" xr3:uid="{12370997-4D21-4C58-AC32-AFAF9F4E0DE0}" name="ריבית אפקטיבית" dataDxfId="6" dataCellStyle="Percent"/>
    <tableColumn id="11" xr3:uid="{F1588477-3D62-4A48-9A35-B18D9135D854}" name="ערך נקוב" dataDxfId="5" dataCellStyle="Comma"/>
    <tableColumn id="12" xr3:uid="{68CD3339-4250-4CF0-A9E1-C9D1FEBE5E0A}" name="עלות מתואמת" dataDxfId="4" dataCellStyle="Percent"/>
    <tableColumn id="13" xr3:uid="{0A0EF961-D7CC-4643-90E4-DDADE6883F92}" name="שעור מערך נקוב מונפק" dataDxfId="3" dataCellStyle="Comma"/>
    <tableColumn id="14" xr3:uid="{83ECF21D-8169-4F04-928D-C2B704ECF2AF}" name="שעור מנכסי אפיק ההשקעה" dataDxfId="2" dataCellStyle="Percent"/>
    <tableColumn id="15" xr3:uid="{D110D38A-E6AE-42DC-B76E-ADB7649B0314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3" t="s">
        <v>1939</v>
      </c>
      <c r="B6" s="218" t="s">
        <v>29</v>
      </c>
      <c r="C6" s="219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7"/>
      <c r="B7" s="61" t="s">
        <v>10</v>
      </c>
      <c r="C7" s="214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8"/>
      <c r="B8" s="55" t="s">
        <v>49</v>
      </c>
      <c r="C8" s="215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9" t="s">
        <v>98</v>
      </c>
      <c r="B9" s="55"/>
      <c r="C9" s="21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0" t="s">
        <v>43</v>
      </c>
      <c r="B10" s="115">
        <v>33514.446095509869</v>
      </c>
      <c r="C10" s="216">
        <v>0.1032211595138149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1" t="s">
        <v>45</v>
      </c>
      <c r="B11" s="115">
        <v>276519.04417483462</v>
      </c>
      <c r="C11" s="216">
        <v>0.85165114428676947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2" t="s">
        <v>12</v>
      </c>
      <c r="B12" s="115">
        <v>6.9999999999999997E-7</v>
      </c>
      <c r="C12" s="216">
        <v>2.1559303547418867E-12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2" t="s">
        <v>18</v>
      </c>
      <c r="B13" s="115">
        <v>0</v>
      </c>
      <c r="C13" s="216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2" t="s">
        <v>20</v>
      </c>
      <c r="B14" s="115">
        <v>1657.4759773966148</v>
      </c>
      <c r="C14" s="216">
        <v>5.1048611027497701E-3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2" t="s">
        <v>21</v>
      </c>
      <c r="B15" s="115">
        <v>185694.2680008685</v>
      </c>
      <c r="C15" s="216">
        <v>0.57191987012092482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2" t="s">
        <v>159</v>
      </c>
      <c r="B16" s="115">
        <v>49122.935474766069</v>
      </c>
      <c r="C16" s="216">
        <v>0.15129375386296459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2" t="s">
        <v>44</v>
      </c>
      <c r="B17" s="115">
        <v>34609.865927703111</v>
      </c>
      <c r="C17" s="216">
        <v>0.10659494361011729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2" t="s">
        <v>23</v>
      </c>
      <c r="B18" s="115">
        <v>8.1569281677114347</v>
      </c>
      <c r="C18" s="216">
        <v>2.5122527197454574E-5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2" t="s">
        <v>24</v>
      </c>
      <c r="B19" s="115">
        <v>26.665620383865516</v>
      </c>
      <c r="C19" s="216">
        <v>8.2127457733713815E-5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2" t="s">
        <v>25</v>
      </c>
      <c r="B20" s="115">
        <v>-89.037755049767256</v>
      </c>
      <c r="C20" s="216">
        <v>-2.7422742689980846E-4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2" t="s">
        <v>26</v>
      </c>
      <c r="B21" s="115">
        <v>5488.7139998984794</v>
      </c>
      <c r="C21" s="216">
        <v>1.6904693029825554E-2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9" t="s">
        <v>46</v>
      </c>
      <c r="B22" s="115">
        <v>10240.124716608601</v>
      </c>
      <c r="C22" s="216">
        <v>3.1538565304113066E-2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2" t="s">
        <v>12</v>
      </c>
      <c r="B23" s="115">
        <v>6.9999999999999997E-7</v>
      </c>
      <c r="C23" s="216">
        <v>2.1559303547418867E-12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2" t="s">
        <v>18</v>
      </c>
      <c r="B24" s="115">
        <v>6.0000000000000008E-7</v>
      </c>
      <c r="C24" s="216">
        <v>1.8479403040644744E-12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2" t="s">
        <v>20</v>
      </c>
      <c r="B25" s="115">
        <v>1505.7917906</v>
      </c>
      <c r="C25" s="216">
        <v>4.6376888989652556E-3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2" t="s">
        <v>21</v>
      </c>
      <c r="B26" s="115">
        <v>2509.9005702999998</v>
      </c>
      <c r="C26" s="216">
        <v>7.7302440384196319E-3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2" t="s">
        <v>30</v>
      </c>
      <c r="B27" s="115">
        <v>3118.4005400889841</v>
      </c>
      <c r="C27" s="216">
        <v>9.6043634037447645E-3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2" t="s">
        <v>31</v>
      </c>
      <c r="B28" s="115">
        <v>32.705933022299675</v>
      </c>
      <c r="C28" s="216">
        <v>1.0073101968990132E-4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2" t="s">
        <v>32</v>
      </c>
      <c r="B29" s="115">
        <v>792.72885484939889</v>
      </c>
      <c r="C29" s="216">
        <v>2.4415260017851344E-3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2" t="s">
        <v>33</v>
      </c>
      <c r="B30" s="115">
        <v>2280.5970252479201</v>
      </c>
      <c r="C30" s="216">
        <v>7.0240119338086287E-3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2" t="s">
        <v>34</v>
      </c>
      <c r="B31" s="115">
        <v>1.2000000000000002E-6</v>
      </c>
      <c r="C31" s="216">
        <v>3.6958806081289488E-12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2" t="s">
        <v>35</v>
      </c>
      <c r="B32" s="115">
        <v>4469.4343912999993</v>
      </c>
      <c r="C32" s="216">
        <v>1.3765413246758566E-2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2" t="s">
        <v>37</v>
      </c>
      <c r="B33" s="115">
        <v>6.0000000000000008E-7</v>
      </c>
      <c r="C33" s="216">
        <v>1.8479403040644744E-12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2" t="s">
        <v>47</v>
      </c>
      <c r="B34" s="115">
        <v>4.0000000000000003E-7</v>
      </c>
      <c r="C34" s="216">
        <v>1.2319602027096497E-12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2" t="s">
        <v>86</v>
      </c>
      <c r="B35" s="115">
        <v>2.0000000000000002E-7</v>
      </c>
      <c r="C35" s="216">
        <v>6.1598010135482483E-13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2" t="s">
        <v>87</v>
      </c>
      <c r="B36" s="115">
        <v>-57.236379799999995</v>
      </c>
      <c r="C36" s="216">
        <v>-1.762823551519362E-4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9" t="s">
        <v>94</v>
      </c>
      <c r="B37" s="98"/>
      <c r="C37" s="21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2" t="s">
        <v>95</v>
      </c>
      <c r="B38" s="98">
        <v>0</v>
      </c>
      <c r="C38" s="21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2" t="s">
        <v>96</v>
      </c>
      <c r="B39" s="98">
        <v>0</v>
      </c>
      <c r="C39" s="21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2" t="s">
        <v>97</v>
      </c>
      <c r="B40" s="98">
        <v>0</v>
      </c>
      <c r="C40" s="21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3" t="s">
        <v>48</v>
      </c>
      <c r="B41" s="65">
        <v>324685.81299965311</v>
      </c>
      <c r="C41" s="217">
        <v>0.99999999999999967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0" t="s">
        <v>93</v>
      </c>
      <c r="B42" s="221">
        <v>68.820000199999996</v>
      </c>
      <c r="C42" s="222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9" t="s">
        <v>0</v>
      </c>
      <c r="C44" s="230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4" t="s">
        <v>49</v>
      </c>
      <c r="C45" s="215" t="s">
        <v>50</v>
      </c>
      <c r="D45" s="56"/>
      <c r="E45" s="131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5" t="s">
        <v>126</v>
      </c>
      <c r="C46" s="227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5" t="s">
        <v>127</v>
      </c>
      <c r="C47" s="227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6" t="s">
        <v>2</v>
      </c>
      <c r="C48" s="227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5" t="s">
        <v>133</v>
      </c>
      <c r="C49" s="227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6" t="s">
        <v>3</v>
      </c>
      <c r="C50" s="227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6" t="s">
        <v>65</v>
      </c>
      <c r="C51" s="227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5" t="s">
        <v>128</v>
      </c>
      <c r="C52" s="227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6" t="s">
        <v>91</v>
      </c>
      <c r="C53" s="228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5" t="s">
        <v>134</v>
      </c>
      <c r="C54" s="228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5" t="s">
        <v>295</v>
      </c>
      <c r="C55" s="227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5" t="s">
        <v>132</v>
      </c>
      <c r="C56" s="228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6" t="s">
        <v>90</v>
      </c>
      <c r="C57" s="228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6" t="s">
        <v>92</v>
      </c>
      <c r="C58" s="228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6" t="s">
        <v>129</v>
      </c>
      <c r="C59" s="228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5" t="s">
        <v>131</v>
      </c>
      <c r="C60" s="228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5" t="s">
        <v>153</v>
      </c>
      <c r="C61" s="228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5" t="s">
        <v>162</v>
      </c>
      <c r="C62" s="228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5" t="s">
        <v>154</v>
      </c>
      <c r="C63" s="228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5" t="s">
        <v>155</v>
      </c>
      <c r="C64" s="228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5" t="s">
        <v>163</v>
      </c>
      <c r="C65" s="228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5" t="s">
        <v>156</v>
      </c>
      <c r="C66" s="228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5" t="s">
        <v>224</v>
      </c>
      <c r="C67" s="228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1" t="s">
        <v>157</v>
      </c>
      <c r="C68" s="232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4" priority="25" stopIfTrue="1">
      <formula>$F9&gt;0</formula>
    </cfRule>
    <cfRule type="expression" dxfId="163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7"/>
  <sheetViews>
    <sheetView rightToLeft="1" topLeftCell="A6" zoomScale="90" zoomScaleNormal="90" workbookViewId="0">
      <selection activeCell="A6" sqref="A6:K112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158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9" customFormat="1" ht="12.75" customHeight="1" thickBot="1" x14ac:dyDescent="0.25">
      <c r="A9" s="91" t="s">
        <v>78</v>
      </c>
      <c r="B9" s="140"/>
      <c r="C9" s="140"/>
      <c r="D9" s="140"/>
      <c r="E9" s="140"/>
      <c r="F9" s="140"/>
      <c r="G9" s="140"/>
      <c r="H9" s="140"/>
      <c r="I9" s="100">
        <v>33514.446095509869</v>
      </c>
      <c r="J9" s="96">
        <v>0.99999999999999989</v>
      </c>
      <c r="K9" s="78">
        <v>0.1032211595138149</v>
      </c>
    </row>
    <row r="10" spans="1:11" s="139" customFormat="1" x14ac:dyDescent="0.2">
      <c r="A10" s="141" t="s">
        <v>238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2" t="s">
        <v>239</v>
      </c>
      <c r="G10" s="142" t="s">
        <v>239</v>
      </c>
      <c r="H10" s="142" t="s">
        <v>239</v>
      </c>
      <c r="I10" s="143">
        <v>28809.787119966622</v>
      </c>
      <c r="J10" s="142">
        <v>0.85962295297568525</v>
      </c>
      <c r="K10" s="142">
        <v>8.8731277950839821E-2</v>
      </c>
    </row>
    <row r="11" spans="1:11" s="139" customFormat="1" x14ac:dyDescent="0.2">
      <c r="A11" s="144" t="s">
        <v>240</v>
      </c>
      <c r="B11" s="145" t="s">
        <v>239</v>
      </c>
      <c r="C11" s="145" t="s">
        <v>239</v>
      </c>
      <c r="D11" s="146" t="s">
        <v>239</v>
      </c>
      <c r="E11" s="147" t="s">
        <v>239</v>
      </c>
      <c r="F11" s="142" t="s">
        <v>239</v>
      </c>
      <c r="G11" s="145" t="s">
        <v>239</v>
      </c>
      <c r="H11" s="145" t="s">
        <v>239</v>
      </c>
      <c r="I11" s="148">
        <v>8746.04631381332</v>
      </c>
      <c r="J11" s="142">
        <v>0.26096347494118599</v>
      </c>
      <c r="K11" s="142">
        <v>2.6936952474183602E-2</v>
      </c>
    </row>
    <row r="12" spans="1:11" x14ac:dyDescent="0.2">
      <c r="A12" s="67" t="s">
        <v>1880</v>
      </c>
      <c r="B12" s="38" t="s">
        <v>242</v>
      </c>
      <c r="C12" s="38" t="s">
        <v>243</v>
      </c>
      <c r="D12" s="85" t="s">
        <v>244</v>
      </c>
      <c r="E12" s="80" t="s">
        <v>245</v>
      </c>
      <c r="F12" s="46" t="s">
        <v>246</v>
      </c>
      <c r="G12" s="38">
        <v>0</v>
      </c>
      <c r="H12" s="38">
        <v>0</v>
      </c>
      <c r="I12" s="104">
        <v>59.59263</v>
      </c>
      <c r="J12" s="46">
        <v>1.7781177057252327E-3</v>
      </c>
      <c r="K12" s="46">
        <v>1.8353937133700285E-4</v>
      </c>
    </row>
    <row r="13" spans="1:11" x14ac:dyDescent="0.2">
      <c r="A13" s="67" t="s">
        <v>1880</v>
      </c>
      <c r="B13" s="38" t="s">
        <v>267</v>
      </c>
      <c r="C13" s="38" t="s">
        <v>243</v>
      </c>
      <c r="D13" s="85" t="s">
        <v>244</v>
      </c>
      <c r="E13" s="80" t="s">
        <v>245</v>
      </c>
      <c r="F13" s="46" t="s">
        <v>246</v>
      </c>
      <c r="G13" s="38">
        <v>0</v>
      </c>
      <c r="H13" s="38">
        <v>0</v>
      </c>
      <c r="I13" s="104">
        <v>2.5633565499737836</v>
      </c>
      <c r="J13" s="46">
        <v>7.6485123539523809E-5</v>
      </c>
      <c r="K13" s="46">
        <v>7.8948831373070254E-6</v>
      </c>
    </row>
    <row r="14" spans="1:11" x14ac:dyDescent="0.2">
      <c r="A14" s="67" t="s">
        <v>1880</v>
      </c>
      <c r="B14" s="38" t="s">
        <v>270</v>
      </c>
      <c r="C14" s="38" t="s">
        <v>243</v>
      </c>
      <c r="D14" s="85" t="s">
        <v>244</v>
      </c>
      <c r="E14" s="80" t="s">
        <v>245</v>
      </c>
      <c r="F14" s="46" t="s">
        <v>246</v>
      </c>
      <c r="G14" s="38">
        <v>0</v>
      </c>
      <c r="H14" s="38">
        <v>0</v>
      </c>
      <c r="I14" s="104">
        <v>6.1265155088414871E-3</v>
      </c>
      <c r="J14" s="46">
        <v>1.8280223075691207E-7</v>
      </c>
      <c r="K14" s="46">
        <v>1.8869058220440424E-8</v>
      </c>
    </row>
    <row r="15" spans="1:11" x14ac:dyDescent="0.2">
      <c r="A15" s="67" t="s">
        <v>1884</v>
      </c>
      <c r="B15" s="38" t="s">
        <v>247</v>
      </c>
      <c r="C15" s="38" t="s">
        <v>248</v>
      </c>
      <c r="D15" s="85" t="s">
        <v>244</v>
      </c>
      <c r="E15" s="80" t="s">
        <v>245</v>
      </c>
      <c r="F15" s="46" t="s">
        <v>246</v>
      </c>
      <c r="G15" s="38">
        <v>0</v>
      </c>
      <c r="H15" s="38">
        <v>0</v>
      </c>
      <c r="I15" s="104">
        <v>0.30004000000000003</v>
      </c>
      <c r="J15" s="46">
        <v>8.9525573284112301E-6</v>
      </c>
      <c r="K15" s="46">
        <v>9.2409334805250819E-7</v>
      </c>
    </row>
    <row r="16" spans="1:11" x14ac:dyDescent="0.2">
      <c r="A16" s="67" t="s">
        <v>1892</v>
      </c>
      <c r="B16" s="38" t="s">
        <v>255</v>
      </c>
      <c r="C16" s="38" t="s">
        <v>248</v>
      </c>
      <c r="D16" s="85" t="s">
        <v>244</v>
      </c>
      <c r="E16" s="80" t="s">
        <v>245</v>
      </c>
      <c r="F16" s="46" t="s">
        <v>246</v>
      </c>
      <c r="G16" s="38">
        <v>0</v>
      </c>
      <c r="H16" s="38">
        <v>0</v>
      </c>
      <c r="I16" s="104">
        <v>1.025E-2</v>
      </c>
      <c r="J16" s="46">
        <v>3.0583826361890113E-7</v>
      </c>
      <c r="K16" s="46">
        <v>3.1568980194434769E-8</v>
      </c>
    </row>
    <row r="17" spans="1:11" x14ac:dyDescent="0.2">
      <c r="A17" s="67" t="s">
        <v>1884</v>
      </c>
      <c r="B17" s="38" t="s">
        <v>257</v>
      </c>
      <c r="C17" s="38" t="s">
        <v>248</v>
      </c>
      <c r="D17" s="85" t="s">
        <v>244</v>
      </c>
      <c r="E17" s="80" t="s">
        <v>245</v>
      </c>
      <c r="F17" s="46" t="s">
        <v>246</v>
      </c>
      <c r="G17" s="38">
        <v>0</v>
      </c>
      <c r="H17" s="38">
        <v>0</v>
      </c>
      <c r="I17" s="104">
        <v>0.31993794269477754</v>
      </c>
      <c r="J17" s="46">
        <v>9.5462697423974873E-6</v>
      </c>
      <c r="K17" s="46">
        <v>9.8537703184191594E-7</v>
      </c>
    </row>
    <row r="18" spans="1:11" x14ac:dyDescent="0.2">
      <c r="A18" s="67" t="s">
        <v>1915</v>
      </c>
      <c r="B18" s="38" t="s">
        <v>260</v>
      </c>
      <c r="C18" s="38" t="s">
        <v>248</v>
      </c>
      <c r="D18" s="85" t="s">
        <v>244</v>
      </c>
      <c r="E18" s="80" t="s">
        <v>245</v>
      </c>
      <c r="F18" s="46" t="s">
        <v>246</v>
      </c>
      <c r="G18" s="38">
        <v>0</v>
      </c>
      <c r="H18" s="38">
        <v>0</v>
      </c>
      <c r="I18" s="104">
        <v>0.40050780372893369</v>
      </c>
      <c r="J18" s="46">
        <v>1.1950303537392853E-5</v>
      </c>
      <c r="K18" s="46">
        <v>1.2335241876717343E-6</v>
      </c>
    </row>
    <row r="19" spans="1:11" x14ac:dyDescent="0.2">
      <c r="A19" s="67" t="s">
        <v>1892</v>
      </c>
      <c r="B19" s="38" t="s">
        <v>262</v>
      </c>
      <c r="C19" s="38" t="s">
        <v>248</v>
      </c>
      <c r="D19" s="85" t="s">
        <v>244</v>
      </c>
      <c r="E19" s="80" t="s">
        <v>245</v>
      </c>
      <c r="F19" s="46" t="s">
        <v>246</v>
      </c>
      <c r="G19" s="38">
        <v>0</v>
      </c>
      <c r="H19" s="38">
        <v>0</v>
      </c>
      <c r="I19" s="104">
        <v>0.18678528223419494</v>
      </c>
      <c r="J19" s="46">
        <v>5.5732767207875669E-6</v>
      </c>
      <c r="K19" s="46">
        <v>5.7528008541104475E-7</v>
      </c>
    </row>
    <row r="20" spans="1:11" x14ac:dyDescent="0.2">
      <c r="A20" s="67" t="s">
        <v>1892</v>
      </c>
      <c r="B20" s="38" t="s">
        <v>264</v>
      </c>
      <c r="C20" s="38" t="s">
        <v>248</v>
      </c>
      <c r="D20" s="85" t="s">
        <v>244</v>
      </c>
      <c r="E20" s="80" t="s">
        <v>245</v>
      </c>
      <c r="F20" s="46" t="s">
        <v>246</v>
      </c>
      <c r="G20" s="38">
        <v>0</v>
      </c>
      <c r="H20" s="38">
        <v>0</v>
      </c>
      <c r="I20" s="104">
        <v>6.5357878697772463E-3</v>
      </c>
      <c r="J20" s="46">
        <v>1.95014050095039E-7</v>
      </c>
      <c r="K20" s="46">
        <v>2.012957637229511E-8</v>
      </c>
    </row>
    <row r="21" spans="1:11" x14ac:dyDescent="0.2">
      <c r="A21" s="67" t="s">
        <v>265</v>
      </c>
      <c r="B21" s="38" t="s">
        <v>266</v>
      </c>
      <c r="C21" s="38" t="s">
        <v>248</v>
      </c>
      <c r="D21" s="195" t="s">
        <v>380</v>
      </c>
      <c r="E21" s="80"/>
      <c r="F21" s="46" t="s">
        <v>246</v>
      </c>
      <c r="G21" s="38">
        <v>0</v>
      </c>
      <c r="H21" s="38">
        <v>0</v>
      </c>
      <c r="I21" s="104">
        <v>15.03912433246647</v>
      </c>
      <c r="J21" s="46">
        <v>4.4873557777466445E-4</v>
      </c>
      <c r="K21" s="46">
        <v>4.6319006653002539E-5</v>
      </c>
    </row>
    <row r="22" spans="1:11" x14ac:dyDescent="0.2">
      <c r="A22" s="67" t="s">
        <v>1893</v>
      </c>
      <c r="B22" s="38" t="s">
        <v>253</v>
      </c>
      <c r="C22" s="38" t="s">
        <v>254</v>
      </c>
      <c r="D22" s="85" t="s">
        <v>244</v>
      </c>
      <c r="E22" s="80" t="s">
        <v>245</v>
      </c>
      <c r="F22" s="46" t="s">
        <v>246</v>
      </c>
      <c r="G22" s="38">
        <v>0</v>
      </c>
      <c r="H22" s="38">
        <v>0</v>
      </c>
      <c r="I22" s="104">
        <v>6859.0225389999996</v>
      </c>
      <c r="J22" s="46">
        <v>0.2046586871659187</v>
      </c>
      <c r="K22" s="46">
        <v>2.1125106993841236E-2</v>
      </c>
    </row>
    <row r="23" spans="1:11" x14ac:dyDescent="0.2">
      <c r="A23" s="67" t="s">
        <v>1893</v>
      </c>
      <c r="B23" s="38" t="s">
        <v>256</v>
      </c>
      <c r="C23" s="38" t="s">
        <v>254</v>
      </c>
      <c r="D23" s="85" t="s">
        <v>244</v>
      </c>
      <c r="E23" s="80" t="s">
        <v>245</v>
      </c>
      <c r="F23" s="46" t="s">
        <v>246</v>
      </c>
      <c r="G23" s="38">
        <v>0</v>
      </c>
      <c r="H23" s="38">
        <v>0</v>
      </c>
      <c r="I23" s="104">
        <v>1535.3912408720914</v>
      </c>
      <c r="J23" s="46">
        <v>4.5812818642340526E-2</v>
      </c>
      <c r="K23" s="46">
        <v>4.7288522608585053E-3</v>
      </c>
    </row>
    <row r="24" spans="1:11" x14ac:dyDescent="0.2">
      <c r="A24" s="67" t="s">
        <v>1893</v>
      </c>
      <c r="B24" s="38" t="s">
        <v>258</v>
      </c>
      <c r="C24" s="38" t="s">
        <v>254</v>
      </c>
      <c r="D24" s="85" t="s">
        <v>244</v>
      </c>
      <c r="E24" s="80" t="s">
        <v>245</v>
      </c>
      <c r="F24" s="46" t="s">
        <v>246</v>
      </c>
      <c r="G24" s="38">
        <v>0</v>
      </c>
      <c r="H24" s="38">
        <v>0</v>
      </c>
      <c r="I24" s="104">
        <v>4.8261300300789164E-3</v>
      </c>
      <c r="J24" s="46">
        <v>1.4400148569740204E-7</v>
      </c>
      <c r="K24" s="46">
        <v>1.4864000325397873E-8</v>
      </c>
    </row>
    <row r="25" spans="1:11" x14ac:dyDescent="0.2">
      <c r="A25" s="67" t="s">
        <v>1893</v>
      </c>
      <c r="B25" s="38" t="s">
        <v>259</v>
      </c>
      <c r="C25" s="38" t="s">
        <v>254</v>
      </c>
      <c r="D25" s="85" t="s">
        <v>244</v>
      </c>
      <c r="E25" s="80" t="s">
        <v>245</v>
      </c>
      <c r="F25" s="46" t="s">
        <v>246</v>
      </c>
      <c r="G25" s="38">
        <v>0</v>
      </c>
      <c r="H25" s="38">
        <v>0</v>
      </c>
      <c r="I25" s="104">
        <v>1.3121874639343783E-2</v>
      </c>
      <c r="J25" s="46">
        <v>3.9152891269480946E-7</v>
      </c>
      <c r="K25" s="46">
        <v>4.0414068351541439E-8</v>
      </c>
    </row>
    <row r="26" spans="1:11" x14ac:dyDescent="0.2">
      <c r="A26" s="67" t="s">
        <v>1893</v>
      </c>
      <c r="B26" s="38" t="s">
        <v>263</v>
      </c>
      <c r="C26" s="38" t="s">
        <v>254</v>
      </c>
      <c r="D26" s="85" t="s">
        <v>244</v>
      </c>
      <c r="E26" s="80" t="s">
        <v>245</v>
      </c>
      <c r="F26" s="46" t="s">
        <v>246</v>
      </c>
      <c r="G26" s="38">
        <v>0</v>
      </c>
      <c r="H26" s="38">
        <v>0</v>
      </c>
      <c r="I26" s="104">
        <v>273.12713425405457</v>
      </c>
      <c r="J26" s="46">
        <v>8.1495344865821027E-3</v>
      </c>
      <c r="K26" s="46">
        <v>8.4120439920282685E-4</v>
      </c>
    </row>
    <row r="27" spans="1:11" x14ac:dyDescent="0.2">
      <c r="A27" s="67" t="s">
        <v>1893</v>
      </c>
      <c r="B27" s="38" t="s">
        <v>269</v>
      </c>
      <c r="C27" s="38" t="s">
        <v>254</v>
      </c>
      <c r="D27" s="85" t="s">
        <v>244</v>
      </c>
      <c r="E27" s="80" t="s">
        <v>245</v>
      </c>
      <c r="F27" s="46" t="s">
        <v>246</v>
      </c>
      <c r="G27" s="38">
        <v>0</v>
      </c>
      <c r="H27" s="38">
        <v>0</v>
      </c>
      <c r="I27" s="104">
        <v>9.0823167209611293E-4</v>
      </c>
      <c r="J27" s="46">
        <v>2.7099707078786962E-8</v>
      </c>
      <c r="K27" s="46">
        <v>2.7972631871571282E-9</v>
      </c>
    </row>
    <row r="28" spans="1:11" x14ac:dyDescent="0.2">
      <c r="A28" s="67" t="s">
        <v>1881</v>
      </c>
      <c r="B28" s="38" t="s">
        <v>251</v>
      </c>
      <c r="C28" s="38" t="s">
        <v>252</v>
      </c>
      <c r="D28" s="85" t="s">
        <v>244</v>
      </c>
      <c r="E28" s="80" t="s">
        <v>245</v>
      </c>
      <c r="F28" s="46" t="s">
        <v>246</v>
      </c>
      <c r="G28" s="38">
        <v>0</v>
      </c>
      <c r="H28" s="38">
        <v>0</v>
      </c>
      <c r="I28" s="104">
        <v>3.32E-3</v>
      </c>
      <c r="J28" s="46">
        <v>9.9061759533146509E-8</v>
      </c>
      <c r="K28" s="46">
        <v>1.0225269682490091E-8</v>
      </c>
    </row>
    <row r="29" spans="1:11" x14ac:dyDescent="0.2">
      <c r="A29" s="67" t="s">
        <v>1881</v>
      </c>
      <c r="B29" s="38" t="s">
        <v>261</v>
      </c>
      <c r="C29" s="38" t="s">
        <v>252</v>
      </c>
      <c r="D29" s="85" t="s">
        <v>244</v>
      </c>
      <c r="E29" s="80" t="s">
        <v>245</v>
      </c>
      <c r="F29" s="46" t="s">
        <v>246</v>
      </c>
      <c r="G29" s="38">
        <v>0</v>
      </c>
      <c r="H29" s="38">
        <v>0</v>
      </c>
      <c r="I29" s="104">
        <v>1.0976727366232661E-3</v>
      </c>
      <c r="J29" s="46">
        <v>3.2752226711284595E-8</v>
      </c>
      <c r="K29" s="46">
        <v>3.3807228177981366E-9</v>
      </c>
    </row>
    <row r="30" spans="1:11" x14ac:dyDescent="0.2">
      <c r="A30" s="67" t="s">
        <v>1881</v>
      </c>
      <c r="B30" s="38" t="s">
        <v>271</v>
      </c>
      <c r="C30" s="38" t="s">
        <v>252</v>
      </c>
      <c r="D30" s="85" t="s">
        <v>244</v>
      </c>
      <c r="E30" s="80" t="s">
        <v>245</v>
      </c>
      <c r="F30" s="46" t="s">
        <v>246</v>
      </c>
      <c r="G30" s="38">
        <v>0</v>
      </c>
      <c r="H30" s="38">
        <v>0</v>
      </c>
      <c r="I30" s="104">
        <v>5.5767697670894767E-3</v>
      </c>
      <c r="J30" s="46">
        <v>1.6639898362624677E-7</v>
      </c>
      <c r="K30" s="46">
        <v>1.717589603182149E-8</v>
      </c>
    </row>
    <row r="31" spans="1:11" x14ac:dyDescent="0.2">
      <c r="A31" s="67" t="s">
        <v>1894</v>
      </c>
      <c r="B31" s="38" t="s">
        <v>272</v>
      </c>
      <c r="C31" s="38" t="s">
        <v>273</v>
      </c>
      <c r="D31" s="85" t="s">
        <v>244</v>
      </c>
      <c r="E31" s="80" t="s">
        <v>245</v>
      </c>
      <c r="F31" s="46" t="s">
        <v>246</v>
      </c>
      <c r="G31" s="38">
        <v>0</v>
      </c>
      <c r="H31" s="38">
        <v>0</v>
      </c>
      <c r="I31" s="104">
        <v>6.3470047786969774E-3</v>
      </c>
      <c r="J31" s="46">
        <v>1.8938116299488305E-7</v>
      </c>
      <c r="K31" s="46">
        <v>1.9548143234406607E-8</v>
      </c>
    </row>
    <row r="32" spans="1:11" x14ac:dyDescent="0.2">
      <c r="A32" s="67" t="s">
        <v>1916</v>
      </c>
      <c r="B32" s="38" t="s">
        <v>249</v>
      </c>
      <c r="C32" s="38" t="s">
        <v>250</v>
      </c>
      <c r="D32" s="85" t="s">
        <v>244</v>
      </c>
      <c r="E32" s="80" t="s">
        <v>245</v>
      </c>
      <c r="F32" s="46" t="s">
        <v>246</v>
      </c>
      <c r="G32" s="38">
        <v>0</v>
      </c>
      <c r="H32" s="38">
        <v>0</v>
      </c>
      <c r="I32" s="104">
        <v>3.7240000000000002E-2</v>
      </c>
      <c r="J32" s="46">
        <v>1.1111626280163784E-6</v>
      </c>
      <c r="K32" s="46">
        <v>1.1469549487226838E-7</v>
      </c>
    </row>
    <row r="33" spans="1:11" x14ac:dyDescent="0.2">
      <c r="A33" s="67" t="s">
        <v>1917</v>
      </c>
      <c r="B33" s="38" t="s">
        <v>268</v>
      </c>
      <c r="C33" s="38" t="s">
        <v>250</v>
      </c>
      <c r="D33" s="85" t="s">
        <v>244</v>
      </c>
      <c r="E33" s="80" t="s">
        <v>245</v>
      </c>
      <c r="F33" s="46" t="s">
        <v>246</v>
      </c>
      <c r="G33" s="38">
        <v>0</v>
      </c>
      <c r="H33" s="38">
        <v>0</v>
      </c>
      <c r="I33" s="104">
        <v>7.6676890715263509E-3</v>
      </c>
      <c r="J33" s="46">
        <v>2.2878758162002376E-7</v>
      </c>
      <c r="K33" s="46">
        <v>2.3615719457180419E-8</v>
      </c>
    </row>
    <row r="34" spans="1:11" s="139" customFormat="1" x14ac:dyDescent="0.2">
      <c r="A34" s="144" t="s">
        <v>274</v>
      </c>
      <c r="B34" s="145" t="s">
        <v>239</v>
      </c>
      <c r="C34" s="145" t="s">
        <v>239</v>
      </c>
      <c r="D34" s="146" t="s">
        <v>239</v>
      </c>
      <c r="E34" s="147" t="s">
        <v>239</v>
      </c>
      <c r="F34" s="142" t="s">
        <v>239</v>
      </c>
      <c r="G34" s="145" t="s">
        <v>239</v>
      </c>
      <c r="H34" s="145" t="s">
        <v>239</v>
      </c>
      <c r="I34" s="148">
        <v>2517.6037266166118</v>
      </c>
      <c r="J34" s="142">
        <v>7.5119956315014558E-2</v>
      </c>
      <c r="K34" s="142">
        <v>7.7539689934629256E-3</v>
      </c>
    </row>
    <row r="35" spans="1:11" x14ac:dyDescent="0.2">
      <c r="A35" s="67" t="s">
        <v>1882</v>
      </c>
      <c r="B35" s="38" t="s">
        <v>275</v>
      </c>
      <c r="C35" s="38" t="s">
        <v>243</v>
      </c>
      <c r="D35" s="85" t="s">
        <v>244</v>
      </c>
      <c r="E35" s="80" t="s">
        <v>245</v>
      </c>
      <c r="F35" s="46" t="s">
        <v>126</v>
      </c>
      <c r="G35" s="38">
        <v>0</v>
      </c>
      <c r="H35" s="38">
        <v>0</v>
      </c>
      <c r="I35" s="104">
        <v>1.45502</v>
      </c>
      <c r="J35" s="46">
        <v>4.3414711251782779E-5</v>
      </c>
      <c r="K35" s="46">
        <v>4.4813168353664857E-6</v>
      </c>
    </row>
    <row r="36" spans="1:11" x14ac:dyDescent="0.2">
      <c r="A36" s="67" t="s">
        <v>1918</v>
      </c>
      <c r="B36" s="38" t="s">
        <v>282</v>
      </c>
      <c r="C36" s="38" t="s">
        <v>243</v>
      </c>
      <c r="D36" s="85" t="s">
        <v>244</v>
      </c>
      <c r="E36" s="80" t="s">
        <v>245</v>
      </c>
      <c r="F36" s="46" t="s">
        <v>127</v>
      </c>
      <c r="G36" s="38">
        <v>0</v>
      </c>
      <c r="H36" s="38">
        <v>0</v>
      </c>
      <c r="I36" s="104">
        <v>0.49336000000000002</v>
      </c>
      <c r="J36" s="46">
        <v>1.4720816169660593E-5</v>
      </c>
      <c r="K36" s="46">
        <v>1.5194997140220818E-6</v>
      </c>
    </row>
    <row r="37" spans="1:11" x14ac:dyDescent="0.2">
      <c r="A37" s="67" t="s">
        <v>1882</v>
      </c>
      <c r="B37" s="38" t="s">
        <v>309</v>
      </c>
      <c r="C37" s="38" t="s">
        <v>243</v>
      </c>
      <c r="D37" s="85" t="s">
        <v>244</v>
      </c>
      <c r="E37" s="80" t="s">
        <v>245</v>
      </c>
      <c r="F37" s="46" t="s">
        <v>126</v>
      </c>
      <c r="G37" s="38">
        <v>0</v>
      </c>
      <c r="H37" s="38">
        <v>0</v>
      </c>
      <c r="I37" s="104">
        <v>7.0678826554231577E-3</v>
      </c>
      <c r="J37" s="46">
        <v>2.1089063012651381E-7</v>
      </c>
      <c r="K37" s="46">
        <v>2.1768375372257822E-8</v>
      </c>
    </row>
    <row r="38" spans="1:11" x14ac:dyDescent="0.2">
      <c r="A38" s="67" t="s">
        <v>1885</v>
      </c>
      <c r="B38" s="38" t="s">
        <v>276</v>
      </c>
      <c r="C38" s="38" t="s">
        <v>248</v>
      </c>
      <c r="D38" s="85" t="s">
        <v>244</v>
      </c>
      <c r="E38" s="80" t="s">
        <v>245</v>
      </c>
      <c r="F38" s="46" t="s">
        <v>126</v>
      </c>
      <c r="G38" s="38">
        <v>0</v>
      </c>
      <c r="H38" s="38">
        <v>0</v>
      </c>
      <c r="I38" s="104">
        <v>1775.9095199999999</v>
      </c>
      <c r="J38" s="46">
        <v>5.298937404303182E-2</v>
      </c>
      <c r="K38" s="46">
        <v>5.4696246306329905E-3</v>
      </c>
    </row>
    <row r="39" spans="1:11" x14ac:dyDescent="0.2">
      <c r="A39" s="67" t="s">
        <v>1919</v>
      </c>
      <c r="B39" s="38" t="s">
        <v>284</v>
      </c>
      <c r="C39" s="38" t="s">
        <v>248</v>
      </c>
      <c r="D39" s="85" t="s">
        <v>244</v>
      </c>
      <c r="E39" s="80" t="s">
        <v>245</v>
      </c>
      <c r="F39" s="46" t="s">
        <v>127</v>
      </c>
      <c r="G39" s="38">
        <v>0</v>
      </c>
      <c r="H39" s="38">
        <v>0</v>
      </c>
      <c r="I39" s="104">
        <v>23.680409384037461</v>
      </c>
      <c r="J39" s="46">
        <v>7.0657319880963396E-4</v>
      </c>
      <c r="K39" s="46">
        <v>7.2933304862515686E-5</v>
      </c>
    </row>
    <row r="40" spans="1:11" x14ac:dyDescent="0.2">
      <c r="A40" s="67" t="s">
        <v>1920</v>
      </c>
      <c r="B40" s="38" t="s">
        <v>288</v>
      </c>
      <c r="C40" s="38" t="s">
        <v>248</v>
      </c>
      <c r="D40" s="85" t="s">
        <v>244</v>
      </c>
      <c r="E40" s="80" t="s">
        <v>245</v>
      </c>
      <c r="F40" s="46" t="s">
        <v>127</v>
      </c>
      <c r="G40" s="38">
        <v>0</v>
      </c>
      <c r="H40" s="38">
        <v>0</v>
      </c>
      <c r="I40" s="104">
        <v>9.985201508982508E-3</v>
      </c>
      <c r="J40" s="46">
        <v>2.9793723818458941E-7</v>
      </c>
      <c r="K40" s="46">
        <v>3.0753427187756974E-8</v>
      </c>
    </row>
    <row r="41" spans="1:11" x14ac:dyDescent="0.2">
      <c r="A41" s="67" t="s">
        <v>1921</v>
      </c>
      <c r="B41" s="38" t="s">
        <v>291</v>
      </c>
      <c r="C41" s="38" t="s">
        <v>248</v>
      </c>
      <c r="D41" s="85" t="s">
        <v>244</v>
      </c>
      <c r="E41" s="80" t="s">
        <v>245</v>
      </c>
      <c r="F41" s="46" t="s">
        <v>2</v>
      </c>
      <c r="G41" s="38">
        <v>0</v>
      </c>
      <c r="H41" s="38">
        <v>0</v>
      </c>
      <c r="I41" s="104">
        <v>1.277459976432298E-3</v>
      </c>
      <c r="J41" s="46">
        <v>3.8116696686311846E-8</v>
      </c>
      <c r="K41" s="46">
        <v>3.9344496287974949E-9</v>
      </c>
    </row>
    <row r="42" spans="1:11" x14ac:dyDescent="0.2">
      <c r="A42" s="67" t="s">
        <v>1922</v>
      </c>
      <c r="B42" s="38" t="s">
        <v>296</v>
      </c>
      <c r="C42" s="38" t="s">
        <v>248</v>
      </c>
      <c r="D42" s="85" t="s">
        <v>244</v>
      </c>
      <c r="E42" s="80" t="s">
        <v>245</v>
      </c>
      <c r="F42" s="46" t="s">
        <v>295</v>
      </c>
      <c r="G42" s="38">
        <v>0</v>
      </c>
      <c r="H42" s="38">
        <v>0</v>
      </c>
      <c r="I42" s="104">
        <v>0.17552788790704438</v>
      </c>
      <c r="J42" s="46">
        <v>5.2373799467496165E-6</v>
      </c>
      <c r="K42" s="46">
        <v>5.4060843091789757E-7</v>
      </c>
    </row>
    <row r="43" spans="1:11" x14ac:dyDescent="0.2">
      <c r="A43" s="67" t="s">
        <v>1885</v>
      </c>
      <c r="B43" s="38" t="s">
        <v>303</v>
      </c>
      <c r="C43" s="38" t="s">
        <v>248</v>
      </c>
      <c r="D43" s="85" t="s">
        <v>244</v>
      </c>
      <c r="E43" s="80" t="s">
        <v>245</v>
      </c>
      <c r="F43" s="46" t="s">
        <v>126</v>
      </c>
      <c r="G43" s="38">
        <v>0</v>
      </c>
      <c r="H43" s="38">
        <v>0</v>
      </c>
      <c r="I43" s="104">
        <v>4.418810300807503</v>
      </c>
      <c r="J43" s="46">
        <v>1.3184792874734448E-4</v>
      </c>
      <c r="K43" s="46">
        <v>1.3609496084795746E-5</v>
      </c>
    </row>
    <row r="44" spans="1:11" x14ac:dyDescent="0.2">
      <c r="A44" s="67" t="s">
        <v>1923</v>
      </c>
      <c r="B44" s="38" t="s">
        <v>306</v>
      </c>
      <c r="C44" s="38" t="s">
        <v>248</v>
      </c>
      <c r="D44" s="85" t="s">
        <v>244</v>
      </c>
      <c r="E44" s="80" t="s">
        <v>245</v>
      </c>
      <c r="F44" s="46" t="s">
        <v>126</v>
      </c>
      <c r="G44" s="38">
        <v>0</v>
      </c>
      <c r="H44" s="38">
        <v>0</v>
      </c>
      <c r="I44" s="104">
        <v>2.2250755845724876E-2</v>
      </c>
      <c r="J44" s="46">
        <v>6.6391536898191316E-7</v>
      </c>
      <c r="K44" s="46">
        <v>6.8530114205355338E-8</v>
      </c>
    </row>
    <row r="45" spans="1:11" x14ac:dyDescent="0.2">
      <c r="A45" s="67" t="s">
        <v>1924</v>
      </c>
      <c r="B45" s="38" t="s">
        <v>308</v>
      </c>
      <c r="C45" s="38" t="s">
        <v>248</v>
      </c>
      <c r="D45" s="85" t="s">
        <v>244</v>
      </c>
      <c r="E45" s="80" t="s">
        <v>245</v>
      </c>
      <c r="F45" s="46" t="s">
        <v>126</v>
      </c>
      <c r="G45" s="38">
        <v>0</v>
      </c>
      <c r="H45" s="38">
        <v>0</v>
      </c>
      <c r="I45" s="104">
        <v>1.1239003107414227</v>
      </c>
      <c r="J45" s="46">
        <v>3.3534801904185383E-5</v>
      </c>
      <c r="K45" s="46">
        <v>3.4615011366161031E-6</v>
      </c>
    </row>
    <row r="46" spans="1:11" x14ac:dyDescent="0.2">
      <c r="A46" s="67" t="s">
        <v>1904</v>
      </c>
      <c r="B46" s="38" t="s">
        <v>279</v>
      </c>
      <c r="C46" s="38" t="s">
        <v>254</v>
      </c>
      <c r="D46" s="85" t="s">
        <v>244</v>
      </c>
      <c r="E46" s="80" t="s">
        <v>245</v>
      </c>
      <c r="F46" s="46" t="s">
        <v>126</v>
      </c>
      <c r="G46" s="38">
        <v>0</v>
      </c>
      <c r="H46" s="38">
        <v>0</v>
      </c>
      <c r="I46" s="104">
        <v>174.02189000000001</v>
      </c>
      <c r="J46" s="46">
        <v>5.1924441628565287E-3</v>
      </c>
      <c r="K46" s="46">
        <v>5.3597010720079087E-4</v>
      </c>
    </row>
    <row r="47" spans="1:11" x14ac:dyDescent="0.2">
      <c r="A47" s="67" t="s">
        <v>1895</v>
      </c>
      <c r="B47" s="38" t="s">
        <v>280</v>
      </c>
      <c r="C47" s="38" t="s">
        <v>254</v>
      </c>
      <c r="D47" s="85" t="s">
        <v>244</v>
      </c>
      <c r="E47" s="80" t="s">
        <v>245</v>
      </c>
      <c r="F47" s="46" t="s">
        <v>126</v>
      </c>
      <c r="G47" s="38">
        <v>0</v>
      </c>
      <c r="H47" s="38">
        <v>0</v>
      </c>
      <c r="I47" s="104">
        <v>-8.5972611104714431</v>
      </c>
      <c r="J47" s="46">
        <v>-2.5652403999072118E-4</v>
      </c>
      <c r="K47" s="46">
        <v>-2.6478708851010465E-5</v>
      </c>
    </row>
    <row r="48" spans="1:11" x14ac:dyDescent="0.2">
      <c r="A48" s="67" t="s">
        <v>1896</v>
      </c>
      <c r="B48" s="38" t="s">
        <v>281</v>
      </c>
      <c r="C48" s="38" t="s">
        <v>254</v>
      </c>
      <c r="D48" s="85" t="s">
        <v>244</v>
      </c>
      <c r="E48" s="80" t="s">
        <v>245</v>
      </c>
      <c r="F48" s="46" t="s">
        <v>127</v>
      </c>
      <c r="G48" s="38">
        <v>0</v>
      </c>
      <c r="H48" s="38">
        <v>0</v>
      </c>
      <c r="I48" s="104">
        <v>15.827998968591771</v>
      </c>
      <c r="J48" s="46">
        <v>4.7227392401130394E-4</v>
      </c>
      <c r="K48" s="46">
        <v>4.8748662044586106E-5</v>
      </c>
    </row>
    <row r="49" spans="1:11" x14ac:dyDescent="0.2">
      <c r="A49" s="67" t="s">
        <v>1896</v>
      </c>
      <c r="B49" s="38" t="s">
        <v>283</v>
      </c>
      <c r="C49" s="38" t="s">
        <v>254</v>
      </c>
      <c r="D49" s="85" t="s">
        <v>244</v>
      </c>
      <c r="E49" s="80" t="s">
        <v>245</v>
      </c>
      <c r="F49" s="46" t="s">
        <v>127</v>
      </c>
      <c r="G49" s="38">
        <v>0</v>
      </c>
      <c r="H49" s="38">
        <v>0</v>
      </c>
      <c r="I49" s="104">
        <v>2.1479215830667164</v>
      </c>
      <c r="J49" s="46">
        <v>6.4089425107774221E-5</v>
      </c>
      <c r="K49" s="46">
        <v>6.6153847721982578E-6</v>
      </c>
    </row>
    <row r="50" spans="1:11" x14ac:dyDescent="0.2">
      <c r="A50" s="67" t="s">
        <v>1896</v>
      </c>
      <c r="B50" s="38" t="s">
        <v>285</v>
      </c>
      <c r="C50" s="38" t="s">
        <v>254</v>
      </c>
      <c r="D50" s="85" t="s">
        <v>244</v>
      </c>
      <c r="E50" s="80" t="s">
        <v>245</v>
      </c>
      <c r="F50" s="46" t="s">
        <v>127</v>
      </c>
      <c r="G50" s="38">
        <v>0</v>
      </c>
      <c r="H50" s="38">
        <v>0</v>
      </c>
      <c r="I50" s="104">
        <v>0.16541999999999998</v>
      </c>
      <c r="J50" s="46">
        <v>4.9357820066184022E-6</v>
      </c>
      <c r="K50" s="46">
        <v>5.0947714183057556E-7</v>
      </c>
    </row>
    <row r="51" spans="1:11" x14ac:dyDescent="0.2">
      <c r="A51" s="67" t="s">
        <v>1896</v>
      </c>
      <c r="B51" s="38" t="s">
        <v>286</v>
      </c>
      <c r="C51" s="38" t="s">
        <v>254</v>
      </c>
      <c r="D51" s="85" t="s">
        <v>244</v>
      </c>
      <c r="E51" s="80" t="s">
        <v>245</v>
      </c>
      <c r="F51" s="46" t="s">
        <v>127</v>
      </c>
      <c r="G51" s="38">
        <v>0</v>
      </c>
      <c r="H51" s="38">
        <v>0</v>
      </c>
      <c r="I51" s="104">
        <v>8.5572866966201824E-2</v>
      </c>
      <c r="J51" s="46">
        <v>2.5533128825204286E-6</v>
      </c>
      <c r="K51" s="46">
        <v>2.6355591633531967E-7</v>
      </c>
    </row>
    <row r="52" spans="1:11" x14ac:dyDescent="0.2">
      <c r="A52" s="67" t="s">
        <v>1925</v>
      </c>
      <c r="B52" s="38" t="s">
        <v>287</v>
      </c>
      <c r="C52" s="38" t="s">
        <v>254</v>
      </c>
      <c r="D52" s="85" t="s">
        <v>244</v>
      </c>
      <c r="E52" s="80" t="s">
        <v>245</v>
      </c>
      <c r="F52" s="46" t="s">
        <v>127</v>
      </c>
      <c r="G52" s="38">
        <v>0</v>
      </c>
      <c r="H52" s="38">
        <v>0</v>
      </c>
      <c r="I52" s="104">
        <v>-1.8536234130233624</v>
      </c>
      <c r="J52" s="46">
        <v>-5.5308191809015258E-5</v>
      </c>
      <c r="K52" s="46">
        <v>-5.7089756891390346E-6</v>
      </c>
    </row>
    <row r="53" spans="1:11" x14ac:dyDescent="0.2">
      <c r="A53" s="67" t="s">
        <v>1897</v>
      </c>
      <c r="B53" s="38" t="s">
        <v>289</v>
      </c>
      <c r="C53" s="38" t="s">
        <v>254</v>
      </c>
      <c r="D53" s="85" t="s">
        <v>244</v>
      </c>
      <c r="E53" s="80" t="s">
        <v>245</v>
      </c>
      <c r="F53" s="46" t="s">
        <v>2</v>
      </c>
      <c r="G53" s="38">
        <v>0</v>
      </c>
      <c r="H53" s="38">
        <v>0</v>
      </c>
      <c r="I53" s="104">
        <v>7.5289299570041832</v>
      </c>
      <c r="J53" s="46">
        <v>2.24647303898389E-4</v>
      </c>
      <c r="K53" s="46">
        <v>2.3188355190044066E-5</v>
      </c>
    </row>
    <row r="54" spans="1:11" x14ac:dyDescent="0.2">
      <c r="A54" s="67" t="s">
        <v>1897</v>
      </c>
      <c r="B54" s="38" t="s">
        <v>290</v>
      </c>
      <c r="C54" s="38" t="s">
        <v>254</v>
      </c>
      <c r="D54" s="85" t="s">
        <v>244</v>
      </c>
      <c r="E54" s="80" t="s">
        <v>245</v>
      </c>
      <c r="F54" s="46" t="s">
        <v>2</v>
      </c>
      <c r="G54" s="38">
        <v>0</v>
      </c>
      <c r="H54" s="38">
        <v>0</v>
      </c>
      <c r="I54" s="104">
        <v>2.2898914445023681</v>
      </c>
      <c r="J54" s="46">
        <v>6.8325504708525035E-5</v>
      </c>
      <c r="K54" s="46">
        <v>7.052637820380574E-6</v>
      </c>
    </row>
    <row r="55" spans="1:11" x14ac:dyDescent="0.2">
      <c r="A55" s="67" t="s">
        <v>1898</v>
      </c>
      <c r="B55" s="38" t="s">
        <v>292</v>
      </c>
      <c r="C55" s="38" t="s">
        <v>254</v>
      </c>
      <c r="D55" s="85" t="s">
        <v>244</v>
      </c>
      <c r="E55" s="80" t="s">
        <v>245</v>
      </c>
      <c r="F55" s="46" t="s">
        <v>2</v>
      </c>
      <c r="G55" s="38">
        <v>0</v>
      </c>
      <c r="H55" s="38">
        <v>0</v>
      </c>
      <c r="I55" s="104">
        <v>-4.2623517288472981E-2</v>
      </c>
      <c r="J55" s="46">
        <v>-1.2717953674962722E-6</v>
      </c>
      <c r="K55" s="46">
        <v>-1.3127619249726355E-7</v>
      </c>
    </row>
    <row r="56" spans="1:11" x14ac:dyDescent="0.2">
      <c r="A56" s="67" t="s">
        <v>1899</v>
      </c>
      <c r="B56" s="38" t="s">
        <v>293</v>
      </c>
      <c r="C56" s="38" t="s">
        <v>254</v>
      </c>
      <c r="D56" s="85" t="s">
        <v>244</v>
      </c>
      <c r="E56" s="80" t="s">
        <v>245</v>
      </c>
      <c r="F56" s="46" t="s">
        <v>3</v>
      </c>
      <c r="G56" s="38">
        <v>0</v>
      </c>
      <c r="H56" s="38">
        <v>0</v>
      </c>
      <c r="I56" s="104">
        <v>0.12654125240260841</v>
      </c>
      <c r="J56" s="46">
        <v>3.7757226254609616E-6</v>
      </c>
      <c r="K56" s="46">
        <v>3.8973446740262598E-7</v>
      </c>
    </row>
    <row r="57" spans="1:11" x14ac:dyDescent="0.2">
      <c r="A57" s="67" t="s">
        <v>1926</v>
      </c>
      <c r="B57" s="38" t="s">
        <v>294</v>
      </c>
      <c r="C57" s="38" t="s">
        <v>254</v>
      </c>
      <c r="D57" s="85" t="s">
        <v>244</v>
      </c>
      <c r="E57" s="80" t="s">
        <v>245</v>
      </c>
      <c r="F57" s="46" t="s">
        <v>295</v>
      </c>
      <c r="G57" s="38">
        <v>0</v>
      </c>
      <c r="H57" s="38">
        <v>0</v>
      </c>
      <c r="I57" s="104">
        <v>0.64192454950945821</v>
      </c>
      <c r="J57" s="46">
        <v>1.9153667277689563E-5</v>
      </c>
      <c r="K57" s="46">
        <v>1.9770637453449315E-6</v>
      </c>
    </row>
    <row r="58" spans="1:11" x14ac:dyDescent="0.2">
      <c r="A58" s="67" t="s">
        <v>1900</v>
      </c>
      <c r="B58" s="38" t="s">
        <v>297</v>
      </c>
      <c r="C58" s="38" t="s">
        <v>254</v>
      </c>
      <c r="D58" s="85" t="s">
        <v>244</v>
      </c>
      <c r="E58" s="80" t="s">
        <v>245</v>
      </c>
      <c r="F58" s="46" t="s">
        <v>133</v>
      </c>
      <c r="G58" s="38">
        <v>0</v>
      </c>
      <c r="H58" s="38">
        <v>0</v>
      </c>
      <c r="I58" s="104">
        <v>2.1902485602762796</v>
      </c>
      <c r="J58" s="46">
        <v>6.535237234816541E-5</v>
      </c>
      <c r="K58" s="46">
        <v>6.7457476507562085E-6</v>
      </c>
    </row>
    <row r="59" spans="1:11" x14ac:dyDescent="0.2">
      <c r="A59" s="67" t="s">
        <v>1901</v>
      </c>
      <c r="B59" s="38" t="s">
        <v>298</v>
      </c>
      <c r="C59" s="38" t="s">
        <v>254</v>
      </c>
      <c r="D59" s="85" t="s">
        <v>244</v>
      </c>
      <c r="E59" s="80" t="s">
        <v>245</v>
      </c>
      <c r="F59" s="46" t="s">
        <v>65</v>
      </c>
      <c r="G59" s="38">
        <v>0</v>
      </c>
      <c r="H59" s="38">
        <v>0</v>
      </c>
      <c r="I59" s="104">
        <v>4.6684299842457151E-2</v>
      </c>
      <c r="J59" s="46">
        <v>1.3929605075201204E-6</v>
      </c>
      <c r="K59" s="46">
        <v>1.4378299874317893E-7</v>
      </c>
    </row>
    <row r="60" spans="1:11" x14ac:dyDescent="0.2">
      <c r="A60" s="67" t="s">
        <v>1902</v>
      </c>
      <c r="B60" s="38" t="s">
        <v>299</v>
      </c>
      <c r="C60" s="38" t="s">
        <v>254</v>
      </c>
      <c r="D60" s="85" t="s">
        <v>244</v>
      </c>
      <c r="E60" s="80" t="s">
        <v>245</v>
      </c>
      <c r="F60" s="46" t="s">
        <v>153</v>
      </c>
      <c r="G60" s="38">
        <v>0</v>
      </c>
      <c r="H60" s="38">
        <v>0</v>
      </c>
      <c r="I60" s="104">
        <v>0.10737571253851268</v>
      </c>
      <c r="J60" s="46">
        <v>3.2038635587922914E-6</v>
      </c>
      <c r="K60" s="46">
        <v>3.3070651146259786E-7</v>
      </c>
    </row>
    <row r="61" spans="1:11" x14ac:dyDescent="0.2">
      <c r="A61" s="67" t="s">
        <v>1903</v>
      </c>
      <c r="B61" s="38" t="s">
        <v>300</v>
      </c>
      <c r="C61" s="38" t="s">
        <v>254</v>
      </c>
      <c r="D61" s="85" t="s">
        <v>244</v>
      </c>
      <c r="E61" s="80" t="s">
        <v>245</v>
      </c>
      <c r="F61" s="46" t="s">
        <v>153</v>
      </c>
      <c r="G61" s="38">
        <v>0</v>
      </c>
      <c r="H61" s="38">
        <v>0</v>
      </c>
      <c r="I61" s="104">
        <v>-0.3466546192611058</v>
      </c>
      <c r="J61" s="46">
        <v>-1.0343438715150037E-5</v>
      </c>
      <c r="K61" s="46">
        <v>-1.0676617375378708E-6</v>
      </c>
    </row>
    <row r="62" spans="1:11" x14ac:dyDescent="0.2">
      <c r="A62" s="67" t="s">
        <v>1904</v>
      </c>
      <c r="B62" s="38" t="s">
        <v>301</v>
      </c>
      <c r="C62" s="38" t="s">
        <v>254</v>
      </c>
      <c r="D62" s="85" t="s">
        <v>244</v>
      </c>
      <c r="E62" s="80" t="s">
        <v>245</v>
      </c>
      <c r="F62" s="46" t="s">
        <v>126</v>
      </c>
      <c r="G62" s="38">
        <v>0</v>
      </c>
      <c r="H62" s="38">
        <v>0</v>
      </c>
      <c r="I62" s="104">
        <v>20.332645177137799</v>
      </c>
      <c r="J62" s="46">
        <v>6.0668301422000474E-4</v>
      </c>
      <c r="K62" s="46">
        <v>6.2622524185125154E-5</v>
      </c>
    </row>
    <row r="63" spans="1:11" x14ac:dyDescent="0.2">
      <c r="A63" s="67" t="s">
        <v>1904</v>
      </c>
      <c r="B63" s="38" t="s">
        <v>302</v>
      </c>
      <c r="C63" s="38" t="s">
        <v>254</v>
      </c>
      <c r="D63" s="85" t="s">
        <v>244</v>
      </c>
      <c r="E63" s="80" t="s">
        <v>245</v>
      </c>
      <c r="F63" s="46" t="s">
        <v>126</v>
      </c>
      <c r="G63" s="38">
        <v>0</v>
      </c>
      <c r="H63" s="38">
        <v>0</v>
      </c>
      <c r="I63" s="104">
        <v>93.066342271952337</v>
      </c>
      <c r="J63" s="46">
        <v>2.7769022948113406E-3</v>
      </c>
      <c r="K63" s="46">
        <v>2.8663507472700007E-4</v>
      </c>
    </row>
    <row r="64" spans="1:11" x14ac:dyDescent="0.2">
      <c r="A64" s="67" t="s">
        <v>1904</v>
      </c>
      <c r="B64" s="38" t="s">
        <v>304</v>
      </c>
      <c r="C64" s="38" t="s">
        <v>254</v>
      </c>
      <c r="D64" s="85" t="s">
        <v>244</v>
      </c>
      <c r="E64" s="80" t="s">
        <v>245</v>
      </c>
      <c r="F64" s="46" t="s">
        <v>126</v>
      </c>
      <c r="G64" s="38">
        <v>0</v>
      </c>
      <c r="H64" s="38">
        <v>0</v>
      </c>
      <c r="I64" s="104">
        <v>330.19086937141236</v>
      </c>
      <c r="J64" s="46">
        <v>9.8521953318407973E-3</v>
      </c>
      <c r="K64" s="46">
        <v>1.0169550259092014E-3</v>
      </c>
    </row>
    <row r="65" spans="1:11" x14ac:dyDescent="0.2">
      <c r="A65" s="67" t="s">
        <v>1895</v>
      </c>
      <c r="B65" s="38" t="s">
        <v>305</v>
      </c>
      <c r="C65" s="38" t="s">
        <v>254</v>
      </c>
      <c r="D65" s="85" t="s">
        <v>244</v>
      </c>
      <c r="E65" s="80" t="s">
        <v>245</v>
      </c>
      <c r="F65" s="46" t="s">
        <v>126</v>
      </c>
      <c r="G65" s="38">
        <v>0</v>
      </c>
      <c r="H65" s="38">
        <v>0</v>
      </c>
      <c r="I65" s="104">
        <v>66.087559344977265</v>
      </c>
      <c r="J65" s="46">
        <v>1.9719126240857494E-3</v>
      </c>
      <c r="K65" s="46">
        <v>2.0354310751806047E-4</v>
      </c>
    </row>
    <row r="66" spans="1:11" x14ac:dyDescent="0.2">
      <c r="A66" s="67" t="s">
        <v>1904</v>
      </c>
      <c r="B66" s="38" t="s">
        <v>310</v>
      </c>
      <c r="C66" s="38" t="s">
        <v>254</v>
      </c>
      <c r="D66" s="85" t="s">
        <v>244</v>
      </c>
      <c r="E66" s="80" t="s">
        <v>245</v>
      </c>
      <c r="F66" s="46" t="s">
        <v>126</v>
      </c>
      <c r="G66" s="38">
        <v>0</v>
      </c>
      <c r="H66" s="38">
        <v>0</v>
      </c>
      <c r="I66" s="104">
        <v>9.4653218955287236E-2</v>
      </c>
      <c r="J66" s="46">
        <v>2.8242513298755811E-6</v>
      </c>
      <c r="K66" s="46">
        <v>2.9152249702819128E-7</v>
      </c>
    </row>
    <row r="67" spans="1:11" x14ac:dyDescent="0.2">
      <c r="A67" s="67" t="s">
        <v>1895</v>
      </c>
      <c r="B67" s="38" t="s">
        <v>311</v>
      </c>
      <c r="C67" s="38" t="s">
        <v>254</v>
      </c>
      <c r="D67" s="85" t="s">
        <v>244</v>
      </c>
      <c r="E67" s="80" t="s">
        <v>245</v>
      </c>
      <c r="F67" s="46" t="s">
        <v>126</v>
      </c>
      <c r="G67" s="38">
        <v>0</v>
      </c>
      <c r="H67" s="38">
        <v>0</v>
      </c>
      <c r="I67" s="104">
        <v>3.187211748319339</v>
      </c>
      <c r="J67" s="46">
        <v>9.5099639696755967E-5</v>
      </c>
      <c r="K67" s="46">
        <v>9.8162950788451734E-6</v>
      </c>
    </row>
    <row r="68" spans="1:11" x14ac:dyDescent="0.2">
      <c r="A68" s="67" t="s">
        <v>1883</v>
      </c>
      <c r="B68" s="38" t="s">
        <v>277</v>
      </c>
      <c r="C68" s="38" t="s">
        <v>252</v>
      </c>
      <c r="D68" s="85" t="s">
        <v>244</v>
      </c>
      <c r="E68" s="80" t="s">
        <v>245</v>
      </c>
      <c r="F68" s="46" t="s">
        <v>126</v>
      </c>
      <c r="G68" s="38">
        <v>0</v>
      </c>
      <c r="H68" s="38">
        <v>0</v>
      </c>
      <c r="I68" s="104">
        <v>2.5682900000000002</v>
      </c>
      <c r="J68" s="46">
        <v>7.6632327226320741E-5</v>
      </c>
      <c r="K68" s="46">
        <v>7.9100776725429144E-6</v>
      </c>
    </row>
    <row r="69" spans="1:11" x14ac:dyDescent="0.2">
      <c r="A69" s="67" t="s">
        <v>1883</v>
      </c>
      <c r="B69" s="38" t="s">
        <v>307</v>
      </c>
      <c r="C69" s="38" t="s">
        <v>252</v>
      </c>
      <c r="D69" s="85" t="s">
        <v>244</v>
      </c>
      <c r="E69" s="80" t="s">
        <v>245</v>
      </c>
      <c r="F69" s="46" t="s">
        <v>126</v>
      </c>
      <c r="G69" s="38">
        <v>0</v>
      </c>
      <c r="H69" s="38">
        <v>0</v>
      </c>
      <c r="I69" s="104">
        <v>0.24168966572199432</v>
      </c>
      <c r="J69" s="46">
        <v>7.2115070925899892E-6</v>
      </c>
      <c r="K69" s="46">
        <v>7.4438012393923886E-7</v>
      </c>
    </row>
    <row r="70" spans="1:11" x14ac:dyDescent="0.2">
      <c r="A70" s="67" t="s">
        <v>1927</v>
      </c>
      <c r="B70" s="38" t="s">
        <v>278</v>
      </c>
      <c r="C70" s="38" t="s">
        <v>250</v>
      </c>
      <c r="D70" s="85" t="s">
        <v>244</v>
      </c>
      <c r="E70" s="80" t="s">
        <v>245</v>
      </c>
      <c r="F70" s="46" t="s">
        <v>126</v>
      </c>
      <c r="G70" s="38">
        <v>0</v>
      </c>
      <c r="H70" s="38">
        <v>0</v>
      </c>
      <c r="I70" s="104">
        <v>0.1971</v>
      </c>
      <c r="J70" s="46">
        <v>5.8810460252961376E-6</v>
      </c>
      <c r="K70" s="46">
        <v>6.0704838988517977E-7</v>
      </c>
    </row>
    <row r="71" spans="1:11" s="139" customFormat="1" x14ac:dyDescent="0.2">
      <c r="A71" s="144" t="s">
        <v>312</v>
      </c>
      <c r="B71" s="145" t="s">
        <v>239</v>
      </c>
      <c r="C71" s="145" t="s">
        <v>239</v>
      </c>
      <c r="D71" s="146" t="s">
        <v>239</v>
      </c>
      <c r="E71" s="147" t="s">
        <v>239</v>
      </c>
      <c r="F71" s="142" t="s">
        <v>239</v>
      </c>
      <c r="G71" s="145" t="s">
        <v>239</v>
      </c>
      <c r="H71" s="145" t="s">
        <v>239</v>
      </c>
      <c r="I71" s="148">
        <v>0</v>
      </c>
      <c r="J71" s="142">
        <v>0</v>
      </c>
      <c r="K71" s="142">
        <v>0</v>
      </c>
    </row>
    <row r="72" spans="1:11" s="139" customFormat="1" x14ac:dyDescent="0.2">
      <c r="A72" s="144" t="s">
        <v>313</v>
      </c>
      <c r="B72" s="145" t="s">
        <v>239</v>
      </c>
      <c r="C72" s="145" t="s">
        <v>239</v>
      </c>
      <c r="D72" s="146" t="s">
        <v>239</v>
      </c>
      <c r="E72" s="147" t="s">
        <v>239</v>
      </c>
      <c r="F72" s="142" t="s">
        <v>239</v>
      </c>
      <c r="G72" s="145" t="s">
        <v>239</v>
      </c>
      <c r="H72" s="145" t="s">
        <v>239</v>
      </c>
      <c r="I72" s="148">
        <v>0</v>
      </c>
      <c r="J72" s="142">
        <v>0</v>
      </c>
      <c r="K72" s="142">
        <v>0</v>
      </c>
    </row>
    <row r="73" spans="1:11" s="139" customFormat="1" x14ac:dyDescent="0.2">
      <c r="A73" s="144" t="s">
        <v>314</v>
      </c>
      <c r="B73" s="145" t="s">
        <v>239</v>
      </c>
      <c r="C73" s="145" t="s">
        <v>239</v>
      </c>
      <c r="D73" s="146" t="s">
        <v>239</v>
      </c>
      <c r="E73" s="147" t="s">
        <v>239</v>
      </c>
      <c r="F73" s="142" t="s">
        <v>239</v>
      </c>
      <c r="G73" s="145" t="s">
        <v>239</v>
      </c>
      <c r="H73" s="145" t="s">
        <v>239</v>
      </c>
      <c r="I73" s="148">
        <v>0</v>
      </c>
      <c r="J73" s="142">
        <v>0</v>
      </c>
      <c r="K73" s="142">
        <v>0</v>
      </c>
    </row>
    <row r="74" spans="1:11" s="139" customFormat="1" x14ac:dyDescent="0.2">
      <c r="A74" s="144" t="s">
        <v>315</v>
      </c>
      <c r="B74" s="145" t="s">
        <v>239</v>
      </c>
      <c r="C74" s="145" t="s">
        <v>239</v>
      </c>
      <c r="D74" s="146" t="s">
        <v>239</v>
      </c>
      <c r="E74" s="147" t="s">
        <v>239</v>
      </c>
      <c r="F74" s="142" t="s">
        <v>239</v>
      </c>
      <c r="G74" s="145" t="s">
        <v>239</v>
      </c>
      <c r="H74" s="145" t="s">
        <v>239</v>
      </c>
      <c r="I74" s="148">
        <v>17304.097331937272</v>
      </c>
      <c r="J74" s="142">
        <v>0.51631756892606395</v>
      </c>
      <c r="K74" s="142">
        <v>5.3294898141902365E-2</v>
      </c>
    </row>
    <row r="75" spans="1:11" x14ac:dyDescent="0.2">
      <c r="A75" s="67" t="s">
        <v>322</v>
      </c>
      <c r="B75" s="38" t="s">
        <v>323</v>
      </c>
      <c r="C75" s="38" t="s">
        <v>243</v>
      </c>
      <c r="D75" s="85" t="s">
        <v>244</v>
      </c>
      <c r="E75" s="80" t="s">
        <v>245</v>
      </c>
      <c r="F75" s="46" t="s">
        <v>246</v>
      </c>
      <c r="G75" s="38">
        <v>8.0000000000000004E-4</v>
      </c>
      <c r="H75" s="38">
        <v>8.0000000000000004E-4</v>
      </c>
      <c r="I75" s="104">
        <v>117.2565783107265</v>
      </c>
      <c r="J75" s="46">
        <v>3.4986876398484194E-3</v>
      </c>
      <c r="K75" s="46">
        <v>3.6113859496180627E-4</v>
      </c>
    </row>
    <row r="76" spans="1:11" x14ac:dyDescent="0.2">
      <c r="A76" s="67" t="s">
        <v>318</v>
      </c>
      <c r="B76" s="38" t="s">
        <v>319</v>
      </c>
      <c r="C76" s="38" t="s">
        <v>248</v>
      </c>
      <c r="D76" s="85" t="s">
        <v>244</v>
      </c>
      <c r="E76" s="80" t="s">
        <v>245</v>
      </c>
      <c r="F76" s="46" t="s">
        <v>246</v>
      </c>
      <c r="G76" s="38">
        <v>8.0000000000000004E-4</v>
      </c>
      <c r="H76" s="38">
        <v>8.0000000000000004E-4</v>
      </c>
      <c r="I76" s="104">
        <v>5000.1863396937079</v>
      </c>
      <c r="J76" s="46">
        <v>0.14919495686857293</v>
      </c>
      <c r="K76" s="46">
        <v>1.5400076441587703E-2</v>
      </c>
    </row>
    <row r="77" spans="1:11" x14ac:dyDescent="0.2">
      <c r="A77" s="67" t="s">
        <v>316</v>
      </c>
      <c r="B77" s="38" t="s">
        <v>317</v>
      </c>
      <c r="C77" s="38" t="s">
        <v>254</v>
      </c>
      <c r="D77" s="85" t="s">
        <v>244</v>
      </c>
      <c r="E77" s="80" t="s">
        <v>245</v>
      </c>
      <c r="F77" s="46" t="s">
        <v>246</v>
      </c>
      <c r="G77" s="38">
        <v>8.0000000000000004E-4</v>
      </c>
      <c r="H77" s="38">
        <v>8.0000000000000004E-4</v>
      </c>
      <c r="I77" s="104">
        <v>2096.6414254584383</v>
      </c>
      <c r="J77" s="46">
        <v>6.2559333950601606E-2</v>
      </c>
      <c r="K77" s="46">
        <v>6.4574469887930652E-3</v>
      </c>
    </row>
    <row r="78" spans="1:11" x14ac:dyDescent="0.2">
      <c r="A78" s="67" t="s">
        <v>326</v>
      </c>
      <c r="B78" s="38" t="s">
        <v>327</v>
      </c>
      <c r="C78" s="38" t="s">
        <v>252</v>
      </c>
      <c r="D78" s="85" t="s">
        <v>244</v>
      </c>
      <c r="E78" s="80" t="s">
        <v>245</v>
      </c>
      <c r="F78" s="46" t="s">
        <v>246</v>
      </c>
      <c r="G78" s="38">
        <v>8.0000000000000004E-4</v>
      </c>
      <c r="H78" s="38">
        <v>8.0000000000000004E-4</v>
      </c>
      <c r="I78" s="104">
        <v>1923.0078842959147</v>
      </c>
      <c r="J78" s="46">
        <v>5.7378477293514071E-2</v>
      </c>
      <c r="K78" s="46">
        <v>5.9226729573736234E-3</v>
      </c>
    </row>
    <row r="79" spans="1:11" x14ac:dyDescent="0.2">
      <c r="A79" s="67" t="s">
        <v>324</v>
      </c>
      <c r="B79" s="38" t="s">
        <v>325</v>
      </c>
      <c r="C79" s="38" t="s">
        <v>273</v>
      </c>
      <c r="D79" s="85" t="s">
        <v>244</v>
      </c>
      <c r="E79" s="80" t="s">
        <v>245</v>
      </c>
      <c r="F79" s="46" t="s">
        <v>246</v>
      </c>
      <c r="G79" s="38">
        <v>8.0000000000000004E-4</v>
      </c>
      <c r="H79" s="38">
        <v>8.0000000000000004E-4</v>
      </c>
      <c r="I79" s="104">
        <v>5005.767752821298</v>
      </c>
      <c r="J79" s="46">
        <v>0.14936149440022972</v>
      </c>
      <c r="K79" s="46">
        <v>1.5417266638707882E-2</v>
      </c>
    </row>
    <row r="80" spans="1:11" x14ac:dyDescent="0.2">
      <c r="A80" s="67" t="s">
        <v>320</v>
      </c>
      <c r="B80" s="38" t="s">
        <v>321</v>
      </c>
      <c r="C80" s="38" t="s">
        <v>250</v>
      </c>
      <c r="D80" s="85" t="s">
        <v>244</v>
      </c>
      <c r="E80" s="80" t="s">
        <v>245</v>
      </c>
      <c r="F80" s="46" t="s">
        <v>246</v>
      </c>
      <c r="G80" s="38">
        <v>8.0000000000000004E-4</v>
      </c>
      <c r="H80" s="38">
        <v>8.0000000000000004E-4</v>
      </c>
      <c r="I80" s="104">
        <v>3161.2373512571862</v>
      </c>
      <c r="J80" s="46">
        <v>9.4324618770313381E-2</v>
      </c>
      <c r="K80" s="46">
        <v>9.7362965201702959E-3</v>
      </c>
    </row>
    <row r="81" spans="1:11" s="139" customFormat="1" x14ac:dyDescent="0.2">
      <c r="A81" s="144" t="s">
        <v>328</v>
      </c>
      <c r="B81" s="145" t="s">
        <v>239</v>
      </c>
      <c r="C81" s="145" t="s">
        <v>239</v>
      </c>
      <c r="D81" s="146" t="s">
        <v>239</v>
      </c>
      <c r="E81" s="147" t="s">
        <v>239</v>
      </c>
      <c r="F81" s="142" t="s">
        <v>239</v>
      </c>
      <c r="G81" s="145" t="s">
        <v>239</v>
      </c>
      <c r="H81" s="145" t="s">
        <v>239</v>
      </c>
      <c r="I81" s="148">
        <v>242.03974729941069</v>
      </c>
      <c r="J81" s="142">
        <v>7.2219527844692077E-3</v>
      </c>
      <c r="K81" s="142">
        <v>7.4545834036693587E-4</v>
      </c>
    </row>
    <row r="82" spans="1:11" x14ac:dyDescent="0.2">
      <c r="A82" s="67" t="s">
        <v>1886</v>
      </c>
      <c r="B82" s="38" t="s">
        <v>334</v>
      </c>
      <c r="C82" s="38" t="s">
        <v>248</v>
      </c>
      <c r="D82" s="85" t="s">
        <v>244</v>
      </c>
      <c r="E82" s="80" t="s">
        <v>245</v>
      </c>
      <c r="F82" s="46" t="s">
        <v>126</v>
      </c>
      <c r="G82" s="38">
        <v>0</v>
      </c>
      <c r="H82" s="38">
        <v>0</v>
      </c>
      <c r="I82" s="104">
        <v>-172.05</v>
      </c>
      <c r="J82" s="46">
        <v>-5.1336071468909214E-3</v>
      </c>
      <c r="K82" s="46">
        <v>-5.2989688219048806E-4</v>
      </c>
    </row>
    <row r="83" spans="1:11" x14ac:dyDescent="0.2">
      <c r="A83" s="67" t="s">
        <v>1886</v>
      </c>
      <c r="B83" s="38" t="s">
        <v>335</v>
      </c>
      <c r="C83" s="38" t="s">
        <v>248</v>
      </c>
      <c r="D83" s="85" t="s">
        <v>244</v>
      </c>
      <c r="E83" s="80" t="s">
        <v>245</v>
      </c>
      <c r="F83" s="46" t="s">
        <v>126</v>
      </c>
      <c r="G83" s="38">
        <v>0</v>
      </c>
      <c r="H83" s="38">
        <v>0</v>
      </c>
      <c r="I83" s="104">
        <v>8.3051844994559509</v>
      </c>
      <c r="J83" s="46">
        <v>2.4780909330226542E-4</v>
      </c>
      <c r="K83" s="46">
        <v>2.557914194872698E-5</v>
      </c>
    </row>
    <row r="84" spans="1:11" x14ac:dyDescent="0.2">
      <c r="A84" s="67" t="s">
        <v>1928</v>
      </c>
      <c r="B84" s="38" t="s">
        <v>329</v>
      </c>
      <c r="C84" s="38" t="s">
        <v>254</v>
      </c>
      <c r="D84" s="85" t="s">
        <v>244</v>
      </c>
      <c r="E84" s="80" t="s">
        <v>245</v>
      </c>
      <c r="F84" s="46" t="s">
        <v>126</v>
      </c>
      <c r="G84" s="38">
        <v>0</v>
      </c>
      <c r="H84" s="38">
        <v>0</v>
      </c>
      <c r="I84" s="104">
        <v>1.2515780087477074E-3</v>
      </c>
      <c r="J84" s="46">
        <v>3.7344433656487872E-8</v>
      </c>
      <c r="K84" s="46">
        <v>3.8547357434094126E-9</v>
      </c>
    </row>
    <row r="85" spans="1:11" x14ac:dyDescent="0.2">
      <c r="A85" s="67" t="s">
        <v>1928</v>
      </c>
      <c r="B85" s="38" t="s">
        <v>330</v>
      </c>
      <c r="C85" s="38" t="s">
        <v>254</v>
      </c>
      <c r="D85" s="85" t="s">
        <v>244</v>
      </c>
      <c r="E85" s="80" t="s">
        <v>245</v>
      </c>
      <c r="F85" s="46" t="s">
        <v>126</v>
      </c>
      <c r="G85" s="38">
        <v>0</v>
      </c>
      <c r="H85" s="38">
        <v>0</v>
      </c>
      <c r="I85" s="104">
        <v>-9.2000000000000003E-4</v>
      </c>
      <c r="J85" s="46">
        <v>-2.7450849027257468E-8</v>
      </c>
      <c r="K85" s="46">
        <v>-2.833508466232194E-9</v>
      </c>
    </row>
    <row r="86" spans="1:11" x14ac:dyDescent="0.2">
      <c r="A86" s="67" t="s">
        <v>1928</v>
      </c>
      <c r="B86" s="38" t="s">
        <v>331</v>
      </c>
      <c r="C86" s="38" t="s">
        <v>254</v>
      </c>
      <c r="D86" s="85" t="s">
        <v>244</v>
      </c>
      <c r="E86" s="80" t="s">
        <v>245</v>
      </c>
      <c r="F86" s="46" t="s">
        <v>126</v>
      </c>
      <c r="G86" s="38">
        <v>0</v>
      </c>
      <c r="H86" s="38">
        <v>0</v>
      </c>
      <c r="I86" s="104">
        <v>7.9696553856189958</v>
      </c>
      <c r="J86" s="46">
        <v>2.377976160759744E-4</v>
      </c>
      <c r="K86" s="46">
        <v>2.4545745660983069E-5</v>
      </c>
    </row>
    <row r="87" spans="1:11" x14ac:dyDescent="0.2">
      <c r="A87" s="67" t="s">
        <v>1928</v>
      </c>
      <c r="B87" s="38" t="s">
        <v>332</v>
      </c>
      <c r="C87" s="38" t="s">
        <v>254</v>
      </c>
      <c r="D87" s="85" t="s">
        <v>244</v>
      </c>
      <c r="E87" s="80" t="s">
        <v>245</v>
      </c>
      <c r="F87" s="46" t="s">
        <v>126</v>
      </c>
      <c r="G87" s="38">
        <v>0</v>
      </c>
      <c r="H87" s="38">
        <v>0</v>
      </c>
      <c r="I87" s="104">
        <v>59.573837601451437</v>
      </c>
      <c r="J87" s="46">
        <v>1.7775569804041277E-3</v>
      </c>
      <c r="K87" s="46">
        <v>1.8348149261918962E-4</v>
      </c>
    </row>
    <row r="88" spans="1:11" x14ac:dyDescent="0.2">
      <c r="A88" s="67" t="s">
        <v>1929</v>
      </c>
      <c r="B88" s="38" t="s">
        <v>333</v>
      </c>
      <c r="C88" s="38" t="s">
        <v>254</v>
      </c>
      <c r="D88" s="85" t="s">
        <v>244</v>
      </c>
      <c r="E88" s="80" t="s">
        <v>245</v>
      </c>
      <c r="F88" s="46" t="s">
        <v>126</v>
      </c>
      <c r="G88" s="38">
        <v>0</v>
      </c>
      <c r="H88" s="38">
        <v>0</v>
      </c>
      <c r="I88" s="104">
        <v>-60.786882293890372</v>
      </c>
      <c r="J88" s="46">
        <v>-1.8137516616165811E-3</v>
      </c>
      <c r="K88" s="46">
        <v>-1.8721754958217197E-4</v>
      </c>
    </row>
    <row r="89" spans="1:11" x14ac:dyDescent="0.2">
      <c r="A89" s="67" t="s">
        <v>1879</v>
      </c>
      <c r="B89" s="38" t="s">
        <v>337</v>
      </c>
      <c r="C89" s="38" t="s">
        <v>254</v>
      </c>
      <c r="D89" s="85" t="s">
        <v>244</v>
      </c>
      <c r="E89" s="80" t="s">
        <v>245</v>
      </c>
      <c r="F89" s="46" t="s">
        <v>126</v>
      </c>
      <c r="G89" s="38">
        <v>1.24E-2</v>
      </c>
      <c r="H89" s="38">
        <v>2.0400000000000001E-2</v>
      </c>
      <c r="I89" s="104">
        <v>55.001339039550636</v>
      </c>
      <c r="J89" s="46">
        <v>1.6411233198605508E-3</v>
      </c>
      <c r="K89" s="46">
        <v>1.693986519811674E-4</v>
      </c>
    </row>
    <row r="90" spans="1:11" x14ac:dyDescent="0.2">
      <c r="A90" s="67" t="s">
        <v>1879</v>
      </c>
      <c r="B90" s="38" t="s">
        <v>338</v>
      </c>
      <c r="C90" s="38" t="s">
        <v>254</v>
      </c>
      <c r="D90" s="85" t="s">
        <v>244</v>
      </c>
      <c r="E90" s="80" t="s">
        <v>245</v>
      </c>
      <c r="F90" s="46" t="s">
        <v>126</v>
      </c>
      <c r="G90" s="38">
        <v>1.3300000000000001E-2</v>
      </c>
      <c r="H90" s="38">
        <v>2.2400000000000003E-2</v>
      </c>
      <c r="I90" s="104">
        <v>164.88581708772418</v>
      </c>
      <c r="J90" s="46">
        <v>4.9198431213164188E-3</v>
      </c>
      <c r="K90" s="46">
        <v>5.0783191160834722E-4</v>
      </c>
    </row>
    <row r="91" spans="1:11" x14ac:dyDescent="0.2">
      <c r="A91" s="67" t="s">
        <v>1879</v>
      </c>
      <c r="B91" s="38" t="s">
        <v>339</v>
      </c>
      <c r="C91" s="38" t="s">
        <v>254</v>
      </c>
      <c r="D91" s="85" t="s">
        <v>244</v>
      </c>
      <c r="E91" s="80" t="s">
        <v>245</v>
      </c>
      <c r="F91" s="46" t="s">
        <v>126</v>
      </c>
      <c r="G91" s="38">
        <v>8.1000000000000013E-3</v>
      </c>
      <c r="H91" s="38">
        <v>2.4700000000000003E-2</v>
      </c>
      <c r="I91" s="104">
        <v>109.79435237956005</v>
      </c>
      <c r="J91" s="46">
        <v>3.2760306426269669E-3</v>
      </c>
      <c r="K91" s="46">
        <v>3.3815568153474371E-4</v>
      </c>
    </row>
    <row r="92" spans="1:11" x14ac:dyDescent="0.2">
      <c r="A92" s="67" t="s">
        <v>340</v>
      </c>
      <c r="B92" s="38" t="s">
        <v>341</v>
      </c>
      <c r="C92" s="38" t="s">
        <v>254</v>
      </c>
      <c r="D92" s="85" t="s">
        <v>244</v>
      </c>
      <c r="E92" s="80" t="s">
        <v>245</v>
      </c>
      <c r="F92" s="46" t="s">
        <v>126</v>
      </c>
      <c r="G92" s="38">
        <v>7.000000000000001E-4</v>
      </c>
      <c r="H92" s="38">
        <v>2.29E-2</v>
      </c>
      <c r="I92" s="104">
        <v>82.245653804064816</v>
      </c>
      <c r="J92" s="46">
        <v>2.4540358975255077E-3</v>
      </c>
      <c r="K92" s="46">
        <v>2.5330843083110836E-4</v>
      </c>
    </row>
    <row r="93" spans="1:11" x14ac:dyDescent="0.2">
      <c r="A93" s="67" t="s">
        <v>1905</v>
      </c>
      <c r="B93" s="38" t="s">
        <v>336</v>
      </c>
      <c r="C93" s="38" t="s">
        <v>252</v>
      </c>
      <c r="D93" s="85" t="s">
        <v>244</v>
      </c>
      <c r="E93" s="80" t="s">
        <v>245</v>
      </c>
      <c r="F93" s="46" t="s">
        <v>126</v>
      </c>
      <c r="G93" s="38">
        <v>0</v>
      </c>
      <c r="H93" s="38">
        <v>0</v>
      </c>
      <c r="I93" s="104">
        <v>-12.899541882133711</v>
      </c>
      <c r="J93" s="46">
        <v>-3.8489497470351868E-4</v>
      </c>
      <c r="K93" s="46">
        <v>-3.9729305579937655E-5</v>
      </c>
    </row>
    <row r="94" spans="1:11" s="139" customFormat="1" x14ac:dyDescent="0.2">
      <c r="A94" s="144" t="s">
        <v>342</v>
      </c>
      <c r="B94" s="145" t="s">
        <v>239</v>
      </c>
      <c r="C94" s="145" t="s">
        <v>239</v>
      </c>
      <c r="D94" s="146" t="s">
        <v>239</v>
      </c>
      <c r="E94" s="147" t="s">
        <v>239</v>
      </c>
      <c r="F94" s="142" t="s">
        <v>239</v>
      </c>
      <c r="G94" s="145" t="s">
        <v>239</v>
      </c>
      <c r="H94" s="145" t="s">
        <v>239</v>
      </c>
      <c r="I94" s="148">
        <v>4704.6589755432487</v>
      </c>
      <c r="J94" s="142">
        <v>0.14037704702431467</v>
      </c>
      <c r="K94" s="142">
        <v>1.4489881562975083E-2</v>
      </c>
    </row>
    <row r="95" spans="1:11" s="139" customFormat="1" x14ac:dyDescent="0.2">
      <c r="A95" s="144" t="s">
        <v>274</v>
      </c>
      <c r="B95" s="145" t="s">
        <v>239</v>
      </c>
      <c r="C95" s="145" t="s">
        <v>239</v>
      </c>
      <c r="D95" s="146" t="s">
        <v>239</v>
      </c>
      <c r="E95" s="147" t="s">
        <v>239</v>
      </c>
      <c r="F95" s="142" t="s">
        <v>239</v>
      </c>
      <c r="G95" s="145" t="s">
        <v>239</v>
      </c>
      <c r="H95" s="145" t="s">
        <v>239</v>
      </c>
      <c r="I95" s="148">
        <v>736.16659926769864</v>
      </c>
      <c r="J95" s="142">
        <v>2.1965650190659936E-2</v>
      </c>
      <c r="K95" s="142">
        <v>2.2673198821547683E-3</v>
      </c>
    </row>
    <row r="96" spans="1:11" x14ac:dyDescent="0.2">
      <c r="A96" s="67" t="s">
        <v>1906</v>
      </c>
      <c r="B96" s="38" t="s">
        <v>347</v>
      </c>
      <c r="C96" s="38" t="s">
        <v>348</v>
      </c>
      <c r="D96" s="85" t="s">
        <v>349</v>
      </c>
      <c r="E96" s="80" t="s">
        <v>350</v>
      </c>
      <c r="F96" s="46" t="s">
        <v>127</v>
      </c>
      <c r="G96" s="38">
        <v>0</v>
      </c>
      <c r="H96" s="38">
        <v>0</v>
      </c>
      <c r="I96" s="104">
        <v>308.5767723444601</v>
      </c>
      <c r="J96" s="46">
        <v>9.2072765118980122E-3</v>
      </c>
      <c r="K96" s="46">
        <v>9.5038575752242607E-4</v>
      </c>
    </row>
    <row r="97" spans="1:11" x14ac:dyDescent="0.2">
      <c r="A97" s="67" t="s">
        <v>1907</v>
      </c>
      <c r="B97" s="38" t="s">
        <v>351</v>
      </c>
      <c r="C97" s="38" t="s">
        <v>348</v>
      </c>
      <c r="D97" s="85" t="s">
        <v>349</v>
      </c>
      <c r="E97" s="80" t="s">
        <v>350</v>
      </c>
      <c r="F97" s="46" t="s">
        <v>127</v>
      </c>
      <c r="G97" s="38">
        <v>0</v>
      </c>
      <c r="H97" s="38">
        <v>0</v>
      </c>
      <c r="I97" s="104">
        <v>1.8536778365633841</v>
      </c>
      <c r="J97" s="46">
        <v>5.5309815692037713E-5</v>
      </c>
      <c r="K97" s="46">
        <v>5.7091433082275284E-6</v>
      </c>
    </row>
    <row r="98" spans="1:11" x14ac:dyDescent="0.2">
      <c r="A98" s="67" t="s">
        <v>1908</v>
      </c>
      <c r="B98" s="38" t="s">
        <v>353</v>
      </c>
      <c r="C98" s="38" t="s">
        <v>348</v>
      </c>
      <c r="D98" s="85" t="s">
        <v>349</v>
      </c>
      <c r="E98" s="80" t="s">
        <v>350</v>
      </c>
      <c r="F98" s="46" t="s">
        <v>2</v>
      </c>
      <c r="G98" s="38">
        <v>0</v>
      </c>
      <c r="H98" s="38">
        <v>0</v>
      </c>
      <c r="I98" s="104">
        <v>278.23706186057126</v>
      </c>
      <c r="J98" s="46">
        <v>8.3020038901328672E-3</v>
      </c>
      <c r="K98" s="46">
        <v>8.5694246782771664E-4</v>
      </c>
    </row>
    <row r="99" spans="1:11" x14ac:dyDescent="0.2">
      <c r="A99" s="67" t="s">
        <v>1909</v>
      </c>
      <c r="B99" s="38" t="s">
        <v>354</v>
      </c>
      <c r="C99" s="38" t="s">
        <v>348</v>
      </c>
      <c r="D99" s="85" t="s">
        <v>349</v>
      </c>
      <c r="E99" s="80" t="s">
        <v>350</v>
      </c>
      <c r="F99" s="46" t="s">
        <v>295</v>
      </c>
      <c r="G99" s="38">
        <v>0</v>
      </c>
      <c r="H99" s="38">
        <v>0</v>
      </c>
      <c r="I99" s="104">
        <v>-0.41137777777996842</v>
      </c>
      <c r="J99" s="46">
        <v>-1.227464051196368E-5</v>
      </c>
      <c r="K99" s="46">
        <v>-1.2670026262601377E-6</v>
      </c>
    </row>
    <row r="100" spans="1:11" x14ac:dyDescent="0.2">
      <c r="A100" s="67" t="s">
        <v>1887</v>
      </c>
      <c r="B100" s="38" t="s">
        <v>355</v>
      </c>
      <c r="C100" s="38" t="s">
        <v>348</v>
      </c>
      <c r="D100" s="85" t="s">
        <v>349</v>
      </c>
      <c r="E100" s="80" t="s">
        <v>350</v>
      </c>
      <c r="F100" s="46" t="s">
        <v>295</v>
      </c>
      <c r="G100" s="38">
        <v>0</v>
      </c>
      <c r="H100" s="38">
        <v>0</v>
      </c>
      <c r="I100" s="104">
        <v>1.3794095604075778</v>
      </c>
      <c r="J100" s="46">
        <v>4.1158656075547833E-5</v>
      </c>
      <c r="K100" s="46">
        <v>4.2484442041483702E-6</v>
      </c>
    </row>
    <row r="101" spans="1:11" x14ac:dyDescent="0.2">
      <c r="A101" s="67" t="s">
        <v>1910</v>
      </c>
      <c r="B101" s="38" t="s">
        <v>356</v>
      </c>
      <c r="C101" s="38" t="s">
        <v>348</v>
      </c>
      <c r="D101" s="85" t="s">
        <v>349</v>
      </c>
      <c r="E101" s="80" t="s">
        <v>350</v>
      </c>
      <c r="F101" s="46" t="s">
        <v>65</v>
      </c>
      <c r="G101" s="38">
        <v>0</v>
      </c>
      <c r="H101" s="38">
        <v>0</v>
      </c>
      <c r="I101" s="104">
        <v>1.6153437100759671</v>
      </c>
      <c r="J101" s="46">
        <v>4.8198430774375353E-5</v>
      </c>
      <c r="K101" s="46">
        <v>4.9750979112773641E-6</v>
      </c>
    </row>
    <row r="102" spans="1:11" x14ac:dyDescent="0.2">
      <c r="A102" s="67" t="s">
        <v>1911</v>
      </c>
      <c r="B102" s="38" t="s">
        <v>357</v>
      </c>
      <c r="C102" s="38" t="s">
        <v>348</v>
      </c>
      <c r="D102" s="85" t="s">
        <v>349</v>
      </c>
      <c r="E102" s="80" t="s">
        <v>350</v>
      </c>
      <c r="F102" s="46" t="s">
        <v>134</v>
      </c>
      <c r="G102" s="38">
        <v>0</v>
      </c>
      <c r="H102" s="38">
        <v>0</v>
      </c>
      <c r="I102" s="104">
        <v>-1.2979323641114354E-2</v>
      </c>
      <c r="J102" s="46">
        <v>-3.8727549320450416E-7</v>
      </c>
      <c r="K102" s="46">
        <v>-3.9975025459853463E-8</v>
      </c>
    </row>
    <row r="103" spans="1:11" x14ac:dyDescent="0.2">
      <c r="A103" s="67" t="s">
        <v>1912</v>
      </c>
      <c r="B103" s="38" t="s">
        <v>358</v>
      </c>
      <c r="C103" s="38" t="s">
        <v>348</v>
      </c>
      <c r="D103" s="85" t="s">
        <v>349</v>
      </c>
      <c r="E103" s="80" t="s">
        <v>350</v>
      </c>
      <c r="F103" s="46" t="s">
        <v>126</v>
      </c>
      <c r="G103" s="38">
        <v>0</v>
      </c>
      <c r="H103" s="38">
        <v>0</v>
      </c>
      <c r="I103" s="104">
        <v>69.079217450475952</v>
      </c>
      <c r="J103" s="46">
        <v>2.0611773577762006E-3</v>
      </c>
      <c r="K103" s="46">
        <v>2.1275711683328078E-4</v>
      </c>
    </row>
    <row r="104" spans="1:11" x14ac:dyDescent="0.2">
      <c r="A104" s="67" t="s">
        <v>1913</v>
      </c>
      <c r="B104" s="38" t="s">
        <v>359</v>
      </c>
      <c r="C104" s="38" t="s">
        <v>348</v>
      </c>
      <c r="D104" s="85" t="s">
        <v>349</v>
      </c>
      <c r="E104" s="80" t="s">
        <v>350</v>
      </c>
      <c r="F104" s="46" t="s">
        <v>126</v>
      </c>
      <c r="G104" s="38">
        <v>0</v>
      </c>
      <c r="H104" s="38">
        <v>0</v>
      </c>
      <c r="I104" s="104">
        <v>0.25208532510731646</v>
      </c>
      <c r="J104" s="46">
        <v>7.5216915233783266E-6</v>
      </c>
      <c r="K104" s="46">
        <v>7.763977205483437E-7</v>
      </c>
    </row>
    <row r="105" spans="1:11" x14ac:dyDescent="0.2">
      <c r="A105" s="67" t="s">
        <v>1930</v>
      </c>
      <c r="B105" s="38" t="s">
        <v>343</v>
      </c>
      <c r="C105" s="38" t="s">
        <v>344</v>
      </c>
      <c r="D105" s="85" t="s">
        <v>345</v>
      </c>
      <c r="E105" s="80" t="s">
        <v>346</v>
      </c>
      <c r="F105" s="46" t="s">
        <v>126</v>
      </c>
      <c r="G105" s="38">
        <v>0</v>
      </c>
      <c r="H105" s="38">
        <v>0</v>
      </c>
      <c r="I105" s="104">
        <v>1.9012324996413303</v>
      </c>
      <c r="J105" s="46">
        <v>5.6728745992792932E-5</v>
      </c>
      <c r="K105" s="46">
        <v>5.8556069391407677E-6</v>
      </c>
    </row>
    <row r="106" spans="1:11" x14ac:dyDescent="0.2">
      <c r="A106" s="67" t="s">
        <v>1888</v>
      </c>
      <c r="B106" s="38" t="s">
        <v>352</v>
      </c>
      <c r="C106" s="38" t="s">
        <v>344</v>
      </c>
      <c r="D106" s="85" t="s">
        <v>345</v>
      </c>
      <c r="E106" s="80" t="s">
        <v>346</v>
      </c>
      <c r="F106" s="46" t="s">
        <v>127</v>
      </c>
      <c r="G106" s="38">
        <v>0</v>
      </c>
      <c r="H106" s="38">
        <v>0</v>
      </c>
      <c r="I106" s="104">
        <v>73.696155681816776</v>
      </c>
      <c r="J106" s="46">
        <v>2.198937003816103E-3</v>
      </c>
      <c r="K106" s="46">
        <v>2.2697682723173221E-4</v>
      </c>
    </row>
    <row r="107" spans="1:11" s="139" customFormat="1" x14ac:dyDescent="0.2">
      <c r="A107" s="144" t="s">
        <v>328</v>
      </c>
      <c r="B107" s="145" t="s">
        <v>239</v>
      </c>
      <c r="C107" s="145" t="s">
        <v>239</v>
      </c>
      <c r="D107" s="146" t="s">
        <v>239</v>
      </c>
      <c r="E107" s="147" t="s">
        <v>239</v>
      </c>
      <c r="F107" s="142" t="s">
        <v>239</v>
      </c>
      <c r="G107" s="145" t="s">
        <v>239</v>
      </c>
      <c r="H107" s="145" t="s">
        <v>239</v>
      </c>
      <c r="I107" s="148">
        <v>3968.4923762755502</v>
      </c>
      <c r="J107" s="142">
        <v>0.11841139683365474</v>
      </c>
      <c r="K107" s="142">
        <v>1.2222561680820313E-2</v>
      </c>
    </row>
    <row r="108" spans="1:11" x14ac:dyDescent="0.2">
      <c r="A108" s="67" t="s">
        <v>1914</v>
      </c>
      <c r="B108" s="38" t="s">
        <v>360</v>
      </c>
      <c r="C108" s="38" t="s">
        <v>348</v>
      </c>
      <c r="D108" s="85" t="s">
        <v>349</v>
      </c>
      <c r="E108" s="80" t="s">
        <v>350</v>
      </c>
      <c r="F108" s="46" t="s">
        <v>126</v>
      </c>
      <c r="G108" s="38">
        <v>0</v>
      </c>
      <c r="H108" s="38">
        <v>0</v>
      </c>
      <c r="I108" s="104">
        <v>-242.09027162099608</v>
      </c>
      <c r="J108" s="46">
        <v>-7.2234603230822998E-3</v>
      </c>
      <c r="K108" s="46">
        <v>-7.4561395025059111E-4</v>
      </c>
    </row>
    <row r="109" spans="1:11" x14ac:dyDescent="0.2">
      <c r="A109" s="67" t="s">
        <v>1931</v>
      </c>
      <c r="B109" s="38" t="s">
        <v>361</v>
      </c>
      <c r="C109" s="38" t="s">
        <v>344</v>
      </c>
      <c r="D109" s="85" t="s">
        <v>345</v>
      </c>
      <c r="E109" s="80" t="s">
        <v>346</v>
      </c>
      <c r="F109" s="46" t="s">
        <v>126</v>
      </c>
      <c r="G109" s="38">
        <v>0</v>
      </c>
      <c r="H109" s="38">
        <v>0</v>
      </c>
      <c r="I109" s="104">
        <v>-2217.787710831612</v>
      </c>
      <c r="J109" s="46">
        <v>-6.6174082200592954E-2</v>
      </c>
      <c r="K109" s="46">
        <v>-6.8305654945077059E-3</v>
      </c>
    </row>
    <row r="110" spans="1:11" x14ac:dyDescent="0.2">
      <c r="A110" s="67" t="s">
        <v>1889</v>
      </c>
      <c r="B110" s="38" t="s">
        <v>362</v>
      </c>
      <c r="C110" s="38" t="s">
        <v>344</v>
      </c>
      <c r="D110" s="85" t="s">
        <v>345</v>
      </c>
      <c r="E110" s="80" t="s">
        <v>346</v>
      </c>
      <c r="F110" s="46" t="s">
        <v>126</v>
      </c>
      <c r="G110" s="38">
        <v>0</v>
      </c>
      <c r="H110" s="38">
        <v>0</v>
      </c>
      <c r="I110" s="104">
        <v>4763.4463123071673</v>
      </c>
      <c r="J110" s="46">
        <v>0.14213113648759823</v>
      </c>
      <c r="K110" s="46">
        <v>1.4670940711266177E-2</v>
      </c>
    </row>
    <row r="111" spans="1:11" x14ac:dyDescent="0.2">
      <c r="A111" s="67" t="s">
        <v>1890</v>
      </c>
      <c r="B111" s="38" t="s">
        <v>363</v>
      </c>
      <c r="C111" s="38" t="s">
        <v>344</v>
      </c>
      <c r="D111" s="85" t="s">
        <v>345</v>
      </c>
      <c r="E111" s="80" t="s">
        <v>346</v>
      </c>
      <c r="F111" s="46" t="s">
        <v>127</v>
      </c>
      <c r="G111" s="38">
        <v>0</v>
      </c>
      <c r="H111" s="38">
        <v>0</v>
      </c>
      <c r="I111" s="104">
        <v>1240.8326545274631</v>
      </c>
      <c r="J111" s="46">
        <v>3.7023815073396207E-2</v>
      </c>
      <c r="K111" s="46">
        <v>3.8216411215010147E-3</v>
      </c>
    </row>
    <row r="112" spans="1:11" x14ac:dyDescent="0.2">
      <c r="A112" s="201" t="s">
        <v>1891</v>
      </c>
      <c r="B112" s="202" t="s">
        <v>364</v>
      </c>
      <c r="C112" s="202" t="s">
        <v>344</v>
      </c>
      <c r="D112" s="203" t="s">
        <v>345</v>
      </c>
      <c r="E112" s="204" t="s">
        <v>346</v>
      </c>
      <c r="F112" s="205" t="s">
        <v>295</v>
      </c>
      <c r="G112" s="202">
        <v>0</v>
      </c>
      <c r="H112" s="202">
        <v>0</v>
      </c>
      <c r="I112" s="206">
        <v>424.09139179352843</v>
      </c>
      <c r="J112" s="205">
        <v>1.2653987793351789E-2</v>
      </c>
      <c r="K112" s="205">
        <v>1.3061592925034317E-3</v>
      </c>
    </row>
    <row r="113" spans="1:10" s="139" customFormat="1" x14ac:dyDescent="0.2">
      <c r="A113" s="97" t="s">
        <v>230</v>
      </c>
      <c r="B113" s="149"/>
      <c r="C113" s="149"/>
      <c r="D113" s="149"/>
      <c r="E113" s="150"/>
      <c r="F113" s="151"/>
      <c r="G113" s="152"/>
      <c r="H113" s="153"/>
      <c r="I113" s="152"/>
      <c r="J113" s="154"/>
    </row>
    <row r="114" spans="1:10" s="139" customFormat="1" x14ac:dyDescent="0.2">
      <c r="A114" s="97" t="s">
        <v>231</v>
      </c>
      <c r="B114" s="149"/>
      <c r="C114" s="149"/>
      <c r="D114" s="149"/>
      <c r="E114" s="150"/>
      <c r="F114" s="151"/>
      <c r="G114" s="152"/>
      <c r="H114" s="153"/>
      <c r="I114" s="152"/>
      <c r="J114" s="154"/>
    </row>
    <row r="115" spans="1:10" s="139" customFormat="1" x14ac:dyDescent="0.2">
      <c r="A115" s="97" t="s">
        <v>232</v>
      </c>
      <c r="B115" s="149"/>
      <c r="C115" s="149"/>
      <c r="D115" s="149"/>
      <c r="E115" s="150"/>
      <c r="F115" s="151"/>
      <c r="G115" s="152"/>
      <c r="H115" s="153"/>
      <c r="I115" s="152"/>
      <c r="J115" s="154"/>
    </row>
    <row r="116" spans="1:10" s="139" customFormat="1" x14ac:dyDescent="0.2">
      <c r="A116" s="97" t="s">
        <v>233</v>
      </c>
      <c r="B116" s="149"/>
      <c r="C116" s="149"/>
      <c r="D116" s="149"/>
      <c r="E116" s="150"/>
      <c r="F116" s="151"/>
      <c r="G116" s="152"/>
      <c r="H116" s="153"/>
      <c r="I116" s="152"/>
      <c r="J116" s="154"/>
    </row>
    <row r="117" spans="1:10" s="139" customFormat="1" x14ac:dyDescent="0.2">
      <c r="A117" s="97" t="s">
        <v>234</v>
      </c>
      <c r="B117" s="149"/>
      <c r="C117" s="149"/>
      <c r="D117" s="149"/>
      <c r="E117" s="150"/>
      <c r="F117" s="151"/>
      <c r="G117" s="152"/>
      <c r="H117" s="153"/>
      <c r="I117" s="152"/>
      <c r="J117" s="154"/>
    </row>
  </sheetData>
  <mergeCells count="1">
    <mergeCell ref="A5:K5"/>
  </mergeCells>
  <conditionalFormatting sqref="G1:G4 G11:H112 G113:G55647">
    <cfRule type="expression" dxfId="162" priority="40" stopIfTrue="1">
      <formula>LEFT(#REF!,3)="TIR"</formula>
    </cfRule>
  </conditionalFormatting>
  <conditionalFormatting sqref="G6">
    <cfRule type="expression" dxfId="161" priority="43" stopIfTrue="1">
      <formula>LEFT(#REF!,3)="TIR"</formula>
    </cfRule>
  </conditionalFormatting>
  <conditionalFormatting sqref="B10:F20 G10:H10 J10:K112 B21:C21 E21:F21 B22:F112">
    <cfRule type="expression" dxfId="160" priority="44" stopIfTrue="1">
      <formula>LEFT(#REF!,3)="TIR"</formula>
    </cfRule>
  </conditionalFormatting>
  <conditionalFormatting sqref="A10:A112 I10:J112">
    <cfRule type="expression" dxfId="159" priority="47" stopIfTrue="1">
      <formula>#REF!&gt;0</formula>
    </cfRule>
  </conditionalFormatting>
  <conditionalFormatting sqref="A10:A112 I10:K112">
    <cfRule type="expression" dxfId="158" priority="49" stopIfTrue="1">
      <formula>OR(LEFT(#REF!,3)="TIR",LEFT(#REF!,2)="IR")</formula>
    </cfRule>
  </conditionalFormatting>
  <conditionalFormatting sqref="D21">
    <cfRule type="expression" dxfId="157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5"/>
  <sheetViews>
    <sheetView rightToLeft="1" zoomScale="80" zoomScaleNormal="80" workbookViewId="0">
      <selection activeCell="A7" sqref="A7:Q20"/>
    </sheetView>
  </sheetViews>
  <sheetFormatPr defaultRowHeight="12.75" x14ac:dyDescent="0.2"/>
  <cols>
    <col min="1" max="1" width="35.5703125" style="23" bestFit="1" customWidth="1"/>
    <col min="2" max="2" width="13.570312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1.28515625" style="50" customWidth="1"/>
    <col min="9" max="9" width="12.5703125" style="81" customWidth="1"/>
    <col min="10" max="10" width="14.140625" style="83" customWidth="1"/>
    <col min="11" max="11" width="10.5703125" style="83" customWidth="1"/>
    <col min="12" max="12" width="8.85546875" style="83" bestFit="1" customWidth="1"/>
    <col min="13" max="13" width="16.5703125" style="83" customWidth="1"/>
    <col min="14" max="14" width="10.42578125" style="8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3" t="s">
        <v>158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136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9" customFormat="1" ht="12.75" customHeight="1" thickBot="1" x14ac:dyDescent="0.25">
      <c r="A10" s="121" t="s">
        <v>52</v>
      </c>
      <c r="B10" s="86"/>
      <c r="C10" s="86"/>
      <c r="D10" s="122"/>
      <c r="E10" s="122"/>
      <c r="F10" s="122"/>
      <c r="G10" s="122"/>
      <c r="H10" s="122"/>
      <c r="I10" s="86"/>
      <c r="J10" s="86"/>
      <c r="K10" s="125"/>
      <c r="L10" s="122"/>
      <c r="M10" s="122" t="s">
        <v>239</v>
      </c>
      <c r="N10" s="126">
        <v>6.9999999999999997E-7</v>
      </c>
      <c r="O10" s="86"/>
      <c r="P10" s="86">
        <v>1</v>
      </c>
      <c r="Q10" s="101">
        <v>0</v>
      </c>
    </row>
    <row r="11" spans="1:17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2" t="s">
        <v>239</v>
      </c>
      <c r="K11" s="155" t="s">
        <v>239</v>
      </c>
      <c r="L11" s="146" t="s">
        <v>239</v>
      </c>
      <c r="M11" s="146" t="s">
        <v>239</v>
      </c>
      <c r="N11" s="156">
        <v>0</v>
      </c>
      <c r="O11" s="142" t="s">
        <v>239</v>
      </c>
      <c r="P11" s="142">
        <v>0</v>
      </c>
      <c r="Q11" s="142">
        <v>0</v>
      </c>
    </row>
    <row r="12" spans="1:17" s="139" customFormat="1" x14ac:dyDescent="0.2">
      <c r="A12" s="112" t="s">
        <v>365</v>
      </c>
      <c r="B12" s="142" t="s">
        <v>239</v>
      </c>
      <c r="C12" s="142" t="s">
        <v>239</v>
      </c>
      <c r="D12" s="146" t="s">
        <v>239</v>
      </c>
      <c r="E12" s="147" t="s">
        <v>239</v>
      </c>
      <c r="F12" s="147" t="s">
        <v>239</v>
      </c>
      <c r="G12" s="147" t="s">
        <v>239</v>
      </c>
      <c r="H12" s="142" t="s">
        <v>239</v>
      </c>
      <c r="I12" s="145" t="s">
        <v>239</v>
      </c>
      <c r="J12" s="145" t="s">
        <v>239</v>
      </c>
      <c r="K12" s="157" t="s">
        <v>239</v>
      </c>
      <c r="L12" s="147" t="s">
        <v>239</v>
      </c>
      <c r="M12" s="147" t="s">
        <v>239</v>
      </c>
      <c r="N12" s="148">
        <v>0</v>
      </c>
      <c r="O12" s="145" t="s">
        <v>239</v>
      </c>
      <c r="P12" s="142">
        <v>0</v>
      </c>
      <c r="Q12" s="142">
        <v>0</v>
      </c>
    </row>
    <row r="13" spans="1:17" s="139" customFormat="1" x14ac:dyDescent="0.2">
      <c r="A13" s="112" t="s">
        <v>141</v>
      </c>
      <c r="B13" s="142" t="s">
        <v>239</v>
      </c>
      <c r="C13" s="142" t="s">
        <v>239</v>
      </c>
      <c r="D13" s="146" t="s">
        <v>239</v>
      </c>
      <c r="E13" s="147" t="s">
        <v>239</v>
      </c>
      <c r="F13" s="147" t="s">
        <v>239</v>
      </c>
      <c r="G13" s="147" t="s">
        <v>239</v>
      </c>
      <c r="H13" s="142" t="s">
        <v>239</v>
      </c>
      <c r="I13" s="145" t="s">
        <v>239</v>
      </c>
      <c r="J13" s="145" t="s">
        <v>239</v>
      </c>
      <c r="K13" s="157" t="s">
        <v>239</v>
      </c>
      <c r="L13" s="147" t="s">
        <v>239</v>
      </c>
      <c r="M13" s="157" t="s">
        <v>239</v>
      </c>
      <c r="N13" s="148">
        <v>0</v>
      </c>
      <c r="O13" s="145" t="s">
        <v>239</v>
      </c>
      <c r="P13" s="142">
        <v>0</v>
      </c>
      <c r="Q13" s="142">
        <v>0</v>
      </c>
    </row>
    <row r="14" spans="1:17" s="139" customFormat="1" x14ac:dyDescent="0.2">
      <c r="A14" s="112" t="s">
        <v>366</v>
      </c>
      <c r="B14" s="142" t="s">
        <v>239</v>
      </c>
      <c r="C14" s="142" t="s">
        <v>239</v>
      </c>
      <c r="D14" s="146" t="s">
        <v>239</v>
      </c>
      <c r="E14" s="147" t="s">
        <v>239</v>
      </c>
      <c r="F14" s="147" t="s">
        <v>239</v>
      </c>
      <c r="G14" s="147" t="s">
        <v>239</v>
      </c>
      <c r="H14" s="142" t="s">
        <v>239</v>
      </c>
      <c r="I14" s="145" t="s">
        <v>239</v>
      </c>
      <c r="J14" s="145" t="s">
        <v>239</v>
      </c>
      <c r="K14" s="157" t="s">
        <v>239</v>
      </c>
      <c r="L14" s="147" t="s">
        <v>239</v>
      </c>
      <c r="M14" s="147" t="s">
        <v>239</v>
      </c>
      <c r="N14" s="148">
        <v>0</v>
      </c>
      <c r="O14" s="145" t="s">
        <v>239</v>
      </c>
      <c r="P14" s="142">
        <v>0</v>
      </c>
      <c r="Q14" s="142">
        <v>0</v>
      </c>
    </row>
    <row r="15" spans="1:17" s="139" customFormat="1" x14ac:dyDescent="0.2">
      <c r="A15" s="112" t="s">
        <v>367</v>
      </c>
      <c r="B15" s="142" t="s">
        <v>239</v>
      </c>
      <c r="C15" s="142" t="s">
        <v>239</v>
      </c>
      <c r="D15" s="146" t="s">
        <v>239</v>
      </c>
      <c r="E15" s="147" t="s">
        <v>239</v>
      </c>
      <c r="F15" s="147" t="s">
        <v>239</v>
      </c>
      <c r="G15" s="147" t="s">
        <v>239</v>
      </c>
      <c r="H15" s="142" t="s">
        <v>239</v>
      </c>
      <c r="I15" s="145" t="s">
        <v>239</v>
      </c>
      <c r="J15" s="145" t="s">
        <v>239</v>
      </c>
      <c r="K15" s="157" t="s">
        <v>239</v>
      </c>
      <c r="L15" s="147" t="s">
        <v>239</v>
      </c>
      <c r="M15" s="147" t="s">
        <v>239</v>
      </c>
      <c r="N15" s="148">
        <v>0</v>
      </c>
      <c r="O15" s="145" t="s">
        <v>239</v>
      </c>
      <c r="P15" s="142">
        <v>0</v>
      </c>
      <c r="Q15" s="142">
        <v>0</v>
      </c>
    </row>
    <row r="16" spans="1:17" s="139" customFormat="1" x14ac:dyDescent="0.2">
      <c r="A16" s="112" t="s">
        <v>368</v>
      </c>
      <c r="B16" s="142" t="s">
        <v>239</v>
      </c>
      <c r="C16" s="142" t="s">
        <v>239</v>
      </c>
      <c r="D16" s="146" t="s">
        <v>239</v>
      </c>
      <c r="E16" s="147" t="s">
        <v>239</v>
      </c>
      <c r="F16" s="147" t="s">
        <v>239</v>
      </c>
      <c r="G16" s="147" t="s">
        <v>239</v>
      </c>
      <c r="H16" s="142" t="s">
        <v>239</v>
      </c>
      <c r="I16" s="145" t="s">
        <v>239</v>
      </c>
      <c r="J16" s="145" t="s">
        <v>239</v>
      </c>
      <c r="K16" s="157" t="s">
        <v>239</v>
      </c>
      <c r="L16" s="147" t="s">
        <v>239</v>
      </c>
      <c r="M16" s="147" t="s">
        <v>239</v>
      </c>
      <c r="N16" s="148">
        <v>0</v>
      </c>
      <c r="O16" s="145" t="s">
        <v>239</v>
      </c>
      <c r="P16" s="142">
        <v>0</v>
      </c>
      <c r="Q16" s="142">
        <v>0</v>
      </c>
    </row>
    <row r="17" spans="1:17" s="139" customFormat="1" x14ac:dyDescent="0.2">
      <c r="A17" s="112" t="s">
        <v>369</v>
      </c>
      <c r="B17" s="142" t="s">
        <v>239</v>
      </c>
      <c r="C17" s="142" t="s">
        <v>239</v>
      </c>
      <c r="D17" s="146" t="s">
        <v>239</v>
      </c>
      <c r="E17" s="147" t="s">
        <v>239</v>
      </c>
      <c r="F17" s="147" t="s">
        <v>239</v>
      </c>
      <c r="G17" s="147" t="s">
        <v>239</v>
      </c>
      <c r="H17" s="142" t="s">
        <v>239</v>
      </c>
      <c r="I17" s="145" t="s">
        <v>239</v>
      </c>
      <c r="J17" s="145" t="s">
        <v>239</v>
      </c>
      <c r="K17" s="157" t="s">
        <v>239</v>
      </c>
      <c r="L17" s="147" t="s">
        <v>239</v>
      </c>
      <c r="M17" s="147" t="s">
        <v>239</v>
      </c>
      <c r="N17" s="148">
        <v>0</v>
      </c>
      <c r="O17" s="145" t="s">
        <v>239</v>
      </c>
      <c r="P17" s="142">
        <v>0</v>
      </c>
      <c r="Q17" s="142">
        <v>0</v>
      </c>
    </row>
    <row r="18" spans="1:17" s="139" customFormat="1" x14ac:dyDescent="0.2">
      <c r="A18" s="112" t="s">
        <v>370</v>
      </c>
      <c r="B18" s="142" t="s">
        <v>239</v>
      </c>
      <c r="C18" s="142" t="s">
        <v>239</v>
      </c>
      <c r="D18" s="146" t="s">
        <v>239</v>
      </c>
      <c r="E18" s="147" t="s">
        <v>239</v>
      </c>
      <c r="F18" s="147" t="s">
        <v>239</v>
      </c>
      <c r="G18" s="147" t="s">
        <v>239</v>
      </c>
      <c r="H18" s="142" t="s">
        <v>239</v>
      </c>
      <c r="I18" s="145" t="s">
        <v>239</v>
      </c>
      <c r="J18" s="145" t="s">
        <v>239</v>
      </c>
      <c r="K18" s="157" t="s">
        <v>239</v>
      </c>
      <c r="L18" s="147" t="s">
        <v>239</v>
      </c>
      <c r="M18" s="147" t="s">
        <v>239</v>
      </c>
      <c r="N18" s="148">
        <v>0</v>
      </c>
      <c r="O18" s="145" t="s">
        <v>239</v>
      </c>
      <c r="P18" s="142">
        <v>0</v>
      </c>
      <c r="Q18" s="142">
        <v>0</v>
      </c>
    </row>
    <row r="19" spans="1:17" s="139" customFormat="1" x14ac:dyDescent="0.2">
      <c r="A19" s="112" t="s">
        <v>371</v>
      </c>
      <c r="B19" s="142" t="s">
        <v>239</v>
      </c>
      <c r="C19" s="142" t="s">
        <v>239</v>
      </c>
      <c r="D19" s="146" t="s">
        <v>239</v>
      </c>
      <c r="E19" s="147" t="s">
        <v>239</v>
      </c>
      <c r="F19" s="147" t="s">
        <v>239</v>
      </c>
      <c r="G19" s="147" t="s">
        <v>239</v>
      </c>
      <c r="H19" s="142" t="s">
        <v>239</v>
      </c>
      <c r="I19" s="145" t="s">
        <v>239</v>
      </c>
      <c r="J19" s="145" t="s">
        <v>239</v>
      </c>
      <c r="K19" s="157" t="s">
        <v>239</v>
      </c>
      <c r="L19" s="147" t="s">
        <v>239</v>
      </c>
      <c r="M19" s="147" t="s">
        <v>239</v>
      </c>
      <c r="N19" s="148">
        <v>0</v>
      </c>
      <c r="O19" s="145" t="s">
        <v>239</v>
      </c>
      <c r="P19" s="142">
        <v>0</v>
      </c>
      <c r="Q19" s="142">
        <v>0</v>
      </c>
    </row>
    <row r="20" spans="1:17" s="139" customFormat="1" x14ac:dyDescent="0.2">
      <c r="A20" s="234" t="s">
        <v>372</v>
      </c>
      <c r="B20" s="235" t="s">
        <v>239</v>
      </c>
      <c r="C20" s="235" t="s">
        <v>239</v>
      </c>
      <c r="D20" s="236" t="s">
        <v>239</v>
      </c>
      <c r="E20" s="237" t="s">
        <v>239</v>
      </c>
      <c r="F20" s="237" t="s">
        <v>239</v>
      </c>
      <c r="G20" s="237" t="s">
        <v>239</v>
      </c>
      <c r="H20" s="235" t="s">
        <v>239</v>
      </c>
      <c r="I20" s="238" t="s">
        <v>239</v>
      </c>
      <c r="J20" s="238" t="s">
        <v>239</v>
      </c>
      <c r="K20" s="239" t="s">
        <v>239</v>
      </c>
      <c r="L20" s="237" t="s">
        <v>239</v>
      </c>
      <c r="M20" s="237" t="s">
        <v>239</v>
      </c>
      <c r="N20" s="240">
        <v>0</v>
      </c>
      <c r="O20" s="238" t="s">
        <v>239</v>
      </c>
      <c r="P20" s="235">
        <v>0</v>
      </c>
      <c r="Q20" s="235">
        <v>0</v>
      </c>
    </row>
    <row r="21" spans="1:17" s="139" customFormat="1" x14ac:dyDescent="0.2">
      <c r="A21" s="97" t="s">
        <v>230</v>
      </c>
      <c r="B21" s="149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2"/>
      <c r="P21" s="152"/>
      <c r="Q21" s="158"/>
    </row>
    <row r="22" spans="1:17" s="139" customFormat="1" x14ac:dyDescent="0.2">
      <c r="A22" s="97" t="s">
        <v>231</v>
      </c>
      <c r="B22" s="149"/>
      <c r="C22" s="149"/>
      <c r="D22" s="149"/>
      <c r="E22" s="150"/>
      <c r="F22" s="150"/>
      <c r="G22" s="150"/>
      <c r="H22" s="151"/>
      <c r="I22" s="152"/>
      <c r="J22" s="153"/>
      <c r="K22" s="153"/>
      <c r="L22" s="153"/>
      <c r="M22" s="153"/>
      <c r="N22" s="152"/>
      <c r="O22" s="152"/>
      <c r="P22" s="152"/>
      <c r="Q22" s="158"/>
    </row>
    <row r="23" spans="1:17" s="139" customFormat="1" x14ac:dyDescent="0.2">
      <c r="A23" s="97" t="s">
        <v>232</v>
      </c>
      <c r="B23" s="149"/>
      <c r="C23" s="149"/>
      <c r="D23" s="149"/>
      <c r="E23" s="150"/>
      <c r="F23" s="150"/>
      <c r="G23" s="150"/>
      <c r="H23" s="151"/>
      <c r="I23" s="152"/>
      <c r="J23" s="153"/>
      <c r="K23" s="153"/>
      <c r="L23" s="153"/>
      <c r="M23" s="153"/>
      <c r="N23" s="152"/>
      <c r="O23" s="152"/>
      <c r="P23" s="152"/>
      <c r="Q23" s="158"/>
    </row>
    <row r="24" spans="1:17" s="139" customFormat="1" x14ac:dyDescent="0.2">
      <c r="A24" s="97" t="s">
        <v>233</v>
      </c>
      <c r="B24" s="149"/>
      <c r="C24" s="149"/>
      <c r="D24" s="149"/>
      <c r="E24" s="150"/>
      <c r="F24" s="150"/>
      <c r="G24" s="150"/>
      <c r="H24" s="151"/>
      <c r="I24" s="152"/>
      <c r="J24" s="153"/>
      <c r="K24" s="153"/>
      <c r="L24" s="153"/>
      <c r="M24" s="153"/>
      <c r="N24" s="152"/>
      <c r="O24" s="152"/>
      <c r="P24" s="152"/>
      <c r="Q24" s="158"/>
    </row>
    <row r="25" spans="1:17" s="139" customFormat="1" x14ac:dyDescent="0.2">
      <c r="A25" s="97" t="s">
        <v>234</v>
      </c>
      <c r="B25" s="149"/>
      <c r="C25" s="149"/>
      <c r="D25" s="149"/>
      <c r="E25" s="150"/>
      <c r="F25" s="150"/>
      <c r="G25" s="150"/>
      <c r="H25" s="151"/>
      <c r="I25" s="152"/>
      <c r="J25" s="153"/>
      <c r="K25" s="153"/>
      <c r="L25" s="153"/>
      <c r="M25" s="153"/>
      <c r="N25" s="152"/>
      <c r="O25" s="152"/>
      <c r="P25" s="152"/>
      <c r="Q25" s="158"/>
    </row>
  </sheetData>
  <mergeCells count="2">
    <mergeCell ref="A6:Q6"/>
    <mergeCell ref="A5:Q5"/>
  </mergeCells>
  <conditionalFormatting sqref="I1:I4 G10 I10:M10 O10:O20 K11:M11 G12:G20 I12:M20 I21:I55555">
    <cfRule type="expression" dxfId="156" priority="68" stopIfTrue="1">
      <formula>LEFT(#REF!,3)="TIR"</formula>
    </cfRule>
  </conditionalFormatting>
  <conditionalFormatting sqref="I7">
    <cfRule type="expression" dxfId="155" priority="76" stopIfTrue="1">
      <formula>LEFT(#REF!,3)="TIR"</formula>
    </cfRule>
  </conditionalFormatting>
  <conditionalFormatting sqref="B10:F10 H10 P10:Q20 D12:F20">
    <cfRule type="expression" dxfId="154" priority="77" stopIfTrue="1">
      <formula>OR(LEFT(#REF!,3)="TIR",LEFT(#REF!,2)="IR")</formula>
    </cfRule>
  </conditionalFormatting>
  <conditionalFormatting sqref="A10:A20 N10:N20">
    <cfRule type="expression" dxfId="153" priority="81" stopIfTrue="1">
      <formula>#REF!&gt;0</formula>
    </cfRule>
    <cfRule type="expression" dxfId="152" priority="82" stopIfTrue="1">
      <formula>LEFT(#REF!,3)="TIR"</formula>
    </cfRule>
  </conditionalFormatting>
  <conditionalFormatting sqref="F12:F20">
    <cfRule type="expression" dxfId="151" priority="85" stopIfTrue="1">
      <formula>LEFT(#REF!,3)="TIR"</formula>
    </cfRule>
  </conditionalFormatting>
  <conditionalFormatting sqref="B11:C20 D11:J11 H12:H20">
    <cfRule type="expression" dxfId="15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158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136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59"/>
      <c r="H10" s="159" t="s">
        <v>239</v>
      </c>
      <c r="I10" s="159" t="s">
        <v>239</v>
      </c>
      <c r="J10" s="159" t="s">
        <v>239</v>
      </c>
      <c r="K10" s="159" t="s">
        <v>239</v>
      </c>
      <c r="L10" s="160" t="s">
        <v>239</v>
      </c>
      <c r="M10" s="160" t="s">
        <v>239</v>
      </c>
      <c r="N10" s="161" t="s">
        <v>239</v>
      </c>
      <c r="O10" s="159"/>
      <c r="P10" s="159" t="s">
        <v>239</v>
      </c>
      <c r="Q10" s="124">
        <v>4.9999999999999998E-7</v>
      </c>
      <c r="R10" s="86" t="s">
        <v>239</v>
      </c>
      <c r="S10" s="86">
        <v>1</v>
      </c>
      <c r="T10" s="101">
        <v>0</v>
      </c>
    </row>
    <row r="11" spans="1:20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2" t="s">
        <v>239</v>
      </c>
      <c r="K11" s="142" t="s">
        <v>239</v>
      </c>
      <c r="L11" s="142" t="s">
        <v>239</v>
      </c>
      <c r="M11" s="142" t="s">
        <v>239</v>
      </c>
      <c r="N11" s="162" t="s">
        <v>239</v>
      </c>
      <c r="O11" s="163" t="s">
        <v>239</v>
      </c>
      <c r="P11" s="163" t="s">
        <v>239</v>
      </c>
      <c r="Q11" s="143">
        <v>0</v>
      </c>
      <c r="R11" s="142" t="s">
        <v>239</v>
      </c>
      <c r="S11" s="142">
        <v>0</v>
      </c>
      <c r="T11" s="142">
        <v>0</v>
      </c>
    </row>
    <row r="12" spans="1:20" s="139" customFormat="1" x14ac:dyDescent="0.2">
      <c r="A12" s="112" t="s">
        <v>140</v>
      </c>
      <c r="B12" s="142" t="s">
        <v>239</v>
      </c>
      <c r="C12" s="145" t="s">
        <v>239</v>
      </c>
      <c r="D12" s="145" t="s">
        <v>239</v>
      </c>
      <c r="E12" s="145" t="s">
        <v>239</v>
      </c>
      <c r="F12" s="142" t="s">
        <v>239</v>
      </c>
      <c r="G12" s="142" t="s">
        <v>239</v>
      </c>
      <c r="H12" s="142" t="s">
        <v>239</v>
      </c>
      <c r="I12" s="142" t="s">
        <v>239</v>
      </c>
      <c r="J12" s="142" t="s">
        <v>239</v>
      </c>
      <c r="K12" s="142" t="s">
        <v>239</v>
      </c>
      <c r="L12" s="142" t="s">
        <v>239</v>
      </c>
      <c r="M12" s="142" t="s">
        <v>239</v>
      </c>
      <c r="N12" s="164" t="s">
        <v>239</v>
      </c>
      <c r="O12" s="165" t="s">
        <v>239</v>
      </c>
      <c r="P12" s="165" t="s">
        <v>239</v>
      </c>
      <c r="Q12" s="148">
        <v>0</v>
      </c>
      <c r="R12" s="145" t="s">
        <v>239</v>
      </c>
      <c r="S12" s="145">
        <v>0</v>
      </c>
      <c r="T12" s="142">
        <v>0</v>
      </c>
    </row>
    <row r="13" spans="1:20" s="139" customFormat="1" x14ac:dyDescent="0.2">
      <c r="A13" s="112" t="s">
        <v>141</v>
      </c>
      <c r="B13" s="142" t="s">
        <v>239</v>
      </c>
      <c r="C13" s="145" t="s">
        <v>239</v>
      </c>
      <c r="D13" s="145" t="s">
        <v>239</v>
      </c>
      <c r="E13" s="145" t="s">
        <v>239</v>
      </c>
      <c r="F13" s="142" t="s">
        <v>239</v>
      </c>
      <c r="G13" s="142" t="s">
        <v>239</v>
      </c>
      <c r="H13" s="142" t="s">
        <v>239</v>
      </c>
      <c r="I13" s="142" t="s">
        <v>239</v>
      </c>
      <c r="J13" s="142" t="s">
        <v>239</v>
      </c>
      <c r="K13" s="142" t="s">
        <v>239</v>
      </c>
      <c r="L13" s="142" t="s">
        <v>239</v>
      </c>
      <c r="M13" s="142" t="s">
        <v>239</v>
      </c>
      <c r="N13" s="164" t="s">
        <v>239</v>
      </c>
      <c r="O13" s="165" t="s">
        <v>239</v>
      </c>
      <c r="P13" s="165" t="s">
        <v>239</v>
      </c>
      <c r="Q13" s="148">
        <v>0</v>
      </c>
      <c r="R13" s="145" t="s">
        <v>239</v>
      </c>
      <c r="S13" s="145">
        <v>0</v>
      </c>
      <c r="T13" s="142">
        <v>0</v>
      </c>
    </row>
    <row r="14" spans="1:20" s="139" customFormat="1" x14ac:dyDescent="0.2">
      <c r="A14" s="112" t="s">
        <v>373</v>
      </c>
      <c r="B14" s="142" t="s">
        <v>239</v>
      </c>
      <c r="C14" s="145" t="s">
        <v>239</v>
      </c>
      <c r="D14" s="145" t="s">
        <v>239</v>
      </c>
      <c r="E14" s="145" t="s">
        <v>239</v>
      </c>
      <c r="F14" s="142" t="s">
        <v>239</v>
      </c>
      <c r="G14" s="142" t="s">
        <v>239</v>
      </c>
      <c r="H14" s="142" t="s">
        <v>239</v>
      </c>
      <c r="I14" s="142" t="s">
        <v>239</v>
      </c>
      <c r="J14" s="142" t="s">
        <v>239</v>
      </c>
      <c r="K14" s="142" t="s">
        <v>239</v>
      </c>
      <c r="L14" s="142" t="s">
        <v>239</v>
      </c>
      <c r="M14" s="142" t="s">
        <v>239</v>
      </c>
      <c r="N14" s="164" t="s">
        <v>239</v>
      </c>
      <c r="O14" s="165" t="s">
        <v>239</v>
      </c>
      <c r="P14" s="165" t="s">
        <v>239</v>
      </c>
      <c r="Q14" s="148">
        <v>0</v>
      </c>
      <c r="R14" s="145" t="s">
        <v>239</v>
      </c>
      <c r="S14" s="145">
        <v>0</v>
      </c>
      <c r="T14" s="142">
        <v>0</v>
      </c>
    </row>
    <row r="15" spans="1:20" s="139" customFormat="1" x14ac:dyDescent="0.2">
      <c r="A15" s="112" t="s">
        <v>374</v>
      </c>
      <c r="B15" s="142" t="s">
        <v>239</v>
      </c>
      <c r="C15" s="145" t="s">
        <v>239</v>
      </c>
      <c r="D15" s="145" t="s">
        <v>239</v>
      </c>
      <c r="E15" s="145" t="s">
        <v>239</v>
      </c>
      <c r="F15" s="142" t="s">
        <v>239</v>
      </c>
      <c r="G15" s="142" t="s">
        <v>239</v>
      </c>
      <c r="H15" s="142" t="s">
        <v>239</v>
      </c>
      <c r="I15" s="142" t="s">
        <v>239</v>
      </c>
      <c r="J15" s="142" t="s">
        <v>239</v>
      </c>
      <c r="K15" s="142" t="s">
        <v>239</v>
      </c>
      <c r="L15" s="142" t="s">
        <v>239</v>
      </c>
      <c r="M15" s="142" t="s">
        <v>239</v>
      </c>
      <c r="N15" s="164" t="s">
        <v>239</v>
      </c>
      <c r="O15" s="165" t="s">
        <v>239</v>
      </c>
      <c r="P15" s="165" t="s">
        <v>239</v>
      </c>
      <c r="Q15" s="148">
        <v>0</v>
      </c>
      <c r="R15" s="145" t="s">
        <v>239</v>
      </c>
      <c r="S15" s="145">
        <v>0</v>
      </c>
      <c r="T15" s="142">
        <v>0</v>
      </c>
    </row>
    <row r="16" spans="1:20" s="139" customFormat="1" x14ac:dyDescent="0.2">
      <c r="A16" s="112" t="s">
        <v>145</v>
      </c>
      <c r="B16" s="142" t="s">
        <v>239</v>
      </c>
      <c r="C16" s="145" t="s">
        <v>239</v>
      </c>
      <c r="D16" s="145" t="s">
        <v>239</v>
      </c>
      <c r="E16" s="145" t="s">
        <v>239</v>
      </c>
      <c r="F16" s="142" t="s">
        <v>239</v>
      </c>
      <c r="G16" s="142" t="s">
        <v>239</v>
      </c>
      <c r="H16" s="142" t="s">
        <v>239</v>
      </c>
      <c r="I16" s="142" t="s">
        <v>239</v>
      </c>
      <c r="J16" s="142" t="s">
        <v>239</v>
      </c>
      <c r="K16" s="142" t="s">
        <v>239</v>
      </c>
      <c r="L16" s="142" t="s">
        <v>239</v>
      </c>
      <c r="M16" s="142" t="s">
        <v>239</v>
      </c>
      <c r="N16" s="164" t="s">
        <v>239</v>
      </c>
      <c r="O16" s="165" t="s">
        <v>239</v>
      </c>
      <c r="P16" s="165" t="s">
        <v>239</v>
      </c>
      <c r="Q16" s="148">
        <v>0</v>
      </c>
      <c r="R16" s="145" t="s">
        <v>239</v>
      </c>
      <c r="S16" s="145">
        <v>0</v>
      </c>
      <c r="T16" s="142">
        <v>0</v>
      </c>
    </row>
    <row r="17" spans="1:20" s="139" customFormat="1" x14ac:dyDescent="0.2">
      <c r="A17" s="234" t="s">
        <v>146</v>
      </c>
      <c r="B17" s="235" t="s">
        <v>239</v>
      </c>
      <c r="C17" s="238" t="s">
        <v>239</v>
      </c>
      <c r="D17" s="238" t="s">
        <v>239</v>
      </c>
      <c r="E17" s="238" t="s">
        <v>239</v>
      </c>
      <c r="F17" s="235" t="s">
        <v>239</v>
      </c>
      <c r="G17" s="235" t="s">
        <v>239</v>
      </c>
      <c r="H17" s="235" t="s">
        <v>239</v>
      </c>
      <c r="I17" s="235" t="s">
        <v>239</v>
      </c>
      <c r="J17" s="235" t="s">
        <v>239</v>
      </c>
      <c r="K17" s="235" t="s">
        <v>239</v>
      </c>
      <c r="L17" s="235" t="s">
        <v>239</v>
      </c>
      <c r="M17" s="235" t="s">
        <v>239</v>
      </c>
      <c r="N17" s="241" t="s">
        <v>239</v>
      </c>
      <c r="O17" s="242" t="s">
        <v>239</v>
      </c>
      <c r="P17" s="242" t="s">
        <v>239</v>
      </c>
      <c r="Q17" s="240">
        <v>0</v>
      </c>
      <c r="R17" s="238" t="s">
        <v>239</v>
      </c>
      <c r="S17" s="238">
        <v>0</v>
      </c>
      <c r="T17" s="235">
        <v>0</v>
      </c>
    </row>
    <row r="18" spans="1:20" s="139" customFormat="1" x14ac:dyDescent="0.2">
      <c r="A18" s="97" t="s">
        <v>230</v>
      </c>
      <c r="B18" s="149"/>
      <c r="C18" s="149"/>
      <c r="D18" s="149"/>
      <c r="E18" s="149"/>
      <c r="F18" s="97"/>
      <c r="G18" s="166"/>
      <c r="H18" s="166"/>
      <c r="I18" s="166"/>
      <c r="J18" s="167"/>
      <c r="K18" s="154"/>
      <c r="L18" s="168"/>
      <c r="M18" s="168"/>
      <c r="N18" s="168"/>
      <c r="O18" s="154"/>
      <c r="P18" s="154"/>
      <c r="Q18" s="154"/>
    </row>
    <row r="19" spans="1:20" s="139" customFormat="1" x14ac:dyDescent="0.2">
      <c r="A19" s="97" t="s">
        <v>231</v>
      </c>
      <c r="B19" s="149"/>
      <c r="C19" s="149"/>
      <c r="D19" s="149"/>
      <c r="E19" s="149"/>
      <c r="F19" s="97"/>
      <c r="G19" s="166"/>
      <c r="H19" s="166"/>
      <c r="I19" s="166"/>
      <c r="J19" s="167"/>
      <c r="K19" s="154"/>
      <c r="L19" s="168"/>
      <c r="M19" s="168"/>
      <c r="N19" s="168"/>
      <c r="O19" s="154"/>
      <c r="P19" s="154"/>
      <c r="Q19" s="154"/>
    </row>
    <row r="20" spans="1:20" s="139" customFormat="1" x14ac:dyDescent="0.2">
      <c r="A20" s="97" t="s">
        <v>232</v>
      </c>
      <c r="B20" s="149"/>
      <c r="C20" s="149"/>
      <c r="D20" s="149"/>
      <c r="E20" s="149"/>
      <c r="F20" s="97"/>
      <c r="G20" s="166"/>
      <c r="H20" s="166"/>
      <c r="I20" s="166"/>
      <c r="J20" s="167"/>
      <c r="K20" s="154"/>
      <c r="L20" s="168"/>
      <c r="M20" s="168"/>
      <c r="N20" s="168"/>
      <c r="O20" s="154"/>
      <c r="P20" s="154"/>
      <c r="Q20" s="154"/>
    </row>
    <row r="21" spans="1:20" s="139" customFormat="1" x14ac:dyDescent="0.2">
      <c r="A21" s="97" t="s">
        <v>233</v>
      </c>
      <c r="B21" s="149"/>
      <c r="C21" s="149"/>
      <c r="D21" s="149"/>
      <c r="E21" s="149"/>
      <c r="F21" s="97"/>
      <c r="G21" s="166"/>
      <c r="H21" s="166"/>
      <c r="I21" s="166"/>
      <c r="J21" s="167"/>
      <c r="K21" s="154"/>
      <c r="L21" s="168"/>
      <c r="M21" s="168"/>
      <c r="N21" s="168"/>
      <c r="O21" s="154"/>
      <c r="P21" s="154"/>
      <c r="Q21" s="154"/>
    </row>
    <row r="22" spans="1:20" s="139" customFormat="1" x14ac:dyDescent="0.2">
      <c r="A22" s="97" t="s">
        <v>234</v>
      </c>
      <c r="B22" s="149"/>
      <c r="C22" s="149"/>
      <c r="D22" s="149"/>
      <c r="E22" s="149"/>
      <c r="F22" s="97"/>
      <c r="G22" s="166"/>
      <c r="H22" s="166"/>
      <c r="I22" s="166"/>
      <c r="J22" s="167"/>
      <c r="K22" s="154"/>
      <c r="L22" s="168"/>
      <c r="M22" s="168"/>
      <c r="N22" s="168"/>
      <c r="O22" s="154"/>
      <c r="P22" s="154"/>
      <c r="Q22" s="154"/>
    </row>
  </sheetData>
  <mergeCells count="2">
    <mergeCell ref="A6:T6"/>
    <mergeCell ref="A5:T5"/>
  </mergeCells>
  <conditionalFormatting sqref="K1:K4 J10 L10:P10 R10:R17 N11:P17 K18:K55552">
    <cfRule type="expression" dxfId="149" priority="104" stopIfTrue="1">
      <formula>LEFT(#REF!,3)="TIR"</formula>
    </cfRule>
  </conditionalFormatting>
  <conditionalFormatting sqref="L7">
    <cfRule type="expression" dxfId="148" priority="110" stopIfTrue="1">
      <formula>LEFT(#REF!,3)="TIR"</formula>
    </cfRule>
  </conditionalFormatting>
  <conditionalFormatting sqref="B10:I17 K10 J11:M17">
    <cfRule type="expression" dxfId="147" priority="111" stopIfTrue="1">
      <formula>LEFT(#REF!,3)="TIR"</formula>
    </cfRule>
  </conditionalFormatting>
  <conditionalFormatting sqref="A10:A17 Q10:Q17">
    <cfRule type="expression" dxfId="146" priority="114" stopIfTrue="1">
      <formula>#REF!&gt;0</formula>
    </cfRule>
    <cfRule type="expression" dxfId="145" priority="115" stopIfTrue="1">
      <formula>LEFT(#REF!,3)="TIR"</formula>
    </cfRule>
  </conditionalFormatting>
  <conditionalFormatting sqref="S10:T17">
    <cfRule type="expression" dxfId="14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8"/>
  <sheetViews>
    <sheetView rightToLeft="1" zoomScale="80" zoomScaleNormal="80" workbookViewId="0">
      <selection activeCell="A7" sqref="A7:T23"/>
    </sheetView>
  </sheetViews>
  <sheetFormatPr defaultRowHeight="12.75" x14ac:dyDescent="0.2"/>
  <cols>
    <col min="1" max="1" width="25" style="23" bestFit="1" customWidth="1"/>
    <col min="2" max="2" width="15.855468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9.8554687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" style="81" bestFit="1" customWidth="1"/>
    <col min="12" max="12" width="12.5703125" style="83" customWidth="1"/>
    <col min="13" max="13" width="14.140625" style="83" customWidth="1"/>
    <col min="14" max="14" width="10.85546875" style="83" bestFit="1" customWidth="1"/>
    <col min="15" max="15" width="8.85546875" style="81" bestFit="1" customWidth="1"/>
    <col min="16" max="16" width="16.5703125" style="81" bestFit="1" customWidth="1"/>
    <col min="17" max="17" width="10.42578125" style="8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158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136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53</v>
      </c>
      <c r="B10" s="86"/>
      <c r="C10" s="86"/>
      <c r="D10" s="86"/>
      <c r="E10" s="86"/>
      <c r="F10" s="86"/>
      <c r="G10" s="122"/>
      <c r="H10" s="122"/>
      <c r="I10" s="122"/>
      <c r="J10" s="122"/>
      <c r="K10" s="122"/>
      <c r="L10" s="86"/>
      <c r="M10" s="86"/>
      <c r="N10" s="125"/>
      <c r="O10" s="122"/>
      <c r="P10" s="124" t="s">
        <v>239</v>
      </c>
      <c r="Q10" s="126">
        <v>1657.4759773966148</v>
      </c>
      <c r="R10" s="86" t="s">
        <v>239</v>
      </c>
      <c r="S10" s="86">
        <v>1</v>
      </c>
      <c r="T10" s="101">
        <v>5.1048611027497701E-3</v>
      </c>
    </row>
    <row r="11" spans="1:20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6" t="s">
        <v>239</v>
      </c>
      <c r="K11" s="146" t="s">
        <v>239</v>
      </c>
      <c r="L11" s="142" t="s">
        <v>239</v>
      </c>
      <c r="M11" s="142" t="s">
        <v>239</v>
      </c>
      <c r="N11" s="155" t="s">
        <v>239</v>
      </c>
      <c r="O11" s="146" t="s">
        <v>239</v>
      </c>
      <c r="P11" s="143" t="s">
        <v>239</v>
      </c>
      <c r="Q11" s="156">
        <v>608.07447998159068</v>
      </c>
      <c r="R11" s="142" t="s">
        <v>239</v>
      </c>
      <c r="S11" s="142">
        <v>0.36686774847662568</v>
      </c>
      <c r="T11" s="142">
        <v>1.872808899051713E-3</v>
      </c>
    </row>
    <row r="12" spans="1:20" s="139" customFormat="1" x14ac:dyDescent="0.2">
      <c r="A12" s="112" t="s">
        <v>140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42" t="s">
        <v>239</v>
      </c>
      <c r="J12" s="146" t="s">
        <v>239</v>
      </c>
      <c r="K12" s="146" t="s">
        <v>239</v>
      </c>
      <c r="L12" s="142" t="s">
        <v>239</v>
      </c>
      <c r="M12" s="142" t="s">
        <v>239</v>
      </c>
      <c r="N12" s="155" t="s">
        <v>239</v>
      </c>
      <c r="O12" s="147" t="s">
        <v>239</v>
      </c>
      <c r="P12" s="148" t="s">
        <v>239</v>
      </c>
      <c r="Q12" s="148">
        <v>0</v>
      </c>
      <c r="R12" s="145" t="s">
        <v>239</v>
      </c>
      <c r="S12" s="145">
        <v>0</v>
      </c>
      <c r="T12" s="145">
        <v>0</v>
      </c>
    </row>
    <row r="13" spans="1:20" s="139" customFormat="1" x14ac:dyDescent="0.2">
      <c r="A13" s="112" t="s">
        <v>141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2" t="s">
        <v>239</v>
      </c>
      <c r="H13" s="142" t="s">
        <v>239</v>
      </c>
      <c r="I13" s="142" t="s">
        <v>239</v>
      </c>
      <c r="J13" s="146" t="s">
        <v>239</v>
      </c>
      <c r="K13" s="146" t="s">
        <v>239</v>
      </c>
      <c r="L13" s="142" t="s">
        <v>239</v>
      </c>
      <c r="M13" s="142" t="s">
        <v>239</v>
      </c>
      <c r="N13" s="155" t="s">
        <v>239</v>
      </c>
      <c r="O13" s="147" t="s">
        <v>239</v>
      </c>
      <c r="P13" s="148" t="s">
        <v>239</v>
      </c>
      <c r="Q13" s="148">
        <v>608.07447968159067</v>
      </c>
      <c r="R13" s="145" t="s">
        <v>239</v>
      </c>
      <c r="S13" s="145">
        <v>0.36686774829562763</v>
      </c>
      <c r="T13" s="145">
        <v>1.8728088981277429E-3</v>
      </c>
    </row>
    <row r="14" spans="1:20" x14ac:dyDescent="0.2">
      <c r="A14" s="30" t="s">
        <v>382</v>
      </c>
      <c r="B14" s="46" t="s">
        <v>383</v>
      </c>
      <c r="C14" s="46" t="s">
        <v>377</v>
      </c>
      <c r="D14" s="46" t="s">
        <v>239</v>
      </c>
      <c r="E14" s="46" t="s">
        <v>384</v>
      </c>
      <c r="F14" s="46" t="s">
        <v>199</v>
      </c>
      <c r="G14" s="46" t="s">
        <v>385</v>
      </c>
      <c r="H14" s="46" t="s">
        <v>386</v>
      </c>
      <c r="I14" s="46" t="s">
        <v>387</v>
      </c>
      <c r="J14" s="85">
        <v>6.78</v>
      </c>
      <c r="K14" s="85" t="s">
        <v>246</v>
      </c>
      <c r="L14" s="46">
        <v>2.5000000000000001E-3</v>
      </c>
      <c r="M14" s="46">
        <v>6.0999999999999995E-3</v>
      </c>
      <c r="N14" s="120">
        <v>619272.29465326911</v>
      </c>
      <c r="O14" s="80">
        <v>97.6</v>
      </c>
      <c r="P14" s="104">
        <v>0</v>
      </c>
      <c r="Q14" s="104">
        <v>604.40975958159061</v>
      </c>
      <c r="R14" s="38">
        <v>1.2385445893065383E-3</v>
      </c>
      <c r="S14" s="38">
        <v>0.36465672373178676</v>
      </c>
      <c r="T14" s="38">
        <v>1.8615219248345673E-3</v>
      </c>
    </row>
    <row r="15" spans="1:20" x14ac:dyDescent="0.2">
      <c r="A15" s="30" t="s">
        <v>375</v>
      </c>
      <c r="B15" s="46" t="s">
        <v>376</v>
      </c>
      <c r="C15" s="46" t="s">
        <v>377</v>
      </c>
      <c r="D15" s="46" t="s">
        <v>239</v>
      </c>
      <c r="E15" s="46" t="s">
        <v>378</v>
      </c>
      <c r="F15" s="46" t="s">
        <v>379</v>
      </c>
      <c r="G15" s="46" t="s">
        <v>380</v>
      </c>
      <c r="H15" s="46" t="s">
        <v>239</v>
      </c>
      <c r="I15" s="46" t="s">
        <v>381</v>
      </c>
      <c r="J15" s="85">
        <v>2.82</v>
      </c>
      <c r="K15" s="85" t="s">
        <v>246</v>
      </c>
      <c r="L15" s="46">
        <v>7.2000000000000008E-2</v>
      </c>
      <c r="M15" s="46">
        <v>0.45</v>
      </c>
      <c r="N15" s="120">
        <v>45132.05</v>
      </c>
      <c r="O15" s="80">
        <v>8.1199999999999992</v>
      </c>
      <c r="P15" s="104">
        <v>0</v>
      </c>
      <c r="Q15" s="104">
        <v>3.66472</v>
      </c>
      <c r="R15" s="38">
        <v>7.7305105620766954E-5</v>
      </c>
      <c r="S15" s="38">
        <v>2.2110245035081282E-3</v>
      </c>
      <c r="T15" s="38">
        <v>1.1286972985185267E-5</v>
      </c>
    </row>
    <row r="16" spans="1:20" s="139" customFormat="1" x14ac:dyDescent="0.2">
      <c r="A16" s="112" t="s">
        <v>373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2" t="s">
        <v>239</v>
      </c>
      <c r="I16" s="142" t="s">
        <v>239</v>
      </c>
      <c r="J16" s="146" t="s">
        <v>239</v>
      </c>
      <c r="K16" s="146" t="s">
        <v>239</v>
      </c>
      <c r="L16" s="142" t="s">
        <v>239</v>
      </c>
      <c r="M16" s="142" t="s">
        <v>239</v>
      </c>
      <c r="N16" s="155" t="s">
        <v>239</v>
      </c>
      <c r="O16" s="147" t="s">
        <v>239</v>
      </c>
      <c r="P16" s="148" t="s">
        <v>239</v>
      </c>
      <c r="Q16" s="148">
        <v>0</v>
      </c>
      <c r="R16" s="145" t="s">
        <v>239</v>
      </c>
      <c r="S16" s="145">
        <v>0</v>
      </c>
      <c r="T16" s="145">
        <v>0</v>
      </c>
    </row>
    <row r="17" spans="1:20" s="139" customFormat="1" x14ac:dyDescent="0.2">
      <c r="A17" s="112" t="s">
        <v>388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42" t="s">
        <v>239</v>
      </c>
      <c r="J17" s="146" t="s">
        <v>239</v>
      </c>
      <c r="K17" s="146" t="s">
        <v>239</v>
      </c>
      <c r="L17" s="142" t="s">
        <v>239</v>
      </c>
      <c r="M17" s="142" t="s">
        <v>239</v>
      </c>
      <c r="N17" s="155" t="s">
        <v>239</v>
      </c>
      <c r="O17" s="147" t="s">
        <v>239</v>
      </c>
      <c r="P17" s="148" t="s">
        <v>239</v>
      </c>
      <c r="Q17" s="148">
        <v>0</v>
      </c>
      <c r="R17" s="145" t="s">
        <v>239</v>
      </c>
      <c r="S17" s="145">
        <v>0</v>
      </c>
      <c r="T17" s="145">
        <v>0</v>
      </c>
    </row>
    <row r="18" spans="1:20" s="139" customFormat="1" x14ac:dyDescent="0.2">
      <c r="A18" s="112" t="s">
        <v>370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2" t="s">
        <v>239</v>
      </c>
      <c r="H18" s="142" t="s">
        <v>239</v>
      </c>
      <c r="I18" s="142" t="s">
        <v>239</v>
      </c>
      <c r="J18" s="146" t="s">
        <v>239</v>
      </c>
      <c r="K18" s="146" t="s">
        <v>239</v>
      </c>
      <c r="L18" s="142" t="s">
        <v>239</v>
      </c>
      <c r="M18" s="142" t="s">
        <v>239</v>
      </c>
      <c r="N18" s="155" t="s">
        <v>239</v>
      </c>
      <c r="O18" s="147" t="s">
        <v>239</v>
      </c>
      <c r="P18" s="148" t="s">
        <v>239</v>
      </c>
      <c r="Q18" s="148">
        <v>1049.4014974150243</v>
      </c>
      <c r="R18" s="145" t="s">
        <v>239</v>
      </c>
      <c r="S18" s="145">
        <v>0.63313225152337438</v>
      </c>
      <c r="T18" s="145">
        <v>3.232052203698058E-3</v>
      </c>
    </row>
    <row r="19" spans="1:20" s="139" customFormat="1" x14ac:dyDescent="0.2">
      <c r="A19" s="112" t="s">
        <v>145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2" t="s">
        <v>239</v>
      </c>
      <c r="H19" s="142" t="s">
        <v>239</v>
      </c>
      <c r="I19" s="142" t="s">
        <v>239</v>
      </c>
      <c r="J19" s="146" t="s">
        <v>239</v>
      </c>
      <c r="K19" s="146" t="s">
        <v>239</v>
      </c>
      <c r="L19" s="142" t="s">
        <v>239</v>
      </c>
      <c r="M19" s="142" t="s">
        <v>239</v>
      </c>
      <c r="N19" s="155" t="s">
        <v>239</v>
      </c>
      <c r="O19" s="147" t="s">
        <v>239</v>
      </c>
      <c r="P19" s="148" t="s">
        <v>239</v>
      </c>
      <c r="Q19" s="148">
        <v>782.25376086697236</v>
      </c>
      <c r="R19" s="145" t="s">
        <v>239</v>
      </c>
      <c r="S19" s="145">
        <v>0.47195481052802496</v>
      </c>
      <c r="T19" s="145">
        <v>2.4092637545201525E-3</v>
      </c>
    </row>
    <row r="20" spans="1:20" x14ac:dyDescent="0.2">
      <c r="A20" s="30" t="s">
        <v>389</v>
      </c>
      <c r="B20" s="46" t="s">
        <v>390</v>
      </c>
      <c r="C20" s="46" t="s">
        <v>219</v>
      </c>
      <c r="D20" s="46" t="s">
        <v>391</v>
      </c>
      <c r="E20" s="46" t="s">
        <v>239</v>
      </c>
      <c r="F20" s="46" t="s">
        <v>183</v>
      </c>
      <c r="G20" s="46" t="s">
        <v>380</v>
      </c>
      <c r="H20" s="46" t="s">
        <v>239</v>
      </c>
      <c r="I20" s="46" t="s">
        <v>392</v>
      </c>
      <c r="J20" s="85">
        <v>4.8630000000000004</v>
      </c>
      <c r="K20" s="85" t="s">
        <v>126</v>
      </c>
      <c r="L20" s="46">
        <v>0</v>
      </c>
      <c r="M20" s="46">
        <v>-1.2800000000000001E-3</v>
      </c>
      <c r="N20" s="120">
        <v>24931.935140612666</v>
      </c>
      <c r="O20" s="80">
        <v>100.372</v>
      </c>
      <c r="P20" s="104">
        <v>0</v>
      </c>
      <c r="Q20" s="104">
        <v>86.109930529631868</v>
      </c>
      <c r="R20" s="38">
        <v>4.3359887201065505E-5</v>
      </c>
      <c r="S20" s="38">
        <v>5.1952445588311989E-2</v>
      </c>
      <c r="T20" s="38">
        <v>2.6521001867649778E-4</v>
      </c>
    </row>
    <row r="21" spans="1:20" x14ac:dyDescent="0.2">
      <c r="A21" s="30" t="s">
        <v>393</v>
      </c>
      <c r="B21" s="46" t="s">
        <v>394</v>
      </c>
      <c r="C21" s="46" t="s">
        <v>219</v>
      </c>
      <c r="D21" s="46" t="s">
        <v>391</v>
      </c>
      <c r="E21" s="46" t="s">
        <v>395</v>
      </c>
      <c r="F21" s="46" t="s">
        <v>183</v>
      </c>
      <c r="G21" s="46" t="s">
        <v>380</v>
      </c>
      <c r="H21" s="46" t="s">
        <v>239</v>
      </c>
      <c r="I21" s="46" t="s">
        <v>396</v>
      </c>
      <c r="J21" s="85">
        <v>4.952</v>
      </c>
      <c r="K21" s="85" t="s">
        <v>126</v>
      </c>
      <c r="L21" s="46">
        <v>0</v>
      </c>
      <c r="M21" s="46">
        <v>-3.5899999999999999E-3</v>
      </c>
      <c r="N21" s="120">
        <v>199476.02236909544</v>
      </c>
      <c r="O21" s="80">
        <v>101.42</v>
      </c>
      <c r="P21" s="104">
        <v>0</v>
      </c>
      <c r="Q21" s="104">
        <v>696.14383023734058</v>
      </c>
      <c r="R21" s="38">
        <v>4.3364352688933793E-4</v>
      </c>
      <c r="S21" s="38">
        <v>0.42000236487938031</v>
      </c>
      <c r="T21" s="38">
        <v>2.1440537355356649E-3</v>
      </c>
    </row>
    <row r="22" spans="1:20" s="139" customFormat="1" x14ac:dyDescent="0.2">
      <c r="A22" s="112" t="s">
        <v>146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2" t="s">
        <v>239</v>
      </c>
      <c r="H22" s="142" t="s">
        <v>239</v>
      </c>
      <c r="I22" s="142" t="s">
        <v>239</v>
      </c>
      <c r="J22" s="146" t="s">
        <v>239</v>
      </c>
      <c r="K22" s="146" t="s">
        <v>239</v>
      </c>
      <c r="L22" s="142" t="s">
        <v>239</v>
      </c>
      <c r="M22" s="142" t="s">
        <v>239</v>
      </c>
      <c r="N22" s="155" t="s">
        <v>239</v>
      </c>
      <c r="O22" s="147" t="s">
        <v>239</v>
      </c>
      <c r="P22" s="148" t="s">
        <v>239</v>
      </c>
      <c r="Q22" s="148">
        <v>267.14773654805174</v>
      </c>
      <c r="R22" s="145" t="s">
        <v>239</v>
      </c>
      <c r="S22" s="145">
        <v>0.16117744099534928</v>
      </c>
      <c r="T22" s="145">
        <v>8.2278844917790469E-4</v>
      </c>
    </row>
    <row r="23" spans="1:20" x14ac:dyDescent="0.2">
      <c r="A23" s="243" t="s">
        <v>397</v>
      </c>
      <c r="B23" s="205" t="s">
        <v>398</v>
      </c>
      <c r="C23" s="205" t="s">
        <v>219</v>
      </c>
      <c r="D23" s="205" t="s">
        <v>391</v>
      </c>
      <c r="E23" s="205" t="s">
        <v>239</v>
      </c>
      <c r="F23" s="205" t="s">
        <v>172</v>
      </c>
      <c r="G23" s="205" t="s">
        <v>380</v>
      </c>
      <c r="H23" s="205" t="s">
        <v>239</v>
      </c>
      <c r="I23" s="205" t="s">
        <v>399</v>
      </c>
      <c r="J23" s="203">
        <v>4.3</v>
      </c>
      <c r="K23" s="203" t="s">
        <v>126</v>
      </c>
      <c r="L23" s="205">
        <v>4.4999999999999998E-2</v>
      </c>
      <c r="M23" s="205">
        <v>4.7889999999999995E-2</v>
      </c>
      <c r="N23" s="244">
        <v>77261.167645019668</v>
      </c>
      <c r="O23" s="204">
        <v>100.486</v>
      </c>
      <c r="P23" s="206">
        <v>0</v>
      </c>
      <c r="Q23" s="206">
        <v>267.14773644805177</v>
      </c>
      <c r="R23" s="202">
        <v>1.6795906009786884E-4</v>
      </c>
      <c r="S23" s="202">
        <v>0.16117744093501657</v>
      </c>
      <c r="T23" s="202">
        <v>8.2278844886991473E-4</v>
      </c>
    </row>
    <row r="24" spans="1:20" s="139" customFormat="1" x14ac:dyDescent="0.2">
      <c r="A24" s="97" t="s">
        <v>230</v>
      </c>
      <c r="B24" s="149"/>
      <c r="C24" s="149"/>
      <c r="D24" s="149"/>
      <c r="E24" s="149"/>
      <c r="F24" s="149"/>
      <c r="G24" s="150"/>
      <c r="H24" s="150"/>
      <c r="I24" s="150"/>
      <c r="J24" s="151"/>
      <c r="K24" s="152"/>
      <c r="L24" s="153"/>
      <c r="M24" s="153"/>
      <c r="N24" s="153"/>
      <c r="O24" s="152"/>
      <c r="P24" s="152"/>
      <c r="Q24" s="152"/>
      <c r="R24" s="158"/>
      <c r="S24" s="158"/>
      <c r="T24" s="158"/>
    </row>
    <row r="25" spans="1:20" s="139" customFormat="1" x14ac:dyDescent="0.2">
      <c r="A25" s="97" t="s">
        <v>231</v>
      </c>
      <c r="B25" s="149"/>
      <c r="C25" s="149"/>
      <c r="D25" s="149"/>
      <c r="E25" s="149"/>
      <c r="F25" s="149"/>
      <c r="G25" s="150"/>
      <c r="H25" s="150"/>
      <c r="I25" s="150"/>
      <c r="J25" s="151"/>
      <c r="K25" s="152"/>
      <c r="L25" s="153"/>
      <c r="M25" s="153"/>
      <c r="N25" s="153"/>
      <c r="O25" s="152"/>
      <c r="P25" s="152"/>
      <c r="Q25" s="152"/>
      <c r="R25" s="158"/>
      <c r="S25" s="158"/>
      <c r="T25" s="158"/>
    </row>
    <row r="26" spans="1:20" s="139" customFormat="1" x14ac:dyDescent="0.2">
      <c r="A26" s="97" t="s">
        <v>232</v>
      </c>
      <c r="B26" s="149"/>
      <c r="C26" s="149"/>
      <c r="D26" s="149"/>
      <c r="E26" s="149"/>
      <c r="F26" s="149"/>
      <c r="G26" s="150"/>
      <c r="H26" s="150"/>
      <c r="I26" s="150"/>
      <c r="J26" s="151"/>
      <c r="K26" s="152"/>
      <c r="L26" s="153"/>
      <c r="M26" s="153"/>
      <c r="N26" s="153"/>
      <c r="O26" s="152"/>
      <c r="P26" s="152"/>
      <c r="Q26" s="152"/>
      <c r="R26" s="158"/>
      <c r="S26" s="158"/>
      <c r="T26" s="158"/>
    </row>
    <row r="27" spans="1:20" s="139" customFormat="1" x14ac:dyDescent="0.2">
      <c r="A27" s="97" t="s">
        <v>233</v>
      </c>
      <c r="B27" s="149"/>
      <c r="C27" s="149"/>
      <c r="D27" s="149"/>
      <c r="E27" s="149"/>
      <c r="F27" s="149"/>
      <c r="G27" s="150"/>
      <c r="H27" s="150"/>
      <c r="I27" s="150"/>
      <c r="J27" s="151"/>
      <c r="K27" s="152"/>
      <c r="L27" s="153"/>
      <c r="M27" s="153"/>
      <c r="N27" s="153"/>
      <c r="O27" s="152"/>
      <c r="P27" s="152"/>
      <c r="Q27" s="152"/>
      <c r="R27" s="158"/>
      <c r="S27" s="158"/>
      <c r="T27" s="158"/>
    </row>
    <row r="28" spans="1:20" s="139" customFormat="1" x14ac:dyDescent="0.2">
      <c r="A28" s="97" t="s">
        <v>234</v>
      </c>
      <c r="B28" s="149"/>
      <c r="C28" s="149"/>
      <c r="D28" s="149"/>
      <c r="E28" s="149"/>
      <c r="F28" s="149"/>
      <c r="G28" s="150"/>
      <c r="H28" s="150"/>
      <c r="I28" s="150"/>
      <c r="J28" s="151"/>
      <c r="K28" s="152"/>
      <c r="L28" s="153"/>
      <c r="M28" s="153"/>
      <c r="N28" s="153"/>
      <c r="O28" s="152"/>
      <c r="P28" s="152"/>
      <c r="Q28" s="152"/>
      <c r="R28" s="158"/>
      <c r="S28" s="158"/>
      <c r="T28" s="158"/>
    </row>
  </sheetData>
  <mergeCells count="2">
    <mergeCell ref="A6:T6"/>
    <mergeCell ref="A5:T5"/>
  </mergeCells>
  <conditionalFormatting sqref="S11:T23">
    <cfRule type="expression" dxfId="143" priority="123" stopIfTrue="1">
      <formula>OR(LEFT(#REF!,3)="TIR",LEFT(#REF!,2)="IR")</formula>
    </cfRule>
  </conditionalFormatting>
  <conditionalFormatting sqref="A11:A23 P11:Q23">
    <cfRule type="expression" dxfId="142" priority="124" stopIfTrue="1">
      <formula>#REF!&gt;0</formula>
    </cfRule>
  </conditionalFormatting>
  <conditionalFormatting sqref="B11:M23">
    <cfRule type="expression" dxfId="14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7"/>
  <sheetViews>
    <sheetView rightToLeft="1" topLeftCell="A7" zoomScale="80" zoomScaleNormal="80" workbookViewId="0">
      <selection activeCell="A7" sqref="A7:N302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0.85546875" style="79" bestFit="1" customWidth="1"/>
    <col min="9" max="9" width="11.42578125" style="79" bestFit="1" customWidth="1"/>
    <col min="10" max="10" width="16.5703125" style="79" bestFit="1" customWidth="1"/>
    <col min="11" max="11" width="10.8554687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158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136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9" customFormat="1" ht="12.75" customHeight="1" thickBot="1" x14ac:dyDescent="0.25">
      <c r="A10" s="169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70" t="s">
        <v>239</v>
      </c>
      <c r="H10" s="171" t="s">
        <v>239</v>
      </c>
      <c r="I10" s="170" t="s">
        <v>239</v>
      </c>
      <c r="J10" s="170" t="s">
        <v>239</v>
      </c>
      <c r="K10" s="172">
        <v>185694.2680008685</v>
      </c>
      <c r="L10" s="89" t="s">
        <v>239</v>
      </c>
      <c r="M10" s="89">
        <v>1</v>
      </c>
      <c r="N10" s="102">
        <v>0.57191987012092482</v>
      </c>
    </row>
    <row r="11" spans="1:19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6" t="s">
        <v>239</v>
      </c>
      <c r="H11" s="155" t="s">
        <v>239</v>
      </c>
      <c r="I11" s="146" t="s">
        <v>239</v>
      </c>
      <c r="J11" s="146" t="s">
        <v>239</v>
      </c>
      <c r="K11" s="143">
        <v>94106.491454420466</v>
      </c>
      <c r="L11" s="142" t="s">
        <v>239</v>
      </c>
      <c r="M11" s="142">
        <v>0.50678188652533052</v>
      </c>
      <c r="N11" s="142">
        <v>0.28983863072120436</v>
      </c>
    </row>
    <row r="12" spans="1:19" s="139" customFormat="1" x14ac:dyDescent="0.2">
      <c r="A12" s="112" t="s">
        <v>400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6" t="s">
        <v>239</v>
      </c>
      <c r="H12" s="157" t="s">
        <v>239</v>
      </c>
      <c r="I12" s="146" t="s">
        <v>239</v>
      </c>
      <c r="J12" s="146" t="s">
        <v>239</v>
      </c>
      <c r="K12" s="148">
        <v>57172.511323312137</v>
      </c>
      <c r="L12" s="145" t="s">
        <v>239</v>
      </c>
      <c r="M12" s="142">
        <v>0.30788517027916418</v>
      </c>
      <c r="N12" s="142">
        <v>0.17608564659821838</v>
      </c>
    </row>
    <row r="13" spans="1:19" x14ac:dyDescent="0.2">
      <c r="A13" s="30" t="s">
        <v>473</v>
      </c>
      <c r="B13" s="46" t="s">
        <v>474</v>
      </c>
      <c r="C13" s="46" t="s">
        <v>377</v>
      </c>
      <c r="D13" s="46" t="s">
        <v>239</v>
      </c>
      <c r="E13" s="46" t="s">
        <v>475</v>
      </c>
      <c r="F13" s="46" t="s">
        <v>216</v>
      </c>
      <c r="G13" s="85" t="s">
        <v>246</v>
      </c>
      <c r="H13" s="88">
        <v>21474.612653745153</v>
      </c>
      <c r="I13" s="85">
        <v>2557</v>
      </c>
      <c r="J13" s="80">
        <v>0</v>
      </c>
      <c r="K13" s="104">
        <v>549.1058455562636</v>
      </c>
      <c r="L13" s="38">
        <v>1.2126424238920963E-4</v>
      </c>
      <c r="M13" s="46">
        <v>2.9570425165395811E-3</v>
      </c>
      <c r="N13" s="46">
        <v>1.6911913720013701E-3</v>
      </c>
      <c r="O13" s="28"/>
      <c r="P13" s="28"/>
      <c r="Q13" s="28"/>
      <c r="R13" s="28"/>
    </row>
    <row r="14" spans="1:19" x14ac:dyDescent="0.2">
      <c r="A14" s="30" t="s">
        <v>409</v>
      </c>
      <c r="B14" s="46" t="s">
        <v>410</v>
      </c>
      <c r="C14" s="46" t="s">
        <v>377</v>
      </c>
      <c r="D14" s="46" t="s">
        <v>239</v>
      </c>
      <c r="E14" s="46" t="s">
        <v>411</v>
      </c>
      <c r="F14" s="46" t="s">
        <v>412</v>
      </c>
      <c r="G14" s="85" t="s">
        <v>246</v>
      </c>
      <c r="H14" s="88">
        <v>17775.604763463816</v>
      </c>
      <c r="I14" s="85">
        <v>3100</v>
      </c>
      <c r="J14" s="85">
        <v>0</v>
      </c>
      <c r="K14" s="104">
        <v>551.04374766737828</v>
      </c>
      <c r="L14" s="38">
        <v>1.6221931524875753E-5</v>
      </c>
      <c r="M14" s="46">
        <v>2.9674784989313779E-3</v>
      </c>
      <c r="N14" s="46">
        <v>1.6971599176954708E-3</v>
      </c>
      <c r="O14" s="28"/>
      <c r="P14" s="28"/>
      <c r="Q14" s="28"/>
      <c r="R14" s="28"/>
    </row>
    <row r="15" spans="1:19" x14ac:dyDescent="0.2">
      <c r="A15" s="30" t="s">
        <v>443</v>
      </c>
      <c r="B15" s="46" t="s">
        <v>444</v>
      </c>
      <c r="C15" s="46" t="s">
        <v>377</v>
      </c>
      <c r="D15" s="46" t="s">
        <v>239</v>
      </c>
      <c r="E15" s="46" t="s">
        <v>445</v>
      </c>
      <c r="F15" s="46" t="s">
        <v>199</v>
      </c>
      <c r="G15" s="85" t="s">
        <v>246</v>
      </c>
      <c r="H15" s="88">
        <v>4424.8818474541768</v>
      </c>
      <c r="I15" s="85">
        <v>20100</v>
      </c>
      <c r="J15" s="85">
        <v>0</v>
      </c>
      <c r="K15" s="104">
        <v>889.40125133828951</v>
      </c>
      <c r="L15" s="38">
        <v>8.6648280176718971E-5</v>
      </c>
      <c r="M15" s="46">
        <v>4.7895999209524856E-3</v>
      </c>
      <c r="N15" s="46">
        <v>2.7392673647223379E-3</v>
      </c>
      <c r="O15" s="28"/>
      <c r="P15" s="28"/>
      <c r="Q15" s="28"/>
      <c r="R15" s="28"/>
    </row>
    <row r="16" spans="1:19" x14ac:dyDescent="0.2">
      <c r="A16" s="30" t="s">
        <v>406</v>
      </c>
      <c r="B16" s="46" t="s">
        <v>407</v>
      </c>
      <c r="C16" s="46" t="s">
        <v>377</v>
      </c>
      <c r="D16" s="46" t="s">
        <v>239</v>
      </c>
      <c r="E16" s="46" t="s">
        <v>408</v>
      </c>
      <c r="F16" s="46" t="s">
        <v>213</v>
      </c>
      <c r="G16" s="85" t="s">
        <v>246</v>
      </c>
      <c r="H16" s="88">
        <v>122024.10286576049</v>
      </c>
      <c r="I16" s="85">
        <v>1212</v>
      </c>
      <c r="J16" s="85">
        <v>0</v>
      </c>
      <c r="K16" s="104">
        <v>1478.9321267124758</v>
      </c>
      <c r="L16" s="38">
        <v>9.5290299924084555E-5</v>
      </c>
      <c r="M16" s="46">
        <v>7.9643391399973583E-3</v>
      </c>
      <c r="N16" s="46">
        <v>4.5549638065462868E-3</v>
      </c>
      <c r="O16" s="28"/>
      <c r="P16" s="28"/>
      <c r="Q16" s="28"/>
      <c r="R16" s="28"/>
    </row>
    <row r="17" spans="1:18" x14ac:dyDescent="0.2">
      <c r="A17" s="30" t="s">
        <v>452</v>
      </c>
      <c r="B17" s="46" t="s">
        <v>453</v>
      </c>
      <c r="C17" s="46" t="s">
        <v>377</v>
      </c>
      <c r="D17" s="46" t="s">
        <v>239</v>
      </c>
      <c r="E17" s="46" t="s">
        <v>454</v>
      </c>
      <c r="F17" s="46" t="s">
        <v>433</v>
      </c>
      <c r="G17" s="85" t="s">
        <v>246</v>
      </c>
      <c r="H17" s="88">
        <v>43963.401789300871</v>
      </c>
      <c r="I17" s="85">
        <v>3579</v>
      </c>
      <c r="J17" s="85">
        <v>0</v>
      </c>
      <c r="K17" s="104">
        <v>1573.4501500370238</v>
      </c>
      <c r="L17" s="38">
        <v>3.531523674813003E-4</v>
      </c>
      <c r="M17" s="46">
        <v>8.4733372062387232E-3</v>
      </c>
      <c r="N17" s="46">
        <v>4.8460699144828511E-3</v>
      </c>
      <c r="O17" s="28"/>
      <c r="P17" s="28"/>
      <c r="Q17" s="28"/>
      <c r="R17" s="28"/>
    </row>
    <row r="18" spans="1:18" x14ac:dyDescent="0.2">
      <c r="A18" s="30" t="s">
        <v>470</v>
      </c>
      <c r="B18" s="46" t="s">
        <v>471</v>
      </c>
      <c r="C18" s="46" t="s">
        <v>377</v>
      </c>
      <c r="D18" s="46" t="s">
        <v>239</v>
      </c>
      <c r="E18" s="46" t="s">
        <v>472</v>
      </c>
      <c r="F18" s="46" t="s">
        <v>209</v>
      </c>
      <c r="G18" s="85" t="s">
        <v>246</v>
      </c>
      <c r="H18" s="88">
        <v>8.2164976776478397E-4</v>
      </c>
      <c r="I18" s="85">
        <v>42300</v>
      </c>
      <c r="J18" s="85">
        <v>1.3865340000000001E-6</v>
      </c>
      <c r="K18" s="104">
        <v>0</v>
      </c>
      <c r="L18" s="38">
        <v>7.6838606772329752E-12</v>
      </c>
      <c r="M18" s="46">
        <v>0</v>
      </c>
      <c r="N18" s="46">
        <v>0</v>
      </c>
      <c r="O18" s="28"/>
      <c r="P18" s="28"/>
      <c r="Q18" s="28"/>
      <c r="R18" s="28"/>
    </row>
    <row r="19" spans="1:18" x14ac:dyDescent="0.2">
      <c r="A19" s="30" t="s">
        <v>418</v>
      </c>
      <c r="B19" s="46" t="s">
        <v>419</v>
      </c>
      <c r="C19" s="46" t="s">
        <v>377</v>
      </c>
      <c r="D19" s="46" t="s">
        <v>239</v>
      </c>
      <c r="E19" s="46" t="s">
        <v>420</v>
      </c>
      <c r="F19" s="46" t="s">
        <v>196</v>
      </c>
      <c r="G19" s="85" t="s">
        <v>246</v>
      </c>
      <c r="H19" s="88">
        <v>6927.6911287475941</v>
      </c>
      <c r="I19" s="85">
        <v>41690</v>
      </c>
      <c r="J19" s="85">
        <v>0</v>
      </c>
      <c r="K19" s="104">
        <v>2888.1544315646015</v>
      </c>
      <c r="L19" s="38">
        <v>1.5674101552587156E-4</v>
      </c>
      <c r="M19" s="46">
        <v>1.5553277237136332E-2</v>
      </c>
      <c r="N19" s="46">
        <v>8.8952282974177482E-3</v>
      </c>
      <c r="O19" s="28"/>
      <c r="P19" s="28"/>
      <c r="Q19" s="28"/>
      <c r="R19" s="28"/>
    </row>
    <row r="20" spans="1:18" x14ac:dyDescent="0.2">
      <c r="A20" s="30" t="s">
        <v>480</v>
      </c>
      <c r="B20" s="46" t="s">
        <v>481</v>
      </c>
      <c r="C20" s="46" t="s">
        <v>377</v>
      </c>
      <c r="D20" s="46" t="s">
        <v>239</v>
      </c>
      <c r="E20" s="46" t="s">
        <v>420</v>
      </c>
      <c r="F20" s="46" t="s">
        <v>196</v>
      </c>
      <c r="G20" s="85" t="s">
        <v>246</v>
      </c>
      <c r="H20" s="88">
        <v>758.32624722536184</v>
      </c>
      <c r="I20" s="85">
        <v>40640.03</v>
      </c>
      <c r="J20" s="85">
        <v>0</v>
      </c>
      <c r="K20" s="104">
        <v>308.18401436666647</v>
      </c>
      <c r="L20" s="38">
        <v>1.715735067875555E-5</v>
      </c>
      <c r="M20" s="46">
        <v>1.659631272868504E-3</v>
      </c>
      <c r="N20" s="46">
        <v>9.4917610202757989E-4</v>
      </c>
      <c r="O20" s="28"/>
      <c r="P20" s="28"/>
      <c r="Q20" s="28"/>
      <c r="R20" s="28"/>
    </row>
    <row r="21" spans="1:18" x14ac:dyDescent="0.2">
      <c r="A21" s="30" t="s">
        <v>455</v>
      </c>
      <c r="B21" s="46" t="s">
        <v>456</v>
      </c>
      <c r="C21" s="46" t="s">
        <v>377</v>
      </c>
      <c r="D21" s="46" t="s">
        <v>239</v>
      </c>
      <c r="E21" s="46" t="s">
        <v>457</v>
      </c>
      <c r="F21" s="46" t="s">
        <v>433</v>
      </c>
      <c r="G21" s="85" t="s">
        <v>246</v>
      </c>
      <c r="H21" s="88">
        <v>46528.095471565473</v>
      </c>
      <c r="I21" s="85">
        <v>3370.0000000000005</v>
      </c>
      <c r="J21" s="85">
        <v>0</v>
      </c>
      <c r="K21" s="104">
        <v>1567.9968173917564</v>
      </c>
      <c r="L21" s="38">
        <v>2.6927975684706807E-4</v>
      </c>
      <c r="M21" s="46">
        <v>8.4439699419500813E-3</v>
      </c>
      <c r="N21" s="46">
        <v>4.8292741925050836E-3</v>
      </c>
      <c r="O21" s="28"/>
      <c r="P21" s="28"/>
      <c r="Q21" s="28"/>
      <c r="R21" s="28"/>
    </row>
    <row r="22" spans="1:18" x14ac:dyDescent="0.2">
      <c r="A22" s="30" t="s">
        <v>487</v>
      </c>
      <c r="B22" s="46" t="s">
        <v>488</v>
      </c>
      <c r="C22" s="46" t="s">
        <v>377</v>
      </c>
      <c r="D22" s="46" t="s">
        <v>239</v>
      </c>
      <c r="E22" s="46" t="s">
        <v>489</v>
      </c>
      <c r="F22" s="46" t="s">
        <v>490</v>
      </c>
      <c r="G22" s="85" t="s">
        <v>246</v>
      </c>
      <c r="H22" s="88">
        <v>1543.663408916223</v>
      </c>
      <c r="I22" s="85">
        <v>154500</v>
      </c>
      <c r="J22" s="85">
        <v>0</v>
      </c>
      <c r="K22" s="104">
        <v>2384.9599667755651</v>
      </c>
      <c r="L22" s="38">
        <v>4.0885594138848064E-4</v>
      </c>
      <c r="M22" s="46">
        <v>1.2843476497424306E-2</v>
      </c>
      <c r="N22" s="46">
        <v>7.3454394103080606E-3</v>
      </c>
      <c r="O22" s="28"/>
      <c r="P22" s="28"/>
      <c r="Q22" s="28"/>
      <c r="R22" s="28"/>
    </row>
    <row r="23" spans="1:18" x14ac:dyDescent="0.2">
      <c r="A23" s="30" t="s">
        <v>491</v>
      </c>
      <c r="B23" s="46" t="s">
        <v>492</v>
      </c>
      <c r="C23" s="46" t="s">
        <v>377</v>
      </c>
      <c r="D23" s="46" t="s">
        <v>239</v>
      </c>
      <c r="E23" s="46" t="s">
        <v>489</v>
      </c>
      <c r="F23" s="46" t="s">
        <v>215</v>
      </c>
      <c r="G23" s="85" t="s">
        <v>246</v>
      </c>
      <c r="H23" s="88">
        <v>133.0559092674097</v>
      </c>
      <c r="I23" s="85">
        <v>151627.82</v>
      </c>
      <c r="J23" s="85">
        <v>0</v>
      </c>
      <c r="K23" s="104">
        <v>201.74977459308067</v>
      </c>
      <c r="L23" s="38">
        <v>3.5225528483203877E-5</v>
      </c>
      <c r="M23" s="46">
        <v>1.0864620473483709E-3</v>
      </c>
      <c r="N23" s="46">
        <v>6.2136923301079445E-4</v>
      </c>
      <c r="O23" s="28"/>
      <c r="P23" s="28"/>
      <c r="Q23" s="28"/>
      <c r="R23" s="28"/>
    </row>
    <row r="24" spans="1:18" x14ac:dyDescent="0.2">
      <c r="A24" s="30" t="s">
        <v>458</v>
      </c>
      <c r="B24" s="46" t="s">
        <v>459</v>
      </c>
      <c r="C24" s="46" t="s">
        <v>377</v>
      </c>
      <c r="D24" s="46" t="s">
        <v>239</v>
      </c>
      <c r="E24" s="46" t="s">
        <v>460</v>
      </c>
      <c r="F24" s="46" t="s">
        <v>433</v>
      </c>
      <c r="G24" s="85" t="s">
        <v>246</v>
      </c>
      <c r="H24" s="88">
        <v>60792.659518819964</v>
      </c>
      <c r="I24" s="85">
        <v>1568</v>
      </c>
      <c r="J24" s="85">
        <v>0</v>
      </c>
      <c r="K24" s="104">
        <v>953.22890125509696</v>
      </c>
      <c r="L24" s="38">
        <v>1.5935579937076104E-4</v>
      </c>
      <c r="M24" s="46">
        <v>5.1333243159160883E-3</v>
      </c>
      <c r="N24" s="46">
        <v>2.9358501760473141E-3</v>
      </c>
      <c r="O24" s="28"/>
      <c r="P24" s="28"/>
      <c r="Q24" s="28"/>
      <c r="R24" s="28"/>
    </row>
    <row r="25" spans="1:18" x14ac:dyDescent="0.2">
      <c r="A25" s="30" t="s">
        <v>482</v>
      </c>
      <c r="B25" s="46" t="s">
        <v>483</v>
      </c>
      <c r="C25" s="46" t="s">
        <v>377</v>
      </c>
      <c r="D25" s="46" t="s">
        <v>239</v>
      </c>
      <c r="E25" s="46" t="s">
        <v>460</v>
      </c>
      <c r="F25" s="46" t="s">
        <v>433</v>
      </c>
      <c r="G25" s="85" t="s">
        <v>246</v>
      </c>
      <c r="H25" s="88">
        <v>36414.300638616725</v>
      </c>
      <c r="I25" s="85">
        <v>1557.88</v>
      </c>
      <c r="J25" s="85">
        <v>0</v>
      </c>
      <c r="K25" s="104">
        <v>567.29110676628693</v>
      </c>
      <c r="L25" s="38">
        <v>9.5452806847470855E-5</v>
      </c>
      <c r="M25" s="46">
        <v>3.0549737096011689E-3</v>
      </c>
      <c r="N25" s="46">
        <v>1.7472001672179406E-3</v>
      </c>
      <c r="O25" s="28"/>
      <c r="P25" s="28"/>
      <c r="Q25" s="28"/>
      <c r="R25" s="28"/>
    </row>
    <row r="26" spans="1:18" x14ac:dyDescent="0.2">
      <c r="A26" s="30" t="s">
        <v>499</v>
      </c>
      <c r="B26" s="46" t="s">
        <v>500</v>
      </c>
      <c r="C26" s="46" t="s">
        <v>377</v>
      </c>
      <c r="D26" s="46" t="s">
        <v>239</v>
      </c>
      <c r="E26" s="46" t="s">
        <v>384</v>
      </c>
      <c r="F26" s="46" t="s">
        <v>199</v>
      </c>
      <c r="G26" s="85" t="s">
        <v>246</v>
      </c>
      <c r="H26" s="88">
        <v>17131.906053689552</v>
      </c>
      <c r="I26" s="85">
        <v>1365</v>
      </c>
      <c r="J26" s="85">
        <v>0</v>
      </c>
      <c r="K26" s="104">
        <v>233.85051763286239</v>
      </c>
      <c r="L26" s="38">
        <v>3.6169081251845101E-5</v>
      </c>
      <c r="M26" s="46">
        <v>1.2593308353048822E-3</v>
      </c>
      <c r="N26" s="46">
        <v>7.2023632776684401E-4</v>
      </c>
      <c r="O26" s="28"/>
      <c r="P26" s="28"/>
      <c r="Q26" s="28"/>
      <c r="R26" s="28"/>
    </row>
    <row r="27" spans="1:18" x14ac:dyDescent="0.2">
      <c r="A27" s="30" t="s">
        <v>401</v>
      </c>
      <c r="B27" s="46" t="s">
        <v>402</v>
      </c>
      <c r="C27" s="46" t="s">
        <v>377</v>
      </c>
      <c r="D27" s="46" t="s">
        <v>239</v>
      </c>
      <c r="E27" s="46" t="s">
        <v>403</v>
      </c>
      <c r="F27" s="46" t="s">
        <v>207</v>
      </c>
      <c r="G27" s="85" t="s">
        <v>246</v>
      </c>
      <c r="H27" s="88">
        <v>599597.29434370378</v>
      </c>
      <c r="I27" s="85">
        <v>398</v>
      </c>
      <c r="J27" s="120">
        <v>0</v>
      </c>
      <c r="K27" s="104">
        <v>2386.3972314694538</v>
      </c>
      <c r="L27" s="38">
        <v>2.1681445789162369E-4</v>
      </c>
      <c r="M27" s="46">
        <v>1.2851216449278297E-2</v>
      </c>
      <c r="N27" s="46">
        <v>7.3498660425671365E-3</v>
      </c>
      <c r="O27" s="28"/>
      <c r="P27" s="28"/>
      <c r="Q27" s="28"/>
      <c r="R27" s="28"/>
    </row>
    <row r="28" spans="1:18" x14ac:dyDescent="0.2">
      <c r="A28" s="30" t="s">
        <v>241</v>
      </c>
      <c r="B28" s="46" t="s">
        <v>413</v>
      </c>
      <c r="C28" s="46" t="s">
        <v>377</v>
      </c>
      <c r="D28" s="46" t="s">
        <v>239</v>
      </c>
      <c r="E28" s="46" t="s">
        <v>414</v>
      </c>
      <c r="F28" s="46" t="s">
        <v>201</v>
      </c>
      <c r="G28" s="85" t="s">
        <v>246</v>
      </c>
      <c r="H28" s="88">
        <v>401453.24692389165</v>
      </c>
      <c r="I28" s="85">
        <v>924</v>
      </c>
      <c r="J28" s="85">
        <v>0</v>
      </c>
      <c r="K28" s="104">
        <v>3709.4280015397844</v>
      </c>
      <c r="L28" s="38">
        <v>3.4488607068289739E-4</v>
      </c>
      <c r="M28" s="46">
        <v>1.9975996251658319E-2</v>
      </c>
      <c r="N28" s="46">
        <v>1.1424669181784508E-2</v>
      </c>
      <c r="O28" s="28"/>
      <c r="P28" s="28"/>
      <c r="Q28" s="28"/>
      <c r="R28" s="28"/>
    </row>
    <row r="29" spans="1:18" x14ac:dyDescent="0.2">
      <c r="A29" s="30" t="s">
        <v>424</v>
      </c>
      <c r="B29" s="46" t="s">
        <v>425</v>
      </c>
      <c r="C29" s="46" t="s">
        <v>377</v>
      </c>
      <c r="D29" s="46" t="s">
        <v>239</v>
      </c>
      <c r="E29" s="46" t="s">
        <v>426</v>
      </c>
      <c r="F29" s="46" t="s">
        <v>201</v>
      </c>
      <c r="G29" s="85" t="s">
        <v>246</v>
      </c>
      <c r="H29" s="88">
        <v>418085.52043802175</v>
      </c>
      <c r="I29" s="85">
        <v>1830</v>
      </c>
      <c r="J29" s="85">
        <v>0</v>
      </c>
      <c r="K29" s="104">
        <v>7650.9650240157971</v>
      </c>
      <c r="L29" s="38">
        <v>3.1296213348842649E-4</v>
      </c>
      <c r="M29" s="46">
        <v>4.1201945037851212E-2</v>
      </c>
      <c r="N29" s="46">
        <v>2.3564211054777351E-2</v>
      </c>
      <c r="O29" s="28"/>
      <c r="P29" s="28"/>
      <c r="Q29" s="28"/>
      <c r="R29" s="28"/>
    </row>
    <row r="30" spans="1:18" x14ac:dyDescent="0.2">
      <c r="A30" s="30" t="s">
        <v>421</v>
      </c>
      <c r="B30" s="46" t="s">
        <v>422</v>
      </c>
      <c r="C30" s="46" t="s">
        <v>377</v>
      </c>
      <c r="D30" s="46" t="s">
        <v>239</v>
      </c>
      <c r="E30" s="46" t="s">
        <v>423</v>
      </c>
      <c r="F30" s="46" t="s">
        <v>201</v>
      </c>
      <c r="G30" s="85" t="s">
        <v>246</v>
      </c>
      <c r="H30" s="88">
        <v>169729.758694335</v>
      </c>
      <c r="I30" s="85">
        <v>1508</v>
      </c>
      <c r="J30" s="85">
        <v>0</v>
      </c>
      <c r="K30" s="104">
        <v>2559.5247610674351</v>
      </c>
      <c r="L30" s="38">
        <v>1.1682168441058747E-4</v>
      </c>
      <c r="M30" s="46">
        <v>1.3783542101878255E-2</v>
      </c>
      <c r="N30" s="46">
        <v>7.8830816087125111E-3</v>
      </c>
      <c r="O30" s="28"/>
      <c r="P30" s="28"/>
      <c r="Q30" s="28"/>
      <c r="R30" s="28"/>
    </row>
    <row r="31" spans="1:18" x14ac:dyDescent="0.2">
      <c r="A31" s="30" t="s">
        <v>427</v>
      </c>
      <c r="B31" s="46" t="s">
        <v>428</v>
      </c>
      <c r="C31" s="46" t="s">
        <v>377</v>
      </c>
      <c r="D31" s="46" t="s">
        <v>239</v>
      </c>
      <c r="E31" s="46" t="s">
        <v>429</v>
      </c>
      <c r="F31" s="46" t="s">
        <v>201</v>
      </c>
      <c r="G31" s="85" t="s">
        <v>246</v>
      </c>
      <c r="H31" s="88">
        <v>25404.166276654509</v>
      </c>
      <c r="I31" s="85">
        <v>6074</v>
      </c>
      <c r="J31" s="85">
        <v>0</v>
      </c>
      <c r="K31" s="104">
        <v>1543.0490596388597</v>
      </c>
      <c r="L31" s="38">
        <v>1.0852626081719693E-4</v>
      </c>
      <c r="M31" s="46">
        <v>8.3096213806214143E-3</v>
      </c>
      <c r="N31" s="46">
        <v>4.7524375807590589E-3</v>
      </c>
      <c r="O31" s="28"/>
      <c r="P31" s="28"/>
      <c r="Q31" s="28"/>
      <c r="R31" s="28"/>
    </row>
    <row r="32" spans="1:18" x14ac:dyDescent="0.2">
      <c r="A32" s="30" t="s">
        <v>434</v>
      </c>
      <c r="B32" s="46" t="s">
        <v>435</v>
      </c>
      <c r="C32" s="46" t="s">
        <v>377</v>
      </c>
      <c r="D32" s="46" t="s">
        <v>239</v>
      </c>
      <c r="E32" s="46" t="s">
        <v>436</v>
      </c>
      <c r="F32" s="46" t="s">
        <v>201</v>
      </c>
      <c r="G32" s="85" t="s">
        <v>246</v>
      </c>
      <c r="H32" s="88">
        <v>20625.236109154703</v>
      </c>
      <c r="I32" s="85">
        <v>7108</v>
      </c>
      <c r="J32" s="85">
        <v>0</v>
      </c>
      <c r="K32" s="104">
        <v>1466.0417826346079</v>
      </c>
      <c r="L32" s="38">
        <v>2.0557388504135655E-4</v>
      </c>
      <c r="M32" s="46">
        <v>7.8949221126618264E-3</v>
      </c>
      <c r="N32" s="46">
        <v>4.5152628292883688E-3</v>
      </c>
      <c r="O32" s="28"/>
      <c r="P32" s="28"/>
      <c r="Q32" s="28"/>
      <c r="R32" s="28"/>
    </row>
    <row r="33" spans="1:18" x14ac:dyDescent="0.2">
      <c r="A33" s="30" t="s">
        <v>464</v>
      </c>
      <c r="B33" s="46" t="s">
        <v>465</v>
      </c>
      <c r="C33" s="46" t="s">
        <v>377</v>
      </c>
      <c r="D33" s="46" t="s">
        <v>239</v>
      </c>
      <c r="E33" s="46" t="s">
        <v>466</v>
      </c>
      <c r="F33" s="46" t="s">
        <v>202</v>
      </c>
      <c r="G33" s="85" t="s">
        <v>246</v>
      </c>
      <c r="H33" s="88">
        <v>54687.374024270386</v>
      </c>
      <c r="I33" s="85">
        <v>1589</v>
      </c>
      <c r="J33" s="85">
        <v>0</v>
      </c>
      <c r="K33" s="104">
        <v>868.98237323589933</v>
      </c>
      <c r="L33" s="38">
        <v>2.1349474731937286E-4</v>
      </c>
      <c r="M33" s="46">
        <v>4.6796402634885588E-3</v>
      </c>
      <c r="N33" s="46">
        <v>2.6763792517070272E-3</v>
      </c>
      <c r="O33" s="28"/>
      <c r="P33" s="28"/>
      <c r="Q33" s="28"/>
      <c r="R33" s="28"/>
    </row>
    <row r="34" spans="1:18" x14ac:dyDescent="0.2">
      <c r="A34" s="30" t="s">
        <v>446</v>
      </c>
      <c r="B34" s="46" t="s">
        <v>447</v>
      </c>
      <c r="C34" s="46" t="s">
        <v>377</v>
      </c>
      <c r="D34" s="46" t="s">
        <v>239</v>
      </c>
      <c r="E34" s="46" t="s">
        <v>448</v>
      </c>
      <c r="F34" s="46" t="s">
        <v>202</v>
      </c>
      <c r="G34" s="85" t="s">
        <v>246</v>
      </c>
      <c r="H34" s="88">
        <v>52496.739120495557</v>
      </c>
      <c r="I34" s="85">
        <v>2145</v>
      </c>
      <c r="J34" s="85">
        <v>0</v>
      </c>
      <c r="K34" s="104">
        <v>1126.0550541346297</v>
      </c>
      <c r="L34" s="38">
        <v>2.4487843822343158E-4</v>
      </c>
      <c r="M34" s="46">
        <v>6.0640269958648543E-3</v>
      </c>
      <c r="N34" s="46">
        <v>3.4681375318848092E-3</v>
      </c>
      <c r="O34" s="28"/>
      <c r="P34" s="28"/>
      <c r="Q34" s="28"/>
      <c r="R34" s="28"/>
    </row>
    <row r="35" spans="1:18" x14ac:dyDescent="0.2">
      <c r="A35" s="30" t="s">
        <v>449</v>
      </c>
      <c r="B35" s="46" t="s">
        <v>450</v>
      </c>
      <c r="C35" s="46" t="s">
        <v>377</v>
      </c>
      <c r="D35" s="46" t="s">
        <v>239</v>
      </c>
      <c r="E35" s="46" t="s">
        <v>451</v>
      </c>
      <c r="F35" s="46" t="s">
        <v>198</v>
      </c>
      <c r="G35" s="85" t="s">
        <v>246</v>
      </c>
      <c r="H35" s="88">
        <v>12475.369554539533</v>
      </c>
      <c r="I35" s="85">
        <v>6375</v>
      </c>
      <c r="J35" s="85">
        <v>0</v>
      </c>
      <c r="K35" s="104">
        <v>795.3048090633805</v>
      </c>
      <c r="L35" s="38">
        <v>1.1630699320917366E-4</v>
      </c>
      <c r="M35" s="46">
        <v>4.28287215122688E-3</v>
      </c>
      <c r="N35" s="46">
        <v>2.4494596844742032E-3</v>
      </c>
      <c r="O35" s="28"/>
      <c r="P35" s="28"/>
      <c r="Q35" s="28"/>
      <c r="R35" s="28"/>
    </row>
    <row r="36" spans="1:18" x14ac:dyDescent="0.2">
      <c r="A36" s="30" t="s">
        <v>504</v>
      </c>
      <c r="B36" s="46" t="s">
        <v>505</v>
      </c>
      <c r="C36" s="46" t="s">
        <v>377</v>
      </c>
      <c r="D36" s="46" t="s">
        <v>239</v>
      </c>
      <c r="E36" s="46" t="s">
        <v>506</v>
      </c>
      <c r="F36" s="46" t="s">
        <v>194</v>
      </c>
      <c r="G36" s="85" t="s">
        <v>246</v>
      </c>
      <c r="H36" s="88">
        <v>648.19950178963813</v>
      </c>
      <c r="I36" s="85">
        <v>18080</v>
      </c>
      <c r="J36" s="85">
        <v>0</v>
      </c>
      <c r="K36" s="104">
        <v>117.19446992356656</v>
      </c>
      <c r="L36" s="38">
        <v>9.8179844224370549E-6</v>
      </c>
      <c r="M36" s="46">
        <v>6.3111517218732052E-4</v>
      </c>
      <c r="N36" s="46">
        <v>3.6094730730871745E-4</v>
      </c>
      <c r="O36" s="28"/>
      <c r="P36" s="28"/>
      <c r="Q36" s="28"/>
      <c r="R36" s="28"/>
    </row>
    <row r="37" spans="1:18" x14ac:dyDescent="0.2">
      <c r="A37" s="30" t="s">
        <v>484</v>
      </c>
      <c r="B37" s="46" t="s">
        <v>485</v>
      </c>
      <c r="C37" s="46" t="s">
        <v>377</v>
      </c>
      <c r="D37" s="46" t="s">
        <v>239</v>
      </c>
      <c r="E37" s="46" t="s">
        <v>486</v>
      </c>
      <c r="F37" s="46" t="s">
        <v>433</v>
      </c>
      <c r="G37" s="85" t="s">
        <v>246</v>
      </c>
      <c r="H37" s="88">
        <v>206059.42909875329</v>
      </c>
      <c r="I37" s="85">
        <v>638.5</v>
      </c>
      <c r="J37" s="85">
        <v>0</v>
      </c>
      <c r="K37" s="104">
        <v>1315.689454748295</v>
      </c>
      <c r="L37" s="38">
        <v>2.5347724806440539E-4</v>
      </c>
      <c r="M37" s="46">
        <v>7.0852453816298818E-3</v>
      </c>
      <c r="N37" s="46">
        <v>4.0521926184366444E-3</v>
      </c>
      <c r="O37" s="28"/>
      <c r="P37" s="28"/>
      <c r="Q37" s="28"/>
      <c r="R37" s="28"/>
    </row>
    <row r="38" spans="1:18" x14ac:dyDescent="0.2">
      <c r="A38" s="30" t="s">
        <v>501</v>
      </c>
      <c r="B38" s="46" t="s">
        <v>502</v>
      </c>
      <c r="C38" s="46" t="s">
        <v>377</v>
      </c>
      <c r="D38" s="46" t="s">
        <v>239</v>
      </c>
      <c r="E38" s="46" t="s">
        <v>503</v>
      </c>
      <c r="F38" s="46" t="s">
        <v>193</v>
      </c>
      <c r="G38" s="85" t="s">
        <v>246</v>
      </c>
      <c r="H38" s="88">
        <v>3153.348019971882</v>
      </c>
      <c r="I38" s="85">
        <v>8060.0000000000009</v>
      </c>
      <c r="J38" s="85">
        <v>0</v>
      </c>
      <c r="K38" s="104">
        <v>254.15985040973371</v>
      </c>
      <c r="L38" s="38">
        <v>5.0748385584779244E-5</v>
      </c>
      <c r="M38" s="46">
        <v>1.3687005697372683E-3</v>
      </c>
      <c r="N38" s="46">
        <v>7.8278705207857437E-4</v>
      </c>
      <c r="O38" s="28"/>
      <c r="P38" s="28"/>
      <c r="Q38" s="28"/>
      <c r="R38" s="28"/>
    </row>
    <row r="39" spans="1:18" x14ac:dyDescent="0.2">
      <c r="A39" s="30" t="s">
        <v>507</v>
      </c>
      <c r="B39" s="46" t="s">
        <v>508</v>
      </c>
      <c r="C39" s="46" t="s">
        <v>377</v>
      </c>
      <c r="D39" s="46" t="s">
        <v>239</v>
      </c>
      <c r="E39" s="46" t="s">
        <v>509</v>
      </c>
      <c r="F39" s="46" t="s">
        <v>195</v>
      </c>
      <c r="G39" s="85" t="s">
        <v>246</v>
      </c>
      <c r="H39" s="88">
        <v>4781.7602887717621</v>
      </c>
      <c r="I39" s="85">
        <v>5272</v>
      </c>
      <c r="J39" s="85">
        <v>0</v>
      </c>
      <c r="K39" s="104">
        <v>252.0944024240473</v>
      </c>
      <c r="L39" s="38">
        <v>4.418780003106758E-5</v>
      </c>
      <c r="M39" s="46">
        <v>1.3575777278320095E-3</v>
      </c>
      <c r="N39" s="46">
        <v>7.7642567778074317E-4</v>
      </c>
      <c r="O39" s="28"/>
      <c r="P39" s="28"/>
      <c r="Q39" s="28"/>
      <c r="R39" s="28"/>
    </row>
    <row r="40" spans="1:18" x14ac:dyDescent="0.2">
      <c r="A40" s="30" t="s">
        <v>440</v>
      </c>
      <c r="B40" s="46" t="s">
        <v>441</v>
      </c>
      <c r="C40" s="46" t="s">
        <v>377</v>
      </c>
      <c r="D40" s="46" t="s">
        <v>239</v>
      </c>
      <c r="E40" s="46" t="s">
        <v>442</v>
      </c>
      <c r="F40" s="46" t="s">
        <v>433</v>
      </c>
      <c r="G40" s="85" t="s">
        <v>246</v>
      </c>
      <c r="H40" s="88">
        <v>9650.0351627781074</v>
      </c>
      <c r="I40" s="85">
        <v>11050</v>
      </c>
      <c r="J40" s="85">
        <v>0</v>
      </c>
      <c r="K40" s="104">
        <v>1066.3288854869809</v>
      </c>
      <c r="L40" s="38">
        <v>2.0342193579441303E-4</v>
      </c>
      <c r="M40" s="46">
        <v>5.7423898807796997E-3</v>
      </c>
      <c r="N40" s="46">
        <v>3.2841868747992393E-3</v>
      </c>
      <c r="O40" s="28"/>
      <c r="P40" s="28"/>
      <c r="Q40" s="28"/>
      <c r="R40" s="28"/>
    </row>
    <row r="41" spans="1:18" x14ac:dyDescent="0.2">
      <c r="A41" s="30" t="s">
        <v>493</v>
      </c>
      <c r="B41" s="46" t="s">
        <v>494</v>
      </c>
      <c r="C41" s="46" t="s">
        <v>377</v>
      </c>
      <c r="D41" s="46" t="s">
        <v>239</v>
      </c>
      <c r="E41" s="46" t="s">
        <v>495</v>
      </c>
      <c r="F41" s="46" t="s">
        <v>198</v>
      </c>
      <c r="G41" s="85" t="s">
        <v>246</v>
      </c>
      <c r="H41" s="88">
        <v>353.16561142949826</v>
      </c>
      <c r="I41" s="85">
        <v>18040</v>
      </c>
      <c r="J41" s="85">
        <v>0</v>
      </c>
      <c r="K41" s="104">
        <v>63.711076301881491</v>
      </c>
      <c r="L41" s="38">
        <v>1.2571942808091475E-5</v>
      </c>
      <c r="M41" s="46">
        <v>3.4309662321716633E-4</v>
      </c>
      <c r="N41" s="46">
        <v>1.9622377618928966E-4</v>
      </c>
      <c r="O41" s="28"/>
      <c r="P41" s="28"/>
      <c r="Q41" s="28"/>
      <c r="R41" s="28"/>
    </row>
    <row r="42" spans="1:18" x14ac:dyDescent="0.2">
      <c r="A42" s="30" t="s">
        <v>404</v>
      </c>
      <c r="B42" s="46" t="s">
        <v>405</v>
      </c>
      <c r="C42" s="46" t="s">
        <v>377</v>
      </c>
      <c r="D42" s="46" t="s">
        <v>239</v>
      </c>
      <c r="E42" s="46" t="s">
        <v>395</v>
      </c>
      <c r="F42" s="46" t="s">
        <v>194</v>
      </c>
      <c r="G42" s="85" t="s">
        <v>246</v>
      </c>
      <c r="H42" s="88">
        <v>7476.9820747932436</v>
      </c>
      <c r="I42" s="85">
        <v>77390</v>
      </c>
      <c r="J42" s="85">
        <v>0</v>
      </c>
      <c r="K42" s="104">
        <v>5786.4364276824908</v>
      </c>
      <c r="L42" s="38">
        <v>1.1918871638965376E-4</v>
      </c>
      <c r="M42" s="46">
        <v>3.1161093392798898E-2</v>
      </c>
      <c r="N42" s="46">
        <v>1.7821648486035555E-2</v>
      </c>
      <c r="O42" s="28"/>
      <c r="P42" s="28"/>
      <c r="Q42" s="28"/>
      <c r="R42" s="28"/>
    </row>
    <row r="43" spans="1:18" x14ac:dyDescent="0.2">
      <c r="A43" s="30" t="s">
        <v>496</v>
      </c>
      <c r="B43" s="46" t="s">
        <v>497</v>
      </c>
      <c r="C43" s="46" t="s">
        <v>377</v>
      </c>
      <c r="D43" s="46" t="s">
        <v>239</v>
      </c>
      <c r="E43" s="46" t="s">
        <v>498</v>
      </c>
      <c r="F43" s="46" t="s">
        <v>194</v>
      </c>
      <c r="G43" s="85" t="s">
        <v>246</v>
      </c>
      <c r="H43" s="88">
        <v>5375.6898234005357</v>
      </c>
      <c r="I43" s="85">
        <v>10690</v>
      </c>
      <c r="J43" s="85">
        <v>0</v>
      </c>
      <c r="K43" s="104">
        <v>574.66124212151726</v>
      </c>
      <c r="L43" s="38">
        <v>1.0717111468538191E-4</v>
      </c>
      <c r="M43" s="46">
        <v>3.0946633318742482E-3</v>
      </c>
      <c r="N43" s="46">
        <v>1.7698994508335085E-3</v>
      </c>
      <c r="O43" s="28"/>
      <c r="P43" s="28"/>
      <c r="Q43" s="28"/>
      <c r="R43" s="28"/>
    </row>
    <row r="44" spans="1:18" x14ac:dyDescent="0.2">
      <c r="A44" s="30" t="s">
        <v>437</v>
      </c>
      <c r="B44" s="46" t="s">
        <v>438</v>
      </c>
      <c r="C44" s="46" t="s">
        <v>377</v>
      </c>
      <c r="D44" s="46" t="s">
        <v>239</v>
      </c>
      <c r="E44" s="46" t="s">
        <v>439</v>
      </c>
      <c r="F44" s="46" t="s">
        <v>412</v>
      </c>
      <c r="G44" s="85" t="s">
        <v>246</v>
      </c>
      <c r="H44" s="88">
        <v>136.55305609145856</v>
      </c>
      <c r="I44" s="85">
        <v>15800</v>
      </c>
      <c r="J44" s="85">
        <v>0</v>
      </c>
      <c r="K44" s="104">
        <v>21.575382862450454</v>
      </c>
      <c r="L44" s="38">
        <v>1.0016772278210173E-6</v>
      </c>
      <c r="M44" s="46">
        <v>1.1618766208954572E-4</v>
      </c>
      <c r="N44" s="46">
        <v>6.6450032611906898E-5</v>
      </c>
      <c r="O44" s="28"/>
      <c r="P44" s="28"/>
      <c r="Q44" s="28"/>
      <c r="R44" s="28"/>
    </row>
    <row r="45" spans="1:18" x14ac:dyDescent="0.2">
      <c r="A45" s="30" t="s">
        <v>430</v>
      </c>
      <c r="B45" s="46" t="s">
        <v>431</v>
      </c>
      <c r="C45" s="46" t="s">
        <v>377</v>
      </c>
      <c r="D45" s="46" t="s">
        <v>239</v>
      </c>
      <c r="E45" s="46" t="s">
        <v>432</v>
      </c>
      <c r="F45" s="46" t="s">
        <v>433</v>
      </c>
      <c r="G45" s="85" t="s">
        <v>246</v>
      </c>
      <c r="H45" s="88">
        <v>15946.974111729665</v>
      </c>
      <c r="I45" s="85">
        <v>15300</v>
      </c>
      <c r="J45" s="85">
        <v>0</v>
      </c>
      <c r="K45" s="104">
        <v>2439.8870390946386</v>
      </c>
      <c r="L45" s="38">
        <v>1.3149675254137586E-4</v>
      </c>
      <c r="M45" s="46">
        <v>1.3139269538913432E-2</v>
      </c>
      <c r="N45" s="46">
        <v>7.5146093281791941E-3</v>
      </c>
      <c r="O45" s="28"/>
      <c r="P45" s="28"/>
      <c r="Q45" s="28"/>
      <c r="R45" s="28"/>
    </row>
    <row r="46" spans="1:18" x14ac:dyDescent="0.2">
      <c r="A46" s="30" t="s">
        <v>461</v>
      </c>
      <c r="B46" s="46" t="s">
        <v>462</v>
      </c>
      <c r="C46" s="46" t="s">
        <v>377</v>
      </c>
      <c r="D46" s="46" t="s">
        <v>239</v>
      </c>
      <c r="E46" s="46" t="s">
        <v>463</v>
      </c>
      <c r="F46" s="46" t="s">
        <v>204</v>
      </c>
      <c r="G46" s="85" t="s">
        <v>246</v>
      </c>
      <c r="H46" s="88">
        <v>120463.16658136698</v>
      </c>
      <c r="I46" s="85">
        <v>2680</v>
      </c>
      <c r="J46" s="85">
        <v>0</v>
      </c>
      <c r="K46" s="104">
        <v>3228.4128643395529</v>
      </c>
      <c r="L46" s="38">
        <v>5.0565065740819013E-4</v>
      </c>
      <c r="M46" s="46">
        <v>1.7385635534665256E-2</v>
      </c>
      <c r="N46" s="46">
        <v>9.9431904169554903E-3</v>
      </c>
      <c r="O46" s="28"/>
      <c r="P46" s="28"/>
      <c r="Q46" s="28"/>
      <c r="R46" s="28"/>
    </row>
    <row r="47" spans="1:18" x14ac:dyDescent="0.2">
      <c r="A47" s="30" t="s">
        <v>415</v>
      </c>
      <c r="B47" s="46" t="s">
        <v>416</v>
      </c>
      <c r="C47" s="46" t="s">
        <v>377</v>
      </c>
      <c r="D47" s="46" t="s">
        <v>239</v>
      </c>
      <c r="E47" s="46" t="s">
        <v>417</v>
      </c>
      <c r="F47" s="46" t="s">
        <v>209</v>
      </c>
      <c r="G47" s="85" t="s">
        <v>246</v>
      </c>
      <c r="H47" s="88">
        <v>7136.7995567566386</v>
      </c>
      <c r="I47" s="85">
        <v>9838</v>
      </c>
      <c r="J47" s="85">
        <v>0</v>
      </c>
      <c r="K47" s="104">
        <v>702.11834036290622</v>
      </c>
      <c r="L47" s="38">
        <v>6.1501910182650975E-5</v>
      </c>
      <c r="M47" s="46">
        <v>3.7810447674110348E-3</v>
      </c>
      <c r="N47" s="46">
        <v>2.1624546322991218E-3</v>
      </c>
      <c r="O47" s="28"/>
      <c r="P47" s="28"/>
      <c r="Q47" s="28"/>
      <c r="R47" s="28"/>
    </row>
    <row r="48" spans="1:18" x14ac:dyDescent="0.2">
      <c r="A48" s="30" t="s">
        <v>476</v>
      </c>
      <c r="B48" s="46" t="s">
        <v>477</v>
      </c>
      <c r="C48" s="46" t="s">
        <v>377</v>
      </c>
      <c r="D48" s="46" t="s">
        <v>239</v>
      </c>
      <c r="E48" s="46" t="s">
        <v>478</v>
      </c>
      <c r="F48" s="46" t="s">
        <v>479</v>
      </c>
      <c r="G48" s="85" t="s">
        <v>246</v>
      </c>
      <c r="H48" s="88">
        <v>135880.55629778729</v>
      </c>
      <c r="I48" s="85">
        <v>1540</v>
      </c>
      <c r="J48" s="85">
        <v>0</v>
      </c>
      <c r="K48" s="104">
        <v>2092.5605669859242</v>
      </c>
      <c r="L48" s="38">
        <v>3.3438377501801651E-4</v>
      </c>
      <c r="M48" s="46">
        <v>1.1268848465350246E-2</v>
      </c>
      <c r="N48" s="46">
        <v>6.4448783507154959E-3</v>
      </c>
      <c r="O48" s="28"/>
      <c r="P48" s="28"/>
      <c r="Q48" s="28"/>
      <c r="R48" s="28"/>
    </row>
    <row r="49" spans="1:18" x14ac:dyDescent="0.2">
      <c r="A49" s="30" t="s">
        <v>467</v>
      </c>
      <c r="B49" s="46" t="s">
        <v>468</v>
      </c>
      <c r="C49" s="46" t="s">
        <v>377</v>
      </c>
      <c r="D49" s="46" t="s">
        <v>239</v>
      </c>
      <c r="E49" s="46" t="s">
        <v>469</v>
      </c>
      <c r="F49" s="46" t="s">
        <v>211</v>
      </c>
      <c r="G49" s="85" t="s">
        <v>246</v>
      </c>
      <c r="H49" s="88">
        <v>130690.91879367499</v>
      </c>
      <c r="I49" s="85">
        <v>2299</v>
      </c>
      <c r="J49" s="85">
        <v>0</v>
      </c>
      <c r="K49" s="104">
        <v>3004.584223066588</v>
      </c>
      <c r="L49" s="38">
        <v>3.6680303264877113E-4</v>
      </c>
      <c r="M49" s="46">
        <v>1.6180274466266967E-2</v>
      </c>
      <c r="N49" s="46">
        <v>9.2538204712683224E-3</v>
      </c>
      <c r="O49" s="28"/>
      <c r="P49" s="28"/>
      <c r="Q49" s="28"/>
      <c r="R49" s="28"/>
    </row>
    <row r="50" spans="1:18" s="139" customFormat="1" x14ac:dyDescent="0.2">
      <c r="A50" s="112" t="s">
        <v>510</v>
      </c>
      <c r="B50" s="142" t="s">
        <v>239</v>
      </c>
      <c r="C50" s="142" t="s">
        <v>239</v>
      </c>
      <c r="D50" s="142" t="s">
        <v>239</v>
      </c>
      <c r="E50" s="142" t="s">
        <v>239</v>
      </c>
      <c r="F50" s="142" t="s">
        <v>239</v>
      </c>
      <c r="G50" s="146" t="s">
        <v>239</v>
      </c>
      <c r="H50" s="157" t="s">
        <v>239</v>
      </c>
      <c r="I50" s="146" t="s">
        <v>239</v>
      </c>
      <c r="J50" s="146" t="s">
        <v>239</v>
      </c>
      <c r="K50" s="148">
        <v>29375.934620405031</v>
      </c>
      <c r="L50" s="145" t="s">
        <v>239</v>
      </c>
      <c r="M50" s="142">
        <v>0.15819516098508565</v>
      </c>
      <c r="N50" s="142">
        <v>9.0474955924348982E-2</v>
      </c>
    </row>
    <row r="51" spans="1:18" x14ac:dyDescent="0.2">
      <c r="A51" s="30" t="s">
        <v>569</v>
      </c>
      <c r="B51" s="46" t="s">
        <v>570</v>
      </c>
      <c r="C51" s="46" t="s">
        <v>377</v>
      </c>
      <c r="D51" s="46" t="s">
        <v>239</v>
      </c>
      <c r="E51" s="46" t="s">
        <v>571</v>
      </c>
      <c r="F51" s="46" t="s">
        <v>379</v>
      </c>
      <c r="G51" s="85" t="s">
        <v>246</v>
      </c>
      <c r="H51" s="88">
        <v>58174.467398526431</v>
      </c>
      <c r="I51" s="85">
        <v>230.40000000000003</v>
      </c>
      <c r="J51" s="85">
        <v>0</v>
      </c>
      <c r="K51" s="104">
        <v>134.03397285539302</v>
      </c>
      <c r="L51" s="38">
        <v>7.022600118124949E-5</v>
      </c>
      <c r="M51" s="46">
        <v>7.2179919336425686E-4</v>
      </c>
      <c r="N51" s="46">
        <v>4.1281130092227409E-4</v>
      </c>
      <c r="O51" s="28"/>
      <c r="P51" s="28"/>
      <c r="Q51" s="28"/>
      <c r="R51" s="28"/>
    </row>
    <row r="52" spans="1:18" x14ac:dyDescent="0.2">
      <c r="A52" s="30" t="s">
        <v>587</v>
      </c>
      <c r="B52" s="46" t="s">
        <v>588</v>
      </c>
      <c r="C52" s="46" t="s">
        <v>377</v>
      </c>
      <c r="D52" s="46" t="s">
        <v>239</v>
      </c>
      <c r="E52" s="46" t="s">
        <v>589</v>
      </c>
      <c r="F52" s="46" t="s">
        <v>194</v>
      </c>
      <c r="G52" s="85" t="s">
        <v>246</v>
      </c>
      <c r="H52" s="88">
        <v>6363.1382436781569</v>
      </c>
      <c r="I52" s="85">
        <v>4550</v>
      </c>
      <c r="J52" s="85">
        <v>0</v>
      </c>
      <c r="K52" s="104">
        <v>289.5227900873561</v>
      </c>
      <c r="L52" s="38">
        <v>1.2978830247254615E-4</v>
      </c>
      <c r="M52" s="46">
        <v>1.5591369254650445E-3</v>
      </c>
      <c r="N52" s="46">
        <v>8.9170138791270636E-4</v>
      </c>
      <c r="O52" s="28"/>
      <c r="P52" s="28"/>
      <c r="Q52" s="28"/>
      <c r="R52" s="28"/>
    </row>
    <row r="53" spans="1:18" x14ac:dyDescent="0.2">
      <c r="A53" s="30" t="s">
        <v>672</v>
      </c>
      <c r="B53" s="46" t="s">
        <v>673</v>
      </c>
      <c r="C53" s="46" t="s">
        <v>377</v>
      </c>
      <c r="D53" s="46" t="s">
        <v>239</v>
      </c>
      <c r="E53" s="46" t="s">
        <v>674</v>
      </c>
      <c r="F53" s="46" t="s">
        <v>205</v>
      </c>
      <c r="G53" s="85" t="s">
        <v>246</v>
      </c>
      <c r="H53" s="88">
        <v>112008.40043357079</v>
      </c>
      <c r="I53" s="85">
        <v>284.89999999999998</v>
      </c>
      <c r="J53" s="85">
        <v>0</v>
      </c>
      <c r="K53" s="104">
        <v>319.11193280956661</v>
      </c>
      <c r="L53" s="38">
        <v>2.4166517140415729E-4</v>
      </c>
      <c r="M53" s="46">
        <v>1.7184802538335439E-3</v>
      </c>
      <c r="N53" s="46">
        <v>9.8283300357785439E-4</v>
      </c>
      <c r="O53" s="28"/>
      <c r="P53" s="28"/>
      <c r="Q53" s="28"/>
      <c r="R53" s="28"/>
    </row>
    <row r="54" spans="1:18" x14ac:dyDescent="0.2">
      <c r="A54" s="30" t="s">
        <v>669</v>
      </c>
      <c r="B54" s="46" t="s">
        <v>670</v>
      </c>
      <c r="C54" s="46" t="s">
        <v>377</v>
      </c>
      <c r="D54" s="46" t="s">
        <v>239</v>
      </c>
      <c r="E54" s="46" t="s">
        <v>671</v>
      </c>
      <c r="F54" s="46" t="s">
        <v>214</v>
      </c>
      <c r="G54" s="85" t="s">
        <v>246</v>
      </c>
      <c r="H54" s="88">
        <v>59529.152182506521</v>
      </c>
      <c r="I54" s="85">
        <v>386.7</v>
      </c>
      <c r="J54" s="85">
        <v>0</v>
      </c>
      <c r="K54" s="104">
        <v>230.1992314692115</v>
      </c>
      <c r="L54" s="38">
        <v>2.0053404456314808E-4</v>
      </c>
      <c r="M54" s="46">
        <v>1.239667944236894E-3</v>
      </c>
      <c r="N54" s="46">
        <v>7.0899072966103835E-4</v>
      </c>
      <c r="O54" s="28"/>
      <c r="P54" s="28"/>
      <c r="Q54" s="28"/>
      <c r="R54" s="28"/>
    </row>
    <row r="55" spans="1:18" x14ac:dyDescent="0.2">
      <c r="A55" s="30" t="s">
        <v>602</v>
      </c>
      <c r="B55" s="46" t="s">
        <v>603</v>
      </c>
      <c r="C55" s="46" t="s">
        <v>377</v>
      </c>
      <c r="D55" s="46" t="s">
        <v>239</v>
      </c>
      <c r="E55" s="46" t="s">
        <v>604</v>
      </c>
      <c r="F55" s="46" t="s">
        <v>529</v>
      </c>
      <c r="G55" s="85" t="s">
        <v>246</v>
      </c>
      <c r="H55" s="88">
        <v>108534.96847594404</v>
      </c>
      <c r="I55" s="85">
        <v>411.30000000000007</v>
      </c>
      <c r="J55" s="85">
        <v>0</v>
      </c>
      <c r="K55" s="104">
        <v>446.40432529534002</v>
      </c>
      <c r="L55" s="38">
        <v>7.1321512791623349E-4</v>
      </c>
      <c r="M55" s="46">
        <v>2.4039747166199671E-3</v>
      </c>
      <c r="N55" s="46">
        <v>1.3748809077032786E-3</v>
      </c>
      <c r="O55" s="28"/>
      <c r="P55" s="28"/>
      <c r="Q55" s="28"/>
      <c r="R55" s="28"/>
    </row>
    <row r="56" spans="1:18" x14ac:dyDescent="0.2">
      <c r="A56" s="30" t="s">
        <v>596</v>
      </c>
      <c r="B56" s="46" t="s">
        <v>597</v>
      </c>
      <c r="C56" s="46" t="s">
        <v>377</v>
      </c>
      <c r="D56" s="46" t="s">
        <v>239</v>
      </c>
      <c r="E56" s="46" t="s">
        <v>598</v>
      </c>
      <c r="F56" s="46" t="s">
        <v>379</v>
      </c>
      <c r="G56" s="85" t="s">
        <v>246</v>
      </c>
      <c r="H56" s="88">
        <v>7904.2656305861738</v>
      </c>
      <c r="I56" s="85">
        <v>3117</v>
      </c>
      <c r="J56" s="85">
        <v>0</v>
      </c>
      <c r="K56" s="104">
        <v>246.37595970537103</v>
      </c>
      <c r="L56" s="38">
        <v>5.5118683752230131E-5</v>
      </c>
      <c r="M56" s="46">
        <v>1.3267827938782618E-3</v>
      </c>
      <c r="N56" s="46">
        <v>7.588134431535334E-4</v>
      </c>
      <c r="O56" s="28"/>
      <c r="P56" s="28"/>
      <c r="Q56" s="28"/>
      <c r="R56" s="28"/>
    </row>
    <row r="57" spans="1:18" x14ac:dyDescent="0.2">
      <c r="A57" s="30" t="s">
        <v>641</v>
      </c>
      <c r="B57" s="46" t="s">
        <v>642</v>
      </c>
      <c r="C57" s="46" t="s">
        <v>377</v>
      </c>
      <c r="D57" s="46" t="s">
        <v>239</v>
      </c>
      <c r="E57" s="46" t="s">
        <v>598</v>
      </c>
      <c r="F57" s="46" t="s">
        <v>379</v>
      </c>
      <c r="G57" s="85" t="s">
        <v>246</v>
      </c>
      <c r="H57" s="88">
        <v>23560.832767210424</v>
      </c>
      <c r="I57" s="85">
        <v>3065.3</v>
      </c>
      <c r="J57" s="85">
        <v>0</v>
      </c>
      <c r="K57" s="104">
        <v>722.21020678762454</v>
      </c>
      <c r="L57" s="38">
        <v>1.6429636236032548E-4</v>
      </c>
      <c r="M57" s="46">
        <v>3.8892434029479399E-3</v>
      </c>
      <c r="N57" s="46">
        <v>2.2243355818826497E-3</v>
      </c>
      <c r="O57" s="28"/>
      <c r="P57" s="28"/>
      <c r="Q57" s="28"/>
      <c r="R57" s="28"/>
    </row>
    <row r="58" spans="1:18" x14ac:dyDescent="0.2">
      <c r="A58" s="30" t="s">
        <v>551</v>
      </c>
      <c r="B58" s="46" t="s">
        <v>552</v>
      </c>
      <c r="C58" s="46" t="s">
        <v>377</v>
      </c>
      <c r="D58" s="46" t="s">
        <v>239</v>
      </c>
      <c r="E58" s="46" t="s">
        <v>553</v>
      </c>
      <c r="F58" s="46" t="s">
        <v>202</v>
      </c>
      <c r="G58" s="85" t="s">
        <v>246</v>
      </c>
      <c r="H58" s="88">
        <v>2527.5003189927438</v>
      </c>
      <c r="I58" s="85">
        <v>8429</v>
      </c>
      <c r="J58" s="85">
        <v>0</v>
      </c>
      <c r="K58" s="104">
        <v>213.04300186068122</v>
      </c>
      <c r="L58" s="38">
        <v>1.7223272935197256E-4</v>
      </c>
      <c r="M58" s="46">
        <v>1.1472782878773878E-3</v>
      </c>
      <c r="N58" s="46">
        <v>6.5615124939539268E-4</v>
      </c>
      <c r="O58" s="28"/>
      <c r="P58" s="28"/>
      <c r="Q58" s="28"/>
      <c r="R58" s="28"/>
    </row>
    <row r="59" spans="1:18" x14ac:dyDescent="0.2">
      <c r="A59" s="30" t="s">
        <v>560</v>
      </c>
      <c r="B59" s="46" t="s">
        <v>561</v>
      </c>
      <c r="C59" s="46" t="s">
        <v>377</v>
      </c>
      <c r="D59" s="46" t="s">
        <v>239</v>
      </c>
      <c r="E59" s="46" t="s">
        <v>562</v>
      </c>
      <c r="F59" s="46" t="s">
        <v>211</v>
      </c>
      <c r="G59" s="85" t="s">
        <v>246</v>
      </c>
      <c r="H59" s="88">
        <v>43349.091437595132</v>
      </c>
      <c r="I59" s="85">
        <v>1385</v>
      </c>
      <c r="J59" s="85">
        <v>0</v>
      </c>
      <c r="K59" s="104">
        <v>600.38491641069265</v>
      </c>
      <c r="L59" s="38">
        <v>3.9837473886926043E-4</v>
      </c>
      <c r="M59" s="46">
        <v>3.2331903557081504E-3</v>
      </c>
      <c r="N59" s="46">
        <v>1.8491258083128323E-3</v>
      </c>
      <c r="O59" s="28"/>
      <c r="P59" s="28"/>
      <c r="Q59" s="28"/>
      <c r="R59" s="28"/>
    </row>
    <row r="60" spans="1:18" x14ac:dyDescent="0.2">
      <c r="A60" s="30" t="s">
        <v>619</v>
      </c>
      <c r="B60" s="46" t="s">
        <v>620</v>
      </c>
      <c r="C60" s="46" t="s">
        <v>377</v>
      </c>
      <c r="D60" s="46" t="s">
        <v>239</v>
      </c>
      <c r="E60" s="46" t="s">
        <v>621</v>
      </c>
      <c r="F60" s="46" t="s">
        <v>194</v>
      </c>
      <c r="G60" s="85" t="s">
        <v>246</v>
      </c>
      <c r="H60" s="88">
        <v>2119.4507112603087</v>
      </c>
      <c r="I60" s="85">
        <v>3108</v>
      </c>
      <c r="J60" s="85">
        <v>0</v>
      </c>
      <c r="K60" s="104">
        <v>65.872528105970403</v>
      </c>
      <c r="L60" s="38">
        <v>6.037013095197775E-5</v>
      </c>
      <c r="M60" s="46">
        <v>3.5473646448614293E-4</v>
      </c>
      <c r="N60" s="46">
        <v>2.0288083269607096E-4</v>
      </c>
      <c r="O60" s="28"/>
      <c r="P60" s="28"/>
      <c r="Q60" s="28"/>
      <c r="R60" s="28"/>
    </row>
    <row r="61" spans="1:18" x14ac:dyDescent="0.2">
      <c r="A61" s="30" t="s">
        <v>523</v>
      </c>
      <c r="B61" s="46" t="s">
        <v>524</v>
      </c>
      <c r="C61" s="46" t="s">
        <v>377</v>
      </c>
      <c r="D61" s="46" t="s">
        <v>239</v>
      </c>
      <c r="E61" s="46" t="s">
        <v>525</v>
      </c>
      <c r="F61" s="46" t="s">
        <v>490</v>
      </c>
      <c r="G61" s="85" t="s">
        <v>246</v>
      </c>
      <c r="H61" s="88">
        <v>4151.6780103020055</v>
      </c>
      <c r="I61" s="85">
        <v>12919.999999999998</v>
      </c>
      <c r="J61" s="85">
        <v>0</v>
      </c>
      <c r="K61" s="104">
        <v>536.39679891047786</v>
      </c>
      <c r="L61" s="38">
        <v>1.5174307766730453E-4</v>
      </c>
      <c r="M61" s="46">
        <v>2.8886018113815398E-3</v>
      </c>
      <c r="N61" s="46">
        <v>1.6520487727963986E-3</v>
      </c>
      <c r="O61" s="28"/>
      <c r="P61" s="28"/>
      <c r="Q61" s="28"/>
      <c r="R61" s="28"/>
    </row>
    <row r="62" spans="1:18" x14ac:dyDescent="0.2">
      <c r="A62" s="30" t="s">
        <v>563</v>
      </c>
      <c r="B62" s="46" t="s">
        <v>564</v>
      </c>
      <c r="C62" s="46" t="s">
        <v>377</v>
      </c>
      <c r="D62" s="46" t="s">
        <v>239</v>
      </c>
      <c r="E62" s="46" t="s">
        <v>565</v>
      </c>
      <c r="F62" s="46" t="s">
        <v>204</v>
      </c>
      <c r="G62" s="85" t="s">
        <v>246</v>
      </c>
      <c r="H62" s="88">
        <v>2299.9825711713775</v>
      </c>
      <c r="I62" s="85">
        <v>9400</v>
      </c>
      <c r="J62" s="85">
        <v>0</v>
      </c>
      <c r="K62" s="104">
        <v>216.19836169010949</v>
      </c>
      <c r="L62" s="38">
        <v>1.0491126520484228E-4</v>
      </c>
      <c r="M62" s="46">
        <v>1.1642705185121725E-3</v>
      </c>
      <c r="N62" s="46">
        <v>6.6586944373310357E-4</v>
      </c>
      <c r="O62" s="28"/>
      <c r="P62" s="28"/>
      <c r="Q62" s="28"/>
      <c r="R62" s="28"/>
    </row>
    <row r="63" spans="1:18" x14ac:dyDescent="0.2">
      <c r="A63" s="30" t="s">
        <v>628</v>
      </c>
      <c r="B63" s="46" t="s">
        <v>629</v>
      </c>
      <c r="C63" s="46" t="s">
        <v>377</v>
      </c>
      <c r="D63" s="46" t="s">
        <v>239</v>
      </c>
      <c r="E63" s="46" t="s">
        <v>630</v>
      </c>
      <c r="F63" s="46" t="s">
        <v>529</v>
      </c>
      <c r="G63" s="85" t="s">
        <v>246</v>
      </c>
      <c r="H63" s="88">
        <v>24844.994170501723</v>
      </c>
      <c r="I63" s="85">
        <v>1438</v>
      </c>
      <c r="J63" s="85">
        <v>0</v>
      </c>
      <c r="K63" s="104">
        <v>357.27101612765108</v>
      </c>
      <c r="L63" s="38">
        <v>4.3804379364353652E-4</v>
      </c>
      <c r="M63" s="46">
        <v>1.9239743906687529E-3</v>
      </c>
      <c r="N63" s="46">
        <v>1.1003591836272588E-3</v>
      </c>
      <c r="O63" s="28"/>
      <c r="P63" s="28"/>
      <c r="Q63" s="28"/>
      <c r="R63" s="28"/>
    </row>
    <row r="64" spans="1:18" x14ac:dyDescent="0.2">
      <c r="A64" s="30" t="s">
        <v>605</v>
      </c>
      <c r="B64" s="46" t="s">
        <v>606</v>
      </c>
      <c r="C64" s="46" t="s">
        <v>377</v>
      </c>
      <c r="D64" s="46" t="s">
        <v>239</v>
      </c>
      <c r="E64" s="46" t="s">
        <v>607</v>
      </c>
      <c r="F64" s="46" t="s">
        <v>199</v>
      </c>
      <c r="G64" s="85" t="s">
        <v>246</v>
      </c>
      <c r="H64" s="88">
        <v>267082.44367610203</v>
      </c>
      <c r="I64" s="85">
        <v>611.4</v>
      </c>
      <c r="J64" s="85">
        <v>0</v>
      </c>
      <c r="K64" s="104">
        <v>1632.942060635688</v>
      </c>
      <c r="L64" s="38">
        <v>3.2544260871387402E-4</v>
      </c>
      <c r="M64" s="46">
        <v>8.7937127958524312E-3</v>
      </c>
      <c r="N64" s="46">
        <v>5.0292990800846378E-3</v>
      </c>
      <c r="O64" s="28"/>
      <c r="P64" s="28"/>
      <c r="Q64" s="28"/>
      <c r="R64" s="28"/>
    </row>
    <row r="65" spans="1:18" x14ac:dyDescent="0.2">
      <c r="A65" s="30" t="s">
        <v>526</v>
      </c>
      <c r="B65" s="46" t="s">
        <v>527</v>
      </c>
      <c r="C65" s="46" t="s">
        <v>377</v>
      </c>
      <c r="D65" s="46" t="s">
        <v>239</v>
      </c>
      <c r="E65" s="46" t="s">
        <v>528</v>
      </c>
      <c r="F65" s="46" t="s">
        <v>529</v>
      </c>
      <c r="G65" s="85" t="s">
        <v>246</v>
      </c>
      <c r="H65" s="88">
        <v>17803.027427169185</v>
      </c>
      <c r="I65" s="85">
        <v>8314</v>
      </c>
      <c r="J65" s="85">
        <v>0</v>
      </c>
      <c r="K65" s="104">
        <v>1480.1437002886837</v>
      </c>
      <c r="L65" s="38">
        <v>4.940817250702166E-4</v>
      </c>
      <c r="M65" s="46">
        <v>7.9708637009827405E-3</v>
      </c>
      <c r="N65" s="46">
        <v>4.5586953326176441E-3</v>
      </c>
      <c r="O65" s="28"/>
      <c r="P65" s="28"/>
      <c r="Q65" s="28"/>
      <c r="R65" s="28"/>
    </row>
    <row r="66" spans="1:18" x14ac:dyDescent="0.2">
      <c r="A66" s="30" t="s">
        <v>666</v>
      </c>
      <c r="B66" s="46" t="s">
        <v>667</v>
      </c>
      <c r="C66" s="46" t="s">
        <v>377</v>
      </c>
      <c r="D66" s="46" t="s">
        <v>239</v>
      </c>
      <c r="E66" s="46" t="s">
        <v>668</v>
      </c>
      <c r="F66" s="46" t="s">
        <v>479</v>
      </c>
      <c r="G66" s="85" t="s">
        <v>246</v>
      </c>
      <c r="H66" s="88">
        <v>3830.1922867902199</v>
      </c>
      <c r="I66" s="85">
        <v>9483</v>
      </c>
      <c r="J66" s="85">
        <v>0</v>
      </c>
      <c r="K66" s="104">
        <v>363.21713455631652</v>
      </c>
      <c r="L66" s="38">
        <v>3.0293679606640265E-4</v>
      </c>
      <c r="M66" s="46">
        <v>1.9559954029093551E-3</v>
      </c>
      <c r="N66" s="46">
        <v>1.1186726367890445E-3</v>
      </c>
      <c r="O66" s="28"/>
      <c r="P66" s="28"/>
      <c r="Q66" s="28"/>
      <c r="R66" s="28"/>
    </row>
    <row r="67" spans="1:18" x14ac:dyDescent="0.2">
      <c r="A67" s="30" t="s">
        <v>616</v>
      </c>
      <c r="B67" s="46" t="s">
        <v>617</v>
      </c>
      <c r="C67" s="46" t="s">
        <v>377</v>
      </c>
      <c r="D67" s="46" t="s">
        <v>239</v>
      </c>
      <c r="E67" s="46" t="s">
        <v>618</v>
      </c>
      <c r="F67" s="46" t="s">
        <v>195</v>
      </c>
      <c r="G67" s="85" t="s">
        <v>246</v>
      </c>
      <c r="H67" s="88">
        <v>442.08352223479352</v>
      </c>
      <c r="I67" s="85">
        <v>4059.0000000000005</v>
      </c>
      <c r="J67" s="85">
        <v>0</v>
      </c>
      <c r="K67" s="104">
        <v>17.944170167510268</v>
      </c>
      <c r="L67" s="38">
        <v>1.7875879846108596E-5</v>
      </c>
      <c r="M67" s="46">
        <v>9.6632870581801384E-5</v>
      </c>
      <c r="N67" s="46">
        <v>5.5266258792555991E-5</v>
      </c>
      <c r="O67" s="28"/>
      <c r="P67" s="28"/>
      <c r="Q67" s="28"/>
      <c r="R67" s="28"/>
    </row>
    <row r="68" spans="1:18" x14ac:dyDescent="0.2">
      <c r="A68" s="30" t="s">
        <v>566</v>
      </c>
      <c r="B68" s="46" t="s">
        <v>567</v>
      </c>
      <c r="C68" s="46" t="s">
        <v>377</v>
      </c>
      <c r="D68" s="46" t="s">
        <v>239</v>
      </c>
      <c r="E68" s="46" t="s">
        <v>568</v>
      </c>
      <c r="F68" s="46" t="s">
        <v>433</v>
      </c>
      <c r="G68" s="85" t="s">
        <v>246</v>
      </c>
      <c r="H68" s="88">
        <v>49788.997446137764</v>
      </c>
      <c r="I68" s="85">
        <v>1490</v>
      </c>
      <c r="J68" s="85">
        <v>0</v>
      </c>
      <c r="K68" s="104">
        <v>741.85606194745276</v>
      </c>
      <c r="L68" s="38">
        <v>5.7408004698139906E-4</v>
      </c>
      <c r="M68" s="46">
        <v>3.9950401804754844E-3</v>
      </c>
      <c r="N68" s="46">
        <v>2.2848428611454154E-3</v>
      </c>
      <c r="O68" s="28"/>
      <c r="P68" s="28"/>
      <c r="Q68" s="28"/>
      <c r="R68" s="28"/>
    </row>
    <row r="69" spans="1:18" x14ac:dyDescent="0.2">
      <c r="A69" s="30" t="s">
        <v>599</v>
      </c>
      <c r="B69" s="46" t="s">
        <v>600</v>
      </c>
      <c r="C69" s="46" t="s">
        <v>377</v>
      </c>
      <c r="D69" s="46" t="s">
        <v>239</v>
      </c>
      <c r="E69" s="46" t="s">
        <v>601</v>
      </c>
      <c r="F69" s="46" t="s">
        <v>433</v>
      </c>
      <c r="G69" s="85" t="s">
        <v>246</v>
      </c>
      <c r="H69" s="88">
        <v>302.94226937487588</v>
      </c>
      <c r="I69" s="85">
        <v>25480</v>
      </c>
      <c r="J69" s="85">
        <v>0</v>
      </c>
      <c r="K69" s="104">
        <v>77.189690236718363</v>
      </c>
      <c r="L69" s="38">
        <v>2.0486588288045461E-5</v>
      </c>
      <c r="M69" s="46">
        <v>4.1568159894067027E-4</v>
      </c>
      <c r="N69" s="46">
        <v>2.3773656607780651E-4</v>
      </c>
      <c r="O69" s="28"/>
      <c r="P69" s="28"/>
      <c r="Q69" s="28"/>
      <c r="R69" s="28"/>
    </row>
    <row r="70" spans="1:18" x14ac:dyDescent="0.2">
      <c r="A70" s="30" t="s">
        <v>684</v>
      </c>
      <c r="B70" s="46" t="s">
        <v>685</v>
      </c>
      <c r="C70" s="46" t="s">
        <v>377</v>
      </c>
      <c r="D70" s="46" t="s">
        <v>239</v>
      </c>
      <c r="E70" s="46" t="s">
        <v>686</v>
      </c>
      <c r="F70" s="46" t="s">
        <v>379</v>
      </c>
      <c r="G70" s="85" t="s">
        <v>246</v>
      </c>
      <c r="H70" s="88">
        <v>646993.23319515574</v>
      </c>
      <c r="I70" s="85">
        <v>61.199999999999996</v>
      </c>
      <c r="J70" s="85">
        <v>0</v>
      </c>
      <c r="K70" s="104">
        <v>395.95985869838614</v>
      </c>
      <c r="L70" s="38">
        <v>2.0182505486738748E-4</v>
      </c>
      <c r="M70" s="46">
        <v>2.1323213848288207E-3</v>
      </c>
      <c r="N70" s="46">
        <v>1.21951696946737E-3</v>
      </c>
      <c r="O70" s="28"/>
      <c r="P70" s="28"/>
      <c r="Q70" s="28"/>
      <c r="R70" s="28"/>
    </row>
    <row r="71" spans="1:18" x14ac:dyDescent="0.2">
      <c r="A71" s="30" t="s">
        <v>681</v>
      </c>
      <c r="B71" s="46" t="s">
        <v>682</v>
      </c>
      <c r="C71" s="46" t="s">
        <v>377</v>
      </c>
      <c r="D71" s="46" t="s">
        <v>239</v>
      </c>
      <c r="E71" s="46" t="s">
        <v>683</v>
      </c>
      <c r="F71" s="46" t="s">
        <v>529</v>
      </c>
      <c r="G71" s="85" t="s">
        <v>246</v>
      </c>
      <c r="H71" s="88">
        <v>17854.860278412638</v>
      </c>
      <c r="I71" s="85">
        <v>1386</v>
      </c>
      <c r="J71" s="85">
        <v>0</v>
      </c>
      <c r="K71" s="104">
        <v>247.46836345879916</v>
      </c>
      <c r="L71" s="38">
        <v>1.1800260882257085E-4</v>
      </c>
      <c r="M71" s="46">
        <v>1.3326656020294699E-3</v>
      </c>
      <c r="N71" s="46">
        <v>7.6217793802731864E-4</v>
      </c>
      <c r="O71" s="28"/>
      <c r="P71" s="28"/>
      <c r="Q71" s="28"/>
      <c r="R71" s="28"/>
    </row>
    <row r="72" spans="1:18" x14ac:dyDescent="0.2">
      <c r="A72" s="30" t="s">
        <v>530</v>
      </c>
      <c r="B72" s="46" t="s">
        <v>531</v>
      </c>
      <c r="C72" s="46" t="s">
        <v>377</v>
      </c>
      <c r="D72" s="46" t="s">
        <v>239</v>
      </c>
      <c r="E72" s="46" t="s">
        <v>532</v>
      </c>
      <c r="F72" s="46" t="s">
        <v>204</v>
      </c>
      <c r="G72" s="85" t="s">
        <v>246</v>
      </c>
      <c r="H72" s="88">
        <v>18715.713010721898</v>
      </c>
      <c r="I72" s="85">
        <v>1684</v>
      </c>
      <c r="J72" s="85">
        <v>0</v>
      </c>
      <c r="K72" s="104">
        <v>315.17260710055677</v>
      </c>
      <c r="L72" s="38">
        <v>2.0081030508196701E-4</v>
      </c>
      <c r="M72" s="46">
        <v>1.6972662134034353E-3</v>
      </c>
      <c r="N72" s="46">
        <v>9.707002723303266E-4</v>
      </c>
      <c r="O72" s="28"/>
      <c r="P72" s="28"/>
      <c r="Q72" s="28"/>
      <c r="R72" s="28"/>
    </row>
    <row r="73" spans="1:18" x14ac:dyDescent="0.2">
      <c r="A73" s="30" t="s">
        <v>545</v>
      </c>
      <c r="B73" s="46" t="s">
        <v>546</v>
      </c>
      <c r="C73" s="46" t="s">
        <v>377</v>
      </c>
      <c r="D73" s="46" t="s">
        <v>239</v>
      </c>
      <c r="E73" s="46" t="s">
        <v>547</v>
      </c>
      <c r="F73" s="46" t="s">
        <v>210</v>
      </c>
      <c r="G73" s="85" t="s">
        <v>246</v>
      </c>
      <c r="H73" s="88">
        <v>8072.363926739652</v>
      </c>
      <c r="I73" s="85">
        <v>5522</v>
      </c>
      <c r="J73" s="85">
        <v>0</v>
      </c>
      <c r="K73" s="104">
        <v>445.75593599245406</v>
      </c>
      <c r="L73" s="38">
        <v>3.1636832151243465E-4</v>
      </c>
      <c r="M73" s="46">
        <v>2.4004830132417941E-3</v>
      </c>
      <c r="N73" s="46">
        <v>1.3728839331607332E-3</v>
      </c>
      <c r="O73" s="28"/>
      <c r="P73" s="28"/>
      <c r="Q73" s="28"/>
      <c r="R73" s="28"/>
    </row>
    <row r="74" spans="1:18" x14ac:dyDescent="0.2">
      <c r="A74" s="30" t="s">
        <v>687</v>
      </c>
      <c r="B74" s="46" t="s">
        <v>688</v>
      </c>
      <c r="C74" s="46" t="s">
        <v>377</v>
      </c>
      <c r="D74" s="46" t="s">
        <v>239</v>
      </c>
      <c r="E74" s="46" t="s">
        <v>689</v>
      </c>
      <c r="F74" s="46" t="s">
        <v>490</v>
      </c>
      <c r="G74" s="85" t="s">
        <v>246</v>
      </c>
      <c r="H74" s="88">
        <v>1182.8059231857949</v>
      </c>
      <c r="I74" s="85">
        <v>36670</v>
      </c>
      <c r="J74" s="85">
        <v>0</v>
      </c>
      <c r="K74" s="104">
        <v>433.73493203223097</v>
      </c>
      <c r="L74" s="38">
        <v>1.5364174753048821E-4</v>
      </c>
      <c r="M74" s="46">
        <v>2.3357475526934539E-3</v>
      </c>
      <c r="N74" s="46">
        <v>1.3358604369717083E-3</v>
      </c>
      <c r="O74" s="28"/>
      <c r="P74" s="28"/>
      <c r="Q74" s="28"/>
      <c r="R74" s="28"/>
    </row>
    <row r="75" spans="1:18" x14ac:dyDescent="0.2">
      <c r="A75" s="30" t="s">
        <v>578</v>
      </c>
      <c r="B75" s="46" t="s">
        <v>579</v>
      </c>
      <c r="C75" s="46" t="s">
        <v>377</v>
      </c>
      <c r="D75" s="46" t="s">
        <v>239</v>
      </c>
      <c r="E75" s="46" t="s">
        <v>580</v>
      </c>
      <c r="F75" s="46" t="s">
        <v>211</v>
      </c>
      <c r="G75" s="85" t="s">
        <v>246</v>
      </c>
      <c r="H75" s="88">
        <v>10341.46371297427</v>
      </c>
      <c r="I75" s="85">
        <v>4955</v>
      </c>
      <c r="J75" s="85">
        <v>0</v>
      </c>
      <c r="K75" s="104">
        <v>512.41952697787508</v>
      </c>
      <c r="L75" s="38">
        <v>7.3596918995595976E-4</v>
      </c>
      <c r="M75" s="46">
        <v>2.7594795062574496E-3</v>
      </c>
      <c r="N75" s="46">
        <v>1.5782011608201142E-3</v>
      </c>
      <c r="O75" s="28"/>
      <c r="P75" s="28"/>
      <c r="Q75" s="28"/>
      <c r="R75" s="28"/>
    </row>
    <row r="76" spans="1:18" x14ac:dyDescent="0.2">
      <c r="A76" s="30" t="s">
        <v>625</v>
      </c>
      <c r="B76" s="46" t="s">
        <v>626</v>
      </c>
      <c r="C76" s="46" t="s">
        <v>377</v>
      </c>
      <c r="D76" s="46" t="s">
        <v>239</v>
      </c>
      <c r="E76" s="46" t="s">
        <v>627</v>
      </c>
      <c r="F76" s="46" t="s">
        <v>193</v>
      </c>
      <c r="G76" s="85" t="s">
        <v>246</v>
      </c>
      <c r="H76" s="88">
        <v>2582.0498011339791</v>
      </c>
      <c r="I76" s="85">
        <v>27180</v>
      </c>
      <c r="J76" s="85">
        <v>0</v>
      </c>
      <c r="K76" s="104">
        <v>701.80113594821557</v>
      </c>
      <c r="L76" s="38">
        <v>3.7956193945265623E-4</v>
      </c>
      <c r="M76" s="46">
        <v>3.779336559515845E-3</v>
      </c>
      <c r="N76" s="46">
        <v>2.1614776742615647E-3</v>
      </c>
      <c r="O76" s="28"/>
      <c r="P76" s="28"/>
      <c r="Q76" s="28"/>
      <c r="R76" s="28"/>
    </row>
    <row r="77" spans="1:18" x14ac:dyDescent="0.2">
      <c r="A77" s="30" t="s">
        <v>622</v>
      </c>
      <c r="B77" s="46" t="s">
        <v>623</v>
      </c>
      <c r="C77" s="46" t="s">
        <v>377</v>
      </c>
      <c r="D77" s="46" t="s">
        <v>239</v>
      </c>
      <c r="E77" s="46" t="s">
        <v>624</v>
      </c>
      <c r="F77" s="46" t="s">
        <v>204</v>
      </c>
      <c r="G77" s="85" t="s">
        <v>246</v>
      </c>
      <c r="H77" s="88">
        <v>5563.072188250344</v>
      </c>
      <c r="I77" s="85">
        <v>9290</v>
      </c>
      <c r="J77" s="85">
        <v>0</v>
      </c>
      <c r="K77" s="104">
        <v>516.8094062884569</v>
      </c>
      <c r="L77" s="38">
        <v>3.8425327897519769E-4</v>
      </c>
      <c r="M77" s="46">
        <v>2.7831198660695318E-3</v>
      </c>
      <c r="N77" s="46">
        <v>1.5917215523334523E-3</v>
      </c>
      <c r="O77" s="28"/>
      <c r="P77" s="28"/>
      <c r="Q77" s="28"/>
      <c r="R77" s="28"/>
    </row>
    <row r="78" spans="1:18" x14ac:dyDescent="0.2">
      <c r="A78" s="30" t="s">
        <v>660</v>
      </c>
      <c r="B78" s="46" t="s">
        <v>661</v>
      </c>
      <c r="C78" s="46" t="s">
        <v>377</v>
      </c>
      <c r="D78" s="46" t="s">
        <v>239</v>
      </c>
      <c r="E78" s="46" t="s">
        <v>662</v>
      </c>
      <c r="F78" s="46" t="s">
        <v>433</v>
      </c>
      <c r="G78" s="85" t="s">
        <v>246</v>
      </c>
      <c r="H78" s="88">
        <v>1001.8837796350379</v>
      </c>
      <c r="I78" s="85">
        <v>1543</v>
      </c>
      <c r="J78" s="85">
        <v>0</v>
      </c>
      <c r="K78" s="104">
        <v>15.459066719768634</v>
      </c>
      <c r="L78" s="38">
        <v>2.1283528199379643E-5</v>
      </c>
      <c r="M78" s="46">
        <v>8.3250101827032867E-5</v>
      </c>
      <c r="N78" s="46">
        <v>4.7612387424470405E-5</v>
      </c>
      <c r="O78" s="28"/>
      <c r="P78" s="28"/>
      <c r="Q78" s="28"/>
      <c r="R78" s="28"/>
    </row>
    <row r="79" spans="1:18" x14ac:dyDescent="0.2">
      <c r="A79" s="30" t="s">
        <v>514</v>
      </c>
      <c r="B79" s="46" t="s">
        <v>515</v>
      </c>
      <c r="C79" s="46" t="s">
        <v>377</v>
      </c>
      <c r="D79" s="46" t="s">
        <v>239</v>
      </c>
      <c r="E79" s="46" t="s">
        <v>516</v>
      </c>
      <c r="F79" s="46" t="s">
        <v>433</v>
      </c>
      <c r="G79" s="85" t="s">
        <v>246</v>
      </c>
      <c r="H79" s="88">
        <v>940.55856268393018</v>
      </c>
      <c r="I79" s="85">
        <v>198000</v>
      </c>
      <c r="J79" s="85">
        <v>0</v>
      </c>
      <c r="K79" s="104">
        <v>1862.3059541141818</v>
      </c>
      <c r="L79" s="38">
        <v>4.4004345547296239E-4</v>
      </c>
      <c r="M79" s="46">
        <v>1.0028882281414695E-2</v>
      </c>
      <c r="N79" s="46">
        <v>5.7357170518447364E-3</v>
      </c>
      <c r="O79" s="28"/>
      <c r="P79" s="28"/>
      <c r="Q79" s="28"/>
      <c r="R79" s="28"/>
    </row>
    <row r="80" spans="1:18" x14ac:dyDescent="0.2">
      <c r="A80" s="30" t="s">
        <v>608</v>
      </c>
      <c r="B80" s="46" t="s">
        <v>609</v>
      </c>
      <c r="C80" s="46" t="s">
        <v>377</v>
      </c>
      <c r="D80" s="46" t="s">
        <v>239</v>
      </c>
      <c r="E80" s="46" t="s">
        <v>610</v>
      </c>
      <c r="F80" s="46" t="s">
        <v>207</v>
      </c>
      <c r="G80" s="85" t="s">
        <v>246</v>
      </c>
      <c r="H80" s="88">
        <v>59565.777220904638</v>
      </c>
      <c r="I80" s="85">
        <v>1341</v>
      </c>
      <c r="J80" s="85">
        <v>0</v>
      </c>
      <c r="K80" s="104">
        <v>798.7770725323312</v>
      </c>
      <c r="L80" s="38">
        <v>3.2443024385112024E-4</v>
      </c>
      <c r="M80" s="46">
        <v>4.3015709700236701E-3</v>
      </c>
      <c r="N80" s="46">
        <v>2.4601539104918777E-3</v>
      </c>
      <c r="O80" s="28"/>
      <c r="P80" s="28"/>
      <c r="Q80" s="28"/>
      <c r="R80" s="28"/>
    </row>
    <row r="81" spans="1:18" x14ac:dyDescent="0.2">
      <c r="A81" s="30" t="s">
        <v>631</v>
      </c>
      <c r="B81" s="46" t="s">
        <v>632</v>
      </c>
      <c r="C81" s="46" t="s">
        <v>377</v>
      </c>
      <c r="D81" s="46" t="s">
        <v>239</v>
      </c>
      <c r="E81" s="46" t="s">
        <v>633</v>
      </c>
      <c r="F81" s="46" t="s">
        <v>479</v>
      </c>
      <c r="G81" s="85" t="s">
        <v>246</v>
      </c>
      <c r="H81" s="88">
        <v>2659.7624632313823</v>
      </c>
      <c r="I81" s="85">
        <v>10060</v>
      </c>
      <c r="J81" s="85">
        <v>0</v>
      </c>
      <c r="K81" s="104">
        <v>267.57210380107705</v>
      </c>
      <c r="L81" s="38">
        <v>1.421734447084536E-4</v>
      </c>
      <c r="M81" s="46">
        <v>1.4409281809378499E-3</v>
      </c>
      <c r="N81" s="46">
        <v>8.2409545809555569E-4</v>
      </c>
      <c r="O81" s="28"/>
      <c r="P81" s="28"/>
      <c r="Q81" s="28"/>
      <c r="R81" s="28"/>
    </row>
    <row r="82" spans="1:18" x14ac:dyDescent="0.2">
      <c r="A82" s="30" t="s">
        <v>637</v>
      </c>
      <c r="B82" s="46" t="s">
        <v>638</v>
      </c>
      <c r="C82" s="46" t="s">
        <v>377</v>
      </c>
      <c r="D82" s="46" t="s">
        <v>239</v>
      </c>
      <c r="E82" s="46" t="s">
        <v>633</v>
      </c>
      <c r="F82" s="46" t="s">
        <v>222</v>
      </c>
      <c r="G82" s="85" t="s">
        <v>246</v>
      </c>
      <c r="H82" s="88">
        <v>2364.5693782287381</v>
      </c>
      <c r="I82" s="85">
        <v>9888.3700000000008</v>
      </c>
      <c r="J82" s="85">
        <v>0</v>
      </c>
      <c r="K82" s="104">
        <v>233.81736899463166</v>
      </c>
      <c r="L82" s="38">
        <v>1.2639435979800898E-4</v>
      </c>
      <c r="M82" s="46">
        <v>1.2591523233961002E-3</v>
      </c>
      <c r="N82" s="46">
        <v>7.2013423325915839E-4</v>
      </c>
      <c r="O82" s="28"/>
      <c r="P82" s="28"/>
      <c r="Q82" s="28"/>
      <c r="R82" s="28"/>
    </row>
    <row r="83" spans="1:18" x14ac:dyDescent="0.2">
      <c r="A83" s="30" t="s">
        <v>690</v>
      </c>
      <c r="B83" s="46" t="s">
        <v>691</v>
      </c>
      <c r="C83" s="46" t="s">
        <v>377</v>
      </c>
      <c r="D83" s="46" t="s">
        <v>239</v>
      </c>
      <c r="E83" s="46" t="s">
        <v>692</v>
      </c>
      <c r="F83" s="46" t="s">
        <v>203</v>
      </c>
      <c r="G83" s="85" t="s">
        <v>246</v>
      </c>
      <c r="H83" s="88">
        <v>65465.173511235269</v>
      </c>
      <c r="I83" s="85">
        <v>850</v>
      </c>
      <c r="J83" s="85">
        <v>0</v>
      </c>
      <c r="K83" s="104">
        <v>556.45397481982332</v>
      </c>
      <c r="L83" s="38">
        <v>3.2732586755617637E-4</v>
      </c>
      <c r="M83" s="46">
        <v>2.996613631699287E-3</v>
      </c>
      <c r="N83" s="46">
        <v>1.7138228790440494E-3</v>
      </c>
      <c r="O83" s="28"/>
      <c r="P83" s="28"/>
      <c r="Q83" s="28"/>
      <c r="R83" s="28"/>
    </row>
    <row r="84" spans="1:18" x14ac:dyDescent="0.2">
      <c r="A84" s="30" t="s">
        <v>643</v>
      </c>
      <c r="B84" s="46" t="s">
        <v>644</v>
      </c>
      <c r="C84" s="46" t="s">
        <v>377</v>
      </c>
      <c r="D84" s="46" t="s">
        <v>239</v>
      </c>
      <c r="E84" s="46" t="s">
        <v>645</v>
      </c>
      <c r="F84" s="46" t="s">
        <v>205</v>
      </c>
      <c r="G84" s="85" t="s">
        <v>246</v>
      </c>
      <c r="H84" s="88">
        <v>38638.342230002439</v>
      </c>
      <c r="I84" s="85">
        <v>429.88</v>
      </c>
      <c r="J84" s="85">
        <v>0</v>
      </c>
      <c r="K84" s="104">
        <v>166.09850553314376</v>
      </c>
      <c r="L84" s="38">
        <v>1.4499880382113473E-4</v>
      </c>
      <c r="M84" s="46">
        <v>8.9447298142970638E-4</v>
      </c>
      <c r="N84" s="46">
        <v>5.1156687136595408E-4</v>
      </c>
      <c r="O84" s="28"/>
      <c r="P84" s="28"/>
      <c r="Q84" s="28"/>
      <c r="R84" s="28"/>
    </row>
    <row r="85" spans="1:18" x14ac:dyDescent="0.2">
      <c r="A85" s="30" t="s">
        <v>658</v>
      </c>
      <c r="B85" s="46" t="s">
        <v>659</v>
      </c>
      <c r="C85" s="46" t="s">
        <v>377</v>
      </c>
      <c r="D85" s="46" t="s">
        <v>239</v>
      </c>
      <c r="E85" s="46" t="s">
        <v>645</v>
      </c>
      <c r="F85" s="46" t="s">
        <v>479</v>
      </c>
      <c r="G85" s="85" t="s">
        <v>246</v>
      </c>
      <c r="H85" s="88">
        <v>24417.022637087619</v>
      </c>
      <c r="I85" s="85">
        <v>437.8</v>
      </c>
      <c r="J85" s="85">
        <v>0</v>
      </c>
      <c r="K85" s="104">
        <v>106.89772506408711</v>
      </c>
      <c r="L85" s="38">
        <v>9.163020126940498E-5</v>
      </c>
      <c r="M85" s="46">
        <v>5.7566518457956458E-4</v>
      </c>
      <c r="N85" s="46">
        <v>3.2923435759788286E-4</v>
      </c>
      <c r="O85" s="28"/>
      <c r="P85" s="28"/>
      <c r="Q85" s="28"/>
      <c r="R85" s="28"/>
    </row>
    <row r="86" spans="1:18" x14ac:dyDescent="0.2">
      <c r="A86" s="30" t="s">
        <v>590</v>
      </c>
      <c r="B86" s="46" t="s">
        <v>591</v>
      </c>
      <c r="C86" s="46" t="s">
        <v>377</v>
      </c>
      <c r="D86" s="46" t="s">
        <v>239</v>
      </c>
      <c r="E86" s="46" t="s">
        <v>592</v>
      </c>
      <c r="F86" s="46" t="s">
        <v>433</v>
      </c>
      <c r="G86" s="85" t="s">
        <v>246</v>
      </c>
      <c r="H86" s="88">
        <v>150.39271936724666</v>
      </c>
      <c r="I86" s="85">
        <v>52479.999999999993</v>
      </c>
      <c r="J86" s="85">
        <v>0</v>
      </c>
      <c r="K86" s="104">
        <v>78.926099123931039</v>
      </c>
      <c r="L86" s="38">
        <v>2.8787774895356283E-5</v>
      </c>
      <c r="M86" s="46">
        <v>4.2503250086083376E-4</v>
      </c>
      <c r="N86" s="46">
        <v>2.4308453268949992E-4</v>
      </c>
      <c r="O86" s="28"/>
      <c r="P86" s="28"/>
      <c r="Q86" s="28"/>
      <c r="R86" s="28"/>
    </row>
    <row r="87" spans="1:18" x14ac:dyDescent="0.2">
      <c r="A87" s="30" t="s">
        <v>652</v>
      </c>
      <c r="B87" s="46" t="s">
        <v>653</v>
      </c>
      <c r="C87" s="46" t="s">
        <v>377</v>
      </c>
      <c r="D87" s="46" t="s">
        <v>239</v>
      </c>
      <c r="E87" s="46" t="s">
        <v>654</v>
      </c>
      <c r="F87" s="46" t="s">
        <v>204</v>
      </c>
      <c r="G87" s="85" t="s">
        <v>246</v>
      </c>
      <c r="H87" s="88">
        <v>1459.1934991287226</v>
      </c>
      <c r="I87" s="85">
        <v>19000</v>
      </c>
      <c r="J87" s="85">
        <v>0</v>
      </c>
      <c r="K87" s="104">
        <v>277.24676483445734</v>
      </c>
      <c r="L87" s="38">
        <v>1.1498033727626998E-4</v>
      </c>
      <c r="M87" s="46">
        <v>1.4930281253116582E-3</v>
      </c>
      <c r="N87" s="46">
        <v>8.5389245151513147E-4</v>
      </c>
      <c r="O87" s="28"/>
      <c r="P87" s="28"/>
      <c r="Q87" s="28"/>
      <c r="R87" s="28"/>
    </row>
    <row r="88" spans="1:18" x14ac:dyDescent="0.2">
      <c r="A88" s="30" t="s">
        <v>554</v>
      </c>
      <c r="B88" s="46" t="s">
        <v>555</v>
      </c>
      <c r="C88" s="46" t="s">
        <v>377</v>
      </c>
      <c r="D88" s="46" t="s">
        <v>239</v>
      </c>
      <c r="E88" s="46" t="s">
        <v>556</v>
      </c>
      <c r="F88" s="46" t="s">
        <v>202</v>
      </c>
      <c r="G88" s="85" t="s">
        <v>246</v>
      </c>
      <c r="H88" s="88">
        <v>121901.68798857607</v>
      </c>
      <c r="I88" s="85">
        <v>222.7</v>
      </c>
      <c r="J88" s="85">
        <v>0</v>
      </c>
      <c r="K88" s="104">
        <v>271.47505913176366</v>
      </c>
      <c r="L88" s="38">
        <v>1.1566632089580587E-4</v>
      </c>
      <c r="M88" s="46">
        <v>1.4619463597578249E-3</v>
      </c>
      <c r="N88" s="46">
        <v>8.3611617219645407E-4</v>
      </c>
      <c r="O88" s="28"/>
      <c r="P88" s="28"/>
      <c r="Q88" s="28"/>
      <c r="R88" s="28"/>
    </row>
    <row r="89" spans="1:18" x14ac:dyDescent="0.2">
      <c r="A89" s="30" t="s">
        <v>584</v>
      </c>
      <c r="B89" s="46" t="s">
        <v>585</v>
      </c>
      <c r="C89" s="46" t="s">
        <v>377</v>
      </c>
      <c r="D89" s="46" t="s">
        <v>239</v>
      </c>
      <c r="E89" s="46" t="s">
        <v>586</v>
      </c>
      <c r="F89" s="46" t="s">
        <v>433</v>
      </c>
      <c r="G89" s="85" t="s">
        <v>246</v>
      </c>
      <c r="H89" s="88">
        <v>19205.344377955033</v>
      </c>
      <c r="I89" s="85">
        <v>716.7</v>
      </c>
      <c r="J89" s="85">
        <v>0</v>
      </c>
      <c r="K89" s="104">
        <v>137.6447031568037</v>
      </c>
      <c r="L89" s="38">
        <v>1.2800662544517352E-4</v>
      </c>
      <c r="M89" s="46">
        <v>7.412436831715233E-4</v>
      </c>
      <c r="N89" s="46">
        <v>4.2393199100741356E-4</v>
      </c>
      <c r="O89" s="28"/>
      <c r="P89" s="28"/>
      <c r="Q89" s="28"/>
      <c r="R89" s="28"/>
    </row>
    <row r="90" spans="1:18" x14ac:dyDescent="0.2">
      <c r="A90" s="30" t="s">
        <v>581</v>
      </c>
      <c r="B90" s="46" t="s">
        <v>582</v>
      </c>
      <c r="C90" s="46" t="s">
        <v>377</v>
      </c>
      <c r="D90" s="46" t="s">
        <v>239</v>
      </c>
      <c r="E90" s="46" t="s">
        <v>583</v>
      </c>
      <c r="F90" s="46" t="s">
        <v>433</v>
      </c>
      <c r="G90" s="85" t="s">
        <v>246</v>
      </c>
      <c r="H90" s="88">
        <v>19629.916489514337</v>
      </c>
      <c r="I90" s="85">
        <v>8287</v>
      </c>
      <c r="J90" s="85">
        <v>0</v>
      </c>
      <c r="K90" s="104">
        <v>1626.7311794860534</v>
      </c>
      <c r="L90" s="38">
        <v>5.4003359197964823E-4</v>
      </c>
      <c r="M90" s="46">
        <v>8.7602659845076366E-3</v>
      </c>
      <c r="N90" s="46">
        <v>5.0101701840843636E-3</v>
      </c>
      <c r="O90" s="28"/>
      <c r="P90" s="28"/>
      <c r="Q90" s="28"/>
      <c r="R90" s="28"/>
    </row>
    <row r="91" spans="1:18" x14ac:dyDescent="0.2">
      <c r="A91" s="30" t="s">
        <v>639</v>
      </c>
      <c r="B91" s="46" t="s">
        <v>640</v>
      </c>
      <c r="C91" s="46" t="s">
        <v>377</v>
      </c>
      <c r="D91" s="46" t="s">
        <v>239</v>
      </c>
      <c r="E91" s="46" t="s">
        <v>583</v>
      </c>
      <c r="F91" s="46" t="s">
        <v>433</v>
      </c>
      <c r="G91" s="85" t="s">
        <v>246</v>
      </c>
      <c r="H91" s="88">
        <v>4987.563014352646</v>
      </c>
      <c r="I91" s="85">
        <v>8227.99</v>
      </c>
      <c r="J91" s="85">
        <v>0</v>
      </c>
      <c r="K91" s="104">
        <v>410.37618602817361</v>
      </c>
      <c r="L91" s="38">
        <v>1.3721156538309552E-4</v>
      </c>
      <c r="M91" s="46">
        <v>2.2099561308281967E-3</v>
      </c>
      <c r="N91" s="46">
        <v>1.2639178233162041E-3</v>
      </c>
      <c r="O91" s="28"/>
      <c r="P91" s="28"/>
      <c r="Q91" s="28"/>
      <c r="R91" s="28"/>
    </row>
    <row r="92" spans="1:18" x14ac:dyDescent="0.2">
      <c r="A92" s="30" t="s">
        <v>572</v>
      </c>
      <c r="B92" s="46" t="s">
        <v>573</v>
      </c>
      <c r="C92" s="46" t="s">
        <v>377</v>
      </c>
      <c r="D92" s="46" t="s">
        <v>239</v>
      </c>
      <c r="E92" s="46" t="s">
        <v>574</v>
      </c>
      <c r="F92" s="46" t="s">
        <v>193</v>
      </c>
      <c r="G92" s="85" t="s">
        <v>246</v>
      </c>
      <c r="H92" s="88">
        <v>412.41169499638772</v>
      </c>
      <c r="I92" s="85">
        <v>58640</v>
      </c>
      <c r="J92" s="85">
        <v>0</v>
      </c>
      <c r="K92" s="104">
        <v>241.83821794588178</v>
      </c>
      <c r="L92" s="38">
        <v>1.8835686813812311E-4</v>
      </c>
      <c r="M92" s="46">
        <v>1.3023461658210726E-3</v>
      </c>
      <c r="N92" s="46">
        <v>7.4483765000887229E-4</v>
      </c>
      <c r="O92" s="28"/>
      <c r="P92" s="28"/>
      <c r="Q92" s="28"/>
      <c r="R92" s="28"/>
    </row>
    <row r="93" spans="1:18" x14ac:dyDescent="0.2">
      <c r="A93" s="30" t="s">
        <v>520</v>
      </c>
      <c r="B93" s="46" t="s">
        <v>521</v>
      </c>
      <c r="C93" s="46" t="s">
        <v>377</v>
      </c>
      <c r="D93" s="46" t="s">
        <v>239</v>
      </c>
      <c r="E93" s="46" t="s">
        <v>522</v>
      </c>
      <c r="F93" s="46" t="s">
        <v>202</v>
      </c>
      <c r="G93" s="85" t="s">
        <v>246</v>
      </c>
      <c r="H93" s="88">
        <v>6886.5188751222267</v>
      </c>
      <c r="I93" s="85">
        <v>4147</v>
      </c>
      <c r="J93" s="85">
        <v>0</v>
      </c>
      <c r="K93" s="104">
        <v>285.58393775131873</v>
      </c>
      <c r="L93" s="38">
        <v>1.088400301094371E-4</v>
      </c>
      <c r="M93" s="46">
        <v>1.5379254342410991E-3</v>
      </c>
      <c r="N93" s="46">
        <v>8.7957011460683637E-4</v>
      </c>
      <c r="O93" s="28"/>
      <c r="P93" s="28"/>
      <c r="Q93" s="28"/>
      <c r="R93" s="28"/>
    </row>
    <row r="94" spans="1:18" x14ac:dyDescent="0.2">
      <c r="A94" s="30" t="s">
        <v>649</v>
      </c>
      <c r="B94" s="46" t="s">
        <v>650</v>
      </c>
      <c r="C94" s="46" t="s">
        <v>377</v>
      </c>
      <c r="D94" s="46" t="s">
        <v>239</v>
      </c>
      <c r="E94" s="46" t="s">
        <v>651</v>
      </c>
      <c r="F94" s="46" t="s">
        <v>204</v>
      </c>
      <c r="G94" s="85" t="s">
        <v>246</v>
      </c>
      <c r="H94" s="88">
        <v>11475.663917085729</v>
      </c>
      <c r="I94" s="85">
        <v>6559.9999999999991</v>
      </c>
      <c r="J94" s="85">
        <v>0</v>
      </c>
      <c r="K94" s="104">
        <v>752.80355296082382</v>
      </c>
      <c r="L94" s="38">
        <v>5.4971254772813135E-4</v>
      </c>
      <c r="M94" s="46">
        <v>4.0539945635656507E-3</v>
      </c>
      <c r="N94" s="46">
        <v>2.3185600442654024E-3</v>
      </c>
      <c r="O94" s="28"/>
      <c r="P94" s="28"/>
      <c r="Q94" s="28"/>
      <c r="R94" s="28"/>
    </row>
    <row r="95" spans="1:18" x14ac:dyDescent="0.2">
      <c r="A95" s="30" t="s">
        <v>575</v>
      </c>
      <c r="B95" s="46" t="s">
        <v>576</v>
      </c>
      <c r="C95" s="46" t="s">
        <v>377</v>
      </c>
      <c r="D95" s="46" t="s">
        <v>239</v>
      </c>
      <c r="E95" s="46" t="s">
        <v>577</v>
      </c>
      <c r="F95" s="46" t="s">
        <v>214</v>
      </c>
      <c r="G95" s="85" t="s">
        <v>246</v>
      </c>
      <c r="H95" s="88">
        <v>3899.7808868088487</v>
      </c>
      <c r="I95" s="85">
        <v>10230</v>
      </c>
      <c r="J95" s="85">
        <v>0</v>
      </c>
      <c r="K95" s="104">
        <v>398.94758472054519</v>
      </c>
      <c r="L95" s="38">
        <v>6.1532984586996572E-4</v>
      </c>
      <c r="M95" s="46">
        <v>2.1484108745816501E-3</v>
      </c>
      <c r="N95" s="46">
        <v>1.2287188683571199E-3</v>
      </c>
      <c r="O95" s="28"/>
      <c r="P95" s="28"/>
      <c r="Q95" s="28"/>
      <c r="R95" s="28"/>
    </row>
    <row r="96" spans="1:18" x14ac:dyDescent="0.2">
      <c r="A96" s="30" t="s">
        <v>611</v>
      </c>
      <c r="B96" s="46" t="s">
        <v>612</v>
      </c>
      <c r="C96" s="46" t="s">
        <v>377</v>
      </c>
      <c r="D96" s="46" t="s">
        <v>239</v>
      </c>
      <c r="E96" s="46" t="s">
        <v>613</v>
      </c>
      <c r="F96" s="46" t="s">
        <v>207</v>
      </c>
      <c r="G96" s="85" t="s">
        <v>246</v>
      </c>
      <c r="H96" s="88">
        <v>25682.840863372901</v>
      </c>
      <c r="I96" s="85">
        <v>1400</v>
      </c>
      <c r="J96" s="85">
        <v>0</v>
      </c>
      <c r="K96" s="104">
        <v>359.55977208722061</v>
      </c>
      <c r="L96" s="38">
        <v>1.6249442594967661E-4</v>
      </c>
      <c r="M96" s="46">
        <v>1.9362997897465471E-3</v>
      </c>
      <c r="N96" s="46">
        <v>1.1074083242670193E-3</v>
      </c>
      <c r="O96" s="28"/>
      <c r="P96" s="28"/>
      <c r="Q96" s="28"/>
      <c r="R96" s="28"/>
    </row>
    <row r="97" spans="1:18" x14ac:dyDescent="0.2">
      <c r="A97" s="30" t="s">
        <v>655</v>
      </c>
      <c r="B97" s="46" t="s">
        <v>656</v>
      </c>
      <c r="C97" s="46" t="s">
        <v>377</v>
      </c>
      <c r="D97" s="46" t="s">
        <v>239</v>
      </c>
      <c r="E97" s="46" t="s">
        <v>657</v>
      </c>
      <c r="F97" s="46" t="s">
        <v>490</v>
      </c>
      <c r="G97" s="85" t="s">
        <v>246</v>
      </c>
      <c r="H97" s="88">
        <v>1527.626654161432</v>
      </c>
      <c r="I97" s="85">
        <v>24890</v>
      </c>
      <c r="J97" s="85">
        <v>0</v>
      </c>
      <c r="K97" s="104">
        <v>380.2262742207804</v>
      </c>
      <c r="L97" s="38">
        <v>2.0940204452134277E-4</v>
      </c>
      <c r="M97" s="46">
        <v>2.0475929511136128E-3</v>
      </c>
      <c r="N97" s="46">
        <v>1.1710590946614186E-3</v>
      </c>
      <c r="O97" s="28"/>
      <c r="P97" s="28"/>
      <c r="Q97" s="28"/>
      <c r="R97" s="28"/>
    </row>
    <row r="98" spans="1:18" x14ac:dyDescent="0.2">
      <c r="A98" s="30" t="s">
        <v>517</v>
      </c>
      <c r="B98" s="46" t="s">
        <v>518</v>
      </c>
      <c r="C98" s="46" t="s">
        <v>377</v>
      </c>
      <c r="D98" s="46" t="s">
        <v>239</v>
      </c>
      <c r="E98" s="46" t="s">
        <v>519</v>
      </c>
      <c r="F98" s="46" t="s">
        <v>201</v>
      </c>
      <c r="G98" s="85" t="s">
        <v>246</v>
      </c>
      <c r="H98" s="88">
        <v>5901.4358304666694</v>
      </c>
      <c r="I98" s="85">
        <v>7808</v>
      </c>
      <c r="J98" s="85">
        <v>0</v>
      </c>
      <c r="K98" s="104">
        <v>460.78410959764688</v>
      </c>
      <c r="L98" s="38">
        <v>1.6645970033449326E-4</v>
      </c>
      <c r="M98" s="46">
        <v>2.4814126712596847E-3</v>
      </c>
      <c r="N98" s="46">
        <v>1.419169212663256E-3</v>
      </c>
      <c r="O98" s="28"/>
      <c r="P98" s="28"/>
      <c r="Q98" s="28"/>
      <c r="R98" s="28"/>
    </row>
    <row r="99" spans="1:18" x14ac:dyDescent="0.2">
      <c r="A99" s="30" t="s">
        <v>539</v>
      </c>
      <c r="B99" s="46" t="s">
        <v>540</v>
      </c>
      <c r="C99" s="46" t="s">
        <v>377</v>
      </c>
      <c r="D99" s="46" t="s">
        <v>239</v>
      </c>
      <c r="E99" s="46" t="s">
        <v>541</v>
      </c>
      <c r="F99" s="46" t="s">
        <v>193</v>
      </c>
      <c r="G99" s="85" t="s">
        <v>246</v>
      </c>
      <c r="H99" s="88">
        <v>4577.2259850198643</v>
      </c>
      <c r="I99" s="85">
        <v>29020</v>
      </c>
      <c r="J99" s="85">
        <v>0</v>
      </c>
      <c r="K99" s="104">
        <v>1328.3109808527647</v>
      </c>
      <c r="L99" s="38">
        <v>2.9927723800165541E-4</v>
      </c>
      <c r="M99" s="46">
        <v>7.1532147715327012E-3</v>
      </c>
      <c r="N99" s="46">
        <v>4.0910656630820637E-3</v>
      </c>
      <c r="O99" s="28"/>
      <c r="P99" s="28"/>
      <c r="Q99" s="28"/>
      <c r="R99" s="28"/>
    </row>
    <row r="100" spans="1:18" x14ac:dyDescent="0.2">
      <c r="A100" s="30" t="s">
        <v>646</v>
      </c>
      <c r="B100" s="46" t="s">
        <v>647</v>
      </c>
      <c r="C100" s="46" t="s">
        <v>377</v>
      </c>
      <c r="D100" s="46" t="s">
        <v>239</v>
      </c>
      <c r="E100" s="46" t="s">
        <v>648</v>
      </c>
      <c r="F100" s="46" t="s">
        <v>379</v>
      </c>
      <c r="G100" s="85" t="s">
        <v>246</v>
      </c>
      <c r="H100" s="88">
        <v>4752.6276691934518</v>
      </c>
      <c r="I100" s="85">
        <v>26939.999999999996</v>
      </c>
      <c r="J100" s="85">
        <v>0</v>
      </c>
      <c r="K100" s="104">
        <v>1280.3578940807161</v>
      </c>
      <c r="L100" s="38">
        <v>4.8172286320405686E-4</v>
      </c>
      <c r="M100" s="46">
        <v>6.8949780080165297E-3</v>
      </c>
      <c r="N100" s="46">
        <v>3.943374926831447E-3</v>
      </c>
      <c r="O100" s="28"/>
      <c r="P100" s="28"/>
      <c r="Q100" s="28"/>
      <c r="R100" s="28"/>
    </row>
    <row r="101" spans="1:18" x14ac:dyDescent="0.2">
      <c r="A101" s="30" t="s">
        <v>511</v>
      </c>
      <c r="B101" s="46" t="s">
        <v>512</v>
      </c>
      <c r="C101" s="46" t="s">
        <v>377</v>
      </c>
      <c r="D101" s="46" t="s">
        <v>239</v>
      </c>
      <c r="E101" s="46" t="s">
        <v>513</v>
      </c>
      <c r="F101" s="46" t="s">
        <v>213</v>
      </c>
      <c r="G101" s="85" t="s">
        <v>246</v>
      </c>
      <c r="H101" s="88">
        <v>1715.9333749999748</v>
      </c>
      <c r="I101" s="85">
        <v>14350</v>
      </c>
      <c r="J101" s="85">
        <v>0</v>
      </c>
      <c r="K101" s="104">
        <v>246.2364393124964</v>
      </c>
      <c r="L101" s="38">
        <v>1.797173714161802E-4</v>
      </c>
      <c r="M101" s="46">
        <v>1.3260314492386201E-3</v>
      </c>
      <c r="N101" s="46">
        <v>7.583837342248135E-4</v>
      </c>
      <c r="O101" s="28"/>
      <c r="P101" s="28"/>
      <c r="Q101" s="28"/>
      <c r="R101" s="28"/>
    </row>
    <row r="102" spans="1:18" x14ac:dyDescent="0.2">
      <c r="A102" s="30" t="s">
        <v>634</v>
      </c>
      <c r="B102" s="46" t="s">
        <v>635</v>
      </c>
      <c r="C102" s="46" t="s">
        <v>377</v>
      </c>
      <c r="D102" s="46" t="s">
        <v>239</v>
      </c>
      <c r="E102" s="46" t="s">
        <v>636</v>
      </c>
      <c r="F102" s="46" t="s">
        <v>204</v>
      </c>
      <c r="G102" s="85" t="s">
        <v>246</v>
      </c>
      <c r="H102" s="88">
        <v>11445.725053672801</v>
      </c>
      <c r="I102" s="85">
        <v>1405</v>
      </c>
      <c r="J102" s="85">
        <v>0</v>
      </c>
      <c r="K102" s="104">
        <v>160.81243700410283</v>
      </c>
      <c r="L102" s="38">
        <v>7.4633053297292647E-5</v>
      </c>
      <c r="M102" s="46">
        <v>8.6600646716435375E-4</v>
      </c>
      <c r="N102" s="46">
        <v>4.9528630622451813E-4</v>
      </c>
      <c r="O102" s="28"/>
      <c r="P102" s="28"/>
      <c r="Q102" s="28"/>
      <c r="R102" s="28"/>
    </row>
    <row r="103" spans="1:18" x14ac:dyDescent="0.2">
      <c r="A103" s="30" t="s">
        <v>675</v>
      </c>
      <c r="B103" s="46" t="s">
        <v>676</v>
      </c>
      <c r="C103" s="46" t="s">
        <v>377</v>
      </c>
      <c r="D103" s="46" t="s">
        <v>239</v>
      </c>
      <c r="E103" s="46" t="s">
        <v>677</v>
      </c>
      <c r="F103" s="46" t="s">
        <v>206</v>
      </c>
      <c r="G103" s="85" t="s">
        <v>246</v>
      </c>
      <c r="H103" s="88">
        <v>2145.045101526182</v>
      </c>
      <c r="I103" s="85">
        <v>19340</v>
      </c>
      <c r="J103" s="85">
        <v>0</v>
      </c>
      <c r="K103" s="104">
        <v>414.85172263516358</v>
      </c>
      <c r="L103" s="38">
        <v>1.4093093678642447E-4</v>
      </c>
      <c r="M103" s="46">
        <v>2.23405777195677E-3</v>
      </c>
      <c r="N103" s="46">
        <v>1.2777020307801585E-3</v>
      </c>
      <c r="O103" s="28"/>
      <c r="P103" s="28"/>
      <c r="Q103" s="28"/>
      <c r="R103" s="28"/>
    </row>
    <row r="104" spans="1:18" x14ac:dyDescent="0.2">
      <c r="A104" s="30" t="s">
        <v>663</v>
      </c>
      <c r="B104" s="46" t="s">
        <v>664</v>
      </c>
      <c r="C104" s="46" t="s">
        <v>377</v>
      </c>
      <c r="D104" s="46" t="s">
        <v>239</v>
      </c>
      <c r="E104" s="46" t="s">
        <v>665</v>
      </c>
      <c r="F104" s="46" t="s">
        <v>479</v>
      </c>
      <c r="G104" s="85" t="s">
        <v>246</v>
      </c>
      <c r="H104" s="88">
        <v>7539.1347444136009</v>
      </c>
      <c r="I104" s="85">
        <v>4051</v>
      </c>
      <c r="J104" s="85">
        <v>0</v>
      </c>
      <c r="K104" s="104">
        <v>305.41034849619501</v>
      </c>
      <c r="L104" s="38">
        <v>9.1104443261726342E-5</v>
      </c>
      <c r="M104" s="46">
        <v>1.6446945389545712E-3</v>
      </c>
      <c r="N104" s="46">
        <v>9.4063348710749276E-4</v>
      </c>
      <c r="O104" s="28"/>
      <c r="P104" s="28"/>
      <c r="Q104" s="28"/>
      <c r="R104" s="28"/>
    </row>
    <row r="105" spans="1:18" x14ac:dyDescent="0.2">
      <c r="A105" s="30" t="s">
        <v>678</v>
      </c>
      <c r="B105" s="46" t="s">
        <v>679</v>
      </c>
      <c r="C105" s="46" t="s">
        <v>377</v>
      </c>
      <c r="D105" s="46" t="s">
        <v>239</v>
      </c>
      <c r="E105" s="46" t="s">
        <v>680</v>
      </c>
      <c r="F105" s="46" t="s">
        <v>199</v>
      </c>
      <c r="G105" s="85" t="s">
        <v>246</v>
      </c>
      <c r="H105" s="88">
        <v>44132.760444844993</v>
      </c>
      <c r="I105" s="85">
        <v>1494</v>
      </c>
      <c r="J105" s="85">
        <v>0</v>
      </c>
      <c r="K105" s="104">
        <v>659.34344104598415</v>
      </c>
      <c r="L105" s="38">
        <v>3.4172766051480491E-4</v>
      </c>
      <c r="M105" s="46">
        <v>3.5506935574494973E-3</v>
      </c>
      <c r="N105" s="46">
        <v>2.0307121982157212E-3</v>
      </c>
      <c r="O105" s="28"/>
      <c r="P105" s="28"/>
      <c r="Q105" s="28"/>
      <c r="R105" s="28"/>
    </row>
    <row r="106" spans="1:18" x14ac:dyDescent="0.2">
      <c r="A106" s="30" t="s">
        <v>557</v>
      </c>
      <c r="B106" s="46" t="s">
        <v>558</v>
      </c>
      <c r="C106" s="46" t="s">
        <v>377</v>
      </c>
      <c r="D106" s="46" t="s">
        <v>239</v>
      </c>
      <c r="E106" s="46" t="s">
        <v>559</v>
      </c>
      <c r="F106" s="46" t="s">
        <v>490</v>
      </c>
      <c r="G106" s="85" t="s">
        <v>246</v>
      </c>
      <c r="H106" s="88">
        <v>23999.722125973032</v>
      </c>
      <c r="I106" s="85">
        <v>7750</v>
      </c>
      <c r="J106" s="85">
        <v>0</v>
      </c>
      <c r="K106" s="104">
        <v>1859.9784647629101</v>
      </c>
      <c r="L106" s="38">
        <v>4.4550224222896396E-4</v>
      </c>
      <c r="M106" s="46">
        <v>1.0016348295436944E-2</v>
      </c>
      <c r="N106" s="46">
        <v>5.7285486162122435E-3</v>
      </c>
      <c r="O106" s="28"/>
      <c r="P106" s="28"/>
      <c r="Q106" s="28"/>
      <c r="R106" s="28"/>
    </row>
    <row r="107" spans="1:18" x14ac:dyDescent="0.2">
      <c r="A107" s="30" t="s">
        <v>548</v>
      </c>
      <c r="B107" s="46" t="s">
        <v>549</v>
      </c>
      <c r="C107" s="46" t="s">
        <v>377</v>
      </c>
      <c r="D107" s="46" t="s">
        <v>239</v>
      </c>
      <c r="E107" s="46" t="s">
        <v>550</v>
      </c>
      <c r="F107" s="46" t="s">
        <v>209</v>
      </c>
      <c r="G107" s="85" t="s">
        <v>246</v>
      </c>
      <c r="H107" s="88">
        <v>480.81403816280601</v>
      </c>
      <c r="I107" s="85">
        <v>9780</v>
      </c>
      <c r="J107" s="85">
        <v>0</v>
      </c>
      <c r="K107" s="104">
        <v>47.023612932322429</v>
      </c>
      <c r="L107" s="38">
        <v>3.8228005439127102E-5</v>
      </c>
      <c r="M107" s="46">
        <v>2.5323136485883615E-4</v>
      </c>
      <c r="N107" s="46">
        <v>1.4482804930061009E-4</v>
      </c>
      <c r="O107" s="28"/>
      <c r="P107" s="28"/>
      <c r="Q107" s="28"/>
      <c r="R107" s="28"/>
    </row>
    <row r="108" spans="1:18" x14ac:dyDescent="0.2">
      <c r="A108" s="30" t="s">
        <v>593</v>
      </c>
      <c r="B108" s="46" t="s">
        <v>594</v>
      </c>
      <c r="C108" s="46" t="s">
        <v>377</v>
      </c>
      <c r="D108" s="46" t="s">
        <v>239</v>
      </c>
      <c r="E108" s="46" t="s">
        <v>595</v>
      </c>
      <c r="F108" s="46" t="s">
        <v>204</v>
      </c>
      <c r="G108" s="85" t="s">
        <v>246</v>
      </c>
      <c r="H108" s="88">
        <v>13014.567714309733</v>
      </c>
      <c r="I108" s="85">
        <v>925.2</v>
      </c>
      <c r="J108" s="85">
        <v>0</v>
      </c>
      <c r="K108" s="104">
        <v>120.41078045171116</v>
      </c>
      <c r="L108" s="38">
        <v>1.4238366257701167E-4</v>
      </c>
      <c r="M108" s="46">
        <v>6.4843563427142514E-4</v>
      </c>
      <c r="N108" s="46">
        <v>3.7085322373429296E-4</v>
      </c>
      <c r="O108" s="28"/>
      <c r="P108" s="28"/>
      <c r="Q108" s="28"/>
      <c r="R108" s="28"/>
    </row>
    <row r="109" spans="1:18" x14ac:dyDescent="0.2">
      <c r="A109" s="30" t="s">
        <v>614</v>
      </c>
      <c r="B109" s="46" t="s">
        <v>615</v>
      </c>
      <c r="C109" s="46" t="s">
        <v>377</v>
      </c>
      <c r="D109" s="46" t="s">
        <v>239</v>
      </c>
      <c r="E109" s="46" t="s">
        <v>595</v>
      </c>
      <c r="F109" s="46" t="s">
        <v>204</v>
      </c>
      <c r="G109" s="85" t="s">
        <v>246</v>
      </c>
      <c r="H109" s="88">
        <v>2992.4381835772465</v>
      </c>
      <c r="I109" s="85">
        <v>901.45999999999992</v>
      </c>
      <c r="J109" s="85">
        <v>0</v>
      </c>
      <c r="K109" s="104">
        <v>26.975633235296574</v>
      </c>
      <c r="L109" s="38">
        <v>3.2738260537424734E-5</v>
      </c>
      <c r="M109" s="46">
        <v>1.4526906794543818E-4</v>
      </c>
      <c r="N109" s="46">
        <v>8.308226647194282E-5</v>
      </c>
      <c r="O109" s="28"/>
      <c r="P109" s="28"/>
      <c r="Q109" s="28"/>
      <c r="R109" s="28"/>
    </row>
    <row r="110" spans="1:18" x14ac:dyDescent="0.2">
      <c r="A110" s="30" t="s">
        <v>533</v>
      </c>
      <c r="B110" s="46" t="s">
        <v>534</v>
      </c>
      <c r="C110" s="46" t="s">
        <v>377</v>
      </c>
      <c r="D110" s="46" t="s">
        <v>239</v>
      </c>
      <c r="E110" s="46" t="s">
        <v>535</v>
      </c>
      <c r="F110" s="46" t="s">
        <v>433</v>
      </c>
      <c r="G110" s="85" t="s">
        <v>246</v>
      </c>
      <c r="H110" s="88">
        <v>696.23494457203435</v>
      </c>
      <c r="I110" s="85">
        <v>13219.999999999998</v>
      </c>
      <c r="J110" s="85">
        <v>0</v>
      </c>
      <c r="K110" s="104">
        <v>92.042259672422944</v>
      </c>
      <c r="L110" s="38">
        <v>6.0098122357851105E-5</v>
      </c>
      <c r="M110" s="46">
        <v>4.9566559411512077E-4</v>
      </c>
      <c r="N110" s="46">
        <v>2.8348100220973091E-4</v>
      </c>
      <c r="O110" s="28"/>
      <c r="P110" s="28"/>
      <c r="Q110" s="28"/>
      <c r="R110" s="28"/>
    </row>
    <row r="111" spans="1:18" x14ac:dyDescent="0.2">
      <c r="A111" s="30" t="s">
        <v>542</v>
      </c>
      <c r="B111" s="46" t="s">
        <v>543</v>
      </c>
      <c r="C111" s="46" t="s">
        <v>377</v>
      </c>
      <c r="D111" s="46" t="s">
        <v>239</v>
      </c>
      <c r="E111" s="46" t="s">
        <v>544</v>
      </c>
      <c r="F111" s="46" t="s">
        <v>433</v>
      </c>
      <c r="G111" s="85" t="s">
        <v>246</v>
      </c>
      <c r="H111" s="88">
        <v>17600.112903228215</v>
      </c>
      <c r="I111" s="85">
        <v>1259</v>
      </c>
      <c r="J111" s="85">
        <v>0</v>
      </c>
      <c r="K111" s="104">
        <v>221.58542145164321</v>
      </c>
      <c r="L111" s="38">
        <v>9.8570673376576992E-5</v>
      </c>
      <c r="M111" s="46">
        <v>1.1932808903428664E-3</v>
      </c>
      <c r="N111" s="46">
        <v>6.8246105182267374E-4</v>
      </c>
      <c r="O111" s="28"/>
      <c r="P111" s="28"/>
      <c r="Q111" s="28"/>
      <c r="R111" s="28"/>
    </row>
    <row r="112" spans="1:18" x14ac:dyDescent="0.2">
      <c r="A112" s="30" t="s">
        <v>536</v>
      </c>
      <c r="B112" s="46" t="s">
        <v>537</v>
      </c>
      <c r="C112" s="46" t="s">
        <v>377</v>
      </c>
      <c r="D112" s="46" t="s">
        <v>239</v>
      </c>
      <c r="E112" s="46" t="s">
        <v>538</v>
      </c>
      <c r="F112" s="46" t="s">
        <v>204</v>
      </c>
      <c r="G112" s="85" t="s">
        <v>246</v>
      </c>
      <c r="H112" s="88">
        <v>2813.1850161172615</v>
      </c>
      <c r="I112" s="85">
        <v>23590</v>
      </c>
      <c r="J112" s="85">
        <v>0</v>
      </c>
      <c r="K112" s="104">
        <v>663.63034530206198</v>
      </c>
      <c r="L112" s="38">
        <v>2.0421531459810169E-4</v>
      </c>
      <c r="M112" s="46">
        <v>3.5737793764261919E-3</v>
      </c>
      <c r="N112" s="46">
        <v>2.0439154368065075E-3</v>
      </c>
      <c r="O112" s="28"/>
      <c r="P112" s="28"/>
      <c r="Q112" s="28"/>
      <c r="R112" s="28"/>
    </row>
    <row r="113" spans="1:18" s="139" customFormat="1" x14ac:dyDescent="0.2">
      <c r="A113" s="112" t="s">
        <v>693</v>
      </c>
      <c r="B113" s="142" t="s">
        <v>239</v>
      </c>
      <c r="C113" s="142" t="s">
        <v>239</v>
      </c>
      <c r="D113" s="142" t="s">
        <v>239</v>
      </c>
      <c r="E113" s="142" t="s">
        <v>239</v>
      </c>
      <c r="F113" s="142" t="s">
        <v>239</v>
      </c>
      <c r="G113" s="146" t="s">
        <v>239</v>
      </c>
      <c r="H113" s="157" t="s">
        <v>239</v>
      </c>
      <c r="I113" s="146" t="s">
        <v>239</v>
      </c>
      <c r="J113" s="146" t="s">
        <v>239</v>
      </c>
      <c r="K113" s="148">
        <v>7558.0455105032861</v>
      </c>
      <c r="L113" s="145" t="s">
        <v>239</v>
      </c>
      <c r="M113" s="142">
        <v>4.0701555260003699E-2</v>
      </c>
      <c r="N113" s="142">
        <v>2.3278028198020963E-2</v>
      </c>
    </row>
    <row r="114" spans="1:18" x14ac:dyDescent="0.2">
      <c r="A114" s="30" t="s">
        <v>706</v>
      </c>
      <c r="B114" s="46" t="s">
        <v>707</v>
      </c>
      <c r="C114" s="46" t="s">
        <v>377</v>
      </c>
      <c r="D114" s="46" t="s">
        <v>239</v>
      </c>
      <c r="E114" s="46" t="s">
        <v>708</v>
      </c>
      <c r="F114" s="46" t="s">
        <v>193</v>
      </c>
      <c r="G114" s="85" t="s">
        <v>246</v>
      </c>
      <c r="H114" s="88">
        <v>7533.8813212109544</v>
      </c>
      <c r="I114" s="85">
        <v>1325</v>
      </c>
      <c r="J114" s="85">
        <v>0</v>
      </c>
      <c r="K114" s="104">
        <v>99.823927506045152</v>
      </c>
      <c r="L114" s="38">
        <v>1.6999103169712442E-4</v>
      </c>
      <c r="M114" s="46">
        <v>5.3757139937985734E-4</v>
      </c>
      <c r="N114" s="46">
        <v>3.0744776491405188E-4</v>
      </c>
      <c r="O114" s="28"/>
      <c r="P114" s="28"/>
      <c r="Q114" s="28"/>
      <c r="R114" s="28"/>
    </row>
    <row r="115" spans="1:18" x14ac:dyDescent="0.2">
      <c r="A115" s="30" t="s">
        <v>739</v>
      </c>
      <c r="B115" s="46" t="s">
        <v>740</v>
      </c>
      <c r="C115" s="46" t="s">
        <v>377</v>
      </c>
      <c r="D115" s="46" t="s">
        <v>239</v>
      </c>
      <c r="E115" s="46" t="s">
        <v>741</v>
      </c>
      <c r="F115" s="46" t="s">
        <v>205</v>
      </c>
      <c r="G115" s="85" t="s">
        <v>246</v>
      </c>
      <c r="H115" s="88">
        <v>24478.954488332889</v>
      </c>
      <c r="I115" s="85">
        <v>300.8</v>
      </c>
      <c r="J115" s="85">
        <v>0</v>
      </c>
      <c r="K115" s="104">
        <v>73.632695059822836</v>
      </c>
      <c r="L115" s="38">
        <v>4.4640229224844548E-4</v>
      </c>
      <c r="M115" s="46">
        <v>3.96526483302535E-4</v>
      </c>
      <c r="N115" s="46">
        <v>2.2678137482989288E-4</v>
      </c>
      <c r="O115" s="28"/>
      <c r="P115" s="28"/>
      <c r="Q115" s="28"/>
      <c r="R115" s="28"/>
    </row>
    <row r="116" spans="1:18" x14ac:dyDescent="0.2">
      <c r="A116" s="30" t="s">
        <v>718</v>
      </c>
      <c r="B116" s="46" t="s">
        <v>719</v>
      </c>
      <c r="C116" s="46" t="s">
        <v>377</v>
      </c>
      <c r="D116" s="46" t="s">
        <v>239</v>
      </c>
      <c r="E116" s="46" t="s">
        <v>720</v>
      </c>
      <c r="F116" s="46" t="s">
        <v>205</v>
      </c>
      <c r="G116" s="85" t="s">
        <v>246</v>
      </c>
      <c r="H116" s="88">
        <v>4487.3375004263971</v>
      </c>
      <c r="I116" s="85">
        <v>2698</v>
      </c>
      <c r="J116" s="85">
        <v>0</v>
      </c>
      <c r="K116" s="104">
        <v>121.0683657615042</v>
      </c>
      <c r="L116" s="38">
        <v>3.3803560718639609E-4</v>
      </c>
      <c r="M116" s="46">
        <v>6.5197685994776086E-4</v>
      </c>
      <c r="N116" s="46">
        <v>3.7287852106317177E-4</v>
      </c>
      <c r="O116" s="28"/>
      <c r="P116" s="28"/>
      <c r="Q116" s="28"/>
      <c r="R116" s="28"/>
    </row>
    <row r="117" spans="1:18" x14ac:dyDescent="0.2">
      <c r="A117" s="30" t="s">
        <v>709</v>
      </c>
      <c r="B117" s="46" t="s">
        <v>710</v>
      </c>
      <c r="C117" s="46" t="s">
        <v>377</v>
      </c>
      <c r="D117" s="46" t="s">
        <v>239</v>
      </c>
      <c r="E117" s="46" t="s">
        <v>711</v>
      </c>
      <c r="F117" s="46" t="s">
        <v>202</v>
      </c>
      <c r="G117" s="85" t="s">
        <v>246</v>
      </c>
      <c r="H117" s="88">
        <v>2978.4804081473421</v>
      </c>
      <c r="I117" s="85">
        <v>1664</v>
      </c>
      <c r="J117" s="85">
        <v>0</v>
      </c>
      <c r="K117" s="104">
        <v>49.561913991571771</v>
      </c>
      <c r="L117" s="38">
        <v>1.6367255427289794E-4</v>
      </c>
      <c r="M117" s="46">
        <v>2.6690061316992275E-4</v>
      </c>
      <c r="N117" s="46">
        <v>1.5264576401933743E-4</v>
      </c>
      <c r="O117" s="28"/>
      <c r="P117" s="28"/>
      <c r="Q117" s="28"/>
      <c r="R117" s="28"/>
    </row>
    <row r="118" spans="1:18" x14ac:dyDescent="0.2">
      <c r="A118" s="30" t="s">
        <v>721</v>
      </c>
      <c r="B118" s="46" t="s">
        <v>722</v>
      </c>
      <c r="C118" s="46" t="s">
        <v>377</v>
      </c>
      <c r="D118" s="46" t="s">
        <v>239</v>
      </c>
      <c r="E118" s="46" t="s">
        <v>723</v>
      </c>
      <c r="F118" s="46" t="s">
        <v>216</v>
      </c>
      <c r="G118" s="85" t="s">
        <v>246</v>
      </c>
      <c r="H118" s="88">
        <v>478.28238116899126</v>
      </c>
      <c r="I118" s="85">
        <v>1038</v>
      </c>
      <c r="J118" s="85">
        <v>0</v>
      </c>
      <c r="K118" s="104">
        <v>4.964571097019947</v>
      </c>
      <c r="L118" s="38">
        <v>3.4070702922301993E-5</v>
      </c>
      <c r="M118" s="46">
        <v>2.6735187631083624E-5</v>
      </c>
      <c r="N118" s="46">
        <v>1.5290385037627901E-5</v>
      </c>
      <c r="O118" s="28"/>
      <c r="P118" s="28"/>
      <c r="Q118" s="28"/>
      <c r="R118" s="28"/>
    </row>
    <row r="119" spans="1:18" x14ac:dyDescent="0.2">
      <c r="A119" s="30" t="s">
        <v>757</v>
      </c>
      <c r="B119" s="46" t="s">
        <v>758</v>
      </c>
      <c r="C119" s="46" t="s">
        <v>377</v>
      </c>
      <c r="D119" s="46" t="s">
        <v>239</v>
      </c>
      <c r="E119" s="46" t="s">
        <v>759</v>
      </c>
      <c r="F119" s="46" t="s">
        <v>529</v>
      </c>
      <c r="G119" s="85" t="s">
        <v>246</v>
      </c>
      <c r="H119" s="88">
        <v>14949.45668166675</v>
      </c>
      <c r="I119" s="85">
        <v>9930</v>
      </c>
      <c r="J119" s="85">
        <v>0</v>
      </c>
      <c r="K119" s="104">
        <v>1484.4810484484258</v>
      </c>
      <c r="L119" s="38">
        <v>6.4431261743419662E-4</v>
      </c>
      <c r="M119" s="46">
        <v>7.994221170259724E-3</v>
      </c>
      <c r="N119" s="46">
        <v>4.572053933412889E-3</v>
      </c>
      <c r="O119" s="28"/>
      <c r="P119" s="28"/>
      <c r="Q119" s="28"/>
      <c r="R119" s="28"/>
    </row>
    <row r="120" spans="1:18" x14ac:dyDescent="0.2">
      <c r="A120" s="30" t="s">
        <v>694</v>
      </c>
      <c r="B120" s="46" t="s">
        <v>695</v>
      </c>
      <c r="C120" s="46" t="s">
        <v>377</v>
      </c>
      <c r="D120" s="46" t="s">
        <v>239</v>
      </c>
      <c r="E120" s="46" t="s">
        <v>696</v>
      </c>
      <c r="F120" s="46" t="s">
        <v>529</v>
      </c>
      <c r="G120" s="85" t="s">
        <v>246</v>
      </c>
      <c r="H120" s="88">
        <v>31172.452427074026</v>
      </c>
      <c r="I120" s="85">
        <v>526.70000000000005</v>
      </c>
      <c r="J120" s="85">
        <v>0</v>
      </c>
      <c r="K120" s="104">
        <v>164.1853068871811</v>
      </c>
      <c r="L120" s="38">
        <v>5.0997483384789281E-4</v>
      </c>
      <c r="M120" s="46">
        <v>8.841700320357395E-4</v>
      </c>
      <c r="N120" s="46">
        <v>5.0567440988669415E-4</v>
      </c>
      <c r="O120" s="28"/>
      <c r="P120" s="28"/>
      <c r="Q120" s="28"/>
      <c r="R120" s="28"/>
    </row>
    <row r="121" spans="1:18" x14ac:dyDescent="0.2">
      <c r="A121" s="30" t="s">
        <v>774</v>
      </c>
      <c r="B121" s="46" t="s">
        <v>775</v>
      </c>
      <c r="C121" s="46" t="s">
        <v>377</v>
      </c>
      <c r="D121" s="46" t="s">
        <v>239</v>
      </c>
      <c r="E121" s="46" t="s">
        <v>776</v>
      </c>
      <c r="F121" s="46" t="s">
        <v>212</v>
      </c>
      <c r="G121" s="85" t="s">
        <v>246</v>
      </c>
      <c r="H121" s="88">
        <v>80.855472459103282</v>
      </c>
      <c r="I121" s="85">
        <v>9371</v>
      </c>
      <c r="J121" s="85">
        <v>0</v>
      </c>
      <c r="K121" s="104">
        <v>7.5769663241425675</v>
      </c>
      <c r="L121" s="38">
        <v>1.5987563656074385E-5</v>
      </c>
      <c r="M121" s="46">
        <v>4.0803447546949216E-5</v>
      </c>
      <c r="N121" s="46">
        <v>2.3336302421537165E-5</v>
      </c>
      <c r="O121" s="28"/>
      <c r="P121" s="28"/>
      <c r="Q121" s="28"/>
      <c r="R121" s="28"/>
    </row>
    <row r="122" spans="1:18" x14ac:dyDescent="0.2">
      <c r="A122" s="30" t="s">
        <v>754</v>
      </c>
      <c r="B122" s="46" t="s">
        <v>755</v>
      </c>
      <c r="C122" s="46" t="s">
        <v>377</v>
      </c>
      <c r="D122" s="46" t="s">
        <v>239</v>
      </c>
      <c r="E122" s="46" t="s">
        <v>756</v>
      </c>
      <c r="F122" s="46" t="s">
        <v>379</v>
      </c>
      <c r="G122" s="85" t="s">
        <v>246</v>
      </c>
      <c r="H122" s="88">
        <v>440394.71870806289</v>
      </c>
      <c r="I122" s="85">
        <v>81.7</v>
      </c>
      <c r="J122" s="85">
        <v>0</v>
      </c>
      <c r="K122" s="104">
        <v>359.80248516908148</v>
      </c>
      <c r="L122" s="38">
        <v>3.9969896816561379E-4</v>
      </c>
      <c r="M122" s="46">
        <v>1.9376068472258857E-3</v>
      </c>
      <c r="N122" s="46">
        <v>1.1081558564108433E-3</v>
      </c>
      <c r="O122" s="28"/>
      <c r="P122" s="28"/>
      <c r="Q122" s="28"/>
      <c r="R122" s="28"/>
    </row>
    <row r="123" spans="1:18" x14ac:dyDescent="0.2">
      <c r="A123" s="30" t="s">
        <v>712</v>
      </c>
      <c r="B123" s="46" t="s">
        <v>713</v>
      </c>
      <c r="C123" s="46" t="s">
        <v>377</v>
      </c>
      <c r="D123" s="46" t="s">
        <v>239</v>
      </c>
      <c r="E123" s="46" t="s">
        <v>714</v>
      </c>
      <c r="F123" s="46" t="s">
        <v>209</v>
      </c>
      <c r="G123" s="85" t="s">
        <v>246</v>
      </c>
      <c r="H123" s="88">
        <v>6013.3003138081058</v>
      </c>
      <c r="I123" s="85">
        <v>3148</v>
      </c>
      <c r="J123" s="85">
        <v>0</v>
      </c>
      <c r="K123" s="104">
        <v>189.29869387867916</v>
      </c>
      <c r="L123" s="38">
        <v>3.7957118449382429E-4</v>
      </c>
      <c r="M123" s="46">
        <v>1.0194105392515066E-3</v>
      </c>
      <c r="N123" s="46">
        <v>5.8302114320862364E-4</v>
      </c>
      <c r="O123" s="28"/>
      <c r="P123" s="28"/>
      <c r="Q123" s="28"/>
      <c r="R123" s="28"/>
    </row>
    <row r="124" spans="1:18" x14ac:dyDescent="0.2">
      <c r="A124" s="30" t="s">
        <v>783</v>
      </c>
      <c r="B124" s="46" t="s">
        <v>784</v>
      </c>
      <c r="C124" s="46" t="s">
        <v>377</v>
      </c>
      <c r="D124" s="46" t="s">
        <v>239</v>
      </c>
      <c r="E124" s="46" t="s">
        <v>785</v>
      </c>
      <c r="F124" s="46" t="s">
        <v>379</v>
      </c>
      <c r="G124" s="85" t="s">
        <v>246</v>
      </c>
      <c r="H124" s="88">
        <v>4463.3298699214092</v>
      </c>
      <c r="I124" s="85">
        <v>6380</v>
      </c>
      <c r="J124" s="85">
        <v>0</v>
      </c>
      <c r="K124" s="104">
        <v>284.7604456907153</v>
      </c>
      <c r="L124" s="38">
        <v>2.8110466724727166E-4</v>
      </c>
      <c r="M124" s="46">
        <v>1.5334907682200694E-3</v>
      </c>
      <c r="N124" s="46">
        <v>8.7703384099205946E-4</v>
      </c>
      <c r="O124" s="28"/>
      <c r="P124" s="28"/>
      <c r="Q124" s="28"/>
      <c r="R124" s="28"/>
    </row>
    <row r="125" spans="1:18" x14ac:dyDescent="0.2">
      <c r="A125" s="30" t="s">
        <v>745</v>
      </c>
      <c r="B125" s="46" t="s">
        <v>746</v>
      </c>
      <c r="C125" s="46" t="s">
        <v>377</v>
      </c>
      <c r="D125" s="46" t="s">
        <v>239</v>
      </c>
      <c r="E125" s="46" t="s">
        <v>747</v>
      </c>
      <c r="F125" s="46" t="s">
        <v>433</v>
      </c>
      <c r="G125" s="85" t="s">
        <v>246</v>
      </c>
      <c r="H125" s="88">
        <v>4648.8789800800023</v>
      </c>
      <c r="I125" s="85">
        <v>11710</v>
      </c>
      <c r="J125" s="85">
        <v>0</v>
      </c>
      <c r="K125" s="104">
        <v>544.38372856736828</v>
      </c>
      <c r="L125" s="38">
        <v>2.617224465115809E-4</v>
      </c>
      <c r="M125" s="46">
        <v>2.9316129917635481E-3</v>
      </c>
      <c r="N125" s="46">
        <v>1.6766477214942247E-3</v>
      </c>
      <c r="O125" s="28"/>
      <c r="P125" s="28"/>
      <c r="Q125" s="28"/>
      <c r="R125" s="28"/>
    </row>
    <row r="126" spans="1:18" x14ac:dyDescent="0.2">
      <c r="A126" s="30" t="s">
        <v>748</v>
      </c>
      <c r="B126" s="46" t="s">
        <v>749</v>
      </c>
      <c r="C126" s="46" t="s">
        <v>377</v>
      </c>
      <c r="D126" s="46" t="s">
        <v>239</v>
      </c>
      <c r="E126" s="46" t="s">
        <v>750</v>
      </c>
      <c r="F126" s="46" t="s">
        <v>209</v>
      </c>
      <c r="G126" s="85" t="s">
        <v>246</v>
      </c>
      <c r="H126" s="88">
        <v>8241.0444644598138</v>
      </c>
      <c r="I126" s="85">
        <v>4180</v>
      </c>
      <c r="J126" s="85">
        <v>0</v>
      </c>
      <c r="K126" s="104">
        <v>344.47565861442018</v>
      </c>
      <c r="L126" s="38">
        <v>8.241044464459814E-4</v>
      </c>
      <c r="M126" s="46">
        <v>1.85506888458619E-3</v>
      </c>
      <c r="N126" s="46">
        <v>1.0609507555379028E-3</v>
      </c>
      <c r="O126" s="28"/>
      <c r="P126" s="28"/>
      <c r="Q126" s="28"/>
      <c r="R126" s="28"/>
    </row>
    <row r="127" spans="1:18" x14ac:dyDescent="0.2">
      <c r="A127" s="30" t="s">
        <v>768</v>
      </c>
      <c r="B127" s="46" t="s">
        <v>769</v>
      </c>
      <c r="C127" s="46" t="s">
        <v>377</v>
      </c>
      <c r="D127" s="46" t="s">
        <v>239</v>
      </c>
      <c r="E127" s="46" t="s">
        <v>770</v>
      </c>
      <c r="F127" s="46" t="s">
        <v>490</v>
      </c>
      <c r="G127" s="85" t="s">
        <v>246</v>
      </c>
      <c r="H127" s="88">
        <v>5486.0840158356668</v>
      </c>
      <c r="I127" s="85">
        <v>7860.0000000000009</v>
      </c>
      <c r="J127" s="85">
        <v>0</v>
      </c>
      <c r="K127" s="104">
        <v>431.20620360360095</v>
      </c>
      <c r="L127" s="38">
        <v>5.7628773185988994E-4</v>
      </c>
      <c r="M127" s="46">
        <v>2.3221298548729797E-3</v>
      </c>
      <c r="N127" s="46">
        <v>1.3280722050028767E-3</v>
      </c>
      <c r="O127" s="28"/>
      <c r="P127" s="28"/>
      <c r="Q127" s="28"/>
      <c r="R127" s="28"/>
    </row>
    <row r="128" spans="1:18" x14ac:dyDescent="0.2">
      <c r="A128" s="30" t="s">
        <v>760</v>
      </c>
      <c r="B128" s="46" t="s">
        <v>761</v>
      </c>
      <c r="C128" s="46" t="s">
        <v>377</v>
      </c>
      <c r="D128" s="46" t="s">
        <v>239</v>
      </c>
      <c r="E128" s="46" t="s">
        <v>762</v>
      </c>
      <c r="F128" s="46" t="s">
        <v>433</v>
      </c>
      <c r="G128" s="85" t="s">
        <v>246</v>
      </c>
      <c r="H128" s="88">
        <v>46217.799436769099</v>
      </c>
      <c r="I128" s="85">
        <v>506.30000000000007</v>
      </c>
      <c r="J128" s="85">
        <v>0</v>
      </c>
      <c r="K128" s="104">
        <v>234.00071854836193</v>
      </c>
      <c r="L128" s="38">
        <v>4.6196480223110938E-4</v>
      </c>
      <c r="M128" s="46">
        <v>1.2601396966505584E-3</v>
      </c>
      <c r="N128" s="46">
        <v>7.2069893164260906E-4</v>
      </c>
      <c r="O128" s="28"/>
      <c r="P128" s="28"/>
      <c r="Q128" s="28"/>
      <c r="R128" s="28"/>
    </row>
    <row r="129" spans="1:18" x14ac:dyDescent="0.2">
      <c r="A129" s="30" t="s">
        <v>730</v>
      </c>
      <c r="B129" s="46" t="s">
        <v>731</v>
      </c>
      <c r="C129" s="46" t="s">
        <v>377</v>
      </c>
      <c r="D129" s="46" t="s">
        <v>239</v>
      </c>
      <c r="E129" s="46" t="s">
        <v>732</v>
      </c>
      <c r="F129" s="46" t="s">
        <v>209</v>
      </c>
      <c r="G129" s="85" t="s">
        <v>246</v>
      </c>
      <c r="H129" s="88">
        <v>322.07520586704663</v>
      </c>
      <c r="I129" s="85">
        <v>14620.000000000002</v>
      </c>
      <c r="J129" s="85">
        <v>0</v>
      </c>
      <c r="K129" s="104">
        <v>47.087395087491601</v>
      </c>
      <c r="L129" s="38">
        <v>9.6869851116043024E-5</v>
      </c>
      <c r="M129" s="46">
        <v>2.535748442556739E-4</v>
      </c>
      <c r="N129" s="46">
        <v>1.4502449199263877E-4</v>
      </c>
      <c r="O129" s="28"/>
      <c r="P129" s="28"/>
      <c r="Q129" s="28"/>
      <c r="R129" s="28"/>
    </row>
    <row r="130" spans="1:18" x14ac:dyDescent="0.2">
      <c r="A130" s="30" t="s">
        <v>751</v>
      </c>
      <c r="B130" s="46" t="s">
        <v>752</v>
      </c>
      <c r="C130" s="46" t="s">
        <v>377</v>
      </c>
      <c r="D130" s="46" t="s">
        <v>239</v>
      </c>
      <c r="E130" s="46" t="s">
        <v>753</v>
      </c>
      <c r="F130" s="46" t="s">
        <v>433</v>
      </c>
      <c r="G130" s="85" t="s">
        <v>246</v>
      </c>
      <c r="H130" s="88">
        <v>180005.34673988496</v>
      </c>
      <c r="I130" s="85">
        <v>154.80000000000001</v>
      </c>
      <c r="J130" s="85">
        <v>0</v>
      </c>
      <c r="K130" s="104">
        <v>278.64827672253006</v>
      </c>
      <c r="L130" s="38">
        <v>3.4498046785295429E-4</v>
      </c>
      <c r="M130" s="46">
        <v>1.5005755413044135E-3</v>
      </c>
      <c r="N130" s="46">
        <v>8.5820896868945662E-4</v>
      </c>
      <c r="O130" s="28"/>
      <c r="P130" s="28"/>
      <c r="Q130" s="28"/>
      <c r="R130" s="28"/>
    </row>
    <row r="131" spans="1:18" x14ac:dyDescent="0.2">
      <c r="A131" s="30" t="s">
        <v>763</v>
      </c>
      <c r="B131" s="46" t="s">
        <v>764</v>
      </c>
      <c r="C131" s="46" t="s">
        <v>377</v>
      </c>
      <c r="D131" s="46" t="s">
        <v>239</v>
      </c>
      <c r="E131" s="46" t="s">
        <v>753</v>
      </c>
      <c r="F131" s="46" t="s">
        <v>433</v>
      </c>
      <c r="G131" s="85" t="s">
        <v>246</v>
      </c>
      <c r="H131" s="88">
        <v>279293.31980538374</v>
      </c>
      <c r="I131" s="85">
        <v>150.89269999999999</v>
      </c>
      <c r="J131" s="85">
        <v>0</v>
      </c>
      <c r="K131" s="104">
        <v>421.43344898834016</v>
      </c>
      <c r="L131" s="38">
        <v>5.3526599003693377E-4</v>
      </c>
      <c r="M131" s="46">
        <v>2.26950165734986E-3</v>
      </c>
      <c r="N131" s="46">
        <v>1.2979730931107557E-3</v>
      </c>
      <c r="O131" s="28"/>
      <c r="P131" s="28"/>
      <c r="Q131" s="28"/>
      <c r="R131" s="28"/>
    </row>
    <row r="132" spans="1:18" x14ac:dyDescent="0.2">
      <c r="A132" s="30" t="s">
        <v>795</v>
      </c>
      <c r="B132" s="46" t="s">
        <v>796</v>
      </c>
      <c r="C132" s="46" t="s">
        <v>377</v>
      </c>
      <c r="D132" s="46" t="s">
        <v>239</v>
      </c>
      <c r="E132" s="46" t="s">
        <v>797</v>
      </c>
      <c r="F132" s="46" t="s">
        <v>204</v>
      </c>
      <c r="G132" s="85" t="s">
        <v>246</v>
      </c>
      <c r="H132" s="88">
        <v>11720.453924147052</v>
      </c>
      <c r="I132" s="85">
        <v>1195</v>
      </c>
      <c r="J132" s="85">
        <v>0</v>
      </c>
      <c r="K132" s="104">
        <v>140.05942439355726</v>
      </c>
      <c r="L132" s="38">
        <v>8.2338545593323555E-5</v>
      </c>
      <c r="M132" s="46">
        <v>7.5424742993629836E-4</v>
      </c>
      <c r="N132" s="46">
        <v>4.3136909216820912E-4</v>
      </c>
      <c r="O132" s="28"/>
      <c r="P132" s="28"/>
      <c r="Q132" s="28"/>
      <c r="R132" s="28"/>
    </row>
    <row r="133" spans="1:18" x14ac:dyDescent="0.2">
      <c r="A133" s="30" t="s">
        <v>780</v>
      </c>
      <c r="B133" s="46" t="s">
        <v>781</v>
      </c>
      <c r="C133" s="46" t="s">
        <v>377</v>
      </c>
      <c r="D133" s="46" t="s">
        <v>239</v>
      </c>
      <c r="E133" s="46" t="s">
        <v>782</v>
      </c>
      <c r="F133" s="46" t="s">
        <v>199</v>
      </c>
      <c r="G133" s="85" t="s">
        <v>246</v>
      </c>
      <c r="H133" s="88">
        <v>30533.532432349079</v>
      </c>
      <c r="I133" s="85">
        <v>309</v>
      </c>
      <c r="J133" s="85">
        <v>0</v>
      </c>
      <c r="K133" s="104">
        <v>94.348615215958645</v>
      </c>
      <c r="L133" s="38">
        <v>2.3854322212772718E-4</v>
      </c>
      <c r="M133" s="46">
        <v>5.0808577039931772E-4</v>
      </c>
      <c r="N133" s="46">
        <v>2.9058434781706783E-4</v>
      </c>
      <c r="O133" s="28"/>
      <c r="P133" s="28"/>
      <c r="Q133" s="28"/>
      <c r="R133" s="28"/>
    </row>
    <row r="134" spans="1:18" x14ac:dyDescent="0.2">
      <c r="A134" s="30" t="s">
        <v>771</v>
      </c>
      <c r="B134" s="46" t="s">
        <v>772</v>
      </c>
      <c r="C134" s="46" t="s">
        <v>377</v>
      </c>
      <c r="D134" s="46" t="s">
        <v>239</v>
      </c>
      <c r="E134" s="46" t="s">
        <v>773</v>
      </c>
      <c r="F134" s="46" t="s">
        <v>209</v>
      </c>
      <c r="G134" s="85" t="s">
        <v>246</v>
      </c>
      <c r="H134" s="88">
        <v>847.33659362953051</v>
      </c>
      <c r="I134" s="85">
        <v>14390</v>
      </c>
      <c r="J134" s="85">
        <v>22.843595990000001</v>
      </c>
      <c r="K134" s="104">
        <v>144.77533181568577</v>
      </c>
      <c r="L134" s="38">
        <v>2.2843596025486521E-4</v>
      </c>
      <c r="M134" s="46">
        <v>7.7964351497919503E-4</v>
      </c>
      <c r="N134" s="46">
        <v>4.4589361782752254E-4</v>
      </c>
      <c r="O134" s="28"/>
      <c r="P134" s="28"/>
      <c r="Q134" s="28"/>
      <c r="R134" s="28"/>
    </row>
    <row r="135" spans="1:18" x14ac:dyDescent="0.2">
      <c r="A135" s="30" t="s">
        <v>727</v>
      </c>
      <c r="B135" s="46" t="s">
        <v>728</v>
      </c>
      <c r="C135" s="46" t="s">
        <v>377</v>
      </c>
      <c r="D135" s="46" t="s">
        <v>239</v>
      </c>
      <c r="E135" s="46" t="s">
        <v>729</v>
      </c>
      <c r="F135" s="46" t="s">
        <v>204</v>
      </c>
      <c r="G135" s="85" t="s">
        <v>246</v>
      </c>
      <c r="H135" s="88">
        <v>41227.889585267272</v>
      </c>
      <c r="I135" s="85">
        <v>88.6</v>
      </c>
      <c r="J135" s="85">
        <v>0</v>
      </c>
      <c r="K135" s="104">
        <v>36.52791015200556</v>
      </c>
      <c r="L135" s="38">
        <v>1.8978637143246606E-4</v>
      </c>
      <c r="M135" s="46">
        <v>1.9670994988296958E-4</v>
      </c>
      <c r="N135" s="46">
        <v>1.1250232898856159E-4</v>
      </c>
      <c r="O135" s="28"/>
      <c r="P135" s="28"/>
      <c r="Q135" s="28"/>
      <c r="R135" s="28"/>
    </row>
    <row r="136" spans="1:18" x14ac:dyDescent="0.2">
      <c r="A136" s="30" t="s">
        <v>697</v>
      </c>
      <c r="B136" s="46" t="s">
        <v>698</v>
      </c>
      <c r="C136" s="46" t="s">
        <v>377</v>
      </c>
      <c r="D136" s="46" t="s">
        <v>239</v>
      </c>
      <c r="E136" s="46" t="s">
        <v>699</v>
      </c>
      <c r="F136" s="46" t="s">
        <v>199</v>
      </c>
      <c r="G136" s="85" t="s">
        <v>246</v>
      </c>
      <c r="H136" s="88">
        <v>9260.9069680757548</v>
      </c>
      <c r="I136" s="85">
        <v>3056</v>
      </c>
      <c r="J136" s="85">
        <v>0</v>
      </c>
      <c r="K136" s="104">
        <v>283.013316944395</v>
      </c>
      <c r="L136" s="38">
        <v>5.4071557153151817E-4</v>
      </c>
      <c r="M136" s="46">
        <v>1.5240821377592083E-3</v>
      </c>
      <c r="N136" s="46">
        <v>8.7165285828086792E-4</v>
      </c>
      <c r="O136" s="28"/>
      <c r="P136" s="28"/>
      <c r="Q136" s="28"/>
      <c r="R136" s="28"/>
    </row>
    <row r="137" spans="1:18" x14ac:dyDescent="0.2">
      <c r="A137" s="30" t="s">
        <v>715</v>
      </c>
      <c r="B137" s="46" t="s">
        <v>716</v>
      </c>
      <c r="C137" s="46" t="s">
        <v>377</v>
      </c>
      <c r="D137" s="46" t="s">
        <v>239</v>
      </c>
      <c r="E137" s="46" t="s">
        <v>717</v>
      </c>
      <c r="F137" s="46" t="s">
        <v>214</v>
      </c>
      <c r="G137" s="85" t="s">
        <v>246</v>
      </c>
      <c r="H137" s="88">
        <v>2909.2110704166003</v>
      </c>
      <c r="I137" s="85">
        <v>8000</v>
      </c>
      <c r="J137" s="85">
        <v>0</v>
      </c>
      <c r="K137" s="104">
        <v>232.73688563332803</v>
      </c>
      <c r="L137" s="38">
        <v>2.7625883512281756E-4</v>
      </c>
      <c r="M137" s="46">
        <v>1.2533337088910009E-3</v>
      </c>
      <c r="N137" s="46">
        <v>7.1680645200711832E-4</v>
      </c>
      <c r="O137" s="28"/>
      <c r="P137" s="28"/>
      <c r="Q137" s="28"/>
      <c r="R137" s="28"/>
    </row>
    <row r="138" spans="1:18" x14ac:dyDescent="0.2">
      <c r="A138" s="30" t="s">
        <v>733</v>
      </c>
      <c r="B138" s="46" t="s">
        <v>734</v>
      </c>
      <c r="C138" s="46" t="s">
        <v>377</v>
      </c>
      <c r="D138" s="46" t="s">
        <v>239</v>
      </c>
      <c r="E138" s="46" t="s">
        <v>735</v>
      </c>
      <c r="F138" s="46" t="s">
        <v>195</v>
      </c>
      <c r="G138" s="85" t="s">
        <v>246</v>
      </c>
      <c r="H138" s="88">
        <v>40695.419453267306</v>
      </c>
      <c r="I138" s="85">
        <v>498.00000000000006</v>
      </c>
      <c r="J138" s="85">
        <v>0</v>
      </c>
      <c r="K138" s="104">
        <v>202.66318887727121</v>
      </c>
      <c r="L138" s="38">
        <v>5.6783699816769363E-4</v>
      </c>
      <c r="M138" s="46">
        <v>1.0913809621540033E-3</v>
      </c>
      <c r="N138" s="46">
        <v>6.241824581275676E-4</v>
      </c>
      <c r="O138" s="28"/>
      <c r="P138" s="28"/>
      <c r="Q138" s="28"/>
      <c r="R138" s="28"/>
    </row>
    <row r="139" spans="1:18" x14ac:dyDescent="0.2">
      <c r="A139" s="30" t="s">
        <v>789</v>
      </c>
      <c r="B139" s="46" t="s">
        <v>790</v>
      </c>
      <c r="C139" s="46" t="s">
        <v>377</v>
      </c>
      <c r="D139" s="46" t="s">
        <v>239</v>
      </c>
      <c r="E139" s="46" t="s">
        <v>791</v>
      </c>
      <c r="F139" s="46" t="s">
        <v>222</v>
      </c>
      <c r="G139" s="85" t="s">
        <v>246</v>
      </c>
      <c r="H139" s="88">
        <v>2543.5195623368595</v>
      </c>
      <c r="I139" s="85">
        <v>4782.8999999999996</v>
      </c>
      <c r="J139" s="85">
        <v>0</v>
      </c>
      <c r="K139" s="104">
        <v>121.65399714700965</v>
      </c>
      <c r="L139" s="38">
        <v>1.1869648519412662E-4</v>
      </c>
      <c r="M139" s="46">
        <v>6.5513059965017692E-4</v>
      </c>
      <c r="N139" s="46">
        <v>3.7468220746417284E-4</v>
      </c>
      <c r="O139" s="28"/>
      <c r="P139" s="28"/>
      <c r="Q139" s="28"/>
      <c r="R139" s="28"/>
    </row>
    <row r="140" spans="1:18" x14ac:dyDescent="0.2">
      <c r="A140" s="30" t="s">
        <v>786</v>
      </c>
      <c r="B140" s="46" t="s">
        <v>787</v>
      </c>
      <c r="C140" s="46" t="s">
        <v>377</v>
      </c>
      <c r="D140" s="46" t="s">
        <v>239</v>
      </c>
      <c r="E140" s="46" t="s">
        <v>788</v>
      </c>
      <c r="F140" s="46" t="s">
        <v>490</v>
      </c>
      <c r="G140" s="85" t="s">
        <v>246</v>
      </c>
      <c r="H140" s="88">
        <v>11390.407893882919</v>
      </c>
      <c r="I140" s="85">
        <v>610.70000000000005</v>
      </c>
      <c r="J140" s="85">
        <v>0</v>
      </c>
      <c r="K140" s="104">
        <v>69.56122100506721</v>
      </c>
      <c r="L140" s="38">
        <v>1.7536112465735631E-4</v>
      </c>
      <c r="M140" s="46">
        <v>3.746007981503332E-4</v>
      </c>
      <c r="N140" s="46">
        <v>2.1424163982533334E-4</v>
      </c>
      <c r="O140" s="28"/>
      <c r="P140" s="28"/>
      <c r="Q140" s="28"/>
      <c r="R140" s="28"/>
    </row>
    <row r="141" spans="1:18" x14ac:dyDescent="0.2">
      <c r="A141" s="30" t="s">
        <v>742</v>
      </c>
      <c r="B141" s="46" t="s">
        <v>743</v>
      </c>
      <c r="C141" s="46" t="s">
        <v>377</v>
      </c>
      <c r="D141" s="46" t="s">
        <v>239</v>
      </c>
      <c r="E141" s="46" t="s">
        <v>744</v>
      </c>
      <c r="F141" s="46" t="s">
        <v>479</v>
      </c>
      <c r="G141" s="85" t="s">
        <v>246</v>
      </c>
      <c r="H141" s="88">
        <v>20677.432643126613</v>
      </c>
      <c r="I141" s="85">
        <v>36.299999999999997</v>
      </c>
      <c r="J141" s="85">
        <v>0</v>
      </c>
      <c r="K141" s="104">
        <v>7.5059080494549608</v>
      </c>
      <c r="L141" s="38">
        <v>1.3586128624342234E-4</v>
      </c>
      <c r="M141" s="46">
        <v>4.0420784821531788E-5</v>
      </c>
      <c r="N141" s="46">
        <v>2.3117450005316307E-5</v>
      </c>
      <c r="O141" s="28"/>
      <c r="P141" s="28"/>
      <c r="Q141" s="28"/>
      <c r="R141" s="28"/>
    </row>
    <row r="142" spans="1:18" x14ac:dyDescent="0.2">
      <c r="A142" s="30" t="s">
        <v>736</v>
      </c>
      <c r="B142" s="46" t="s">
        <v>737</v>
      </c>
      <c r="C142" s="46" t="s">
        <v>377</v>
      </c>
      <c r="D142" s="46" t="s">
        <v>239</v>
      </c>
      <c r="E142" s="46" t="s">
        <v>738</v>
      </c>
      <c r="F142" s="46" t="s">
        <v>204</v>
      </c>
      <c r="G142" s="85" t="s">
        <v>246</v>
      </c>
      <c r="H142" s="88">
        <v>28985.14885092949</v>
      </c>
      <c r="I142" s="85">
        <v>291</v>
      </c>
      <c r="J142" s="85">
        <v>0</v>
      </c>
      <c r="K142" s="104">
        <v>84.346783156204808</v>
      </c>
      <c r="L142" s="38">
        <v>6.4026261325625269E-4</v>
      </c>
      <c r="M142" s="46">
        <v>4.542239459745215E-4</v>
      </c>
      <c r="N142" s="46">
        <v>2.597797001875623E-4</v>
      </c>
      <c r="O142" s="28"/>
      <c r="P142" s="28"/>
      <c r="Q142" s="28"/>
      <c r="R142" s="28"/>
    </row>
    <row r="143" spans="1:18" x14ac:dyDescent="0.2">
      <c r="A143" s="30" t="s">
        <v>777</v>
      </c>
      <c r="B143" s="46" t="s">
        <v>778</v>
      </c>
      <c r="C143" s="46" t="s">
        <v>377</v>
      </c>
      <c r="D143" s="46" t="s">
        <v>239</v>
      </c>
      <c r="E143" s="46" t="s">
        <v>779</v>
      </c>
      <c r="F143" s="46" t="s">
        <v>203</v>
      </c>
      <c r="G143" s="85" t="s">
        <v>246</v>
      </c>
      <c r="H143" s="88">
        <v>14614.776854831087</v>
      </c>
      <c r="I143" s="85">
        <v>217.20000000000002</v>
      </c>
      <c r="J143" s="85">
        <v>0</v>
      </c>
      <c r="K143" s="104">
        <v>31.743295297881254</v>
      </c>
      <c r="L143" s="38">
        <v>6.2424296484761733E-5</v>
      </c>
      <c r="M143" s="46">
        <v>1.7094386186294555E-4</v>
      </c>
      <c r="N143" s="46">
        <v>9.7766191274625139E-5</v>
      </c>
      <c r="O143" s="28"/>
      <c r="P143" s="28"/>
      <c r="Q143" s="28"/>
      <c r="R143" s="28"/>
    </row>
    <row r="144" spans="1:18" x14ac:dyDescent="0.2">
      <c r="A144" s="30" t="s">
        <v>700</v>
      </c>
      <c r="B144" s="46" t="s">
        <v>701</v>
      </c>
      <c r="C144" s="46" t="s">
        <v>377</v>
      </c>
      <c r="D144" s="46" t="s">
        <v>239</v>
      </c>
      <c r="E144" s="46" t="s">
        <v>702</v>
      </c>
      <c r="F144" s="46" t="s">
        <v>207</v>
      </c>
      <c r="G144" s="85" t="s">
        <v>246</v>
      </c>
      <c r="H144" s="88">
        <v>5312.8541574107239</v>
      </c>
      <c r="I144" s="85">
        <v>1629</v>
      </c>
      <c r="J144" s="85">
        <v>0</v>
      </c>
      <c r="K144" s="104">
        <v>86.546394224220691</v>
      </c>
      <c r="L144" s="38">
        <v>6.1752256552052712E-4</v>
      </c>
      <c r="M144" s="46">
        <v>4.6606928235294755E-4</v>
      </c>
      <c r="N144" s="46">
        <v>2.6655428343065043E-4</v>
      </c>
      <c r="O144" s="28"/>
      <c r="P144" s="28"/>
      <c r="Q144" s="28"/>
      <c r="R144" s="28"/>
    </row>
    <row r="145" spans="1:18" x14ac:dyDescent="0.2">
      <c r="A145" s="30" t="s">
        <v>724</v>
      </c>
      <c r="B145" s="46" t="s">
        <v>725</v>
      </c>
      <c r="C145" s="46" t="s">
        <v>377</v>
      </c>
      <c r="D145" s="46" t="s">
        <v>239</v>
      </c>
      <c r="E145" s="46" t="s">
        <v>726</v>
      </c>
      <c r="F145" s="46" t="s">
        <v>479</v>
      </c>
      <c r="G145" s="85" t="s">
        <v>246</v>
      </c>
      <c r="H145" s="88">
        <v>147429.59040659468</v>
      </c>
      <c r="I145" s="85">
        <v>180.4</v>
      </c>
      <c r="J145" s="85">
        <v>0</v>
      </c>
      <c r="K145" s="104">
        <v>265.96298104440319</v>
      </c>
      <c r="L145" s="38">
        <v>8.0648192050795117E-4</v>
      </c>
      <c r="M145" s="46">
        <v>1.4322627397586624E-3</v>
      </c>
      <c r="N145" s="46">
        <v>8.1913952010181413E-4</v>
      </c>
      <c r="O145" s="28"/>
      <c r="P145" s="28"/>
      <c r="Q145" s="28"/>
      <c r="R145" s="28"/>
    </row>
    <row r="146" spans="1:18" x14ac:dyDescent="0.2">
      <c r="A146" s="30" t="s">
        <v>765</v>
      </c>
      <c r="B146" s="46" t="s">
        <v>766</v>
      </c>
      <c r="C146" s="46" t="s">
        <v>377</v>
      </c>
      <c r="D146" s="46" t="s">
        <v>239</v>
      </c>
      <c r="E146" s="46" t="s">
        <v>767</v>
      </c>
      <c r="F146" s="46" t="s">
        <v>433</v>
      </c>
      <c r="G146" s="85" t="s">
        <v>246</v>
      </c>
      <c r="H146" s="88">
        <v>46413.968318822939</v>
      </c>
      <c r="I146" s="85">
        <v>1047</v>
      </c>
      <c r="J146" s="85">
        <v>0</v>
      </c>
      <c r="K146" s="104">
        <v>485.95424829807621</v>
      </c>
      <c r="L146" s="38">
        <v>7.4740689724352562E-4</v>
      </c>
      <c r="M146" s="46">
        <v>2.6169587975424387E-3</v>
      </c>
      <c r="N146" s="46">
        <v>1.4966907356022833E-3</v>
      </c>
      <c r="O146" s="28"/>
      <c r="P146" s="28"/>
      <c r="Q146" s="28"/>
      <c r="R146" s="28"/>
    </row>
    <row r="147" spans="1:18" x14ac:dyDescent="0.2">
      <c r="A147" s="30" t="s">
        <v>703</v>
      </c>
      <c r="B147" s="46" t="s">
        <v>704</v>
      </c>
      <c r="C147" s="46" t="s">
        <v>377</v>
      </c>
      <c r="D147" s="46" t="s">
        <v>239</v>
      </c>
      <c r="E147" s="46" t="s">
        <v>705</v>
      </c>
      <c r="F147" s="46" t="s">
        <v>211</v>
      </c>
      <c r="G147" s="85" t="s">
        <v>246</v>
      </c>
      <c r="H147" s="88">
        <v>40708.216648400245</v>
      </c>
      <c r="I147" s="85">
        <v>9.1</v>
      </c>
      <c r="J147" s="85">
        <v>0</v>
      </c>
      <c r="K147" s="104">
        <v>3.7044476739219339</v>
      </c>
      <c r="L147" s="38">
        <v>9.8865284396421678E-5</v>
      </c>
      <c r="M147" s="46">
        <v>1.9949176212076768E-5</v>
      </c>
      <c r="N147" s="46">
        <v>1.1409330268230389E-5</v>
      </c>
      <c r="O147" s="28"/>
      <c r="P147" s="28"/>
      <c r="Q147" s="28"/>
      <c r="R147" s="28"/>
    </row>
    <row r="148" spans="1:18" x14ac:dyDescent="0.2">
      <c r="A148" s="30" t="s">
        <v>792</v>
      </c>
      <c r="B148" s="46" t="s">
        <v>793</v>
      </c>
      <c r="C148" s="46" t="s">
        <v>377</v>
      </c>
      <c r="D148" s="46" t="s">
        <v>239</v>
      </c>
      <c r="E148" s="46" t="s">
        <v>794</v>
      </c>
      <c r="F148" s="46" t="s">
        <v>490</v>
      </c>
      <c r="G148" s="85" t="s">
        <v>246</v>
      </c>
      <c r="H148" s="88">
        <v>1847.171384156205</v>
      </c>
      <c r="I148" s="85">
        <v>6851.0000000000009</v>
      </c>
      <c r="J148" s="85">
        <v>0</v>
      </c>
      <c r="K148" s="104">
        <v>126.54971152854161</v>
      </c>
      <c r="L148" s="38">
        <v>7.3886855366248199E-5</v>
      </c>
      <c r="M148" s="46">
        <v>6.8149498038329185E-4</v>
      </c>
      <c r="N148" s="46">
        <v>3.8976052066887445E-4</v>
      </c>
      <c r="O148" s="28"/>
      <c r="P148" s="28"/>
      <c r="Q148" s="28"/>
      <c r="R148" s="28"/>
    </row>
    <row r="149" spans="1:18" s="139" customFormat="1" x14ac:dyDescent="0.2">
      <c r="A149" s="112" t="s">
        <v>798</v>
      </c>
      <c r="B149" s="142" t="s">
        <v>239</v>
      </c>
      <c r="C149" s="142" t="s">
        <v>239</v>
      </c>
      <c r="D149" s="142" t="s">
        <v>239</v>
      </c>
      <c r="E149" s="142" t="s">
        <v>239</v>
      </c>
      <c r="F149" s="142" t="s">
        <v>239</v>
      </c>
      <c r="G149" s="146" t="s">
        <v>239</v>
      </c>
      <c r="H149" s="157" t="s">
        <v>239</v>
      </c>
      <c r="I149" s="146" t="s">
        <v>239</v>
      </c>
      <c r="J149" s="146" t="s">
        <v>239</v>
      </c>
      <c r="K149" s="148">
        <v>0</v>
      </c>
      <c r="L149" s="145" t="s">
        <v>239</v>
      </c>
      <c r="M149" s="142">
        <v>0</v>
      </c>
      <c r="N149" s="142">
        <v>0</v>
      </c>
    </row>
    <row r="150" spans="1:18" s="139" customFormat="1" x14ac:dyDescent="0.2">
      <c r="A150" s="112" t="s">
        <v>799</v>
      </c>
      <c r="B150" s="142" t="s">
        <v>239</v>
      </c>
      <c r="C150" s="142" t="s">
        <v>239</v>
      </c>
      <c r="D150" s="142" t="s">
        <v>239</v>
      </c>
      <c r="E150" s="142" t="s">
        <v>239</v>
      </c>
      <c r="F150" s="142" t="s">
        <v>239</v>
      </c>
      <c r="G150" s="146" t="s">
        <v>239</v>
      </c>
      <c r="H150" s="157" t="s">
        <v>239</v>
      </c>
      <c r="I150" s="146" t="s">
        <v>239</v>
      </c>
      <c r="J150" s="146" t="s">
        <v>239</v>
      </c>
      <c r="K150" s="148">
        <v>0</v>
      </c>
      <c r="L150" s="145" t="s">
        <v>239</v>
      </c>
      <c r="M150" s="142">
        <v>0</v>
      </c>
      <c r="N150" s="142">
        <v>0</v>
      </c>
    </row>
    <row r="151" spans="1:18" s="139" customFormat="1" x14ac:dyDescent="0.2">
      <c r="A151" s="112" t="s">
        <v>800</v>
      </c>
      <c r="B151" s="142" t="s">
        <v>239</v>
      </c>
      <c r="C151" s="142" t="s">
        <v>239</v>
      </c>
      <c r="D151" s="142" t="s">
        <v>239</v>
      </c>
      <c r="E151" s="142" t="s">
        <v>239</v>
      </c>
      <c r="F151" s="142" t="s">
        <v>239</v>
      </c>
      <c r="G151" s="146" t="s">
        <v>239</v>
      </c>
      <c r="H151" s="157" t="s">
        <v>239</v>
      </c>
      <c r="I151" s="146" t="s">
        <v>239</v>
      </c>
      <c r="J151" s="146" t="s">
        <v>239</v>
      </c>
      <c r="K151" s="148">
        <v>0</v>
      </c>
      <c r="L151" s="145" t="s">
        <v>239</v>
      </c>
      <c r="M151" s="142">
        <v>0</v>
      </c>
      <c r="N151" s="142">
        <v>0</v>
      </c>
    </row>
    <row r="152" spans="1:18" s="139" customFormat="1" x14ac:dyDescent="0.2">
      <c r="A152" s="112" t="s">
        <v>370</v>
      </c>
      <c r="B152" s="142" t="s">
        <v>239</v>
      </c>
      <c r="C152" s="142" t="s">
        <v>239</v>
      </c>
      <c r="D152" s="142" t="s">
        <v>239</v>
      </c>
      <c r="E152" s="142" t="s">
        <v>239</v>
      </c>
      <c r="F152" s="142" t="s">
        <v>239</v>
      </c>
      <c r="G152" s="146" t="s">
        <v>239</v>
      </c>
      <c r="H152" s="157" t="s">
        <v>239</v>
      </c>
      <c r="I152" s="146" t="s">
        <v>239</v>
      </c>
      <c r="J152" s="146" t="s">
        <v>239</v>
      </c>
      <c r="K152" s="148">
        <v>91587.776546447916</v>
      </c>
      <c r="L152" s="145" t="s">
        <v>239</v>
      </c>
      <c r="M152" s="142">
        <v>0.49321811347466882</v>
      </c>
      <c r="N152" s="142">
        <v>0.28208123939972013</v>
      </c>
    </row>
    <row r="153" spans="1:18" s="139" customFormat="1" x14ac:dyDescent="0.2">
      <c r="A153" s="112" t="s">
        <v>145</v>
      </c>
      <c r="B153" s="142" t="s">
        <v>239</v>
      </c>
      <c r="C153" s="142" t="s">
        <v>239</v>
      </c>
      <c r="D153" s="142" t="s">
        <v>239</v>
      </c>
      <c r="E153" s="142" t="s">
        <v>239</v>
      </c>
      <c r="F153" s="142" t="s">
        <v>239</v>
      </c>
      <c r="G153" s="146" t="s">
        <v>239</v>
      </c>
      <c r="H153" s="157" t="s">
        <v>239</v>
      </c>
      <c r="I153" s="146" t="s">
        <v>239</v>
      </c>
      <c r="J153" s="146" t="s">
        <v>239</v>
      </c>
      <c r="K153" s="148">
        <v>21568.601865921592</v>
      </c>
      <c r="L153" s="145" t="s">
        <v>239</v>
      </c>
      <c r="M153" s="142">
        <v>0.11615114509523101</v>
      </c>
      <c r="N153" s="142">
        <v>6.6429147817261225E-2</v>
      </c>
    </row>
    <row r="154" spans="1:18" x14ac:dyDescent="0.2">
      <c r="A154" s="30" t="s">
        <v>817</v>
      </c>
      <c r="B154" s="46" t="s">
        <v>818</v>
      </c>
      <c r="C154" s="46" t="s">
        <v>803</v>
      </c>
      <c r="D154" s="46" t="s">
        <v>391</v>
      </c>
      <c r="E154" s="46" t="s">
        <v>239</v>
      </c>
      <c r="F154" s="46" t="s">
        <v>170</v>
      </c>
      <c r="G154" s="85" t="s">
        <v>126</v>
      </c>
      <c r="H154" s="88">
        <v>3832.4415530294759</v>
      </c>
      <c r="I154" s="85">
        <v>980.00000000000011</v>
      </c>
      <c r="J154" s="85">
        <v>0</v>
      </c>
      <c r="K154" s="104">
        <v>129.23682753419163</v>
      </c>
      <c r="L154" s="38">
        <v>1.1140457698635794E-4</v>
      </c>
      <c r="M154" s="46">
        <v>6.9596562632502569E-4</v>
      </c>
      <c r="N154" s="46">
        <v>3.9803657061643685E-4</v>
      </c>
      <c r="O154" s="28"/>
      <c r="P154" s="28"/>
      <c r="Q154" s="28"/>
      <c r="R154" s="28"/>
    </row>
    <row r="155" spans="1:18" x14ac:dyDescent="0.2">
      <c r="A155" s="30" t="s">
        <v>815</v>
      </c>
      <c r="B155" s="46" t="s">
        <v>816</v>
      </c>
      <c r="C155" s="46" t="s">
        <v>803</v>
      </c>
      <c r="D155" s="46" t="s">
        <v>391</v>
      </c>
      <c r="E155" s="46" t="s">
        <v>239</v>
      </c>
      <c r="F155" s="46" t="s">
        <v>183</v>
      </c>
      <c r="G155" s="85" t="s">
        <v>126</v>
      </c>
      <c r="H155" s="88">
        <v>698.15580766973699</v>
      </c>
      <c r="I155" s="85">
        <v>10342</v>
      </c>
      <c r="J155" s="85">
        <v>0</v>
      </c>
      <c r="K155" s="104">
        <v>248.45146453015556</v>
      </c>
      <c r="L155" s="38">
        <v>1.8025592634541462E-5</v>
      </c>
      <c r="M155" s="46">
        <v>1.3379597938316197E-3</v>
      </c>
      <c r="N155" s="46">
        <v>7.6520579151519933E-4</v>
      </c>
      <c r="O155" s="28"/>
      <c r="P155" s="28"/>
      <c r="Q155" s="28"/>
      <c r="R155" s="28"/>
    </row>
    <row r="156" spans="1:18" x14ac:dyDescent="0.2">
      <c r="A156" s="30" t="s">
        <v>833</v>
      </c>
      <c r="B156" s="46" t="s">
        <v>834</v>
      </c>
      <c r="C156" s="46" t="s">
        <v>803</v>
      </c>
      <c r="D156" s="46" t="s">
        <v>391</v>
      </c>
      <c r="E156" s="46" t="s">
        <v>239</v>
      </c>
      <c r="F156" s="46" t="s">
        <v>178</v>
      </c>
      <c r="G156" s="85" t="s">
        <v>126</v>
      </c>
      <c r="H156" s="88">
        <v>2917.7399490653302</v>
      </c>
      <c r="I156" s="85">
        <v>263</v>
      </c>
      <c r="J156" s="85">
        <v>0</v>
      </c>
      <c r="K156" s="104">
        <v>26.405050519347064</v>
      </c>
      <c r="L156" s="38">
        <v>7.2693264883592847E-5</v>
      </c>
      <c r="M156" s="46">
        <v>1.4219636827574863E-4</v>
      </c>
      <c r="N156" s="46">
        <v>8.1324928475933367E-5</v>
      </c>
      <c r="O156" s="28"/>
      <c r="P156" s="28"/>
      <c r="Q156" s="28"/>
      <c r="R156" s="28"/>
    </row>
    <row r="157" spans="1:18" x14ac:dyDescent="0.2">
      <c r="A157" s="30" t="s">
        <v>829</v>
      </c>
      <c r="B157" s="46" t="s">
        <v>830</v>
      </c>
      <c r="C157" s="46" t="s">
        <v>826</v>
      </c>
      <c r="D157" s="46" t="s">
        <v>391</v>
      </c>
      <c r="E157" s="46" t="s">
        <v>239</v>
      </c>
      <c r="F157" s="46" t="s">
        <v>173</v>
      </c>
      <c r="G157" s="85" t="s">
        <v>126</v>
      </c>
      <c r="H157" s="88">
        <v>1366.6089762347769</v>
      </c>
      <c r="I157" s="85">
        <v>13897.999999999998</v>
      </c>
      <c r="J157" s="85">
        <v>0</v>
      </c>
      <c r="K157" s="104">
        <v>653.55365668615661</v>
      </c>
      <c r="L157" s="38">
        <v>3.8915617884025922E-5</v>
      </c>
      <c r="M157" s="46">
        <v>3.5195144347864304E-3</v>
      </c>
      <c r="N157" s="46">
        <v>2.0128802384317755E-3</v>
      </c>
      <c r="O157" s="28"/>
      <c r="P157" s="28"/>
      <c r="Q157" s="28"/>
      <c r="R157" s="28"/>
    </row>
    <row r="158" spans="1:18" x14ac:dyDescent="0.2">
      <c r="A158" s="30" t="s">
        <v>813</v>
      </c>
      <c r="B158" s="46" t="s">
        <v>814</v>
      </c>
      <c r="C158" s="46" t="s">
        <v>803</v>
      </c>
      <c r="D158" s="46" t="s">
        <v>391</v>
      </c>
      <c r="E158" s="46" t="s">
        <v>239</v>
      </c>
      <c r="F158" s="46" t="s">
        <v>166</v>
      </c>
      <c r="G158" s="85" t="s">
        <v>126</v>
      </c>
      <c r="H158" s="88">
        <v>10166.339335597304</v>
      </c>
      <c r="I158" s="85">
        <v>6487</v>
      </c>
      <c r="J158" s="85">
        <v>0</v>
      </c>
      <c r="K158" s="104">
        <v>2269.3065788941094</v>
      </c>
      <c r="L158" s="38">
        <v>2.2581936665395678E-4</v>
      </c>
      <c r="M158" s="46">
        <v>1.2220660353842994E-2</v>
      </c>
      <c r="N158" s="46">
        <v>6.9892384823618207E-3</v>
      </c>
      <c r="O158" s="28"/>
      <c r="P158" s="28"/>
      <c r="Q158" s="28"/>
      <c r="R158" s="28"/>
    </row>
    <row r="159" spans="1:18" x14ac:dyDescent="0.2">
      <c r="A159" s="30" t="s">
        <v>860</v>
      </c>
      <c r="B159" s="46" t="s">
        <v>861</v>
      </c>
      <c r="C159" s="46" t="s">
        <v>803</v>
      </c>
      <c r="D159" s="46" t="s">
        <v>391</v>
      </c>
      <c r="E159" s="46" t="s">
        <v>239</v>
      </c>
      <c r="F159" s="46" t="s">
        <v>183</v>
      </c>
      <c r="G159" s="85" t="s">
        <v>126</v>
      </c>
      <c r="H159" s="88">
        <v>3058.1701649984288</v>
      </c>
      <c r="I159" s="85">
        <v>5199</v>
      </c>
      <c r="J159" s="85">
        <v>0</v>
      </c>
      <c r="K159" s="104">
        <v>547.09927231980214</v>
      </c>
      <c r="L159" s="38">
        <v>4.6213954365736964E-5</v>
      </c>
      <c r="M159" s="46">
        <v>2.9462367266890718E-3</v>
      </c>
      <c r="N159" s="46">
        <v>1.685011326073513E-3</v>
      </c>
      <c r="O159" s="28"/>
      <c r="P159" s="28"/>
      <c r="Q159" s="28"/>
      <c r="R159" s="28"/>
    </row>
    <row r="160" spans="1:18" x14ac:dyDescent="0.2">
      <c r="A160" s="30" t="s">
        <v>843</v>
      </c>
      <c r="B160" s="46" t="s">
        <v>844</v>
      </c>
      <c r="C160" s="46" t="s">
        <v>803</v>
      </c>
      <c r="D160" s="46" t="s">
        <v>391</v>
      </c>
      <c r="E160" s="46" t="s">
        <v>589</v>
      </c>
      <c r="F160" s="46" t="s">
        <v>183</v>
      </c>
      <c r="G160" s="85" t="s">
        <v>126</v>
      </c>
      <c r="H160" s="88">
        <v>12098.376870141514</v>
      </c>
      <c r="I160" s="85">
        <v>1313</v>
      </c>
      <c r="J160" s="85">
        <v>0</v>
      </c>
      <c r="K160" s="104">
        <v>546.60865944056832</v>
      </c>
      <c r="L160" s="38">
        <v>2.4702132192598174E-4</v>
      </c>
      <c r="M160" s="46">
        <v>2.9435946802515833E-3</v>
      </c>
      <c r="N160" s="46">
        <v>1.6835002872181309E-3</v>
      </c>
      <c r="O160" s="28"/>
      <c r="P160" s="28"/>
      <c r="Q160" s="28"/>
      <c r="R160" s="28"/>
    </row>
    <row r="161" spans="1:18" x14ac:dyDescent="0.2">
      <c r="A161" s="30" t="s">
        <v>824</v>
      </c>
      <c r="B161" s="46" t="s">
        <v>825</v>
      </c>
      <c r="C161" s="46" t="s">
        <v>826</v>
      </c>
      <c r="D161" s="46" t="s">
        <v>391</v>
      </c>
      <c r="E161" s="46" t="s">
        <v>239</v>
      </c>
      <c r="F161" s="46" t="s">
        <v>183</v>
      </c>
      <c r="G161" s="85" t="s">
        <v>126</v>
      </c>
      <c r="H161" s="88">
        <v>1680.2635044568863</v>
      </c>
      <c r="I161" s="85">
        <v>24475</v>
      </c>
      <c r="J161" s="85">
        <v>0</v>
      </c>
      <c r="K161" s="104">
        <v>1415.092299432579</v>
      </c>
      <c r="L161" s="38">
        <v>1.7434949400576537E-5</v>
      </c>
      <c r="M161" s="46">
        <v>7.6205491675486745E-3</v>
      </c>
      <c r="N161" s="46">
        <v>4.3583434901545599E-3</v>
      </c>
      <c r="O161" s="28"/>
      <c r="P161" s="28"/>
      <c r="Q161" s="28"/>
      <c r="R161" s="28"/>
    </row>
    <row r="162" spans="1:18" x14ac:dyDescent="0.2">
      <c r="A162" s="30" t="s">
        <v>831</v>
      </c>
      <c r="B162" s="46" t="s">
        <v>832</v>
      </c>
      <c r="C162" s="46" t="s">
        <v>803</v>
      </c>
      <c r="D162" s="46" t="s">
        <v>391</v>
      </c>
      <c r="E162" s="46" t="s">
        <v>239</v>
      </c>
      <c r="F162" s="46" t="s">
        <v>178</v>
      </c>
      <c r="G162" s="85" t="s">
        <v>126</v>
      </c>
      <c r="H162" s="88">
        <v>1456.3793486741281</v>
      </c>
      <c r="I162" s="85">
        <v>1018</v>
      </c>
      <c r="J162" s="85">
        <v>0</v>
      </c>
      <c r="K162" s="104">
        <v>51.01606559095994</v>
      </c>
      <c r="L162" s="38">
        <v>4.2565707758719399E-5</v>
      </c>
      <c r="M162" s="46">
        <v>2.7473150431720021E-4</v>
      </c>
      <c r="N162" s="46">
        <v>1.5712440626721946E-4</v>
      </c>
      <c r="O162" s="28"/>
      <c r="P162" s="28"/>
      <c r="Q162" s="28"/>
      <c r="R162" s="28"/>
    </row>
    <row r="163" spans="1:18" x14ac:dyDescent="0.2">
      <c r="A163" s="30" t="s">
        <v>819</v>
      </c>
      <c r="B163" s="46" t="s">
        <v>820</v>
      </c>
      <c r="C163" s="46" t="s">
        <v>803</v>
      </c>
      <c r="D163" s="46" t="s">
        <v>391</v>
      </c>
      <c r="E163" s="46" t="s">
        <v>821</v>
      </c>
      <c r="F163" s="46" t="s">
        <v>185</v>
      </c>
      <c r="G163" s="85" t="s">
        <v>126</v>
      </c>
      <c r="H163" s="88">
        <v>5782.4526762435407</v>
      </c>
      <c r="I163" s="85">
        <v>23835</v>
      </c>
      <c r="J163" s="85">
        <v>0</v>
      </c>
      <c r="K163" s="104">
        <v>4742.5499756998797</v>
      </c>
      <c r="L163" s="38">
        <v>1.1537550282269831E-4</v>
      </c>
      <c r="M163" s="46">
        <v>2.5539560411620778E-2</v>
      </c>
      <c r="N163" s="46">
        <v>1.4606582073559669E-2</v>
      </c>
      <c r="O163" s="28"/>
      <c r="P163" s="28"/>
      <c r="Q163" s="28"/>
      <c r="R163" s="28"/>
    </row>
    <row r="164" spans="1:18" x14ac:dyDescent="0.2">
      <c r="A164" s="30" t="s">
        <v>839</v>
      </c>
      <c r="B164" s="46" t="s">
        <v>840</v>
      </c>
      <c r="C164" s="46" t="s">
        <v>826</v>
      </c>
      <c r="D164" s="46" t="s">
        <v>391</v>
      </c>
      <c r="E164" s="46" t="s">
        <v>411</v>
      </c>
      <c r="F164" s="46" t="s">
        <v>178</v>
      </c>
      <c r="G164" s="85" t="s">
        <v>126</v>
      </c>
      <c r="H164" s="88">
        <v>65424.771708326516</v>
      </c>
      <c r="I164" s="85">
        <v>901</v>
      </c>
      <c r="J164" s="85">
        <v>0</v>
      </c>
      <c r="K164" s="104">
        <v>2028.3910214113143</v>
      </c>
      <c r="L164" s="38">
        <v>5.9731400351758799E-5</v>
      </c>
      <c r="M164" s="46">
        <v>1.0923282895311704E-2</v>
      </c>
      <c r="N164" s="46">
        <v>6.24724253478079E-3</v>
      </c>
      <c r="O164" s="28"/>
      <c r="P164" s="28"/>
      <c r="Q164" s="28"/>
      <c r="R164" s="28"/>
    </row>
    <row r="165" spans="1:18" x14ac:dyDescent="0.2">
      <c r="A165" s="30" t="s">
        <v>827</v>
      </c>
      <c r="B165" s="46" t="s">
        <v>828</v>
      </c>
      <c r="C165" s="46" t="s">
        <v>826</v>
      </c>
      <c r="D165" s="46" t="s">
        <v>391</v>
      </c>
      <c r="E165" s="46" t="s">
        <v>239</v>
      </c>
      <c r="F165" s="46" t="s">
        <v>183</v>
      </c>
      <c r="G165" s="85" t="s">
        <v>126</v>
      </c>
      <c r="H165" s="88">
        <v>3807.7509775081444</v>
      </c>
      <c r="I165" s="85">
        <v>825</v>
      </c>
      <c r="J165" s="85">
        <v>0</v>
      </c>
      <c r="K165" s="104">
        <v>108.09538667183965</v>
      </c>
      <c r="L165" s="38">
        <v>1.0661668918208996E-4</v>
      </c>
      <c r="M165" s="46">
        <v>5.8211482689026286E-4</v>
      </c>
      <c r="N165" s="46">
        <v>3.3292303619054378E-4</v>
      </c>
      <c r="O165" s="28"/>
      <c r="P165" s="28"/>
      <c r="Q165" s="28"/>
      <c r="R165" s="28"/>
    </row>
    <row r="166" spans="1:18" x14ac:dyDescent="0.2">
      <c r="A166" s="30" t="s">
        <v>822</v>
      </c>
      <c r="B166" s="46" t="s">
        <v>823</v>
      </c>
      <c r="C166" s="46" t="s">
        <v>803</v>
      </c>
      <c r="D166" s="46" t="s">
        <v>391</v>
      </c>
      <c r="E166" s="46" t="s">
        <v>239</v>
      </c>
      <c r="F166" s="46" t="s">
        <v>178</v>
      </c>
      <c r="G166" s="85" t="s">
        <v>126</v>
      </c>
      <c r="H166" s="88">
        <v>2643.0418904573689</v>
      </c>
      <c r="I166" s="85">
        <v>1929</v>
      </c>
      <c r="J166" s="85">
        <v>0</v>
      </c>
      <c r="K166" s="104">
        <v>175.4369008015772</v>
      </c>
      <c r="L166" s="38">
        <v>1.2000844588426225E-4</v>
      </c>
      <c r="M166" s="46">
        <v>9.4476206880417376E-4</v>
      </c>
      <c r="N166" s="46">
        <v>5.4032819968565925E-4</v>
      </c>
      <c r="O166" s="28"/>
      <c r="P166" s="28"/>
      <c r="Q166" s="28"/>
      <c r="R166" s="28"/>
    </row>
    <row r="167" spans="1:18" x14ac:dyDescent="0.2">
      <c r="A167" s="30" t="s">
        <v>835</v>
      </c>
      <c r="B167" s="46" t="s">
        <v>836</v>
      </c>
      <c r="C167" s="46" t="s">
        <v>803</v>
      </c>
      <c r="D167" s="46" t="s">
        <v>391</v>
      </c>
      <c r="E167" s="46" t="s">
        <v>239</v>
      </c>
      <c r="F167" s="46" t="s">
        <v>183</v>
      </c>
      <c r="G167" s="85" t="s">
        <v>126</v>
      </c>
      <c r="H167" s="88">
        <v>1284.5261644350751</v>
      </c>
      <c r="I167" s="85">
        <v>25485</v>
      </c>
      <c r="J167" s="85">
        <v>0</v>
      </c>
      <c r="K167" s="104">
        <v>1126.4508974161186</v>
      </c>
      <c r="L167" s="38">
        <v>2.3305401429495993E-5</v>
      </c>
      <c r="M167" s="46">
        <v>6.0661586894585782E-3</v>
      </c>
      <c r="N167" s="46">
        <v>3.4693566898080699E-3</v>
      </c>
      <c r="O167" s="28"/>
      <c r="P167" s="28"/>
      <c r="Q167" s="28"/>
      <c r="R167" s="28"/>
    </row>
    <row r="168" spans="1:18" x14ac:dyDescent="0.2">
      <c r="A168" s="30" t="s">
        <v>851</v>
      </c>
      <c r="B168" s="46" t="s">
        <v>852</v>
      </c>
      <c r="C168" s="46" t="s">
        <v>826</v>
      </c>
      <c r="D168" s="46" t="s">
        <v>391</v>
      </c>
      <c r="E168" s="46" t="s">
        <v>408</v>
      </c>
      <c r="F168" s="46" t="s">
        <v>165</v>
      </c>
      <c r="G168" s="85" t="s">
        <v>126</v>
      </c>
      <c r="H168" s="88">
        <v>3182.6552401258423</v>
      </c>
      <c r="I168" s="85">
        <v>349</v>
      </c>
      <c r="J168" s="85">
        <v>0</v>
      </c>
      <c r="K168" s="104">
        <v>38.220793169833108</v>
      </c>
      <c r="L168" s="38">
        <v>2.4853792428221084E-6</v>
      </c>
      <c r="M168" s="46">
        <v>2.0582645647228244E-4</v>
      </c>
      <c r="N168" s="46">
        <v>1.1771624025307795E-4</v>
      </c>
      <c r="O168" s="28"/>
      <c r="P168" s="28"/>
      <c r="Q168" s="28"/>
      <c r="R168" s="28"/>
    </row>
    <row r="169" spans="1:18" x14ac:dyDescent="0.2">
      <c r="A169" s="30" t="s">
        <v>858</v>
      </c>
      <c r="B169" s="46" t="s">
        <v>859</v>
      </c>
      <c r="C169" s="46" t="s">
        <v>803</v>
      </c>
      <c r="D169" s="46" t="s">
        <v>391</v>
      </c>
      <c r="E169" s="46" t="s">
        <v>420</v>
      </c>
      <c r="F169" s="46" t="s">
        <v>166</v>
      </c>
      <c r="G169" s="85" t="s">
        <v>126</v>
      </c>
      <c r="H169" s="88">
        <v>463.57479897289113</v>
      </c>
      <c r="I169" s="85">
        <v>12030</v>
      </c>
      <c r="J169" s="85">
        <v>0</v>
      </c>
      <c r="K169" s="104">
        <v>191.8978542281082</v>
      </c>
      <c r="L169" s="38">
        <v>1.048851390930135E-5</v>
      </c>
      <c r="M169" s="46">
        <v>1.0334075267590418E-3</v>
      </c>
      <c r="N169" s="46">
        <v>5.910262984860174E-4</v>
      </c>
      <c r="O169" s="28"/>
      <c r="P169" s="28"/>
      <c r="Q169" s="28"/>
      <c r="R169" s="28"/>
    </row>
    <row r="170" spans="1:18" x14ac:dyDescent="0.2">
      <c r="A170" s="30" t="s">
        <v>847</v>
      </c>
      <c r="B170" s="46" t="s">
        <v>848</v>
      </c>
      <c r="C170" s="46" t="s">
        <v>803</v>
      </c>
      <c r="D170" s="46" t="s">
        <v>391</v>
      </c>
      <c r="E170" s="46" t="s">
        <v>621</v>
      </c>
      <c r="F170" s="46" t="s">
        <v>183</v>
      </c>
      <c r="G170" s="85" t="s">
        <v>126</v>
      </c>
      <c r="H170" s="88">
        <v>11332.142243901415</v>
      </c>
      <c r="I170" s="85">
        <v>910</v>
      </c>
      <c r="J170" s="85">
        <v>0</v>
      </c>
      <c r="K170" s="104">
        <v>354.8445032923741</v>
      </c>
      <c r="L170" s="38">
        <v>3.2278311903934819E-4</v>
      </c>
      <c r="M170" s="46">
        <v>1.9109071438366339E-3</v>
      </c>
      <c r="N170" s="46">
        <v>1.0928857655161952E-3</v>
      </c>
      <c r="O170" s="28"/>
      <c r="P170" s="28"/>
      <c r="Q170" s="28"/>
      <c r="R170" s="28"/>
    </row>
    <row r="171" spans="1:18" x14ac:dyDescent="0.2">
      <c r="A171" s="30" t="s">
        <v>864</v>
      </c>
      <c r="B171" s="46" t="s">
        <v>865</v>
      </c>
      <c r="C171" s="46" t="s">
        <v>826</v>
      </c>
      <c r="D171" s="46" t="s">
        <v>391</v>
      </c>
      <c r="E171" s="46" t="s">
        <v>866</v>
      </c>
      <c r="F171" s="46" t="s">
        <v>187</v>
      </c>
      <c r="G171" s="85" t="s">
        <v>126</v>
      </c>
      <c r="H171" s="88">
        <v>314.13211214962251</v>
      </c>
      <c r="I171" s="85">
        <v>2900</v>
      </c>
      <c r="J171" s="85">
        <v>0</v>
      </c>
      <c r="K171" s="104">
        <v>31.34692929308088</v>
      </c>
      <c r="L171" s="38">
        <v>2.5761004642872403E-5</v>
      </c>
      <c r="M171" s="46">
        <v>1.6880935330181688E-4</v>
      </c>
      <c r="N171" s="46">
        <v>9.6545423415572425E-5</v>
      </c>
      <c r="O171" s="28"/>
      <c r="P171" s="28"/>
      <c r="Q171" s="28"/>
      <c r="R171" s="28"/>
    </row>
    <row r="172" spans="1:18" x14ac:dyDescent="0.2">
      <c r="A172" s="30" t="s">
        <v>867</v>
      </c>
      <c r="B172" s="46" t="s">
        <v>865</v>
      </c>
      <c r="C172" s="46" t="s">
        <v>826</v>
      </c>
      <c r="D172" s="46" t="s">
        <v>391</v>
      </c>
      <c r="E172" s="46" t="s">
        <v>866</v>
      </c>
      <c r="F172" s="46" t="s">
        <v>187</v>
      </c>
      <c r="G172" s="85" t="s">
        <v>126</v>
      </c>
      <c r="H172" s="88">
        <v>3891.7235837737053</v>
      </c>
      <c r="I172" s="85">
        <v>2774</v>
      </c>
      <c r="J172" s="85">
        <v>0</v>
      </c>
      <c r="K172" s="104">
        <v>371.47801441646686</v>
      </c>
      <c r="L172" s="38">
        <v>3.1914823551251167E-4</v>
      </c>
      <c r="M172" s="46">
        <v>2.00048185878699E-3</v>
      </c>
      <c r="N172" s="46">
        <v>1.1441153248567216E-3</v>
      </c>
      <c r="O172" s="28"/>
      <c r="P172" s="28"/>
      <c r="Q172" s="28"/>
      <c r="R172" s="28"/>
    </row>
    <row r="173" spans="1:18" x14ac:dyDescent="0.2">
      <c r="A173" s="30" t="s">
        <v>804</v>
      </c>
      <c r="B173" s="46" t="s">
        <v>805</v>
      </c>
      <c r="C173" s="46" t="s">
        <v>803</v>
      </c>
      <c r="D173" s="46" t="s">
        <v>391</v>
      </c>
      <c r="E173" s="46" t="s">
        <v>806</v>
      </c>
      <c r="F173" s="46" t="s">
        <v>183</v>
      </c>
      <c r="G173" s="85" t="s">
        <v>126</v>
      </c>
      <c r="H173" s="88">
        <v>4949.5925244598166</v>
      </c>
      <c r="I173" s="85">
        <v>5741</v>
      </c>
      <c r="J173" s="85">
        <v>0</v>
      </c>
      <c r="K173" s="104">
        <v>977.78116359247542</v>
      </c>
      <c r="L173" s="38">
        <v>3.7209665720384433E-5</v>
      </c>
      <c r="M173" s="46">
        <v>5.2655430569774099E-3</v>
      </c>
      <c r="N173" s="46">
        <v>3.0114687012626575E-3</v>
      </c>
      <c r="O173" s="28"/>
      <c r="P173" s="28"/>
      <c r="Q173" s="28"/>
      <c r="R173" s="28"/>
    </row>
    <row r="174" spans="1:18" x14ac:dyDescent="0.2">
      <c r="A174" s="30" t="s">
        <v>807</v>
      </c>
      <c r="B174" s="46" t="s">
        <v>808</v>
      </c>
      <c r="C174" s="46" t="s">
        <v>219</v>
      </c>
      <c r="D174" s="46" t="s">
        <v>391</v>
      </c>
      <c r="E174" s="46" t="s">
        <v>809</v>
      </c>
      <c r="F174" s="46" t="s">
        <v>490</v>
      </c>
      <c r="G174" s="85" t="s">
        <v>126</v>
      </c>
      <c r="H174" s="88">
        <v>292</v>
      </c>
      <c r="I174" s="85">
        <v>0.05</v>
      </c>
      <c r="J174" s="85">
        <v>0</v>
      </c>
      <c r="K174" s="104">
        <v>5.0000000000000001E-4</v>
      </c>
      <c r="L174" s="38">
        <v>1.0403721396891995E-4</v>
      </c>
      <c r="M174" s="46">
        <v>2.6925979212113401E-9</v>
      </c>
      <c r="N174" s="46">
        <v>1.539950253387062E-9</v>
      </c>
      <c r="O174" s="28"/>
      <c r="P174" s="28"/>
      <c r="Q174" s="28"/>
      <c r="R174" s="28"/>
    </row>
    <row r="175" spans="1:18" x14ac:dyDescent="0.2">
      <c r="A175" s="30" t="s">
        <v>853</v>
      </c>
      <c r="B175" s="46" t="s">
        <v>854</v>
      </c>
      <c r="C175" s="46" t="s">
        <v>219</v>
      </c>
      <c r="D175" s="46" t="s">
        <v>391</v>
      </c>
      <c r="E175" s="46" t="s">
        <v>855</v>
      </c>
      <c r="F175" s="46" t="s">
        <v>186</v>
      </c>
      <c r="G175" s="85" t="s">
        <v>126</v>
      </c>
      <c r="H175" s="88">
        <v>784.96310563408645</v>
      </c>
      <c r="I175" s="85">
        <v>252</v>
      </c>
      <c r="J175" s="85">
        <v>0</v>
      </c>
      <c r="K175" s="104">
        <v>6.8066662262046806</v>
      </c>
      <c r="L175" s="38">
        <v>6.7485067078029675E-6</v>
      </c>
      <c r="M175" s="46">
        <v>3.665523066211632E-5</v>
      </c>
      <c r="N175" s="46">
        <v>2.0963854759530109E-5</v>
      </c>
      <c r="O175" s="28"/>
      <c r="P175" s="28"/>
      <c r="Q175" s="28"/>
      <c r="R175" s="28"/>
    </row>
    <row r="176" spans="1:18" x14ac:dyDescent="0.2">
      <c r="A176" s="30" t="s">
        <v>845</v>
      </c>
      <c r="B176" s="46" t="s">
        <v>846</v>
      </c>
      <c r="C176" s="46" t="s">
        <v>219</v>
      </c>
      <c r="D176" s="46" t="s">
        <v>391</v>
      </c>
      <c r="E176" s="46" t="s">
        <v>683</v>
      </c>
      <c r="F176" s="46" t="s">
        <v>182</v>
      </c>
      <c r="G176" s="85" t="s">
        <v>126</v>
      </c>
      <c r="H176" s="88">
        <v>1095.916460244669</v>
      </c>
      <c r="I176" s="85">
        <v>405</v>
      </c>
      <c r="J176" s="85">
        <v>0</v>
      </c>
      <c r="K176" s="104">
        <v>15.272746542656105</v>
      </c>
      <c r="L176" s="38">
        <v>7.2429018958397192E-6</v>
      </c>
      <c r="M176" s="46">
        <v>8.2246731183887022E-5</v>
      </c>
      <c r="N176" s="46">
        <v>4.7038539816559284E-5</v>
      </c>
      <c r="O176" s="28"/>
      <c r="P176" s="28"/>
      <c r="Q176" s="28"/>
      <c r="R176" s="28"/>
    </row>
    <row r="177" spans="1:18" x14ac:dyDescent="0.2">
      <c r="A177" s="30" t="s">
        <v>810</v>
      </c>
      <c r="B177" s="46" t="s">
        <v>811</v>
      </c>
      <c r="C177" s="46" t="s">
        <v>803</v>
      </c>
      <c r="D177" s="46" t="s">
        <v>391</v>
      </c>
      <c r="E177" s="46" t="s">
        <v>812</v>
      </c>
      <c r="F177" s="46" t="s">
        <v>183</v>
      </c>
      <c r="G177" s="85" t="s">
        <v>126</v>
      </c>
      <c r="H177" s="88">
        <v>18311.851608621313</v>
      </c>
      <c r="I177" s="85">
        <v>4818</v>
      </c>
      <c r="J177" s="85">
        <v>0</v>
      </c>
      <c r="K177" s="104">
        <v>3035.8739011390321</v>
      </c>
      <c r="L177" s="38">
        <v>2.7999699035385293E-4</v>
      </c>
      <c r="M177" s="46">
        <v>1.6348775510533438E-2</v>
      </c>
      <c r="N177" s="46">
        <v>9.3501895666204416E-3</v>
      </c>
      <c r="O177" s="28"/>
      <c r="P177" s="28"/>
      <c r="Q177" s="28"/>
      <c r="R177" s="28"/>
    </row>
    <row r="178" spans="1:18" x14ac:dyDescent="0.2">
      <c r="A178" s="30" t="s">
        <v>856</v>
      </c>
      <c r="B178" s="46" t="s">
        <v>857</v>
      </c>
      <c r="C178" s="46" t="s">
        <v>803</v>
      </c>
      <c r="D178" s="46" t="s">
        <v>391</v>
      </c>
      <c r="E178" s="46" t="s">
        <v>451</v>
      </c>
      <c r="F178" s="46" t="s">
        <v>185</v>
      </c>
      <c r="G178" s="85" t="s">
        <v>126</v>
      </c>
      <c r="H178" s="88">
        <v>2611.5162159304436</v>
      </c>
      <c r="I178" s="85">
        <v>1822</v>
      </c>
      <c r="J178" s="85">
        <v>0</v>
      </c>
      <c r="K178" s="104">
        <v>163.72906135819599</v>
      </c>
      <c r="L178" s="38">
        <v>2.434698206445877E-5</v>
      </c>
      <c r="M178" s="46">
        <v>8.8171306050992498E-4</v>
      </c>
      <c r="N178" s="46">
        <v>5.0426921905075942E-4</v>
      </c>
      <c r="O178" s="28"/>
      <c r="P178" s="28"/>
      <c r="Q178" s="28"/>
      <c r="R178" s="28"/>
    </row>
    <row r="179" spans="1:18" x14ac:dyDescent="0.2">
      <c r="A179" s="30" t="s">
        <v>841</v>
      </c>
      <c r="B179" s="46" t="s">
        <v>842</v>
      </c>
      <c r="C179" s="46" t="s">
        <v>803</v>
      </c>
      <c r="D179" s="46" t="s">
        <v>391</v>
      </c>
      <c r="E179" s="46" t="s">
        <v>495</v>
      </c>
      <c r="F179" s="46" t="s">
        <v>185</v>
      </c>
      <c r="G179" s="85" t="s">
        <v>126</v>
      </c>
      <c r="H179" s="88">
        <v>1900.4399656626056</v>
      </c>
      <c r="I179" s="85">
        <v>5214</v>
      </c>
      <c r="J179" s="85">
        <v>0</v>
      </c>
      <c r="K179" s="104">
        <v>340.96504186949107</v>
      </c>
      <c r="L179" s="38">
        <v>6.7651610987303509E-5</v>
      </c>
      <c r="M179" s="46">
        <v>1.8361635258870583E-3</v>
      </c>
      <c r="N179" s="46">
        <v>1.0501384052461059E-3</v>
      </c>
      <c r="O179" s="28"/>
      <c r="P179" s="28"/>
      <c r="Q179" s="28"/>
      <c r="R179" s="28"/>
    </row>
    <row r="180" spans="1:18" x14ac:dyDescent="0.2">
      <c r="A180" s="30" t="s">
        <v>837</v>
      </c>
      <c r="B180" s="46" t="s">
        <v>838</v>
      </c>
      <c r="C180" s="46" t="s">
        <v>803</v>
      </c>
      <c r="D180" s="46" t="s">
        <v>391</v>
      </c>
      <c r="E180" s="46" t="s">
        <v>395</v>
      </c>
      <c r="F180" s="46" t="s">
        <v>183</v>
      </c>
      <c r="G180" s="85" t="s">
        <v>126</v>
      </c>
      <c r="H180" s="88">
        <v>302.50576793575084</v>
      </c>
      <c r="I180" s="85">
        <v>22703</v>
      </c>
      <c r="J180" s="85">
        <v>0</v>
      </c>
      <c r="K180" s="104">
        <v>236.32060050119949</v>
      </c>
      <c r="L180" s="38">
        <v>4.822169402047903E-6</v>
      </c>
      <c r="M180" s="46">
        <v>1.2726327152978907E-3</v>
      </c>
      <c r="N180" s="46">
        <v>7.2784393724480958E-4</v>
      </c>
      <c r="O180" s="28"/>
      <c r="P180" s="28"/>
      <c r="Q180" s="28"/>
      <c r="R180" s="28"/>
    </row>
    <row r="181" spans="1:18" x14ac:dyDescent="0.2">
      <c r="A181" s="30" t="s">
        <v>862</v>
      </c>
      <c r="B181" s="46" t="s">
        <v>863</v>
      </c>
      <c r="C181" s="46" t="s">
        <v>803</v>
      </c>
      <c r="D181" s="46" t="s">
        <v>391</v>
      </c>
      <c r="E181" s="46" t="s">
        <v>498</v>
      </c>
      <c r="F181" s="46" t="s">
        <v>183</v>
      </c>
      <c r="G181" s="85" t="s">
        <v>126</v>
      </c>
      <c r="H181" s="88">
        <v>1872.7246919336899</v>
      </c>
      <c r="I181" s="85">
        <v>3058</v>
      </c>
      <c r="J181" s="85">
        <v>0</v>
      </c>
      <c r="K181" s="104">
        <v>197.05891639659717</v>
      </c>
      <c r="L181" s="38">
        <v>3.7335114064749481E-5</v>
      </c>
      <c r="M181" s="46">
        <v>1.0612008572912736E-3</v>
      </c>
      <c r="N181" s="46">
        <v>6.0692185647423936E-4</v>
      </c>
      <c r="O181" s="28"/>
      <c r="P181" s="28"/>
      <c r="Q181" s="28"/>
      <c r="R181" s="28"/>
    </row>
    <row r="182" spans="1:18" x14ac:dyDescent="0.2">
      <c r="A182" s="30" t="s">
        <v>849</v>
      </c>
      <c r="B182" s="46" t="s">
        <v>850</v>
      </c>
      <c r="C182" s="46" t="s">
        <v>826</v>
      </c>
      <c r="D182" s="46" t="s">
        <v>391</v>
      </c>
      <c r="E182" s="46" t="s">
        <v>613</v>
      </c>
      <c r="F182" s="46" t="s">
        <v>186</v>
      </c>
      <c r="G182" s="85" t="s">
        <v>126</v>
      </c>
      <c r="H182" s="88">
        <v>1014.357450171917</v>
      </c>
      <c r="I182" s="85">
        <v>409</v>
      </c>
      <c r="J182" s="85">
        <v>0</v>
      </c>
      <c r="K182" s="104">
        <v>14.275752298082814</v>
      </c>
      <c r="L182" s="38">
        <v>6.2316656474065551E-6</v>
      </c>
      <c r="M182" s="46">
        <v>7.6877721923091595E-5</v>
      </c>
      <c r="N182" s="46">
        <v>4.3967896737447123E-5</v>
      </c>
      <c r="O182" s="28"/>
      <c r="P182" s="28"/>
      <c r="Q182" s="28"/>
      <c r="R182" s="28"/>
    </row>
    <row r="183" spans="1:18" x14ac:dyDescent="0.2">
      <c r="A183" s="30" t="s">
        <v>801</v>
      </c>
      <c r="B183" s="46" t="s">
        <v>802</v>
      </c>
      <c r="C183" s="46" t="s">
        <v>803</v>
      </c>
      <c r="D183" s="46" t="s">
        <v>391</v>
      </c>
      <c r="E183" s="46" t="s">
        <v>239</v>
      </c>
      <c r="F183" s="46" t="s">
        <v>183</v>
      </c>
      <c r="G183" s="85" t="s">
        <v>126</v>
      </c>
      <c r="H183" s="88">
        <v>3682.8602128078974</v>
      </c>
      <c r="I183" s="85">
        <v>12034</v>
      </c>
      <c r="J183" s="85">
        <v>0</v>
      </c>
      <c r="K183" s="104">
        <v>1525.0353645491878</v>
      </c>
      <c r="L183" s="38">
        <v>2.6268600542772093E-5</v>
      </c>
      <c r="M183" s="46">
        <v>8.2126141047178421E-3</v>
      </c>
      <c r="N183" s="46">
        <v>4.6969571921235045E-3</v>
      </c>
      <c r="O183" s="28"/>
      <c r="P183" s="28"/>
      <c r="Q183" s="28"/>
      <c r="R183" s="28"/>
    </row>
    <row r="184" spans="1:18" s="139" customFormat="1" x14ac:dyDescent="0.2">
      <c r="A184" s="112" t="s">
        <v>146</v>
      </c>
      <c r="B184" s="142" t="s">
        <v>239</v>
      </c>
      <c r="C184" s="142" t="s">
        <v>239</v>
      </c>
      <c r="D184" s="142" t="s">
        <v>239</v>
      </c>
      <c r="E184" s="142" t="s">
        <v>239</v>
      </c>
      <c r="F184" s="142" t="s">
        <v>239</v>
      </c>
      <c r="G184" s="146" t="s">
        <v>239</v>
      </c>
      <c r="H184" s="157" t="s">
        <v>239</v>
      </c>
      <c r="I184" s="146" t="s">
        <v>239</v>
      </c>
      <c r="J184" s="146" t="s">
        <v>239</v>
      </c>
      <c r="K184" s="148">
        <v>70019.174680526383</v>
      </c>
      <c r="L184" s="145" t="s">
        <v>239</v>
      </c>
      <c r="M184" s="142">
        <v>0.37706696837943804</v>
      </c>
      <c r="N184" s="142">
        <v>0.2156520915824591</v>
      </c>
    </row>
    <row r="185" spans="1:18" x14ac:dyDescent="0.2">
      <c r="A185" s="30" t="s">
        <v>868</v>
      </c>
      <c r="B185" s="46" t="s">
        <v>869</v>
      </c>
      <c r="C185" s="46" t="s">
        <v>870</v>
      </c>
      <c r="D185" s="46" t="s">
        <v>391</v>
      </c>
      <c r="E185" s="46" t="s">
        <v>239</v>
      </c>
      <c r="F185" s="46" t="s">
        <v>166</v>
      </c>
      <c r="G185" s="85" t="s">
        <v>127</v>
      </c>
      <c r="H185" s="88">
        <v>965.25811591787397</v>
      </c>
      <c r="I185" s="85">
        <v>6207</v>
      </c>
      <c r="J185" s="85">
        <v>0</v>
      </c>
      <c r="K185" s="104">
        <v>241.20005509474498</v>
      </c>
      <c r="L185" s="38">
        <v>1.2310949043176137E-6</v>
      </c>
      <c r="M185" s="46">
        <v>1.2989095338883422E-3</v>
      </c>
      <c r="N185" s="46">
        <v>7.4287217192025169E-4</v>
      </c>
      <c r="O185" s="28"/>
      <c r="P185" s="28"/>
      <c r="Q185" s="28"/>
      <c r="R185" s="28"/>
    </row>
    <row r="186" spans="1:18" x14ac:dyDescent="0.2">
      <c r="A186" s="30" t="s">
        <v>871</v>
      </c>
      <c r="B186" s="46" t="s">
        <v>872</v>
      </c>
      <c r="C186" s="46" t="s">
        <v>219</v>
      </c>
      <c r="D186" s="46" t="s">
        <v>391</v>
      </c>
      <c r="E186" s="46" t="s">
        <v>239</v>
      </c>
      <c r="F186" s="46" t="s">
        <v>184</v>
      </c>
      <c r="G186" s="85" t="s">
        <v>127</v>
      </c>
      <c r="H186" s="88">
        <v>33957.940749733003</v>
      </c>
      <c r="I186" s="85">
        <v>335</v>
      </c>
      <c r="J186" s="85">
        <v>0</v>
      </c>
      <c r="K186" s="104">
        <v>457.9713908511481</v>
      </c>
      <c r="L186" s="38">
        <v>6.0061238933291732E-6</v>
      </c>
      <c r="M186" s="46">
        <v>2.4662656299601353E-3</v>
      </c>
      <c r="N186" s="46">
        <v>1.4105063187705013E-3</v>
      </c>
      <c r="O186" s="28"/>
      <c r="P186" s="28"/>
      <c r="Q186" s="28"/>
      <c r="R186" s="28"/>
    </row>
    <row r="187" spans="1:18" x14ac:dyDescent="0.2">
      <c r="A187" s="30" t="s">
        <v>873</v>
      </c>
      <c r="B187" s="46" t="s">
        <v>874</v>
      </c>
      <c r="C187" s="46" t="s">
        <v>870</v>
      </c>
      <c r="D187" s="46" t="s">
        <v>391</v>
      </c>
      <c r="E187" s="46" t="s">
        <v>239</v>
      </c>
      <c r="F187" s="46" t="s">
        <v>164</v>
      </c>
      <c r="G187" s="85" t="s">
        <v>127</v>
      </c>
      <c r="H187" s="88">
        <v>39.836120218959998</v>
      </c>
      <c r="I187" s="85">
        <v>2920</v>
      </c>
      <c r="J187" s="85">
        <v>7.6208888150000001E-2</v>
      </c>
      <c r="K187" s="104">
        <v>4.7590786692487672</v>
      </c>
      <c r="L187" s="38">
        <v>1.5014797590911718E-8</v>
      </c>
      <c r="M187" s="46">
        <v>2.5628570663400922E-5</v>
      </c>
      <c r="N187" s="46">
        <v>1.4657488805197201E-5</v>
      </c>
      <c r="O187" s="28"/>
      <c r="P187" s="28"/>
      <c r="Q187" s="28"/>
      <c r="R187" s="28"/>
    </row>
    <row r="188" spans="1:18" x14ac:dyDescent="0.2">
      <c r="A188" s="30" t="s">
        <v>875</v>
      </c>
      <c r="B188" s="46" t="s">
        <v>876</v>
      </c>
      <c r="C188" s="46" t="s">
        <v>219</v>
      </c>
      <c r="D188" s="46" t="s">
        <v>391</v>
      </c>
      <c r="E188" s="46" t="s">
        <v>239</v>
      </c>
      <c r="F188" s="46" t="s">
        <v>164</v>
      </c>
      <c r="G188" s="85" t="s">
        <v>127</v>
      </c>
      <c r="H188" s="88">
        <v>183.24615300721601</v>
      </c>
      <c r="I188" s="85">
        <v>668.8</v>
      </c>
      <c r="J188" s="85">
        <v>0</v>
      </c>
      <c r="K188" s="104">
        <v>4.9338202726882301</v>
      </c>
      <c r="L188" s="38">
        <v>5.0422897119343115E-8</v>
      </c>
      <c r="M188" s="46">
        <v>2.6569588419741391E-5</v>
      </c>
      <c r="N188" s="46">
        <v>1.5195675558184926E-5</v>
      </c>
      <c r="O188" s="28"/>
      <c r="P188" s="28"/>
      <c r="Q188" s="28"/>
      <c r="R188" s="28"/>
    </row>
    <row r="189" spans="1:18" x14ac:dyDescent="0.2">
      <c r="A189" s="30" t="s">
        <v>877</v>
      </c>
      <c r="B189" s="46" t="s">
        <v>878</v>
      </c>
      <c r="C189" s="46" t="s">
        <v>870</v>
      </c>
      <c r="D189" s="46" t="s">
        <v>391</v>
      </c>
      <c r="E189" s="46" t="s">
        <v>239</v>
      </c>
      <c r="F189" s="46" t="s">
        <v>164</v>
      </c>
      <c r="G189" s="85" t="s">
        <v>127</v>
      </c>
      <c r="H189" s="88">
        <v>19.918060109479999</v>
      </c>
      <c r="I189" s="85">
        <v>546.40000000000009</v>
      </c>
      <c r="J189" s="85">
        <v>0</v>
      </c>
      <c r="K189" s="104">
        <v>0.4381369945881004</v>
      </c>
      <c r="L189" s="38">
        <v>4.4328145366536695E-8</v>
      </c>
      <c r="M189" s="46">
        <v>2.3594535216674064E-6</v>
      </c>
      <c r="N189" s="46">
        <v>1.349418351668382E-6</v>
      </c>
      <c r="O189" s="28"/>
      <c r="P189" s="28"/>
      <c r="Q189" s="28"/>
      <c r="R189" s="28"/>
    </row>
    <row r="190" spans="1:18" x14ac:dyDescent="0.2">
      <c r="A190" s="30" t="s">
        <v>879</v>
      </c>
      <c r="B190" s="46" t="s">
        <v>880</v>
      </c>
      <c r="C190" s="46" t="s">
        <v>219</v>
      </c>
      <c r="D190" s="46" t="s">
        <v>391</v>
      </c>
      <c r="E190" s="46" t="s">
        <v>239</v>
      </c>
      <c r="F190" s="46" t="s">
        <v>187</v>
      </c>
      <c r="G190" s="85" t="s">
        <v>127</v>
      </c>
      <c r="H190" s="88">
        <v>127.475584700672</v>
      </c>
      <c r="I190" s="85">
        <v>741.80000000000007</v>
      </c>
      <c r="J190" s="85">
        <v>0</v>
      </c>
      <c r="K190" s="104">
        <v>3.8068523843440372</v>
      </c>
      <c r="L190" s="38">
        <v>1.2538565657684909E-8</v>
      </c>
      <c r="M190" s="46">
        <v>2.0500645632886377E-5</v>
      </c>
      <c r="N190" s="46">
        <v>1.1724726587755482E-5</v>
      </c>
      <c r="O190" s="28"/>
      <c r="P190" s="28"/>
      <c r="Q190" s="28"/>
      <c r="R190" s="28"/>
    </row>
    <row r="191" spans="1:18" x14ac:dyDescent="0.2">
      <c r="A191" s="30" t="s">
        <v>873</v>
      </c>
      <c r="B191" s="46" t="s">
        <v>874</v>
      </c>
      <c r="C191" s="46" t="s">
        <v>870</v>
      </c>
      <c r="D191" s="46" t="s">
        <v>391</v>
      </c>
      <c r="E191" s="46" t="s">
        <v>239</v>
      </c>
      <c r="F191" s="46" t="s">
        <v>164</v>
      </c>
      <c r="G191" s="85" t="s">
        <v>127</v>
      </c>
      <c r="H191" s="88">
        <v>2486.7045516717308</v>
      </c>
      <c r="I191" s="85">
        <v>2920</v>
      </c>
      <c r="J191" s="85">
        <v>6.6072435560000002</v>
      </c>
      <c r="K191" s="104">
        <v>298.92771886205145</v>
      </c>
      <c r="L191" s="38">
        <v>9.3727414483449593E-7</v>
      </c>
      <c r="M191" s="46">
        <v>1.6097843088008152E-3</v>
      </c>
      <c r="N191" s="46">
        <v>9.2066763281206502E-4</v>
      </c>
      <c r="O191" s="28"/>
      <c r="P191" s="28"/>
      <c r="Q191" s="28"/>
      <c r="R191" s="28"/>
    </row>
    <row r="192" spans="1:18" x14ac:dyDescent="0.2">
      <c r="A192" s="30" t="s">
        <v>881</v>
      </c>
      <c r="B192" s="46" t="s">
        <v>882</v>
      </c>
      <c r="C192" s="46" t="s">
        <v>219</v>
      </c>
      <c r="D192" s="46" t="s">
        <v>391</v>
      </c>
      <c r="E192" s="46" t="s">
        <v>239</v>
      </c>
      <c r="F192" s="46" t="s">
        <v>184</v>
      </c>
      <c r="G192" s="85" t="s">
        <v>134</v>
      </c>
      <c r="H192" s="88">
        <v>11541.124041535822</v>
      </c>
      <c r="I192" s="85">
        <v>9828</v>
      </c>
      <c r="J192" s="85">
        <v>0</v>
      </c>
      <c r="K192" s="104">
        <v>431.92684416071307</v>
      </c>
      <c r="L192" s="38">
        <v>3.7563923963971887E-6</v>
      </c>
      <c r="M192" s="46">
        <v>2.326010645405021E-3</v>
      </c>
      <c r="N192" s="46">
        <v>1.3302917062199282E-3</v>
      </c>
      <c r="O192" s="28"/>
      <c r="P192" s="28"/>
      <c r="Q192" s="28"/>
      <c r="R192" s="28"/>
    </row>
    <row r="193" spans="1:18" x14ac:dyDescent="0.2">
      <c r="A193" s="30" t="s">
        <v>883</v>
      </c>
      <c r="B193" s="46" t="s">
        <v>884</v>
      </c>
      <c r="C193" s="46" t="s">
        <v>885</v>
      </c>
      <c r="D193" s="46" t="s">
        <v>391</v>
      </c>
      <c r="E193" s="46" t="s">
        <v>239</v>
      </c>
      <c r="F193" s="46" t="s">
        <v>178</v>
      </c>
      <c r="G193" s="85" t="s">
        <v>127</v>
      </c>
      <c r="H193" s="88">
        <v>4250.9112855731455</v>
      </c>
      <c r="I193" s="85">
        <v>5331</v>
      </c>
      <c r="J193" s="85">
        <v>0</v>
      </c>
      <c r="K193" s="104">
        <v>912.31101737946892</v>
      </c>
      <c r="L193" s="38">
        <v>4.3269616079842248E-6</v>
      </c>
      <c r="M193" s="46">
        <v>4.9129734977883211E-3</v>
      </c>
      <c r="N193" s="46">
        <v>2.8098271647626427E-3</v>
      </c>
      <c r="O193" s="28"/>
      <c r="P193" s="28"/>
      <c r="Q193" s="28"/>
      <c r="R193" s="28"/>
    </row>
    <row r="194" spans="1:18" x14ac:dyDescent="0.2">
      <c r="A194" s="30" t="s">
        <v>886</v>
      </c>
      <c r="B194" s="46" t="s">
        <v>887</v>
      </c>
      <c r="C194" s="46" t="s">
        <v>870</v>
      </c>
      <c r="D194" s="46" t="s">
        <v>391</v>
      </c>
      <c r="E194" s="46" t="s">
        <v>239</v>
      </c>
      <c r="F194" s="46" t="s">
        <v>187</v>
      </c>
      <c r="G194" s="85" t="s">
        <v>127</v>
      </c>
      <c r="H194" s="88">
        <v>45.73186601136608</v>
      </c>
      <c r="I194" s="85">
        <v>1842.0000000000002</v>
      </c>
      <c r="J194" s="85">
        <v>0</v>
      </c>
      <c r="K194" s="104">
        <v>3.3912573116942073</v>
      </c>
      <c r="L194" s="38">
        <v>8.0617950940635479E-8</v>
      </c>
      <c r="M194" s="46">
        <v>1.8262584775521161E-5</v>
      </c>
      <c r="N194" s="46">
        <v>1.0444735112888442E-5</v>
      </c>
      <c r="O194" s="28"/>
      <c r="P194" s="28"/>
      <c r="Q194" s="28"/>
      <c r="R194" s="28"/>
    </row>
    <row r="195" spans="1:18" x14ac:dyDescent="0.2">
      <c r="A195" s="30" t="s">
        <v>888</v>
      </c>
      <c r="B195" s="46" t="s">
        <v>889</v>
      </c>
      <c r="C195" s="46" t="s">
        <v>219</v>
      </c>
      <c r="D195" s="46" t="s">
        <v>391</v>
      </c>
      <c r="E195" s="46" t="s">
        <v>239</v>
      </c>
      <c r="F195" s="46" t="s">
        <v>170</v>
      </c>
      <c r="G195" s="85" t="s">
        <v>127</v>
      </c>
      <c r="H195" s="88">
        <v>2388.4290831249314</v>
      </c>
      <c r="I195" s="85">
        <v>3497.9999999999995</v>
      </c>
      <c r="J195" s="85">
        <v>0</v>
      </c>
      <c r="K195" s="104">
        <v>336.34451629612568</v>
      </c>
      <c r="L195" s="38">
        <v>9.2448415895513845E-6</v>
      </c>
      <c r="M195" s="46">
        <v>1.8112810907795634E-3</v>
      </c>
      <c r="N195" s="46">
        <v>1.0359076461911351E-3</v>
      </c>
      <c r="O195" s="28"/>
      <c r="P195" s="28"/>
      <c r="Q195" s="28"/>
      <c r="R195" s="28"/>
    </row>
    <row r="196" spans="1:18" x14ac:dyDescent="0.2">
      <c r="A196" s="30" t="s">
        <v>890</v>
      </c>
      <c r="B196" s="46" t="s">
        <v>891</v>
      </c>
      <c r="C196" s="46" t="s">
        <v>219</v>
      </c>
      <c r="D196" s="46" t="s">
        <v>391</v>
      </c>
      <c r="E196" s="46" t="s">
        <v>239</v>
      </c>
      <c r="F196" s="46" t="s">
        <v>169</v>
      </c>
      <c r="G196" s="85" t="s">
        <v>127</v>
      </c>
      <c r="H196" s="88">
        <v>702.36755406685825</v>
      </c>
      <c r="I196" s="85">
        <v>15665</v>
      </c>
      <c r="J196" s="85">
        <v>0</v>
      </c>
      <c r="K196" s="104">
        <v>442.94217694895394</v>
      </c>
      <c r="L196" s="38">
        <v>3.8017622505288601E-6</v>
      </c>
      <c r="M196" s="46">
        <v>2.3853303697391579E-3</v>
      </c>
      <c r="N196" s="46">
        <v>1.3642178352567169E-3</v>
      </c>
      <c r="O196" s="28"/>
      <c r="P196" s="28"/>
      <c r="Q196" s="28"/>
      <c r="R196" s="28"/>
    </row>
    <row r="197" spans="1:18" x14ac:dyDescent="0.2">
      <c r="A197" s="30" t="s">
        <v>892</v>
      </c>
      <c r="B197" s="46" t="s">
        <v>893</v>
      </c>
      <c r="C197" s="46" t="s">
        <v>870</v>
      </c>
      <c r="D197" s="46" t="s">
        <v>391</v>
      </c>
      <c r="E197" s="46" t="s">
        <v>239</v>
      </c>
      <c r="F197" s="46" t="s">
        <v>178</v>
      </c>
      <c r="G197" s="85" t="s">
        <v>127</v>
      </c>
      <c r="H197" s="88">
        <v>2147.4829029780967</v>
      </c>
      <c r="I197" s="85">
        <v>8533</v>
      </c>
      <c r="J197" s="85">
        <v>0</v>
      </c>
      <c r="K197" s="104">
        <v>737.70657806200711</v>
      </c>
      <c r="L197" s="38">
        <v>1.7057906791270456E-6</v>
      </c>
      <c r="M197" s="46">
        <v>3.9726943971073831E-3</v>
      </c>
      <c r="N197" s="46">
        <v>2.2720628636237806E-3</v>
      </c>
      <c r="O197" s="28"/>
      <c r="P197" s="28"/>
      <c r="Q197" s="28"/>
      <c r="R197" s="28"/>
    </row>
    <row r="198" spans="1:18" x14ac:dyDescent="0.2">
      <c r="A198" s="30" t="s">
        <v>894</v>
      </c>
      <c r="B198" s="46" t="s">
        <v>895</v>
      </c>
      <c r="C198" s="46" t="s">
        <v>870</v>
      </c>
      <c r="D198" s="46" t="s">
        <v>391</v>
      </c>
      <c r="E198" s="46" t="s">
        <v>239</v>
      </c>
      <c r="F198" s="46" t="s">
        <v>166</v>
      </c>
      <c r="G198" s="85" t="s">
        <v>127</v>
      </c>
      <c r="H198" s="88">
        <v>2494.1912416950208</v>
      </c>
      <c r="I198" s="85">
        <v>7152</v>
      </c>
      <c r="J198" s="85">
        <v>0</v>
      </c>
      <c r="K198" s="104">
        <v>718.14055192916294</v>
      </c>
      <c r="L198" s="38">
        <v>4.0727776366639662E-6</v>
      </c>
      <c r="M198" s="46">
        <v>3.8673275145240573E-3</v>
      </c>
      <c r="N198" s="46">
        <v>2.211801449821678E-3</v>
      </c>
      <c r="O198" s="28"/>
      <c r="P198" s="28"/>
      <c r="Q198" s="28"/>
      <c r="R198" s="28"/>
    </row>
    <row r="199" spans="1:18" x14ac:dyDescent="0.2">
      <c r="A199" s="30" t="s">
        <v>896</v>
      </c>
      <c r="B199" s="46" t="s">
        <v>897</v>
      </c>
      <c r="C199" s="46" t="s">
        <v>219</v>
      </c>
      <c r="D199" s="46" t="s">
        <v>391</v>
      </c>
      <c r="E199" s="46" t="s">
        <v>239</v>
      </c>
      <c r="F199" s="46" t="s">
        <v>183</v>
      </c>
      <c r="G199" s="85" t="s">
        <v>127</v>
      </c>
      <c r="H199" s="88">
        <v>2272.1045217790565</v>
      </c>
      <c r="I199" s="85">
        <v>4759</v>
      </c>
      <c r="J199" s="85">
        <v>0</v>
      </c>
      <c r="K199" s="104">
        <v>435.3075566531702</v>
      </c>
      <c r="L199" s="38">
        <v>5.0435261517921136E-6</v>
      </c>
      <c r="M199" s="46">
        <v>2.3442164442638276E-3</v>
      </c>
      <c r="N199" s="46">
        <v>1.3407039643387045E-3</v>
      </c>
      <c r="O199" s="28"/>
      <c r="P199" s="28"/>
      <c r="Q199" s="28"/>
      <c r="R199" s="28"/>
    </row>
    <row r="200" spans="1:18" x14ac:dyDescent="0.2">
      <c r="A200" s="30" t="s">
        <v>879</v>
      </c>
      <c r="B200" s="46" t="s">
        <v>880</v>
      </c>
      <c r="C200" s="46" t="s">
        <v>219</v>
      </c>
      <c r="D200" s="46" t="s">
        <v>391</v>
      </c>
      <c r="E200" s="46" t="s">
        <v>239</v>
      </c>
      <c r="F200" s="46" t="s">
        <v>187</v>
      </c>
      <c r="G200" s="85" t="s">
        <v>127</v>
      </c>
      <c r="H200" s="88">
        <v>27893.500821568723</v>
      </c>
      <c r="I200" s="85">
        <v>741.80000000000007</v>
      </c>
      <c r="J200" s="85">
        <v>0</v>
      </c>
      <c r="K200" s="104">
        <v>832.99433727304972</v>
      </c>
      <c r="L200" s="38">
        <v>2.7436194334402894E-6</v>
      </c>
      <c r="M200" s="46">
        <v>4.4858376418444633E-3</v>
      </c>
      <c r="N200" s="46">
        <v>2.5655396815072412E-3</v>
      </c>
      <c r="O200" s="28"/>
      <c r="P200" s="28"/>
      <c r="Q200" s="28"/>
      <c r="R200" s="28"/>
    </row>
    <row r="201" spans="1:18" x14ac:dyDescent="0.2">
      <c r="A201" s="30" t="s">
        <v>898</v>
      </c>
      <c r="B201" s="46" t="s">
        <v>899</v>
      </c>
      <c r="C201" s="46" t="s">
        <v>219</v>
      </c>
      <c r="D201" s="46" t="s">
        <v>391</v>
      </c>
      <c r="E201" s="46" t="s">
        <v>239</v>
      </c>
      <c r="F201" s="46" t="s">
        <v>182</v>
      </c>
      <c r="G201" s="85" t="s">
        <v>127</v>
      </c>
      <c r="H201" s="88">
        <v>2406.7912724317453</v>
      </c>
      <c r="I201" s="85">
        <v>3150</v>
      </c>
      <c r="J201" s="85">
        <v>0</v>
      </c>
      <c r="K201" s="104">
        <v>305.21169957508778</v>
      </c>
      <c r="L201" s="38">
        <v>1.7381019850504817E-5</v>
      </c>
      <c r="M201" s="46">
        <v>1.6436247756105226E-3</v>
      </c>
      <c r="N201" s="46">
        <v>9.4002166819470451E-4</v>
      </c>
      <c r="O201" s="28"/>
      <c r="P201" s="28"/>
      <c r="Q201" s="28"/>
      <c r="R201" s="28"/>
    </row>
    <row r="202" spans="1:18" x14ac:dyDescent="0.2">
      <c r="A202" s="30" t="s">
        <v>900</v>
      </c>
      <c r="B202" s="46" t="s">
        <v>901</v>
      </c>
      <c r="C202" s="46" t="s">
        <v>870</v>
      </c>
      <c r="D202" s="46" t="s">
        <v>391</v>
      </c>
      <c r="E202" s="46" t="s">
        <v>239</v>
      </c>
      <c r="F202" s="46" t="s">
        <v>166</v>
      </c>
      <c r="G202" s="85" t="s">
        <v>127</v>
      </c>
      <c r="H202" s="88">
        <v>32.6656185795472</v>
      </c>
      <c r="I202" s="85">
        <v>2225</v>
      </c>
      <c r="J202" s="85">
        <v>0</v>
      </c>
      <c r="K202" s="104">
        <v>2.925991743958066</v>
      </c>
      <c r="L202" s="38">
        <v>1.6203404044056551E-6</v>
      </c>
      <c r="M202" s="46">
        <v>1.5757038574526066E-5</v>
      </c>
      <c r="N202" s="46">
        <v>9.0117634550333493E-6</v>
      </c>
      <c r="O202" s="28"/>
      <c r="P202" s="28"/>
      <c r="Q202" s="28"/>
      <c r="R202" s="28"/>
    </row>
    <row r="203" spans="1:18" x14ac:dyDescent="0.2">
      <c r="A203" s="30" t="s">
        <v>902</v>
      </c>
      <c r="B203" s="46" t="s">
        <v>903</v>
      </c>
      <c r="C203" s="46" t="s">
        <v>870</v>
      </c>
      <c r="D203" s="46" t="s">
        <v>391</v>
      </c>
      <c r="E203" s="46" t="s">
        <v>239</v>
      </c>
      <c r="F203" s="46" t="s">
        <v>169</v>
      </c>
      <c r="G203" s="85" t="s">
        <v>127</v>
      </c>
      <c r="H203" s="88">
        <v>6931.2015662357708</v>
      </c>
      <c r="I203" s="85">
        <v>2625</v>
      </c>
      <c r="J203" s="85">
        <v>0</v>
      </c>
      <c r="K203" s="104">
        <v>732.47032066484121</v>
      </c>
      <c r="L203" s="38">
        <v>2.8755788349810926E-5</v>
      </c>
      <c r="M203" s="46">
        <v>3.9444961255423105E-3</v>
      </c>
      <c r="N203" s="46">
        <v>2.2559357118126493E-3</v>
      </c>
      <c r="O203" s="28"/>
      <c r="P203" s="28"/>
      <c r="Q203" s="28"/>
      <c r="R203" s="28"/>
    </row>
    <row r="204" spans="1:18" x14ac:dyDescent="0.2">
      <c r="A204" s="30" t="s">
        <v>904</v>
      </c>
      <c r="B204" s="46" t="s">
        <v>905</v>
      </c>
      <c r="C204" s="46" t="s">
        <v>219</v>
      </c>
      <c r="D204" s="46" t="s">
        <v>391</v>
      </c>
      <c r="E204" s="46" t="s">
        <v>239</v>
      </c>
      <c r="F204" s="46" t="s">
        <v>185</v>
      </c>
      <c r="G204" s="85" t="s">
        <v>127</v>
      </c>
      <c r="H204" s="88">
        <v>604.26705121555972</v>
      </c>
      <c r="I204" s="85">
        <v>31470</v>
      </c>
      <c r="J204" s="85">
        <v>0</v>
      </c>
      <c r="K204" s="104">
        <v>765.55756535053399</v>
      </c>
      <c r="L204" s="38">
        <v>1.4196006675469604E-6</v>
      </c>
      <c r="M204" s="46">
        <v>4.1226774180609252E-3</v>
      </c>
      <c r="N204" s="46">
        <v>2.3578411334878742E-3</v>
      </c>
      <c r="O204" s="28"/>
      <c r="P204" s="28"/>
      <c r="Q204" s="28"/>
      <c r="R204" s="28"/>
    </row>
    <row r="205" spans="1:18" x14ac:dyDescent="0.2">
      <c r="A205" s="30" t="s">
        <v>906</v>
      </c>
      <c r="B205" s="46" t="s">
        <v>907</v>
      </c>
      <c r="C205" s="46" t="s">
        <v>908</v>
      </c>
      <c r="D205" s="46" t="s">
        <v>391</v>
      </c>
      <c r="E205" s="46" t="s">
        <v>239</v>
      </c>
      <c r="F205" s="46" t="s">
        <v>165</v>
      </c>
      <c r="G205" s="85" t="s">
        <v>2</v>
      </c>
      <c r="H205" s="88">
        <v>796.72240437920004</v>
      </c>
      <c r="I205" s="85">
        <v>160.96</v>
      </c>
      <c r="J205" s="85">
        <v>0</v>
      </c>
      <c r="K205" s="104">
        <v>5.6564292485171039</v>
      </c>
      <c r="L205" s="38">
        <v>5.9794634952281406E-8</v>
      </c>
      <c r="M205" s="46">
        <v>3.0460979272072351E-5</v>
      </c>
      <c r="N205" s="46">
        <v>1.7421239309039803E-5</v>
      </c>
      <c r="O205" s="28"/>
      <c r="P205" s="28"/>
      <c r="Q205" s="28"/>
      <c r="R205" s="28"/>
    </row>
    <row r="206" spans="1:18" x14ac:dyDescent="0.2">
      <c r="A206" s="30" t="s">
        <v>909</v>
      </c>
      <c r="B206" s="46" t="s">
        <v>910</v>
      </c>
      <c r="C206" s="46" t="s">
        <v>908</v>
      </c>
      <c r="D206" s="46" t="s">
        <v>391</v>
      </c>
      <c r="E206" s="46" t="s">
        <v>239</v>
      </c>
      <c r="F206" s="46" t="s">
        <v>164</v>
      </c>
      <c r="G206" s="85" t="s">
        <v>2</v>
      </c>
      <c r="H206" s="88">
        <v>239.01672131376</v>
      </c>
      <c r="I206" s="85">
        <v>225.2</v>
      </c>
      <c r="J206" s="85">
        <v>0</v>
      </c>
      <c r="K206" s="104">
        <v>2.3741821572428901</v>
      </c>
      <c r="L206" s="38">
        <v>1.1793609151913267E-8</v>
      </c>
      <c r="M206" s="46">
        <v>1.2785435882338521E-5</v>
      </c>
      <c r="N206" s="46">
        <v>7.3122448292664596E-6</v>
      </c>
      <c r="O206" s="28"/>
      <c r="P206" s="28"/>
      <c r="Q206" s="28"/>
      <c r="R206" s="28"/>
    </row>
    <row r="207" spans="1:18" x14ac:dyDescent="0.2">
      <c r="A207" s="30" t="s">
        <v>911</v>
      </c>
      <c r="B207" s="46" t="s">
        <v>910</v>
      </c>
      <c r="C207" s="46" t="s">
        <v>908</v>
      </c>
      <c r="D207" s="46" t="s">
        <v>391</v>
      </c>
      <c r="E207" s="46" t="s">
        <v>239</v>
      </c>
      <c r="F207" s="46" t="s">
        <v>164</v>
      </c>
      <c r="G207" s="85" t="s">
        <v>2</v>
      </c>
      <c r="H207" s="88">
        <v>23545.713793012786</v>
      </c>
      <c r="I207" s="85">
        <v>225.2</v>
      </c>
      <c r="J207" s="85">
        <v>0</v>
      </c>
      <c r="K207" s="104">
        <v>233.8824381985936</v>
      </c>
      <c r="L207" s="38">
        <v>1.1617971502214717E-6</v>
      </c>
      <c r="M207" s="46">
        <v>1.2595027338027456E-3</v>
      </c>
      <c r="N207" s="46">
        <v>7.2033463993341615E-4</v>
      </c>
      <c r="O207" s="28"/>
      <c r="P207" s="28"/>
      <c r="Q207" s="28"/>
      <c r="R207" s="28"/>
    </row>
    <row r="208" spans="1:18" x14ac:dyDescent="0.2">
      <c r="A208" s="30" t="s">
        <v>912</v>
      </c>
      <c r="B208" s="46" t="s">
        <v>913</v>
      </c>
      <c r="C208" s="46" t="s">
        <v>908</v>
      </c>
      <c r="D208" s="46" t="s">
        <v>391</v>
      </c>
      <c r="E208" s="46" t="s">
        <v>239</v>
      </c>
      <c r="F208" s="46" t="s">
        <v>164</v>
      </c>
      <c r="G208" s="85" t="s">
        <v>2</v>
      </c>
      <c r="H208" s="88">
        <v>239.01672131376</v>
      </c>
      <c r="I208" s="85">
        <v>15.28</v>
      </c>
      <c r="J208" s="85">
        <v>0</v>
      </c>
      <c r="K208" s="104">
        <v>0.16109014746717909</v>
      </c>
      <c r="L208" s="38">
        <v>1.6925429969991803E-7</v>
      </c>
      <c r="M208" s="46">
        <v>8.6750199239550931E-7</v>
      </c>
      <c r="N208" s="46">
        <v>4.9614162682048325E-7</v>
      </c>
      <c r="O208" s="28"/>
      <c r="P208" s="28"/>
      <c r="Q208" s="28"/>
      <c r="R208" s="28"/>
    </row>
    <row r="209" spans="1:18" x14ac:dyDescent="0.2">
      <c r="A209" s="30" t="s">
        <v>914</v>
      </c>
      <c r="B209" s="46" t="s">
        <v>915</v>
      </c>
      <c r="C209" s="46" t="s">
        <v>908</v>
      </c>
      <c r="D209" s="46" t="s">
        <v>391</v>
      </c>
      <c r="E209" s="46" t="s">
        <v>239</v>
      </c>
      <c r="F209" s="46" t="s">
        <v>173</v>
      </c>
      <c r="G209" s="85" t="s">
        <v>2</v>
      </c>
      <c r="H209" s="88">
        <v>14938.948639449018</v>
      </c>
      <c r="I209" s="85">
        <v>2744</v>
      </c>
      <c r="J209" s="85">
        <v>0</v>
      </c>
      <c r="K209" s="104">
        <v>1808.0960901672238</v>
      </c>
      <c r="L209" s="38">
        <v>1.9971457227605741E-5</v>
      </c>
      <c r="M209" s="46">
        <v>9.7369515474692372E-3</v>
      </c>
      <c r="N209" s="46">
        <v>5.5687560644023448E-3</v>
      </c>
      <c r="O209" s="28"/>
      <c r="P209" s="28"/>
      <c r="Q209" s="28"/>
      <c r="R209" s="28"/>
    </row>
    <row r="210" spans="1:18" x14ac:dyDescent="0.2">
      <c r="A210" s="30" t="s">
        <v>916</v>
      </c>
      <c r="B210" s="46" t="s">
        <v>917</v>
      </c>
      <c r="C210" s="46" t="s">
        <v>908</v>
      </c>
      <c r="D210" s="46" t="s">
        <v>391</v>
      </c>
      <c r="E210" s="46" t="s">
        <v>239</v>
      </c>
      <c r="F210" s="46" t="s">
        <v>173</v>
      </c>
      <c r="G210" s="85" t="s">
        <v>2</v>
      </c>
      <c r="H210" s="88">
        <v>5117.5255841115859</v>
      </c>
      <c r="I210" s="85">
        <v>375.5</v>
      </c>
      <c r="J210" s="85">
        <v>0</v>
      </c>
      <c r="K210" s="104">
        <v>84.759293794516211</v>
      </c>
      <c r="L210" s="38">
        <v>4.0650801858271207E-6</v>
      </c>
      <c r="M210" s="46">
        <v>4.5644539654891121E-4</v>
      </c>
      <c r="N210" s="46">
        <v>2.6105019191154734E-4</v>
      </c>
      <c r="O210" s="28"/>
      <c r="P210" s="28"/>
      <c r="Q210" s="28"/>
      <c r="R210" s="28"/>
    </row>
    <row r="211" spans="1:18" x14ac:dyDescent="0.2">
      <c r="A211" s="30" t="s">
        <v>918</v>
      </c>
      <c r="B211" s="46" t="s">
        <v>919</v>
      </c>
      <c r="C211" s="46" t="s">
        <v>908</v>
      </c>
      <c r="D211" s="46" t="s">
        <v>391</v>
      </c>
      <c r="E211" s="46" t="s">
        <v>239</v>
      </c>
      <c r="F211" s="46" t="s">
        <v>166</v>
      </c>
      <c r="G211" s="85" t="s">
        <v>2</v>
      </c>
      <c r="H211" s="88">
        <v>79.672240437919996</v>
      </c>
      <c r="I211" s="85">
        <v>260.5</v>
      </c>
      <c r="J211" s="85">
        <v>0</v>
      </c>
      <c r="K211" s="104">
        <v>0.91544471871191946</v>
      </c>
      <c r="L211" s="38">
        <v>1.6686639827418207E-7</v>
      </c>
      <c r="M211" s="46">
        <v>4.929849093175229E-6</v>
      </c>
      <c r="N211" s="46">
        <v>2.8194786530845358E-6</v>
      </c>
      <c r="O211" s="28"/>
      <c r="P211" s="28"/>
      <c r="Q211" s="28"/>
      <c r="R211" s="28"/>
    </row>
    <row r="212" spans="1:18" x14ac:dyDescent="0.2">
      <c r="A212" s="30" t="s">
        <v>920</v>
      </c>
      <c r="B212" s="46" t="s">
        <v>921</v>
      </c>
      <c r="C212" s="46" t="s">
        <v>922</v>
      </c>
      <c r="D212" s="46" t="s">
        <v>391</v>
      </c>
      <c r="E212" s="46" t="s">
        <v>239</v>
      </c>
      <c r="F212" s="46" t="s">
        <v>165</v>
      </c>
      <c r="G212" s="85" t="s">
        <v>133</v>
      </c>
      <c r="H212" s="88">
        <v>1274.7558470067199</v>
      </c>
      <c r="I212" s="85">
        <v>19</v>
      </c>
      <c r="J212" s="85">
        <v>0</v>
      </c>
      <c r="K212" s="104">
        <v>0.61532808919093063</v>
      </c>
      <c r="L212" s="38">
        <v>3.2086730340292994E-6</v>
      </c>
      <c r="M212" s="46">
        <v>3.3136622676368919E-6</v>
      </c>
      <c r="N212" s="46">
        <v>1.8951492937315005E-6</v>
      </c>
      <c r="O212" s="28"/>
      <c r="P212" s="28"/>
      <c r="Q212" s="28"/>
      <c r="R212" s="28"/>
    </row>
    <row r="213" spans="1:18" x14ac:dyDescent="0.2">
      <c r="A213" s="30" t="s">
        <v>923</v>
      </c>
      <c r="B213" s="46" t="s">
        <v>924</v>
      </c>
      <c r="C213" s="46" t="s">
        <v>922</v>
      </c>
      <c r="D213" s="46" t="s">
        <v>391</v>
      </c>
      <c r="E213" s="46" t="s">
        <v>239</v>
      </c>
      <c r="F213" s="46" t="s">
        <v>165</v>
      </c>
      <c r="G213" s="85" t="s">
        <v>133</v>
      </c>
      <c r="H213" s="88">
        <v>79.672240437919996</v>
      </c>
      <c r="I213" s="85">
        <v>1187</v>
      </c>
      <c r="J213" s="85">
        <v>0</v>
      </c>
      <c r="K213" s="104">
        <v>2.4026133077842982</v>
      </c>
      <c r="L213" s="38">
        <v>1.1556637138911588E-7</v>
      </c>
      <c r="M213" s="46">
        <v>1.2938543196029407E-5</v>
      </c>
      <c r="N213" s="46">
        <v>7.3998099442271136E-6</v>
      </c>
      <c r="O213" s="28"/>
      <c r="P213" s="28"/>
      <c r="Q213" s="28"/>
      <c r="R213" s="28"/>
    </row>
    <row r="214" spans="1:18" x14ac:dyDescent="0.2">
      <c r="A214" s="30" t="s">
        <v>925</v>
      </c>
      <c r="B214" s="46" t="s">
        <v>926</v>
      </c>
      <c r="C214" s="46" t="s">
        <v>922</v>
      </c>
      <c r="D214" s="46" t="s">
        <v>391</v>
      </c>
      <c r="E214" s="46" t="s">
        <v>239</v>
      </c>
      <c r="F214" s="46" t="s">
        <v>180</v>
      </c>
      <c r="G214" s="85" t="s">
        <v>133</v>
      </c>
      <c r="H214" s="88">
        <v>398.36120218960002</v>
      </c>
      <c r="I214" s="85">
        <v>409.99999999999994</v>
      </c>
      <c r="J214" s="85">
        <v>0</v>
      </c>
      <c r="K214" s="104">
        <v>4.1494164076987872</v>
      </c>
      <c r="L214" s="38">
        <v>2.9007859571916328E-6</v>
      </c>
      <c r="M214" s="46">
        <v>2.2345419987219963E-5</v>
      </c>
      <c r="N214" s="46">
        <v>1.2779789696888359E-5</v>
      </c>
      <c r="O214" s="28"/>
      <c r="P214" s="28"/>
      <c r="Q214" s="28"/>
      <c r="R214" s="28"/>
    </row>
    <row r="215" spans="1:18" x14ac:dyDescent="0.2">
      <c r="A215" s="30" t="s">
        <v>927</v>
      </c>
      <c r="B215" s="46" t="s">
        <v>928</v>
      </c>
      <c r="C215" s="46" t="s">
        <v>929</v>
      </c>
      <c r="D215" s="46" t="s">
        <v>391</v>
      </c>
      <c r="E215" s="46" t="s">
        <v>239</v>
      </c>
      <c r="F215" s="46" t="s">
        <v>173</v>
      </c>
      <c r="G215" s="85" t="s">
        <v>295</v>
      </c>
      <c r="H215" s="88">
        <v>25545.037586784601</v>
      </c>
      <c r="I215" s="85">
        <v>113200</v>
      </c>
      <c r="J215" s="85">
        <v>0</v>
      </c>
      <c r="K215" s="104">
        <v>941.13211393803965</v>
      </c>
      <c r="L215" s="38">
        <v>1.7806707334341298E-5</v>
      </c>
      <c r="M215" s="46">
        <v>5.0681807471495994E-3</v>
      </c>
      <c r="N215" s="46">
        <v>2.8985932746591709E-3</v>
      </c>
      <c r="O215" s="28"/>
      <c r="P215" s="28"/>
      <c r="Q215" s="28"/>
      <c r="R215" s="28"/>
    </row>
    <row r="216" spans="1:18" x14ac:dyDescent="0.2">
      <c r="A216" s="30" t="s">
        <v>930</v>
      </c>
      <c r="B216" s="46" t="s">
        <v>931</v>
      </c>
      <c r="C216" s="46" t="s">
        <v>932</v>
      </c>
      <c r="D216" s="46" t="s">
        <v>391</v>
      </c>
      <c r="E216" s="46" t="s">
        <v>239</v>
      </c>
      <c r="F216" s="46" t="s">
        <v>165</v>
      </c>
      <c r="G216" s="85" t="s">
        <v>65</v>
      </c>
      <c r="H216" s="88">
        <v>3639.4279432041858</v>
      </c>
      <c r="I216" s="85">
        <v>301</v>
      </c>
      <c r="J216" s="85">
        <v>0</v>
      </c>
      <c r="K216" s="104">
        <v>4.8726408197161479</v>
      </c>
      <c r="L216" s="38">
        <v>2.39546131973249E-7</v>
      </c>
      <c r="M216" s="46">
        <v>2.6240125083954441E-5</v>
      </c>
      <c r="N216" s="46">
        <v>1.5007248929972046E-5</v>
      </c>
      <c r="O216" s="28"/>
      <c r="P216" s="28"/>
      <c r="Q216" s="28"/>
      <c r="R216" s="28"/>
    </row>
    <row r="217" spans="1:18" x14ac:dyDescent="0.2">
      <c r="A217" s="30" t="s">
        <v>933</v>
      </c>
      <c r="B217" s="46" t="s">
        <v>934</v>
      </c>
      <c r="C217" s="46" t="s">
        <v>219</v>
      </c>
      <c r="D217" s="46" t="s">
        <v>391</v>
      </c>
      <c r="E217" s="46" t="s">
        <v>239</v>
      </c>
      <c r="F217" s="46" t="s">
        <v>175</v>
      </c>
      <c r="G217" s="85" t="s">
        <v>153</v>
      </c>
      <c r="H217" s="88">
        <v>3.2952438645123712</v>
      </c>
      <c r="I217" s="85">
        <v>60150</v>
      </c>
      <c r="J217" s="85">
        <v>1.1934902E-5</v>
      </c>
      <c r="K217" s="104">
        <v>0.71871746491692434</v>
      </c>
      <c r="L217" s="38">
        <v>5.5716549118448016E-8</v>
      </c>
      <c r="M217" s="46">
        <v>3.8704343039471894E-6</v>
      </c>
      <c r="N217" s="46">
        <v>2.213578284425049E-6</v>
      </c>
      <c r="O217" s="28"/>
      <c r="P217" s="28"/>
      <c r="Q217" s="28"/>
      <c r="R217" s="28"/>
    </row>
    <row r="218" spans="1:18" x14ac:dyDescent="0.2">
      <c r="A218" s="30" t="s">
        <v>935</v>
      </c>
      <c r="B218" s="46" t="s">
        <v>936</v>
      </c>
      <c r="C218" s="46" t="s">
        <v>219</v>
      </c>
      <c r="D218" s="46" t="s">
        <v>391</v>
      </c>
      <c r="E218" s="46" t="s">
        <v>239</v>
      </c>
      <c r="F218" s="46" t="s">
        <v>175</v>
      </c>
      <c r="G218" s="85" t="s">
        <v>153</v>
      </c>
      <c r="H218" s="88">
        <v>18.222634832961063</v>
      </c>
      <c r="I218" s="85">
        <v>16585</v>
      </c>
      <c r="J218" s="85">
        <v>0</v>
      </c>
      <c r="K218" s="104">
        <v>1.0958584120304309</v>
      </c>
      <c r="L218" s="38">
        <v>3.5239303797800503E-8</v>
      </c>
      <c r="M218" s="46">
        <v>5.9014121643501969E-6</v>
      </c>
      <c r="N218" s="46">
        <v>3.3751348785652105E-6</v>
      </c>
      <c r="O218" s="28"/>
      <c r="P218" s="28"/>
      <c r="Q218" s="28"/>
      <c r="R218" s="28"/>
    </row>
    <row r="219" spans="1:18" x14ac:dyDescent="0.2">
      <c r="A219" s="30" t="s">
        <v>937</v>
      </c>
      <c r="B219" s="46" t="s">
        <v>938</v>
      </c>
      <c r="C219" s="46" t="s">
        <v>219</v>
      </c>
      <c r="D219" s="46" t="s">
        <v>391</v>
      </c>
      <c r="E219" s="46" t="s">
        <v>239</v>
      </c>
      <c r="F219" s="46" t="s">
        <v>165</v>
      </c>
      <c r="G219" s="85" t="s">
        <v>133</v>
      </c>
      <c r="H219" s="88">
        <v>120.39272252574091</v>
      </c>
      <c r="I219" s="85">
        <v>381</v>
      </c>
      <c r="J219" s="85">
        <v>0</v>
      </c>
      <c r="K219" s="104">
        <v>1.1653364618287341</v>
      </c>
      <c r="L219" s="38">
        <v>1.9791539930191005E-7</v>
      </c>
      <c r="M219" s="46">
        <v>6.2755650692636559E-6</v>
      </c>
      <c r="N219" s="46">
        <v>3.5891203593486823E-6</v>
      </c>
      <c r="O219" s="28"/>
      <c r="P219" s="28"/>
      <c r="Q219" s="28"/>
      <c r="R219" s="28"/>
    </row>
    <row r="220" spans="1:18" x14ac:dyDescent="0.2">
      <c r="A220" s="30" t="s">
        <v>939</v>
      </c>
      <c r="B220" s="46" t="s">
        <v>940</v>
      </c>
      <c r="C220" s="46" t="s">
        <v>922</v>
      </c>
      <c r="D220" s="46" t="s">
        <v>391</v>
      </c>
      <c r="E220" s="46" t="s">
        <v>239</v>
      </c>
      <c r="F220" s="46" t="s">
        <v>165</v>
      </c>
      <c r="G220" s="85" t="s">
        <v>133</v>
      </c>
      <c r="H220" s="88">
        <v>209.05995890910208</v>
      </c>
      <c r="I220" s="85">
        <v>250</v>
      </c>
      <c r="J220" s="85">
        <v>0</v>
      </c>
      <c r="K220" s="104">
        <v>1.3278132409029428</v>
      </c>
      <c r="L220" s="38">
        <v>2.1395104890847853E-6</v>
      </c>
      <c r="M220" s="46">
        <v>7.1505343444243132E-6</v>
      </c>
      <c r="N220" s="46">
        <v>4.0895326735583656E-6</v>
      </c>
      <c r="O220" s="28"/>
      <c r="P220" s="28"/>
      <c r="Q220" s="28"/>
      <c r="R220" s="28"/>
    </row>
    <row r="221" spans="1:18" x14ac:dyDescent="0.2">
      <c r="A221" s="30" t="s">
        <v>941</v>
      </c>
      <c r="B221" s="46" t="s">
        <v>942</v>
      </c>
      <c r="C221" s="46" t="s">
        <v>929</v>
      </c>
      <c r="D221" s="46" t="s">
        <v>391</v>
      </c>
      <c r="E221" s="46" t="s">
        <v>239</v>
      </c>
      <c r="F221" s="46" t="s">
        <v>172</v>
      </c>
      <c r="G221" s="85" t="s">
        <v>295</v>
      </c>
      <c r="H221" s="88">
        <v>233.85546511862628</v>
      </c>
      <c r="I221" s="85">
        <v>5966000</v>
      </c>
      <c r="J221" s="85">
        <v>1.9027649229999999</v>
      </c>
      <c r="K221" s="104">
        <v>455.97860257862652</v>
      </c>
      <c r="L221" s="38">
        <v>1.7760859816557146E-6</v>
      </c>
      <c r="M221" s="46">
        <v>2.4555340748401233E-3</v>
      </c>
      <c r="N221" s="46">
        <v>1.4043687291600687E-3</v>
      </c>
      <c r="O221" s="28"/>
      <c r="P221" s="28"/>
      <c r="Q221" s="28"/>
      <c r="R221" s="28"/>
    </row>
    <row r="222" spans="1:18" x14ac:dyDescent="0.2">
      <c r="A222" s="30" t="s">
        <v>943</v>
      </c>
      <c r="B222" s="46" t="s">
        <v>944</v>
      </c>
      <c r="C222" s="46" t="s">
        <v>219</v>
      </c>
      <c r="D222" s="46" t="s">
        <v>391</v>
      </c>
      <c r="E222" s="46" t="s">
        <v>239</v>
      </c>
      <c r="F222" s="46" t="s">
        <v>175</v>
      </c>
      <c r="G222" s="85" t="s">
        <v>153</v>
      </c>
      <c r="H222" s="88">
        <v>8.905763036150697</v>
      </c>
      <c r="I222" s="85">
        <v>21400</v>
      </c>
      <c r="J222" s="85">
        <v>0</v>
      </c>
      <c r="K222" s="104">
        <v>0.69105513556129383</v>
      </c>
      <c r="L222" s="38">
        <v>2.0439098497825589E-7</v>
      </c>
      <c r="M222" s="46">
        <v>3.7214672429095209E-6</v>
      </c>
      <c r="N222" s="46">
        <v>2.1283810622240897E-6</v>
      </c>
      <c r="O222" s="28"/>
      <c r="P222" s="28"/>
      <c r="Q222" s="28"/>
      <c r="R222" s="28"/>
    </row>
    <row r="223" spans="1:18" x14ac:dyDescent="0.2">
      <c r="A223" s="30" t="s">
        <v>945</v>
      </c>
      <c r="B223" s="46" t="s">
        <v>946</v>
      </c>
      <c r="C223" s="46" t="s">
        <v>826</v>
      </c>
      <c r="D223" s="46" t="s">
        <v>391</v>
      </c>
      <c r="E223" s="46" t="s">
        <v>239</v>
      </c>
      <c r="F223" s="46" t="s">
        <v>183</v>
      </c>
      <c r="G223" s="85" t="s">
        <v>126</v>
      </c>
      <c r="H223" s="88">
        <v>5109.3482400271068</v>
      </c>
      <c r="I223" s="85">
        <v>3771</v>
      </c>
      <c r="J223" s="85">
        <v>0</v>
      </c>
      <c r="K223" s="104">
        <v>662.98958963414873</v>
      </c>
      <c r="L223" s="38">
        <v>2.8531593864372576E-5</v>
      </c>
      <c r="M223" s="46">
        <v>3.570328781667337E-3</v>
      </c>
      <c r="N223" s="46">
        <v>2.0419419731001831E-3</v>
      </c>
      <c r="O223" s="28"/>
      <c r="P223" s="28"/>
      <c r="Q223" s="28"/>
      <c r="R223" s="28"/>
    </row>
    <row r="224" spans="1:18" x14ac:dyDescent="0.2">
      <c r="A224" s="30" t="s">
        <v>947</v>
      </c>
      <c r="B224" s="46" t="s">
        <v>948</v>
      </c>
      <c r="C224" s="46" t="s">
        <v>932</v>
      </c>
      <c r="D224" s="46" t="s">
        <v>391</v>
      </c>
      <c r="E224" s="46" t="s">
        <v>239</v>
      </c>
      <c r="F224" s="46" t="s">
        <v>172</v>
      </c>
      <c r="G224" s="85" t="s">
        <v>65</v>
      </c>
      <c r="H224" s="88">
        <v>6988.0285823904096</v>
      </c>
      <c r="I224" s="85">
        <v>51150</v>
      </c>
      <c r="J224" s="85">
        <v>0</v>
      </c>
      <c r="K224" s="104">
        <v>1589.8827204840686</v>
      </c>
      <c r="L224" s="38">
        <v>7.2923124668756734E-7</v>
      </c>
      <c r="M224" s="46">
        <v>8.5618298162904675E-3</v>
      </c>
      <c r="N224" s="46">
        <v>4.8966805965303057E-3</v>
      </c>
      <c r="O224" s="28"/>
      <c r="P224" s="28"/>
      <c r="Q224" s="28"/>
      <c r="R224" s="28"/>
    </row>
    <row r="225" spans="1:18" x14ac:dyDescent="0.2">
      <c r="A225" s="30" t="s">
        <v>949</v>
      </c>
      <c r="B225" s="46" t="s">
        <v>950</v>
      </c>
      <c r="C225" s="46" t="s">
        <v>219</v>
      </c>
      <c r="D225" s="46" t="s">
        <v>391</v>
      </c>
      <c r="E225" s="46" t="s">
        <v>239</v>
      </c>
      <c r="F225" s="46" t="s">
        <v>187</v>
      </c>
      <c r="G225" s="85" t="s">
        <v>91</v>
      </c>
      <c r="H225" s="88">
        <v>2121.5695626022821</v>
      </c>
      <c r="I225" s="85">
        <v>87540</v>
      </c>
      <c r="J225" s="85">
        <v>0</v>
      </c>
      <c r="K225" s="104">
        <v>1004.1999326792914</v>
      </c>
      <c r="L225" s="38">
        <v>5.0467769924428619E-6</v>
      </c>
      <c r="M225" s="46">
        <v>5.4078133024256549E-3</v>
      </c>
      <c r="N225" s="46">
        <v>3.0928358815614904E-3</v>
      </c>
      <c r="O225" s="28"/>
      <c r="P225" s="28"/>
      <c r="Q225" s="28"/>
      <c r="R225" s="28"/>
    </row>
    <row r="226" spans="1:18" x14ac:dyDescent="0.2">
      <c r="A226" s="30" t="s">
        <v>951</v>
      </c>
      <c r="B226" s="46" t="s">
        <v>952</v>
      </c>
      <c r="C226" s="46" t="s">
        <v>219</v>
      </c>
      <c r="D226" s="46" t="s">
        <v>391</v>
      </c>
      <c r="E226" s="46" t="s">
        <v>239</v>
      </c>
      <c r="F226" s="46" t="s">
        <v>178</v>
      </c>
      <c r="G226" s="85" t="s">
        <v>91</v>
      </c>
      <c r="H226" s="88">
        <v>2282.1696536307854</v>
      </c>
      <c r="I226" s="85">
        <v>43935</v>
      </c>
      <c r="J226" s="85">
        <v>0</v>
      </c>
      <c r="K226" s="104">
        <v>542.14433794933075</v>
      </c>
      <c r="L226" s="38">
        <v>1.2590836260848088E-6</v>
      </c>
      <c r="M226" s="46">
        <v>2.9195534347177328E-3</v>
      </c>
      <c r="N226" s="46">
        <v>1.6697506211948655E-3</v>
      </c>
      <c r="O226" s="28"/>
      <c r="P226" s="28"/>
      <c r="Q226" s="28"/>
      <c r="R226" s="28"/>
    </row>
    <row r="227" spans="1:18" x14ac:dyDescent="0.2">
      <c r="A227" s="30" t="s">
        <v>953</v>
      </c>
      <c r="B227" s="46" t="s">
        <v>954</v>
      </c>
      <c r="C227" s="46" t="s">
        <v>826</v>
      </c>
      <c r="D227" s="46" t="s">
        <v>391</v>
      </c>
      <c r="E227" s="46" t="s">
        <v>239</v>
      </c>
      <c r="F227" s="46" t="s">
        <v>165</v>
      </c>
      <c r="G227" s="85" t="s">
        <v>126</v>
      </c>
      <c r="H227" s="88">
        <v>13424.896806510293</v>
      </c>
      <c r="I227" s="85">
        <v>1058</v>
      </c>
      <c r="J227" s="85">
        <v>12.354686620000001</v>
      </c>
      <c r="K227" s="104">
        <v>501.09852619272664</v>
      </c>
      <c r="L227" s="38">
        <v>2.5404410827587869E-6</v>
      </c>
      <c r="M227" s="46">
        <v>2.698513699897204E-3</v>
      </c>
      <c r="N227" s="46">
        <v>1.5433336047647453E-3</v>
      </c>
      <c r="O227" s="28"/>
      <c r="P227" s="28"/>
      <c r="Q227" s="28"/>
      <c r="R227" s="28"/>
    </row>
    <row r="228" spans="1:18" x14ac:dyDescent="0.2">
      <c r="A228" s="30" t="s">
        <v>955</v>
      </c>
      <c r="B228" s="46" t="s">
        <v>956</v>
      </c>
      <c r="C228" s="46" t="s">
        <v>922</v>
      </c>
      <c r="D228" s="46" t="s">
        <v>391</v>
      </c>
      <c r="E228" s="46" t="s">
        <v>239</v>
      </c>
      <c r="F228" s="46" t="s">
        <v>172</v>
      </c>
      <c r="G228" s="85" t="s">
        <v>133</v>
      </c>
      <c r="H228" s="88">
        <v>11878.052718746309</v>
      </c>
      <c r="I228" s="85">
        <v>721</v>
      </c>
      <c r="J228" s="85">
        <v>0</v>
      </c>
      <c r="K228" s="104">
        <v>217.57382291744739</v>
      </c>
      <c r="L228" s="38">
        <v>1.8754848313213212E-4</v>
      </c>
      <c r="M228" s="46">
        <v>1.1716776465950463E-3</v>
      </c>
      <c r="N228" s="46">
        <v>6.7010572746422964E-4</v>
      </c>
      <c r="O228" s="28"/>
      <c r="P228" s="28"/>
      <c r="Q228" s="28"/>
      <c r="R228" s="28"/>
    </row>
    <row r="229" spans="1:18" x14ac:dyDescent="0.2">
      <c r="A229" s="30" t="s">
        <v>957</v>
      </c>
      <c r="B229" s="46" t="s">
        <v>958</v>
      </c>
      <c r="C229" s="46" t="s">
        <v>932</v>
      </c>
      <c r="D229" s="46" t="s">
        <v>391</v>
      </c>
      <c r="E229" s="46" t="s">
        <v>239</v>
      </c>
      <c r="F229" s="46" t="s">
        <v>170</v>
      </c>
      <c r="G229" s="85" t="s">
        <v>65</v>
      </c>
      <c r="H229" s="88">
        <v>20536.460378645392</v>
      </c>
      <c r="I229" s="85">
        <v>5195</v>
      </c>
      <c r="J229" s="85">
        <v>0</v>
      </c>
      <c r="K229" s="104">
        <v>474.54338300669167</v>
      </c>
      <c r="L229" s="38">
        <v>4.7340719947051083E-6</v>
      </c>
      <c r="M229" s="46">
        <v>2.5555090532168295E-3</v>
      </c>
      <c r="N229" s="46">
        <v>1.4615464058086167E-3</v>
      </c>
      <c r="O229" s="28"/>
      <c r="P229" s="28"/>
      <c r="Q229" s="28"/>
      <c r="R229" s="28"/>
    </row>
    <row r="230" spans="1:18" x14ac:dyDescent="0.2">
      <c r="A230" s="30" t="s">
        <v>959</v>
      </c>
      <c r="B230" s="46" t="s">
        <v>960</v>
      </c>
      <c r="C230" s="46" t="s">
        <v>932</v>
      </c>
      <c r="D230" s="46" t="s">
        <v>391</v>
      </c>
      <c r="E230" s="46" t="s">
        <v>239</v>
      </c>
      <c r="F230" s="46" t="s">
        <v>170</v>
      </c>
      <c r="G230" s="85" t="s">
        <v>65</v>
      </c>
      <c r="H230" s="88">
        <v>36933.342906381316</v>
      </c>
      <c r="I230" s="85">
        <v>2985</v>
      </c>
      <c r="J230" s="85">
        <v>0</v>
      </c>
      <c r="K230" s="104">
        <v>490.37433503257887</v>
      </c>
      <c r="L230" s="38">
        <v>4.565560880070764E-6</v>
      </c>
      <c r="M230" s="46">
        <v>2.6407618302482301E-3</v>
      </c>
      <c r="N230" s="46">
        <v>1.5103041629758636E-3</v>
      </c>
      <c r="O230" s="28"/>
      <c r="P230" s="28"/>
      <c r="Q230" s="28"/>
      <c r="R230" s="28"/>
    </row>
    <row r="231" spans="1:18" x14ac:dyDescent="0.2">
      <c r="A231" s="30" t="s">
        <v>961</v>
      </c>
      <c r="B231" s="46" t="s">
        <v>962</v>
      </c>
      <c r="C231" s="46" t="s">
        <v>932</v>
      </c>
      <c r="D231" s="46" t="s">
        <v>391</v>
      </c>
      <c r="E231" s="46" t="s">
        <v>239</v>
      </c>
      <c r="F231" s="46" t="s">
        <v>170</v>
      </c>
      <c r="G231" s="85" t="s">
        <v>65</v>
      </c>
      <c r="H231" s="88">
        <v>84171.262823145502</v>
      </c>
      <c r="I231" s="85">
        <v>1236</v>
      </c>
      <c r="J231" s="85">
        <v>0</v>
      </c>
      <c r="K231" s="104">
        <v>462.75070839046629</v>
      </c>
      <c r="L231" s="38">
        <v>1.6195537491778824E-5</v>
      </c>
      <c r="M231" s="46">
        <v>2.4920031909024891E-3</v>
      </c>
      <c r="N231" s="46">
        <v>1.425226141281882E-3</v>
      </c>
      <c r="O231" s="28"/>
      <c r="P231" s="28"/>
      <c r="Q231" s="28"/>
      <c r="R231" s="28"/>
    </row>
    <row r="232" spans="1:18" x14ac:dyDescent="0.2">
      <c r="A232" s="30" t="s">
        <v>963</v>
      </c>
      <c r="B232" s="46" t="s">
        <v>964</v>
      </c>
      <c r="C232" s="46" t="s">
        <v>965</v>
      </c>
      <c r="D232" s="46" t="s">
        <v>391</v>
      </c>
      <c r="E232" s="46" t="s">
        <v>239</v>
      </c>
      <c r="F232" s="46" t="s">
        <v>165</v>
      </c>
      <c r="G232" s="85" t="s">
        <v>3</v>
      </c>
      <c r="H232" s="88">
        <v>446.164546452352</v>
      </c>
      <c r="I232" s="85">
        <v>231.99999999999997</v>
      </c>
      <c r="J232" s="85">
        <v>0</v>
      </c>
      <c r="K232" s="104">
        <v>2.4993920227699884</v>
      </c>
      <c r="L232" s="38">
        <v>4.9555396508956521E-7</v>
      </c>
      <c r="M232" s="46">
        <v>1.3459715529605353E-5</v>
      </c>
      <c r="N232" s="46">
        <v>7.6978787575564891E-6</v>
      </c>
      <c r="O232" s="28"/>
      <c r="P232" s="28"/>
      <c r="Q232" s="28"/>
      <c r="R232" s="28"/>
    </row>
    <row r="233" spans="1:18" x14ac:dyDescent="0.2">
      <c r="A233" s="30" t="s">
        <v>966</v>
      </c>
      <c r="B233" s="46" t="s">
        <v>967</v>
      </c>
      <c r="C233" s="46" t="s">
        <v>826</v>
      </c>
      <c r="D233" s="46" t="s">
        <v>391</v>
      </c>
      <c r="E233" s="46" t="s">
        <v>968</v>
      </c>
      <c r="F233" s="46" t="s">
        <v>179</v>
      </c>
      <c r="G233" s="85" t="s">
        <v>126</v>
      </c>
      <c r="H233" s="88">
        <v>6533.228278736985</v>
      </c>
      <c r="I233" s="85">
        <v>4311</v>
      </c>
      <c r="J233" s="85">
        <v>0</v>
      </c>
      <c r="K233" s="104">
        <v>969.14894798627995</v>
      </c>
      <c r="L233" s="38">
        <v>3.1381615096954436E-6</v>
      </c>
      <c r="M233" s="46">
        <v>5.2190568853840297E-3</v>
      </c>
      <c r="N233" s="46">
        <v>2.9848823360425526E-3</v>
      </c>
      <c r="O233" s="28"/>
      <c r="P233" s="28"/>
      <c r="Q233" s="28"/>
      <c r="R233" s="28"/>
    </row>
    <row r="234" spans="1:18" x14ac:dyDescent="0.2">
      <c r="A234" s="30" t="s">
        <v>969</v>
      </c>
      <c r="B234" s="46" t="s">
        <v>970</v>
      </c>
      <c r="C234" s="46" t="s">
        <v>803</v>
      </c>
      <c r="D234" s="46" t="s">
        <v>391</v>
      </c>
      <c r="E234" s="46" t="s">
        <v>239</v>
      </c>
      <c r="F234" s="46" t="s">
        <v>172</v>
      </c>
      <c r="G234" s="85" t="s">
        <v>126</v>
      </c>
      <c r="H234" s="88">
        <v>548.09385423884692</v>
      </c>
      <c r="I234" s="85">
        <v>146560</v>
      </c>
      <c r="J234" s="85">
        <v>0</v>
      </c>
      <c r="K234" s="104">
        <v>2764.1083398679139</v>
      </c>
      <c r="L234" s="38">
        <v>1.8241147055022045E-6</v>
      </c>
      <c r="M234" s="46">
        <v>1.4885264739862545E-2</v>
      </c>
      <c r="N234" s="46">
        <v>8.5131786767377697E-3</v>
      </c>
      <c r="O234" s="28"/>
      <c r="P234" s="28"/>
      <c r="Q234" s="28"/>
      <c r="R234" s="28"/>
    </row>
    <row r="235" spans="1:18" x14ac:dyDescent="0.2">
      <c r="A235" s="30" t="s">
        <v>971</v>
      </c>
      <c r="B235" s="46" t="s">
        <v>972</v>
      </c>
      <c r="C235" s="46" t="s">
        <v>826</v>
      </c>
      <c r="D235" s="46" t="s">
        <v>391</v>
      </c>
      <c r="E235" s="46" t="s">
        <v>239</v>
      </c>
      <c r="F235" s="46" t="s">
        <v>179</v>
      </c>
      <c r="G235" s="85" t="s">
        <v>126</v>
      </c>
      <c r="H235" s="88">
        <v>9955.4283606497484</v>
      </c>
      <c r="I235" s="85">
        <v>2409</v>
      </c>
      <c r="J235" s="85">
        <v>0</v>
      </c>
      <c r="K235" s="104">
        <v>825.2421923354234</v>
      </c>
      <c r="L235" s="38">
        <v>1.1490438620648016E-6</v>
      </c>
      <c r="M235" s="46">
        <v>4.4440908231564999E-3</v>
      </c>
      <c r="N235" s="46">
        <v>2.5416638463852596E-3</v>
      </c>
      <c r="O235" s="28"/>
      <c r="P235" s="28"/>
      <c r="Q235" s="28"/>
      <c r="R235" s="28"/>
    </row>
    <row r="236" spans="1:18" x14ac:dyDescent="0.2">
      <c r="A236" s="30" t="s">
        <v>973</v>
      </c>
      <c r="B236" s="46" t="s">
        <v>974</v>
      </c>
      <c r="C236" s="46" t="s">
        <v>803</v>
      </c>
      <c r="D236" s="46" t="s">
        <v>391</v>
      </c>
      <c r="E236" s="46" t="s">
        <v>239</v>
      </c>
      <c r="F236" s="46" t="s">
        <v>172</v>
      </c>
      <c r="G236" s="85" t="s">
        <v>126</v>
      </c>
      <c r="H236" s="88">
        <v>22.736331694344884</v>
      </c>
      <c r="I236" s="85">
        <v>146960</v>
      </c>
      <c r="J236" s="85">
        <v>0</v>
      </c>
      <c r="K236" s="104">
        <v>114.97521015525655</v>
      </c>
      <c r="L236" s="38">
        <v>6.8148115713491271E-8</v>
      </c>
      <c r="M236" s="46">
        <v>6.1916402370976143E-4</v>
      </c>
      <c r="N236" s="46">
        <v>3.5411220802363604E-4</v>
      </c>
      <c r="O236" s="28"/>
      <c r="P236" s="28"/>
      <c r="Q236" s="28"/>
      <c r="R236" s="28"/>
    </row>
    <row r="237" spans="1:18" x14ac:dyDescent="0.2">
      <c r="A237" s="30" t="s">
        <v>975</v>
      </c>
      <c r="B237" s="46" t="s">
        <v>976</v>
      </c>
      <c r="C237" s="46" t="s">
        <v>803</v>
      </c>
      <c r="D237" s="46" t="s">
        <v>391</v>
      </c>
      <c r="E237" s="46" t="s">
        <v>239</v>
      </c>
      <c r="F237" s="46" t="s">
        <v>185</v>
      </c>
      <c r="G237" s="85" t="s">
        <v>126</v>
      </c>
      <c r="H237" s="88">
        <v>6821.6914582936288</v>
      </c>
      <c r="I237" s="85">
        <v>4696</v>
      </c>
      <c r="J237" s="85">
        <v>0</v>
      </c>
      <c r="K237" s="104">
        <v>1102.3127567990416</v>
      </c>
      <c r="L237" s="38">
        <v>6.140144770868442E-6</v>
      </c>
      <c r="M237" s="46">
        <v>5.9361700749636813E-3</v>
      </c>
      <c r="N237" s="46">
        <v>3.3950136182889497E-3</v>
      </c>
      <c r="O237" s="28"/>
      <c r="P237" s="28"/>
      <c r="Q237" s="28"/>
      <c r="R237" s="28"/>
    </row>
    <row r="238" spans="1:18" x14ac:dyDescent="0.2">
      <c r="A238" s="30" t="s">
        <v>977</v>
      </c>
      <c r="B238" s="46" t="s">
        <v>978</v>
      </c>
      <c r="C238" s="46" t="s">
        <v>803</v>
      </c>
      <c r="D238" s="46" t="s">
        <v>391</v>
      </c>
      <c r="E238" s="46" t="s">
        <v>239</v>
      </c>
      <c r="F238" s="46" t="s">
        <v>184</v>
      </c>
      <c r="G238" s="85" t="s">
        <v>126</v>
      </c>
      <c r="H238" s="88">
        <v>2695.7240967499974</v>
      </c>
      <c r="I238" s="85">
        <v>11581</v>
      </c>
      <c r="J238" s="85">
        <v>0</v>
      </c>
      <c r="K238" s="104">
        <v>1074.2520100447186</v>
      </c>
      <c r="L238" s="38">
        <v>1.5762130813523779E-7</v>
      </c>
      <c r="M238" s="46">
        <v>5.7850574582070258E-3</v>
      </c>
      <c r="N238" s="46">
        <v>3.3085893101398502E-3</v>
      </c>
      <c r="O238" s="28"/>
      <c r="P238" s="28"/>
      <c r="Q238" s="28"/>
      <c r="R238" s="28"/>
    </row>
    <row r="239" spans="1:18" x14ac:dyDescent="0.2">
      <c r="A239" s="30" t="s">
        <v>979</v>
      </c>
      <c r="B239" s="46" t="s">
        <v>980</v>
      </c>
      <c r="C239" s="46" t="s">
        <v>803</v>
      </c>
      <c r="D239" s="46" t="s">
        <v>391</v>
      </c>
      <c r="E239" s="46" t="s">
        <v>239</v>
      </c>
      <c r="F239" s="46" t="s">
        <v>183</v>
      </c>
      <c r="G239" s="85" t="s">
        <v>126</v>
      </c>
      <c r="H239" s="88">
        <v>2211.732148110314</v>
      </c>
      <c r="I239" s="85">
        <v>19703</v>
      </c>
      <c r="J239" s="85">
        <v>0</v>
      </c>
      <c r="K239" s="104">
        <v>1499.5106704655686</v>
      </c>
      <c r="L239" s="38">
        <v>1.885052915232754E-6</v>
      </c>
      <c r="M239" s="46">
        <v>8.0751586282596256E-3</v>
      </c>
      <c r="N239" s="46">
        <v>4.618343673880111E-3</v>
      </c>
      <c r="O239" s="28"/>
      <c r="P239" s="28"/>
      <c r="Q239" s="28"/>
      <c r="R239" s="28"/>
    </row>
    <row r="240" spans="1:18" x14ac:dyDescent="0.2">
      <c r="A240" s="30" t="s">
        <v>981</v>
      </c>
      <c r="B240" s="46" t="s">
        <v>982</v>
      </c>
      <c r="C240" s="46" t="s">
        <v>826</v>
      </c>
      <c r="D240" s="46" t="s">
        <v>391</v>
      </c>
      <c r="E240" s="46" t="s">
        <v>239</v>
      </c>
      <c r="F240" s="46" t="s">
        <v>172</v>
      </c>
      <c r="G240" s="85" t="s">
        <v>126</v>
      </c>
      <c r="H240" s="88">
        <v>2624.3104668230453</v>
      </c>
      <c r="I240" s="85">
        <v>12408</v>
      </c>
      <c r="J240" s="85">
        <v>0</v>
      </c>
      <c r="K240" s="104">
        <v>1120.4737073773433</v>
      </c>
      <c r="L240" s="38">
        <v>1.4522514913709434E-6</v>
      </c>
      <c r="M240" s="46">
        <v>6.0339703505123956E-3</v>
      </c>
      <c r="N240" s="46">
        <v>3.450947539178561E-3</v>
      </c>
      <c r="O240" s="28"/>
      <c r="P240" s="28"/>
      <c r="Q240" s="28"/>
      <c r="R240" s="28"/>
    </row>
    <row r="241" spans="1:18" x14ac:dyDescent="0.2">
      <c r="A241" s="30" t="s">
        <v>983</v>
      </c>
      <c r="B241" s="46" t="s">
        <v>984</v>
      </c>
      <c r="C241" s="46" t="s">
        <v>826</v>
      </c>
      <c r="D241" s="46" t="s">
        <v>391</v>
      </c>
      <c r="E241" s="46" t="s">
        <v>239</v>
      </c>
      <c r="F241" s="46" t="s">
        <v>183</v>
      </c>
      <c r="G241" s="85" t="s">
        <v>126</v>
      </c>
      <c r="H241" s="88">
        <v>1583.8355192812717</v>
      </c>
      <c r="I241" s="85">
        <v>19997</v>
      </c>
      <c r="J241" s="85">
        <v>0</v>
      </c>
      <c r="K241" s="104">
        <v>1089.8321050046811</v>
      </c>
      <c r="L241" s="38">
        <v>9.3940023542893649E-7</v>
      </c>
      <c r="M241" s="46">
        <v>5.8689593208099662E-3</v>
      </c>
      <c r="N241" s="46">
        <v>3.3565744525026276E-3</v>
      </c>
      <c r="O241" s="28"/>
      <c r="P241" s="28"/>
      <c r="Q241" s="28"/>
      <c r="R241" s="28"/>
    </row>
    <row r="242" spans="1:18" x14ac:dyDescent="0.2">
      <c r="A242" s="30" t="s">
        <v>985</v>
      </c>
      <c r="B242" s="46" t="s">
        <v>986</v>
      </c>
      <c r="C242" s="46" t="s">
        <v>826</v>
      </c>
      <c r="D242" s="46" t="s">
        <v>391</v>
      </c>
      <c r="E242" s="46" t="s">
        <v>239</v>
      </c>
      <c r="F242" s="46" t="s">
        <v>183</v>
      </c>
      <c r="G242" s="85" t="s">
        <v>126</v>
      </c>
      <c r="H242" s="88">
        <v>1170.5573377865353</v>
      </c>
      <c r="I242" s="85">
        <v>33817</v>
      </c>
      <c r="J242" s="85">
        <v>0</v>
      </c>
      <c r="K242" s="104">
        <v>1362.1108170182063</v>
      </c>
      <c r="L242" s="38">
        <v>1.1793603511624113E-6</v>
      </c>
      <c r="M242" s="46">
        <v>7.3352335087254047E-3</v>
      </c>
      <c r="N242" s="46">
        <v>4.195165795616889E-3</v>
      </c>
      <c r="O242" s="28"/>
      <c r="P242" s="28"/>
      <c r="Q242" s="28"/>
      <c r="R242" s="28"/>
    </row>
    <row r="243" spans="1:18" x14ac:dyDescent="0.2">
      <c r="A243" s="30" t="s">
        <v>987</v>
      </c>
      <c r="B243" s="46" t="s">
        <v>988</v>
      </c>
      <c r="C243" s="46" t="s">
        <v>803</v>
      </c>
      <c r="D243" s="46" t="s">
        <v>391</v>
      </c>
      <c r="E243" s="46" t="s">
        <v>239</v>
      </c>
      <c r="F243" s="46" t="s">
        <v>172</v>
      </c>
      <c r="G243" s="85" t="s">
        <v>126</v>
      </c>
      <c r="H243" s="88">
        <v>1800.6364334489353</v>
      </c>
      <c r="I243" s="85">
        <v>26189.999999999996</v>
      </c>
      <c r="J243" s="85">
        <v>0</v>
      </c>
      <c r="K243" s="104">
        <v>1622.7297724471518</v>
      </c>
      <c r="L243" s="38">
        <v>7.4892893224120667E-7</v>
      </c>
      <c r="M243" s="46">
        <v>8.7387176239579045E-3</v>
      </c>
      <c r="N243" s="46">
        <v>4.9978462485174412E-3</v>
      </c>
      <c r="O243" s="28"/>
      <c r="P243" s="28"/>
      <c r="Q243" s="28"/>
      <c r="R243" s="28"/>
    </row>
    <row r="244" spans="1:18" x14ac:dyDescent="0.2">
      <c r="A244" s="30" t="s">
        <v>989</v>
      </c>
      <c r="B244" s="46" t="s">
        <v>990</v>
      </c>
      <c r="C244" s="46" t="s">
        <v>826</v>
      </c>
      <c r="D244" s="46" t="s">
        <v>391</v>
      </c>
      <c r="E244" s="46" t="s">
        <v>239</v>
      </c>
      <c r="F244" s="46" t="s">
        <v>164</v>
      </c>
      <c r="G244" s="85" t="s">
        <v>126</v>
      </c>
      <c r="H244" s="88">
        <v>47.803344262751999</v>
      </c>
      <c r="I244" s="85">
        <v>1574</v>
      </c>
      <c r="J244" s="85">
        <v>0</v>
      </c>
      <c r="K244" s="104">
        <v>2.5890931817519602</v>
      </c>
      <c r="L244" s="38">
        <v>4.5150719533538574E-8</v>
      </c>
      <c r="M244" s="46">
        <v>1.3942773838015566E-5</v>
      </c>
      <c r="N244" s="46">
        <v>7.9741494025632903E-6</v>
      </c>
      <c r="O244" s="28"/>
      <c r="P244" s="28"/>
      <c r="Q244" s="28"/>
      <c r="R244" s="28"/>
    </row>
    <row r="245" spans="1:18" x14ac:dyDescent="0.2">
      <c r="A245" s="30" t="s">
        <v>991</v>
      </c>
      <c r="B245" s="46" t="s">
        <v>992</v>
      </c>
      <c r="C245" s="46" t="s">
        <v>826</v>
      </c>
      <c r="D245" s="46" t="s">
        <v>391</v>
      </c>
      <c r="E245" s="46" t="s">
        <v>239</v>
      </c>
      <c r="F245" s="46" t="s">
        <v>164</v>
      </c>
      <c r="G245" s="85" t="s">
        <v>126</v>
      </c>
      <c r="H245" s="88">
        <v>11.1541136613088</v>
      </c>
      <c r="I245" s="85">
        <v>1403</v>
      </c>
      <c r="J245" s="85">
        <v>0</v>
      </c>
      <c r="K245" s="104">
        <v>0.53848971067314699</v>
      </c>
      <c r="L245" s="38">
        <v>4.7830842213940798E-8</v>
      </c>
      <c r="M245" s="46">
        <v>2.8998725511044231E-6</v>
      </c>
      <c r="N245" s="46">
        <v>1.6584947327948767E-6</v>
      </c>
      <c r="O245" s="28"/>
      <c r="P245" s="28"/>
      <c r="Q245" s="28"/>
      <c r="R245" s="28"/>
    </row>
    <row r="246" spans="1:18" x14ac:dyDescent="0.2">
      <c r="A246" s="30" t="s">
        <v>993</v>
      </c>
      <c r="B246" s="46" t="s">
        <v>994</v>
      </c>
      <c r="C246" s="46" t="s">
        <v>908</v>
      </c>
      <c r="D246" s="46" t="s">
        <v>391</v>
      </c>
      <c r="E246" s="46" t="s">
        <v>239</v>
      </c>
      <c r="F246" s="46" t="s">
        <v>165</v>
      </c>
      <c r="G246" s="85" t="s">
        <v>126</v>
      </c>
      <c r="H246" s="88">
        <v>39.836120218959998</v>
      </c>
      <c r="I246" s="85">
        <v>2415</v>
      </c>
      <c r="J246" s="85">
        <v>0</v>
      </c>
      <c r="K246" s="104">
        <v>3.3103875656136088</v>
      </c>
      <c r="L246" s="38">
        <v>2.5173623427288371E-8</v>
      </c>
      <c r="M246" s="46">
        <v>1.7827085355150144E-5</v>
      </c>
      <c r="N246" s="46">
        <v>1.0195664340952111E-5</v>
      </c>
      <c r="O246" s="28"/>
      <c r="P246" s="28"/>
      <c r="Q246" s="28"/>
      <c r="R246" s="28"/>
    </row>
    <row r="247" spans="1:18" x14ac:dyDescent="0.2">
      <c r="A247" s="30" t="s">
        <v>995</v>
      </c>
      <c r="B247" s="46" t="s">
        <v>996</v>
      </c>
      <c r="C247" s="46" t="s">
        <v>908</v>
      </c>
      <c r="D247" s="46" t="s">
        <v>391</v>
      </c>
      <c r="E247" s="46" t="s">
        <v>239</v>
      </c>
      <c r="F247" s="46" t="s">
        <v>165</v>
      </c>
      <c r="G247" s="85" t="s">
        <v>126</v>
      </c>
      <c r="H247" s="88">
        <v>55.770568306544</v>
      </c>
      <c r="I247" s="85">
        <v>1271</v>
      </c>
      <c r="J247" s="85">
        <v>0</v>
      </c>
      <c r="K247" s="104">
        <v>2.4391319396492155</v>
      </c>
      <c r="L247" s="38">
        <v>6.6574341684765619E-8</v>
      </c>
      <c r="M247" s="46">
        <v>1.3135203180519322E-5</v>
      </c>
      <c r="N247" s="46">
        <v>7.5122836970145703E-6</v>
      </c>
      <c r="O247" s="28"/>
      <c r="P247" s="28"/>
      <c r="Q247" s="28"/>
      <c r="R247" s="28"/>
    </row>
    <row r="248" spans="1:18" x14ac:dyDescent="0.2">
      <c r="A248" s="30" t="s">
        <v>997</v>
      </c>
      <c r="B248" s="46" t="s">
        <v>998</v>
      </c>
      <c r="C248" s="46" t="s">
        <v>826</v>
      </c>
      <c r="D248" s="46" t="s">
        <v>391</v>
      </c>
      <c r="E248" s="46" t="s">
        <v>239</v>
      </c>
      <c r="F248" s="46" t="s">
        <v>164</v>
      </c>
      <c r="G248" s="85" t="s">
        <v>126</v>
      </c>
      <c r="H248" s="88">
        <v>102.29915672228928</v>
      </c>
      <c r="I248" s="85">
        <v>1010</v>
      </c>
      <c r="J248" s="85">
        <v>0</v>
      </c>
      <c r="K248" s="104">
        <v>3.5553151226421136</v>
      </c>
      <c r="L248" s="38">
        <v>2.5844622220267465E-7</v>
      </c>
      <c r="M248" s="46">
        <v>1.9146068216954793E-5</v>
      </c>
      <c r="N248" s="46">
        <v>1.0950016847967152E-5</v>
      </c>
      <c r="O248" s="28"/>
      <c r="P248" s="28"/>
      <c r="Q248" s="28"/>
      <c r="R248" s="28"/>
    </row>
    <row r="249" spans="1:18" x14ac:dyDescent="0.2">
      <c r="A249" s="30" t="s">
        <v>999</v>
      </c>
      <c r="B249" s="46" t="s">
        <v>1000</v>
      </c>
      <c r="C249" s="46" t="s">
        <v>826</v>
      </c>
      <c r="D249" s="46" t="s">
        <v>391</v>
      </c>
      <c r="E249" s="46" t="s">
        <v>239</v>
      </c>
      <c r="F249" s="46" t="s">
        <v>165</v>
      </c>
      <c r="G249" s="85" t="s">
        <v>126</v>
      </c>
      <c r="H249" s="88">
        <v>14.3410032788256</v>
      </c>
      <c r="I249" s="85">
        <v>8928</v>
      </c>
      <c r="J249" s="85">
        <v>0</v>
      </c>
      <c r="K249" s="104">
        <v>4.4057351829761435</v>
      </c>
      <c r="L249" s="38">
        <v>1.3483710451525743E-7</v>
      </c>
      <c r="M249" s="46">
        <v>2.3725746790178457E-5</v>
      </c>
      <c r="N249" s="46">
        <v>1.3569226022760812E-5</v>
      </c>
      <c r="O249" s="28"/>
      <c r="P249" s="28"/>
      <c r="Q249" s="28"/>
      <c r="R249" s="28"/>
    </row>
    <row r="250" spans="1:18" x14ac:dyDescent="0.2">
      <c r="A250" s="30" t="s">
        <v>1001</v>
      </c>
      <c r="B250" s="46" t="s">
        <v>1002</v>
      </c>
      <c r="C250" s="46" t="s">
        <v>826</v>
      </c>
      <c r="D250" s="46" t="s">
        <v>391</v>
      </c>
      <c r="E250" s="46" t="s">
        <v>239</v>
      </c>
      <c r="F250" s="46" t="s">
        <v>164</v>
      </c>
      <c r="G250" s="85" t="s">
        <v>126</v>
      </c>
      <c r="H250" s="88">
        <v>15.934448087584</v>
      </c>
      <c r="I250" s="85">
        <v>1556</v>
      </c>
      <c r="J250" s="85">
        <v>0</v>
      </c>
      <c r="K250" s="104">
        <v>0.85316158212749904</v>
      </c>
      <c r="L250" s="38">
        <v>1.1479308464195193E-8</v>
      </c>
      <c r="M250" s="46">
        <v>4.5944422049877639E-6</v>
      </c>
      <c r="N250" s="46">
        <v>2.6276527891546974E-6</v>
      </c>
      <c r="O250" s="28"/>
      <c r="P250" s="28"/>
      <c r="Q250" s="28"/>
      <c r="R250" s="28"/>
    </row>
    <row r="251" spans="1:18" x14ac:dyDescent="0.2">
      <c r="A251" s="30" t="s">
        <v>1003</v>
      </c>
      <c r="B251" s="46" t="s">
        <v>1004</v>
      </c>
      <c r="C251" s="46" t="s">
        <v>826</v>
      </c>
      <c r="D251" s="46" t="s">
        <v>391</v>
      </c>
      <c r="E251" s="46" t="s">
        <v>239</v>
      </c>
      <c r="F251" s="46" t="s">
        <v>165</v>
      </c>
      <c r="G251" s="85" t="s">
        <v>126</v>
      </c>
      <c r="H251" s="88">
        <v>39.836120218959998</v>
      </c>
      <c r="I251" s="85">
        <v>1163</v>
      </c>
      <c r="J251" s="85">
        <v>0</v>
      </c>
      <c r="K251" s="104">
        <v>1.5941949229021228</v>
      </c>
      <c r="L251" s="38">
        <v>2.1425990119257736E-7</v>
      </c>
      <c r="M251" s="46">
        <v>8.5850518708238576E-6</v>
      </c>
      <c r="N251" s="46">
        <v>4.9099617509429831E-6</v>
      </c>
      <c r="O251" s="28"/>
      <c r="P251" s="28"/>
      <c r="Q251" s="28"/>
      <c r="R251" s="28"/>
    </row>
    <row r="252" spans="1:18" x14ac:dyDescent="0.2">
      <c r="A252" s="30" t="s">
        <v>1005</v>
      </c>
      <c r="B252" s="46" t="s">
        <v>1006</v>
      </c>
      <c r="C252" s="46" t="s">
        <v>826</v>
      </c>
      <c r="D252" s="46" t="s">
        <v>391</v>
      </c>
      <c r="E252" s="46" t="s">
        <v>239</v>
      </c>
      <c r="F252" s="46" t="s">
        <v>164</v>
      </c>
      <c r="G252" s="85" t="s">
        <v>126</v>
      </c>
      <c r="H252" s="88">
        <v>95.606688525503998</v>
      </c>
      <c r="I252" s="85">
        <v>542</v>
      </c>
      <c r="J252" s="85">
        <v>0</v>
      </c>
      <c r="K252" s="104">
        <v>1.7830857744721251</v>
      </c>
      <c r="L252" s="38">
        <v>3.546445130779126E-8</v>
      </c>
      <c r="M252" s="46">
        <v>9.6022660993703138E-6</v>
      </c>
      <c r="N252" s="46">
        <v>5.4917267804184296E-6</v>
      </c>
      <c r="O252" s="28"/>
      <c r="P252" s="28"/>
      <c r="Q252" s="28"/>
      <c r="R252" s="28"/>
    </row>
    <row r="253" spans="1:18" x14ac:dyDescent="0.2">
      <c r="A253" s="30" t="s">
        <v>1007</v>
      </c>
      <c r="B253" s="46" t="s">
        <v>1008</v>
      </c>
      <c r="C253" s="46" t="s">
        <v>908</v>
      </c>
      <c r="D253" s="46" t="s">
        <v>391</v>
      </c>
      <c r="E253" s="46" t="s">
        <v>239</v>
      </c>
      <c r="F253" s="46" t="s">
        <v>164</v>
      </c>
      <c r="G253" s="85" t="s">
        <v>126</v>
      </c>
      <c r="H253" s="88">
        <v>118.95065497381457</v>
      </c>
      <c r="I253" s="85">
        <v>1460</v>
      </c>
      <c r="J253" s="85">
        <v>0</v>
      </c>
      <c r="K253" s="104">
        <v>5.9759143749674806</v>
      </c>
      <c r="L253" s="38">
        <v>4.5863745632351329E-7</v>
      </c>
      <c r="M253" s="46">
        <v>3.2181469246748807E-5</v>
      </c>
      <c r="N253" s="46">
        <v>1.8405221711901114E-5</v>
      </c>
      <c r="O253" s="28"/>
      <c r="P253" s="28"/>
      <c r="Q253" s="28"/>
      <c r="R253" s="28"/>
    </row>
    <row r="254" spans="1:18" x14ac:dyDescent="0.2">
      <c r="A254" s="30" t="s">
        <v>1009</v>
      </c>
      <c r="B254" s="46" t="s">
        <v>1010</v>
      </c>
      <c r="C254" s="46" t="s">
        <v>803</v>
      </c>
      <c r="D254" s="46" t="s">
        <v>391</v>
      </c>
      <c r="E254" s="46" t="s">
        <v>239</v>
      </c>
      <c r="F254" s="46" t="s">
        <v>183</v>
      </c>
      <c r="G254" s="85" t="s">
        <v>126</v>
      </c>
      <c r="H254" s="88">
        <v>3760.3258928293103</v>
      </c>
      <c r="I254" s="85">
        <v>21033</v>
      </c>
      <c r="J254" s="85">
        <v>0</v>
      </c>
      <c r="K254" s="104">
        <v>2721.5190562571083</v>
      </c>
      <c r="L254" s="38">
        <v>4.9689460194956868E-7</v>
      </c>
      <c r="M254" s="46">
        <v>1.4655913106829876E-2</v>
      </c>
      <c r="N254" s="46">
        <v>8.3820079205617036E-3</v>
      </c>
      <c r="O254" s="28"/>
      <c r="P254" s="28"/>
      <c r="Q254" s="28"/>
      <c r="R254" s="28"/>
    </row>
    <row r="255" spans="1:18" x14ac:dyDescent="0.2">
      <c r="A255" s="30" t="s">
        <v>1011</v>
      </c>
      <c r="B255" s="46" t="s">
        <v>1012</v>
      </c>
      <c r="C255" s="46" t="s">
        <v>803</v>
      </c>
      <c r="D255" s="46" t="s">
        <v>391</v>
      </c>
      <c r="E255" s="46" t="s">
        <v>239</v>
      </c>
      <c r="F255" s="46" t="s">
        <v>172</v>
      </c>
      <c r="G255" s="85" t="s">
        <v>126</v>
      </c>
      <c r="H255" s="88">
        <v>965.20286359297882</v>
      </c>
      <c r="I255" s="85">
        <v>13041</v>
      </c>
      <c r="J255" s="85">
        <v>0</v>
      </c>
      <c r="K255" s="104">
        <v>433.12591473702338</v>
      </c>
      <c r="L255" s="38">
        <v>3.3421520372133565E-6</v>
      </c>
      <c r="M255" s="46">
        <v>2.3324678752873387E-3</v>
      </c>
      <c r="N255" s="46">
        <v>1.3339847242955641E-3</v>
      </c>
      <c r="O255" s="28"/>
      <c r="P255" s="28"/>
      <c r="Q255" s="28"/>
      <c r="R255" s="28"/>
    </row>
    <row r="256" spans="1:18" x14ac:dyDescent="0.2">
      <c r="A256" s="30" t="s">
        <v>1013</v>
      </c>
      <c r="B256" s="46" t="s">
        <v>1014</v>
      </c>
      <c r="C256" s="46" t="s">
        <v>826</v>
      </c>
      <c r="D256" s="46" t="s">
        <v>391</v>
      </c>
      <c r="E256" s="46" t="s">
        <v>239</v>
      </c>
      <c r="F256" s="46" t="s">
        <v>165</v>
      </c>
      <c r="G256" s="85" t="s">
        <v>126</v>
      </c>
      <c r="H256" s="88">
        <v>47.803344262751999</v>
      </c>
      <c r="I256" s="85">
        <v>3242</v>
      </c>
      <c r="J256" s="85">
        <v>0</v>
      </c>
      <c r="K256" s="104">
        <v>5.3328081926555626</v>
      </c>
      <c r="L256" s="38">
        <v>3.971136959879004E-7</v>
      </c>
      <c r="M256" s="46">
        <v>2.8718216507526342E-5</v>
      </c>
      <c r="N256" s="46">
        <v>1.6424518655089065E-5</v>
      </c>
      <c r="O256" s="28"/>
      <c r="P256" s="28"/>
      <c r="Q256" s="28"/>
      <c r="R256" s="28"/>
    </row>
    <row r="257" spans="1:18" x14ac:dyDescent="0.2">
      <c r="A257" s="30" t="s">
        <v>1015</v>
      </c>
      <c r="B257" s="46" t="s">
        <v>1016</v>
      </c>
      <c r="C257" s="46" t="s">
        <v>908</v>
      </c>
      <c r="D257" s="46" t="s">
        <v>391</v>
      </c>
      <c r="E257" s="46" t="s">
        <v>239</v>
      </c>
      <c r="F257" s="46" t="s">
        <v>165</v>
      </c>
      <c r="G257" s="85" t="s">
        <v>126</v>
      </c>
      <c r="H257" s="88">
        <v>39.836120218959998</v>
      </c>
      <c r="I257" s="85">
        <v>880.00000000000011</v>
      </c>
      <c r="J257" s="85">
        <v>0</v>
      </c>
      <c r="K257" s="104">
        <v>1.206269589126284</v>
      </c>
      <c r="L257" s="38">
        <v>6.2356091508311849E-8</v>
      </c>
      <c r="M257" s="46">
        <v>6.4959979762037796E-6</v>
      </c>
      <c r="N257" s="46">
        <v>3.7151903188562561E-6</v>
      </c>
      <c r="O257" s="28"/>
      <c r="P257" s="28"/>
      <c r="Q257" s="28"/>
      <c r="R257" s="28"/>
    </row>
    <row r="258" spans="1:18" x14ac:dyDescent="0.2">
      <c r="A258" s="30" t="s">
        <v>1017</v>
      </c>
      <c r="B258" s="46" t="s">
        <v>1018</v>
      </c>
      <c r="C258" s="46" t="s">
        <v>826</v>
      </c>
      <c r="D258" s="46" t="s">
        <v>391</v>
      </c>
      <c r="E258" s="46" t="s">
        <v>239</v>
      </c>
      <c r="F258" s="46" t="s">
        <v>179</v>
      </c>
      <c r="G258" s="85" t="s">
        <v>126</v>
      </c>
      <c r="H258" s="88">
        <v>4335.217124642294</v>
      </c>
      <c r="I258" s="85">
        <v>2351</v>
      </c>
      <c r="J258" s="85">
        <v>0</v>
      </c>
      <c r="K258" s="104">
        <v>350.71000473897647</v>
      </c>
      <c r="L258" s="38">
        <v>1.052225135819726E-6</v>
      </c>
      <c r="M258" s="46">
        <v>1.8886420594163747E-3</v>
      </c>
      <c r="N258" s="46">
        <v>1.0801519213263289E-3</v>
      </c>
      <c r="O258" s="28"/>
      <c r="P258" s="28"/>
      <c r="Q258" s="28"/>
      <c r="R258" s="28"/>
    </row>
    <row r="259" spans="1:18" x14ac:dyDescent="0.2">
      <c r="A259" s="30" t="s">
        <v>1019</v>
      </c>
      <c r="B259" s="46" t="s">
        <v>1020</v>
      </c>
      <c r="C259" s="46" t="s">
        <v>803</v>
      </c>
      <c r="D259" s="46" t="s">
        <v>391</v>
      </c>
      <c r="E259" s="46" t="s">
        <v>239</v>
      </c>
      <c r="F259" s="46" t="s">
        <v>185</v>
      </c>
      <c r="G259" s="85" t="s">
        <v>126</v>
      </c>
      <c r="H259" s="88">
        <v>1770.7265082390397</v>
      </c>
      <c r="I259" s="85">
        <v>54122</v>
      </c>
      <c r="J259" s="85">
        <v>0</v>
      </c>
      <c r="K259" s="104">
        <v>3297.6912992255297</v>
      </c>
      <c r="L259" s="38">
        <v>2.8698970960114094E-6</v>
      </c>
      <c r="M259" s="46">
        <v>1.7758713474182768E-2</v>
      </c>
      <c r="N259" s="46">
        <v>1.0156561103669328E-2</v>
      </c>
      <c r="O259" s="28"/>
      <c r="P259" s="28"/>
      <c r="Q259" s="28"/>
      <c r="R259" s="28"/>
    </row>
    <row r="260" spans="1:18" x14ac:dyDescent="0.2">
      <c r="A260" s="30" t="s">
        <v>1021</v>
      </c>
      <c r="B260" s="46" t="s">
        <v>1022</v>
      </c>
      <c r="C260" s="46" t="s">
        <v>826</v>
      </c>
      <c r="D260" s="46" t="s">
        <v>391</v>
      </c>
      <c r="E260" s="46" t="s">
        <v>239</v>
      </c>
      <c r="F260" s="46" t="s">
        <v>173</v>
      </c>
      <c r="G260" s="85" t="s">
        <v>126</v>
      </c>
      <c r="H260" s="88">
        <v>2552.6389927132495</v>
      </c>
      <c r="I260" s="85">
        <v>29398</v>
      </c>
      <c r="J260" s="85">
        <v>0</v>
      </c>
      <c r="K260" s="104">
        <v>2582.2117748669139</v>
      </c>
      <c r="L260" s="38">
        <v>9.434522702395619E-7</v>
      </c>
      <c r="M260" s="46">
        <v>1.3905716114268194E-2</v>
      </c>
      <c r="N260" s="46">
        <v>7.9529553540107177E-3</v>
      </c>
      <c r="O260" s="28"/>
      <c r="P260" s="28"/>
      <c r="Q260" s="28"/>
      <c r="R260" s="28"/>
    </row>
    <row r="261" spans="1:18" x14ac:dyDescent="0.2">
      <c r="A261" s="30" t="s">
        <v>1023</v>
      </c>
      <c r="B261" s="46" t="s">
        <v>1024</v>
      </c>
      <c r="C261" s="46" t="s">
        <v>826</v>
      </c>
      <c r="D261" s="46" t="s">
        <v>391</v>
      </c>
      <c r="E261" s="46" t="s">
        <v>239</v>
      </c>
      <c r="F261" s="46" t="s">
        <v>180</v>
      </c>
      <c r="G261" s="85" t="s">
        <v>126</v>
      </c>
      <c r="H261" s="88">
        <v>810.14642249561984</v>
      </c>
      <c r="I261" s="85">
        <v>20097</v>
      </c>
      <c r="J261" s="85">
        <v>0</v>
      </c>
      <c r="K261" s="104">
        <v>560.24685035368418</v>
      </c>
      <c r="L261" s="38">
        <v>2.3558534947567259E-6</v>
      </c>
      <c r="M261" s="46">
        <v>3.0170390092550616E-3</v>
      </c>
      <c r="N261" s="46">
        <v>1.7255045583229186E-3</v>
      </c>
      <c r="O261" s="28"/>
      <c r="P261" s="28"/>
      <c r="Q261" s="28"/>
      <c r="R261" s="28"/>
    </row>
    <row r="262" spans="1:18" x14ac:dyDescent="0.2">
      <c r="A262" s="30" t="s">
        <v>1025</v>
      </c>
      <c r="B262" s="46" t="s">
        <v>1026</v>
      </c>
      <c r="C262" s="46" t="s">
        <v>826</v>
      </c>
      <c r="D262" s="46" t="s">
        <v>391</v>
      </c>
      <c r="E262" s="46" t="s">
        <v>239</v>
      </c>
      <c r="F262" s="46" t="s">
        <v>165</v>
      </c>
      <c r="G262" s="85" t="s">
        <v>126</v>
      </c>
      <c r="H262" s="88">
        <v>159.34448087583999</v>
      </c>
      <c r="I262" s="85">
        <v>1564</v>
      </c>
      <c r="J262" s="85">
        <v>0</v>
      </c>
      <c r="K262" s="104">
        <v>8.5754801699704917</v>
      </c>
      <c r="L262" s="38">
        <v>1.0972485701701068E-7</v>
      </c>
      <c r="M262" s="46">
        <v>4.6180640158103232E-5</v>
      </c>
      <c r="N262" s="46">
        <v>2.6411625721323566E-5</v>
      </c>
      <c r="O262" s="28"/>
      <c r="P262" s="28"/>
      <c r="Q262" s="28"/>
      <c r="R262" s="28"/>
    </row>
    <row r="263" spans="1:18" x14ac:dyDescent="0.2">
      <c r="A263" s="30" t="s">
        <v>1027</v>
      </c>
      <c r="B263" s="46" t="s">
        <v>1028</v>
      </c>
      <c r="C263" s="46" t="s">
        <v>826</v>
      </c>
      <c r="D263" s="46" t="s">
        <v>391</v>
      </c>
      <c r="E263" s="46" t="s">
        <v>239</v>
      </c>
      <c r="F263" s="46" t="s">
        <v>187</v>
      </c>
      <c r="G263" s="85" t="s">
        <v>126</v>
      </c>
      <c r="H263" s="88">
        <v>18241.030167039775</v>
      </c>
      <c r="I263" s="85">
        <v>3041</v>
      </c>
      <c r="J263" s="85">
        <v>0</v>
      </c>
      <c r="K263" s="104">
        <v>1908.7561718874167</v>
      </c>
      <c r="L263" s="38">
        <v>2.067517331769277E-4</v>
      </c>
      <c r="M263" s="46">
        <v>1.0279025801046747E-2</v>
      </c>
      <c r="N263" s="46">
        <v>5.8787791011042914E-3</v>
      </c>
      <c r="O263" s="28"/>
      <c r="P263" s="28"/>
      <c r="Q263" s="28"/>
      <c r="R263" s="28"/>
    </row>
    <row r="264" spans="1:18" x14ac:dyDescent="0.2">
      <c r="A264" s="30" t="s">
        <v>1029</v>
      </c>
      <c r="B264" s="46" t="s">
        <v>1030</v>
      </c>
      <c r="C264" s="46" t="s">
        <v>803</v>
      </c>
      <c r="D264" s="46" t="s">
        <v>391</v>
      </c>
      <c r="E264" s="46" t="s">
        <v>239</v>
      </c>
      <c r="F264" s="46" t="s">
        <v>183</v>
      </c>
      <c r="G264" s="85" t="s">
        <v>126</v>
      </c>
      <c r="H264" s="88">
        <v>852.14739813673248</v>
      </c>
      <c r="I264" s="85">
        <v>49043</v>
      </c>
      <c r="J264" s="85">
        <v>0</v>
      </c>
      <c r="K264" s="104">
        <v>1438.0580693670049</v>
      </c>
      <c r="L264" s="38">
        <v>1.7763470455300545E-6</v>
      </c>
      <c r="M264" s="46">
        <v>7.7442243363175815E-3</v>
      </c>
      <c r="N264" s="46">
        <v>4.4290757766140562E-3</v>
      </c>
      <c r="O264" s="28"/>
      <c r="P264" s="28"/>
      <c r="Q264" s="28"/>
      <c r="R264" s="28"/>
    </row>
    <row r="265" spans="1:18" x14ac:dyDescent="0.2">
      <c r="A265" s="30" t="s">
        <v>1031</v>
      </c>
      <c r="B265" s="46" t="s">
        <v>1032</v>
      </c>
      <c r="C265" s="46" t="s">
        <v>803</v>
      </c>
      <c r="D265" s="46" t="s">
        <v>391</v>
      </c>
      <c r="E265" s="46" t="s">
        <v>239</v>
      </c>
      <c r="F265" s="46" t="s">
        <v>172</v>
      </c>
      <c r="G265" s="85" t="s">
        <v>126</v>
      </c>
      <c r="H265" s="88">
        <v>1610.3198003476693</v>
      </c>
      <c r="I265" s="85">
        <v>8095</v>
      </c>
      <c r="J265" s="85">
        <v>0</v>
      </c>
      <c r="K265" s="104">
        <v>448.55288948152707</v>
      </c>
      <c r="L265" s="38">
        <v>2.0862522275002075E-6</v>
      </c>
      <c r="M265" s="46">
        <v>2.4155451555425995E-3</v>
      </c>
      <c r="N265" s="46">
        <v>1.3814982716291529E-3</v>
      </c>
      <c r="O265" s="28"/>
      <c r="P265" s="28"/>
      <c r="Q265" s="28"/>
      <c r="R265" s="28"/>
    </row>
    <row r="266" spans="1:18" x14ac:dyDescent="0.2">
      <c r="A266" s="30" t="s">
        <v>1033</v>
      </c>
      <c r="B266" s="46" t="s">
        <v>1034</v>
      </c>
      <c r="C266" s="46" t="s">
        <v>803</v>
      </c>
      <c r="D266" s="46" t="s">
        <v>391</v>
      </c>
      <c r="E266" s="46" t="s">
        <v>239</v>
      </c>
      <c r="F266" s="46" t="s">
        <v>172</v>
      </c>
      <c r="G266" s="85" t="s">
        <v>126</v>
      </c>
      <c r="H266" s="88">
        <v>877.51742398441183</v>
      </c>
      <c r="I266" s="85">
        <v>16522</v>
      </c>
      <c r="J266" s="85">
        <v>0</v>
      </c>
      <c r="K266" s="104">
        <v>498.88797837820044</v>
      </c>
      <c r="L266" s="38">
        <v>7.6747149722941899E-6</v>
      </c>
      <c r="M266" s="46">
        <v>2.6866094669969411E-3</v>
      </c>
      <c r="N266" s="46">
        <v>1.5365253374305377E-3</v>
      </c>
      <c r="O266" s="28"/>
      <c r="P266" s="28"/>
      <c r="Q266" s="28"/>
      <c r="R266" s="28"/>
    </row>
    <row r="267" spans="1:18" x14ac:dyDescent="0.2">
      <c r="A267" s="30" t="s">
        <v>1035</v>
      </c>
      <c r="B267" s="46" t="s">
        <v>1036</v>
      </c>
      <c r="C267" s="46" t="s">
        <v>803</v>
      </c>
      <c r="D267" s="46" t="s">
        <v>391</v>
      </c>
      <c r="E267" s="46" t="s">
        <v>239</v>
      </c>
      <c r="F267" s="46" t="s">
        <v>185</v>
      </c>
      <c r="G267" s="85" t="s">
        <v>126</v>
      </c>
      <c r="H267" s="88">
        <v>3672.4931136876899</v>
      </c>
      <c r="I267" s="85">
        <v>12481</v>
      </c>
      <c r="J267" s="85">
        <v>3.957557999</v>
      </c>
      <c r="K267" s="104">
        <v>1581.1876192026834</v>
      </c>
      <c r="L267" s="38">
        <v>1.3152488010370684E-5</v>
      </c>
      <c r="M267" s="46">
        <v>8.5150049930205075E-3</v>
      </c>
      <c r="N267" s="46">
        <v>4.8699005496873147E-3</v>
      </c>
      <c r="O267" s="28"/>
      <c r="P267" s="28"/>
      <c r="Q267" s="28"/>
      <c r="R267" s="28"/>
    </row>
    <row r="268" spans="1:18" x14ac:dyDescent="0.2">
      <c r="A268" s="30" t="s">
        <v>1037</v>
      </c>
      <c r="B268" s="46" t="s">
        <v>1038</v>
      </c>
      <c r="C268" s="46" t="s">
        <v>826</v>
      </c>
      <c r="D268" s="46" t="s">
        <v>391</v>
      </c>
      <c r="E268" s="46" t="s">
        <v>239</v>
      </c>
      <c r="F268" s="46" t="s">
        <v>164</v>
      </c>
      <c r="G268" s="85" t="s">
        <v>126</v>
      </c>
      <c r="H268" s="88">
        <v>39.836120218959998</v>
      </c>
      <c r="I268" s="85">
        <v>1001</v>
      </c>
      <c r="J268" s="85">
        <v>9.5952465999999998E-4</v>
      </c>
      <c r="K268" s="104">
        <v>1.3730911822916381</v>
      </c>
      <c r="L268" s="38">
        <v>4.2827991496220255E-8</v>
      </c>
      <c r="M268" s="46">
        <v>7.3943649261441717E-6</v>
      </c>
      <c r="N268" s="46">
        <v>4.2289842281870965E-6</v>
      </c>
      <c r="O268" s="28"/>
      <c r="P268" s="28"/>
      <c r="Q268" s="28"/>
      <c r="R268" s="28"/>
    </row>
    <row r="269" spans="1:18" x14ac:dyDescent="0.2">
      <c r="A269" s="30" t="s">
        <v>1039</v>
      </c>
      <c r="B269" s="46" t="s">
        <v>1040</v>
      </c>
      <c r="C269" s="46" t="s">
        <v>803</v>
      </c>
      <c r="D269" s="46" t="s">
        <v>391</v>
      </c>
      <c r="E269" s="46" t="s">
        <v>239</v>
      </c>
      <c r="F269" s="46" t="s">
        <v>173</v>
      </c>
      <c r="G269" s="85" t="s">
        <v>126</v>
      </c>
      <c r="H269" s="88">
        <v>292.06378939564291</v>
      </c>
      <c r="I269" s="85">
        <v>314873</v>
      </c>
      <c r="J269" s="85">
        <v>0</v>
      </c>
      <c r="K269" s="104">
        <v>3164.4468835326766</v>
      </c>
      <c r="L269" s="38">
        <v>5.830900854360892E-7</v>
      </c>
      <c r="M269" s="46">
        <v>1.7041166200767576E-2</v>
      </c>
      <c r="N269" s="46">
        <v>9.7461815602520874E-3</v>
      </c>
      <c r="O269" s="28"/>
      <c r="P269" s="28"/>
      <c r="Q269" s="28"/>
      <c r="R269" s="28"/>
    </row>
    <row r="270" spans="1:18" x14ac:dyDescent="0.2">
      <c r="A270" s="30" t="s">
        <v>1041</v>
      </c>
      <c r="B270" s="46" t="s">
        <v>1042</v>
      </c>
      <c r="C270" s="46" t="s">
        <v>803</v>
      </c>
      <c r="D270" s="46" t="s">
        <v>391</v>
      </c>
      <c r="E270" s="46" t="s">
        <v>239</v>
      </c>
      <c r="F270" s="46" t="s">
        <v>168</v>
      </c>
      <c r="G270" s="85" t="s">
        <v>126</v>
      </c>
      <c r="H270" s="88">
        <v>3607.2861615906236</v>
      </c>
      <c r="I270" s="85">
        <v>2755</v>
      </c>
      <c r="J270" s="85">
        <v>0</v>
      </c>
      <c r="K270" s="104">
        <v>341.9691048054857</v>
      </c>
      <c r="L270" s="38">
        <v>1.1894323797038247E-5</v>
      </c>
      <c r="M270" s="46">
        <v>1.8415706014355074E-3</v>
      </c>
      <c r="N270" s="46">
        <v>1.0532308191915089E-3</v>
      </c>
      <c r="O270" s="28"/>
      <c r="P270" s="28"/>
      <c r="Q270" s="28"/>
      <c r="R270" s="28"/>
    </row>
    <row r="271" spans="1:18" x14ac:dyDescent="0.2">
      <c r="A271" s="30" t="s">
        <v>1043</v>
      </c>
      <c r="B271" s="46" t="s">
        <v>1044</v>
      </c>
      <c r="C271" s="46" t="s">
        <v>826</v>
      </c>
      <c r="D271" s="46" t="s">
        <v>391</v>
      </c>
      <c r="E271" s="46" t="s">
        <v>239</v>
      </c>
      <c r="F271" s="46" t="s">
        <v>168</v>
      </c>
      <c r="G271" s="85" t="s">
        <v>126</v>
      </c>
      <c r="H271" s="88">
        <v>2530.1605052017485</v>
      </c>
      <c r="I271" s="85">
        <v>3647.9999999999995</v>
      </c>
      <c r="J271" s="85">
        <v>0</v>
      </c>
      <c r="K271" s="104">
        <v>317.60517821097864</v>
      </c>
      <c r="L271" s="38">
        <v>1.4436425890613121E-6</v>
      </c>
      <c r="M271" s="46">
        <v>1.7103660852336765E-3</v>
      </c>
      <c r="N271" s="46">
        <v>9.7819234932607904E-4</v>
      </c>
      <c r="O271" s="28"/>
      <c r="P271" s="28"/>
      <c r="Q271" s="28"/>
      <c r="R271" s="28"/>
    </row>
    <row r="272" spans="1:18" x14ac:dyDescent="0.2">
      <c r="A272" s="30" t="s">
        <v>1045</v>
      </c>
      <c r="B272" s="46" t="s">
        <v>1046</v>
      </c>
      <c r="C272" s="46" t="s">
        <v>826</v>
      </c>
      <c r="D272" s="46" t="s">
        <v>391</v>
      </c>
      <c r="E272" s="46" t="s">
        <v>239</v>
      </c>
      <c r="F272" s="46" t="s">
        <v>173</v>
      </c>
      <c r="G272" s="85" t="s">
        <v>126</v>
      </c>
      <c r="H272" s="88">
        <v>1404.449637788425</v>
      </c>
      <c r="I272" s="85">
        <v>15741.999999999998</v>
      </c>
      <c r="J272" s="85">
        <v>0</v>
      </c>
      <c r="K272" s="104">
        <v>760.7653975938407</v>
      </c>
      <c r="L272" s="38">
        <v>2.8054326361335712E-6</v>
      </c>
      <c r="M272" s="46">
        <v>4.0968706561813886E-3</v>
      </c>
      <c r="N272" s="46">
        <v>2.3430817335854878E-3</v>
      </c>
      <c r="O272" s="28"/>
      <c r="P272" s="28"/>
      <c r="Q272" s="28"/>
      <c r="R272" s="28"/>
    </row>
    <row r="273" spans="1:18" x14ac:dyDescent="0.2">
      <c r="A273" s="30" t="s">
        <v>1047</v>
      </c>
      <c r="B273" s="46" t="s">
        <v>1048</v>
      </c>
      <c r="C273" s="46" t="s">
        <v>826</v>
      </c>
      <c r="D273" s="46" t="s">
        <v>391</v>
      </c>
      <c r="E273" s="46" t="s">
        <v>239</v>
      </c>
      <c r="F273" s="46" t="s">
        <v>165</v>
      </c>
      <c r="G273" s="85" t="s">
        <v>126</v>
      </c>
      <c r="H273" s="88">
        <v>2376.8905559426653</v>
      </c>
      <c r="I273" s="85">
        <v>7961</v>
      </c>
      <c r="J273" s="85">
        <v>0</v>
      </c>
      <c r="K273" s="104">
        <v>651.12066883548675</v>
      </c>
      <c r="L273" s="38">
        <v>9.8019258992516748E-6</v>
      </c>
      <c r="M273" s="46">
        <v>3.506412318728338E-3</v>
      </c>
      <c r="N273" s="46">
        <v>2.0053868779175222E-3</v>
      </c>
      <c r="O273" s="28"/>
      <c r="P273" s="28"/>
      <c r="Q273" s="28"/>
      <c r="R273" s="28"/>
    </row>
    <row r="274" spans="1:18" x14ac:dyDescent="0.2">
      <c r="A274" s="30" t="s">
        <v>1049</v>
      </c>
      <c r="B274" s="46" t="s">
        <v>1050</v>
      </c>
      <c r="C274" s="46" t="s">
        <v>826</v>
      </c>
      <c r="D274" s="46" t="s">
        <v>391</v>
      </c>
      <c r="E274" s="46" t="s">
        <v>239</v>
      </c>
      <c r="F274" s="46" t="s">
        <v>175</v>
      </c>
      <c r="G274" s="85" t="s">
        <v>126</v>
      </c>
      <c r="H274" s="88">
        <v>2333.8029512452822</v>
      </c>
      <c r="I274" s="85">
        <v>5948</v>
      </c>
      <c r="J274" s="85">
        <v>0</v>
      </c>
      <c r="K274" s="104">
        <v>477.66103697023004</v>
      </c>
      <c r="L274" s="38">
        <v>7.9313312719826093E-6</v>
      </c>
      <c r="M274" s="46">
        <v>2.5722982303793889E-3</v>
      </c>
      <c r="N274" s="46">
        <v>1.471148469830865E-3</v>
      </c>
      <c r="O274" s="28"/>
      <c r="P274" s="28"/>
      <c r="Q274" s="28"/>
      <c r="R274" s="28"/>
    </row>
    <row r="275" spans="1:18" x14ac:dyDescent="0.2">
      <c r="A275" s="30" t="s">
        <v>1051</v>
      </c>
      <c r="B275" s="46" t="s">
        <v>1052</v>
      </c>
      <c r="C275" s="46" t="s">
        <v>826</v>
      </c>
      <c r="D275" s="46" t="s">
        <v>391</v>
      </c>
      <c r="E275" s="46" t="s">
        <v>239</v>
      </c>
      <c r="F275" s="46" t="s">
        <v>177</v>
      </c>
      <c r="G275" s="85" t="s">
        <v>126</v>
      </c>
      <c r="H275" s="88">
        <v>2184.4467083329373</v>
      </c>
      <c r="I275" s="85">
        <v>8351</v>
      </c>
      <c r="J275" s="85">
        <v>0</v>
      </c>
      <c r="K275" s="104">
        <v>627.71804060694672</v>
      </c>
      <c r="L275" s="38">
        <v>3.2796553359724215E-5</v>
      </c>
      <c r="M275" s="46">
        <v>3.3803845824902407E-3</v>
      </c>
      <c r="N275" s="46">
        <v>1.9333091113765953E-3</v>
      </c>
      <c r="O275" s="28"/>
      <c r="P275" s="28"/>
      <c r="Q275" s="28"/>
      <c r="R275" s="28"/>
    </row>
    <row r="276" spans="1:18" x14ac:dyDescent="0.2">
      <c r="A276" s="30" t="s">
        <v>1053</v>
      </c>
      <c r="B276" s="46" t="s">
        <v>1054</v>
      </c>
      <c r="C276" s="46" t="s">
        <v>826</v>
      </c>
      <c r="D276" s="46" t="s">
        <v>391</v>
      </c>
      <c r="E276" s="46" t="s">
        <v>239</v>
      </c>
      <c r="F276" s="46" t="s">
        <v>182</v>
      </c>
      <c r="G276" s="85" t="s">
        <v>126</v>
      </c>
      <c r="H276" s="88">
        <v>2827.6113962746663</v>
      </c>
      <c r="I276" s="85">
        <v>6468.0000000000009</v>
      </c>
      <c r="J276" s="85">
        <v>0</v>
      </c>
      <c r="K276" s="104">
        <v>629.32416344069543</v>
      </c>
      <c r="L276" s="38">
        <v>9.2439670943907577E-6</v>
      </c>
      <c r="M276" s="46">
        <v>3.3890338684969641E-3</v>
      </c>
      <c r="N276" s="46">
        <v>1.9382558099061995E-3</v>
      </c>
      <c r="O276" s="28"/>
      <c r="P276" s="28"/>
      <c r="Q276" s="28"/>
      <c r="R276" s="28"/>
    </row>
    <row r="277" spans="1:18" x14ac:dyDescent="0.2">
      <c r="A277" s="30" t="s">
        <v>1055</v>
      </c>
      <c r="B277" s="46" t="s">
        <v>1056</v>
      </c>
      <c r="C277" s="46" t="s">
        <v>826</v>
      </c>
      <c r="D277" s="46" t="s">
        <v>391</v>
      </c>
      <c r="E277" s="46" t="s">
        <v>239</v>
      </c>
      <c r="F277" s="46" t="s">
        <v>182</v>
      </c>
      <c r="G277" s="85" t="s">
        <v>126</v>
      </c>
      <c r="H277" s="88">
        <v>576.05153063578132</v>
      </c>
      <c r="I277" s="85">
        <v>16000</v>
      </c>
      <c r="J277" s="85">
        <v>2.101124913</v>
      </c>
      <c r="K277" s="104">
        <v>319.25205562000593</v>
      </c>
      <c r="L277" s="38">
        <v>4.5676841060690214E-6</v>
      </c>
      <c r="M277" s="46">
        <v>1.7192348426097502E-3</v>
      </c>
      <c r="N277" s="46">
        <v>9.8326456789273715E-4</v>
      </c>
      <c r="O277" s="28"/>
      <c r="P277" s="28"/>
      <c r="Q277" s="28"/>
      <c r="R277" s="28"/>
    </row>
    <row r="278" spans="1:18" x14ac:dyDescent="0.2">
      <c r="A278" s="30" t="s">
        <v>1057</v>
      </c>
      <c r="B278" s="46" t="s">
        <v>1058</v>
      </c>
      <c r="C278" s="46" t="s">
        <v>826</v>
      </c>
      <c r="D278" s="46" t="s">
        <v>391</v>
      </c>
      <c r="E278" s="46" t="s">
        <v>239</v>
      </c>
      <c r="F278" s="46" t="s">
        <v>177</v>
      </c>
      <c r="G278" s="85" t="s">
        <v>126</v>
      </c>
      <c r="H278" s="88">
        <v>4049.1758386602201</v>
      </c>
      <c r="I278" s="85">
        <v>5833</v>
      </c>
      <c r="J278" s="85">
        <v>0</v>
      </c>
      <c r="K278" s="104">
        <v>812.72437607768154</v>
      </c>
      <c r="L278" s="38">
        <v>6.9877285450551009E-6</v>
      </c>
      <c r="M278" s="46">
        <v>4.3766799310890978E-3</v>
      </c>
      <c r="N278" s="46">
        <v>2.5031102177493349E-3</v>
      </c>
      <c r="O278" s="28"/>
      <c r="P278" s="28"/>
      <c r="Q278" s="28"/>
      <c r="R278" s="28"/>
    </row>
    <row r="279" spans="1:18" x14ac:dyDescent="0.2">
      <c r="A279" s="30" t="s">
        <v>1059</v>
      </c>
      <c r="B279" s="46" t="s">
        <v>1060</v>
      </c>
      <c r="C279" s="46" t="s">
        <v>826</v>
      </c>
      <c r="D279" s="46" t="s">
        <v>391</v>
      </c>
      <c r="E279" s="46" t="s">
        <v>239</v>
      </c>
      <c r="F279" s="46" t="s">
        <v>172</v>
      </c>
      <c r="G279" s="85" t="s">
        <v>126</v>
      </c>
      <c r="H279" s="88">
        <v>5926.7603432464357</v>
      </c>
      <c r="I279" s="85">
        <v>1000</v>
      </c>
      <c r="J279" s="85">
        <v>0</v>
      </c>
      <c r="K279" s="104">
        <v>203.93982341110987</v>
      </c>
      <c r="L279" s="38">
        <v>5.0327437444774598E-5</v>
      </c>
      <c r="M279" s="46">
        <v>1.0982558891379243E-3</v>
      </c>
      <c r="N279" s="46">
        <v>6.2811436547530262E-4</v>
      </c>
      <c r="O279" s="28"/>
      <c r="P279" s="28"/>
      <c r="Q279" s="28"/>
      <c r="R279" s="28"/>
    </row>
    <row r="280" spans="1:18" x14ac:dyDescent="0.2">
      <c r="A280" s="30" t="s">
        <v>1061</v>
      </c>
      <c r="B280" s="46" t="s">
        <v>1062</v>
      </c>
      <c r="C280" s="46" t="s">
        <v>803</v>
      </c>
      <c r="D280" s="46" t="s">
        <v>391</v>
      </c>
      <c r="E280" s="46" t="s">
        <v>239</v>
      </c>
      <c r="F280" s="46" t="s">
        <v>166</v>
      </c>
      <c r="G280" s="85" t="s">
        <v>126</v>
      </c>
      <c r="H280" s="88">
        <v>58.957457924060797</v>
      </c>
      <c r="I280" s="85">
        <v>1341</v>
      </c>
      <c r="J280" s="85">
        <v>0</v>
      </c>
      <c r="K280" s="104">
        <v>2.720521736530856</v>
      </c>
      <c r="L280" s="38">
        <v>1.4675520755917092E-7</v>
      </c>
      <c r="M280" s="46">
        <v>1.4650542344786496E-5</v>
      </c>
      <c r="N280" s="46">
        <v>8.3789362750314037E-6</v>
      </c>
      <c r="O280" s="28"/>
      <c r="P280" s="28"/>
      <c r="Q280" s="28"/>
      <c r="R280" s="28"/>
    </row>
    <row r="281" spans="1:18" x14ac:dyDescent="0.2">
      <c r="A281" s="30" t="s">
        <v>1063</v>
      </c>
      <c r="B281" s="46" t="s">
        <v>1064</v>
      </c>
      <c r="C281" s="46" t="s">
        <v>803</v>
      </c>
      <c r="D281" s="46" t="s">
        <v>391</v>
      </c>
      <c r="E281" s="46" t="s">
        <v>239</v>
      </c>
      <c r="F281" s="46" t="s">
        <v>178</v>
      </c>
      <c r="G281" s="85" t="s">
        <v>126</v>
      </c>
      <c r="H281" s="88">
        <v>127.475584700672</v>
      </c>
      <c r="I281" s="85">
        <v>448.00000000000006</v>
      </c>
      <c r="J281" s="85">
        <v>0</v>
      </c>
      <c r="K281" s="104">
        <v>1.9651228215584553</v>
      </c>
      <c r="L281" s="38">
        <v>2.8482546418164898E-6</v>
      </c>
      <c r="M281" s="46">
        <v>1.0582571248506521E-5</v>
      </c>
      <c r="N281" s="46">
        <v>6.0523827739912826E-6</v>
      </c>
      <c r="O281" s="28"/>
      <c r="P281" s="28"/>
      <c r="Q281" s="28"/>
      <c r="R281" s="28"/>
    </row>
    <row r="282" spans="1:18" x14ac:dyDescent="0.2">
      <c r="A282" s="30" t="s">
        <v>1065</v>
      </c>
      <c r="B282" s="46" t="s">
        <v>1066</v>
      </c>
      <c r="C282" s="46" t="s">
        <v>826</v>
      </c>
      <c r="D282" s="46" t="s">
        <v>391</v>
      </c>
      <c r="E282" s="46" t="s">
        <v>239</v>
      </c>
      <c r="F282" s="46" t="s">
        <v>184</v>
      </c>
      <c r="G282" s="85" t="s">
        <v>126</v>
      </c>
      <c r="H282" s="88">
        <v>3451.9995024728682</v>
      </c>
      <c r="I282" s="85">
        <v>3969</v>
      </c>
      <c r="J282" s="85">
        <v>0</v>
      </c>
      <c r="K282" s="104">
        <v>471.45092907601463</v>
      </c>
      <c r="L282" s="38">
        <v>2.2369165602027515E-5</v>
      </c>
      <c r="M282" s="46">
        <v>2.5388555831664639E-3</v>
      </c>
      <c r="N282" s="46">
        <v>1.452021955380349E-3</v>
      </c>
      <c r="O282" s="28"/>
      <c r="P282" s="28"/>
      <c r="Q282" s="28"/>
      <c r="R282" s="28"/>
    </row>
    <row r="283" spans="1:18" x14ac:dyDescent="0.2">
      <c r="A283" s="30" t="s">
        <v>1067</v>
      </c>
      <c r="B283" s="46" t="s">
        <v>1068</v>
      </c>
      <c r="C283" s="46" t="s">
        <v>826</v>
      </c>
      <c r="D283" s="46" t="s">
        <v>391</v>
      </c>
      <c r="E283" s="46" t="s">
        <v>239</v>
      </c>
      <c r="F283" s="46" t="s">
        <v>170</v>
      </c>
      <c r="G283" s="85" t="s">
        <v>126</v>
      </c>
      <c r="H283" s="88">
        <v>1426.0625055432356</v>
      </c>
      <c r="I283" s="85">
        <v>10074</v>
      </c>
      <c r="J283" s="85">
        <v>0</v>
      </c>
      <c r="K283" s="104">
        <v>494.33934813569141</v>
      </c>
      <c r="L283" s="38">
        <v>1.0962913141342462E-5</v>
      </c>
      <c r="M283" s="46">
        <v>2.6621142023262635E-3</v>
      </c>
      <c r="N283" s="46">
        <v>1.5225160088415059E-3</v>
      </c>
      <c r="O283" s="28"/>
      <c r="P283" s="28"/>
      <c r="Q283" s="28"/>
      <c r="R283" s="28"/>
    </row>
    <row r="284" spans="1:18" x14ac:dyDescent="0.2">
      <c r="A284" s="30" t="s">
        <v>1069</v>
      </c>
      <c r="B284" s="46" t="s">
        <v>1070</v>
      </c>
      <c r="C284" s="46" t="s">
        <v>219</v>
      </c>
      <c r="D284" s="46" t="s">
        <v>391</v>
      </c>
      <c r="E284" s="46" t="s">
        <v>239</v>
      </c>
      <c r="F284" s="46" t="s">
        <v>182</v>
      </c>
      <c r="G284" s="85" t="s">
        <v>127</v>
      </c>
      <c r="H284" s="88">
        <v>5189.2831676499491</v>
      </c>
      <c r="I284" s="85">
        <v>238</v>
      </c>
      <c r="J284" s="85">
        <v>0</v>
      </c>
      <c r="K284" s="104">
        <v>49.720618468636616</v>
      </c>
      <c r="L284" s="38">
        <v>1.3599338425405214E-5</v>
      </c>
      <c r="M284" s="46">
        <v>2.6775526785998625E-4</v>
      </c>
      <c r="N284" s="46">
        <v>1.5313455801867679E-4</v>
      </c>
      <c r="O284" s="28"/>
      <c r="P284" s="28"/>
      <c r="Q284" s="28"/>
      <c r="R284" s="28"/>
    </row>
    <row r="285" spans="1:18" x14ac:dyDescent="0.2">
      <c r="A285" s="30" t="s">
        <v>1071</v>
      </c>
      <c r="B285" s="46" t="s">
        <v>1072</v>
      </c>
      <c r="C285" s="46" t="s">
        <v>885</v>
      </c>
      <c r="D285" s="46" t="s">
        <v>391</v>
      </c>
      <c r="E285" s="46" t="s">
        <v>239</v>
      </c>
      <c r="F285" s="46" t="s">
        <v>182</v>
      </c>
      <c r="G285" s="85" t="s">
        <v>127</v>
      </c>
      <c r="H285" s="88">
        <v>82932.351441771272</v>
      </c>
      <c r="I285" s="85">
        <v>429</v>
      </c>
      <c r="J285" s="85">
        <v>0</v>
      </c>
      <c r="K285" s="104">
        <v>1432.2982692531002</v>
      </c>
      <c r="L285" s="38">
        <v>5.3956388856609655E-5</v>
      </c>
      <c r="M285" s="46">
        <v>7.713206684690996E-3</v>
      </c>
      <c r="N285" s="46">
        <v>4.4113361653243238E-3</v>
      </c>
      <c r="O285" s="28"/>
      <c r="P285" s="28"/>
      <c r="Q285" s="28"/>
      <c r="R285" s="28"/>
    </row>
    <row r="286" spans="1:18" x14ac:dyDescent="0.2">
      <c r="A286" s="30" t="s">
        <v>1073</v>
      </c>
      <c r="B286" s="46" t="s">
        <v>1074</v>
      </c>
      <c r="C286" s="46" t="s">
        <v>908</v>
      </c>
      <c r="D286" s="46" t="s">
        <v>391</v>
      </c>
      <c r="E286" s="46" t="s">
        <v>239</v>
      </c>
      <c r="F286" s="46" t="s">
        <v>170</v>
      </c>
      <c r="G286" s="85" t="s">
        <v>2</v>
      </c>
      <c r="H286" s="88">
        <v>15749.808979332407</v>
      </c>
      <c r="I286" s="85">
        <v>990</v>
      </c>
      <c r="J286" s="85">
        <v>0</v>
      </c>
      <c r="K286" s="104">
        <v>687.74564869545407</v>
      </c>
      <c r="L286" s="38">
        <v>3.7093861984977645E-4</v>
      </c>
      <c r="M286" s="46">
        <v>3.7036450079990487E-3</v>
      </c>
      <c r="N286" s="46">
        <v>2.1181881719488276E-3</v>
      </c>
      <c r="O286" s="28"/>
      <c r="P286" s="28"/>
      <c r="Q286" s="28"/>
      <c r="R286" s="28"/>
    </row>
    <row r="287" spans="1:18" x14ac:dyDescent="0.2">
      <c r="A287" s="30" t="s">
        <v>1075</v>
      </c>
      <c r="B287" s="46" t="s">
        <v>1076</v>
      </c>
      <c r="C287" s="46" t="s">
        <v>885</v>
      </c>
      <c r="D287" s="46" t="s">
        <v>391</v>
      </c>
      <c r="E287" s="46" t="s">
        <v>1077</v>
      </c>
      <c r="F287" s="46" t="s">
        <v>182</v>
      </c>
      <c r="G287" s="85" t="s">
        <v>127</v>
      </c>
      <c r="H287" s="88">
        <v>1783.6527217969387</v>
      </c>
      <c r="I287" s="85">
        <v>2364</v>
      </c>
      <c r="J287" s="85">
        <v>0</v>
      </c>
      <c r="K287" s="104">
        <v>169.75007254695589</v>
      </c>
      <c r="L287" s="38">
        <v>1.702187232386007E-5</v>
      </c>
      <c r="M287" s="46">
        <v>9.1413738493081528E-4</v>
      </c>
      <c r="N287" s="46">
        <v>5.2281333446231376E-4</v>
      </c>
      <c r="O287" s="28"/>
      <c r="P287" s="28"/>
      <c r="Q287" s="28"/>
      <c r="R287" s="28"/>
    </row>
    <row r="288" spans="1:18" x14ac:dyDescent="0.2">
      <c r="A288" s="30" t="s">
        <v>1078</v>
      </c>
      <c r="B288" s="46" t="s">
        <v>1079</v>
      </c>
      <c r="C288" s="46" t="s">
        <v>826</v>
      </c>
      <c r="D288" s="46" t="s">
        <v>391</v>
      </c>
      <c r="E288" s="46" t="s">
        <v>445</v>
      </c>
      <c r="F288" s="46" t="s">
        <v>187</v>
      </c>
      <c r="G288" s="85" t="s">
        <v>126</v>
      </c>
      <c r="H288" s="88">
        <v>13298.139590409553</v>
      </c>
      <c r="I288" s="85">
        <v>5911</v>
      </c>
      <c r="J288" s="85">
        <v>0</v>
      </c>
      <c r="K288" s="104">
        <v>2704.8084803063689</v>
      </c>
      <c r="L288" s="38">
        <v>2.6040490227368914E-4</v>
      </c>
      <c r="M288" s="46">
        <v>1.4565923382695465E-2</v>
      </c>
      <c r="N288" s="46">
        <v>8.3305410092225328E-3</v>
      </c>
      <c r="O288" s="28"/>
      <c r="P288" s="28"/>
      <c r="Q288" s="28"/>
      <c r="R288" s="28"/>
    </row>
    <row r="289" spans="1:18" x14ac:dyDescent="0.2">
      <c r="A289" s="30" t="s">
        <v>1080</v>
      </c>
      <c r="B289" s="46" t="s">
        <v>1081</v>
      </c>
      <c r="C289" s="46" t="s">
        <v>826</v>
      </c>
      <c r="D289" s="46" t="s">
        <v>391</v>
      </c>
      <c r="E289" s="46" t="s">
        <v>439</v>
      </c>
      <c r="F289" s="46" t="s">
        <v>178</v>
      </c>
      <c r="G289" s="85" t="s">
        <v>126</v>
      </c>
      <c r="H289" s="88">
        <v>8072.6678858006144</v>
      </c>
      <c r="I289" s="85">
        <v>4591</v>
      </c>
      <c r="J289" s="85">
        <v>0</v>
      </c>
      <c r="K289" s="104">
        <v>1275.2902844053942</v>
      </c>
      <c r="L289" s="38">
        <v>5.9149306000920992E-5</v>
      </c>
      <c r="M289" s="46">
        <v>6.8676879374619665E-3</v>
      </c>
      <c r="N289" s="46">
        <v>3.9277671932242903E-3</v>
      </c>
      <c r="O289" s="28"/>
      <c r="P289" s="28"/>
      <c r="Q289" s="28"/>
      <c r="R289" s="28"/>
    </row>
    <row r="290" spans="1:18" x14ac:dyDescent="0.2">
      <c r="A290" s="30" t="s">
        <v>1082</v>
      </c>
      <c r="B290" s="46" t="s">
        <v>1083</v>
      </c>
      <c r="C290" s="46" t="s">
        <v>908</v>
      </c>
      <c r="D290" s="46" t="s">
        <v>391</v>
      </c>
      <c r="E290" s="46" t="s">
        <v>475</v>
      </c>
      <c r="F290" s="46" t="s">
        <v>164</v>
      </c>
      <c r="G290" s="85" t="s">
        <v>2</v>
      </c>
      <c r="H290" s="88">
        <v>37260.810447167445</v>
      </c>
      <c r="I290" s="85">
        <v>586</v>
      </c>
      <c r="J290" s="85">
        <v>0</v>
      </c>
      <c r="K290" s="104">
        <v>963.09089869229319</v>
      </c>
      <c r="L290" s="38">
        <v>2.10406772989952E-4</v>
      </c>
      <c r="M290" s="46">
        <v>5.1864331035128605E-3</v>
      </c>
      <c r="N290" s="46">
        <v>2.9662241469519401E-3</v>
      </c>
      <c r="O290" s="28"/>
      <c r="P290" s="28"/>
      <c r="Q290" s="28"/>
      <c r="R290" s="28"/>
    </row>
    <row r="291" spans="1:18" x14ac:dyDescent="0.2">
      <c r="A291" s="30" t="s">
        <v>1084</v>
      </c>
      <c r="B291" s="46" t="s">
        <v>1085</v>
      </c>
      <c r="C291" s="46" t="s">
        <v>826</v>
      </c>
      <c r="D291" s="46" t="s">
        <v>391</v>
      </c>
      <c r="E291" s="46" t="s">
        <v>239</v>
      </c>
      <c r="F291" s="46" t="s">
        <v>165</v>
      </c>
      <c r="G291" s="85" t="s">
        <v>126</v>
      </c>
      <c r="H291" s="88">
        <v>4840.5390590332354</v>
      </c>
      <c r="I291" s="85">
        <v>3922.9999999999995</v>
      </c>
      <c r="J291" s="85">
        <v>0</v>
      </c>
      <c r="K291" s="104">
        <v>653.42644897181754</v>
      </c>
      <c r="L291" s="38">
        <v>8.5049172125480175E-6</v>
      </c>
      <c r="M291" s="46">
        <v>3.5188293963320473E-3</v>
      </c>
      <c r="N291" s="46">
        <v>2.0124884513279171E-3</v>
      </c>
      <c r="O291" s="28"/>
      <c r="P291" s="28"/>
      <c r="Q291" s="28"/>
      <c r="R291" s="28"/>
    </row>
    <row r="292" spans="1:18" x14ac:dyDescent="0.2">
      <c r="A292" s="30" t="s">
        <v>1086</v>
      </c>
      <c r="B292" s="46" t="s">
        <v>1087</v>
      </c>
      <c r="C292" s="46" t="s">
        <v>826</v>
      </c>
      <c r="D292" s="46" t="s">
        <v>391</v>
      </c>
      <c r="E292" s="46" t="s">
        <v>239</v>
      </c>
      <c r="F292" s="46" t="s">
        <v>165</v>
      </c>
      <c r="G292" s="85" t="s">
        <v>126</v>
      </c>
      <c r="H292" s="88">
        <v>10173.79067192872</v>
      </c>
      <c r="I292" s="85">
        <v>1827</v>
      </c>
      <c r="J292" s="85">
        <v>0</v>
      </c>
      <c r="K292" s="104">
        <v>639.59641029599663</v>
      </c>
      <c r="L292" s="38">
        <v>2.6837400941841008E-5</v>
      </c>
      <c r="M292" s="46">
        <v>3.4443519295544716E-3</v>
      </c>
      <c r="N292" s="46">
        <v>1.9698933082015506E-3</v>
      </c>
      <c r="O292" s="28"/>
      <c r="P292" s="28"/>
      <c r="Q292" s="28"/>
      <c r="R292" s="28"/>
    </row>
    <row r="293" spans="1:18" x14ac:dyDescent="0.2">
      <c r="A293" s="30" t="s">
        <v>1088</v>
      </c>
      <c r="B293" s="46" t="s">
        <v>1089</v>
      </c>
      <c r="C293" s="46" t="s">
        <v>803</v>
      </c>
      <c r="D293" s="46" t="s">
        <v>391</v>
      </c>
      <c r="E293" s="46" t="s">
        <v>239</v>
      </c>
      <c r="F293" s="46" t="s">
        <v>183</v>
      </c>
      <c r="G293" s="85" t="s">
        <v>126</v>
      </c>
      <c r="H293" s="88">
        <v>2032.8847729152403</v>
      </c>
      <c r="I293" s="85">
        <v>11781</v>
      </c>
      <c r="J293" s="85">
        <v>0</v>
      </c>
      <c r="K293" s="104">
        <v>824.09938765106733</v>
      </c>
      <c r="L293" s="38">
        <v>1.2561730674991356E-5</v>
      </c>
      <c r="M293" s="46">
        <v>4.4379365961216043E-3</v>
      </c>
      <c r="N293" s="46">
        <v>2.5381441216587673E-3</v>
      </c>
      <c r="O293" s="28"/>
      <c r="P293" s="28"/>
      <c r="Q293" s="28"/>
      <c r="R293" s="28"/>
    </row>
    <row r="294" spans="1:18" x14ac:dyDescent="0.2">
      <c r="A294" s="30" t="s">
        <v>1090</v>
      </c>
      <c r="B294" s="46" t="s">
        <v>1091</v>
      </c>
      <c r="C294" s="46" t="s">
        <v>803</v>
      </c>
      <c r="D294" s="46" t="s">
        <v>391</v>
      </c>
      <c r="E294" s="46" t="s">
        <v>239</v>
      </c>
      <c r="F294" s="46" t="s">
        <v>185</v>
      </c>
      <c r="G294" s="85" t="s">
        <v>126</v>
      </c>
      <c r="H294" s="88">
        <v>1772.2677372023479</v>
      </c>
      <c r="I294" s="85">
        <v>19374</v>
      </c>
      <c r="J294" s="85">
        <v>0</v>
      </c>
      <c r="K294" s="104">
        <v>1181.4988399621668</v>
      </c>
      <c r="L294" s="38">
        <v>1.1425829717767958E-5</v>
      </c>
      <c r="M294" s="46">
        <v>6.36260264079148E-3</v>
      </c>
      <c r="N294" s="46">
        <v>3.6388988759525169E-3</v>
      </c>
      <c r="O294" s="28"/>
      <c r="P294" s="28"/>
      <c r="Q294" s="28"/>
      <c r="R294" s="28"/>
    </row>
    <row r="295" spans="1:18" x14ac:dyDescent="0.2">
      <c r="A295" s="30" t="s">
        <v>1092</v>
      </c>
      <c r="B295" s="46" t="s">
        <v>1093</v>
      </c>
      <c r="C295" s="46" t="s">
        <v>803</v>
      </c>
      <c r="D295" s="46" t="s">
        <v>391</v>
      </c>
      <c r="E295" s="46" t="s">
        <v>239</v>
      </c>
      <c r="F295" s="46" t="s">
        <v>183</v>
      </c>
      <c r="G295" s="85" t="s">
        <v>126</v>
      </c>
      <c r="H295" s="88">
        <v>63.046213742801584</v>
      </c>
      <c r="I295" s="85">
        <v>12968</v>
      </c>
      <c r="J295" s="85">
        <v>0</v>
      </c>
      <c r="K295" s="104">
        <v>28.133041296570322</v>
      </c>
      <c r="L295" s="38">
        <v>9.6495560161365553E-7</v>
      </c>
      <c r="M295" s="46">
        <v>1.5150193702499607E-4</v>
      </c>
      <c r="N295" s="46">
        <v>8.6646968146404283E-5</v>
      </c>
      <c r="O295" s="28"/>
      <c r="P295" s="28"/>
      <c r="Q295" s="28"/>
      <c r="R295" s="28"/>
    </row>
    <row r="296" spans="1:18" x14ac:dyDescent="0.2">
      <c r="A296" s="30" t="s">
        <v>1094</v>
      </c>
      <c r="B296" s="46" t="s">
        <v>1095</v>
      </c>
      <c r="C296" s="46" t="s">
        <v>908</v>
      </c>
      <c r="D296" s="46" t="s">
        <v>391</v>
      </c>
      <c r="E296" s="46" t="s">
        <v>239</v>
      </c>
      <c r="F296" s="46" t="s">
        <v>182</v>
      </c>
      <c r="G296" s="85" t="s">
        <v>127</v>
      </c>
      <c r="H296" s="88">
        <v>0</v>
      </c>
      <c r="I296" s="85">
        <v>0</v>
      </c>
      <c r="J296" s="85">
        <v>15.454192389999999</v>
      </c>
      <c r="K296" s="104">
        <v>15.454192385227591</v>
      </c>
      <c r="L296" s="38" t="s">
        <v>239</v>
      </c>
      <c r="M296" s="46">
        <v>8.3223852580927867E-5</v>
      </c>
      <c r="N296" s="46">
        <v>4.7597374959047262E-5</v>
      </c>
      <c r="O296" s="28"/>
      <c r="P296" s="28"/>
      <c r="Q296" s="28"/>
      <c r="R296" s="28"/>
    </row>
    <row r="297" spans="1:18" x14ac:dyDescent="0.2">
      <c r="A297" s="30" t="s">
        <v>1096</v>
      </c>
      <c r="B297" s="46" t="s">
        <v>1097</v>
      </c>
      <c r="C297" s="46" t="s">
        <v>803</v>
      </c>
      <c r="D297" s="46" t="s">
        <v>391</v>
      </c>
      <c r="E297" s="46" t="s">
        <v>239</v>
      </c>
      <c r="F297" s="46" t="s">
        <v>184</v>
      </c>
      <c r="G297" s="85" t="s">
        <v>126</v>
      </c>
      <c r="H297" s="88">
        <v>436.19332046212969</v>
      </c>
      <c r="I297" s="85">
        <v>563</v>
      </c>
      <c r="J297" s="85">
        <v>0</v>
      </c>
      <c r="K297" s="104">
        <v>8.4502990434212997</v>
      </c>
      <c r="L297" s="38">
        <v>1.4019671824801998E-5</v>
      </c>
      <c r="M297" s="46">
        <v>4.5506515275860731E-5</v>
      </c>
      <c r="N297" s="46">
        <v>2.6026080306226154E-5</v>
      </c>
      <c r="O297" s="28"/>
      <c r="P297" s="28"/>
      <c r="Q297" s="28"/>
      <c r="R297" s="28"/>
    </row>
    <row r="298" spans="1:18" x14ac:dyDescent="0.2">
      <c r="A298" s="30" t="s">
        <v>1098</v>
      </c>
      <c r="B298" s="46" t="s">
        <v>1099</v>
      </c>
      <c r="C298" s="46" t="s">
        <v>803</v>
      </c>
      <c r="D298" s="46" t="s">
        <v>391</v>
      </c>
      <c r="E298" s="46" t="s">
        <v>239</v>
      </c>
      <c r="F298" s="46" t="s">
        <v>183</v>
      </c>
      <c r="G298" s="85" t="s">
        <v>126</v>
      </c>
      <c r="H298" s="88">
        <v>7803.1564913516686</v>
      </c>
      <c r="I298" s="85">
        <v>4692</v>
      </c>
      <c r="J298" s="85">
        <v>0</v>
      </c>
      <c r="K298" s="104">
        <v>1259.8330369209177</v>
      </c>
      <c r="L298" s="38">
        <v>1.2329102429878896E-4</v>
      </c>
      <c r="M298" s="46">
        <v>6.7844476325732653E-3</v>
      </c>
      <c r="N298" s="46">
        <v>3.8801604088635178E-3</v>
      </c>
      <c r="O298" s="28"/>
      <c r="P298" s="28"/>
      <c r="Q298" s="28"/>
      <c r="R298" s="28"/>
    </row>
    <row r="299" spans="1:18" x14ac:dyDescent="0.2">
      <c r="A299" s="30" t="s">
        <v>1100</v>
      </c>
      <c r="B299" s="46" t="s">
        <v>1101</v>
      </c>
      <c r="C299" s="46" t="s">
        <v>803</v>
      </c>
      <c r="D299" s="46" t="s">
        <v>391</v>
      </c>
      <c r="E299" s="46" t="s">
        <v>239</v>
      </c>
      <c r="F299" s="46" t="s">
        <v>185</v>
      </c>
      <c r="G299" s="85" t="s">
        <v>126</v>
      </c>
      <c r="H299" s="88">
        <v>2954.688512059503</v>
      </c>
      <c r="I299" s="85">
        <v>11225</v>
      </c>
      <c r="J299" s="85">
        <v>0</v>
      </c>
      <c r="K299" s="104">
        <v>1141.255085802607</v>
      </c>
      <c r="L299" s="38">
        <v>5.6897431520901064E-5</v>
      </c>
      <c r="M299" s="46">
        <v>6.1458821432079386E-3</v>
      </c>
      <c r="N299" s="46">
        <v>3.5149521171219957E-3</v>
      </c>
      <c r="O299" s="28"/>
      <c r="P299" s="28"/>
      <c r="Q299" s="28"/>
      <c r="R299" s="28"/>
    </row>
    <row r="300" spans="1:18" x14ac:dyDescent="0.2">
      <c r="A300" s="30" t="s">
        <v>1102</v>
      </c>
      <c r="B300" s="46" t="s">
        <v>1103</v>
      </c>
      <c r="C300" s="46" t="s">
        <v>803</v>
      </c>
      <c r="D300" s="46" t="s">
        <v>391</v>
      </c>
      <c r="E300" s="46" t="s">
        <v>239</v>
      </c>
      <c r="F300" s="46" t="s">
        <v>183</v>
      </c>
      <c r="G300" s="85" t="s">
        <v>126</v>
      </c>
      <c r="H300" s="88">
        <v>9375.1214211061069</v>
      </c>
      <c r="I300" s="85">
        <v>1234.5</v>
      </c>
      <c r="J300" s="85">
        <v>0</v>
      </c>
      <c r="K300" s="104">
        <v>398.24714221021873</v>
      </c>
      <c r="L300" s="38">
        <v>4.1570898922114503E-5</v>
      </c>
      <c r="M300" s="46">
        <v>2.1446388544871836E-3</v>
      </c>
      <c r="N300" s="46">
        <v>1.2265615751145993E-3</v>
      </c>
      <c r="O300" s="28"/>
      <c r="P300" s="28"/>
      <c r="Q300" s="28"/>
      <c r="R300" s="28"/>
    </row>
    <row r="301" spans="1:18" x14ac:dyDescent="0.2">
      <c r="A301" s="30" t="s">
        <v>1104</v>
      </c>
      <c r="B301" s="46" t="s">
        <v>1105</v>
      </c>
      <c r="C301" s="46" t="s">
        <v>803</v>
      </c>
      <c r="D301" s="46" t="s">
        <v>391</v>
      </c>
      <c r="E301" s="46" t="s">
        <v>239</v>
      </c>
      <c r="F301" s="46" t="s">
        <v>185</v>
      </c>
      <c r="G301" s="85" t="s">
        <v>126</v>
      </c>
      <c r="H301" s="88">
        <v>1340.0286062475861</v>
      </c>
      <c r="I301" s="85">
        <v>8259</v>
      </c>
      <c r="J301" s="85">
        <v>0</v>
      </c>
      <c r="K301" s="104">
        <v>380.82566423435333</v>
      </c>
      <c r="L301" s="38">
        <v>1.0634524029758177E-5</v>
      </c>
      <c r="M301" s="46">
        <v>2.0508207837226953E-3</v>
      </c>
      <c r="N301" s="46">
        <v>1.1729051562679772E-3</v>
      </c>
      <c r="O301" s="28"/>
      <c r="P301" s="28"/>
      <c r="Q301" s="28"/>
      <c r="R301" s="28"/>
    </row>
    <row r="302" spans="1:18" x14ac:dyDescent="0.2">
      <c r="A302" s="243" t="s">
        <v>1106</v>
      </c>
      <c r="B302" s="205" t="s">
        <v>1107</v>
      </c>
      <c r="C302" s="205" t="s">
        <v>803</v>
      </c>
      <c r="D302" s="205" t="s">
        <v>391</v>
      </c>
      <c r="E302" s="205" t="s">
        <v>239</v>
      </c>
      <c r="F302" s="205" t="s">
        <v>167</v>
      </c>
      <c r="G302" s="203" t="s">
        <v>126</v>
      </c>
      <c r="H302" s="245">
        <v>5868.1404763993105</v>
      </c>
      <c r="I302" s="203">
        <v>1744.0000000000002</v>
      </c>
      <c r="J302" s="203">
        <v>0</v>
      </c>
      <c r="K302" s="206">
        <v>352.15321284372578</v>
      </c>
      <c r="L302" s="202">
        <v>4.8788885861868176E-5</v>
      </c>
      <c r="M302" s="205">
        <v>1.8964140177018215E-3</v>
      </c>
      <c r="N302" s="205">
        <v>1.084596858699527E-3</v>
      </c>
      <c r="O302" s="28"/>
      <c r="P302" s="28"/>
      <c r="Q302" s="28"/>
      <c r="R302" s="28"/>
    </row>
    <row r="303" spans="1:18" s="139" customFormat="1" x14ac:dyDescent="0.2">
      <c r="A303" s="97" t="s">
        <v>230</v>
      </c>
      <c r="B303" s="149"/>
      <c r="C303" s="149"/>
      <c r="D303" s="149"/>
      <c r="E303" s="149"/>
      <c r="F303" s="149"/>
      <c r="G303" s="150"/>
      <c r="H303" s="150"/>
      <c r="I303" s="150"/>
      <c r="J303" s="150"/>
      <c r="K303" s="151"/>
      <c r="L303" s="152"/>
      <c r="M303" s="152"/>
      <c r="N303" s="153"/>
      <c r="O303" s="168"/>
      <c r="P303" s="168"/>
      <c r="Q303" s="154"/>
      <c r="R303" s="154"/>
    </row>
    <row r="304" spans="1:18" s="139" customFormat="1" x14ac:dyDescent="0.2">
      <c r="A304" s="97" t="s">
        <v>231</v>
      </c>
      <c r="B304" s="149"/>
      <c r="C304" s="149"/>
      <c r="D304" s="149"/>
      <c r="E304" s="149"/>
      <c r="F304" s="149"/>
      <c r="G304" s="150"/>
      <c r="H304" s="150"/>
      <c r="I304" s="150"/>
      <c r="J304" s="150"/>
      <c r="K304" s="151"/>
      <c r="L304" s="152"/>
      <c r="M304" s="152"/>
      <c r="N304" s="153"/>
      <c r="O304" s="168"/>
      <c r="P304" s="168"/>
      <c r="Q304" s="154"/>
      <c r="R304" s="154"/>
    </row>
    <row r="305" spans="1:18" s="139" customFormat="1" x14ac:dyDescent="0.2">
      <c r="A305" s="97" t="s">
        <v>232</v>
      </c>
      <c r="B305" s="149"/>
      <c r="C305" s="149"/>
      <c r="D305" s="149"/>
      <c r="E305" s="149"/>
      <c r="F305" s="149"/>
      <c r="G305" s="150"/>
      <c r="H305" s="150"/>
      <c r="I305" s="150"/>
      <c r="J305" s="150"/>
      <c r="K305" s="151"/>
      <c r="L305" s="152"/>
      <c r="M305" s="152"/>
      <c r="N305" s="153"/>
      <c r="O305" s="168"/>
      <c r="P305" s="168"/>
      <c r="Q305" s="154"/>
      <c r="R305" s="154"/>
    </row>
    <row r="306" spans="1:18" s="139" customFormat="1" x14ac:dyDescent="0.2">
      <c r="A306" s="97" t="s">
        <v>233</v>
      </c>
      <c r="B306" s="149"/>
      <c r="C306" s="149"/>
      <c r="D306" s="149"/>
      <c r="E306" s="149"/>
      <c r="F306" s="149"/>
      <c r="G306" s="150"/>
      <c r="H306" s="150"/>
      <c r="I306" s="150"/>
      <c r="J306" s="150"/>
      <c r="K306" s="151"/>
      <c r="L306" s="152"/>
      <c r="M306" s="152"/>
      <c r="N306" s="153"/>
      <c r="O306" s="168"/>
      <c r="P306" s="168"/>
      <c r="Q306" s="154"/>
      <c r="R306" s="154"/>
    </row>
    <row r="307" spans="1:18" s="139" customFormat="1" x14ac:dyDescent="0.2">
      <c r="A307" s="97" t="s">
        <v>234</v>
      </c>
      <c r="B307" s="149"/>
      <c r="C307" s="149"/>
      <c r="D307" s="149"/>
      <c r="E307" s="149"/>
      <c r="F307" s="149"/>
      <c r="G307" s="150"/>
      <c r="H307" s="150"/>
      <c r="I307" s="150"/>
      <c r="J307" s="150"/>
      <c r="K307" s="151"/>
      <c r="L307" s="152"/>
      <c r="M307" s="152"/>
      <c r="N307" s="153"/>
      <c r="O307" s="168"/>
      <c r="P307" s="168"/>
      <c r="Q307" s="154"/>
      <c r="R307" s="154"/>
    </row>
  </sheetData>
  <mergeCells count="2">
    <mergeCell ref="A6:N6"/>
    <mergeCell ref="A5:N5"/>
  </mergeCells>
  <conditionalFormatting sqref="B10:G302 M10:N302">
    <cfRule type="expression" dxfId="140" priority="134" stopIfTrue="1">
      <formula>LEFT(#REF!,3)="TIR"</formula>
    </cfRule>
  </conditionalFormatting>
  <conditionalFormatting sqref="L1:M4 H10:J302 L10:M55837">
    <cfRule type="expression" dxfId="139" priority="136" stopIfTrue="1">
      <formula>LEFT(#REF!,3)="TIR"</formula>
    </cfRule>
  </conditionalFormatting>
  <conditionalFormatting sqref="A10:A302 K10:K302">
    <cfRule type="expression" dxfId="138" priority="139" stopIfTrue="1">
      <formula>#REF!&gt;0</formula>
    </cfRule>
    <cfRule type="expression" dxfId="13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2"/>
  <sheetViews>
    <sheetView rightToLeft="1" topLeftCell="A7" zoomScale="80" zoomScaleNormal="80" workbookViewId="0">
      <selection activeCell="A7" sqref="A7:M77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5703125" style="79" customWidth="1"/>
    <col min="8" max="8" width="10.28515625" style="79" bestFit="1" customWidth="1"/>
    <col min="9" max="9" width="16.5703125" style="79" bestFit="1" customWidth="1"/>
    <col min="10" max="10" width="11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158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136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9" customFormat="1" ht="12.75" customHeight="1" thickBot="1" x14ac:dyDescent="0.25">
      <c r="A10" s="169" t="s">
        <v>160</v>
      </c>
      <c r="B10" s="89"/>
      <c r="C10" s="89"/>
      <c r="D10" s="89"/>
      <c r="E10" s="89"/>
      <c r="F10" s="170"/>
      <c r="G10" s="171"/>
      <c r="H10" s="170"/>
      <c r="I10" s="172" t="s">
        <v>239</v>
      </c>
      <c r="J10" s="129">
        <v>49122.935474766069</v>
      </c>
      <c r="K10" s="89" t="s">
        <v>239</v>
      </c>
      <c r="L10" s="89">
        <v>1</v>
      </c>
      <c r="M10" s="102">
        <v>0.15129375386296459</v>
      </c>
    </row>
    <row r="11" spans="1:19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55" t="s">
        <v>239</v>
      </c>
      <c r="H11" s="146" t="s">
        <v>239</v>
      </c>
      <c r="I11" s="143" t="s">
        <v>239</v>
      </c>
      <c r="J11" s="173">
        <v>2625.2167066630909</v>
      </c>
      <c r="K11" s="142" t="s">
        <v>239</v>
      </c>
      <c r="L11" s="142">
        <v>5.3441771777088462E-2</v>
      </c>
      <c r="M11" s="142">
        <v>8.0854062652435509E-3</v>
      </c>
    </row>
    <row r="12" spans="1:19" s="139" customFormat="1" x14ac:dyDescent="0.2">
      <c r="A12" s="112" t="s">
        <v>1108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57" t="s">
        <v>239</v>
      </c>
      <c r="H12" s="146" t="s">
        <v>239</v>
      </c>
      <c r="I12" s="148" t="s">
        <v>239</v>
      </c>
      <c r="J12" s="148">
        <v>2625.2167061630907</v>
      </c>
      <c r="K12" s="145" t="s">
        <v>239</v>
      </c>
      <c r="L12" s="142">
        <v>5.344177176690991E-2</v>
      </c>
      <c r="M12" s="142">
        <v>8.0854062637035987E-3</v>
      </c>
    </row>
    <row r="13" spans="1:19" x14ac:dyDescent="0.2">
      <c r="A13" s="30" t="s">
        <v>1135</v>
      </c>
      <c r="B13" s="46" t="s">
        <v>1136</v>
      </c>
      <c r="C13" s="46" t="s">
        <v>377</v>
      </c>
      <c r="D13" s="46" t="s">
        <v>1137</v>
      </c>
      <c r="E13" s="46" t="s">
        <v>1112</v>
      </c>
      <c r="F13" s="46" t="s">
        <v>246</v>
      </c>
      <c r="G13" s="88">
        <v>8029.8342563448268</v>
      </c>
      <c r="H13" s="85">
        <v>1324</v>
      </c>
      <c r="I13" s="104">
        <v>0</v>
      </c>
      <c r="J13" s="104">
        <v>106.31500555400551</v>
      </c>
      <c r="K13" s="38">
        <v>2.1582258555915591E-4</v>
      </c>
      <c r="L13" s="46">
        <v>2.1642640963225497E-3</v>
      </c>
      <c r="M13" s="46">
        <v>3.2743963948347535E-4</v>
      </c>
      <c r="N13" s="28"/>
      <c r="O13" s="28"/>
      <c r="P13" s="28"/>
      <c r="Q13" s="28"/>
      <c r="R13" s="28"/>
    </row>
    <row r="14" spans="1:19" x14ac:dyDescent="0.2">
      <c r="A14" s="30" t="s">
        <v>1138</v>
      </c>
      <c r="B14" s="46" t="s">
        <v>1139</v>
      </c>
      <c r="C14" s="46" t="s">
        <v>377</v>
      </c>
      <c r="D14" s="46" t="s">
        <v>1137</v>
      </c>
      <c r="E14" s="46" t="s">
        <v>1112</v>
      </c>
      <c r="F14" s="46" t="s">
        <v>246</v>
      </c>
      <c r="G14" s="88">
        <v>3711.4022716156264</v>
      </c>
      <c r="H14" s="85">
        <v>514.29999999999995</v>
      </c>
      <c r="I14" s="104">
        <v>0</v>
      </c>
      <c r="J14" s="104">
        <v>19.0877418521073</v>
      </c>
      <c r="K14" s="38">
        <v>4.4004330851750483E-4</v>
      </c>
      <c r="L14" s="46">
        <v>3.8857087158222602E-4</v>
      </c>
      <c r="M14" s="46">
        <v>5.8788345803478924E-5</v>
      </c>
      <c r="N14" s="28"/>
      <c r="O14" s="28"/>
      <c r="P14" s="28"/>
      <c r="Q14" s="28"/>
      <c r="R14" s="28"/>
    </row>
    <row r="15" spans="1:19" x14ac:dyDescent="0.2">
      <c r="A15" s="30" t="s">
        <v>1140</v>
      </c>
      <c r="B15" s="46" t="s">
        <v>1141</v>
      </c>
      <c r="C15" s="46" t="s">
        <v>377</v>
      </c>
      <c r="D15" s="46" t="s">
        <v>1137</v>
      </c>
      <c r="E15" s="46" t="s">
        <v>1112</v>
      </c>
      <c r="F15" s="46" t="s">
        <v>246</v>
      </c>
      <c r="G15" s="88">
        <v>5668.5514771871476</v>
      </c>
      <c r="H15" s="85">
        <v>1529</v>
      </c>
      <c r="I15" s="104">
        <v>0</v>
      </c>
      <c r="J15" s="104">
        <v>86.672152086191488</v>
      </c>
      <c r="K15" s="38">
        <v>1.5862592820404529E-3</v>
      </c>
      <c r="L15" s="46">
        <v>1.7643927678286664E-3</v>
      </c>
      <c r="M15" s="46">
        <v>2.6694160513346512E-4</v>
      </c>
      <c r="N15" s="28"/>
      <c r="O15" s="28"/>
      <c r="P15" s="28"/>
      <c r="Q15" s="28"/>
      <c r="R15" s="28"/>
    </row>
    <row r="16" spans="1:19" x14ac:dyDescent="0.2">
      <c r="A16" s="30" t="s">
        <v>1142</v>
      </c>
      <c r="B16" s="46" t="s">
        <v>1143</v>
      </c>
      <c r="C16" s="46" t="s">
        <v>377</v>
      </c>
      <c r="D16" s="46" t="s">
        <v>1144</v>
      </c>
      <c r="E16" s="46" t="s">
        <v>1112</v>
      </c>
      <c r="F16" s="46" t="s">
        <v>246</v>
      </c>
      <c r="G16" s="88">
        <v>457.86433308692591</v>
      </c>
      <c r="H16" s="85">
        <v>2068</v>
      </c>
      <c r="I16" s="104">
        <v>0</v>
      </c>
      <c r="J16" s="104">
        <v>9.4686344082376266</v>
      </c>
      <c r="K16" s="38">
        <v>2.7896307889008395E-5</v>
      </c>
      <c r="L16" s="46">
        <v>1.9275383925501693E-4</v>
      </c>
      <c r="M16" s="46">
        <v>2.9162451912389972E-5</v>
      </c>
      <c r="N16" s="28"/>
      <c r="O16" s="28"/>
      <c r="P16" s="28"/>
      <c r="Q16" s="28"/>
      <c r="R16" s="28"/>
    </row>
    <row r="17" spans="1:18" x14ac:dyDescent="0.2">
      <c r="A17" s="30" t="s">
        <v>1147</v>
      </c>
      <c r="B17" s="46" t="s">
        <v>1148</v>
      </c>
      <c r="C17" s="46" t="s">
        <v>377</v>
      </c>
      <c r="D17" s="46" t="s">
        <v>1144</v>
      </c>
      <c r="E17" s="46" t="s">
        <v>1112</v>
      </c>
      <c r="F17" s="46" t="s">
        <v>246</v>
      </c>
      <c r="G17" s="88">
        <v>24926.897400474056</v>
      </c>
      <c r="H17" s="85">
        <v>1993</v>
      </c>
      <c r="I17" s="104">
        <v>0</v>
      </c>
      <c r="J17" s="104">
        <v>496.79306519144797</v>
      </c>
      <c r="K17" s="38">
        <v>1.1757428631932413E-3</v>
      </c>
      <c r="L17" s="46">
        <v>1.0113260952140071E-2</v>
      </c>
      <c r="M17" s="46">
        <v>1.5300732132450109E-3</v>
      </c>
      <c r="N17" s="28"/>
      <c r="O17" s="28"/>
      <c r="P17" s="28"/>
      <c r="Q17" s="28"/>
      <c r="R17" s="28"/>
    </row>
    <row r="18" spans="1:18" x14ac:dyDescent="0.2">
      <c r="A18" s="30" t="s">
        <v>1128</v>
      </c>
      <c r="B18" s="46" t="s">
        <v>1129</v>
      </c>
      <c r="C18" s="46" t="s">
        <v>377</v>
      </c>
      <c r="D18" s="46" t="s">
        <v>1130</v>
      </c>
      <c r="E18" s="46" t="s">
        <v>1112</v>
      </c>
      <c r="F18" s="46" t="s">
        <v>246</v>
      </c>
      <c r="G18" s="88">
        <v>15530.880244652149</v>
      </c>
      <c r="H18" s="85">
        <v>1286</v>
      </c>
      <c r="I18" s="104">
        <v>0</v>
      </c>
      <c r="J18" s="104">
        <v>199.72712033548322</v>
      </c>
      <c r="K18" s="38">
        <v>7.7812824242777827E-4</v>
      </c>
      <c r="L18" s="46">
        <v>4.0658628887941953E-3</v>
      </c>
      <c r="M18" s="46">
        <v>6.1513965913779123E-4</v>
      </c>
      <c r="N18" s="28"/>
      <c r="O18" s="28"/>
      <c r="P18" s="28"/>
      <c r="Q18" s="28"/>
      <c r="R18" s="28"/>
    </row>
    <row r="19" spans="1:18" x14ac:dyDescent="0.2">
      <c r="A19" s="30" t="s">
        <v>1131</v>
      </c>
      <c r="B19" s="46" t="s">
        <v>1132</v>
      </c>
      <c r="C19" s="46" t="s">
        <v>377</v>
      </c>
      <c r="D19" s="46" t="s">
        <v>1130</v>
      </c>
      <c r="E19" s="46" t="s">
        <v>1112</v>
      </c>
      <c r="F19" s="46" t="s">
        <v>246</v>
      </c>
      <c r="G19" s="88">
        <v>5197.897446521416</v>
      </c>
      <c r="H19" s="85">
        <v>1536</v>
      </c>
      <c r="I19" s="104">
        <v>0</v>
      </c>
      <c r="J19" s="104">
        <v>79.839704749811204</v>
      </c>
      <c r="K19" s="38">
        <v>7.177044963846913E-5</v>
      </c>
      <c r="L19" s="46">
        <v>1.6253040250581933E-3</v>
      </c>
      <c r="M19" s="46">
        <v>2.4589834711963993E-4</v>
      </c>
      <c r="N19" s="28"/>
      <c r="O19" s="28"/>
      <c r="P19" s="28"/>
      <c r="Q19" s="28"/>
      <c r="R19" s="28"/>
    </row>
    <row r="20" spans="1:18" x14ac:dyDescent="0.2">
      <c r="A20" s="30" t="s">
        <v>1133</v>
      </c>
      <c r="B20" s="46" t="s">
        <v>1134</v>
      </c>
      <c r="C20" s="46" t="s">
        <v>377</v>
      </c>
      <c r="D20" s="46" t="s">
        <v>1130</v>
      </c>
      <c r="E20" s="46" t="s">
        <v>1112</v>
      </c>
      <c r="F20" s="46" t="s">
        <v>246</v>
      </c>
      <c r="G20" s="88">
        <v>12765.312862410376</v>
      </c>
      <c r="H20" s="85">
        <v>482.30000000000007</v>
      </c>
      <c r="I20" s="104">
        <v>0</v>
      </c>
      <c r="J20" s="104">
        <v>61.567104018186463</v>
      </c>
      <c r="K20" s="38">
        <v>2.3131504704034305E-3</v>
      </c>
      <c r="L20" s="46">
        <v>1.253327054320946E-3</v>
      </c>
      <c r="M20" s="46">
        <v>1.8962055486622769E-4</v>
      </c>
      <c r="N20" s="28"/>
      <c r="O20" s="28"/>
      <c r="P20" s="28"/>
      <c r="Q20" s="28"/>
      <c r="R20" s="28"/>
    </row>
    <row r="21" spans="1:18" x14ac:dyDescent="0.2">
      <c r="A21" s="30" t="s">
        <v>1119</v>
      </c>
      <c r="B21" s="46" t="s">
        <v>1120</v>
      </c>
      <c r="C21" s="46" t="s">
        <v>377</v>
      </c>
      <c r="D21" s="46" t="s">
        <v>1121</v>
      </c>
      <c r="E21" s="46" t="s">
        <v>1112</v>
      </c>
      <c r="F21" s="46" t="s">
        <v>246</v>
      </c>
      <c r="G21" s="88">
        <v>8131.8420750128244</v>
      </c>
      <c r="H21" s="85">
        <v>12730</v>
      </c>
      <c r="I21" s="104">
        <v>0</v>
      </c>
      <c r="J21" s="104">
        <v>1035.1834961491327</v>
      </c>
      <c r="K21" s="38">
        <v>1.5506714574063973E-3</v>
      </c>
      <c r="L21" s="46">
        <v>2.1073323207260193E-2</v>
      </c>
      <c r="M21" s="46">
        <v>3.1882621743939228E-3</v>
      </c>
      <c r="N21" s="28"/>
      <c r="O21" s="28"/>
      <c r="P21" s="28"/>
      <c r="Q21" s="28"/>
      <c r="R21" s="28"/>
    </row>
    <row r="22" spans="1:18" x14ac:dyDescent="0.2">
      <c r="A22" s="30" t="s">
        <v>1122</v>
      </c>
      <c r="B22" s="46" t="s">
        <v>1123</v>
      </c>
      <c r="C22" s="46" t="s">
        <v>377</v>
      </c>
      <c r="D22" s="46" t="s">
        <v>1121</v>
      </c>
      <c r="E22" s="46" t="s">
        <v>1112</v>
      </c>
      <c r="F22" s="46" t="s">
        <v>246</v>
      </c>
      <c r="G22" s="88">
        <v>101.97187149065823</v>
      </c>
      <c r="H22" s="85">
        <v>15000</v>
      </c>
      <c r="I22" s="104">
        <v>0</v>
      </c>
      <c r="J22" s="104">
        <v>15.295780723598734</v>
      </c>
      <c r="K22" s="38">
        <v>1.0708520052420928E-5</v>
      </c>
      <c r="L22" s="46">
        <v>3.113775790426045E-4</v>
      </c>
      <c r="M22" s="46">
        <v>4.7109482802117613E-5</v>
      </c>
      <c r="N22" s="28"/>
      <c r="O22" s="28"/>
      <c r="P22" s="28"/>
      <c r="Q22" s="28"/>
      <c r="R22" s="28"/>
    </row>
    <row r="23" spans="1:18" x14ac:dyDescent="0.2">
      <c r="A23" s="30" t="s">
        <v>1124</v>
      </c>
      <c r="B23" s="46" t="s">
        <v>1125</v>
      </c>
      <c r="C23" s="46" t="s">
        <v>377</v>
      </c>
      <c r="D23" s="46" t="s">
        <v>1121</v>
      </c>
      <c r="E23" s="46" t="s">
        <v>1112</v>
      </c>
      <c r="F23" s="46" t="s">
        <v>246</v>
      </c>
      <c r="G23" s="88">
        <v>1010.0129770248608</v>
      </c>
      <c r="H23" s="85">
        <v>4872</v>
      </c>
      <c r="I23" s="104">
        <v>0</v>
      </c>
      <c r="J23" s="104">
        <v>49.207832240651214</v>
      </c>
      <c r="K23" s="38">
        <v>6.0125331549729013E-4</v>
      </c>
      <c r="L23" s="46">
        <v>1.0017282510718188E-3</v>
      </c>
      <c r="M23" s="46">
        <v>1.5155522745523774E-4</v>
      </c>
      <c r="N23" s="28"/>
      <c r="O23" s="28"/>
      <c r="P23" s="28"/>
      <c r="Q23" s="28"/>
      <c r="R23" s="28"/>
    </row>
    <row r="24" spans="1:18" x14ac:dyDescent="0.2">
      <c r="A24" s="30" t="s">
        <v>1126</v>
      </c>
      <c r="B24" s="46" t="s">
        <v>1127</v>
      </c>
      <c r="C24" s="46" t="s">
        <v>377</v>
      </c>
      <c r="D24" s="46" t="s">
        <v>1121</v>
      </c>
      <c r="E24" s="46" t="s">
        <v>1112</v>
      </c>
      <c r="F24" s="46" t="s">
        <v>246</v>
      </c>
      <c r="G24" s="88">
        <v>674.3382350266553</v>
      </c>
      <c r="H24" s="85">
        <v>14850</v>
      </c>
      <c r="I24" s="104">
        <v>0</v>
      </c>
      <c r="J24" s="104">
        <v>100.1392279014583</v>
      </c>
      <c r="K24" s="38">
        <v>2.0748996456182969E-3</v>
      </c>
      <c r="L24" s="46">
        <v>2.0385432371585114E-3</v>
      </c>
      <c r="M24" s="46">
        <v>3.0841885876167091E-4</v>
      </c>
      <c r="N24" s="28"/>
      <c r="O24" s="28"/>
      <c r="P24" s="28"/>
      <c r="Q24" s="28"/>
      <c r="R24" s="28"/>
    </row>
    <row r="25" spans="1:18" x14ac:dyDescent="0.2">
      <c r="A25" s="30" t="s">
        <v>1145</v>
      </c>
      <c r="B25" s="46" t="s">
        <v>1146</v>
      </c>
      <c r="C25" s="46" t="s">
        <v>377</v>
      </c>
      <c r="D25" s="46" t="s">
        <v>1121</v>
      </c>
      <c r="E25" s="46" t="s">
        <v>1112</v>
      </c>
      <c r="F25" s="46" t="s">
        <v>246</v>
      </c>
      <c r="G25" s="88">
        <v>240.16822711764635</v>
      </c>
      <c r="H25" s="85">
        <v>13460</v>
      </c>
      <c r="I25" s="104">
        <v>0</v>
      </c>
      <c r="J25" s="104">
        <v>32.3266433700352</v>
      </c>
      <c r="K25" s="38">
        <v>2.6276985024693605E-4</v>
      </c>
      <c r="L25" s="46">
        <v>6.5807637629149943E-4</v>
      </c>
      <c r="M25" s="46">
        <v>9.9562845297677781E-5</v>
      </c>
      <c r="N25" s="28"/>
      <c r="O25" s="28"/>
      <c r="P25" s="28"/>
      <c r="Q25" s="28"/>
      <c r="R25" s="28"/>
    </row>
    <row r="26" spans="1:18" x14ac:dyDescent="0.2">
      <c r="A26" s="30" t="s">
        <v>1109</v>
      </c>
      <c r="B26" s="46" t="s">
        <v>1110</v>
      </c>
      <c r="C26" s="46" t="s">
        <v>377</v>
      </c>
      <c r="D26" s="46" t="s">
        <v>1111</v>
      </c>
      <c r="E26" s="46" t="s">
        <v>1112</v>
      </c>
      <c r="F26" s="46" t="s">
        <v>246</v>
      </c>
      <c r="G26" s="88">
        <v>5934.6030071702571</v>
      </c>
      <c r="H26" s="85">
        <v>1320</v>
      </c>
      <c r="I26" s="104">
        <v>0</v>
      </c>
      <c r="J26" s="104">
        <v>78.336759684376787</v>
      </c>
      <c r="K26" s="38">
        <v>1.1727701445135738E-4</v>
      </c>
      <c r="L26" s="46">
        <v>1.5947084376628418E-3</v>
      </c>
      <c r="M26" s="46">
        <v>2.4126942585095482E-4</v>
      </c>
      <c r="N26" s="28"/>
      <c r="O26" s="28"/>
      <c r="P26" s="28"/>
      <c r="Q26" s="28"/>
      <c r="R26" s="28"/>
    </row>
    <row r="27" spans="1:18" x14ac:dyDescent="0.2">
      <c r="A27" s="30" t="s">
        <v>1113</v>
      </c>
      <c r="B27" s="46" t="s">
        <v>1114</v>
      </c>
      <c r="C27" s="46" t="s">
        <v>377</v>
      </c>
      <c r="D27" s="46" t="s">
        <v>1111</v>
      </c>
      <c r="E27" s="46" t="s">
        <v>1112</v>
      </c>
      <c r="F27" s="46" t="s">
        <v>246</v>
      </c>
      <c r="G27" s="88">
        <v>338.47862183070276</v>
      </c>
      <c r="H27" s="85">
        <v>1527</v>
      </c>
      <c r="I27" s="104">
        <v>0</v>
      </c>
      <c r="J27" s="104">
        <v>5.1685685553548311</v>
      </c>
      <c r="K27" s="38">
        <v>1.3926943397520755E-4</v>
      </c>
      <c r="L27" s="46">
        <v>1.0521701330348774E-4</v>
      </c>
      <c r="M27" s="46">
        <v>1.5918676912934145E-5</v>
      </c>
      <c r="N27" s="28"/>
      <c r="O27" s="28"/>
      <c r="P27" s="28"/>
      <c r="Q27" s="28"/>
      <c r="R27" s="28"/>
    </row>
    <row r="28" spans="1:18" x14ac:dyDescent="0.2">
      <c r="A28" s="30" t="s">
        <v>1115</v>
      </c>
      <c r="B28" s="46" t="s">
        <v>1116</v>
      </c>
      <c r="C28" s="46" t="s">
        <v>377</v>
      </c>
      <c r="D28" s="46" t="s">
        <v>1111</v>
      </c>
      <c r="E28" s="46" t="s">
        <v>1112</v>
      </c>
      <c r="F28" s="46" t="s">
        <v>246</v>
      </c>
      <c r="G28" s="88">
        <v>14058.12967841464</v>
      </c>
      <c r="H28" s="85">
        <v>1327</v>
      </c>
      <c r="I28" s="104">
        <v>0</v>
      </c>
      <c r="J28" s="104">
        <v>186.55138083256224</v>
      </c>
      <c r="K28" s="38">
        <v>3.4545052098251335E-3</v>
      </c>
      <c r="L28" s="46">
        <v>3.7976431788851813E-3</v>
      </c>
      <c r="M28" s="46">
        <v>5.7455969236562098E-4</v>
      </c>
      <c r="N28" s="28"/>
      <c r="O28" s="28"/>
      <c r="P28" s="28"/>
      <c r="Q28" s="28"/>
      <c r="R28" s="28"/>
    </row>
    <row r="29" spans="1:18" x14ac:dyDescent="0.2">
      <c r="A29" s="30" t="s">
        <v>1117</v>
      </c>
      <c r="B29" s="46" t="s">
        <v>1118</v>
      </c>
      <c r="C29" s="46" t="s">
        <v>377</v>
      </c>
      <c r="D29" s="46" t="s">
        <v>1111</v>
      </c>
      <c r="E29" s="46" t="s">
        <v>1112</v>
      </c>
      <c r="F29" s="46" t="s">
        <v>246</v>
      </c>
      <c r="G29" s="88">
        <v>12753.209191034543</v>
      </c>
      <c r="H29" s="85">
        <v>498.20000000000005</v>
      </c>
      <c r="I29" s="104">
        <v>0</v>
      </c>
      <c r="J29" s="104">
        <v>63.536488410449763</v>
      </c>
      <c r="K29" s="38">
        <v>8.5878357561329955E-4</v>
      </c>
      <c r="L29" s="46">
        <v>1.2934179888962007E-3</v>
      </c>
      <c r="M29" s="46">
        <v>1.9568606285399247E-4</v>
      </c>
      <c r="N29" s="28"/>
      <c r="O29" s="28"/>
      <c r="P29" s="28"/>
      <c r="Q29" s="28"/>
      <c r="R29" s="28"/>
    </row>
    <row r="30" spans="1:18" s="139" customFormat="1" x14ac:dyDescent="0.2">
      <c r="A30" s="112" t="s">
        <v>1149</v>
      </c>
      <c r="B30" s="142" t="s">
        <v>239</v>
      </c>
      <c r="C30" s="142" t="s">
        <v>239</v>
      </c>
      <c r="D30" s="142" t="s">
        <v>239</v>
      </c>
      <c r="E30" s="142" t="s">
        <v>239</v>
      </c>
      <c r="F30" s="142" t="s">
        <v>239</v>
      </c>
      <c r="G30" s="157" t="s">
        <v>239</v>
      </c>
      <c r="H30" s="146" t="s">
        <v>239</v>
      </c>
      <c r="I30" s="148" t="s">
        <v>239</v>
      </c>
      <c r="J30" s="148">
        <v>0</v>
      </c>
      <c r="K30" s="145" t="s">
        <v>239</v>
      </c>
      <c r="L30" s="142">
        <v>0</v>
      </c>
      <c r="M30" s="142">
        <v>0</v>
      </c>
    </row>
    <row r="31" spans="1:18" s="139" customFormat="1" x14ac:dyDescent="0.2">
      <c r="A31" s="112" t="s">
        <v>1150</v>
      </c>
      <c r="B31" s="142" t="s">
        <v>239</v>
      </c>
      <c r="C31" s="142" t="s">
        <v>239</v>
      </c>
      <c r="D31" s="142" t="s">
        <v>239</v>
      </c>
      <c r="E31" s="142" t="s">
        <v>239</v>
      </c>
      <c r="F31" s="142" t="s">
        <v>239</v>
      </c>
      <c r="G31" s="157" t="s">
        <v>239</v>
      </c>
      <c r="H31" s="146" t="s">
        <v>239</v>
      </c>
      <c r="I31" s="148" t="s">
        <v>239</v>
      </c>
      <c r="J31" s="148">
        <v>0</v>
      </c>
      <c r="K31" s="145" t="s">
        <v>239</v>
      </c>
      <c r="L31" s="142">
        <v>0</v>
      </c>
      <c r="M31" s="142">
        <v>0</v>
      </c>
    </row>
    <row r="32" spans="1:18" s="139" customFormat="1" x14ac:dyDescent="0.2">
      <c r="A32" s="112" t="s">
        <v>1151</v>
      </c>
      <c r="B32" s="142" t="s">
        <v>239</v>
      </c>
      <c r="C32" s="142" t="s">
        <v>239</v>
      </c>
      <c r="D32" s="142" t="s">
        <v>239</v>
      </c>
      <c r="E32" s="142" t="s">
        <v>239</v>
      </c>
      <c r="F32" s="142" t="s">
        <v>239</v>
      </c>
      <c r="G32" s="157" t="s">
        <v>239</v>
      </c>
      <c r="H32" s="146" t="s">
        <v>239</v>
      </c>
      <c r="I32" s="148" t="s">
        <v>239</v>
      </c>
      <c r="J32" s="148">
        <v>0</v>
      </c>
      <c r="K32" s="145" t="s">
        <v>239</v>
      </c>
      <c r="L32" s="142">
        <v>0</v>
      </c>
      <c r="M32" s="142">
        <v>0</v>
      </c>
    </row>
    <row r="33" spans="1:18" s="139" customFormat="1" x14ac:dyDescent="0.2">
      <c r="A33" s="112" t="s">
        <v>1152</v>
      </c>
      <c r="B33" s="142" t="s">
        <v>239</v>
      </c>
      <c r="C33" s="142" t="s">
        <v>239</v>
      </c>
      <c r="D33" s="142" t="s">
        <v>239</v>
      </c>
      <c r="E33" s="142" t="s">
        <v>239</v>
      </c>
      <c r="F33" s="142" t="s">
        <v>239</v>
      </c>
      <c r="G33" s="157" t="s">
        <v>239</v>
      </c>
      <c r="H33" s="146" t="s">
        <v>239</v>
      </c>
      <c r="I33" s="148" t="s">
        <v>239</v>
      </c>
      <c r="J33" s="148">
        <v>0</v>
      </c>
      <c r="K33" s="145" t="s">
        <v>239</v>
      </c>
      <c r="L33" s="142">
        <v>0</v>
      </c>
      <c r="M33" s="142">
        <v>0</v>
      </c>
    </row>
    <row r="34" spans="1:18" s="139" customFormat="1" x14ac:dyDescent="0.2">
      <c r="A34" s="112" t="s">
        <v>143</v>
      </c>
      <c r="B34" s="142" t="s">
        <v>239</v>
      </c>
      <c r="C34" s="142" t="s">
        <v>239</v>
      </c>
      <c r="D34" s="142" t="s">
        <v>239</v>
      </c>
      <c r="E34" s="142" t="s">
        <v>239</v>
      </c>
      <c r="F34" s="142" t="s">
        <v>239</v>
      </c>
      <c r="G34" s="157" t="s">
        <v>239</v>
      </c>
      <c r="H34" s="146" t="s">
        <v>239</v>
      </c>
      <c r="I34" s="148" t="s">
        <v>239</v>
      </c>
      <c r="J34" s="148">
        <v>0</v>
      </c>
      <c r="K34" s="145" t="s">
        <v>239</v>
      </c>
      <c r="L34" s="142">
        <v>0</v>
      </c>
      <c r="M34" s="142">
        <v>0</v>
      </c>
    </row>
    <row r="35" spans="1:18" s="139" customFormat="1" x14ac:dyDescent="0.2">
      <c r="A35" s="112" t="s">
        <v>370</v>
      </c>
      <c r="B35" s="142" t="s">
        <v>239</v>
      </c>
      <c r="C35" s="142" t="s">
        <v>239</v>
      </c>
      <c r="D35" s="142" t="s">
        <v>239</v>
      </c>
      <c r="E35" s="142" t="s">
        <v>239</v>
      </c>
      <c r="F35" s="142" t="s">
        <v>239</v>
      </c>
      <c r="G35" s="157" t="s">
        <v>239</v>
      </c>
      <c r="H35" s="146" t="s">
        <v>239</v>
      </c>
      <c r="I35" s="148" t="s">
        <v>239</v>
      </c>
      <c r="J35" s="148">
        <v>46497.71876810299</v>
      </c>
      <c r="K35" s="145" t="s">
        <v>239</v>
      </c>
      <c r="L35" s="142">
        <v>0.9465582282229118</v>
      </c>
      <c r="M35" s="142">
        <v>0.14320834759772108</v>
      </c>
    </row>
    <row r="36" spans="1:18" s="139" customFormat="1" x14ac:dyDescent="0.2">
      <c r="A36" s="112" t="s">
        <v>1153</v>
      </c>
      <c r="B36" s="142" t="s">
        <v>239</v>
      </c>
      <c r="C36" s="142" t="s">
        <v>239</v>
      </c>
      <c r="D36" s="142" t="s">
        <v>239</v>
      </c>
      <c r="E36" s="142" t="s">
        <v>239</v>
      </c>
      <c r="F36" s="142" t="s">
        <v>239</v>
      </c>
      <c r="G36" s="157" t="s">
        <v>239</v>
      </c>
      <c r="H36" s="146" t="s">
        <v>239</v>
      </c>
      <c r="I36" s="148" t="s">
        <v>239</v>
      </c>
      <c r="J36" s="148">
        <v>20267.346114609423</v>
      </c>
      <c r="K36" s="145" t="s">
        <v>239</v>
      </c>
      <c r="L36" s="142">
        <v>0.41258418127354268</v>
      </c>
      <c r="M36" s="142">
        <v>6.2421409569352132E-2</v>
      </c>
    </row>
    <row r="37" spans="1:18" x14ac:dyDescent="0.2">
      <c r="A37" s="30" t="s">
        <v>1177</v>
      </c>
      <c r="B37" s="46" t="s">
        <v>1178</v>
      </c>
      <c r="C37" s="46" t="s">
        <v>870</v>
      </c>
      <c r="D37" s="46" t="s">
        <v>239</v>
      </c>
      <c r="E37" s="46" t="s">
        <v>1156</v>
      </c>
      <c r="F37" s="46" t="s">
        <v>127</v>
      </c>
      <c r="G37" s="88">
        <v>9689.7015127874492</v>
      </c>
      <c r="H37" s="85">
        <v>422.13000000000005</v>
      </c>
      <c r="I37" s="104">
        <v>0</v>
      </c>
      <c r="J37" s="104">
        <v>164.66784886863627</v>
      </c>
      <c r="K37" s="38">
        <v>1.1482378429550747E-5</v>
      </c>
      <c r="L37" s="46">
        <v>3.3521581574298305E-3</v>
      </c>
      <c r="M37" s="46">
        <v>5.0716059117991773E-4</v>
      </c>
      <c r="N37" s="28"/>
      <c r="O37" s="28"/>
      <c r="P37" s="28"/>
      <c r="Q37" s="28"/>
      <c r="R37" s="28"/>
    </row>
    <row r="38" spans="1:18" x14ac:dyDescent="0.2">
      <c r="A38" s="30" t="s">
        <v>1163</v>
      </c>
      <c r="B38" s="46" t="s">
        <v>1164</v>
      </c>
      <c r="C38" s="46" t="s">
        <v>826</v>
      </c>
      <c r="D38" s="46" t="s">
        <v>239</v>
      </c>
      <c r="E38" s="46" t="s">
        <v>1156</v>
      </c>
      <c r="F38" s="46" t="s">
        <v>126</v>
      </c>
      <c r="G38" s="88">
        <v>3.1868896175168002</v>
      </c>
      <c r="H38" s="85">
        <v>8399</v>
      </c>
      <c r="I38" s="104">
        <v>0</v>
      </c>
      <c r="J38" s="104">
        <v>0.92104166173378721</v>
      </c>
      <c r="K38" s="38">
        <v>2.4561752654790456E-7</v>
      </c>
      <c r="L38" s="46">
        <v>1.8749727654344202E-5</v>
      </c>
      <c r="M38" s="46">
        <v>2.8367166807339725E-6</v>
      </c>
      <c r="N38" s="28"/>
      <c r="O38" s="28"/>
      <c r="P38" s="28"/>
      <c r="Q38" s="28"/>
      <c r="R38" s="28"/>
    </row>
    <row r="39" spans="1:18" x14ac:dyDescent="0.2">
      <c r="A39" s="30" t="s">
        <v>1181</v>
      </c>
      <c r="B39" s="46" t="s">
        <v>1182</v>
      </c>
      <c r="C39" s="46" t="s">
        <v>826</v>
      </c>
      <c r="D39" s="46" t="s">
        <v>239</v>
      </c>
      <c r="E39" s="46" t="s">
        <v>1156</v>
      </c>
      <c r="F39" s="46" t="s">
        <v>126</v>
      </c>
      <c r="G39" s="88">
        <v>18221.912862626061</v>
      </c>
      <c r="H39" s="85">
        <v>1712.3100000000002</v>
      </c>
      <c r="I39" s="104">
        <v>0</v>
      </c>
      <c r="J39" s="104">
        <v>1073.645803913161</v>
      </c>
      <c r="K39" s="38">
        <v>3.5716894067062818E-3</v>
      </c>
      <c r="L39" s="46">
        <v>2.1856303853516276E-2</v>
      </c>
      <c r="M39" s="46">
        <v>3.3067222555680561E-3</v>
      </c>
      <c r="N39" s="28"/>
      <c r="O39" s="28"/>
      <c r="P39" s="28"/>
      <c r="Q39" s="28"/>
      <c r="R39" s="28"/>
    </row>
    <row r="40" spans="1:18" x14ac:dyDescent="0.2">
      <c r="A40" s="30" t="s">
        <v>1189</v>
      </c>
      <c r="B40" s="46" t="s">
        <v>1190</v>
      </c>
      <c r="C40" s="46" t="s">
        <v>908</v>
      </c>
      <c r="D40" s="46" t="s">
        <v>239</v>
      </c>
      <c r="E40" s="46" t="s">
        <v>1156</v>
      </c>
      <c r="F40" s="46" t="s">
        <v>126</v>
      </c>
      <c r="G40" s="88">
        <v>10673.699375565588</v>
      </c>
      <c r="H40" s="85">
        <v>3133.8</v>
      </c>
      <c r="I40" s="104">
        <v>0</v>
      </c>
      <c r="J40" s="104">
        <v>1150.988317530205</v>
      </c>
      <c r="K40" s="38">
        <v>1.0739229077473423E-3</v>
      </c>
      <c r="L40" s="46">
        <v>2.3430772334879203E-2</v>
      </c>
      <c r="M40" s="46">
        <v>3.5449295024523745E-3</v>
      </c>
      <c r="N40" s="28"/>
      <c r="O40" s="28"/>
      <c r="P40" s="28"/>
      <c r="Q40" s="28"/>
      <c r="R40" s="28"/>
    </row>
    <row r="41" spans="1:18" x14ac:dyDescent="0.2">
      <c r="A41" s="30" t="s">
        <v>1154</v>
      </c>
      <c r="B41" s="46" t="s">
        <v>1155</v>
      </c>
      <c r="C41" s="46" t="s">
        <v>908</v>
      </c>
      <c r="D41" s="46" t="s">
        <v>239</v>
      </c>
      <c r="E41" s="46" t="s">
        <v>1156</v>
      </c>
      <c r="F41" s="46" t="s">
        <v>126</v>
      </c>
      <c r="G41" s="88">
        <v>690.8658617678559</v>
      </c>
      <c r="H41" s="85">
        <v>62558.000000000007</v>
      </c>
      <c r="I41" s="104">
        <v>0</v>
      </c>
      <c r="J41" s="104">
        <v>1487.1722101609769</v>
      </c>
      <c r="K41" s="38">
        <v>4.0459409562564439E-5</v>
      </c>
      <c r="L41" s="46">
        <v>3.0274497966940952E-2</v>
      </c>
      <c r="M41" s="46">
        <v>4.580342443735186E-3</v>
      </c>
      <c r="N41" s="28"/>
      <c r="O41" s="28"/>
      <c r="P41" s="28"/>
      <c r="Q41" s="28"/>
      <c r="R41" s="28"/>
    </row>
    <row r="42" spans="1:18" x14ac:dyDescent="0.2">
      <c r="A42" s="30" t="s">
        <v>1173</v>
      </c>
      <c r="B42" s="46" t="s">
        <v>1174</v>
      </c>
      <c r="C42" s="46" t="s">
        <v>908</v>
      </c>
      <c r="D42" s="46" t="s">
        <v>239</v>
      </c>
      <c r="E42" s="46" t="s">
        <v>1156</v>
      </c>
      <c r="F42" s="46" t="s">
        <v>126</v>
      </c>
      <c r="G42" s="88">
        <v>24376.966603618348</v>
      </c>
      <c r="H42" s="85">
        <v>4800</v>
      </c>
      <c r="I42" s="104">
        <v>0</v>
      </c>
      <c r="J42" s="104">
        <v>4026.294819912765</v>
      </c>
      <c r="K42" s="38">
        <v>2.3307102985963943E-3</v>
      </c>
      <c r="L42" s="46">
        <v>8.1963644497202948E-2</v>
      </c>
      <c r="M42" s="46">
        <v>1.2400587456271355E-2</v>
      </c>
      <c r="N42" s="28"/>
      <c r="O42" s="28"/>
      <c r="P42" s="28"/>
      <c r="Q42" s="28"/>
      <c r="R42" s="28"/>
    </row>
    <row r="43" spans="1:18" x14ac:dyDescent="0.2">
      <c r="A43" s="30" t="s">
        <v>1167</v>
      </c>
      <c r="B43" s="46" t="s">
        <v>1168</v>
      </c>
      <c r="C43" s="46" t="s">
        <v>219</v>
      </c>
      <c r="D43" s="46" t="s">
        <v>239</v>
      </c>
      <c r="E43" s="46" t="s">
        <v>1156</v>
      </c>
      <c r="F43" s="46" t="s">
        <v>127</v>
      </c>
      <c r="G43" s="88">
        <v>1512.4310980751354</v>
      </c>
      <c r="H43" s="85">
        <v>3130.5</v>
      </c>
      <c r="I43" s="104">
        <v>0</v>
      </c>
      <c r="J43" s="104">
        <v>190.60816573164496</v>
      </c>
      <c r="K43" s="38">
        <v>3.7088613014081968E-5</v>
      </c>
      <c r="L43" s="46">
        <v>3.8802275126566563E-3</v>
      </c>
      <c r="M43" s="46">
        <v>5.8705418623217947E-4</v>
      </c>
      <c r="N43" s="28"/>
      <c r="O43" s="28"/>
      <c r="P43" s="28"/>
      <c r="Q43" s="28"/>
      <c r="R43" s="28"/>
    </row>
    <row r="44" spans="1:18" x14ac:dyDescent="0.2">
      <c r="A44" s="30" t="s">
        <v>1165</v>
      </c>
      <c r="B44" s="46" t="s">
        <v>1166</v>
      </c>
      <c r="C44" s="46" t="s">
        <v>826</v>
      </c>
      <c r="D44" s="46" t="s">
        <v>239</v>
      </c>
      <c r="E44" s="46" t="s">
        <v>1156</v>
      </c>
      <c r="F44" s="46" t="s">
        <v>126</v>
      </c>
      <c r="G44" s="88">
        <v>15.934448087584</v>
      </c>
      <c r="H44" s="85">
        <v>2164</v>
      </c>
      <c r="I44" s="104">
        <v>0</v>
      </c>
      <c r="J44" s="104">
        <v>1.1865306322133082</v>
      </c>
      <c r="K44" s="38">
        <v>2.6480232912581731E-8</v>
      </c>
      <c r="L44" s="46">
        <v>2.4154310420288635E-5</v>
      </c>
      <c r="M44" s="46">
        <v>3.6543962954567895E-6</v>
      </c>
      <c r="N44" s="28"/>
      <c r="O44" s="28"/>
      <c r="P44" s="28"/>
      <c r="Q44" s="28"/>
      <c r="R44" s="28"/>
    </row>
    <row r="45" spans="1:18" x14ac:dyDescent="0.2">
      <c r="A45" s="30" t="s">
        <v>1175</v>
      </c>
      <c r="B45" s="46" t="s">
        <v>1176</v>
      </c>
      <c r="C45" s="46" t="s">
        <v>826</v>
      </c>
      <c r="D45" s="46" t="s">
        <v>239</v>
      </c>
      <c r="E45" s="46" t="s">
        <v>1156</v>
      </c>
      <c r="F45" s="46" t="s">
        <v>126</v>
      </c>
      <c r="G45" s="88">
        <v>7869.6623045795086</v>
      </c>
      <c r="H45" s="85">
        <v>5280</v>
      </c>
      <c r="I45" s="104">
        <v>0</v>
      </c>
      <c r="J45" s="104">
        <v>1429.7980218529663</v>
      </c>
      <c r="K45" s="38">
        <v>7.8633183758967953E-6</v>
      </c>
      <c r="L45" s="46">
        <v>2.910652647351334E-2</v>
      </c>
      <c r="M45" s="46">
        <v>4.4036356520895902E-3</v>
      </c>
      <c r="N45" s="28"/>
      <c r="O45" s="28"/>
      <c r="P45" s="28"/>
      <c r="Q45" s="28"/>
      <c r="R45" s="28"/>
    </row>
    <row r="46" spans="1:18" x14ac:dyDescent="0.2">
      <c r="A46" s="30" t="s">
        <v>1187</v>
      </c>
      <c r="B46" s="46" t="s">
        <v>1188</v>
      </c>
      <c r="C46" s="46" t="s">
        <v>803</v>
      </c>
      <c r="D46" s="46" t="s">
        <v>239</v>
      </c>
      <c r="E46" s="46" t="s">
        <v>1156</v>
      </c>
      <c r="F46" s="46" t="s">
        <v>126</v>
      </c>
      <c r="G46" s="88">
        <v>4715.9608954946161</v>
      </c>
      <c r="H46" s="85">
        <v>3483</v>
      </c>
      <c r="I46" s="104">
        <v>0</v>
      </c>
      <c r="J46" s="104">
        <v>565.20805477098156</v>
      </c>
      <c r="K46" s="38">
        <v>2.8100056906630092E-4</v>
      </c>
      <c r="L46" s="46">
        <v>1.1505991026560759E-2</v>
      </c>
      <c r="M46" s="46">
        <v>1.7407845743219628E-3</v>
      </c>
      <c r="N46" s="28"/>
      <c r="O46" s="28"/>
      <c r="P46" s="28"/>
      <c r="Q46" s="28"/>
      <c r="R46" s="28"/>
    </row>
    <row r="47" spans="1:18" x14ac:dyDescent="0.2">
      <c r="A47" s="30" t="s">
        <v>1183</v>
      </c>
      <c r="B47" s="46" t="s">
        <v>1184</v>
      </c>
      <c r="C47" s="46" t="s">
        <v>870</v>
      </c>
      <c r="D47" s="46" t="s">
        <v>239</v>
      </c>
      <c r="E47" s="46" t="s">
        <v>1156</v>
      </c>
      <c r="F47" s="46" t="s">
        <v>127</v>
      </c>
      <c r="G47" s="88">
        <v>9809.6451014139548</v>
      </c>
      <c r="H47" s="85">
        <v>11416.2</v>
      </c>
      <c r="I47" s="104">
        <v>0</v>
      </c>
      <c r="J47" s="104">
        <v>4508.4479447509093</v>
      </c>
      <c r="K47" s="38">
        <v>2.5278453401090168E-3</v>
      </c>
      <c r="L47" s="46">
        <v>9.1778878871496827E-2</v>
      </c>
      <c r="M47" s="46">
        <v>1.3885571109803083E-2</v>
      </c>
      <c r="N47" s="28"/>
      <c r="O47" s="28"/>
      <c r="P47" s="28"/>
      <c r="Q47" s="28"/>
      <c r="R47" s="28"/>
    </row>
    <row r="48" spans="1:18" x14ac:dyDescent="0.2">
      <c r="A48" s="30" t="s">
        <v>1171</v>
      </c>
      <c r="B48" s="46" t="s">
        <v>1172</v>
      </c>
      <c r="C48" s="46" t="s">
        <v>929</v>
      </c>
      <c r="D48" s="46" t="s">
        <v>239</v>
      </c>
      <c r="E48" s="46" t="s">
        <v>1156</v>
      </c>
      <c r="F48" s="46" t="s">
        <v>295</v>
      </c>
      <c r="G48" s="88">
        <v>12699.719250982562</v>
      </c>
      <c r="H48" s="85">
        <v>168600</v>
      </c>
      <c r="I48" s="104">
        <v>0</v>
      </c>
      <c r="J48" s="104">
        <v>696.86605576602744</v>
      </c>
      <c r="K48" s="38">
        <v>1.6804068013132697E-6</v>
      </c>
      <c r="L48" s="46">
        <v>1.4186164752389444E-2</v>
      </c>
      <c r="M48" s="46">
        <v>2.1462781183074729E-3</v>
      </c>
      <c r="N48" s="28"/>
      <c r="O48" s="28"/>
      <c r="P48" s="28"/>
      <c r="Q48" s="28"/>
      <c r="R48" s="28"/>
    </row>
    <row r="49" spans="1:18" x14ac:dyDescent="0.2">
      <c r="A49" s="30" t="s">
        <v>1161</v>
      </c>
      <c r="B49" s="46" t="s">
        <v>1162</v>
      </c>
      <c r="C49" s="46" t="s">
        <v>826</v>
      </c>
      <c r="D49" s="46" t="s">
        <v>239</v>
      </c>
      <c r="E49" s="46" t="s">
        <v>1156</v>
      </c>
      <c r="F49" s="46" t="s">
        <v>126</v>
      </c>
      <c r="G49" s="88">
        <v>11.950836065688</v>
      </c>
      <c r="H49" s="85">
        <v>5536</v>
      </c>
      <c r="I49" s="104">
        <v>0</v>
      </c>
      <c r="J49" s="104">
        <v>2.2765596972965141</v>
      </c>
      <c r="K49" s="38">
        <v>1.0669965975357192E-7</v>
      </c>
      <c r="L49" s="46">
        <v>4.6344129789758973E-5</v>
      </c>
      <c r="M49" s="46">
        <v>7.0115773654050798E-6</v>
      </c>
      <c r="N49" s="28"/>
      <c r="O49" s="28"/>
      <c r="P49" s="28"/>
      <c r="Q49" s="28"/>
      <c r="R49" s="28"/>
    </row>
    <row r="50" spans="1:18" x14ac:dyDescent="0.2">
      <c r="A50" s="30" t="s">
        <v>1157</v>
      </c>
      <c r="B50" s="46" t="s">
        <v>1158</v>
      </c>
      <c r="C50" s="46" t="s">
        <v>826</v>
      </c>
      <c r="D50" s="46" t="s">
        <v>239</v>
      </c>
      <c r="E50" s="46" t="s">
        <v>1156</v>
      </c>
      <c r="F50" s="46" t="s">
        <v>126</v>
      </c>
      <c r="G50" s="88">
        <v>116.0575084422149</v>
      </c>
      <c r="H50" s="85">
        <v>30764.999999999996</v>
      </c>
      <c r="I50" s="104">
        <v>0.52255466420000007</v>
      </c>
      <c r="J50" s="104">
        <v>123.38377785244484</v>
      </c>
      <c r="K50" s="38">
        <v>2.2324095754440757E-7</v>
      </c>
      <c r="L50" s="46">
        <v>2.5117346237548402E-3</v>
      </c>
      <c r="M50" s="46">
        <v>3.8000975993545078E-4</v>
      </c>
      <c r="N50" s="28"/>
      <c r="O50" s="28"/>
      <c r="P50" s="28"/>
      <c r="Q50" s="28"/>
      <c r="R50" s="28"/>
    </row>
    <row r="51" spans="1:18" x14ac:dyDescent="0.2">
      <c r="A51" s="30" t="s">
        <v>1169</v>
      </c>
      <c r="B51" s="46" t="s">
        <v>1170</v>
      </c>
      <c r="C51" s="46" t="s">
        <v>219</v>
      </c>
      <c r="D51" s="46" t="s">
        <v>239</v>
      </c>
      <c r="E51" s="46" t="s">
        <v>1156</v>
      </c>
      <c r="F51" s="46" t="s">
        <v>127</v>
      </c>
      <c r="G51" s="88">
        <v>725.51827819791663</v>
      </c>
      <c r="H51" s="85">
        <v>2878</v>
      </c>
      <c r="I51" s="104">
        <v>0.49419484299999999</v>
      </c>
      <c r="J51" s="104">
        <v>84.554573709099671</v>
      </c>
      <c r="K51" s="38">
        <v>1.7269044269666522E-5</v>
      </c>
      <c r="L51" s="46">
        <v>1.7212850350226822E-3</v>
      </c>
      <c r="M51" s="46">
        <v>2.6041967441672609E-4</v>
      </c>
      <c r="N51" s="28"/>
      <c r="O51" s="28"/>
      <c r="P51" s="28"/>
      <c r="Q51" s="28"/>
      <c r="R51" s="28"/>
    </row>
    <row r="52" spans="1:18" x14ac:dyDescent="0.2">
      <c r="A52" s="30" t="s">
        <v>1179</v>
      </c>
      <c r="B52" s="46" t="s">
        <v>1180</v>
      </c>
      <c r="C52" s="46" t="s">
        <v>826</v>
      </c>
      <c r="D52" s="46" t="s">
        <v>239</v>
      </c>
      <c r="E52" s="46" t="s">
        <v>1156</v>
      </c>
      <c r="F52" s="46" t="s">
        <v>126</v>
      </c>
      <c r="G52" s="88">
        <v>11280.86717383814</v>
      </c>
      <c r="H52" s="85">
        <v>3367</v>
      </c>
      <c r="I52" s="104">
        <v>0</v>
      </c>
      <c r="J52" s="104">
        <v>1306.984010947549</v>
      </c>
      <c r="K52" s="38">
        <v>2.05392716988884E-4</v>
      </c>
      <c r="L52" s="46">
        <v>2.660639064656331E-2</v>
      </c>
      <c r="M52" s="46">
        <v>4.0253807176630334E-3</v>
      </c>
      <c r="N52" s="28"/>
      <c r="O52" s="28"/>
      <c r="P52" s="28"/>
      <c r="Q52" s="28"/>
      <c r="R52" s="28"/>
    </row>
    <row r="53" spans="1:18" x14ac:dyDescent="0.2">
      <c r="A53" s="30" t="s">
        <v>1159</v>
      </c>
      <c r="B53" s="46" t="s">
        <v>1160</v>
      </c>
      <c r="C53" s="46" t="s">
        <v>908</v>
      </c>
      <c r="D53" s="46" t="s">
        <v>239</v>
      </c>
      <c r="E53" s="46" t="s">
        <v>1156</v>
      </c>
      <c r="F53" s="46" t="s">
        <v>126</v>
      </c>
      <c r="G53" s="88">
        <v>13528.163401739284</v>
      </c>
      <c r="H53" s="85">
        <v>6320</v>
      </c>
      <c r="I53" s="104">
        <v>0</v>
      </c>
      <c r="J53" s="104">
        <v>2941.985928753907</v>
      </c>
      <c r="K53" s="38">
        <v>1.3244824681768767E-4</v>
      </c>
      <c r="L53" s="46">
        <v>5.9890271220969155E-2</v>
      </c>
      <c r="M53" s="46">
        <v>9.0610239528914997E-3</v>
      </c>
      <c r="N53" s="28"/>
      <c r="O53" s="28"/>
      <c r="P53" s="28"/>
      <c r="Q53" s="28"/>
      <c r="R53" s="28"/>
    </row>
    <row r="54" spans="1:18" x14ac:dyDescent="0.2">
      <c r="A54" s="30" t="s">
        <v>1185</v>
      </c>
      <c r="B54" s="46" t="s">
        <v>1186</v>
      </c>
      <c r="C54" s="46" t="s">
        <v>908</v>
      </c>
      <c r="D54" s="46" t="s">
        <v>239</v>
      </c>
      <c r="E54" s="46" t="s">
        <v>1156</v>
      </c>
      <c r="F54" s="46" t="s">
        <v>126</v>
      </c>
      <c r="G54" s="88">
        <v>9549.3053552289311</v>
      </c>
      <c r="H54" s="85">
        <v>1559.25</v>
      </c>
      <c r="I54" s="104">
        <v>0</v>
      </c>
      <c r="J54" s="104">
        <v>512.35644799690783</v>
      </c>
      <c r="K54" s="38">
        <v>1.8340799680214849E-4</v>
      </c>
      <c r="L54" s="46">
        <v>1.0430086130746398E-2</v>
      </c>
      <c r="M54" s="46">
        <v>1.5780068838346665E-3</v>
      </c>
      <c r="N54" s="28"/>
      <c r="O54" s="28"/>
      <c r="P54" s="28"/>
      <c r="Q54" s="28"/>
      <c r="R54" s="28"/>
    </row>
    <row r="55" spans="1:18" s="139" customFormat="1" x14ac:dyDescent="0.2">
      <c r="A55" s="112" t="s">
        <v>1191</v>
      </c>
      <c r="B55" s="142" t="s">
        <v>239</v>
      </c>
      <c r="C55" s="142" t="s">
        <v>239</v>
      </c>
      <c r="D55" s="142" t="s">
        <v>239</v>
      </c>
      <c r="E55" s="142" t="s">
        <v>239</v>
      </c>
      <c r="F55" s="142" t="s">
        <v>239</v>
      </c>
      <c r="G55" s="157" t="s">
        <v>239</v>
      </c>
      <c r="H55" s="146" t="s">
        <v>239</v>
      </c>
      <c r="I55" s="148" t="s">
        <v>239</v>
      </c>
      <c r="J55" s="148">
        <v>4.8557835005919872</v>
      </c>
      <c r="K55" s="145" t="s">
        <v>239</v>
      </c>
      <c r="L55" s="142">
        <v>9.8849619910975215E-5</v>
      </c>
      <c r="M55" s="142">
        <v>1.495533006425869E-5</v>
      </c>
    </row>
    <row r="56" spans="1:18" x14ac:dyDescent="0.2">
      <c r="A56" s="30" t="s">
        <v>1192</v>
      </c>
      <c r="B56" s="46" t="s">
        <v>1193</v>
      </c>
      <c r="C56" s="46" t="s">
        <v>826</v>
      </c>
      <c r="D56" s="46" t="s">
        <v>239</v>
      </c>
      <c r="E56" s="46" t="s">
        <v>188</v>
      </c>
      <c r="F56" s="46" t="s">
        <v>126</v>
      </c>
      <c r="G56" s="88">
        <v>7.9672240437920001</v>
      </c>
      <c r="H56" s="85">
        <v>17712</v>
      </c>
      <c r="I56" s="104">
        <v>0</v>
      </c>
      <c r="J56" s="104">
        <v>4.8557834005919869</v>
      </c>
      <c r="K56" s="38">
        <v>1.833798407804596E-8</v>
      </c>
      <c r="L56" s="46">
        <v>9.8849617875266252E-5</v>
      </c>
      <c r="M56" s="46">
        <v>1.4955329756268639E-5</v>
      </c>
      <c r="N56" s="28"/>
      <c r="O56" s="28"/>
      <c r="P56" s="28"/>
      <c r="Q56" s="28"/>
      <c r="R56" s="28"/>
    </row>
    <row r="57" spans="1:18" s="139" customFormat="1" x14ac:dyDescent="0.2">
      <c r="A57" s="112" t="s">
        <v>143</v>
      </c>
      <c r="B57" s="142" t="s">
        <v>239</v>
      </c>
      <c r="C57" s="142" t="s">
        <v>239</v>
      </c>
      <c r="D57" s="142" t="s">
        <v>239</v>
      </c>
      <c r="E57" s="142" t="s">
        <v>239</v>
      </c>
      <c r="F57" s="142" t="s">
        <v>239</v>
      </c>
      <c r="G57" s="157" t="s">
        <v>239</v>
      </c>
      <c r="H57" s="146" t="s">
        <v>239</v>
      </c>
      <c r="I57" s="148" t="s">
        <v>239</v>
      </c>
      <c r="J57" s="148">
        <v>26225.516869892963</v>
      </c>
      <c r="K57" s="145" t="s">
        <v>239</v>
      </c>
      <c r="L57" s="142">
        <v>0.53387519732742217</v>
      </c>
      <c r="M57" s="142">
        <v>8.0771982697996667E-2</v>
      </c>
    </row>
    <row r="58" spans="1:18" x14ac:dyDescent="0.2">
      <c r="A58" s="30" t="s">
        <v>1214</v>
      </c>
      <c r="B58" s="46" t="s">
        <v>1215</v>
      </c>
      <c r="C58" s="46" t="s">
        <v>826</v>
      </c>
      <c r="D58" s="46" t="s">
        <v>239</v>
      </c>
      <c r="E58" s="46" t="s">
        <v>1156</v>
      </c>
      <c r="F58" s="46" t="s">
        <v>126</v>
      </c>
      <c r="G58" s="88">
        <v>6720.7638781518626</v>
      </c>
      <c r="H58" s="85">
        <v>8823</v>
      </c>
      <c r="I58" s="104">
        <v>0</v>
      </c>
      <c r="J58" s="104">
        <v>2040.420082486959</v>
      </c>
      <c r="K58" s="38">
        <v>6.6516196269675722E-4</v>
      </c>
      <c r="L58" s="46">
        <v>4.1537014487562557E-2</v>
      </c>
      <c r="M58" s="46">
        <v>6.2842908460836846E-3</v>
      </c>
      <c r="N58" s="28"/>
      <c r="O58" s="28"/>
      <c r="P58" s="28"/>
      <c r="Q58" s="28"/>
      <c r="R58" s="28"/>
    </row>
    <row r="59" spans="1:18" x14ac:dyDescent="0.2">
      <c r="A59" s="30" t="s">
        <v>1226</v>
      </c>
      <c r="B59" s="46" t="s">
        <v>1227</v>
      </c>
      <c r="C59" s="46" t="s">
        <v>826</v>
      </c>
      <c r="D59" s="46" t="s">
        <v>239</v>
      </c>
      <c r="E59" s="46" t="s">
        <v>1156</v>
      </c>
      <c r="F59" s="46" t="s">
        <v>126</v>
      </c>
      <c r="G59" s="88">
        <v>7455.8868521607155</v>
      </c>
      <c r="H59" s="85">
        <v>2749</v>
      </c>
      <c r="I59" s="104">
        <v>0</v>
      </c>
      <c r="J59" s="104">
        <v>705.27537599988079</v>
      </c>
      <c r="K59" s="38">
        <v>7.3549163539783939E-4</v>
      </c>
      <c r="L59" s="46">
        <v>1.4357354038057707E-2</v>
      </c>
      <c r="M59" s="46">
        <v>2.1721779879573435E-3</v>
      </c>
      <c r="N59" s="28"/>
      <c r="O59" s="28"/>
      <c r="P59" s="28"/>
      <c r="Q59" s="28"/>
      <c r="R59" s="28"/>
    </row>
    <row r="60" spans="1:18" x14ac:dyDescent="0.2">
      <c r="A60" s="30" t="s">
        <v>1216</v>
      </c>
      <c r="B60" s="46" t="s">
        <v>1217</v>
      </c>
      <c r="C60" s="46" t="s">
        <v>826</v>
      </c>
      <c r="D60" s="46" t="s">
        <v>239</v>
      </c>
      <c r="E60" s="46" t="s">
        <v>1156</v>
      </c>
      <c r="F60" s="46" t="s">
        <v>126</v>
      </c>
      <c r="G60" s="88">
        <v>11461.836955311315</v>
      </c>
      <c r="H60" s="85">
        <v>6479.0000000000009</v>
      </c>
      <c r="I60" s="104">
        <v>0</v>
      </c>
      <c r="J60" s="104">
        <v>2555.3293245514383</v>
      </c>
      <c r="K60" s="38">
        <v>4.9730886453778166E-4</v>
      </c>
      <c r="L60" s="46">
        <v>5.2019068075931332E-2</v>
      </c>
      <c r="M60" s="46">
        <v>7.8701600816607539E-3</v>
      </c>
      <c r="N60" s="28"/>
      <c r="O60" s="28"/>
      <c r="P60" s="28"/>
      <c r="Q60" s="28"/>
      <c r="R60" s="28"/>
    </row>
    <row r="61" spans="1:18" x14ac:dyDescent="0.2">
      <c r="A61" s="30" t="s">
        <v>1218</v>
      </c>
      <c r="B61" s="46" t="s">
        <v>1219</v>
      </c>
      <c r="C61" s="46" t="s">
        <v>803</v>
      </c>
      <c r="D61" s="46" t="s">
        <v>239</v>
      </c>
      <c r="E61" s="46" t="s">
        <v>1156</v>
      </c>
      <c r="F61" s="46" t="s">
        <v>126</v>
      </c>
      <c r="G61" s="88">
        <v>988.72193655667138</v>
      </c>
      <c r="H61" s="85">
        <v>27783.999999999996</v>
      </c>
      <c r="I61" s="104">
        <v>1.32086696</v>
      </c>
      <c r="J61" s="104">
        <v>946.58594320347981</v>
      </c>
      <c r="K61" s="38">
        <v>2.0580154196379896E-6</v>
      </c>
      <c r="L61" s="46">
        <v>1.9269734881575452E-2</v>
      </c>
      <c r="M61" s="46">
        <v>2.9153905261776595E-3</v>
      </c>
      <c r="N61" s="28"/>
      <c r="O61" s="28"/>
      <c r="P61" s="28"/>
      <c r="Q61" s="28"/>
      <c r="R61" s="28"/>
    </row>
    <row r="62" spans="1:18" x14ac:dyDescent="0.2">
      <c r="A62" s="30" t="s">
        <v>1220</v>
      </c>
      <c r="B62" s="46" t="s">
        <v>1221</v>
      </c>
      <c r="C62" s="46" t="s">
        <v>908</v>
      </c>
      <c r="D62" s="46" t="s">
        <v>239</v>
      </c>
      <c r="E62" s="46" t="s">
        <v>1156</v>
      </c>
      <c r="F62" s="46" t="s">
        <v>126</v>
      </c>
      <c r="G62" s="88">
        <v>1103.9138252421958</v>
      </c>
      <c r="H62" s="85">
        <v>48583</v>
      </c>
      <c r="I62" s="104">
        <v>0</v>
      </c>
      <c r="J62" s="104">
        <v>1845.4580352111477</v>
      </c>
      <c r="K62" s="38">
        <v>1.5424253531398572E-3</v>
      </c>
      <c r="L62" s="46">
        <v>3.7568154618103797E-2</v>
      </c>
      <c r="M62" s="46">
        <v>5.683827137877193E-3</v>
      </c>
      <c r="N62" s="28"/>
      <c r="O62" s="28"/>
      <c r="P62" s="28"/>
      <c r="Q62" s="28"/>
      <c r="R62" s="28"/>
    </row>
    <row r="63" spans="1:18" x14ac:dyDescent="0.2">
      <c r="A63" s="30" t="s">
        <v>1196</v>
      </c>
      <c r="B63" s="46" t="s">
        <v>1197</v>
      </c>
      <c r="C63" s="46" t="s">
        <v>803</v>
      </c>
      <c r="D63" s="46" t="s">
        <v>239</v>
      </c>
      <c r="E63" s="46" t="s">
        <v>1156</v>
      </c>
      <c r="F63" s="46" t="s">
        <v>126</v>
      </c>
      <c r="G63" s="88">
        <v>655.35703430192075</v>
      </c>
      <c r="H63" s="85">
        <v>30461</v>
      </c>
      <c r="I63" s="104">
        <v>0</v>
      </c>
      <c r="J63" s="104">
        <v>686.92100167398723</v>
      </c>
      <c r="K63" s="38">
        <v>5.4214528088583509E-5</v>
      </c>
      <c r="L63" s="46">
        <v>1.3983712394933142E-2</v>
      </c>
      <c r="M63" s="46">
        <v>2.1156483411695019E-3</v>
      </c>
      <c r="N63" s="28"/>
      <c r="O63" s="28"/>
      <c r="P63" s="28"/>
      <c r="Q63" s="28"/>
      <c r="R63" s="28"/>
    </row>
    <row r="64" spans="1:18" x14ac:dyDescent="0.2">
      <c r="A64" s="30" t="s">
        <v>1198</v>
      </c>
      <c r="B64" s="46" t="s">
        <v>1199</v>
      </c>
      <c r="C64" s="46" t="s">
        <v>219</v>
      </c>
      <c r="D64" s="46" t="s">
        <v>239</v>
      </c>
      <c r="E64" s="46" t="s">
        <v>1156</v>
      </c>
      <c r="F64" s="46" t="s">
        <v>126</v>
      </c>
      <c r="G64" s="88">
        <v>4617.399956602525</v>
      </c>
      <c r="H64" s="85">
        <v>5665</v>
      </c>
      <c r="I64" s="104">
        <v>0</v>
      </c>
      <c r="J64" s="104">
        <v>900.08200962831427</v>
      </c>
      <c r="K64" s="38">
        <v>1.1034370452650616E-4</v>
      </c>
      <c r="L64" s="46">
        <v>1.8323050137968179E-2</v>
      </c>
      <c r="M64" s="46">
        <v>2.772163037592517E-3</v>
      </c>
      <c r="N64" s="28"/>
      <c r="O64" s="28"/>
      <c r="P64" s="28"/>
      <c r="Q64" s="28"/>
      <c r="R64" s="28"/>
    </row>
    <row r="65" spans="1:18" x14ac:dyDescent="0.2">
      <c r="A65" s="30" t="s">
        <v>1206</v>
      </c>
      <c r="B65" s="46" t="s">
        <v>1207</v>
      </c>
      <c r="C65" s="46" t="s">
        <v>826</v>
      </c>
      <c r="D65" s="46" t="s">
        <v>239</v>
      </c>
      <c r="E65" s="46" t="s">
        <v>1156</v>
      </c>
      <c r="F65" s="46" t="s">
        <v>126</v>
      </c>
      <c r="G65" s="88">
        <v>871.95535661163558</v>
      </c>
      <c r="H65" s="85">
        <v>20182</v>
      </c>
      <c r="I65" s="104">
        <v>0</v>
      </c>
      <c r="J65" s="104">
        <v>605.54040145197655</v>
      </c>
      <c r="K65" s="38">
        <v>1.9602828091293506E-4</v>
      </c>
      <c r="L65" s="46">
        <v>1.2327040222647854E-2</v>
      </c>
      <c r="M65" s="46">
        <v>1.8650041893041489E-3</v>
      </c>
      <c r="N65" s="28"/>
      <c r="O65" s="28"/>
      <c r="P65" s="28"/>
      <c r="Q65" s="28"/>
      <c r="R65" s="28"/>
    </row>
    <row r="66" spans="1:18" x14ac:dyDescent="0.2">
      <c r="A66" s="30" t="s">
        <v>1208</v>
      </c>
      <c r="B66" s="46" t="s">
        <v>1209</v>
      </c>
      <c r="C66" s="46" t="s">
        <v>826</v>
      </c>
      <c r="D66" s="46" t="s">
        <v>239</v>
      </c>
      <c r="E66" s="46" t="s">
        <v>1156</v>
      </c>
      <c r="F66" s="46" t="s">
        <v>126</v>
      </c>
      <c r="G66" s="88">
        <v>11222.299709449306</v>
      </c>
      <c r="H66" s="85">
        <v>1689.9999999999998</v>
      </c>
      <c r="I66" s="104">
        <v>0</v>
      </c>
      <c r="J66" s="104">
        <v>652.60927273679965</v>
      </c>
      <c r="K66" s="38">
        <v>1.1564675751412883E-4</v>
      </c>
      <c r="L66" s="46">
        <v>1.3285225453841986E-2</v>
      </c>
      <c r="M66" s="46">
        <v>2.0099716298275618E-3</v>
      </c>
      <c r="N66" s="28"/>
      <c r="O66" s="28"/>
      <c r="P66" s="28"/>
      <c r="Q66" s="28"/>
      <c r="R66" s="28"/>
    </row>
    <row r="67" spans="1:18" x14ac:dyDescent="0.2">
      <c r="A67" s="30" t="s">
        <v>1228</v>
      </c>
      <c r="B67" s="46" t="s">
        <v>1229</v>
      </c>
      <c r="C67" s="46" t="s">
        <v>826</v>
      </c>
      <c r="D67" s="46" t="s">
        <v>239</v>
      </c>
      <c r="E67" s="46" t="s">
        <v>1156</v>
      </c>
      <c r="F67" s="46" t="s">
        <v>126</v>
      </c>
      <c r="G67" s="88">
        <v>8349.8970951263236</v>
      </c>
      <c r="H67" s="85">
        <v>6818.0000000000009</v>
      </c>
      <c r="I67" s="104">
        <v>0</v>
      </c>
      <c r="J67" s="104">
        <v>1958.9474806978933</v>
      </c>
      <c r="K67" s="38">
        <v>2.0346823545435355E-4</v>
      </c>
      <c r="L67" s="46">
        <v>3.9878469431131283E-2</v>
      </c>
      <c r="M67" s="46">
        <v>6.0333633385453349E-3</v>
      </c>
      <c r="N67" s="28"/>
      <c r="O67" s="28"/>
      <c r="P67" s="28"/>
      <c r="Q67" s="28"/>
      <c r="R67" s="28"/>
    </row>
    <row r="68" spans="1:18" x14ac:dyDescent="0.2">
      <c r="A68" s="30" t="s">
        <v>1222</v>
      </c>
      <c r="B68" s="46" t="s">
        <v>1223</v>
      </c>
      <c r="C68" s="46" t="s">
        <v>870</v>
      </c>
      <c r="D68" s="46" t="s">
        <v>239</v>
      </c>
      <c r="E68" s="46" t="s">
        <v>1156</v>
      </c>
      <c r="F68" s="46" t="s">
        <v>127</v>
      </c>
      <c r="G68" s="88">
        <v>6616.4474887498627</v>
      </c>
      <c r="H68" s="85">
        <v>5425.7</v>
      </c>
      <c r="I68" s="104">
        <v>0</v>
      </c>
      <c r="J68" s="104">
        <v>1445.2162712424094</v>
      </c>
      <c r="K68" s="38">
        <v>8.7719509174525397E-4</v>
      </c>
      <c r="L68" s="46">
        <v>2.942039715816254E-2</v>
      </c>
      <c r="M68" s="46">
        <v>4.4511223261977061E-3</v>
      </c>
      <c r="N68" s="28"/>
      <c r="O68" s="28"/>
      <c r="P68" s="28"/>
      <c r="Q68" s="28"/>
      <c r="R68" s="28"/>
    </row>
    <row r="69" spans="1:18" x14ac:dyDescent="0.2">
      <c r="A69" s="30" t="s">
        <v>1224</v>
      </c>
      <c r="B69" s="46" t="s">
        <v>1225</v>
      </c>
      <c r="C69" s="46" t="s">
        <v>870</v>
      </c>
      <c r="D69" s="46" t="s">
        <v>239</v>
      </c>
      <c r="E69" s="46" t="s">
        <v>1156</v>
      </c>
      <c r="F69" s="46" t="s">
        <v>127</v>
      </c>
      <c r="G69" s="88">
        <v>1335.4947363193062</v>
      </c>
      <c r="H69" s="85">
        <v>15852.000000000002</v>
      </c>
      <c r="I69" s="104">
        <v>0</v>
      </c>
      <c r="J69" s="104">
        <v>852.27243009613301</v>
      </c>
      <c r="K69" s="38">
        <v>5.0026230117044461E-4</v>
      </c>
      <c r="L69" s="46">
        <v>1.7349786242598152E-2</v>
      </c>
      <c r="M69" s="46">
        <v>2.6249142893626939E-3</v>
      </c>
      <c r="N69" s="28"/>
      <c r="O69" s="28"/>
      <c r="P69" s="28"/>
      <c r="Q69" s="28"/>
      <c r="R69" s="28"/>
    </row>
    <row r="70" spans="1:18" x14ac:dyDescent="0.2">
      <c r="A70" s="30" t="s">
        <v>1204</v>
      </c>
      <c r="B70" s="46" t="s">
        <v>1205</v>
      </c>
      <c r="C70" s="46" t="s">
        <v>826</v>
      </c>
      <c r="D70" s="46" t="s">
        <v>239</v>
      </c>
      <c r="E70" s="46" t="s">
        <v>1156</v>
      </c>
      <c r="F70" s="46" t="s">
        <v>126</v>
      </c>
      <c r="G70" s="88">
        <v>49049.89228553744</v>
      </c>
      <c r="H70" s="85">
        <v>2407</v>
      </c>
      <c r="I70" s="104">
        <v>0</v>
      </c>
      <c r="J70" s="104">
        <v>4062.5509520169535</v>
      </c>
      <c r="K70" s="38">
        <v>7.1736468432547016E-5</v>
      </c>
      <c r="L70" s="46">
        <v>8.2701713827827789E-2</v>
      </c>
      <c r="M70" s="46">
        <v>1.2512252735912714E-2</v>
      </c>
      <c r="N70" s="28"/>
      <c r="O70" s="28"/>
      <c r="P70" s="28"/>
      <c r="Q70" s="28"/>
      <c r="R70" s="28"/>
    </row>
    <row r="71" spans="1:18" x14ac:dyDescent="0.2">
      <c r="A71" s="30" t="s">
        <v>1210</v>
      </c>
      <c r="B71" s="46" t="s">
        <v>1211</v>
      </c>
      <c r="C71" s="46" t="s">
        <v>826</v>
      </c>
      <c r="D71" s="46" t="s">
        <v>239</v>
      </c>
      <c r="E71" s="46" t="s">
        <v>1156</v>
      </c>
      <c r="F71" s="46" t="s">
        <v>126</v>
      </c>
      <c r="G71" s="88">
        <v>11945.055371402466</v>
      </c>
      <c r="H71" s="85">
        <v>5938</v>
      </c>
      <c r="I71" s="104">
        <v>0</v>
      </c>
      <c r="J71" s="104">
        <v>2440.6923119430339</v>
      </c>
      <c r="K71" s="38">
        <v>6.2720030028407382E-5</v>
      </c>
      <c r="L71" s="46">
        <v>4.9685392136159932E-2</v>
      </c>
      <c r="M71" s="46">
        <v>7.5170894884330581E-3</v>
      </c>
      <c r="N71" s="28"/>
      <c r="O71" s="28"/>
      <c r="P71" s="28"/>
      <c r="Q71" s="28"/>
      <c r="R71" s="28"/>
    </row>
    <row r="72" spans="1:18" x14ac:dyDescent="0.2">
      <c r="A72" s="30" t="s">
        <v>1212</v>
      </c>
      <c r="B72" s="46" t="s">
        <v>1213</v>
      </c>
      <c r="C72" s="46" t="s">
        <v>826</v>
      </c>
      <c r="D72" s="46" t="s">
        <v>239</v>
      </c>
      <c r="E72" s="46" t="s">
        <v>1156</v>
      </c>
      <c r="F72" s="46" t="s">
        <v>126</v>
      </c>
      <c r="G72" s="88">
        <v>2699.4075850763393</v>
      </c>
      <c r="H72" s="85">
        <v>11143</v>
      </c>
      <c r="I72" s="104">
        <v>0</v>
      </c>
      <c r="J72" s="104">
        <v>1035.0355509202939</v>
      </c>
      <c r="K72" s="38">
        <v>5.7201925175589951E-5</v>
      </c>
      <c r="L72" s="46">
        <v>2.107031147297744E-2</v>
      </c>
      <c r="M72" s="46">
        <v>3.1878065178086476E-3</v>
      </c>
      <c r="N72" s="28"/>
      <c r="O72" s="28"/>
      <c r="P72" s="28"/>
      <c r="Q72" s="28"/>
      <c r="R72" s="28"/>
    </row>
    <row r="73" spans="1:18" x14ac:dyDescent="0.2">
      <c r="A73" s="30" t="s">
        <v>1212</v>
      </c>
      <c r="B73" s="46" t="s">
        <v>1213</v>
      </c>
      <c r="C73" s="46" t="s">
        <v>826</v>
      </c>
      <c r="D73" s="46" t="s">
        <v>239</v>
      </c>
      <c r="E73" s="46" t="s">
        <v>1156</v>
      </c>
      <c r="F73" s="46" t="s">
        <v>126</v>
      </c>
      <c r="G73" s="88">
        <v>517.62219705918426</v>
      </c>
      <c r="H73" s="85">
        <v>11143</v>
      </c>
      <c r="I73" s="104">
        <v>0</v>
      </c>
      <c r="J73" s="104">
        <v>198.47220509920712</v>
      </c>
      <c r="K73" s="38">
        <v>1.0968697853965091E-5</v>
      </c>
      <c r="L73" s="46">
        <v>4.0403164668601733E-3</v>
      </c>
      <c r="M73" s="46">
        <v>6.1127464506562589E-4</v>
      </c>
      <c r="N73" s="28"/>
      <c r="O73" s="28"/>
      <c r="P73" s="28"/>
      <c r="Q73" s="28"/>
      <c r="R73" s="28"/>
    </row>
    <row r="74" spans="1:18" x14ac:dyDescent="0.2">
      <c r="A74" s="30" t="s">
        <v>1194</v>
      </c>
      <c r="B74" s="46" t="s">
        <v>1195</v>
      </c>
      <c r="C74" s="46" t="s">
        <v>826</v>
      </c>
      <c r="D74" s="46" t="s">
        <v>239</v>
      </c>
      <c r="E74" s="46" t="s">
        <v>1156</v>
      </c>
      <c r="F74" s="46" t="s">
        <v>126</v>
      </c>
      <c r="G74" s="88">
        <v>43.819732240855998</v>
      </c>
      <c r="H74" s="85">
        <v>2995</v>
      </c>
      <c r="I74" s="104">
        <v>0</v>
      </c>
      <c r="J74" s="104">
        <v>4.5159717663243022</v>
      </c>
      <c r="K74" s="38">
        <v>1.5587804118904979E-7</v>
      </c>
      <c r="L74" s="46">
        <v>9.1932041981573125E-5</v>
      </c>
      <c r="M74" s="46">
        <v>1.3908743731679854E-5</v>
      </c>
      <c r="N74" s="28"/>
      <c r="O74" s="28"/>
      <c r="P74" s="28"/>
      <c r="Q74" s="28"/>
      <c r="R74" s="28"/>
    </row>
    <row r="75" spans="1:18" x14ac:dyDescent="0.2">
      <c r="A75" s="30" t="s">
        <v>1200</v>
      </c>
      <c r="B75" s="46" t="s">
        <v>1201</v>
      </c>
      <c r="C75" s="46" t="s">
        <v>826</v>
      </c>
      <c r="D75" s="46" t="s">
        <v>239</v>
      </c>
      <c r="E75" s="46" t="s">
        <v>1156</v>
      </c>
      <c r="F75" s="46" t="s">
        <v>126</v>
      </c>
      <c r="G75" s="88">
        <v>4918.2488656564929</v>
      </c>
      <c r="H75" s="85">
        <v>10548</v>
      </c>
      <c r="I75" s="104">
        <v>0</v>
      </c>
      <c r="J75" s="104">
        <v>1785.1112796511918</v>
      </c>
      <c r="K75" s="38">
        <v>2.2242344737426524E-5</v>
      </c>
      <c r="L75" s="46">
        <v>3.6339670306718225E-2</v>
      </c>
      <c r="M75" s="46">
        <v>5.4979651348459101E-3</v>
      </c>
      <c r="N75" s="28"/>
      <c r="O75" s="28"/>
      <c r="P75" s="28"/>
      <c r="Q75" s="28"/>
      <c r="R75" s="28"/>
    </row>
    <row r="76" spans="1:18" x14ac:dyDescent="0.2">
      <c r="A76" s="30" t="s">
        <v>1202</v>
      </c>
      <c r="B76" s="46" t="s">
        <v>1203</v>
      </c>
      <c r="C76" s="46" t="s">
        <v>826</v>
      </c>
      <c r="D76" s="46" t="s">
        <v>239</v>
      </c>
      <c r="E76" s="46" t="s">
        <v>1156</v>
      </c>
      <c r="F76" s="46" t="s">
        <v>126</v>
      </c>
      <c r="G76" s="88">
        <v>6820.9363431867287</v>
      </c>
      <c r="H76" s="85">
        <v>6409.9999999999991</v>
      </c>
      <c r="I76" s="104">
        <v>0</v>
      </c>
      <c r="J76" s="104">
        <v>1504.4809694155438</v>
      </c>
      <c r="K76" s="38">
        <v>3.2320905486539023E-5</v>
      </c>
      <c r="L76" s="46">
        <v>3.0626853930347461E-2</v>
      </c>
      <c r="M76" s="46">
        <v>4.6336517001349586E-3</v>
      </c>
      <c r="N76" s="28"/>
      <c r="O76" s="28"/>
      <c r="P76" s="28"/>
      <c r="Q76" s="28"/>
      <c r="R76" s="28"/>
    </row>
    <row r="77" spans="1:18" s="139" customFormat="1" x14ac:dyDescent="0.2">
      <c r="A77" s="234" t="s">
        <v>1152</v>
      </c>
      <c r="B77" s="235" t="s">
        <v>239</v>
      </c>
      <c r="C77" s="235" t="s">
        <v>239</v>
      </c>
      <c r="D77" s="235" t="s">
        <v>239</v>
      </c>
      <c r="E77" s="235" t="s">
        <v>239</v>
      </c>
      <c r="F77" s="235" t="s">
        <v>239</v>
      </c>
      <c r="G77" s="239" t="s">
        <v>239</v>
      </c>
      <c r="H77" s="236" t="s">
        <v>239</v>
      </c>
      <c r="I77" s="240" t="s">
        <v>239</v>
      </c>
      <c r="J77" s="240">
        <v>0</v>
      </c>
      <c r="K77" s="238" t="s">
        <v>239</v>
      </c>
      <c r="L77" s="235">
        <v>0</v>
      </c>
      <c r="M77" s="235">
        <v>0</v>
      </c>
    </row>
    <row r="78" spans="1:18" s="139" customFormat="1" x14ac:dyDescent="0.2">
      <c r="A78" s="97" t="s">
        <v>230</v>
      </c>
      <c r="B78" s="149"/>
      <c r="C78" s="149"/>
      <c r="D78" s="149"/>
      <c r="E78" s="149"/>
      <c r="F78" s="149"/>
      <c r="G78" s="150"/>
      <c r="H78" s="150"/>
      <c r="I78" s="150"/>
      <c r="J78" s="150"/>
      <c r="K78" s="151"/>
      <c r="L78" s="151"/>
      <c r="M78" s="152"/>
      <c r="N78" s="168"/>
      <c r="O78" s="168"/>
      <c r="P78" s="168"/>
      <c r="Q78" s="154"/>
      <c r="R78" s="154"/>
    </row>
    <row r="79" spans="1:18" s="139" customFormat="1" x14ac:dyDescent="0.2">
      <c r="A79" s="97" t="s">
        <v>231</v>
      </c>
      <c r="B79" s="149"/>
      <c r="C79" s="149"/>
      <c r="D79" s="149"/>
      <c r="E79" s="149"/>
      <c r="F79" s="149"/>
      <c r="G79" s="150"/>
      <c r="H79" s="150"/>
      <c r="I79" s="150"/>
      <c r="J79" s="150"/>
      <c r="K79" s="151"/>
      <c r="L79" s="151"/>
      <c r="M79" s="152"/>
      <c r="N79" s="168"/>
      <c r="O79" s="168"/>
      <c r="P79" s="168"/>
      <c r="Q79" s="154"/>
      <c r="R79" s="154"/>
    </row>
    <row r="80" spans="1:18" s="139" customFormat="1" x14ac:dyDescent="0.2">
      <c r="A80" s="97" t="s">
        <v>232</v>
      </c>
      <c r="B80" s="149"/>
      <c r="C80" s="149"/>
      <c r="D80" s="149"/>
      <c r="E80" s="149"/>
      <c r="F80" s="149"/>
      <c r="G80" s="150"/>
      <c r="H80" s="150"/>
      <c r="I80" s="150"/>
      <c r="J80" s="150"/>
      <c r="K80" s="151"/>
      <c r="L80" s="151"/>
      <c r="M80" s="152"/>
      <c r="N80" s="168"/>
      <c r="O80" s="168"/>
      <c r="P80" s="168"/>
      <c r="Q80" s="154"/>
      <c r="R80" s="154"/>
    </row>
    <row r="81" spans="1:18" s="139" customFormat="1" x14ac:dyDescent="0.2">
      <c r="A81" s="97" t="s">
        <v>233</v>
      </c>
      <c r="B81" s="149"/>
      <c r="C81" s="149"/>
      <c r="D81" s="149"/>
      <c r="E81" s="149"/>
      <c r="F81" s="149"/>
      <c r="G81" s="150"/>
      <c r="H81" s="150"/>
      <c r="I81" s="150"/>
      <c r="J81" s="150"/>
      <c r="K81" s="151"/>
      <c r="L81" s="151"/>
      <c r="M81" s="152"/>
      <c r="N81" s="168"/>
      <c r="O81" s="168"/>
      <c r="P81" s="168"/>
      <c r="Q81" s="154"/>
      <c r="R81" s="154"/>
    </row>
    <row r="82" spans="1:18" s="139" customFormat="1" x14ac:dyDescent="0.2">
      <c r="A82" s="97" t="s">
        <v>234</v>
      </c>
      <c r="B82" s="149"/>
      <c r="C82" s="149"/>
      <c r="D82" s="149"/>
      <c r="E82" s="149"/>
      <c r="F82" s="149"/>
      <c r="G82" s="150"/>
      <c r="H82" s="150"/>
      <c r="I82" s="150"/>
      <c r="J82" s="150"/>
      <c r="K82" s="151"/>
      <c r="L82" s="151"/>
      <c r="M82" s="152"/>
      <c r="N82" s="168"/>
      <c r="O82" s="168"/>
      <c r="P82" s="168"/>
      <c r="Q82" s="154"/>
      <c r="R82" s="154"/>
    </row>
  </sheetData>
  <mergeCells count="2">
    <mergeCell ref="A6:M6"/>
    <mergeCell ref="A5:M5"/>
  </mergeCells>
  <conditionalFormatting sqref="C10:E10">
    <cfRule type="expression" dxfId="136" priority="16" stopIfTrue="1">
      <formula>LEFT($IC10,3)="TIR"</formula>
    </cfRule>
  </conditionalFormatting>
  <conditionalFormatting sqref="M1:M4 G10:H77 K10:K77 M78:M55612">
    <cfRule type="expression" dxfId="135" priority="152" stopIfTrue="1">
      <formula>LEFT(#REF!,3)="TIR"</formula>
    </cfRule>
  </conditionalFormatting>
  <conditionalFormatting sqref="B10:F10 L10:M77">
    <cfRule type="expression" dxfId="134" priority="156" stopIfTrue="1">
      <formula>OR(LEFT(#REF!,3)="TIR",LEFT(#REF!,2)="IR")</formula>
    </cfRule>
  </conditionalFormatting>
  <conditionalFormatting sqref="A10:A77 I10:J77">
    <cfRule type="expression" dxfId="133" priority="158" stopIfTrue="1">
      <formula>#REF!&gt;0</formula>
    </cfRule>
    <cfRule type="expression" dxfId="132" priority="159" stopIfTrue="1">
      <formula>LEFT(#REF!,3)="TIR"</formula>
    </cfRule>
  </conditionalFormatting>
  <conditionalFormatting sqref="C10:D10 B11:F77">
    <cfRule type="expression" dxfId="13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1"/>
  <sheetViews>
    <sheetView rightToLeft="1" zoomScale="80" zoomScaleNormal="80" workbookViewId="0">
      <selection activeCell="A7" sqref="A7:N3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1.425781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158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9" customFormat="1" ht="12.75" customHeight="1" thickBot="1" x14ac:dyDescent="0.25">
      <c r="A10" s="121" t="s">
        <v>54</v>
      </c>
      <c r="B10" s="86"/>
      <c r="C10" s="86"/>
      <c r="D10" s="86"/>
      <c r="E10" s="86"/>
      <c r="F10" s="122"/>
      <c r="G10" s="122"/>
      <c r="H10" s="122"/>
      <c r="I10" s="125"/>
      <c r="J10" s="122"/>
      <c r="K10" s="124">
        <v>34609.865927703111</v>
      </c>
      <c r="L10" s="86"/>
      <c r="M10" s="86">
        <v>1</v>
      </c>
      <c r="N10" s="101">
        <v>0.10659494361011729</v>
      </c>
    </row>
    <row r="11" spans="1:19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55" t="s">
        <v>239</v>
      </c>
      <c r="J11" s="146" t="s">
        <v>239</v>
      </c>
      <c r="K11" s="143">
        <v>0</v>
      </c>
      <c r="L11" s="142" t="s">
        <v>239</v>
      </c>
      <c r="M11" s="142">
        <v>0</v>
      </c>
      <c r="N11" s="142">
        <v>0</v>
      </c>
    </row>
    <row r="12" spans="1:19" s="139" customFormat="1" x14ac:dyDescent="0.2">
      <c r="A12" s="112" t="s">
        <v>58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57" t="s">
        <v>239</v>
      </c>
      <c r="J12" s="147" t="s">
        <v>239</v>
      </c>
      <c r="K12" s="148">
        <v>0</v>
      </c>
      <c r="L12" s="145" t="s">
        <v>239</v>
      </c>
      <c r="M12" s="145">
        <v>0</v>
      </c>
      <c r="N12" s="142">
        <v>0</v>
      </c>
    </row>
    <row r="13" spans="1:19" s="139" customFormat="1" x14ac:dyDescent="0.2">
      <c r="A13" s="112" t="s">
        <v>1230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2" t="s">
        <v>239</v>
      </c>
      <c r="H13" s="142" t="s">
        <v>239</v>
      </c>
      <c r="I13" s="157" t="s">
        <v>239</v>
      </c>
      <c r="J13" s="147" t="s">
        <v>239</v>
      </c>
      <c r="K13" s="148">
        <v>0</v>
      </c>
      <c r="L13" s="145" t="s">
        <v>239</v>
      </c>
      <c r="M13" s="145">
        <v>0</v>
      </c>
      <c r="N13" s="142">
        <v>0</v>
      </c>
    </row>
    <row r="14" spans="1:19" s="139" customFormat="1" x14ac:dyDescent="0.2">
      <c r="A14" s="112" t="s">
        <v>59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2" t="s">
        <v>239</v>
      </c>
      <c r="H14" s="142" t="s">
        <v>239</v>
      </c>
      <c r="I14" s="157" t="s">
        <v>239</v>
      </c>
      <c r="J14" s="147" t="s">
        <v>239</v>
      </c>
      <c r="K14" s="148">
        <v>0</v>
      </c>
      <c r="L14" s="145" t="s">
        <v>239</v>
      </c>
      <c r="M14" s="145">
        <v>0</v>
      </c>
      <c r="N14" s="142">
        <v>0</v>
      </c>
    </row>
    <row r="15" spans="1:19" s="139" customFormat="1" x14ac:dyDescent="0.2">
      <c r="A15" s="112" t="s">
        <v>143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2" t="s">
        <v>239</v>
      </c>
      <c r="H15" s="142" t="s">
        <v>239</v>
      </c>
      <c r="I15" s="157" t="s">
        <v>239</v>
      </c>
      <c r="J15" s="147" t="s">
        <v>239</v>
      </c>
      <c r="K15" s="148">
        <v>0</v>
      </c>
      <c r="L15" s="145" t="s">
        <v>239</v>
      </c>
      <c r="M15" s="145">
        <v>0</v>
      </c>
      <c r="N15" s="142">
        <v>0</v>
      </c>
    </row>
    <row r="16" spans="1:19" s="139" customFormat="1" x14ac:dyDescent="0.2">
      <c r="A16" s="112" t="s">
        <v>370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2" t="s">
        <v>239</v>
      </c>
      <c r="I16" s="157" t="s">
        <v>239</v>
      </c>
      <c r="J16" s="147" t="s">
        <v>239</v>
      </c>
      <c r="K16" s="148">
        <v>34609.865927303115</v>
      </c>
      <c r="L16" s="145" t="s">
        <v>239</v>
      </c>
      <c r="M16" s="145">
        <v>0.99999999998844258</v>
      </c>
      <c r="N16" s="142">
        <v>0</v>
      </c>
    </row>
    <row r="17" spans="1:16" s="139" customFormat="1" x14ac:dyDescent="0.2">
      <c r="A17" s="112" t="s">
        <v>58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57" t="s">
        <v>239</v>
      </c>
      <c r="J17" s="147" t="s">
        <v>239</v>
      </c>
      <c r="K17" s="148">
        <v>0</v>
      </c>
      <c r="L17" s="145" t="s">
        <v>239</v>
      </c>
      <c r="M17" s="145">
        <v>0</v>
      </c>
      <c r="N17" s="142">
        <v>0</v>
      </c>
    </row>
    <row r="18" spans="1:16" s="139" customFormat="1" x14ac:dyDescent="0.2">
      <c r="A18" s="112" t="s">
        <v>1230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2" t="s">
        <v>239</v>
      </c>
      <c r="H18" s="142" t="s">
        <v>239</v>
      </c>
      <c r="I18" s="157" t="s">
        <v>239</v>
      </c>
      <c r="J18" s="147" t="s">
        <v>239</v>
      </c>
      <c r="K18" s="148">
        <v>0</v>
      </c>
      <c r="L18" s="145" t="s">
        <v>239</v>
      </c>
      <c r="M18" s="145">
        <v>0</v>
      </c>
      <c r="N18" s="142">
        <v>0</v>
      </c>
    </row>
    <row r="19" spans="1:16" s="139" customFormat="1" x14ac:dyDescent="0.2">
      <c r="A19" s="112" t="s">
        <v>59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2" t="s">
        <v>239</v>
      </c>
      <c r="H19" s="142" t="s">
        <v>239</v>
      </c>
      <c r="I19" s="157" t="s">
        <v>239</v>
      </c>
      <c r="J19" s="147" t="s">
        <v>239</v>
      </c>
      <c r="K19" s="148">
        <v>11531.236668484618</v>
      </c>
      <c r="L19" s="145" t="s">
        <v>239</v>
      </c>
      <c r="M19" s="145">
        <v>0.33317773297857706</v>
      </c>
      <c r="N19" s="142">
        <v>0</v>
      </c>
    </row>
    <row r="20" spans="1:16" x14ac:dyDescent="0.2">
      <c r="A20" s="30" t="s">
        <v>1252</v>
      </c>
      <c r="B20" s="46" t="s">
        <v>1253</v>
      </c>
      <c r="C20" s="46" t="s">
        <v>219</v>
      </c>
      <c r="D20" s="46" t="s">
        <v>239</v>
      </c>
      <c r="E20" s="46" t="s">
        <v>1156</v>
      </c>
      <c r="F20" s="46" t="s">
        <v>380</v>
      </c>
      <c r="G20" s="46" t="s">
        <v>239</v>
      </c>
      <c r="H20" s="46" t="s">
        <v>126</v>
      </c>
      <c r="I20" s="88">
        <v>211.62561306915342</v>
      </c>
      <c r="J20" s="80">
        <v>155286</v>
      </c>
      <c r="K20" s="104">
        <v>1130.7984512100513</v>
      </c>
      <c r="L20" s="38">
        <v>4.1341686573617474E-5</v>
      </c>
      <c r="M20" s="38">
        <v>3.2672719783780363E-2</v>
      </c>
      <c r="N20" s="46">
        <v>3.4827467229412313E-3</v>
      </c>
      <c r="O20" s="28"/>
      <c r="P20" s="28"/>
    </row>
    <row r="21" spans="1:16" x14ac:dyDescent="0.2">
      <c r="A21" s="30" t="s">
        <v>1248</v>
      </c>
      <c r="B21" s="46" t="s">
        <v>1249</v>
      </c>
      <c r="C21" s="46" t="s">
        <v>219</v>
      </c>
      <c r="D21" s="46" t="s">
        <v>239</v>
      </c>
      <c r="E21" s="46" t="s">
        <v>1156</v>
      </c>
      <c r="F21" s="46" t="s">
        <v>380</v>
      </c>
      <c r="G21" s="46" t="s">
        <v>239</v>
      </c>
      <c r="H21" s="46" t="s">
        <v>126</v>
      </c>
      <c r="I21" s="88">
        <v>236.83909066296317</v>
      </c>
      <c r="J21" s="80">
        <v>116805</v>
      </c>
      <c r="K21" s="104">
        <v>951.91789532518396</v>
      </c>
      <c r="L21" s="38">
        <v>1.5536789523251689E-4</v>
      </c>
      <c r="M21" s="38">
        <v>2.7504235275388082E-2</v>
      </c>
      <c r="N21" s="46">
        <v>2.9318124082193912E-3</v>
      </c>
      <c r="O21" s="28"/>
      <c r="P21" s="28"/>
    </row>
    <row r="22" spans="1:16" x14ac:dyDescent="0.2">
      <c r="A22" s="30" t="s">
        <v>1238</v>
      </c>
      <c r="B22" s="46" t="s">
        <v>1239</v>
      </c>
      <c r="C22" s="46" t="s">
        <v>219</v>
      </c>
      <c r="D22" s="46" t="s">
        <v>239</v>
      </c>
      <c r="E22" s="46" t="s">
        <v>1156</v>
      </c>
      <c r="F22" s="46" t="s">
        <v>380</v>
      </c>
      <c r="G22" s="46" t="s">
        <v>239</v>
      </c>
      <c r="H22" s="46" t="s">
        <v>127</v>
      </c>
      <c r="I22" s="88">
        <v>9787.0441379156018</v>
      </c>
      <c r="J22" s="80">
        <v>2853.3</v>
      </c>
      <c r="K22" s="104">
        <v>1124.219667757787</v>
      </c>
      <c r="L22" s="38">
        <v>8.4711057985670325E-5</v>
      </c>
      <c r="M22" s="38">
        <v>3.2482635734740507E-2</v>
      </c>
      <c r="N22" s="46">
        <v>3.4624847244526451E-3</v>
      </c>
      <c r="O22" s="28"/>
      <c r="P22" s="28"/>
    </row>
    <row r="23" spans="1:16" x14ac:dyDescent="0.2">
      <c r="A23" s="30" t="s">
        <v>1244</v>
      </c>
      <c r="B23" s="46" t="s">
        <v>1245</v>
      </c>
      <c r="C23" s="46" t="s">
        <v>219</v>
      </c>
      <c r="D23" s="46" t="s">
        <v>239</v>
      </c>
      <c r="E23" s="46" t="s">
        <v>1156</v>
      </c>
      <c r="F23" s="46" t="s">
        <v>380</v>
      </c>
      <c r="G23" s="46" t="s">
        <v>239</v>
      </c>
      <c r="H23" s="46" t="s">
        <v>295</v>
      </c>
      <c r="I23" s="88">
        <v>27947.194110029726</v>
      </c>
      <c r="J23" s="80">
        <v>118848</v>
      </c>
      <c r="K23" s="104">
        <v>1081.0050161408014</v>
      </c>
      <c r="L23" s="38">
        <v>6.0661730534571686E-4</v>
      </c>
      <c r="M23" s="38">
        <v>3.1234013399500691E-2</v>
      </c>
      <c r="N23" s="46">
        <v>3.3293878970374244E-3</v>
      </c>
      <c r="O23" s="28"/>
      <c r="P23" s="28"/>
    </row>
    <row r="24" spans="1:16" x14ac:dyDescent="0.2">
      <c r="A24" s="30" t="s">
        <v>1233</v>
      </c>
      <c r="B24" s="46" t="s">
        <v>1935</v>
      </c>
      <c r="C24" s="46" t="s">
        <v>219</v>
      </c>
      <c r="D24" s="46" t="s">
        <v>239</v>
      </c>
      <c r="E24" s="46" t="s">
        <v>1156</v>
      </c>
      <c r="F24" s="46" t="s">
        <v>380</v>
      </c>
      <c r="G24" s="46" t="s">
        <v>239</v>
      </c>
      <c r="H24" s="46" t="s">
        <v>126</v>
      </c>
      <c r="I24" s="88">
        <v>15.965159278447034</v>
      </c>
      <c r="J24" s="80">
        <v>128711.99999999999</v>
      </c>
      <c r="K24" s="104">
        <v>70.709369796583104</v>
      </c>
      <c r="L24" s="38" t="s">
        <v>239</v>
      </c>
      <c r="M24" s="38">
        <v>2.0430408469159808E-3</v>
      </c>
      <c r="N24" s="46">
        <v>2.1777782387017523E-4</v>
      </c>
      <c r="O24" s="28"/>
      <c r="P24" s="28"/>
    </row>
    <row r="25" spans="1:16" x14ac:dyDescent="0.2">
      <c r="A25" s="30" t="s">
        <v>1233</v>
      </c>
      <c r="B25" s="46" t="s">
        <v>1935</v>
      </c>
      <c r="C25" s="46" t="s">
        <v>219</v>
      </c>
      <c r="D25" s="46" t="s">
        <v>239</v>
      </c>
      <c r="E25" s="46" t="s">
        <v>1156</v>
      </c>
      <c r="F25" s="46" t="s">
        <v>380</v>
      </c>
      <c r="G25" s="46" t="s">
        <v>239</v>
      </c>
      <c r="H25" s="46" t="s">
        <v>126</v>
      </c>
      <c r="I25" s="88">
        <v>10.617655100680295</v>
      </c>
      <c r="J25" s="80">
        <v>118402</v>
      </c>
      <c r="K25" s="104">
        <v>43.258586516085323</v>
      </c>
      <c r="L25" s="38" t="s">
        <v>239</v>
      </c>
      <c r="M25" s="38">
        <v>1.2498917680423439E-3</v>
      </c>
      <c r="N25" s="46">
        <v>1.3323214253322348E-4</v>
      </c>
      <c r="O25" s="28"/>
      <c r="P25" s="28"/>
    </row>
    <row r="26" spans="1:16" x14ac:dyDescent="0.2">
      <c r="A26" s="30" t="s">
        <v>1233</v>
      </c>
      <c r="B26" s="46" t="s">
        <v>1935</v>
      </c>
      <c r="C26" s="46" t="s">
        <v>219</v>
      </c>
      <c r="D26" s="46" t="s">
        <v>239</v>
      </c>
      <c r="E26" s="46" t="s">
        <v>1156</v>
      </c>
      <c r="F26" s="46" t="s">
        <v>380</v>
      </c>
      <c r="G26" s="46" t="s">
        <v>239</v>
      </c>
      <c r="H26" s="46" t="s">
        <v>126</v>
      </c>
      <c r="I26" s="88">
        <v>10.617655100680295</v>
      </c>
      <c r="J26" s="80">
        <v>100682</v>
      </c>
      <c r="K26" s="104">
        <v>36.784522242671621</v>
      </c>
      <c r="L26" s="38" t="s">
        <v>239</v>
      </c>
      <c r="M26" s="38">
        <v>1.0628334221089203E-3</v>
      </c>
      <c r="N26" s="46">
        <v>1.1329266869664836E-4</v>
      </c>
      <c r="O26" s="28"/>
      <c r="P26" s="28"/>
    </row>
    <row r="27" spans="1:16" x14ac:dyDescent="0.2">
      <c r="A27" s="30" t="s">
        <v>1250</v>
      </c>
      <c r="B27" s="46" t="s">
        <v>1251</v>
      </c>
      <c r="C27" s="46" t="s">
        <v>219</v>
      </c>
      <c r="D27" s="46" t="s">
        <v>239</v>
      </c>
      <c r="E27" s="46" t="s">
        <v>1156</v>
      </c>
      <c r="F27" s="46" t="s">
        <v>380</v>
      </c>
      <c r="G27" s="46" t="s">
        <v>239</v>
      </c>
      <c r="H27" s="46" t="s">
        <v>126</v>
      </c>
      <c r="I27" s="88">
        <v>12705.245312256948</v>
      </c>
      <c r="J27" s="80">
        <v>1552.8700000000001</v>
      </c>
      <c r="K27" s="104">
        <v>678.89533940277556</v>
      </c>
      <c r="L27" s="38">
        <v>1.2509221557318437E-4</v>
      </c>
      <c r="M27" s="38">
        <v>1.961565932734113E-2</v>
      </c>
      <c r="N27" s="46">
        <v>2.0909300998731991E-3</v>
      </c>
      <c r="O27" s="28"/>
      <c r="P27" s="28"/>
    </row>
    <row r="28" spans="1:16" x14ac:dyDescent="0.2">
      <c r="A28" s="30" t="s">
        <v>1231</v>
      </c>
      <c r="B28" s="46" t="s">
        <v>1232</v>
      </c>
      <c r="C28" s="46" t="s">
        <v>219</v>
      </c>
      <c r="D28" s="46" t="s">
        <v>239</v>
      </c>
      <c r="E28" s="46" t="s">
        <v>1156</v>
      </c>
      <c r="F28" s="46" t="s">
        <v>380</v>
      </c>
      <c r="G28" s="46" t="s">
        <v>239</v>
      </c>
      <c r="H28" s="46" t="s">
        <v>126</v>
      </c>
      <c r="I28" s="88">
        <v>44.023118645066106</v>
      </c>
      <c r="J28" s="80">
        <v>100474</v>
      </c>
      <c r="K28" s="104">
        <v>152.20158321419592</v>
      </c>
      <c r="L28" s="38">
        <v>2.6740641830204767E-3</v>
      </c>
      <c r="M28" s="38">
        <v>4.3976357357792513E-3</v>
      </c>
      <c r="N28" s="46">
        <v>4.68765733273226E-4</v>
      </c>
      <c r="O28" s="28"/>
      <c r="P28" s="28"/>
    </row>
    <row r="29" spans="1:16" x14ac:dyDescent="0.2">
      <c r="A29" s="30" t="s">
        <v>1234</v>
      </c>
      <c r="B29" s="46" t="s">
        <v>1235</v>
      </c>
      <c r="C29" s="46" t="s">
        <v>219</v>
      </c>
      <c r="D29" s="46" t="s">
        <v>239</v>
      </c>
      <c r="E29" s="46" t="s">
        <v>1156</v>
      </c>
      <c r="F29" s="46" t="s">
        <v>380</v>
      </c>
      <c r="G29" s="46" t="s">
        <v>239</v>
      </c>
      <c r="H29" s="46" t="s">
        <v>127</v>
      </c>
      <c r="I29" s="88">
        <v>293110.01150584588</v>
      </c>
      <c r="J29" s="80">
        <v>101.4</v>
      </c>
      <c r="K29" s="104">
        <v>1196.5223162484992</v>
      </c>
      <c r="L29" s="38">
        <v>2.2138740976326526E-4</v>
      </c>
      <c r="M29" s="38">
        <v>3.4571711972185226E-2</v>
      </c>
      <c r="N29" s="46">
        <v>3.6851696881803012E-3</v>
      </c>
      <c r="O29" s="28"/>
      <c r="P29" s="28"/>
    </row>
    <row r="30" spans="1:16" x14ac:dyDescent="0.2">
      <c r="A30" s="30" t="s">
        <v>1246</v>
      </c>
      <c r="B30" s="46" t="s">
        <v>1247</v>
      </c>
      <c r="C30" s="46" t="s">
        <v>219</v>
      </c>
      <c r="D30" s="46" t="s">
        <v>239</v>
      </c>
      <c r="E30" s="46" t="s">
        <v>1156</v>
      </c>
      <c r="F30" s="46" t="s">
        <v>380</v>
      </c>
      <c r="G30" s="46" t="s">
        <v>239</v>
      </c>
      <c r="H30" s="46" t="s">
        <v>295</v>
      </c>
      <c r="I30" s="88">
        <v>3545.7416098492308</v>
      </c>
      <c r="J30" s="80">
        <v>1151600</v>
      </c>
      <c r="K30" s="104">
        <v>1328.9430192313512</v>
      </c>
      <c r="L30" s="38">
        <v>2.4640666273859828E-4</v>
      </c>
      <c r="M30" s="38">
        <v>3.8397808937121955E-2</v>
      </c>
      <c r="N30" s="46">
        <v>4.0930122784045729E-3</v>
      </c>
      <c r="O30" s="28"/>
      <c r="P30" s="28"/>
    </row>
    <row r="31" spans="1:16" x14ac:dyDescent="0.2">
      <c r="A31" s="30" t="s">
        <v>1236</v>
      </c>
      <c r="B31" s="46" t="s">
        <v>1237</v>
      </c>
      <c r="C31" s="46" t="s">
        <v>219</v>
      </c>
      <c r="D31" s="46" t="s">
        <v>239</v>
      </c>
      <c r="E31" s="46" t="s">
        <v>1156</v>
      </c>
      <c r="F31" s="46" t="s">
        <v>380</v>
      </c>
      <c r="G31" s="46" t="s">
        <v>239</v>
      </c>
      <c r="H31" s="46" t="s">
        <v>127</v>
      </c>
      <c r="I31" s="88">
        <v>30743.471544507534</v>
      </c>
      <c r="J31" s="80">
        <v>1285.3400000000001</v>
      </c>
      <c r="K31" s="104">
        <v>1590.8276285241172</v>
      </c>
      <c r="L31" s="38">
        <v>2.5621453259330919E-4</v>
      </c>
      <c r="M31" s="38">
        <v>4.5964570676096016E-2</v>
      </c>
      <c r="N31" s="46">
        <v>4.8995908192817064E-3</v>
      </c>
      <c r="O31" s="28"/>
      <c r="P31" s="28"/>
    </row>
    <row r="32" spans="1:16" x14ac:dyDescent="0.2">
      <c r="A32" s="30" t="s">
        <v>1242</v>
      </c>
      <c r="B32" s="46" t="s">
        <v>1243</v>
      </c>
      <c r="C32" s="46" t="s">
        <v>219</v>
      </c>
      <c r="D32" s="46" t="s">
        <v>239</v>
      </c>
      <c r="E32" s="46" t="s">
        <v>1156</v>
      </c>
      <c r="F32" s="46" t="s">
        <v>380</v>
      </c>
      <c r="G32" s="46" t="s">
        <v>239</v>
      </c>
      <c r="H32" s="46" t="s">
        <v>126</v>
      </c>
      <c r="I32" s="88">
        <v>2171.0966415917765</v>
      </c>
      <c r="J32" s="80">
        <v>22950.059999999998</v>
      </c>
      <c r="K32" s="104">
        <v>1714.5401256633397</v>
      </c>
      <c r="L32" s="38">
        <v>1.1261201785901336E-3</v>
      </c>
      <c r="M32" s="38">
        <v>4.9539057136044944E-2</v>
      </c>
      <c r="N32" s="46">
        <v>5.2806130019150896E-3</v>
      </c>
      <c r="O32" s="28"/>
      <c r="P32" s="28"/>
    </row>
    <row r="33" spans="1:16" x14ac:dyDescent="0.2">
      <c r="A33" s="30" t="s">
        <v>1240</v>
      </c>
      <c r="B33" s="46" t="s">
        <v>1241</v>
      </c>
      <c r="C33" s="46" t="s">
        <v>219</v>
      </c>
      <c r="D33" s="46" t="s">
        <v>239</v>
      </c>
      <c r="E33" s="46" t="s">
        <v>1156</v>
      </c>
      <c r="F33" s="46" t="s">
        <v>380</v>
      </c>
      <c r="G33" s="46" t="s">
        <v>239</v>
      </c>
      <c r="H33" s="46" t="s">
        <v>127</v>
      </c>
      <c r="I33" s="88">
        <v>1393.8411914085605</v>
      </c>
      <c r="J33" s="80">
        <v>7673.9999999999991</v>
      </c>
      <c r="K33" s="104">
        <v>430.61314711117535</v>
      </c>
      <c r="L33" s="38">
        <v>5.0775884586763632E-4</v>
      </c>
      <c r="M33" s="38">
        <v>1.2441918960642244E-2</v>
      </c>
      <c r="N33" s="46">
        <v>1.3262456500113093E-3</v>
      </c>
      <c r="O33" s="28"/>
      <c r="P33" s="28"/>
    </row>
    <row r="34" spans="1:16" s="139" customFormat="1" x14ac:dyDescent="0.2">
      <c r="A34" s="112" t="s">
        <v>143</v>
      </c>
      <c r="B34" s="142" t="s">
        <v>239</v>
      </c>
      <c r="C34" s="142" t="s">
        <v>239</v>
      </c>
      <c r="D34" s="142" t="s">
        <v>239</v>
      </c>
      <c r="E34" s="142" t="s">
        <v>239</v>
      </c>
      <c r="F34" s="142" t="s">
        <v>239</v>
      </c>
      <c r="G34" s="142" t="s">
        <v>239</v>
      </c>
      <c r="H34" s="142" t="s">
        <v>239</v>
      </c>
      <c r="I34" s="157" t="s">
        <v>239</v>
      </c>
      <c r="J34" s="147" t="s">
        <v>239</v>
      </c>
      <c r="K34" s="148">
        <v>23078.629258618497</v>
      </c>
      <c r="L34" s="145" t="s">
        <v>239</v>
      </c>
      <c r="M34" s="145">
        <v>0.66682226700408698</v>
      </c>
      <c r="N34" s="142">
        <v>7.1079881949271229E-2</v>
      </c>
    </row>
    <row r="35" spans="1:16" x14ac:dyDescent="0.2">
      <c r="A35" s="30" t="s">
        <v>1254</v>
      </c>
      <c r="B35" s="46" t="s">
        <v>1255</v>
      </c>
      <c r="C35" s="46" t="s">
        <v>219</v>
      </c>
      <c r="D35" s="46" t="s">
        <v>1256</v>
      </c>
      <c r="E35" s="46" t="s">
        <v>188</v>
      </c>
      <c r="F35" s="46" t="s">
        <v>1257</v>
      </c>
      <c r="G35" s="46" t="s">
        <v>350</v>
      </c>
      <c r="H35" s="46" t="s">
        <v>126</v>
      </c>
      <c r="I35" s="88">
        <v>6605718.3472998487</v>
      </c>
      <c r="J35" s="80">
        <v>100</v>
      </c>
      <c r="K35" s="104">
        <v>22730.276826846439</v>
      </c>
      <c r="L35" s="38" t="s">
        <v>239</v>
      </c>
      <c r="M35" s="38">
        <v>0.65675714763899795</v>
      </c>
      <c r="N35" s="46">
        <v>7.0006991118120476E-2</v>
      </c>
      <c r="O35" s="28"/>
      <c r="P35" s="28"/>
    </row>
    <row r="36" spans="1:16" x14ac:dyDescent="0.2">
      <c r="A36" s="243" t="s">
        <v>1258</v>
      </c>
      <c r="B36" s="205" t="s">
        <v>1259</v>
      </c>
      <c r="C36" s="205" t="s">
        <v>219</v>
      </c>
      <c r="D36" s="205" t="s">
        <v>1256</v>
      </c>
      <c r="E36" s="205" t="s">
        <v>188</v>
      </c>
      <c r="F36" s="205" t="s">
        <v>1260</v>
      </c>
      <c r="G36" s="205" t="s">
        <v>346</v>
      </c>
      <c r="H36" s="205" t="s">
        <v>2</v>
      </c>
      <c r="I36" s="245">
        <v>78977.154194871575</v>
      </c>
      <c r="J36" s="204">
        <v>100</v>
      </c>
      <c r="K36" s="206">
        <v>348.35243167205476</v>
      </c>
      <c r="L36" s="202" t="s">
        <v>239</v>
      </c>
      <c r="M36" s="202">
        <v>1.006511936219954E-2</v>
      </c>
      <c r="N36" s="205">
        <v>1.0728908308427598E-3</v>
      </c>
      <c r="O36" s="28"/>
      <c r="P36" s="28"/>
    </row>
    <row r="37" spans="1:16" s="139" customFormat="1" x14ac:dyDescent="0.2">
      <c r="A37" s="97" t="s">
        <v>230</v>
      </c>
      <c r="B37" s="149"/>
      <c r="C37" s="149"/>
      <c r="D37" s="149"/>
      <c r="E37" s="149"/>
      <c r="F37" s="150"/>
      <c r="G37" s="150"/>
      <c r="H37" s="150"/>
      <c r="I37" s="151"/>
      <c r="J37" s="152"/>
      <c r="K37" s="153"/>
      <c r="L37" s="153"/>
      <c r="M37" s="153"/>
      <c r="N37" s="153"/>
      <c r="O37" s="154"/>
      <c r="P37" s="154"/>
    </row>
    <row r="38" spans="1:16" s="139" customFormat="1" x14ac:dyDescent="0.2">
      <c r="A38" s="97" t="s">
        <v>231</v>
      </c>
      <c r="B38" s="149"/>
      <c r="C38" s="149"/>
      <c r="D38" s="149"/>
      <c r="E38" s="149"/>
      <c r="F38" s="150"/>
      <c r="G38" s="150"/>
      <c r="H38" s="150"/>
      <c r="I38" s="151"/>
      <c r="J38" s="152"/>
      <c r="K38" s="153"/>
      <c r="L38" s="153"/>
      <c r="M38" s="153"/>
      <c r="N38" s="153"/>
      <c r="O38" s="154"/>
      <c r="P38" s="154"/>
    </row>
    <row r="39" spans="1:16" s="139" customFormat="1" x14ac:dyDescent="0.2">
      <c r="A39" s="97" t="s">
        <v>232</v>
      </c>
      <c r="B39" s="149"/>
      <c r="C39" s="149"/>
      <c r="D39" s="149"/>
      <c r="E39" s="149"/>
      <c r="F39" s="150"/>
      <c r="G39" s="150"/>
      <c r="H39" s="150"/>
      <c r="I39" s="151"/>
      <c r="J39" s="152"/>
      <c r="K39" s="153"/>
      <c r="L39" s="153"/>
      <c r="M39" s="153"/>
      <c r="N39" s="153"/>
      <c r="O39" s="154"/>
      <c r="P39" s="154"/>
    </row>
    <row r="40" spans="1:16" s="139" customFormat="1" x14ac:dyDescent="0.2">
      <c r="A40" s="97" t="s">
        <v>233</v>
      </c>
      <c r="B40" s="149"/>
      <c r="C40" s="149"/>
      <c r="D40" s="149"/>
      <c r="E40" s="149"/>
      <c r="F40" s="150"/>
      <c r="G40" s="150"/>
      <c r="H40" s="150"/>
      <c r="I40" s="151"/>
      <c r="J40" s="152"/>
      <c r="K40" s="153"/>
      <c r="L40" s="153"/>
      <c r="M40" s="153"/>
      <c r="N40" s="153"/>
      <c r="O40" s="154"/>
      <c r="P40" s="154"/>
    </row>
    <row r="41" spans="1:16" s="139" customFormat="1" x14ac:dyDescent="0.2">
      <c r="A41" s="97" t="s">
        <v>234</v>
      </c>
      <c r="B41" s="149"/>
      <c r="C41" s="149"/>
      <c r="D41" s="149"/>
      <c r="E41" s="149"/>
      <c r="F41" s="150"/>
      <c r="G41" s="150"/>
      <c r="H41" s="150"/>
      <c r="I41" s="151"/>
      <c r="J41" s="152"/>
      <c r="K41" s="153"/>
      <c r="L41" s="153"/>
      <c r="M41" s="153"/>
      <c r="N41" s="153"/>
      <c r="O41" s="154"/>
      <c r="P41" s="154"/>
    </row>
  </sheetData>
  <mergeCells count="2">
    <mergeCell ref="A6:N6"/>
    <mergeCell ref="A5:N5"/>
  </mergeCells>
  <conditionalFormatting sqref="C10:D10">
    <cfRule type="expression" dxfId="130" priority="16" stopIfTrue="1">
      <formula>LEFT($IB10,3)="TIR"</formula>
    </cfRule>
  </conditionalFormatting>
  <conditionalFormatting sqref="J1:J4 I10:J36 L10:L36 J37:J55571">
    <cfRule type="expression" dxfId="129" priority="174" stopIfTrue="1">
      <formula>LEFT(#REF!,3)="TIR"</formula>
    </cfRule>
  </conditionalFormatting>
  <conditionalFormatting sqref="B10:H10 M10:N36">
    <cfRule type="expression" dxfId="128" priority="178" stopIfTrue="1">
      <formula>OR(LEFT(#REF!,3)="TIR",LEFT(#REF!,2)="IR")</formula>
    </cfRule>
  </conditionalFormatting>
  <conditionalFormatting sqref="A10:A36 K10:K36">
    <cfRule type="expression" dxfId="127" priority="180" stopIfTrue="1">
      <formula>#REF!&gt;0</formula>
    </cfRule>
    <cfRule type="expression" dxfId="126" priority="181" stopIfTrue="1">
      <formula>LEFT(#REF!,3)="TIR"</formula>
    </cfRule>
  </conditionalFormatting>
  <conditionalFormatting sqref="C10:D10 B11:H36">
    <cfRule type="expression" dxfId="12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zoomScaleNormal="85" workbookViewId="0">
      <selection activeCell="N49" sqref="N49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1.140625" style="22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158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55</v>
      </c>
      <c r="B10" s="89"/>
      <c r="C10" s="89"/>
      <c r="D10" s="89"/>
      <c r="E10" s="170"/>
      <c r="F10" s="174"/>
      <c r="G10" s="170"/>
      <c r="H10" s="172">
        <v>8.1569281677114347</v>
      </c>
      <c r="I10" s="89"/>
      <c r="J10" s="103">
        <v>1.0000000000000002</v>
      </c>
      <c r="K10" s="102">
        <v>2.5122527197454574E-5</v>
      </c>
    </row>
    <row r="11" spans="1:16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55" t="s">
        <v>239</v>
      </c>
      <c r="G11" s="146" t="s">
        <v>239</v>
      </c>
      <c r="H11" s="143">
        <v>0</v>
      </c>
      <c r="I11" s="142" t="s">
        <v>239</v>
      </c>
      <c r="J11" s="142">
        <v>0</v>
      </c>
      <c r="K11" s="142">
        <v>0</v>
      </c>
    </row>
    <row r="12" spans="1:16" s="139" customFormat="1" x14ac:dyDescent="0.2">
      <c r="A12" s="112" t="s">
        <v>1261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57" t="s">
        <v>239</v>
      </c>
      <c r="G12" s="146" t="s">
        <v>239</v>
      </c>
      <c r="H12" s="148">
        <v>0</v>
      </c>
      <c r="I12" s="145" t="s">
        <v>239</v>
      </c>
      <c r="J12" s="142">
        <v>0</v>
      </c>
      <c r="K12" s="142">
        <v>0</v>
      </c>
    </row>
    <row r="13" spans="1:16" s="139" customFormat="1" x14ac:dyDescent="0.2">
      <c r="A13" s="112" t="s">
        <v>370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57" t="s">
        <v>239</v>
      </c>
      <c r="G13" s="146" t="s">
        <v>239</v>
      </c>
      <c r="H13" s="148">
        <v>8.1569280677114335</v>
      </c>
      <c r="I13" s="145" t="s">
        <v>239</v>
      </c>
      <c r="J13" s="142">
        <v>0.99999998774048293</v>
      </c>
      <c r="K13" s="142">
        <v>2.5122526889464517E-5</v>
      </c>
    </row>
    <row r="14" spans="1:16" s="139" customFormat="1" x14ac:dyDescent="0.2">
      <c r="A14" s="112" t="s">
        <v>1262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57" t="s">
        <v>239</v>
      </c>
      <c r="G14" s="146" t="s">
        <v>239</v>
      </c>
      <c r="H14" s="148">
        <v>8.1569280677114335</v>
      </c>
      <c r="I14" s="145" t="s">
        <v>239</v>
      </c>
      <c r="J14" s="142">
        <v>0.99999998774048293</v>
      </c>
      <c r="K14" s="142">
        <v>2.5122526889464517E-5</v>
      </c>
    </row>
    <row r="15" spans="1:16" x14ac:dyDescent="0.2">
      <c r="A15" s="30" t="s">
        <v>1263</v>
      </c>
      <c r="B15" s="46" t="s">
        <v>1264</v>
      </c>
      <c r="C15" s="46" t="s">
        <v>826</v>
      </c>
      <c r="D15" s="46" t="s">
        <v>164</v>
      </c>
      <c r="E15" s="46" t="s">
        <v>126</v>
      </c>
      <c r="F15" s="88">
        <v>785.19078908465406</v>
      </c>
      <c r="G15" s="85">
        <v>300</v>
      </c>
      <c r="H15" s="104">
        <v>8.1055244420511166</v>
      </c>
      <c r="I15" s="38" t="s">
        <v>239</v>
      </c>
      <c r="J15" s="46">
        <v>0.99369815148504126</v>
      </c>
      <c r="K15" s="46">
        <v>2.4964208836743282E-5</v>
      </c>
      <c r="L15" s="28"/>
      <c r="M15" s="28"/>
      <c r="N15" s="28"/>
      <c r="O15" s="28"/>
    </row>
    <row r="16" spans="1:16" x14ac:dyDescent="0.2">
      <c r="A16" s="243" t="s">
        <v>1263</v>
      </c>
      <c r="B16" s="205" t="s">
        <v>1264</v>
      </c>
      <c r="C16" s="205" t="s">
        <v>826</v>
      </c>
      <c r="D16" s="205" t="s">
        <v>164</v>
      </c>
      <c r="E16" s="205" t="s">
        <v>126</v>
      </c>
      <c r="F16" s="245">
        <v>4.9795150273699997</v>
      </c>
      <c r="G16" s="203">
        <v>300</v>
      </c>
      <c r="H16" s="206">
        <v>5.1403525660316467E-2</v>
      </c>
      <c r="I16" s="202" t="s">
        <v>239</v>
      </c>
      <c r="J16" s="205">
        <v>6.3018239959245111E-3</v>
      </c>
      <c r="K16" s="205">
        <v>1.5831774473118536E-7</v>
      </c>
      <c r="L16" s="28"/>
      <c r="M16" s="28"/>
      <c r="N16" s="28"/>
      <c r="O16" s="28"/>
    </row>
    <row r="17" spans="1:15" s="139" customFormat="1" x14ac:dyDescent="0.2">
      <c r="A17" s="97" t="s">
        <v>230</v>
      </c>
      <c r="B17" s="149"/>
      <c r="C17" s="149"/>
      <c r="D17" s="149"/>
      <c r="E17" s="150"/>
      <c r="F17" s="150"/>
      <c r="G17" s="150"/>
      <c r="H17" s="151"/>
      <c r="I17" s="152"/>
      <c r="J17" s="152"/>
      <c r="K17" s="153"/>
      <c r="L17" s="168"/>
      <c r="M17" s="168"/>
      <c r="N17" s="154"/>
      <c r="O17" s="154"/>
    </row>
    <row r="18" spans="1:15" s="139" customFormat="1" x14ac:dyDescent="0.2">
      <c r="A18" s="97" t="s">
        <v>231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68"/>
      <c r="M18" s="168"/>
      <c r="N18" s="154"/>
      <c r="O18" s="154"/>
    </row>
    <row r="19" spans="1:15" s="139" customFormat="1" x14ac:dyDescent="0.2">
      <c r="A19" s="97" t="s">
        <v>232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68"/>
      <c r="M19" s="168"/>
      <c r="N19" s="154"/>
      <c r="O19" s="154"/>
    </row>
    <row r="20" spans="1:15" s="139" customFormat="1" x14ac:dyDescent="0.2">
      <c r="A20" s="97" t="s">
        <v>233</v>
      </c>
      <c r="B20" s="149"/>
      <c r="C20" s="149"/>
      <c r="D20" s="149"/>
      <c r="E20" s="150"/>
      <c r="F20" s="150"/>
      <c r="G20" s="150"/>
      <c r="H20" s="151"/>
      <c r="I20" s="152"/>
      <c r="J20" s="152"/>
      <c r="K20" s="153"/>
      <c r="L20" s="168"/>
      <c r="M20" s="168"/>
      <c r="N20" s="154"/>
      <c r="O20" s="154"/>
    </row>
    <row r="21" spans="1:15" s="139" customFormat="1" x14ac:dyDescent="0.2">
      <c r="A21" s="97" t="s">
        <v>234</v>
      </c>
      <c r="B21" s="149"/>
      <c r="C21" s="149"/>
      <c r="D21" s="149"/>
      <c r="E21" s="150"/>
      <c r="F21" s="150"/>
      <c r="G21" s="150"/>
      <c r="H21" s="151"/>
      <c r="I21" s="152"/>
      <c r="J21" s="152"/>
      <c r="K21" s="153"/>
      <c r="L21" s="168"/>
      <c r="M21" s="168"/>
      <c r="N21" s="154"/>
      <c r="O21" s="154"/>
    </row>
  </sheetData>
  <mergeCells count="2">
    <mergeCell ref="A6:K6"/>
    <mergeCell ref="A5:K5"/>
  </mergeCells>
  <conditionalFormatting sqref="J11:K16">
    <cfRule type="expression" dxfId="124" priority="190" stopIfTrue="1">
      <formula>OR(LEFT(#REF!,3)="TIR",LEFT(#REF!,2)="IR")</formula>
    </cfRule>
  </conditionalFormatting>
  <conditionalFormatting sqref="A10:A16 H10:H16">
    <cfRule type="expression" dxfId="123" priority="191" stopIfTrue="1">
      <formula>#REF!&gt;0</formula>
    </cfRule>
  </conditionalFormatting>
  <conditionalFormatting sqref="G11:G16">
    <cfRule type="expression" dxfId="122" priority="193" stopIfTrue="1">
      <formula>LEFT(#REF!,3)="TIR"</formula>
    </cfRule>
  </conditionalFormatting>
  <conditionalFormatting sqref="B11:E16">
    <cfRule type="expression" dxfId="12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N46" sqref="N46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158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56</v>
      </c>
      <c r="B10" s="89"/>
      <c r="C10" s="89"/>
      <c r="D10" s="89"/>
      <c r="E10" s="170"/>
      <c r="F10" s="171"/>
      <c r="G10" s="174"/>
      <c r="H10" s="129">
        <v>26.665620383865516</v>
      </c>
      <c r="I10" s="89"/>
      <c r="J10" s="89">
        <v>1</v>
      </c>
      <c r="K10" s="102">
        <v>8.2127457733713815E-5</v>
      </c>
    </row>
    <row r="11" spans="1:16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55" t="s">
        <v>239</v>
      </c>
      <c r="G11" s="146" t="s">
        <v>239</v>
      </c>
      <c r="H11" s="143">
        <v>23.772560501147989</v>
      </c>
      <c r="I11" s="142" t="s">
        <v>239</v>
      </c>
      <c r="J11" s="142">
        <v>0.89150599757026383</v>
      </c>
      <c r="K11" s="142">
        <v>7.3217121134804214E-5</v>
      </c>
    </row>
    <row r="12" spans="1:16" s="139" customFormat="1" x14ac:dyDescent="0.2">
      <c r="A12" s="112" t="s">
        <v>1265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57" t="s">
        <v>239</v>
      </c>
      <c r="G12" s="146" t="s">
        <v>239</v>
      </c>
      <c r="H12" s="148">
        <v>23.772560201147989</v>
      </c>
      <c r="I12" s="145" t="s">
        <v>239</v>
      </c>
      <c r="J12" s="142">
        <v>0.89150598631982247</v>
      </c>
      <c r="K12" s="145">
        <v>7.3217120210834058E-5</v>
      </c>
    </row>
    <row r="13" spans="1:16" x14ac:dyDescent="0.2">
      <c r="A13" s="30" t="s">
        <v>1266</v>
      </c>
      <c r="B13" s="46" t="s">
        <v>1267</v>
      </c>
      <c r="C13" s="46" t="s">
        <v>377</v>
      </c>
      <c r="D13" s="46" t="s">
        <v>219</v>
      </c>
      <c r="E13" s="46" t="s">
        <v>246</v>
      </c>
      <c r="F13" s="88">
        <v>-1.9925006868296011</v>
      </c>
      <c r="G13" s="85">
        <v>596700</v>
      </c>
      <c r="H13" s="113">
        <v>-11.88925159831223</v>
      </c>
      <c r="I13" s="38" t="s">
        <v>239</v>
      </c>
      <c r="J13" s="46">
        <v>-0.44586442869733578</v>
      </c>
      <c r="K13" s="38">
        <v>-3.6617712022806897E-5</v>
      </c>
      <c r="L13" s="28"/>
      <c r="M13" s="28"/>
      <c r="N13" s="28"/>
      <c r="O13" s="28"/>
    </row>
    <row r="14" spans="1:16" x14ac:dyDescent="0.2">
      <c r="A14" s="30" t="s">
        <v>1268</v>
      </c>
      <c r="B14" s="46" t="s">
        <v>1269</v>
      </c>
      <c r="C14" s="46" t="s">
        <v>377</v>
      </c>
      <c r="D14" s="46" t="s">
        <v>219</v>
      </c>
      <c r="E14" s="46" t="s">
        <v>246</v>
      </c>
      <c r="F14" s="88">
        <v>1.9925006868296011</v>
      </c>
      <c r="G14" s="85">
        <v>143200</v>
      </c>
      <c r="H14" s="113">
        <v>2.8532609835399891</v>
      </c>
      <c r="I14" s="38" t="s">
        <v>239</v>
      </c>
      <c r="J14" s="46">
        <v>0.10700148515076</v>
      </c>
      <c r="K14" s="38">
        <v>8.787759949163647E-6</v>
      </c>
      <c r="L14" s="28"/>
      <c r="M14" s="28"/>
      <c r="N14" s="28"/>
      <c r="O14" s="28"/>
    </row>
    <row r="15" spans="1:16" x14ac:dyDescent="0.2">
      <c r="A15" s="30" t="s">
        <v>1270</v>
      </c>
      <c r="B15" s="46" t="s">
        <v>1271</v>
      </c>
      <c r="C15" s="46" t="s">
        <v>377</v>
      </c>
      <c r="D15" s="46" t="s">
        <v>219</v>
      </c>
      <c r="E15" s="46" t="s">
        <v>246</v>
      </c>
      <c r="F15" s="88">
        <v>1.489240204073671</v>
      </c>
      <c r="G15" s="85">
        <v>121365.00000000001</v>
      </c>
      <c r="H15" s="113">
        <v>1.8074163736740108</v>
      </c>
      <c r="I15" s="38" t="s">
        <v>239</v>
      </c>
      <c r="J15" s="46">
        <v>6.7780773432431315E-2</v>
      </c>
      <c r="K15" s="38">
        <v>5.5666626052304347E-6</v>
      </c>
      <c r="L15" s="28"/>
      <c r="M15" s="28"/>
      <c r="N15" s="28"/>
      <c r="O15" s="28"/>
    </row>
    <row r="16" spans="1:16" x14ac:dyDescent="0.2">
      <c r="A16" s="30" t="s">
        <v>1272</v>
      </c>
      <c r="B16" s="46" t="s">
        <v>1273</v>
      </c>
      <c r="C16" s="46" t="s">
        <v>377</v>
      </c>
      <c r="D16" s="46" t="s">
        <v>219</v>
      </c>
      <c r="E16" s="46" t="s">
        <v>246</v>
      </c>
      <c r="F16" s="88">
        <v>-1.489240204073671</v>
      </c>
      <c r="G16" s="85">
        <v>176022</v>
      </c>
      <c r="H16" s="113">
        <v>-2.6213903920145571</v>
      </c>
      <c r="I16" s="38" t="s">
        <v>239</v>
      </c>
      <c r="J16" s="46">
        <v>-9.830599679580955E-2</v>
      </c>
      <c r="K16" s="38">
        <v>-8.0736215968184533E-6</v>
      </c>
      <c r="L16" s="28"/>
      <c r="M16" s="28"/>
      <c r="N16" s="28"/>
      <c r="O16" s="28"/>
    </row>
    <row r="17" spans="1:15" x14ac:dyDescent="0.2">
      <c r="A17" s="30" t="s">
        <v>1274</v>
      </c>
      <c r="B17" s="46" t="s">
        <v>1275</v>
      </c>
      <c r="C17" s="46" t="s">
        <v>377</v>
      </c>
      <c r="D17" s="46" t="s">
        <v>219</v>
      </c>
      <c r="E17" s="46" t="s">
        <v>246</v>
      </c>
      <c r="F17" s="88">
        <v>14.36860031378666</v>
      </c>
      <c r="G17" s="85">
        <v>538000</v>
      </c>
      <c r="H17" s="113">
        <v>77.303069688172229</v>
      </c>
      <c r="I17" s="38" t="s">
        <v>239</v>
      </c>
      <c r="J17" s="46">
        <v>2.8989788564959005</v>
      </c>
      <c r="K17" s="38">
        <v>2.3808576350779705E-4</v>
      </c>
      <c r="L17" s="28"/>
      <c r="M17" s="28"/>
      <c r="N17" s="28"/>
      <c r="O17" s="28"/>
    </row>
    <row r="18" spans="1:15" x14ac:dyDescent="0.2">
      <c r="A18" s="30" t="s">
        <v>1276</v>
      </c>
      <c r="B18" s="46" t="s">
        <v>1277</v>
      </c>
      <c r="C18" s="46" t="s">
        <v>377</v>
      </c>
      <c r="D18" s="46" t="s">
        <v>219</v>
      </c>
      <c r="E18" s="46" t="s">
        <v>246</v>
      </c>
      <c r="F18" s="88">
        <v>-14.36860031378666</v>
      </c>
      <c r="G18" s="85">
        <v>304000</v>
      </c>
      <c r="H18" s="113">
        <v>-43.680544953911451</v>
      </c>
      <c r="I18" s="38" t="s">
        <v>239</v>
      </c>
      <c r="J18" s="46">
        <v>-1.638084707016271</v>
      </c>
      <c r="K18" s="38">
        <v>-1.3453173253972177E-4</v>
      </c>
      <c r="L18" s="28"/>
      <c r="M18" s="28"/>
      <c r="N18" s="28"/>
      <c r="O18" s="28"/>
    </row>
    <row r="19" spans="1:15" s="139" customFormat="1" x14ac:dyDescent="0.2">
      <c r="A19" s="112" t="s">
        <v>1278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57" t="s">
        <v>239</v>
      </c>
      <c r="G19" s="146" t="s">
        <v>239</v>
      </c>
      <c r="H19" s="148">
        <v>0</v>
      </c>
      <c r="I19" s="145" t="s">
        <v>239</v>
      </c>
      <c r="J19" s="142">
        <v>0</v>
      </c>
      <c r="K19" s="145">
        <v>0</v>
      </c>
    </row>
    <row r="20" spans="1:15" s="139" customFormat="1" x14ac:dyDescent="0.2">
      <c r="A20" s="112" t="s">
        <v>1279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57" t="s">
        <v>239</v>
      </c>
      <c r="G20" s="146" t="s">
        <v>239</v>
      </c>
      <c r="H20" s="148">
        <v>0</v>
      </c>
      <c r="I20" s="145" t="s">
        <v>239</v>
      </c>
      <c r="J20" s="142">
        <v>0</v>
      </c>
      <c r="K20" s="145">
        <v>0</v>
      </c>
    </row>
    <row r="21" spans="1:15" s="139" customFormat="1" x14ac:dyDescent="0.2">
      <c r="A21" s="112" t="s">
        <v>143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57" t="s">
        <v>239</v>
      </c>
      <c r="G21" s="146" t="s">
        <v>239</v>
      </c>
      <c r="H21" s="148">
        <v>0</v>
      </c>
      <c r="I21" s="145" t="s">
        <v>239</v>
      </c>
      <c r="J21" s="142">
        <v>0</v>
      </c>
      <c r="K21" s="145">
        <v>0</v>
      </c>
    </row>
    <row r="22" spans="1:15" s="139" customFormat="1" x14ac:dyDescent="0.2">
      <c r="A22" s="112" t="s">
        <v>370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57" t="s">
        <v>239</v>
      </c>
      <c r="G22" s="146" t="s">
        <v>239</v>
      </c>
      <c r="H22" s="148">
        <v>2.8930598827175329</v>
      </c>
      <c r="I22" s="145" t="s">
        <v>239</v>
      </c>
      <c r="J22" s="142">
        <v>0.10849400242973636</v>
      </c>
      <c r="K22" s="145">
        <v>8.910336598909616E-6</v>
      </c>
    </row>
    <row r="23" spans="1:15" s="139" customFormat="1" x14ac:dyDescent="0.2">
      <c r="A23" s="112" t="s">
        <v>1265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57" t="s">
        <v>239</v>
      </c>
      <c r="G23" s="146" t="s">
        <v>239</v>
      </c>
      <c r="H23" s="148">
        <v>0</v>
      </c>
      <c r="I23" s="145" t="s">
        <v>239</v>
      </c>
      <c r="J23" s="142">
        <v>0</v>
      </c>
      <c r="K23" s="145">
        <v>0</v>
      </c>
    </row>
    <row r="24" spans="1:15" s="139" customFormat="1" x14ac:dyDescent="0.2">
      <c r="A24" s="112" t="s">
        <v>1280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57" t="s">
        <v>239</v>
      </c>
      <c r="G24" s="146" t="s">
        <v>239</v>
      </c>
      <c r="H24" s="148">
        <v>0</v>
      </c>
      <c r="I24" s="145" t="s">
        <v>239</v>
      </c>
      <c r="J24" s="142">
        <v>0</v>
      </c>
      <c r="K24" s="145">
        <v>0</v>
      </c>
    </row>
    <row r="25" spans="1:15" s="139" customFormat="1" x14ac:dyDescent="0.2">
      <c r="A25" s="112" t="s">
        <v>1279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57" t="s">
        <v>239</v>
      </c>
      <c r="G25" s="146" t="s">
        <v>239</v>
      </c>
      <c r="H25" s="148">
        <v>0</v>
      </c>
      <c r="I25" s="145" t="s">
        <v>239</v>
      </c>
      <c r="J25" s="142">
        <v>0</v>
      </c>
      <c r="K25" s="145">
        <v>0</v>
      </c>
    </row>
    <row r="26" spans="1:15" s="139" customFormat="1" x14ac:dyDescent="0.2">
      <c r="A26" s="112" t="s">
        <v>1281</v>
      </c>
      <c r="B26" s="142" t="s">
        <v>239</v>
      </c>
      <c r="C26" s="142" t="s">
        <v>239</v>
      </c>
      <c r="D26" s="142" t="s">
        <v>239</v>
      </c>
      <c r="E26" s="142" t="s">
        <v>239</v>
      </c>
      <c r="F26" s="157" t="s">
        <v>239</v>
      </c>
      <c r="G26" s="146" t="s">
        <v>239</v>
      </c>
      <c r="H26" s="148">
        <v>2.8930594827175322</v>
      </c>
      <c r="I26" s="145" t="s">
        <v>239</v>
      </c>
      <c r="J26" s="142">
        <v>0.10849398742914779</v>
      </c>
      <c r="K26" s="145">
        <v>8.9103353669494119E-6</v>
      </c>
    </row>
    <row r="27" spans="1:15" x14ac:dyDescent="0.2">
      <c r="A27" s="30" t="s">
        <v>1282</v>
      </c>
      <c r="B27" s="46" t="s">
        <v>1283</v>
      </c>
      <c r="C27" s="46" t="s">
        <v>219</v>
      </c>
      <c r="D27" s="46" t="s">
        <v>188</v>
      </c>
      <c r="E27" s="46" t="s">
        <v>126</v>
      </c>
      <c r="F27" s="88">
        <v>-3.9836120218959999E-2</v>
      </c>
      <c r="G27" s="85">
        <v>365</v>
      </c>
      <c r="H27" s="113">
        <v>-0.50032772730806097</v>
      </c>
      <c r="I27" s="38" t="s">
        <v>239</v>
      </c>
      <c r="J27" s="46">
        <v>-1.8763025952727982E-2</v>
      </c>
      <c r="K27" s="38">
        <v>-1.5409596208892425E-6</v>
      </c>
      <c r="L27" s="28"/>
      <c r="M27" s="28"/>
      <c r="N27" s="28"/>
      <c r="O27" s="28"/>
    </row>
    <row r="28" spans="1:15" x14ac:dyDescent="0.2">
      <c r="A28" s="30" t="s">
        <v>1284</v>
      </c>
      <c r="B28" s="46" t="s">
        <v>1285</v>
      </c>
      <c r="C28" s="46" t="s">
        <v>219</v>
      </c>
      <c r="D28" s="46" t="s">
        <v>188</v>
      </c>
      <c r="E28" s="46" t="s">
        <v>126</v>
      </c>
      <c r="F28" s="88">
        <v>1.5934448087583999E-2</v>
      </c>
      <c r="G28" s="85">
        <v>18</v>
      </c>
      <c r="H28" s="113">
        <v>9.8694784564877774E-3</v>
      </c>
      <c r="I28" s="38" t="s">
        <v>239</v>
      </c>
      <c r="J28" s="46">
        <v>3.7011996399901774E-4</v>
      </c>
      <c r="K28" s="38">
        <v>3.0397011699733002E-8</v>
      </c>
      <c r="L28" s="28"/>
      <c r="M28" s="28"/>
      <c r="N28" s="28"/>
      <c r="O28" s="28"/>
    </row>
    <row r="29" spans="1:15" x14ac:dyDescent="0.2">
      <c r="A29" s="30" t="s">
        <v>1286</v>
      </c>
      <c r="B29" s="46" t="s">
        <v>1287</v>
      </c>
      <c r="C29" s="46" t="s">
        <v>219</v>
      </c>
      <c r="D29" s="46" t="s">
        <v>188</v>
      </c>
      <c r="E29" s="46" t="s">
        <v>126</v>
      </c>
      <c r="F29" s="88">
        <v>3.1868896175167999E-2</v>
      </c>
      <c r="G29" s="85">
        <v>855.00000000000011</v>
      </c>
      <c r="H29" s="113">
        <v>0.37504018134653555</v>
      </c>
      <c r="I29" s="38" t="s">
        <v>239</v>
      </c>
      <c r="J29" s="46">
        <v>1.4064558631962674E-2</v>
      </c>
      <c r="K29" s="38">
        <v>1.1550864445898542E-6</v>
      </c>
      <c r="L29" s="28"/>
      <c r="M29" s="28"/>
      <c r="N29" s="28"/>
      <c r="O29" s="28"/>
    </row>
    <row r="30" spans="1:15" x14ac:dyDescent="0.2">
      <c r="A30" s="30" t="s">
        <v>1288</v>
      </c>
      <c r="B30" s="46" t="s">
        <v>1289</v>
      </c>
      <c r="C30" s="46" t="s">
        <v>219</v>
      </c>
      <c r="D30" s="46" t="s">
        <v>188</v>
      </c>
      <c r="E30" s="46" t="s">
        <v>126</v>
      </c>
      <c r="F30" s="88">
        <v>0.23901672131376001</v>
      </c>
      <c r="G30" s="85">
        <v>512.5</v>
      </c>
      <c r="H30" s="113">
        <v>0.21075447592208002</v>
      </c>
      <c r="I30" s="38" t="s">
        <v>239</v>
      </c>
      <c r="J30" s="46">
        <v>7.9036029497217535E-3</v>
      </c>
      <c r="K30" s="38">
        <v>6.4910281719732915E-7</v>
      </c>
      <c r="L30" s="28"/>
      <c r="M30" s="28"/>
      <c r="N30" s="28"/>
      <c r="O30" s="28"/>
    </row>
    <row r="31" spans="1:15" x14ac:dyDescent="0.2">
      <c r="A31" s="30" t="s">
        <v>1290</v>
      </c>
      <c r="B31" s="46" t="s">
        <v>1291</v>
      </c>
      <c r="C31" s="46" t="s">
        <v>219</v>
      </c>
      <c r="D31" s="46" t="s">
        <v>188</v>
      </c>
      <c r="E31" s="46" t="s">
        <v>126</v>
      </c>
      <c r="F31" s="88">
        <v>0.15934448087583999</v>
      </c>
      <c r="G31" s="85">
        <v>26</v>
      </c>
      <c r="H31" s="113">
        <v>0.142559133260379</v>
      </c>
      <c r="I31" s="38" t="s">
        <v>239</v>
      </c>
      <c r="J31" s="46">
        <v>5.3461772577635888E-3</v>
      </c>
      <c r="K31" s="38">
        <v>4.3906794677392113E-7</v>
      </c>
      <c r="L31" s="28"/>
      <c r="M31" s="28"/>
      <c r="N31" s="28"/>
      <c r="O31" s="28"/>
    </row>
    <row r="32" spans="1:15" x14ac:dyDescent="0.2">
      <c r="A32" s="30" t="s">
        <v>1292</v>
      </c>
      <c r="B32" s="46" t="s">
        <v>1293</v>
      </c>
      <c r="C32" s="46" t="s">
        <v>219</v>
      </c>
      <c r="D32" s="46" t="s">
        <v>188</v>
      </c>
      <c r="E32" s="46" t="s">
        <v>126</v>
      </c>
      <c r="F32" s="88">
        <v>0.15934448087583999</v>
      </c>
      <c r="G32" s="85">
        <v>2262.5</v>
      </c>
      <c r="H32" s="113">
        <v>0.6202692978050981</v>
      </c>
      <c r="I32" s="38" t="s">
        <v>239</v>
      </c>
      <c r="J32" s="46">
        <v>2.3261011327544528E-2</v>
      </c>
      <c r="K32" s="38">
        <v>1.9103677246463515E-6</v>
      </c>
      <c r="L32" s="28"/>
      <c r="M32" s="28"/>
      <c r="N32" s="28"/>
      <c r="O32" s="28"/>
    </row>
    <row r="33" spans="1:15" x14ac:dyDescent="0.2">
      <c r="A33" s="30" t="s">
        <v>1294</v>
      </c>
      <c r="B33" s="46" t="s">
        <v>1295</v>
      </c>
      <c r="C33" s="46" t="s">
        <v>219</v>
      </c>
      <c r="D33" s="46" t="s">
        <v>188</v>
      </c>
      <c r="E33" s="46" t="s">
        <v>126</v>
      </c>
      <c r="F33" s="88">
        <v>0.31868896175167999</v>
      </c>
      <c r="G33" s="85">
        <v>187.5</v>
      </c>
      <c r="H33" s="113">
        <v>0.10280706725508103</v>
      </c>
      <c r="I33" s="38" t="s">
        <v>239</v>
      </c>
      <c r="J33" s="46">
        <v>3.8554162916564346E-3</v>
      </c>
      <c r="K33" s="38">
        <v>3.1663553853888551E-7</v>
      </c>
      <c r="L33" s="28"/>
      <c r="M33" s="28"/>
      <c r="N33" s="28"/>
      <c r="O33" s="28"/>
    </row>
    <row r="34" spans="1:15" x14ac:dyDescent="0.2">
      <c r="A34" s="30" t="s">
        <v>1296</v>
      </c>
      <c r="B34" s="46" t="s">
        <v>1297</v>
      </c>
      <c r="C34" s="46" t="s">
        <v>219</v>
      </c>
      <c r="D34" s="46" t="s">
        <v>188</v>
      </c>
      <c r="E34" s="46" t="s">
        <v>126</v>
      </c>
      <c r="F34" s="88">
        <v>0.15934448087583999</v>
      </c>
      <c r="G34" s="85">
        <v>387.5</v>
      </c>
      <c r="H34" s="113">
        <v>0.106233961529693</v>
      </c>
      <c r="I34" s="38" t="s">
        <v>239</v>
      </c>
      <c r="J34" s="46">
        <v>3.9839298692623572E-3</v>
      </c>
      <c r="K34" s="38">
        <v>3.2719003195192423E-7</v>
      </c>
      <c r="L34" s="28"/>
      <c r="M34" s="28"/>
      <c r="N34" s="28"/>
      <c r="O34" s="28"/>
    </row>
    <row r="35" spans="1:15" x14ac:dyDescent="0.2">
      <c r="A35" s="30" t="s">
        <v>1298</v>
      </c>
      <c r="B35" s="46" t="s">
        <v>1299</v>
      </c>
      <c r="C35" s="46" t="s">
        <v>219</v>
      </c>
      <c r="D35" s="46" t="s">
        <v>188</v>
      </c>
      <c r="E35" s="46" t="s">
        <v>126</v>
      </c>
      <c r="F35" s="88">
        <v>0.31868896175167999</v>
      </c>
      <c r="G35" s="85">
        <v>250</v>
      </c>
      <c r="H35" s="113">
        <v>0.13707608967344137</v>
      </c>
      <c r="I35" s="38" t="s">
        <v>239</v>
      </c>
      <c r="J35" s="46">
        <v>5.1405550555419129E-3</v>
      </c>
      <c r="K35" s="38">
        <v>4.2218071805184731E-7</v>
      </c>
      <c r="L35" s="28"/>
      <c r="M35" s="28"/>
      <c r="N35" s="28"/>
      <c r="O35" s="28"/>
    </row>
    <row r="36" spans="1:15" x14ac:dyDescent="0.2">
      <c r="A36" s="30" t="s">
        <v>1300</v>
      </c>
      <c r="B36" s="46" t="s">
        <v>1301</v>
      </c>
      <c r="C36" s="46" t="s">
        <v>219</v>
      </c>
      <c r="D36" s="46" t="s">
        <v>188</v>
      </c>
      <c r="E36" s="46" t="s">
        <v>126</v>
      </c>
      <c r="F36" s="88">
        <v>0.15934448087583999</v>
      </c>
      <c r="G36" s="85">
        <v>308</v>
      </c>
      <c r="H36" s="113">
        <v>1.6887774247767975</v>
      </c>
      <c r="I36" s="38" t="s">
        <v>239</v>
      </c>
      <c r="J36" s="46">
        <v>6.3331638284276362E-2</v>
      </c>
      <c r="K36" s="38">
        <v>5.2012664463987587E-6</v>
      </c>
      <c r="L36" s="28"/>
      <c r="M36" s="28"/>
      <c r="N36" s="28"/>
      <c r="O36" s="28"/>
    </row>
    <row r="37" spans="1:15" s="139" customFormat="1" x14ac:dyDescent="0.2">
      <c r="A37" s="234" t="s">
        <v>143</v>
      </c>
      <c r="B37" s="235" t="s">
        <v>239</v>
      </c>
      <c r="C37" s="235" t="s">
        <v>239</v>
      </c>
      <c r="D37" s="235" t="s">
        <v>239</v>
      </c>
      <c r="E37" s="235" t="s">
        <v>239</v>
      </c>
      <c r="F37" s="239" t="s">
        <v>239</v>
      </c>
      <c r="G37" s="236" t="s">
        <v>239</v>
      </c>
      <c r="H37" s="240">
        <v>0</v>
      </c>
      <c r="I37" s="238" t="s">
        <v>239</v>
      </c>
      <c r="J37" s="235">
        <v>0</v>
      </c>
      <c r="K37" s="238">
        <v>0</v>
      </c>
    </row>
    <row r="38" spans="1:15" s="139" customFormat="1" x14ac:dyDescent="0.2">
      <c r="A38" s="97" t="s">
        <v>230</v>
      </c>
      <c r="B38" s="149"/>
      <c r="C38" s="149"/>
      <c r="D38" s="149"/>
      <c r="E38" s="149"/>
      <c r="F38" s="150"/>
      <c r="G38" s="150"/>
      <c r="H38" s="150"/>
      <c r="I38" s="151"/>
      <c r="J38" s="152"/>
      <c r="K38" s="153"/>
      <c r="L38" s="168"/>
      <c r="M38" s="168"/>
      <c r="N38" s="154"/>
      <c r="O38" s="154"/>
    </row>
    <row r="39" spans="1:15" s="139" customFormat="1" x14ac:dyDescent="0.2">
      <c r="A39" s="97" t="s">
        <v>231</v>
      </c>
      <c r="B39" s="149"/>
      <c r="C39" s="149"/>
      <c r="D39" s="149"/>
      <c r="E39" s="149"/>
      <c r="F39" s="150"/>
      <c r="G39" s="150"/>
      <c r="H39" s="150"/>
      <c r="I39" s="151"/>
      <c r="J39" s="152"/>
      <c r="K39" s="153"/>
      <c r="L39" s="168"/>
      <c r="M39" s="168"/>
      <c r="N39" s="154"/>
      <c r="O39" s="154"/>
    </row>
    <row r="40" spans="1:15" s="139" customFormat="1" x14ac:dyDescent="0.2">
      <c r="A40" s="97" t="s">
        <v>232</v>
      </c>
      <c r="B40" s="149"/>
      <c r="C40" s="149"/>
      <c r="D40" s="149"/>
      <c r="E40" s="149"/>
      <c r="F40" s="150"/>
      <c r="G40" s="150"/>
      <c r="H40" s="150"/>
      <c r="I40" s="151"/>
      <c r="J40" s="152"/>
      <c r="K40" s="153"/>
      <c r="L40" s="168"/>
      <c r="M40" s="168"/>
      <c r="N40" s="154"/>
      <c r="O40" s="154"/>
    </row>
    <row r="41" spans="1:15" s="139" customFormat="1" x14ac:dyDescent="0.2">
      <c r="A41" s="97" t="s">
        <v>233</v>
      </c>
      <c r="B41" s="149"/>
      <c r="C41" s="149"/>
      <c r="D41" s="149"/>
      <c r="E41" s="149"/>
      <c r="F41" s="150"/>
      <c r="G41" s="150"/>
      <c r="H41" s="150"/>
      <c r="I41" s="151"/>
      <c r="J41" s="152"/>
      <c r="K41" s="153"/>
      <c r="L41" s="168"/>
      <c r="M41" s="168"/>
      <c r="N41" s="154"/>
      <c r="O41" s="154"/>
    </row>
    <row r="42" spans="1:15" s="139" customFormat="1" x14ac:dyDescent="0.2">
      <c r="A42" s="97" t="s">
        <v>234</v>
      </c>
      <c r="B42" s="149"/>
      <c r="C42" s="149"/>
      <c r="D42" s="149"/>
      <c r="E42" s="149"/>
      <c r="F42" s="150"/>
      <c r="G42" s="150"/>
      <c r="H42" s="150"/>
      <c r="I42" s="151"/>
      <c r="J42" s="152"/>
      <c r="K42" s="153"/>
      <c r="L42" s="168"/>
      <c r="M42" s="168"/>
      <c r="N42" s="154"/>
      <c r="O42" s="154"/>
    </row>
  </sheetData>
  <mergeCells count="2">
    <mergeCell ref="A6:K6"/>
    <mergeCell ref="A5:K5"/>
  </mergeCells>
  <conditionalFormatting sqref="J1:J4 F10:I37 I38:I55572">
    <cfRule type="expression" dxfId="120" priority="205" stopIfTrue="1">
      <formula>LEFT(#REF!,3)="TIR"</formula>
    </cfRule>
  </conditionalFormatting>
  <conditionalFormatting sqref="B10:F37 J10:K37">
    <cfRule type="expression" dxfId="119" priority="208" stopIfTrue="1">
      <formula>LEFT(#REF!,3)="TIR"</formula>
    </cfRule>
  </conditionalFormatting>
  <conditionalFormatting sqref="A10:A37 I10:I37">
    <cfRule type="expression" dxfId="118" priority="210" stopIfTrue="1">
      <formula>#REF!&gt;0</formula>
    </cfRule>
    <cfRule type="expression" dxfId="117" priority="211" stopIfTrue="1">
      <formula>LEFT(#REF!,3)="TIR"</formula>
    </cfRule>
  </conditionalFormatting>
  <conditionalFormatting sqref="H11:H37 J11:K37">
    <cfRule type="expression" dxfId="11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0"/>
  <sheetViews>
    <sheetView rightToLeft="1" topLeftCell="A7" workbookViewId="0">
      <selection activeCell="A7" sqref="A7:J45"/>
    </sheetView>
  </sheetViews>
  <sheetFormatPr defaultRowHeight="12.75" x14ac:dyDescent="0.2"/>
  <cols>
    <col min="1" max="1" width="32.28515625" style="23" bestFit="1" customWidth="1"/>
    <col min="2" max="2" width="14.570312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158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9" customFormat="1" ht="12.75" customHeight="1" thickBot="1" x14ac:dyDescent="0.25">
      <c r="A10" s="169" t="s">
        <v>62</v>
      </c>
      <c r="B10" s="89"/>
      <c r="C10" s="89"/>
      <c r="D10" s="89"/>
      <c r="E10" s="170"/>
      <c r="F10" s="171"/>
      <c r="G10" s="170"/>
      <c r="H10" s="172">
        <v>-89.037755049767256</v>
      </c>
      <c r="I10" s="89">
        <v>1</v>
      </c>
      <c r="J10" s="102">
        <v>-2.7422742689980846E-4</v>
      </c>
    </row>
    <row r="11" spans="1:16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55" t="s">
        <v>239</v>
      </c>
      <c r="G11" s="146" t="s">
        <v>239</v>
      </c>
      <c r="H11" s="143">
        <v>0</v>
      </c>
      <c r="I11" s="142">
        <v>0</v>
      </c>
      <c r="J11" s="142">
        <v>0</v>
      </c>
    </row>
    <row r="12" spans="1:16" s="139" customFormat="1" x14ac:dyDescent="0.2">
      <c r="A12" s="112" t="s">
        <v>370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57" t="s">
        <v>239</v>
      </c>
      <c r="G12" s="147" t="s">
        <v>239</v>
      </c>
      <c r="H12" s="148">
        <v>-89.037755149767079</v>
      </c>
      <c r="I12" s="142">
        <v>1.0000000011231172</v>
      </c>
      <c r="J12" s="142">
        <v>-2.7422742720779799E-4</v>
      </c>
    </row>
    <row r="13" spans="1:16" x14ac:dyDescent="0.2">
      <c r="A13" s="30" t="s">
        <v>1302</v>
      </c>
      <c r="B13" s="46" t="s">
        <v>1303</v>
      </c>
      <c r="C13" s="46" t="s">
        <v>219</v>
      </c>
      <c r="D13" s="46" t="s">
        <v>188</v>
      </c>
      <c r="E13" s="46" t="s">
        <v>127</v>
      </c>
      <c r="F13" s="88">
        <v>-18295.426080899026</v>
      </c>
      <c r="G13" s="80">
        <v>1</v>
      </c>
      <c r="H13" s="104">
        <v>-73.653726316483301</v>
      </c>
      <c r="I13" s="46">
        <v>0.82721904067903418</v>
      </c>
      <c r="J13" s="46">
        <v>-2.2684614900793954E-4</v>
      </c>
      <c r="K13" s="28"/>
      <c r="L13" s="28"/>
      <c r="M13" s="28"/>
      <c r="N13" s="28"/>
      <c r="O13" s="28"/>
    </row>
    <row r="14" spans="1:16" x14ac:dyDescent="0.2">
      <c r="A14" s="30" t="s">
        <v>1304</v>
      </c>
      <c r="B14" s="46" t="s">
        <v>1305</v>
      </c>
      <c r="C14" s="46" t="s">
        <v>219</v>
      </c>
      <c r="D14" s="46" t="s">
        <v>188</v>
      </c>
      <c r="E14" s="46" t="s">
        <v>295</v>
      </c>
      <c r="F14" s="88">
        <v>9.2087208158545497</v>
      </c>
      <c r="G14" s="80">
        <v>1625.5</v>
      </c>
      <c r="H14" s="104">
        <v>4871.7377348213995</v>
      </c>
      <c r="I14" s="46">
        <v>-54.715415186494361</v>
      </c>
      <c r="J14" s="46">
        <v>1.500446751834705E-2</v>
      </c>
      <c r="K14" s="28"/>
      <c r="L14" s="28"/>
      <c r="M14" s="28"/>
      <c r="N14" s="28"/>
      <c r="O14" s="28"/>
    </row>
    <row r="15" spans="1:16" x14ac:dyDescent="0.2">
      <c r="A15" s="30" t="s">
        <v>1306</v>
      </c>
      <c r="B15" s="46" t="s">
        <v>1307</v>
      </c>
      <c r="C15" s="46" t="s">
        <v>219</v>
      </c>
      <c r="D15" s="46" t="s">
        <v>188</v>
      </c>
      <c r="E15" s="46" t="s">
        <v>295</v>
      </c>
      <c r="F15" s="88">
        <v>-147017227.82511789</v>
      </c>
      <c r="G15" s="80">
        <v>1</v>
      </c>
      <c r="H15" s="104">
        <v>-4784.8226967962864</v>
      </c>
      <c r="I15" s="46">
        <v>53.739255826046289</v>
      </c>
      <c r="J15" s="46">
        <v>-1.4736777848687212E-2</v>
      </c>
      <c r="K15" s="28"/>
      <c r="L15" s="28"/>
      <c r="M15" s="28"/>
      <c r="N15" s="28"/>
      <c r="O15" s="28"/>
    </row>
    <row r="16" spans="1:16" x14ac:dyDescent="0.2">
      <c r="A16" s="30" t="s">
        <v>1308</v>
      </c>
      <c r="B16" s="46" t="s">
        <v>1309</v>
      </c>
      <c r="C16" s="46" t="s">
        <v>219</v>
      </c>
      <c r="D16" s="46" t="s">
        <v>188</v>
      </c>
      <c r="E16" s="46" t="s">
        <v>126</v>
      </c>
      <c r="F16" s="88">
        <v>8.1957615261105499</v>
      </c>
      <c r="G16" s="80">
        <v>11407.25</v>
      </c>
      <c r="H16" s="104">
        <v>6434.0575480216248</v>
      </c>
      <c r="I16" s="46">
        <v>-72.262126829515609</v>
      </c>
      <c r="J16" s="46">
        <v>1.9816257102765678E-2</v>
      </c>
      <c r="K16" s="28"/>
      <c r="L16" s="28"/>
      <c r="M16" s="28"/>
      <c r="N16" s="28"/>
      <c r="O16" s="28"/>
    </row>
    <row r="17" spans="1:15" x14ac:dyDescent="0.2">
      <c r="A17" s="30" t="s">
        <v>1310</v>
      </c>
      <c r="B17" s="46" t="s">
        <v>1311</v>
      </c>
      <c r="C17" s="46" t="s">
        <v>219</v>
      </c>
      <c r="D17" s="46" t="s">
        <v>188</v>
      </c>
      <c r="E17" s="46" t="s">
        <v>126</v>
      </c>
      <c r="F17" s="88">
        <v>-1811087.323772524</v>
      </c>
      <c r="G17" s="80">
        <v>1</v>
      </c>
      <c r="H17" s="104">
        <v>-6231.9514810371629</v>
      </c>
      <c r="I17" s="46">
        <v>69.992235064258324</v>
      </c>
      <c r="J17" s="46">
        <v>-1.919379052463811E-2</v>
      </c>
      <c r="K17" s="28"/>
      <c r="L17" s="28"/>
      <c r="M17" s="28"/>
      <c r="N17" s="28"/>
      <c r="O17" s="28"/>
    </row>
    <row r="18" spans="1:15" x14ac:dyDescent="0.2">
      <c r="A18" s="30" t="s">
        <v>1312</v>
      </c>
      <c r="B18" s="46" t="s">
        <v>1313</v>
      </c>
      <c r="C18" s="46" t="s">
        <v>219</v>
      </c>
      <c r="D18" s="46" t="s">
        <v>188</v>
      </c>
      <c r="E18" s="46" t="s">
        <v>126</v>
      </c>
      <c r="F18" s="88">
        <v>1.2984296350354916</v>
      </c>
      <c r="G18" s="80">
        <v>11407.25</v>
      </c>
      <c r="H18" s="104">
        <v>32.020882458455254</v>
      </c>
      <c r="I18" s="46">
        <v>-0.35963263494859371</v>
      </c>
      <c r="J18" s="46">
        <v>9.8621132111150988E-5</v>
      </c>
      <c r="K18" s="28"/>
      <c r="L18" s="28"/>
      <c r="M18" s="28"/>
      <c r="N18" s="28"/>
      <c r="O18" s="28"/>
    </row>
    <row r="19" spans="1:15" x14ac:dyDescent="0.2">
      <c r="A19" s="30" t="s">
        <v>1314</v>
      </c>
      <c r="B19" s="46" t="s">
        <v>1315</v>
      </c>
      <c r="C19" s="46" t="s">
        <v>219</v>
      </c>
      <c r="D19" s="46" t="s">
        <v>188</v>
      </c>
      <c r="E19" s="46" t="s">
        <v>127</v>
      </c>
      <c r="F19" s="88">
        <v>4.355724945899202</v>
      </c>
      <c r="G19" s="80">
        <v>12779</v>
      </c>
      <c r="H19" s="104">
        <v>5602.0827751774987</v>
      </c>
      <c r="I19" s="46">
        <v>-62.918059558512446</v>
      </c>
      <c r="J19" s="46">
        <v>1.7253857578259767E-2</v>
      </c>
      <c r="K19" s="28"/>
      <c r="L19" s="28"/>
      <c r="M19" s="28"/>
      <c r="N19" s="28"/>
      <c r="O19" s="28"/>
    </row>
    <row r="20" spans="1:15" x14ac:dyDescent="0.2">
      <c r="A20" s="30" t="s">
        <v>1316</v>
      </c>
      <c r="B20" s="46" t="s">
        <v>1317</v>
      </c>
      <c r="C20" s="46" t="s">
        <v>219</v>
      </c>
      <c r="D20" s="46" t="s">
        <v>188</v>
      </c>
      <c r="E20" s="46" t="s">
        <v>127</v>
      </c>
      <c r="F20" s="88">
        <v>-1435014.406646437</v>
      </c>
      <c r="G20" s="80">
        <v>1</v>
      </c>
      <c r="H20" s="104">
        <v>-5777.0809982749242</v>
      </c>
      <c r="I20" s="46">
        <v>64.883497961576538</v>
      </c>
      <c r="J20" s="46">
        <v>-1.77928346942621E-2</v>
      </c>
      <c r="K20" s="28"/>
      <c r="L20" s="28"/>
      <c r="M20" s="28"/>
      <c r="N20" s="28"/>
      <c r="O20" s="28"/>
    </row>
    <row r="21" spans="1:15" x14ac:dyDescent="0.2">
      <c r="A21" s="30" t="s">
        <v>1318</v>
      </c>
      <c r="B21" s="46" t="s">
        <v>1319</v>
      </c>
      <c r="C21" s="46" t="s">
        <v>219</v>
      </c>
      <c r="D21" s="46" t="s">
        <v>188</v>
      </c>
      <c r="E21" s="46" t="s">
        <v>126</v>
      </c>
      <c r="F21" s="88">
        <v>18.316145702734701</v>
      </c>
      <c r="G21" s="80">
        <v>3352</v>
      </c>
      <c r="H21" s="104">
        <v>10563.133694057253</v>
      </c>
      <c r="I21" s="46">
        <v>-118.63656814070656</v>
      </c>
      <c r="J21" s="46">
        <v>3.2533400817449758E-2</v>
      </c>
      <c r="K21" s="28"/>
      <c r="L21" s="28"/>
      <c r="M21" s="28"/>
      <c r="N21" s="28"/>
      <c r="O21" s="28"/>
    </row>
    <row r="22" spans="1:15" x14ac:dyDescent="0.2">
      <c r="A22" s="30" t="s">
        <v>1320</v>
      </c>
      <c r="B22" s="46" t="s">
        <v>1321</v>
      </c>
      <c r="C22" s="46" t="s">
        <v>219</v>
      </c>
      <c r="D22" s="46" t="s">
        <v>188</v>
      </c>
      <c r="E22" s="46" t="s">
        <v>126</v>
      </c>
      <c r="F22" s="88">
        <v>-3109348.8944962425</v>
      </c>
      <c r="G22" s="80">
        <v>1</v>
      </c>
      <c r="H22" s="104">
        <v>-10699.269545961572</v>
      </c>
      <c r="I22" s="46">
        <v>120.16553584466796</v>
      </c>
      <c r="J22" s="46">
        <v>-3.2952685696719997E-2</v>
      </c>
      <c r="K22" s="28"/>
      <c r="L22" s="28"/>
      <c r="M22" s="28"/>
      <c r="N22" s="28"/>
      <c r="O22" s="28"/>
    </row>
    <row r="23" spans="1:15" x14ac:dyDescent="0.2">
      <c r="A23" s="30" t="s">
        <v>1322</v>
      </c>
      <c r="B23" s="46" t="s">
        <v>1323</v>
      </c>
      <c r="C23" s="46" t="s">
        <v>219</v>
      </c>
      <c r="D23" s="46" t="s">
        <v>188</v>
      </c>
      <c r="E23" s="46" t="s">
        <v>126</v>
      </c>
      <c r="F23" s="88">
        <v>8.7206586126142582</v>
      </c>
      <c r="G23" s="80">
        <v>285.04000000000002</v>
      </c>
      <c r="H23" s="104">
        <v>4276.7097014815281</v>
      </c>
      <c r="I23" s="46">
        <v>-48.032541915405211</v>
      </c>
      <c r="J23" s="46">
        <v>1.3171840376918769E-2</v>
      </c>
      <c r="K23" s="28"/>
      <c r="L23" s="28"/>
      <c r="M23" s="28"/>
      <c r="N23" s="28"/>
      <c r="O23" s="28"/>
    </row>
    <row r="24" spans="1:15" x14ac:dyDescent="0.2">
      <c r="A24" s="30" t="s">
        <v>1324</v>
      </c>
      <c r="B24" s="46" t="s">
        <v>1325</v>
      </c>
      <c r="C24" s="46" t="s">
        <v>219</v>
      </c>
      <c r="D24" s="46" t="s">
        <v>188</v>
      </c>
      <c r="E24" s="46" t="s">
        <v>126</v>
      </c>
      <c r="F24" s="88">
        <v>-1241167.7370403244</v>
      </c>
      <c r="G24" s="80">
        <v>1</v>
      </c>
      <c r="H24" s="104">
        <v>-4270.8581831097126</v>
      </c>
      <c r="I24" s="46">
        <v>47.966822397111606</v>
      </c>
      <c r="J24" s="46">
        <v>-1.3153818282520017E-2</v>
      </c>
      <c r="K24" s="28"/>
      <c r="L24" s="28"/>
      <c r="M24" s="28"/>
      <c r="N24" s="28"/>
      <c r="O24" s="28"/>
    </row>
    <row r="25" spans="1:15" x14ac:dyDescent="0.2">
      <c r="A25" s="30" t="s">
        <v>1326</v>
      </c>
      <c r="B25" s="46" t="s">
        <v>1327</v>
      </c>
      <c r="C25" s="46" t="s">
        <v>219</v>
      </c>
      <c r="D25" s="46" t="s">
        <v>188</v>
      </c>
      <c r="E25" s="46" t="s">
        <v>126</v>
      </c>
      <c r="F25" s="88">
        <v>0.127475584700672</v>
      </c>
      <c r="G25" s="80">
        <v>40.47</v>
      </c>
      <c r="H25" s="104">
        <v>-0.25441322243390713</v>
      </c>
      <c r="I25" s="46">
        <v>2.8573633992872351E-3</v>
      </c>
      <c r="J25" s="46">
        <v>-7.8356741270422844E-7</v>
      </c>
      <c r="K25" s="28"/>
      <c r="L25" s="28"/>
      <c r="M25" s="28"/>
      <c r="N25" s="28"/>
      <c r="O25" s="28"/>
    </row>
    <row r="26" spans="1:15" x14ac:dyDescent="0.2">
      <c r="A26" s="30" t="s">
        <v>1328</v>
      </c>
      <c r="B26" s="46" t="s">
        <v>1329</v>
      </c>
      <c r="C26" s="46" t="s">
        <v>219</v>
      </c>
      <c r="D26" s="46" t="s">
        <v>188</v>
      </c>
      <c r="E26" s="46" t="s">
        <v>126</v>
      </c>
      <c r="F26" s="88">
        <v>0.183246153007216</v>
      </c>
      <c r="G26" s="80">
        <v>1023.5</v>
      </c>
      <c r="H26" s="104">
        <v>3.3793368307521261</v>
      </c>
      <c r="I26" s="46">
        <v>-3.7953976140382928E-2</v>
      </c>
      <c r="J26" s="46">
        <v>1.0408021217593935E-5</v>
      </c>
      <c r="K26" s="28"/>
      <c r="L26" s="28"/>
      <c r="M26" s="28"/>
      <c r="N26" s="28"/>
      <c r="O26" s="28"/>
    </row>
    <row r="27" spans="1:15" x14ac:dyDescent="0.2">
      <c r="A27" s="30" t="s">
        <v>1330</v>
      </c>
      <c r="B27" s="46" t="s">
        <v>1331</v>
      </c>
      <c r="C27" s="46" t="s">
        <v>219</v>
      </c>
      <c r="D27" s="46" t="s">
        <v>188</v>
      </c>
      <c r="E27" s="46" t="s">
        <v>126</v>
      </c>
      <c r="F27" s="88">
        <v>3.9836120218959999E-2</v>
      </c>
      <c r="G27" s="80">
        <v>338</v>
      </c>
      <c r="H27" s="104">
        <v>-0.84987175597533648</v>
      </c>
      <c r="I27" s="46">
        <v>9.545071700205205E-3</v>
      </c>
      <c r="J27" s="46">
        <v>-2.6175204519214534E-6</v>
      </c>
      <c r="K27" s="28"/>
      <c r="L27" s="28"/>
      <c r="M27" s="28"/>
      <c r="N27" s="28"/>
      <c r="O27" s="28"/>
    </row>
    <row r="28" spans="1:15" x14ac:dyDescent="0.2">
      <c r="A28" s="30" t="s">
        <v>1332</v>
      </c>
      <c r="B28" s="46" t="s">
        <v>1333</v>
      </c>
      <c r="C28" s="46" t="s">
        <v>219</v>
      </c>
      <c r="D28" s="46" t="s">
        <v>188</v>
      </c>
      <c r="E28" s="46" t="s">
        <v>126</v>
      </c>
      <c r="F28" s="88">
        <v>0.15934448087583999</v>
      </c>
      <c r="G28" s="80">
        <v>379</v>
      </c>
      <c r="H28" s="104">
        <v>0.71492033374099728</v>
      </c>
      <c r="I28" s="46">
        <v>-8.029406551652114E-3</v>
      </c>
      <c r="J28" s="46">
        <v>2.2018834981920233E-6</v>
      </c>
      <c r="K28" s="28"/>
      <c r="L28" s="28"/>
      <c r="M28" s="28"/>
      <c r="N28" s="28"/>
      <c r="O28" s="28"/>
    </row>
    <row r="29" spans="1:15" x14ac:dyDescent="0.2">
      <c r="A29" s="30" t="s">
        <v>1334</v>
      </c>
      <c r="B29" s="46" t="s">
        <v>1335</v>
      </c>
      <c r="C29" s="46" t="s">
        <v>219</v>
      </c>
      <c r="D29" s="46" t="s">
        <v>188</v>
      </c>
      <c r="E29" s="46" t="s">
        <v>126</v>
      </c>
      <c r="F29" s="88">
        <v>3.9836120218959999E-2</v>
      </c>
      <c r="G29" s="80">
        <v>42.47</v>
      </c>
      <c r="H29" s="104">
        <v>0.18368196016241142</v>
      </c>
      <c r="I29" s="46">
        <v>-2.0629671093991895E-3</v>
      </c>
      <c r="J29" s="46">
        <v>5.6572216218947541E-7</v>
      </c>
      <c r="K29" s="28"/>
      <c r="L29" s="28"/>
      <c r="M29" s="28"/>
      <c r="N29" s="28"/>
      <c r="O29" s="28"/>
    </row>
    <row r="30" spans="1:15" x14ac:dyDescent="0.2">
      <c r="A30" s="30" t="s">
        <v>1336</v>
      </c>
      <c r="B30" s="46" t="s">
        <v>1337</v>
      </c>
      <c r="C30" s="46" t="s">
        <v>219</v>
      </c>
      <c r="D30" s="46" t="s">
        <v>188</v>
      </c>
      <c r="E30" s="46" t="s">
        <v>126</v>
      </c>
      <c r="F30" s="88">
        <v>0.15934448087583999</v>
      </c>
      <c r="G30" s="80">
        <v>33.130000000000003</v>
      </c>
      <c r="H30" s="104">
        <v>1.4161385558992408</v>
      </c>
      <c r="I30" s="46">
        <v>-1.5904922076120369E-2</v>
      </c>
      <c r="J30" s="46">
        <v>4.3615658559764471E-6</v>
      </c>
      <c r="K30" s="28"/>
      <c r="L30" s="28"/>
      <c r="M30" s="28"/>
      <c r="N30" s="28"/>
      <c r="O30" s="28"/>
    </row>
    <row r="31" spans="1:15" x14ac:dyDescent="0.2">
      <c r="A31" s="30" t="s">
        <v>1338</v>
      </c>
      <c r="B31" s="46" t="s">
        <v>1339</v>
      </c>
      <c r="C31" s="46" t="s">
        <v>219</v>
      </c>
      <c r="D31" s="46" t="s">
        <v>188</v>
      </c>
      <c r="E31" s="46" t="s">
        <v>126</v>
      </c>
      <c r="F31" s="88">
        <v>5.5770568306543998E-2</v>
      </c>
      <c r="G31" s="80">
        <v>578</v>
      </c>
      <c r="H31" s="104">
        <v>0.3221973447938119</v>
      </c>
      <c r="I31" s="46">
        <v>-3.618659799022574E-3</v>
      </c>
      <c r="J31" s="46">
        <v>9.9233576551173839E-7</v>
      </c>
      <c r="K31" s="28"/>
      <c r="L31" s="28"/>
      <c r="M31" s="28"/>
      <c r="N31" s="28"/>
      <c r="O31" s="28"/>
    </row>
    <row r="32" spans="1:15" x14ac:dyDescent="0.2">
      <c r="A32" s="30" t="s">
        <v>1340</v>
      </c>
      <c r="B32" s="46" t="s">
        <v>1341</v>
      </c>
      <c r="C32" s="46" t="s">
        <v>219</v>
      </c>
      <c r="D32" s="46" t="s">
        <v>188</v>
      </c>
      <c r="E32" s="46" t="s">
        <v>126</v>
      </c>
      <c r="F32" s="88">
        <v>11.566153344713316</v>
      </c>
      <c r="G32" s="80">
        <v>1895.5</v>
      </c>
      <c r="H32" s="104">
        <v>7543.9257850934964</v>
      </c>
      <c r="I32" s="46">
        <v>-84.727268571370132</v>
      </c>
      <c r="J32" s="46">
        <v>2.323454084857584E-2</v>
      </c>
      <c r="K32" s="28"/>
      <c r="L32" s="28"/>
      <c r="M32" s="28"/>
      <c r="N32" s="28"/>
      <c r="O32" s="28"/>
    </row>
    <row r="33" spans="1:15" x14ac:dyDescent="0.2">
      <c r="A33" s="30" t="s">
        <v>1342</v>
      </c>
      <c r="B33" s="46" t="s">
        <v>1343</v>
      </c>
      <c r="C33" s="46" t="s">
        <v>219</v>
      </c>
      <c r="D33" s="46" t="s">
        <v>188</v>
      </c>
      <c r="E33" s="46" t="s">
        <v>126</v>
      </c>
      <c r="F33" s="88">
        <v>-2203005.2275675451</v>
      </c>
      <c r="G33" s="80">
        <v>1</v>
      </c>
      <c r="H33" s="104">
        <v>-7580.5409880599218</v>
      </c>
      <c r="I33" s="46">
        <v>85.138500895747129</v>
      </c>
      <c r="J33" s="46">
        <v>-2.3347312030747771E-2</v>
      </c>
      <c r="K33" s="28"/>
      <c r="L33" s="28"/>
      <c r="M33" s="28"/>
      <c r="N33" s="28"/>
      <c r="O33" s="28"/>
    </row>
    <row r="34" spans="1:15" x14ac:dyDescent="0.2">
      <c r="A34" s="30" t="s">
        <v>1344</v>
      </c>
      <c r="B34" s="46" t="s">
        <v>1345</v>
      </c>
      <c r="C34" s="46" t="s">
        <v>219</v>
      </c>
      <c r="D34" s="46" t="s">
        <v>188</v>
      </c>
      <c r="E34" s="46" t="s">
        <v>126</v>
      </c>
      <c r="F34" s="88">
        <v>6.3737792350335998E-2</v>
      </c>
      <c r="G34" s="80">
        <v>1895.5</v>
      </c>
      <c r="H34" s="104">
        <v>-1.1125643742255196</v>
      </c>
      <c r="I34" s="46">
        <v>1.2495422572184762E-2</v>
      </c>
      <c r="J34" s="46">
        <v>-3.4265875799960136E-6</v>
      </c>
      <c r="K34" s="28"/>
      <c r="L34" s="28"/>
      <c r="M34" s="28"/>
      <c r="N34" s="28"/>
      <c r="O34" s="28"/>
    </row>
    <row r="35" spans="1:15" x14ac:dyDescent="0.2">
      <c r="A35" s="30" t="s">
        <v>1346</v>
      </c>
      <c r="B35" s="46" t="s">
        <v>1347</v>
      </c>
      <c r="C35" s="46" t="s">
        <v>219</v>
      </c>
      <c r="D35" s="46" t="s">
        <v>188</v>
      </c>
      <c r="E35" s="46" t="s">
        <v>126</v>
      </c>
      <c r="F35" s="88">
        <v>0.14341003278825601</v>
      </c>
      <c r="G35" s="80">
        <v>1305</v>
      </c>
      <c r="H35" s="104">
        <v>-0.43277663031698904</v>
      </c>
      <c r="I35" s="46">
        <v>4.8605968341754631E-3</v>
      </c>
      <c r="J35" s="46">
        <v>-1.3329089630332922E-6</v>
      </c>
      <c r="K35" s="28"/>
      <c r="L35" s="28"/>
      <c r="M35" s="28"/>
      <c r="N35" s="28"/>
      <c r="O35" s="28"/>
    </row>
    <row r="36" spans="1:15" x14ac:dyDescent="0.2">
      <c r="A36" s="30" t="s">
        <v>1348</v>
      </c>
      <c r="B36" s="46" t="s">
        <v>1349</v>
      </c>
      <c r="C36" s="46" t="s">
        <v>219</v>
      </c>
      <c r="D36" s="46" t="s">
        <v>188</v>
      </c>
      <c r="E36" s="46" t="s">
        <v>126</v>
      </c>
      <c r="F36" s="88">
        <v>1.5934448087583999E-2</v>
      </c>
      <c r="G36" s="80">
        <v>108.55</v>
      </c>
      <c r="H36" s="104">
        <v>4.0574522543338647E-2</v>
      </c>
      <c r="I36" s="46">
        <v>-4.5570019730011946E-4</v>
      </c>
      <c r="J36" s="46">
        <v>1.249654925433468E-7</v>
      </c>
      <c r="K36" s="28"/>
      <c r="L36" s="28"/>
      <c r="M36" s="28"/>
      <c r="N36" s="28"/>
      <c r="O36" s="28"/>
    </row>
    <row r="37" spans="1:15" x14ac:dyDescent="0.2">
      <c r="A37" s="30" t="s">
        <v>1350</v>
      </c>
      <c r="B37" s="46" t="s">
        <v>1351</v>
      </c>
      <c r="C37" s="46" t="s">
        <v>219</v>
      </c>
      <c r="D37" s="46" t="s">
        <v>188</v>
      </c>
      <c r="E37" s="46" t="s">
        <v>126</v>
      </c>
      <c r="F37" s="88">
        <v>7.9672240437919997E-2</v>
      </c>
      <c r="G37" s="80">
        <v>303.25</v>
      </c>
      <c r="H37" s="104">
        <v>0.39381959766457297</v>
      </c>
      <c r="I37" s="46">
        <v>-4.4230629741781931E-3</v>
      </c>
      <c r="J37" s="46">
        <v>1.2129251784246999E-6</v>
      </c>
      <c r="K37" s="28"/>
      <c r="L37" s="28"/>
      <c r="M37" s="28"/>
      <c r="N37" s="28"/>
      <c r="O37" s="28"/>
    </row>
    <row r="38" spans="1:15" x14ac:dyDescent="0.2">
      <c r="A38" s="30" t="s">
        <v>1352</v>
      </c>
      <c r="B38" s="46" t="s">
        <v>1353</v>
      </c>
      <c r="C38" s="46" t="s">
        <v>219</v>
      </c>
      <c r="D38" s="46" t="s">
        <v>188</v>
      </c>
      <c r="E38" s="46" t="s">
        <v>126</v>
      </c>
      <c r="F38" s="88">
        <v>2.3901672131375999E-2</v>
      </c>
      <c r="G38" s="80">
        <v>23.494</v>
      </c>
      <c r="H38" s="104">
        <v>-0.77105299644588365</v>
      </c>
      <c r="I38" s="46">
        <v>8.6598431869144392E-3</v>
      </c>
      <c r="J38" s="46">
        <v>-2.3747665145033836E-6</v>
      </c>
      <c r="K38" s="28"/>
      <c r="L38" s="28"/>
      <c r="M38" s="28"/>
      <c r="N38" s="28"/>
      <c r="O38" s="28"/>
    </row>
    <row r="39" spans="1:15" x14ac:dyDescent="0.2">
      <c r="A39" s="30" t="s">
        <v>1354</v>
      </c>
      <c r="B39" s="46" t="s">
        <v>1355</v>
      </c>
      <c r="C39" s="46" t="s">
        <v>219</v>
      </c>
      <c r="D39" s="46" t="s">
        <v>188</v>
      </c>
      <c r="E39" s="46" t="s">
        <v>126</v>
      </c>
      <c r="F39" s="88">
        <v>1.5934448087583999E-2</v>
      </c>
      <c r="G39" s="80">
        <v>40.22</v>
      </c>
      <c r="H39" s="104">
        <v>-0.19026161246673662</v>
      </c>
      <c r="I39" s="46">
        <v>2.1368644386911008E-3</v>
      </c>
      <c r="J39" s="46">
        <v>-5.859868366559641E-7</v>
      </c>
      <c r="K39" s="28"/>
      <c r="L39" s="28"/>
      <c r="M39" s="28"/>
      <c r="N39" s="28"/>
      <c r="O39" s="28"/>
    </row>
    <row r="40" spans="1:15" x14ac:dyDescent="0.2">
      <c r="A40" s="30" t="s">
        <v>1356</v>
      </c>
      <c r="B40" s="46" t="s">
        <v>1357</v>
      </c>
      <c r="C40" s="46" t="s">
        <v>219</v>
      </c>
      <c r="D40" s="46" t="s">
        <v>188</v>
      </c>
      <c r="E40" s="46" t="s">
        <v>126</v>
      </c>
      <c r="F40" s="88">
        <v>0.19918060109480001</v>
      </c>
      <c r="G40" s="80">
        <v>509.75</v>
      </c>
      <c r="H40" s="104">
        <v>1.6277785569048921</v>
      </c>
      <c r="I40" s="46">
        <v>-1.828189127179872E-2</v>
      </c>
      <c r="J40" s="46">
        <v>5.0133960023274289E-6</v>
      </c>
      <c r="K40" s="28"/>
      <c r="L40" s="28"/>
      <c r="M40" s="28"/>
      <c r="N40" s="28"/>
      <c r="O40" s="28"/>
    </row>
    <row r="41" spans="1:15" x14ac:dyDescent="0.2">
      <c r="A41" s="30" t="s">
        <v>1358</v>
      </c>
      <c r="B41" s="46" t="s">
        <v>1359</v>
      </c>
      <c r="C41" s="46" t="s">
        <v>219</v>
      </c>
      <c r="D41" s="46" t="s">
        <v>188</v>
      </c>
      <c r="E41" s="46" t="s">
        <v>126</v>
      </c>
      <c r="F41" s="88">
        <v>6.3737792350335998E-2</v>
      </c>
      <c r="G41" s="80">
        <v>342.8</v>
      </c>
      <c r="H41" s="104">
        <v>0.83057144254931581</v>
      </c>
      <c r="I41" s="46">
        <v>-9.3283062009489309E-3</v>
      </c>
      <c r="J41" s="46">
        <v>2.5580774068197527E-6</v>
      </c>
      <c r="K41" s="28"/>
      <c r="L41" s="28"/>
      <c r="M41" s="28"/>
      <c r="N41" s="28"/>
      <c r="O41" s="28"/>
    </row>
    <row r="42" spans="1:15" x14ac:dyDescent="0.2">
      <c r="A42" s="30" t="s">
        <v>1360</v>
      </c>
      <c r="B42" s="46" t="s">
        <v>1361</v>
      </c>
      <c r="C42" s="46" t="s">
        <v>219</v>
      </c>
      <c r="D42" s="46" t="s">
        <v>188</v>
      </c>
      <c r="E42" s="46" t="s">
        <v>127</v>
      </c>
      <c r="F42" s="88">
        <v>3.9836120218959999E-2</v>
      </c>
      <c r="G42" s="80">
        <v>197.75</v>
      </c>
      <c r="H42" s="104">
        <v>9.2214037379832234E-2</v>
      </c>
      <c r="I42" s="46">
        <v>-1.0356734323354133E-3</v>
      </c>
      <c r="J42" s="46">
        <v>2.8401006045783329E-7</v>
      </c>
      <c r="K42" s="28"/>
      <c r="L42" s="28"/>
      <c r="M42" s="28"/>
      <c r="N42" s="28"/>
      <c r="O42" s="28"/>
    </row>
    <row r="43" spans="1:15" x14ac:dyDescent="0.2">
      <c r="A43" s="30" t="s">
        <v>1362</v>
      </c>
      <c r="B43" s="46" t="s">
        <v>1363</v>
      </c>
      <c r="C43" s="46" t="s">
        <v>219</v>
      </c>
      <c r="D43" s="46" t="s">
        <v>188</v>
      </c>
      <c r="E43" s="46" t="s">
        <v>126</v>
      </c>
      <c r="F43" s="88">
        <v>1.5934448087583999E-2</v>
      </c>
      <c r="G43" s="80">
        <v>32.875</v>
      </c>
      <c r="H43" s="104">
        <v>6.9908805733455093E-2</v>
      </c>
      <c r="I43" s="46">
        <v>-7.8515912372655722E-4</v>
      </c>
      <c r="J43" s="46">
        <v>2.1531216620644211E-7</v>
      </c>
      <c r="K43" s="28"/>
      <c r="L43" s="28"/>
      <c r="M43" s="28"/>
      <c r="N43" s="28"/>
      <c r="O43" s="28"/>
    </row>
    <row r="44" spans="1:15" x14ac:dyDescent="0.2">
      <c r="A44" s="30" t="s">
        <v>1364</v>
      </c>
      <c r="B44" s="46" t="s">
        <v>1365</v>
      </c>
      <c r="C44" s="46" t="s">
        <v>219</v>
      </c>
      <c r="D44" s="46" t="s">
        <v>188</v>
      </c>
      <c r="E44" s="46" t="s">
        <v>126</v>
      </c>
      <c r="F44" s="88">
        <v>4.7803344262751998E-2</v>
      </c>
      <c r="G44" s="80">
        <v>112.35</v>
      </c>
      <c r="H44" s="104">
        <v>8.1149045086677286E-3</v>
      </c>
      <c r="I44" s="46">
        <v>-9.1140039460023897E-5</v>
      </c>
      <c r="J44" s="46">
        <v>2.499309850866936E-8</v>
      </c>
      <c r="K44" s="28"/>
      <c r="L44" s="28"/>
      <c r="M44" s="28"/>
      <c r="N44" s="28"/>
      <c r="O44" s="28"/>
    </row>
    <row r="45" spans="1:15" x14ac:dyDescent="0.2">
      <c r="A45" s="243" t="s">
        <v>1366</v>
      </c>
      <c r="B45" s="205" t="s">
        <v>1367</v>
      </c>
      <c r="C45" s="205" t="s">
        <v>219</v>
      </c>
      <c r="D45" s="205" t="s">
        <v>188</v>
      </c>
      <c r="E45" s="205" t="s">
        <v>126</v>
      </c>
      <c r="F45" s="245">
        <v>7.9672240437919997E-3</v>
      </c>
      <c r="G45" s="204">
        <v>30.925000000000001</v>
      </c>
      <c r="H45" s="206">
        <v>3.4268942746119905E-3</v>
      </c>
      <c r="I45" s="205">
        <v>-3.8488102858125108E-5</v>
      </c>
      <c r="J45" s="205">
        <v>1.0554493413038813E-8</v>
      </c>
      <c r="K45" s="28"/>
      <c r="L45" s="28"/>
      <c r="M45" s="28"/>
      <c r="N45" s="28"/>
      <c r="O45" s="28"/>
    </row>
    <row r="46" spans="1:15" s="139" customFormat="1" x14ac:dyDescent="0.2">
      <c r="A46" s="97" t="s">
        <v>230</v>
      </c>
      <c r="B46" s="149"/>
      <c r="C46" s="97"/>
      <c r="D46" s="97"/>
      <c r="E46" s="150"/>
      <c r="F46" s="166"/>
      <c r="G46" s="166"/>
      <c r="H46" s="167"/>
      <c r="I46" s="167"/>
      <c r="J46" s="154"/>
      <c r="K46" s="168"/>
      <c r="L46" s="168"/>
      <c r="M46" s="168"/>
      <c r="N46" s="154"/>
      <c r="O46" s="154"/>
    </row>
    <row r="47" spans="1:15" s="139" customFormat="1" x14ac:dyDescent="0.2">
      <c r="A47" s="97" t="s">
        <v>231</v>
      </c>
      <c r="B47" s="149"/>
      <c r="C47" s="97"/>
      <c r="D47" s="97"/>
      <c r="E47" s="150"/>
      <c r="F47" s="166"/>
      <c r="G47" s="166"/>
      <c r="H47" s="167"/>
      <c r="I47" s="167"/>
      <c r="J47" s="154"/>
      <c r="K47" s="168"/>
      <c r="L47" s="168"/>
      <c r="M47" s="168"/>
      <c r="N47" s="154"/>
      <c r="O47" s="154"/>
    </row>
    <row r="48" spans="1:15" s="139" customFormat="1" x14ac:dyDescent="0.2">
      <c r="A48" s="97" t="s">
        <v>232</v>
      </c>
      <c r="B48" s="149"/>
      <c r="C48" s="97"/>
      <c r="D48" s="97"/>
      <c r="E48" s="150"/>
      <c r="F48" s="166"/>
      <c r="G48" s="166"/>
      <c r="H48" s="167"/>
      <c r="I48" s="167"/>
      <c r="J48" s="154"/>
      <c r="K48" s="168"/>
      <c r="L48" s="168"/>
      <c r="M48" s="168"/>
      <c r="N48" s="154"/>
      <c r="O48" s="154"/>
    </row>
    <row r="49" spans="1:15" s="139" customFormat="1" x14ac:dyDescent="0.2">
      <c r="A49" s="97" t="s">
        <v>233</v>
      </c>
      <c r="B49" s="149"/>
      <c r="C49" s="97"/>
      <c r="D49" s="97"/>
      <c r="E49" s="150"/>
      <c r="F49" s="166"/>
      <c r="G49" s="166"/>
      <c r="H49" s="167"/>
      <c r="I49" s="167"/>
      <c r="J49" s="154"/>
      <c r="K49" s="168"/>
      <c r="L49" s="168"/>
      <c r="M49" s="168"/>
      <c r="N49" s="154"/>
      <c r="O49" s="154"/>
    </row>
    <row r="50" spans="1:15" s="139" customFormat="1" x14ac:dyDescent="0.2">
      <c r="A50" s="97" t="s">
        <v>234</v>
      </c>
      <c r="B50" s="149"/>
      <c r="C50" s="97"/>
      <c r="D50" s="97"/>
      <c r="E50" s="150"/>
      <c r="F50" s="166"/>
      <c r="G50" s="166"/>
      <c r="H50" s="167"/>
      <c r="I50" s="167"/>
      <c r="J50" s="154"/>
      <c r="K50" s="168"/>
      <c r="L50" s="168"/>
      <c r="M50" s="168"/>
      <c r="N50" s="154"/>
      <c r="O50" s="154"/>
    </row>
  </sheetData>
  <mergeCells count="2">
    <mergeCell ref="A6:J6"/>
    <mergeCell ref="A5:J5"/>
  </mergeCells>
  <conditionalFormatting sqref="J1:J4 F10:G45 J46:J55580">
    <cfRule type="expression" dxfId="115" priority="231" stopIfTrue="1">
      <formula>LEFT(#REF!,3)="TIR"</formula>
    </cfRule>
  </conditionalFormatting>
  <conditionalFormatting sqref="B10:E45 I10:J45">
    <cfRule type="expression" dxfId="114" priority="234" stopIfTrue="1">
      <formula>LEFT(#REF!,3)="TIR"</formula>
    </cfRule>
  </conditionalFormatting>
  <conditionalFormatting sqref="A10:A45 H10:I10 I11:I45">
    <cfRule type="expression" dxfId="113" priority="236" stopIfTrue="1">
      <formula>#REF!&gt;0</formula>
    </cfRule>
    <cfRule type="expression" dxfId="112" priority="237" stopIfTrue="1">
      <formula>LEFT(#REF!,3)="TIR"</formula>
    </cfRule>
  </conditionalFormatting>
  <conditionalFormatting sqref="J11:J45">
    <cfRule type="expression" dxfId="111" priority="242" stopIfTrue="1">
      <formula>OR(LEFT(#REF!,3)="TIR",LEFT(#REF!,2)="IR")</formula>
    </cfRule>
  </conditionalFormatting>
  <conditionalFormatting sqref="H11:I45">
    <cfRule type="expression" dxfId="110" priority="243" stopIfTrue="1">
      <formula>#REF!&gt;0</formula>
    </cfRule>
    <cfRule type="expression" dxfId="10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12.4257812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158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/>
      <c r="C10" s="86"/>
      <c r="D10" s="122"/>
      <c r="E10" s="122"/>
      <c r="F10" s="122"/>
      <c r="G10" s="122"/>
      <c r="H10" s="122"/>
      <c r="I10" s="86"/>
      <c r="J10" s="86"/>
      <c r="K10" s="123"/>
      <c r="L10" s="122"/>
      <c r="M10" s="126">
        <v>5488.7139998984794</v>
      </c>
      <c r="N10" s="86"/>
      <c r="O10" s="86">
        <v>1</v>
      </c>
      <c r="P10" s="101">
        <v>1.6904693029825554E-2</v>
      </c>
    </row>
    <row r="11" spans="1:16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6" t="s">
        <v>239</v>
      </c>
      <c r="H11" s="146" t="s">
        <v>239</v>
      </c>
      <c r="I11" s="142" t="s">
        <v>239</v>
      </c>
      <c r="J11" s="142" t="s">
        <v>239</v>
      </c>
      <c r="K11" s="155" t="s">
        <v>239</v>
      </c>
      <c r="L11" s="146" t="s">
        <v>239</v>
      </c>
      <c r="M11" s="143">
        <v>0</v>
      </c>
      <c r="N11" s="142" t="s">
        <v>239</v>
      </c>
      <c r="O11" s="142">
        <v>0</v>
      </c>
      <c r="P11" s="142">
        <v>0</v>
      </c>
    </row>
    <row r="12" spans="1:16" s="139" customFormat="1" x14ac:dyDescent="0.2">
      <c r="A12" s="112" t="s">
        <v>1368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6" t="s">
        <v>239</v>
      </c>
      <c r="H12" s="146" t="s">
        <v>239</v>
      </c>
      <c r="I12" s="142" t="s">
        <v>239</v>
      </c>
      <c r="J12" s="142" t="s">
        <v>239</v>
      </c>
      <c r="K12" s="157" t="s">
        <v>239</v>
      </c>
      <c r="L12" s="147" t="s">
        <v>239</v>
      </c>
      <c r="M12" s="148">
        <v>0</v>
      </c>
      <c r="N12" s="145" t="s">
        <v>239</v>
      </c>
      <c r="O12" s="145">
        <v>0</v>
      </c>
      <c r="P12" s="145">
        <v>0</v>
      </c>
    </row>
    <row r="13" spans="1:16" s="139" customFormat="1" x14ac:dyDescent="0.2">
      <c r="A13" s="112" t="s">
        <v>1369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6" t="s">
        <v>239</v>
      </c>
      <c r="H13" s="146" t="s">
        <v>239</v>
      </c>
      <c r="I13" s="142" t="s">
        <v>239</v>
      </c>
      <c r="J13" s="142" t="s">
        <v>239</v>
      </c>
      <c r="K13" s="157" t="s">
        <v>239</v>
      </c>
      <c r="L13" s="147" t="s">
        <v>239</v>
      </c>
      <c r="M13" s="148">
        <v>0</v>
      </c>
      <c r="N13" s="145" t="s">
        <v>239</v>
      </c>
      <c r="O13" s="145">
        <v>0</v>
      </c>
      <c r="P13" s="145">
        <v>0</v>
      </c>
    </row>
    <row r="14" spans="1:16" s="139" customFormat="1" x14ac:dyDescent="0.2">
      <c r="A14" s="112" t="s">
        <v>1370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6" t="s">
        <v>239</v>
      </c>
      <c r="H14" s="146" t="s">
        <v>239</v>
      </c>
      <c r="I14" s="142" t="s">
        <v>239</v>
      </c>
      <c r="J14" s="142" t="s">
        <v>239</v>
      </c>
      <c r="K14" s="157" t="s">
        <v>239</v>
      </c>
      <c r="L14" s="147" t="s">
        <v>239</v>
      </c>
      <c r="M14" s="148">
        <v>0</v>
      </c>
      <c r="N14" s="145" t="s">
        <v>239</v>
      </c>
      <c r="O14" s="145">
        <v>0</v>
      </c>
      <c r="P14" s="145">
        <v>0</v>
      </c>
    </row>
    <row r="15" spans="1:16" s="139" customFormat="1" x14ac:dyDescent="0.2">
      <c r="A15" s="112" t="s">
        <v>1371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6" t="s">
        <v>239</v>
      </c>
      <c r="H15" s="146" t="s">
        <v>239</v>
      </c>
      <c r="I15" s="142" t="s">
        <v>239</v>
      </c>
      <c r="J15" s="142" t="s">
        <v>239</v>
      </c>
      <c r="K15" s="157" t="s">
        <v>239</v>
      </c>
      <c r="L15" s="147" t="s">
        <v>239</v>
      </c>
      <c r="M15" s="148">
        <v>0</v>
      </c>
      <c r="N15" s="145" t="s">
        <v>239</v>
      </c>
      <c r="O15" s="145">
        <v>0</v>
      </c>
      <c r="P15" s="145">
        <v>0</v>
      </c>
    </row>
    <row r="16" spans="1:16" s="139" customFormat="1" x14ac:dyDescent="0.2">
      <c r="A16" s="112" t="s">
        <v>1372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6" t="s">
        <v>239</v>
      </c>
      <c r="H16" s="146" t="s">
        <v>239</v>
      </c>
      <c r="I16" s="142" t="s">
        <v>239</v>
      </c>
      <c r="J16" s="142" t="s">
        <v>239</v>
      </c>
      <c r="K16" s="157" t="s">
        <v>239</v>
      </c>
      <c r="L16" s="147" t="s">
        <v>239</v>
      </c>
      <c r="M16" s="148">
        <v>0</v>
      </c>
      <c r="N16" s="145" t="s">
        <v>239</v>
      </c>
      <c r="O16" s="145">
        <v>0</v>
      </c>
      <c r="P16" s="145">
        <v>0</v>
      </c>
    </row>
    <row r="17" spans="1:16" s="139" customFormat="1" x14ac:dyDescent="0.2">
      <c r="A17" s="112" t="s">
        <v>1373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6" t="s">
        <v>239</v>
      </c>
      <c r="H17" s="146" t="s">
        <v>239</v>
      </c>
      <c r="I17" s="142" t="s">
        <v>239</v>
      </c>
      <c r="J17" s="142" t="s">
        <v>239</v>
      </c>
      <c r="K17" s="157" t="s">
        <v>239</v>
      </c>
      <c r="L17" s="147" t="s">
        <v>239</v>
      </c>
      <c r="M17" s="148">
        <v>0</v>
      </c>
      <c r="N17" s="145" t="s">
        <v>239</v>
      </c>
      <c r="O17" s="145">
        <v>0</v>
      </c>
      <c r="P17" s="145">
        <v>0</v>
      </c>
    </row>
    <row r="18" spans="1:16" s="139" customFormat="1" x14ac:dyDescent="0.2">
      <c r="A18" s="112" t="s">
        <v>1374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6" t="s">
        <v>239</v>
      </c>
      <c r="H18" s="146" t="s">
        <v>239</v>
      </c>
      <c r="I18" s="142" t="s">
        <v>239</v>
      </c>
      <c r="J18" s="142" t="s">
        <v>239</v>
      </c>
      <c r="K18" s="157" t="s">
        <v>239</v>
      </c>
      <c r="L18" s="147" t="s">
        <v>239</v>
      </c>
      <c r="M18" s="148">
        <v>0</v>
      </c>
      <c r="N18" s="145" t="s">
        <v>239</v>
      </c>
      <c r="O18" s="145">
        <v>0</v>
      </c>
      <c r="P18" s="145">
        <v>0</v>
      </c>
    </row>
    <row r="19" spans="1:16" s="139" customFormat="1" x14ac:dyDescent="0.2">
      <c r="A19" s="112" t="s">
        <v>370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6" t="s">
        <v>239</v>
      </c>
      <c r="H19" s="146" t="s">
        <v>239</v>
      </c>
      <c r="I19" s="142" t="s">
        <v>239</v>
      </c>
      <c r="J19" s="142" t="s">
        <v>239</v>
      </c>
      <c r="K19" s="157" t="s">
        <v>239</v>
      </c>
      <c r="L19" s="147" t="s">
        <v>239</v>
      </c>
      <c r="M19" s="148">
        <v>5488.7139992984794</v>
      </c>
      <c r="N19" s="145" t="s">
        <v>239</v>
      </c>
      <c r="O19" s="145">
        <v>0.99999999989068478</v>
      </c>
      <c r="P19" s="145">
        <v>1.6904693027977615E-2</v>
      </c>
    </row>
    <row r="20" spans="1:16" s="139" customFormat="1" x14ac:dyDescent="0.2">
      <c r="A20" s="112" t="s">
        <v>1375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6" t="s">
        <v>239</v>
      </c>
      <c r="H20" s="146" t="s">
        <v>239</v>
      </c>
      <c r="I20" s="142" t="s">
        <v>239</v>
      </c>
      <c r="J20" s="142" t="s">
        <v>239</v>
      </c>
      <c r="K20" s="157" t="s">
        <v>239</v>
      </c>
      <c r="L20" s="147" t="s">
        <v>239</v>
      </c>
      <c r="M20" s="148">
        <v>5446.6230571298865</v>
      </c>
      <c r="N20" s="145" t="s">
        <v>239</v>
      </c>
      <c r="O20" s="145">
        <v>0.99233136527620658</v>
      </c>
      <c r="P20" s="145">
        <v>1.6775057113861964E-2</v>
      </c>
    </row>
    <row r="21" spans="1:16" x14ac:dyDescent="0.2">
      <c r="A21" s="30" t="s">
        <v>1380</v>
      </c>
      <c r="B21" s="46" t="s">
        <v>1381</v>
      </c>
      <c r="C21" s="46" t="s">
        <v>1112</v>
      </c>
      <c r="D21" s="46" t="s">
        <v>1378</v>
      </c>
      <c r="E21" s="46" t="s">
        <v>346</v>
      </c>
      <c r="F21" s="46" t="s">
        <v>1382</v>
      </c>
      <c r="G21" s="85">
        <v>0</v>
      </c>
      <c r="H21" s="85" t="s">
        <v>126</v>
      </c>
      <c r="I21" s="46">
        <v>0</v>
      </c>
      <c r="J21" s="46">
        <v>0</v>
      </c>
      <c r="K21" s="88">
        <v>6403.7444553452542</v>
      </c>
      <c r="L21" s="80">
        <v>13458.000000000002</v>
      </c>
      <c r="M21" s="104">
        <v>2965.5086109836361</v>
      </c>
      <c r="N21" s="38" t="s">
        <v>239</v>
      </c>
      <c r="O21" s="38">
        <v>0.54029206313874012</v>
      </c>
      <c r="P21" s="38">
        <v>9.1334714738115289E-3</v>
      </c>
    </row>
    <row r="22" spans="1:16" x14ac:dyDescent="0.2">
      <c r="A22" s="30" t="s">
        <v>1376</v>
      </c>
      <c r="B22" s="46" t="s">
        <v>1377</v>
      </c>
      <c r="C22" s="46" t="s">
        <v>1112</v>
      </c>
      <c r="D22" s="46" t="s">
        <v>1378</v>
      </c>
      <c r="E22" s="46" t="s">
        <v>346</v>
      </c>
      <c r="F22" s="46" t="s">
        <v>1379</v>
      </c>
      <c r="G22" s="85">
        <v>0</v>
      </c>
      <c r="H22" s="85" t="s">
        <v>127</v>
      </c>
      <c r="I22" s="46">
        <v>0</v>
      </c>
      <c r="J22" s="46">
        <v>0</v>
      </c>
      <c r="K22" s="88">
        <v>528063.96559228178</v>
      </c>
      <c r="L22" s="80">
        <v>116.71000000000001</v>
      </c>
      <c r="M22" s="104">
        <v>2481.114446046251</v>
      </c>
      <c r="N22" s="38" t="s">
        <v>239</v>
      </c>
      <c r="O22" s="38">
        <v>0.45203930211924725</v>
      </c>
      <c r="P22" s="38">
        <v>7.6415856397424485E-3</v>
      </c>
    </row>
    <row r="23" spans="1:16" s="139" customFormat="1" x14ac:dyDescent="0.2">
      <c r="A23" s="112" t="s">
        <v>1383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42" t="s">
        <v>239</v>
      </c>
      <c r="G23" s="146" t="s">
        <v>239</v>
      </c>
      <c r="H23" s="146" t="s">
        <v>239</v>
      </c>
      <c r="I23" s="142" t="s">
        <v>239</v>
      </c>
      <c r="J23" s="142" t="s">
        <v>239</v>
      </c>
      <c r="K23" s="157" t="s">
        <v>239</v>
      </c>
      <c r="L23" s="147" t="s">
        <v>239</v>
      </c>
      <c r="M23" s="148">
        <v>42.090941768592401</v>
      </c>
      <c r="N23" s="145" t="s">
        <v>239</v>
      </c>
      <c r="O23" s="145">
        <v>7.668634541601352E-3</v>
      </c>
      <c r="P23" s="145">
        <v>1.2963591288368787E-4</v>
      </c>
    </row>
    <row r="24" spans="1:16" x14ac:dyDescent="0.2">
      <c r="A24" s="30" t="s">
        <v>1384</v>
      </c>
      <c r="B24" s="46" t="s">
        <v>1385</v>
      </c>
      <c r="C24" s="46" t="s">
        <v>1112</v>
      </c>
      <c r="D24" s="46" t="s">
        <v>345</v>
      </c>
      <c r="E24" s="46" t="s">
        <v>346</v>
      </c>
      <c r="F24" s="46" t="s">
        <v>1386</v>
      </c>
      <c r="G24" s="85">
        <v>0</v>
      </c>
      <c r="H24" s="85" t="s">
        <v>246</v>
      </c>
      <c r="I24" s="46">
        <v>0</v>
      </c>
      <c r="J24" s="46">
        <v>0</v>
      </c>
      <c r="K24" s="88">
        <v>0.32352459605738371</v>
      </c>
      <c r="L24" s="80">
        <v>13010121.09</v>
      </c>
      <c r="M24" s="104">
        <v>42.0909416685924</v>
      </c>
      <c r="N24" s="38">
        <v>5.1353110485298998E-3</v>
      </c>
      <c r="O24" s="38">
        <v>7.6686345233821481E-3</v>
      </c>
      <c r="P24" s="38">
        <v>1.2963591257569783E-4</v>
      </c>
    </row>
    <row r="25" spans="1:16" s="139" customFormat="1" x14ac:dyDescent="0.2">
      <c r="A25" s="112" t="s">
        <v>1387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42" t="s">
        <v>239</v>
      </c>
      <c r="G25" s="146" t="s">
        <v>239</v>
      </c>
      <c r="H25" s="146" t="s">
        <v>239</v>
      </c>
      <c r="I25" s="142" t="s">
        <v>239</v>
      </c>
      <c r="J25" s="142" t="s">
        <v>239</v>
      </c>
      <c r="K25" s="157" t="s">
        <v>239</v>
      </c>
      <c r="L25" s="147" t="s">
        <v>239</v>
      </c>
      <c r="M25" s="148">
        <v>0</v>
      </c>
      <c r="N25" s="145" t="s">
        <v>239</v>
      </c>
      <c r="O25" s="145">
        <v>0</v>
      </c>
      <c r="P25" s="145">
        <v>0</v>
      </c>
    </row>
    <row r="26" spans="1:16" s="139" customFormat="1" x14ac:dyDescent="0.2">
      <c r="A26" s="112" t="s">
        <v>1371</v>
      </c>
      <c r="B26" s="142" t="s">
        <v>239</v>
      </c>
      <c r="C26" s="142" t="s">
        <v>239</v>
      </c>
      <c r="D26" s="142" t="s">
        <v>239</v>
      </c>
      <c r="E26" s="142" t="s">
        <v>239</v>
      </c>
      <c r="F26" s="142" t="s">
        <v>239</v>
      </c>
      <c r="G26" s="146" t="s">
        <v>239</v>
      </c>
      <c r="H26" s="146" t="s">
        <v>239</v>
      </c>
      <c r="I26" s="142" t="s">
        <v>239</v>
      </c>
      <c r="J26" s="142" t="s">
        <v>239</v>
      </c>
      <c r="K26" s="157" t="s">
        <v>239</v>
      </c>
      <c r="L26" s="147" t="s">
        <v>239</v>
      </c>
      <c r="M26" s="148">
        <v>0</v>
      </c>
      <c r="N26" s="145" t="s">
        <v>239</v>
      </c>
      <c r="O26" s="145">
        <v>0</v>
      </c>
      <c r="P26" s="145">
        <v>0</v>
      </c>
    </row>
    <row r="27" spans="1:16" s="139" customFormat="1" x14ac:dyDescent="0.2">
      <c r="A27" s="112" t="s">
        <v>1372</v>
      </c>
      <c r="B27" s="142" t="s">
        <v>239</v>
      </c>
      <c r="C27" s="142" t="s">
        <v>239</v>
      </c>
      <c r="D27" s="142" t="s">
        <v>239</v>
      </c>
      <c r="E27" s="142" t="s">
        <v>239</v>
      </c>
      <c r="F27" s="142" t="s">
        <v>239</v>
      </c>
      <c r="G27" s="146" t="s">
        <v>239</v>
      </c>
      <c r="H27" s="146" t="s">
        <v>239</v>
      </c>
      <c r="I27" s="142" t="s">
        <v>239</v>
      </c>
      <c r="J27" s="142" t="s">
        <v>239</v>
      </c>
      <c r="K27" s="157" t="s">
        <v>239</v>
      </c>
      <c r="L27" s="147" t="s">
        <v>239</v>
      </c>
      <c r="M27" s="148">
        <v>0</v>
      </c>
      <c r="N27" s="145" t="s">
        <v>239</v>
      </c>
      <c r="O27" s="145">
        <v>0</v>
      </c>
      <c r="P27" s="145">
        <v>0</v>
      </c>
    </row>
    <row r="28" spans="1:16" s="139" customFormat="1" x14ac:dyDescent="0.2">
      <c r="A28" s="112" t="s">
        <v>1373</v>
      </c>
      <c r="B28" s="142" t="s">
        <v>239</v>
      </c>
      <c r="C28" s="142" t="s">
        <v>239</v>
      </c>
      <c r="D28" s="142" t="s">
        <v>239</v>
      </c>
      <c r="E28" s="142" t="s">
        <v>239</v>
      </c>
      <c r="F28" s="142" t="s">
        <v>239</v>
      </c>
      <c r="G28" s="146" t="s">
        <v>239</v>
      </c>
      <c r="H28" s="146" t="s">
        <v>239</v>
      </c>
      <c r="I28" s="142" t="s">
        <v>239</v>
      </c>
      <c r="J28" s="142" t="s">
        <v>239</v>
      </c>
      <c r="K28" s="157" t="s">
        <v>239</v>
      </c>
      <c r="L28" s="147" t="s">
        <v>239</v>
      </c>
      <c r="M28" s="148">
        <v>0</v>
      </c>
      <c r="N28" s="145" t="s">
        <v>239</v>
      </c>
      <c r="O28" s="145">
        <v>0</v>
      </c>
      <c r="P28" s="145">
        <v>0</v>
      </c>
    </row>
    <row r="29" spans="1:16" s="139" customFormat="1" x14ac:dyDescent="0.2">
      <c r="A29" s="234" t="s">
        <v>1374</v>
      </c>
      <c r="B29" s="235" t="s">
        <v>239</v>
      </c>
      <c r="C29" s="235" t="s">
        <v>239</v>
      </c>
      <c r="D29" s="235" t="s">
        <v>239</v>
      </c>
      <c r="E29" s="235" t="s">
        <v>239</v>
      </c>
      <c r="F29" s="235" t="s">
        <v>239</v>
      </c>
      <c r="G29" s="236" t="s">
        <v>239</v>
      </c>
      <c r="H29" s="236" t="s">
        <v>239</v>
      </c>
      <c r="I29" s="235" t="s">
        <v>239</v>
      </c>
      <c r="J29" s="235" t="s">
        <v>239</v>
      </c>
      <c r="K29" s="239" t="s">
        <v>239</v>
      </c>
      <c r="L29" s="237" t="s">
        <v>239</v>
      </c>
      <c r="M29" s="240">
        <v>0</v>
      </c>
      <c r="N29" s="238" t="s">
        <v>239</v>
      </c>
      <c r="O29" s="238">
        <v>0</v>
      </c>
      <c r="P29" s="238">
        <v>0</v>
      </c>
    </row>
    <row r="30" spans="1:16" s="139" customFormat="1" x14ac:dyDescent="0.2">
      <c r="A30" s="97" t="s">
        <v>230</v>
      </c>
      <c r="B30" s="149"/>
      <c r="C30" s="97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7" t="s">
        <v>231</v>
      </c>
      <c r="B31" s="149"/>
      <c r="C31" s="97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  <row r="32" spans="1:16" s="139" customFormat="1" x14ac:dyDescent="0.2">
      <c r="A32" s="97" t="s">
        <v>232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233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234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</sheetData>
  <mergeCells count="2">
    <mergeCell ref="A6:P6"/>
    <mergeCell ref="A5:P5"/>
  </mergeCells>
  <conditionalFormatting sqref="O11:P29">
    <cfRule type="expression" dxfId="108" priority="249" stopIfTrue="1">
      <formula>OR(LEFT(#REF!,3)="TIR",LEFT(#REF!,2)="IR")</formula>
    </cfRule>
  </conditionalFormatting>
  <conditionalFormatting sqref="A11:A29 M11:M29">
    <cfRule type="expression" dxfId="107" priority="250" stopIfTrue="1">
      <formula>#REF!&gt;0</formula>
    </cfRule>
  </conditionalFormatting>
  <conditionalFormatting sqref="B11:J29">
    <cfRule type="expression" dxfId="10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view="pageLayout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158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9" customFormat="1" ht="12.75" customHeight="1" thickBot="1" x14ac:dyDescent="0.25">
      <c r="A10" s="91" t="s">
        <v>52</v>
      </c>
      <c r="B10" s="140" t="s">
        <v>239</v>
      </c>
      <c r="C10" s="140"/>
      <c r="D10" s="140"/>
      <c r="E10" s="140" t="s">
        <v>239</v>
      </c>
      <c r="F10" s="140" t="s">
        <v>239</v>
      </c>
      <c r="G10" s="140" t="s">
        <v>239</v>
      </c>
      <c r="H10" s="140" t="s">
        <v>239</v>
      </c>
      <c r="I10" s="140" t="s">
        <v>239</v>
      </c>
      <c r="J10" s="175" t="s">
        <v>239</v>
      </c>
      <c r="K10" s="140" t="s">
        <v>239</v>
      </c>
      <c r="L10" s="128">
        <v>6.9999999999999997E-7</v>
      </c>
      <c r="M10" s="140" t="s">
        <v>239</v>
      </c>
      <c r="N10" s="127">
        <v>1</v>
      </c>
      <c r="O10" s="78">
        <v>0</v>
      </c>
    </row>
    <row r="11" spans="1:15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6" t="s">
        <v>239</v>
      </c>
      <c r="G11" s="146" t="s">
        <v>239</v>
      </c>
      <c r="H11" s="142" t="s">
        <v>239</v>
      </c>
      <c r="I11" s="142" t="s">
        <v>239</v>
      </c>
      <c r="J11" s="164" t="s">
        <v>239</v>
      </c>
      <c r="K11" s="163" t="s">
        <v>239</v>
      </c>
      <c r="L11" s="143">
        <v>0</v>
      </c>
      <c r="M11" s="176" t="s">
        <v>239</v>
      </c>
      <c r="N11" s="142">
        <v>0</v>
      </c>
      <c r="O11" s="142">
        <v>0</v>
      </c>
    </row>
    <row r="12" spans="1:15" s="139" customFormat="1" x14ac:dyDescent="0.2">
      <c r="A12" s="112" t="s">
        <v>1388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6" t="s">
        <v>239</v>
      </c>
      <c r="G12" s="146" t="s">
        <v>239</v>
      </c>
      <c r="H12" s="142" t="s">
        <v>239</v>
      </c>
      <c r="I12" s="142" t="s">
        <v>239</v>
      </c>
      <c r="J12" s="164" t="s">
        <v>239</v>
      </c>
      <c r="K12" s="165" t="s">
        <v>239</v>
      </c>
      <c r="L12" s="148">
        <v>0</v>
      </c>
      <c r="M12" s="177" t="s">
        <v>239</v>
      </c>
      <c r="N12" s="145">
        <v>0</v>
      </c>
      <c r="O12" s="145">
        <v>0</v>
      </c>
    </row>
    <row r="13" spans="1:15" s="139" customFormat="1" x14ac:dyDescent="0.2">
      <c r="A13" s="112" t="s">
        <v>655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6" t="s">
        <v>239</v>
      </c>
      <c r="G13" s="146" t="s">
        <v>239</v>
      </c>
      <c r="H13" s="142" t="s">
        <v>239</v>
      </c>
      <c r="I13" s="142" t="s">
        <v>239</v>
      </c>
      <c r="J13" s="164" t="s">
        <v>239</v>
      </c>
      <c r="K13" s="165" t="s">
        <v>239</v>
      </c>
      <c r="L13" s="148">
        <v>0</v>
      </c>
      <c r="M13" s="177" t="s">
        <v>239</v>
      </c>
      <c r="N13" s="145">
        <v>0</v>
      </c>
      <c r="O13" s="145">
        <v>0</v>
      </c>
    </row>
    <row r="14" spans="1:15" s="139" customFormat="1" x14ac:dyDescent="0.2">
      <c r="A14" s="112" t="s">
        <v>1389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6" t="s">
        <v>239</v>
      </c>
      <c r="G14" s="146" t="s">
        <v>239</v>
      </c>
      <c r="H14" s="142" t="s">
        <v>239</v>
      </c>
      <c r="I14" s="142" t="s">
        <v>239</v>
      </c>
      <c r="J14" s="164" t="s">
        <v>239</v>
      </c>
      <c r="K14" s="165" t="s">
        <v>239</v>
      </c>
      <c r="L14" s="148">
        <v>0</v>
      </c>
      <c r="M14" s="177" t="s">
        <v>239</v>
      </c>
      <c r="N14" s="145">
        <v>0</v>
      </c>
      <c r="O14" s="145">
        <v>0</v>
      </c>
    </row>
    <row r="15" spans="1:15" s="139" customFormat="1" x14ac:dyDescent="0.2">
      <c r="A15" s="112" t="s">
        <v>1390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6" t="s">
        <v>239</v>
      </c>
      <c r="G15" s="146" t="s">
        <v>239</v>
      </c>
      <c r="H15" s="142" t="s">
        <v>239</v>
      </c>
      <c r="I15" s="142" t="s">
        <v>239</v>
      </c>
      <c r="J15" s="164" t="s">
        <v>239</v>
      </c>
      <c r="K15" s="165" t="s">
        <v>239</v>
      </c>
      <c r="L15" s="148">
        <v>0</v>
      </c>
      <c r="M15" s="177" t="s">
        <v>239</v>
      </c>
      <c r="N15" s="145">
        <v>0</v>
      </c>
      <c r="O15" s="145">
        <v>0</v>
      </c>
    </row>
    <row r="16" spans="1:15" s="139" customFormat="1" x14ac:dyDescent="0.2">
      <c r="A16" s="112" t="s">
        <v>219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6" t="s">
        <v>239</v>
      </c>
      <c r="G16" s="146" t="s">
        <v>239</v>
      </c>
      <c r="H16" s="142" t="s">
        <v>239</v>
      </c>
      <c r="I16" s="142" t="s">
        <v>239</v>
      </c>
      <c r="J16" s="164" t="s">
        <v>239</v>
      </c>
      <c r="K16" s="165" t="s">
        <v>239</v>
      </c>
      <c r="L16" s="148">
        <v>0</v>
      </c>
      <c r="M16" s="177" t="s">
        <v>239</v>
      </c>
      <c r="N16" s="145">
        <v>0</v>
      </c>
      <c r="O16" s="145">
        <v>0</v>
      </c>
    </row>
    <row r="17" spans="1:15" s="139" customFormat="1" x14ac:dyDescent="0.2">
      <c r="A17" s="112" t="s">
        <v>370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6" t="s">
        <v>239</v>
      </c>
      <c r="G17" s="146" t="s">
        <v>239</v>
      </c>
      <c r="H17" s="142" t="s">
        <v>239</v>
      </c>
      <c r="I17" s="142" t="s">
        <v>239</v>
      </c>
      <c r="J17" s="164" t="s">
        <v>239</v>
      </c>
      <c r="K17" s="165" t="s">
        <v>239</v>
      </c>
      <c r="L17" s="148">
        <v>0</v>
      </c>
      <c r="M17" s="177" t="s">
        <v>239</v>
      </c>
      <c r="N17" s="145">
        <v>0</v>
      </c>
      <c r="O17" s="145">
        <v>0</v>
      </c>
    </row>
    <row r="18" spans="1:15" s="139" customFormat="1" x14ac:dyDescent="0.2">
      <c r="A18" s="112" t="s">
        <v>1391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6" t="s">
        <v>239</v>
      </c>
      <c r="G18" s="146" t="s">
        <v>239</v>
      </c>
      <c r="H18" s="142" t="s">
        <v>239</v>
      </c>
      <c r="I18" s="142" t="s">
        <v>239</v>
      </c>
      <c r="J18" s="164" t="s">
        <v>239</v>
      </c>
      <c r="K18" s="165" t="s">
        <v>239</v>
      </c>
      <c r="L18" s="148">
        <v>0</v>
      </c>
      <c r="M18" s="177" t="s">
        <v>239</v>
      </c>
      <c r="N18" s="145">
        <v>0</v>
      </c>
      <c r="O18" s="145">
        <v>0</v>
      </c>
    </row>
    <row r="19" spans="1:15" s="139" customFormat="1" x14ac:dyDescent="0.2">
      <c r="A19" s="234" t="s">
        <v>1392</v>
      </c>
      <c r="B19" s="235" t="s">
        <v>239</v>
      </c>
      <c r="C19" s="235" t="s">
        <v>239</v>
      </c>
      <c r="D19" s="235" t="s">
        <v>239</v>
      </c>
      <c r="E19" s="235" t="s">
        <v>239</v>
      </c>
      <c r="F19" s="236" t="s">
        <v>239</v>
      </c>
      <c r="G19" s="236" t="s">
        <v>239</v>
      </c>
      <c r="H19" s="235" t="s">
        <v>239</v>
      </c>
      <c r="I19" s="235" t="s">
        <v>239</v>
      </c>
      <c r="J19" s="241" t="s">
        <v>239</v>
      </c>
      <c r="K19" s="242" t="s">
        <v>239</v>
      </c>
      <c r="L19" s="240">
        <v>0</v>
      </c>
      <c r="M19" s="246" t="s">
        <v>239</v>
      </c>
      <c r="N19" s="238">
        <v>0</v>
      </c>
      <c r="O19" s="238">
        <v>0</v>
      </c>
    </row>
    <row r="20" spans="1:15" s="139" customFormat="1" x14ac:dyDescent="0.2">
      <c r="A20" s="97" t="s">
        <v>230</v>
      </c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54"/>
      <c r="M20" s="154"/>
      <c r="N20" s="154"/>
    </row>
    <row r="21" spans="1:15" s="139" customFormat="1" x14ac:dyDescent="0.2">
      <c r="A21" s="97" t="s">
        <v>231</v>
      </c>
      <c r="B21" s="149"/>
      <c r="C21" s="97"/>
      <c r="D21" s="166"/>
      <c r="E21" s="166"/>
      <c r="F21" s="166"/>
      <c r="G21" s="167"/>
      <c r="H21" s="154"/>
      <c r="I21" s="168"/>
      <c r="J21" s="168"/>
      <c r="K21" s="168"/>
      <c r="L21" s="154"/>
      <c r="M21" s="154"/>
      <c r="N21" s="154"/>
    </row>
    <row r="22" spans="1:15" s="139" customFormat="1" x14ac:dyDescent="0.2">
      <c r="A22" s="97" t="s">
        <v>232</v>
      </c>
      <c r="B22" s="149"/>
      <c r="C22" s="97"/>
      <c r="D22" s="166"/>
      <c r="E22" s="166"/>
      <c r="F22" s="166"/>
      <c r="G22" s="167"/>
      <c r="H22" s="154"/>
      <c r="I22" s="168"/>
      <c r="J22" s="168"/>
      <c r="K22" s="168"/>
      <c r="L22" s="154"/>
      <c r="M22" s="154"/>
      <c r="N22" s="154"/>
    </row>
    <row r="23" spans="1:15" s="139" customFormat="1" x14ac:dyDescent="0.2">
      <c r="A23" s="97" t="s">
        <v>233</v>
      </c>
      <c r="B23" s="149"/>
      <c r="C23" s="97"/>
      <c r="D23" s="166"/>
      <c r="E23" s="166"/>
      <c r="F23" s="166"/>
      <c r="G23" s="167"/>
      <c r="H23" s="154"/>
      <c r="I23" s="168"/>
      <c r="J23" s="168"/>
      <c r="K23" s="168"/>
      <c r="L23" s="154"/>
      <c r="M23" s="154"/>
      <c r="N23" s="154"/>
    </row>
    <row r="24" spans="1:15" s="139" customFormat="1" x14ac:dyDescent="0.2">
      <c r="A24" s="97" t="s">
        <v>234</v>
      </c>
      <c r="B24" s="149"/>
      <c r="C24" s="97"/>
      <c r="D24" s="166"/>
      <c r="E24" s="166"/>
      <c r="F24" s="166"/>
      <c r="G24" s="167"/>
      <c r="H24" s="154"/>
      <c r="I24" s="168"/>
      <c r="J24" s="168"/>
      <c r="K24" s="168"/>
      <c r="L24" s="154"/>
      <c r="M24" s="154"/>
      <c r="N24" s="154"/>
    </row>
  </sheetData>
  <mergeCells count="2">
    <mergeCell ref="A6:O6"/>
    <mergeCell ref="A5:O5"/>
  </mergeCells>
  <conditionalFormatting sqref="H1:H4 J11:K19 M11:N19 H20:H55554">
    <cfRule type="expression" dxfId="105" priority="264" stopIfTrue="1">
      <formula>LEFT(#REF!,3)="TIR"</formula>
    </cfRule>
  </conditionalFormatting>
  <conditionalFormatting sqref="H7">
    <cfRule type="expression" dxfId="104" priority="268" stopIfTrue="1">
      <formula>LEFT(#REF!,3)="TIR"</formula>
    </cfRule>
  </conditionalFormatting>
  <conditionalFormatting sqref="N11:O19">
    <cfRule type="expression" dxfId="103" priority="269" stopIfTrue="1">
      <formula>OR(LEFT(#REF!,3)="TIR",LEFT(#REF!,2)="IR")</formula>
    </cfRule>
  </conditionalFormatting>
  <conditionalFormatting sqref="A11:A19 L11:L19">
    <cfRule type="expression" dxfId="102" priority="270" stopIfTrue="1">
      <formula>#REF!&gt;0</formula>
    </cfRule>
    <cfRule type="expression" dxfId="101" priority="271" stopIfTrue="1">
      <formula>LEFT(#REF!,3)="TIR"</formula>
    </cfRule>
  </conditionalFormatting>
  <conditionalFormatting sqref="B11:I19">
    <cfRule type="expression" dxfId="10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8" t="s">
        <v>28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200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158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2"/>
      <c r="G10" s="159" t="s">
        <v>239</v>
      </c>
      <c r="H10" s="159" t="s">
        <v>239</v>
      </c>
      <c r="I10" s="159" t="s">
        <v>239</v>
      </c>
      <c r="J10" s="159" t="s">
        <v>239</v>
      </c>
      <c r="K10" s="160" t="s">
        <v>239</v>
      </c>
      <c r="L10" s="160" t="s">
        <v>239</v>
      </c>
      <c r="M10" s="123" t="s">
        <v>239</v>
      </c>
      <c r="N10" s="159" t="s">
        <v>239</v>
      </c>
      <c r="O10" s="124">
        <v>6.0000000000000008E-7</v>
      </c>
      <c r="P10" s="140" t="s">
        <v>239</v>
      </c>
      <c r="Q10" s="127">
        <v>1</v>
      </c>
      <c r="R10" s="78">
        <v>0</v>
      </c>
    </row>
    <row r="11" spans="1:18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2" t="s">
        <v>239</v>
      </c>
      <c r="K11" s="142" t="s">
        <v>239</v>
      </c>
      <c r="L11" s="142" t="s">
        <v>239</v>
      </c>
      <c r="M11" s="155" t="s">
        <v>239</v>
      </c>
      <c r="N11" s="163" t="s">
        <v>239</v>
      </c>
      <c r="O11" s="143">
        <v>0</v>
      </c>
      <c r="P11" s="176" t="s">
        <v>239</v>
      </c>
      <c r="Q11" s="142">
        <v>0</v>
      </c>
      <c r="R11" s="142">
        <v>0</v>
      </c>
    </row>
    <row r="12" spans="1:18" s="139" customFormat="1" x14ac:dyDescent="0.2">
      <c r="A12" s="112" t="s">
        <v>1393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42" t="s">
        <v>239</v>
      </c>
      <c r="J12" s="142" t="s">
        <v>239</v>
      </c>
      <c r="K12" s="142" t="s">
        <v>239</v>
      </c>
      <c r="L12" s="142" t="s">
        <v>239</v>
      </c>
      <c r="M12" s="157" t="s">
        <v>239</v>
      </c>
      <c r="N12" s="165" t="s">
        <v>239</v>
      </c>
      <c r="O12" s="148">
        <v>0</v>
      </c>
      <c r="P12" s="177" t="s">
        <v>239</v>
      </c>
      <c r="Q12" s="145">
        <v>0</v>
      </c>
      <c r="R12" s="145">
        <v>0</v>
      </c>
    </row>
    <row r="13" spans="1:18" s="139" customFormat="1" x14ac:dyDescent="0.2">
      <c r="A13" s="112" t="s">
        <v>1394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2" t="s">
        <v>239</v>
      </c>
      <c r="H13" s="142" t="s">
        <v>239</v>
      </c>
      <c r="I13" s="142" t="s">
        <v>239</v>
      </c>
      <c r="J13" s="142" t="s">
        <v>239</v>
      </c>
      <c r="K13" s="142" t="s">
        <v>239</v>
      </c>
      <c r="L13" s="142" t="s">
        <v>239</v>
      </c>
      <c r="M13" s="157" t="s">
        <v>239</v>
      </c>
      <c r="N13" s="165" t="s">
        <v>239</v>
      </c>
      <c r="O13" s="148">
        <v>0</v>
      </c>
      <c r="P13" s="177" t="s">
        <v>239</v>
      </c>
      <c r="Q13" s="145">
        <v>0</v>
      </c>
      <c r="R13" s="145">
        <v>0</v>
      </c>
    </row>
    <row r="14" spans="1:18" s="139" customFormat="1" x14ac:dyDescent="0.2">
      <c r="A14" s="112" t="s">
        <v>373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2" t="s">
        <v>239</v>
      </c>
      <c r="H14" s="142" t="s">
        <v>239</v>
      </c>
      <c r="I14" s="142" t="s">
        <v>239</v>
      </c>
      <c r="J14" s="142" t="s">
        <v>239</v>
      </c>
      <c r="K14" s="142" t="s">
        <v>239</v>
      </c>
      <c r="L14" s="142" t="s">
        <v>239</v>
      </c>
      <c r="M14" s="157" t="s">
        <v>239</v>
      </c>
      <c r="N14" s="147" t="s">
        <v>239</v>
      </c>
      <c r="O14" s="148">
        <v>0</v>
      </c>
      <c r="P14" s="177" t="s">
        <v>239</v>
      </c>
      <c r="Q14" s="145">
        <v>0</v>
      </c>
      <c r="R14" s="145">
        <v>0</v>
      </c>
    </row>
    <row r="15" spans="1:18" s="139" customFormat="1" x14ac:dyDescent="0.2">
      <c r="A15" s="112" t="s">
        <v>143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2" t="s">
        <v>239</v>
      </c>
      <c r="H15" s="142" t="s">
        <v>239</v>
      </c>
      <c r="I15" s="142" t="s">
        <v>239</v>
      </c>
      <c r="J15" s="142" t="s">
        <v>239</v>
      </c>
      <c r="K15" s="142" t="s">
        <v>239</v>
      </c>
      <c r="L15" s="142" t="s">
        <v>239</v>
      </c>
      <c r="M15" s="157" t="s">
        <v>239</v>
      </c>
      <c r="N15" s="165" t="s">
        <v>239</v>
      </c>
      <c r="O15" s="148">
        <v>0</v>
      </c>
      <c r="P15" s="177" t="s">
        <v>239</v>
      </c>
      <c r="Q15" s="145">
        <v>0</v>
      </c>
      <c r="R15" s="145">
        <v>0</v>
      </c>
    </row>
    <row r="16" spans="1:18" s="139" customFormat="1" x14ac:dyDescent="0.2">
      <c r="A16" s="112" t="s">
        <v>370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2" t="s">
        <v>239</v>
      </c>
      <c r="I16" s="142" t="s">
        <v>239</v>
      </c>
      <c r="J16" s="142" t="s">
        <v>239</v>
      </c>
      <c r="K16" s="142" t="s">
        <v>239</v>
      </c>
      <c r="L16" s="142" t="s">
        <v>239</v>
      </c>
      <c r="M16" s="157" t="s">
        <v>239</v>
      </c>
      <c r="N16" s="165" t="s">
        <v>239</v>
      </c>
      <c r="O16" s="148">
        <v>0</v>
      </c>
      <c r="P16" s="177" t="s">
        <v>239</v>
      </c>
      <c r="Q16" s="145">
        <v>0</v>
      </c>
      <c r="R16" s="145">
        <v>0</v>
      </c>
    </row>
    <row r="17" spans="1:18" s="139" customFormat="1" x14ac:dyDescent="0.2">
      <c r="A17" s="112" t="s">
        <v>1395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42" t="s">
        <v>239</v>
      </c>
      <c r="J17" s="142" t="s">
        <v>239</v>
      </c>
      <c r="K17" s="142" t="s">
        <v>239</v>
      </c>
      <c r="L17" s="142" t="s">
        <v>239</v>
      </c>
      <c r="M17" s="157" t="s">
        <v>239</v>
      </c>
      <c r="N17" s="165" t="s">
        <v>239</v>
      </c>
      <c r="O17" s="148">
        <v>0</v>
      </c>
      <c r="P17" s="177" t="s">
        <v>239</v>
      </c>
      <c r="Q17" s="145">
        <v>0</v>
      </c>
      <c r="R17" s="145">
        <v>0</v>
      </c>
    </row>
    <row r="18" spans="1:18" s="139" customFormat="1" x14ac:dyDescent="0.2">
      <c r="A18" s="234" t="s">
        <v>1396</v>
      </c>
      <c r="B18" s="235" t="s">
        <v>239</v>
      </c>
      <c r="C18" s="235" t="s">
        <v>239</v>
      </c>
      <c r="D18" s="235" t="s">
        <v>239</v>
      </c>
      <c r="E18" s="235" t="s">
        <v>239</v>
      </c>
      <c r="F18" s="235" t="s">
        <v>239</v>
      </c>
      <c r="G18" s="235" t="s">
        <v>239</v>
      </c>
      <c r="H18" s="235" t="s">
        <v>239</v>
      </c>
      <c r="I18" s="235" t="s">
        <v>239</v>
      </c>
      <c r="J18" s="235" t="s">
        <v>239</v>
      </c>
      <c r="K18" s="235" t="s">
        <v>239</v>
      </c>
      <c r="L18" s="235" t="s">
        <v>239</v>
      </c>
      <c r="M18" s="239" t="s">
        <v>239</v>
      </c>
      <c r="N18" s="242" t="s">
        <v>239</v>
      </c>
      <c r="O18" s="240">
        <v>0</v>
      </c>
      <c r="P18" s="246" t="s">
        <v>239</v>
      </c>
      <c r="Q18" s="238">
        <v>0</v>
      </c>
      <c r="R18" s="238">
        <v>0</v>
      </c>
    </row>
    <row r="19" spans="1:18" s="139" customFormat="1" x14ac:dyDescent="0.2">
      <c r="A19" s="97" t="s">
        <v>230</v>
      </c>
      <c r="B19" s="149"/>
      <c r="C19" s="149"/>
      <c r="D19" s="149"/>
      <c r="E19" s="97"/>
      <c r="F19" s="166"/>
      <c r="G19" s="166"/>
      <c r="H19" s="166"/>
      <c r="I19" s="167"/>
      <c r="J19" s="154"/>
      <c r="K19" s="168"/>
      <c r="L19" s="168"/>
      <c r="M19" s="168"/>
      <c r="N19" s="154"/>
      <c r="O19" s="154"/>
    </row>
    <row r="20" spans="1:18" s="139" customFormat="1" x14ac:dyDescent="0.2">
      <c r="A20" s="97" t="s">
        <v>231</v>
      </c>
      <c r="B20" s="149"/>
      <c r="C20" s="149"/>
      <c r="D20" s="149"/>
      <c r="E20" s="97"/>
      <c r="F20" s="166"/>
      <c r="G20" s="166"/>
      <c r="H20" s="166"/>
      <c r="I20" s="167"/>
      <c r="J20" s="154"/>
      <c r="K20" s="168"/>
      <c r="L20" s="168"/>
      <c r="M20" s="168"/>
      <c r="N20" s="154"/>
      <c r="O20" s="154"/>
    </row>
    <row r="21" spans="1:18" s="139" customFormat="1" x14ac:dyDescent="0.2">
      <c r="A21" s="97" t="s">
        <v>232</v>
      </c>
      <c r="B21" s="149"/>
      <c r="C21" s="149"/>
      <c r="D21" s="149"/>
      <c r="E21" s="97"/>
      <c r="F21" s="166"/>
      <c r="G21" s="166"/>
      <c r="H21" s="166"/>
      <c r="I21" s="167"/>
      <c r="J21" s="154"/>
      <c r="K21" s="168"/>
      <c r="L21" s="168"/>
      <c r="M21" s="168"/>
      <c r="N21" s="154"/>
      <c r="O21" s="154"/>
    </row>
    <row r="22" spans="1:18" s="139" customFormat="1" x14ac:dyDescent="0.2">
      <c r="A22" s="97" t="s">
        <v>233</v>
      </c>
      <c r="B22" s="149"/>
      <c r="C22" s="149"/>
      <c r="D22" s="149"/>
      <c r="E22" s="97"/>
      <c r="F22" s="166"/>
      <c r="G22" s="166"/>
      <c r="H22" s="166"/>
      <c r="I22" s="167"/>
      <c r="J22" s="154"/>
      <c r="K22" s="168"/>
      <c r="L22" s="168"/>
      <c r="M22" s="168"/>
      <c r="N22" s="154"/>
      <c r="O22" s="154"/>
    </row>
    <row r="23" spans="1:18" s="139" customFormat="1" x14ac:dyDescent="0.2">
      <c r="A23" s="97" t="s">
        <v>234</v>
      </c>
      <c r="B23" s="149"/>
      <c r="C23" s="149"/>
      <c r="D23" s="149"/>
      <c r="E23" s="97"/>
      <c r="F23" s="166"/>
      <c r="G23" s="166"/>
      <c r="H23" s="166"/>
      <c r="I23" s="167"/>
      <c r="J23" s="154"/>
      <c r="K23" s="168"/>
      <c r="L23" s="168"/>
      <c r="M23" s="168"/>
      <c r="N23" s="154"/>
      <c r="O23" s="154"/>
    </row>
  </sheetData>
  <mergeCells count="2">
    <mergeCell ref="A6:R6"/>
    <mergeCell ref="A5:R5"/>
  </mergeCells>
  <conditionalFormatting sqref="J1:J4 I10 K10:N10 M11:N18 P11:Q18 J19:J55553">
    <cfRule type="expression" dxfId="99" priority="290" stopIfTrue="1">
      <formula>LEFT(#REF!,3)="TIR"</formula>
    </cfRule>
  </conditionalFormatting>
  <conditionalFormatting sqref="K7">
    <cfRule type="expression" dxfId="98" priority="296" stopIfTrue="1">
      <formula>LEFT(#REF!,3)="TIR"</formula>
    </cfRule>
  </conditionalFormatting>
  <conditionalFormatting sqref="B10:H10 J10 B11:L18">
    <cfRule type="expression" dxfId="97" priority="297" stopIfTrue="1">
      <formula>LEFT(#REF!,3)="TIR"</formula>
    </cfRule>
  </conditionalFormatting>
  <conditionalFormatting sqref="A10:A18 O11:O18">
    <cfRule type="expression" dxfId="96" priority="300" stopIfTrue="1">
      <formula>#REF!&gt;0</formula>
    </cfRule>
    <cfRule type="expression" dxfId="95" priority="301" stopIfTrue="1">
      <formula>LEFT(#REF!,3)="TIR"</formula>
    </cfRule>
  </conditionalFormatting>
  <conditionalFormatting sqref="Q11:R18">
    <cfRule type="expression" dxfId="9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8"/>
  <sheetViews>
    <sheetView rightToLeft="1" zoomScale="80" zoomScaleNormal="80" workbookViewId="0">
      <selection activeCell="A7" sqref="A7:R23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0.85546875" style="83" bestFit="1" customWidth="1"/>
    <col min="14" max="14" width="8.85546875" style="81" bestFit="1" customWidth="1"/>
    <col min="15" max="15" width="10.42578125" style="8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8" t="s">
        <v>28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200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158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58</v>
      </c>
      <c r="B10" s="86"/>
      <c r="C10" s="86"/>
      <c r="D10" s="86"/>
      <c r="E10" s="86"/>
      <c r="F10" s="122"/>
      <c r="G10" s="122"/>
      <c r="H10" s="122"/>
      <c r="I10" s="122"/>
      <c r="J10" s="122"/>
      <c r="K10" s="86"/>
      <c r="L10" s="86"/>
      <c r="M10" s="123"/>
      <c r="N10" s="122"/>
      <c r="O10" s="126">
        <v>1505.7917906</v>
      </c>
      <c r="P10" s="86"/>
      <c r="Q10" s="86">
        <v>1</v>
      </c>
      <c r="R10" s="101">
        <v>4.6376888989652556E-3</v>
      </c>
    </row>
    <row r="11" spans="1:18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6" t="s">
        <v>239</v>
      </c>
      <c r="J11" s="146" t="s">
        <v>239</v>
      </c>
      <c r="K11" s="142" t="s">
        <v>239</v>
      </c>
      <c r="L11" s="142" t="s">
        <v>239</v>
      </c>
      <c r="M11" s="155" t="s">
        <v>239</v>
      </c>
      <c r="N11" s="146" t="s">
        <v>239</v>
      </c>
      <c r="O11" s="156">
        <v>1505.7917904000001</v>
      </c>
      <c r="P11" s="142" t="s">
        <v>239</v>
      </c>
      <c r="Q11" s="142">
        <v>0.99999999986717958</v>
      </c>
      <c r="R11" s="142">
        <v>4.6376888983492752E-3</v>
      </c>
    </row>
    <row r="12" spans="1:18" s="139" customFormat="1" x14ac:dyDescent="0.2">
      <c r="A12" s="112" t="s">
        <v>1393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46" t="s">
        <v>239</v>
      </c>
      <c r="J12" s="146" t="s">
        <v>239</v>
      </c>
      <c r="K12" s="142" t="s">
        <v>239</v>
      </c>
      <c r="L12" s="145" t="s">
        <v>239</v>
      </c>
      <c r="M12" s="157" t="s">
        <v>239</v>
      </c>
      <c r="N12" s="146" t="s">
        <v>239</v>
      </c>
      <c r="O12" s="148">
        <v>1422.5985701000002</v>
      </c>
      <c r="P12" s="145" t="s">
        <v>239</v>
      </c>
      <c r="Q12" s="142">
        <v>0.94475117939987541</v>
      </c>
      <c r="R12" s="142">
        <v>4.3814620569871347E-3</v>
      </c>
    </row>
    <row r="13" spans="1:18" x14ac:dyDescent="0.2">
      <c r="A13" s="30" t="s">
        <v>1397</v>
      </c>
      <c r="B13" s="46" t="s">
        <v>1398</v>
      </c>
      <c r="C13" s="46" t="s">
        <v>239</v>
      </c>
      <c r="D13" s="46" t="s">
        <v>1399</v>
      </c>
      <c r="E13" s="46" t="s">
        <v>205</v>
      </c>
      <c r="F13" s="46" t="s">
        <v>244</v>
      </c>
      <c r="G13" s="46" t="s">
        <v>245</v>
      </c>
      <c r="H13" s="46" t="s">
        <v>1400</v>
      </c>
      <c r="I13" s="85">
        <v>7.2399999999999993</v>
      </c>
      <c r="J13" s="85" t="s">
        <v>246</v>
      </c>
      <c r="K13" s="46">
        <v>4.9000000000000002E-2</v>
      </c>
      <c r="L13" s="38">
        <v>7.4999999999999997E-3</v>
      </c>
      <c r="M13" s="88">
        <v>725419</v>
      </c>
      <c r="N13" s="85">
        <v>164.76</v>
      </c>
      <c r="O13" s="104">
        <v>1195.2003400000001</v>
      </c>
      <c r="P13" s="38">
        <v>3.6952805683258268E-4</v>
      </c>
      <c r="Q13" s="46">
        <v>0.79373546028150332</v>
      </c>
      <c r="R13" s="46">
        <v>3.6810981328626053E-3</v>
      </c>
    </row>
    <row r="14" spans="1:18" x14ac:dyDescent="0.2">
      <c r="A14" s="30" t="s">
        <v>1410</v>
      </c>
      <c r="B14" s="46" t="s">
        <v>1411</v>
      </c>
      <c r="C14" s="46" t="s">
        <v>239</v>
      </c>
      <c r="D14" s="46" t="s">
        <v>1412</v>
      </c>
      <c r="E14" s="46" t="s">
        <v>203</v>
      </c>
      <c r="F14" s="46" t="s">
        <v>244</v>
      </c>
      <c r="G14" s="46" t="s">
        <v>245</v>
      </c>
      <c r="H14" s="46" t="s">
        <v>1413</v>
      </c>
      <c r="I14" s="85">
        <v>0.10000000000000002</v>
      </c>
      <c r="J14" s="85" t="s">
        <v>246</v>
      </c>
      <c r="K14" s="46">
        <v>5.7500000000000002E-2</v>
      </c>
      <c r="L14" s="38">
        <v>5.6000000000000008E-3</v>
      </c>
      <c r="M14" s="88">
        <v>2561.7399999999998</v>
      </c>
      <c r="N14" s="85">
        <v>123</v>
      </c>
      <c r="O14" s="104">
        <v>3.1509399999999999</v>
      </c>
      <c r="P14" s="38">
        <v>4.9792181095554709E-4</v>
      </c>
      <c r="Q14" s="46">
        <v>2.0925469375447131E-3</v>
      </c>
      <c r="R14" s="46">
        <v>9.7045817028148577E-6</v>
      </c>
    </row>
    <row r="15" spans="1:18" x14ac:dyDescent="0.2">
      <c r="A15" s="30" t="s">
        <v>1401</v>
      </c>
      <c r="B15" s="46" t="s">
        <v>1402</v>
      </c>
      <c r="C15" s="46" t="s">
        <v>239</v>
      </c>
      <c r="D15" s="46" t="s">
        <v>1403</v>
      </c>
      <c r="E15" s="46" t="s">
        <v>205</v>
      </c>
      <c r="F15" s="46" t="s">
        <v>1404</v>
      </c>
      <c r="G15" s="46" t="s">
        <v>386</v>
      </c>
      <c r="H15" s="46" t="s">
        <v>1405</v>
      </c>
      <c r="I15" s="85">
        <v>3.29</v>
      </c>
      <c r="J15" s="85" t="s">
        <v>246</v>
      </c>
      <c r="K15" s="46">
        <v>5.5999999999999994E-2</v>
      </c>
      <c r="L15" s="38">
        <v>1.9E-3</v>
      </c>
      <c r="M15" s="88">
        <v>111836.1</v>
      </c>
      <c r="N15" s="85">
        <v>145.30000000000001</v>
      </c>
      <c r="O15" s="104">
        <v>162.49785</v>
      </c>
      <c r="P15" s="38">
        <v>1.5825008224154728E-4</v>
      </c>
      <c r="Q15" s="46">
        <v>0.10791521843484807</v>
      </c>
      <c r="R15" s="46">
        <v>5.0047721056470558E-4</v>
      </c>
    </row>
    <row r="16" spans="1:18" x14ac:dyDescent="0.2">
      <c r="A16" s="30" t="s">
        <v>1406</v>
      </c>
      <c r="B16" s="46" t="s">
        <v>1407</v>
      </c>
      <c r="C16" s="46" t="s">
        <v>239</v>
      </c>
      <c r="D16" s="46" t="s">
        <v>522</v>
      </c>
      <c r="E16" s="46" t="s">
        <v>202</v>
      </c>
      <c r="F16" s="46" t="s">
        <v>1408</v>
      </c>
      <c r="G16" s="46" t="s">
        <v>386</v>
      </c>
      <c r="H16" s="46" t="s">
        <v>1409</v>
      </c>
      <c r="I16" s="85">
        <v>1.23</v>
      </c>
      <c r="J16" s="85" t="s">
        <v>246</v>
      </c>
      <c r="K16" s="46">
        <v>4.4999999999999998E-2</v>
      </c>
      <c r="L16" s="38">
        <v>1.2E-2</v>
      </c>
      <c r="M16" s="88">
        <v>54400</v>
      </c>
      <c r="N16" s="85">
        <v>113.51</v>
      </c>
      <c r="O16" s="104">
        <v>61.74944</v>
      </c>
      <c r="P16" s="38">
        <v>5.44E-4</v>
      </c>
      <c r="Q16" s="46">
        <v>4.1007953679568963E-2</v>
      </c>
      <c r="R16" s="46">
        <v>1.9018213154901834E-4</v>
      </c>
    </row>
    <row r="17" spans="1:18" s="139" customFormat="1" x14ac:dyDescent="0.2">
      <c r="A17" s="112" t="s">
        <v>1394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46" t="s">
        <v>239</v>
      </c>
      <c r="J17" s="146" t="s">
        <v>239</v>
      </c>
      <c r="K17" s="142" t="s">
        <v>239</v>
      </c>
      <c r="L17" s="145" t="s">
        <v>239</v>
      </c>
      <c r="M17" s="157" t="s">
        <v>239</v>
      </c>
      <c r="N17" s="146" t="s">
        <v>239</v>
      </c>
      <c r="O17" s="148">
        <v>83.193220100000005</v>
      </c>
      <c r="P17" s="145" t="s">
        <v>239</v>
      </c>
      <c r="Q17" s="142">
        <v>5.5248820334483771E-2</v>
      </c>
      <c r="R17" s="142">
        <v>2.5622684074616124E-4</v>
      </c>
    </row>
    <row r="18" spans="1:18" x14ac:dyDescent="0.2">
      <c r="A18" s="30" t="s">
        <v>1414</v>
      </c>
      <c r="B18" s="46" t="s">
        <v>1415</v>
      </c>
      <c r="C18" s="46" t="s">
        <v>239</v>
      </c>
      <c r="D18" s="46" t="s">
        <v>1416</v>
      </c>
      <c r="E18" s="46" t="s">
        <v>490</v>
      </c>
      <c r="F18" s="46" t="s">
        <v>1417</v>
      </c>
      <c r="G18" s="46" t="s">
        <v>245</v>
      </c>
      <c r="H18" s="46" t="s">
        <v>1418</v>
      </c>
      <c r="I18" s="85">
        <v>3.4499999999999997</v>
      </c>
      <c r="J18" s="85" t="s">
        <v>126</v>
      </c>
      <c r="K18" s="46">
        <v>7.9699999999999993E-2</v>
      </c>
      <c r="L18" s="38">
        <v>1.3999999999999999E-2</v>
      </c>
      <c r="M18" s="88">
        <v>19163.8</v>
      </c>
      <c r="N18" s="85">
        <v>126.16000000000001</v>
      </c>
      <c r="O18" s="104">
        <v>83.193219999999997</v>
      </c>
      <c r="P18" s="38">
        <v>2.6915497447586737E-4</v>
      </c>
      <c r="Q18" s="46">
        <v>5.5248820268073526E-2</v>
      </c>
      <c r="R18" s="46">
        <v>2.5622684043817117E-4</v>
      </c>
    </row>
    <row r="19" spans="1:18" s="139" customFormat="1" x14ac:dyDescent="0.2">
      <c r="A19" s="112" t="s">
        <v>373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2" t="s">
        <v>239</v>
      </c>
      <c r="H19" s="142" t="s">
        <v>239</v>
      </c>
      <c r="I19" s="146" t="s">
        <v>239</v>
      </c>
      <c r="J19" s="146" t="s">
        <v>239</v>
      </c>
      <c r="K19" s="142" t="s">
        <v>239</v>
      </c>
      <c r="L19" s="145" t="s">
        <v>239</v>
      </c>
      <c r="M19" s="157" t="s">
        <v>239</v>
      </c>
      <c r="N19" s="146" t="s">
        <v>239</v>
      </c>
      <c r="O19" s="148">
        <v>0</v>
      </c>
      <c r="P19" s="145" t="s">
        <v>239</v>
      </c>
      <c r="Q19" s="142">
        <v>0</v>
      </c>
      <c r="R19" s="142">
        <v>0</v>
      </c>
    </row>
    <row r="20" spans="1:18" s="139" customFormat="1" x14ac:dyDescent="0.2">
      <c r="A20" s="112" t="s">
        <v>143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2" t="s">
        <v>239</v>
      </c>
      <c r="H20" s="142" t="s">
        <v>239</v>
      </c>
      <c r="I20" s="146" t="s">
        <v>239</v>
      </c>
      <c r="J20" s="146" t="s">
        <v>239</v>
      </c>
      <c r="K20" s="142" t="s">
        <v>239</v>
      </c>
      <c r="L20" s="145" t="s">
        <v>239</v>
      </c>
      <c r="M20" s="157" t="s">
        <v>239</v>
      </c>
      <c r="N20" s="146" t="s">
        <v>239</v>
      </c>
      <c r="O20" s="148">
        <v>0</v>
      </c>
      <c r="P20" s="145" t="s">
        <v>239</v>
      </c>
      <c r="Q20" s="142">
        <v>0</v>
      </c>
      <c r="R20" s="142">
        <v>0</v>
      </c>
    </row>
    <row r="21" spans="1:18" s="139" customFormat="1" x14ac:dyDescent="0.2">
      <c r="A21" s="112" t="s">
        <v>370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42" t="s">
        <v>239</v>
      </c>
      <c r="G21" s="142" t="s">
        <v>239</v>
      </c>
      <c r="H21" s="142" t="s">
        <v>239</v>
      </c>
      <c r="I21" s="146" t="s">
        <v>239</v>
      </c>
      <c r="J21" s="146" t="s">
        <v>239</v>
      </c>
      <c r="K21" s="142" t="s">
        <v>239</v>
      </c>
      <c r="L21" s="145" t="s">
        <v>239</v>
      </c>
      <c r="M21" s="157" t="s">
        <v>239</v>
      </c>
      <c r="N21" s="146" t="s">
        <v>239</v>
      </c>
      <c r="O21" s="148">
        <v>0</v>
      </c>
      <c r="P21" s="145" t="s">
        <v>239</v>
      </c>
      <c r="Q21" s="142">
        <v>0</v>
      </c>
      <c r="R21" s="142">
        <v>0</v>
      </c>
    </row>
    <row r="22" spans="1:18" s="139" customFormat="1" x14ac:dyDescent="0.2">
      <c r="A22" s="112" t="s">
        <v>1419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2" t="s">
        <v>239</v>
      </c>
      <c r="H22" s="142" t="s">
        <v>239</v>
      </c>
      <c r="I22" s="146" t="s">
        <v>239</v>
      </c>
      <c r="J22" s="146" t="s">
        <v>239</v>
      </c>
      <c r="K22" s="142" t="s">
        <v>239</v>
      </c>
      <c r="L22" s="145" t="s">
        <v>239</v>
      </c>
      <c r="M22" s="157" t="s">
        <v>239</v>
      </c>
      <c r="N22" s="146" t="s">
        <v>239</v>
      </c>
      <c r="O22" s="148">
        <v>0</v>
      </c>
      <c r="P22" s="145" t="s">
        <v>239</v>
      </c>
      <c r="Q22" s="142">
        <v>0</v>
      </c>
      <c r="R22" s="142">
        <v>0</v>
      </c>
    </row>
    <row r="23" spans="1:18" s="139" customFormat="1" x14ac:dyDescent="0.2">
      <c r="A23" s="234" t="s">
        <v>1420</v>
      </c>
      <c r="B23" s="235" t="s">
        <v>239</v>
      </c>
      <c r="C23" s="235" t="s">
        <v>239</v>
      </c>
      <c r="D23" s="235" t="s">
        <v>239</v>
      </c>
      <c r="E23" s="235" t="s">
        <v>239</v>
      </c>
      <c r="F23" s="235" t="s">
        <v>239</v>
      </c>
      <c r="G23" s="235" t="s">
        <v>239</v>
      </c>
      <c r="H23" s="235" t="s">
        <v>239</v>
      </c>
      <c r="I23" s="236" t="s">
        <v>239</v>
      </c>
      <c r="J23" s="236" t="s">
        <v>239</v>
      </c>
      <c r="K23" s="235" t="s">
        <v>239</v>
      </c>
      <c r="L23" s="238" t="s">
        <v>239</v>
      </c>
      <c r="M23" s="239" t="s">
        <v>239</v>
      </c>
      <c r="N23" s="236" t="s">
        <v>239</v>
      </c>
      <c r="O23" s="240">
        <v>0</v>
      </c>
      <c r="P23" s="238" t="s">
        <v>239</v>
      </c>
      <c r="Q23" s="235">
        <v>0</v>
      </c>
      <c r="R23" s="235">
        <v>0</v>
      </c>
    </row>
    <row r="24" spans="1:18" s="139" customFormat="1" x14ac:dyDescent="0.2">
      <c r="A24" s="97" t="s">
        <v>230</v>
      </c>
      <c r="B24" s="149"/>
      <c r="C24" s="149"/>
      <c r="D24" s="149"/>
      <c r="E24" s="97"/>
      <c r="F24" s="150"/>
      <c r="G24" s="150"/>
      <c r="H24" s="150"/>
      <c r="I24" s="151"/>
      <c r="J24" s="152"/>
      <c r="K24" s="153"/>
      <c r="L24" s="153"/>
      <c r="M24" s="153"/>
      <c r="N24" s="152"/>
      <c r="O24" s="152"/>
      <c r="P24" s="158"/>
      <c r="Q24" s="158"/>
      <c r="R24" s="158"/>
    </row>
    <row r="25" spans="1:18" s="139" customFormat="1" x14ac:dyDescent="0.2">
      <c r="A25" s="97" t="s">
        <v>231</v>
      </c>
      <c r="B25" s="149"/>
      <c r="C25" s="149"/>
      <c r="D25" s="149"/>
      <c r="E25" s="97"/>
      <c r="F25" s="150"/>
      <c r="G25" s="150"/>
      <c r="H25" s="150"/>
      <c r="I25" s="151"/>
      <c r="J25" s="152"/>
      <c r="K25" s="153"/>
      <c r="L25" s="153"/>
      <c r="M25" s="153"/>
      <c r="N25" s="152"/>
      <c r="O25" s="152"/>
      <c r="P25" s="158"/>
      <c r="Q25" s="158"/>
      <c r="R25" s="158"/>
    </row>
    <row r="26" spans="1:18" s="139" customFormat="1" x14ac:dyDescent="0.2">
      <c r="A26" s="97" t="s">
        <v>232</v>
      </c>
      <c r="B26" s="149"/>
      <c r="C26" s="149"/>
      <c r="D26" s="149"/>
      <c r="E26" s="97"/>
      <c r="F26" s="150"/>
      <c r="G26" s="150"/>
      <c r="H26" s="150"/>
      <c r="I26" s="151"/>
      <c r="J26" s="152"/>
      <c r="K26" s="153"/>
      <c r="L26" s="153"/>
      <c r="M26" s="153"/>
      <c r="N26" s="152"/>
      <c r="O26" s="152"/>
      <c r="P26" s="158"/>
      <c r="Q26" s="158"/>
      <c r="R26" s="158"/>
    </row>
    <row r="27" spans="1:18" s="139" customFormat="1" x14ac:dyDescent="0.2">
      <c r="A27" s="97" t="s">
        <v>233</v>
      </c>
      <c r="B27" s="149"/>
      <c r="C27" s="149"/>
      <c r="D27" s="149"/>
      <c r="E27" s="97"/>
      <c r="F27" s="150"/>
      <c r="G27" s="150"/>
      <c r="H27" s="150"/>
      <c r="I27" s="151"/>
      <c r="J27" s="152"/>
      <c r="K27" s="153"/>
      <c r="L27" s="153"/>
      <c r="M27" s="153"/>
      <c r="N27" s="152"/>
      <c r="O27" s="152"/>
      <c r="P27" s="158"/>
      <c r="Q27" s="158"/>
      <c r="R27" s="158"/>
    </row>
    <row r="28" spans="1:18" s="139" customFormat="1" x14ac:dyDescent="0.2">
      <c r="A28" s="97" t="s">
        <v>234</v>
      </c>
      <c r="B28" s="149"/>
      <c r="C28" s="149"/>
      <c r="D28" s="149"/>
      <c r="E28" s="97"/>
      <c r="F28" s="150"/>
      <c r="G28" s="150"/>
      <c r="H28" s="150"/>
      <c r="I28" s="151"/>
      <c r="J28" s="152"/>
      <c r="K28" s="153"/>
      <c r="L28" s="153"/>
      <c r="M28" s="153"/>
      <c r="N28" s="152"/>
      <c r="O28" s="152"/>
      <c r="P28" s="158"/>
      <c r="Q28" s="158"/>
      <c r="R28" s="158"/>
    </row>
  </sheetData>
  <sortState ref="A13:Z16">
    <sortCondition ref="A13:A16" customList="א,ב,ג,ד,ה,ו,ז,ח,ט,י,כ,ל,מ,נ,ס,ע,פ,צ,ק,ר,ש,ת"/>
  </sortState>
  <mergeCells count="2">
    <mergeCell ref="A6:R6"/>
    <mergeCell ref="A5:R5"/>
  </mergeCells>
  <conditionalFormatting sqref="B10:H10 J10 Q10:R23">
    <cfRule type="expression" dxfId="93" priority="321" stopIfTrue="1">
      <formula>OR(LEFT(#REF!,3)="TIR",LEFT(#REF!,2)="IR")</formula>
    </cfRule>
  </conditionalFormatting>
  <conditionalFormatting sqref="J1:J4 I10 K10:N10 P10:Q23 M11:N11 L12:N23 J24:J55558">
    <cfRule type="expression" dxfId="92" priority="324" stopIfTrue="1">
      <formula>LEFT(#REF!,3)="TIR"</formula>
    </cfRule>
  </conditionalFormatting>
  <conditionalFormatting sqref="K7">
    <cfRule type="expression" dxfId="91" priority="331" stopIfTrue="1">
      <formula>LEFT(#REF!,3)="TIR"</formula>
    </cfRule>
  </conditionalFormatting>
  <conditionalFormatting sqref="A10:A23 O10:O23">
    <cfRule type="expression" dxfId="90" priority="332" stopIfTrue="1">
      <formula>#REF!&gt;0</formula>
    </cfRule>
    <cfRule type="expression" dxfId="89" priority="333" stopIfTrue="1">
      <formula>LEFT(#REF!,3)="TIR"</formula>
    </cfRule>
  </conditionalFormatting>
  <conditionalFormatting sqref="B11:J23 K11:L11 K12:K23">
    <cfRule type="expression" dxfId="8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5"/>
  <sheetViews>
    <sheetView rightToLeft="1" zoomScale="80" zoomScaleNormal="80" workbookViewId="0">
      <selection activeCell="A7" sqref="A7:L20"/>
    </sheetView>
  </sheetViews>
  <sheetFormatPr defaultRowHeight="12.75" x14ac:dyDescent="0.2"/>
  <cols>
    <col min="1" max="1" width="26.5703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140625" style="23" bestFit="1" customWidth="1"/>
    <col min="6" max="6" width="12" style="79" bestFit="1" customWidth="1"/>
    <col min="7" max="7" width="10.85546875" style="79" bestFit="1" customWidth="1"/>
    <col min="8" max="8" width="10.2851562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158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9" customFormat="1" ht="12.75" customHeight="1" thickBot="1" x14ac:dyDescent="0.25">
      <c r="A10" s="121" t="s">
        <v>59</v>
      </c>
      <c r="B10" s="86"/>
      <c r="C10" s="86"/>
      <c r="D10" s="86"/>
      <c r="E10" s="86"/>
      <c r="F10" s="122"/>
      <c r="G10" s="123"/>
      <c r="H10" s="122"/>
      <c r="I10" s="126">
        <v>2509.9005702999998</v>
      </c>
      <c r="J10" s="86"/>
      <c r="K10" s="86">
        <v>1</v>
      </c>
      <c r="L10" s="78">
        <v>7.7302440384196319E-3</v>
      </c>
    </row>
    <row r="11" spans="1:17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6" t="s">
        <v>239</v>
      </c>
      <c r="G11" s="155" t="s">
        <v>239</v>
      </c>
      <c r="H11" s="146" t="s">
        <v>239</v>
      </c>
      <c r="I11" s="156">
        <v>1991.4939801</v>
      </c>
      <c r="J11" s="142" t="s">
        <v>239</v>
      </c>
      <c r="K11" s="142">
        <v>0.79345532793833484</v>
      </c>
      <c r="L11" s="142">
        <v>6.1336033185476072E-3</v>
      </c>
    </row>
    <row r="12" spans="1:17" x14ac:dyDescent="0.2">
      <c r="A12" s="30" t="s">
        <v>1430</v>
      </c>
      <c r="B12" s="46" t="s">
        <v>1431</v>
      </c>
      <c r="C12" s="46" t="s">
        <v>239</v>
      </c>
      <c r="D12" s="46" t="s">
        <v>1432</v>
      </c>
      <c r="E12" s="46" t="s">
        <v>209</v>
      </c>
      <c r="F12" s="85" t="s">
        <v>126</v>
      </c>
      <c r="G12" s="120">
        <v>27.82</v>
      </c>
      <c r="H12" s="85">
        <v>178380.30000000002</v>
      </c>
      <c r="I12" s="105">
        <v>170.761</v>
      </c>
      <c r="J12" s="46">
        <v>1.1610049244637342E-4</v>
      </c>
      <c r="K12" s="46">
        <v>6.8034966014446349E-2</v>
      </c>
      <c r="L12" s="46">
        <v>5.2592689043725618E-4</v>
      </c>
      <c r="M12" s="28"/>
      <c r="N12" s="28"/>
      <c r="O12" s="28"/>
      <c r="P12" s="28"/>
    </row>
    <row r="13" spans="1:17" x14ac:dyDescent="0.2">
      <c r="A13" s="30" t="s">
        <v>1427</v>
      </c>
      <c r="B13" s="46" t="s">
        <v>1428</v>
      </c>
      <c r="C13" s="46" t="s">
        <v>239</v>
      </c>
      <c r="D13" s="46" t="s">
        <v>1429</v>
      </c>
      <c r="E13" s="46" t="s">
        <v>200</v>
      </c>
      <c r="F13" s="85" t="s">
        <v>126</v>
      </c>
      <c r="G13" s="120">
        <v>145.46</v>
      </c>
      <c r="H13" s="85">
        <v>11300</v>
      </c>
      <c r="I13" s="105">
        <v>56.559640000000002</v>
      </c>
      <c r="J13" s="46">
        <v>2.6553103743118711E-5</v>
      </c>
      <c r="K13" s="46">
        <v>2.2534613788800256E-2</v>
      </c>
      <c r="L13" s="46">
        <v>1.74198063898962E-4</v>
      </c>
      <c r="M13" s="28"/>
      <c r="N13" s="28"/>
      <c r="O13" s="28"/>
      <c r="P13" s="28"/>
    </row>
    <row r="14" spans="1:17" x14ac:dyDescent="0.2">
      <c r="A14" s="30" t="s">
        <v>1424</v>
      </c>
      <c r="B14" s="46" t="s">
        <v>1425</v>
      </c>
      <c r="C14" s="46" t="s">
        <v>239</v>
      </c>
      <c r="D14" s="46" t="s">
        <v>1426</v>
      </c>
      <c r="E14" s="46" t="s">
        <v>205</v>
      </c>
      <c r="F14" s="85" t="s">
        <v>126</v>
      </c>
      <c r="G14" s="120">
        <v>627.04</v>
      </c>
      <c r="H14" s="85">
        <v>1620</v>
      </c>
      <c r="I14" s="105">
        <v>34.95384</v>
      </c>
      <c r="J14" s="46">
        <v>6.3769453914129691E-5</v>
      </c>
      <c r="K14" s="46">
        <v>1.392638434112236E-2</v>
      </c>
      <c r="L14" s="46">
        <v>1.0765434952970163E-4</v>
      </c>
      <c r="M14" s="28"/>
      <c r="N14" s="28"/>
      <c r="O14" s="28"/>
      <c r="P14" s="28"/>
    </row>
    <row r="15" spans="1:17" x14ac:dyDescent="0.2">
      <c r="A15" s="30" t="s">
        <v>1421</v>
      </c>
      <c r="B15" s="46" t="s">
        <v>1422</v>
      </c>
      <c r="C15" s="46" t="s">
        <v>239</v>
      </c>
      <c r="D15" s="46" t="s">
        <v>1423</v>
      </c>
      <c r="E15" s="46" t="s">
        <v>208</v>
      </c>
      <c r="F15" s="85" t="s">
        <v>246</v>
      </c>
      <c r="G15" s="120">
        <v>154414.74</v>
      </c>
      <c r="H15" s="85">
        <v>1119.8539000000001</v>
      </c>
      <c r="I15" s="105">
        <v>1729.2194999999999</v>
      </c>
      <c r="J15" s="46">
        <v>5.0119035791023974E-4</v>
      </c>
      <c r="K15" s="46">
        <v>0.6889593637541237</v>
      </c>
      <c r="L15" s="46">
        <v>5.3258240143736965E-3</v>
      </c>
      <c r="M15" s="28"/>
      <c r="N15" s="28"/>
      <c r="O15" s="28"/>
      <c r="P15" s="28"/>
    </row>
    <row r="16" spans="1:17" s="139" customFormat="1" x14ac:dyDescent="0.2">
      <c r="A16" s="112" t="s">
        <v>370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6" t="s">
        <v>239</v>
      </c>
      <c r="G16" s="155" t="s">
        <v>239</v>
      </c>
      <c r="H16" s="146" t="s">
        <v>239</v>
      </c>
      <c r="I16" s="143">
        <v>518.40659019999998</v>
      </c>
      <c r="J16" s="142" t="s">
        <v>239</v>
      </c>
      <c r="K16" s="142">
        <v>0.20654467206166521</v>
      </c>
      <c r="L16" s="142">
        <v>1.5966407198720256E-3</v>
      </c>
    </row>
    <row r="17" spans="1:16" s="139" customFormat="1" x14ac:dyDescent="0.2">
      <c r="A17" s="112" t="s">
        <v>145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6" t="s">
        <v>239</v>
      </c>
      <c r="G17" s="155" t="s">
        <v>239</v>
      </c>
      <c r="H17" s="146" t="s">
        <v>239</v>
      </c>
      <c r="I17" s="143">
        <v>0</v>
      </c>
      <c r="J17" s="142" t="s">
        <v>239</v>
      </c>
      <c r="K17" s="142">
        <v>0</v>
      </c>
      <c r="L17" s="142">
        <v>0</v>
      </c>
    </row>
    <row r="18" spans="1:16" s="139" customFormat="1" x14ac:dyDescent="0.2">
      <c r="A18" s="112" t="s">
        <v>146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6" t="s">
        <v>239</v>
      </c>
      <c r="G18" s="155" t="s">
        <v>239</v>
      </c>
      <c r="H18" s="146" t="s">
        <v>239</v>
      </c>
      <c r="I18" s="143">
        <v>518.40659010000002</v>
      </c>
      <c r="J18" s="142" t="s">
        <v>239</v>
      </c>
      <c r="K18" s="142">
        <v>0.20654467202182303</v>
      </c>
      <c r="L18" s="142">
        <v>1.5966407195640356E-3</v>
      </c>
    </row>
    <row r="19" spans="1:16" x14ac:dyDescent="0.2">
      <c r="A19" s="30" t="s">
        <v>1433</v>
      </c>
      <c r="B19" s="46" t="s">
        <v>1434</v>
      </c>
      <c r="C19" s="46" t="s">
        <v>239</v>
      </c>
      <c r="D19" s="46" t="s">
        <v>239</v>
      </c>
      <c r="E19" s="46" t="s">
        <v>182</v>
      </c>
      <c r="F19" s="85" t="s">
        <v>127</v>
      </c>
      <c r="G19" s="120">
        <v>4745.05</v>
      </c>
      <c r="H19" s="85">
        <v>1445</v>
      </c>
      <c r="I19" s="105">
        <v>276.03289000000001</v>
      </c>
      <c r="J19" s="46">
        <v>3.1592531085025227E-4</v>
      </c>
      <c r="K19" s="46">
        <v>0.10997761953853286</v>
      </c>
      <c r="L19" s="46">
        <v>8.5015383779732596E-4</v>
      </c>
      <c r="M19" s="28"/>
      <c r="N19" s="28"/>
      <c r="O19" s="28"/>
      <c r="P19" s="28"/>
    </row>
    <row r="20" spans="1:16" x14ac:dyDescent="0.2">
      <c r="A20" s="243" t="s">
        <v>1435</v>
      </c>
      <c r="B20" s="205" t="s">
        <v>1436</v>
      </c>
      <c r="C20" s="205" t="s">
        <v>239</v>
      </c>
      <c r="D20" s="205" t="s">
        <v>1437</v>
      </c>
      <c r="E20" s="205" t="s">
        <v>188</v>
      </c>
      <c r="F20" s="203" t="s">
        <v>126</v>
      </c>
      <c r="G20" s="244">
        <v>4548.46</v>
      </c>
      <c r="H20" s="203">
        <v>1548.5900000000001</v>
      </c>
      <c r="I20" s="247">
        <v>242.37370000000001</v>
      </c>
      <c r="J20" s="205">
        <v>5.7386482426744477E-5</v>
      </c>
      <c r="K20" s="205">
        <v>9.6567052443447959E-2</v>
      </c>
      <c r="L20" s="205">
        <v>7.4648688145871947E-4</v>
      </c>
      <c r="M20" s="28"/>
      <c r="N20" s="28"/>
      <c r="O20" s="28"/>
      <c r="P20" s="28"/>
    </row>
    <row r="21" spans="1:16" s="139" customFormat="1" x14ac:dyDescent="0.2">
      <c r="A21" s="97" t="s">
        <v>230</v>
      </c>
      <c r="B21" s="149"/>
      <c r="C21" s="149"/>
      <c r="D21" s="149"/>
      <c r="E21" s="97"/>
      <c r="F21" s="150"/>
      <c r="G21" s="150"/>
      <c r="H21" s="150"/>
      <c r="I21" s="151"/>
      <c r="J21" s="152"/>
      <c r="K21" s="152"/>
      <c r="L21" s="153"/>
      <c r="M21" s="168"/>
      <c r="N21" s="168"/>
      <c r="O21" s="154"/>
      <c r="P21" s="154"/>
    </row>
    <row r="22" spans="1:16" s="139" customFormat="1" x14ac:dyDescent="0.2">
      <c r="A22" s="97" t="s">
        <v>231</v>
      </c>
      <c r="B22" s="149"/>
      <c r="C22" s="149"/>
      <c r="D22" s="149"/>
      <c r="E22" s="97"/>
      <c r="F22" s="150"/>
      <c r="G22" s="150"/>
      <c r="H22" s="150"/>
      <c r="I22" s="151"/>
      <c r="J22" s="152"/>
      <c r="K22" s="152"/>
      <c r="L22" s="153"/>
      <c r="M22" s="168"/>
      <c r="N22" s="168"/>
      <c r="O22" s="154"/>
      <c r="P22" s="154"/>
    </row>
    <row r="23" spans="1:16" s="139" customFormat="1" x14ac:dyDescent="0.2">
      <c r="A23" s="97" t="s">
        <v>232</v>
      </c>
      <c r="B23" s="149"/>
      <c r="C23" s="149"/>
      <c r="D23" s="149"/>
      <c r="E23" s="97"/>
      <c r="F23" s="150"/>
      <c r="G23" s="150"/>
      <c r="H23" s="150"/>
      <c r="I23" s="151"/>
      <c r="J23" s="152"/>
      <c r="K23" s="152"/>
      <c r="L23" s="153"/>
      <c r="M23" s="168"/>
      <c r="N23" s="168"/>
      <c r="O23" s="154"/>
      <c r="P23" s="154"/>
    </row>
    <row r="24" spans="1:16" s="139" customFormat="1" x14ac:dyDescent="0.2">
      <c r="A24" s="97" t="s">
        <v>233</v>
      </c>
      <c r="B24" s="149"/>
      <c r="C24" s="149"/>
      <c r="D24" s="149"/>
      <c r="E24" s="97"/>
      <c r="F24" s="150"/>
      <c r="G24" s="150"/>
      <c r="H24" s="150"/>
      <c r="I24" s="151"/>
      <c r="J24" s="152"/>
      <c r="K24" s="152"/>
      <c r="L24" s="153"/>
      <c r="M24" s="168"/>
      <c r="N24" s="168"/>
      <c r="O24" s="154"/>
      <c r="P24" s="154"/>
    </row>
    <row r="25" spans="1:16" s="139" customFormat="1" x14ac:dyDescent="0.2">
      <c r="A25" s="97" t="s">
        <v>234</v>
      </c>
      <c r="B25" s="149"/>
      <c r="C25" s="149"/>
      <c r="D25" s="149"/>
      <c r="E25" s="97"/>
      <c r="F25" s="150"/>
      <c r="G25" s="150"/>
      <c r="H25" s="150"/>
      <c r="I25" s="151"/>
      <c r="J25" s="152"/>
      <c r="K25" s="152"/>
      <c r="L25" s="153"/>
      <c r="M25" s="168"/>
      <c r="N25" s="168"/>
      <c r="O25" s="154"/>
      <c r="P25" s="154"/>
    </row>
  </sheetData>
  <mergeCells count="2">
    <mergeCell ref="A6:L6"/>
    <mergeCell ref="A5:L5"/>
  </mergeCells>
  <conditionalFormatting sqref="J1:K4 G10:H20 J10:J55555">
    <cfRule type="expression" dxfId="87" priority="348" stopIfTrue="1">
      <formula>LEFT(#REF!,3)="TIR"</formula>
    </cfRule>
  </conditionalFormatting>
  <conditionalFormatting sqref="B10:F10 K10:K20 L11:L20">
    <cfRule type="expression" dxfId="86" priority="351" stopIfTrue="1">
      <formula>OR(LEFT(#REF!,3)="TIR",LEFT(#REF!,2)="IR")</formula>
    </cfRule>
  </conditionalFormatting>
  <conditionalFormatting sqref="A10:A20 I10:I20">
    <cfRule type="expression" dxfId="85" priority="354" stopIfTrue="1">
      <formula>#REF!&gt;0</formula>
    </cfRule>
    <cfRule type="expression" dxfId="84" priority="355" stopIfTrue="1">
      <formula>LEFT(#REF!,3)="TIR"</formula>
    </cfRule>
  </conditionalFormatting>
  <conditionalFormatting sqref="C10:D10 B11:F20">
    <cfRule type="expression" dxfId="8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2"/>
  <sheetViews>
    <sheetView rightToLeft="1" zoomScale="80" zoomScaleNormal="80" workbookViewId="0">
      <selection activeCell="A7" sqref="A7:J27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2" style="79" bestFit="1" customWidth="1"/>
    <col min="4" max="4" width="14.140625" style="79" customWidth="1"/>
    <col min="5" max="5" width="10.5703125" style="79" customWidth="1"/>
    <col min="6" max="6" width="8.140625" style="50" bestFit="1" customWidth="1"/>
    <col min="7" max="7" width="10.42578125" style="8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158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9" customFormat="1" ht="12.75" customHeight="1" thickBot="1" x14ac:dyDescent="0.25">
      <c r="A10" s="121" t="s">
        <v>60</v>
      </c>
      <c r="B10" s="86" t="s">
        <v>239</v>
      </c>
      <c r="C10" s="122" t="s">
        <v>239</v>
      </c>
      <c r="D10" s="122" t="s">
        <v>239</v>
      </c>
      <c r="E10" s="123" t="s">
        <v>239</v>
      </c>
      <c r="F10" s="122" t="s">
        <v>239</v>
      </c>
      <c r="G10" s="126">
        <v>3118.4005400889841</v>
      </c>
      <c r="H10" s="86" t="s">
        <v>239</v>
      </c>
      <c r="I10" s="86">
        <v>1</v>
      </c>
      <c r="J10" s="101">
        <v>9.6043634037447645E-3</v>
      </c>
    </row>
    <row r="11" spans="1:17" s="139" customFormat="1" x14ac:dyDescent="0.2">
      <c r="A11" s="111" t="s">
        <v>1438</v>
      </c>
      <c r="B11" s="142" t="s">
        <v>239</v>
      </c>
      <c r="C11" s="146" t="s">
        <v>239</v>
      </c>
      <c r="D11" s="142" t="s">
        <v>239</v>
      </c>
      <c r="E11" s="155" t="s">
        <v>239</v>
      </c>
      <c r="F11" s="146" t="s">
        <v>239</v>
      </c>
      <c r="G11" s="156">
        <v>2968.9214696889849</v>
      </c>
      <c r="H11" s="142" t="s">
        <v>239</v>
      </c>
      <c r="I11" s="142">
        <v>0.95206546802492098</v>
      </c>
      <c r="J11" s="142">
        <v>9.1439827390676805E-3</v>
      </c>
    </row>
    <row r="12" spans="1:17" s="139" customFormat="1" x14ac:dyDescent="0.2">
      <c r="A12" s="112" t="s">
        <v>1439</v>
      </c>
      <c r="B12" s="142" t="s">
        <v>239</v>
      </c>
      <c r="C12" s="146" t="s">
        <v>239</v>
      </c>
      <c r="D12" s="142" t="s">
        <v>239</v>
      </c>
      <c r="E12" s="157" t="s">
        <v>239</v>
      </c>
      <c r="F12" s="147" t="s">
        <v>239</v>
      </c>
      <c r="G12" s="148">
        <v>0</v>
      </c>
      <c r="H12" s="145" t="s">
        <v>239</v>
      </c>
      <c r="I12" s="145">
        <v>0</v>
      </c>
      <c r="J12" s="145">
        <v>0</v>
      </c>
    </row>
    <row r="13" spans="1:17" s="139" customFormat="1" x14ac:dyDescent="0.2">
      <c r="A13" s="112" t="s">
        <v>1440</v>
      </c>
      <c r="B13" s="142" t="s">
        <v>239</v>
      </c>
      <c r="C13" s="146" t="s">
        <v>239</v>
      </c>
      <c r="D13" s="142" t="s">
        <v>239</v>
      </c>
      <c r="E13" s="157" t="s">
        <v>239</v>
      </c>
      <c r="F13" s="147" t="s">
        <v>239</v>
      </c>
      <c r="G13" s="148">
        <v>2968.9214693889844</v>
      </c>
      <c r="H13" s="145" t="s">
        <v>239</v>
      </c>
      <c r="I13" s="145">
        <v>0.95206546792871771</v>
      </c>
      <c r="J13" s="145">
        <v>9.1439827381437095E-3</v>
      </c>
    </row>
    <row r="14" spans="1:17" x14ac:dyDescent="0.2">
      <c r="A14" s="30" t="s">
        <v>1441</v>
      </c>
      <c r="B14" s="46" t="s">
        <v>1442</v>
      </c>
      <c r="C14" s="85" t="s">
        <v>126</v>
      </c>
      <c r="D14" s="46" t="s">
        <v>1443</v>
      </c>
      <c r="E14" s="88">
        <v>60.23</v>
      </c>
      <c r="F14" s="80">
        <v>1288.31</v>
      </c>
      <c r="G14" s="104">
        <v>267.00408000000004</v>
      </c>
      <c r="H14" s="38" t="s">
        <v>239</v>
      </c>
      <c r="I14" s="38">
        <v>8.562212472948745E-2</v>
      </c>
      <c r="J14" s="38">
        <v>8.2234600130275885E-4</v>
      </c>
      <c r="K14" s="28"/>
      <c r="L14" s="28"/>
      <c r="M14" s="28"/>
    </row>
    <row r="15" spans="1:17" x14ac:dyDescent="0.2">
      <c r="A15" s="30" t="s">
        <v>1452</v>
      </c>
      <c r="B15" s="46" t="s">
        <v>1453</v>
      </c>
      <c r="C15" s="85" t="s">
        <v>246</v>
      </c>
      <c r="D15" s="46" t="s">
        <v>1454</v>
      </c>
      <c r="E15" s="88">
        <v>189.0253049135637</v>
      </c>
      <c r="F15" s="80">
        <v>1384.29</v>
      </c>
      <c r="G15" s="104">
        <v>261.66583928898456</v>
      </c>
      <c r="H15" s="38">
        <v>2.1607454546140828E-7</v>
      </c>
      <c r="I15" s="38">
        <v>8.3910272566050118E-2</v>
      </c>
      <c r="J15" s="38">
        <v>8.0590475103162001E-4</v>
      </c>
      <c r="K15" s="28"/>
      <c r="L15" s="28"/>
      <c r="M15" s="28"/>
    </row>
    <row r="16" spans="1:17" x14ac:dyDescent="0.2">
      <c r="A16" s="30" t="s">
        <v>1444</v>
      </c>
      <c r="B16" s="46" t="s">
        <v>1445</v>
      </c>
      <c r="C16" s="85" t="s">
        <v>126</v>
      </c>
      <c r="D16" s="46" t="s">
        <v>1446</v>
      </c>
      <c r="E16" s="88">
        <v>808</v>
      </c>
      <c r="F16" s="80">
        <v>129.65360000000001</v>
      </c>
      <c r="G16" s="104">
        <v>360.47953000000001</v>
      </c>
      <c r="H16" s="38">
        <v>4.4172309004894755E-6</v>
      </c>
      <c r="I16" s="38">
        <v>0.11559757169286332</v>
      </c>
      <c r="J16" s="38">
        <v>1.110241087128698E-3</v>
      </c>
      <c r="K16" s="28"/>
      <c r="L16" s="28"/>
      <c r="M16" s="28"/>
    </row>
    <row r="17" spans="1:13" x14ac:dyDescent="0.2">
      <c r="A17" s="30" t="s">
        <v>1455</v>
      </c>
      <c r="B17" s="46" t="s">
        <v>1456</v>
      </c>
      <c r="C17" s="85" t="s">
        <v>246</v>
      </c>
      <c r="D17" s="46" t="s">
        <v>1457</v>
      </c>
      <c r="E17" s="88">
        <v>291.41000000000003</v>
      </c>
      <c r="F17" s="80">
        <v>1333.34</v>
      </c>
      <c r="G17" s="104">
        <v>388.54859999999996</v>
      </c>
      <c r="H17" s="38">
        <v>2.5773806786220954E-4</v>
      </c>
      <c r="I17" s="38">
        <v>0.12459868288405077</v>
      </c>
      <c r="J17" s="38">
        <v>1.1966910300463761E-3</v>
      </c>
      <c r="K17" s="28"/>
      <c r="L17" s="28"/>
      <c r="M17" s="28"/>
    </row>
    <row r="18" spans="1:13" x14ac:dyDescent="0.2">
      <c r="A18" s="30" t="s">
        <v>1447</v>
      </c>
      <c r="B18" s="46" t="s">
        <v>1448</v>
      </c>
      <c r="C18" s="85" t="s">
        <v>246</v>
      </c>
      <c r="D18" s="46" t="s">
        <v>1449</v>
      </c>
      <c r="E18" s="88">
        <v>883.73</v>
      </c>
      <c r="F18" s="80">
        <v>1056.46</v>
      </c>
      <c r="G18" s="104">
        <v>933.62539000000004</v>
      </c>
      <c r="H18" s="38">
        <v>1.5578743663567295E-6</v>
      </c>
      <c r="I18" s="38">
        <v>0.29939238978369304</v>
      </c>
      <c r="J18" s="38">
        <v>2.8754733117981892E-3</v>
      </c>
      <c r="K18" s="28"/>
      <c r="L18" s="28"/>
      <c r="M18" s="28"/>
    </row>
    <row r="19" spans="1:13" x14ac:dyDescent="0.2">
      <c r="A19" s="30" t="s">
        <v>1447</v>
      </c>
      <c r="B19" s="46" t="s">
        <v>1450</v>
      </c>
      <c r="C19" s="85" t="s">
        <v>246</v>
      </c>
      <c r="D19" s="46" t="s">
        <v>1451</v>
      </c>
      <c r="E19" s="88">
        <v>717.11</v>
      </c>
      <c r="F19" s="80">
        <v>1056.46</v>
      </c>
      <c r="G19" s="104">
        <v>757.59802999999999</v>
      </c>
      <c r="H19" s="38">
        <v>1.2641500083261566E-6</v>
      </c>
      <c r="I19" s="38">
        <v>0.24294442624050527</v>
      </c>
      <c r="J19" s="38">
        <v>2.3333265565280777E-3</v>
      </c>
      <c r="K19" s="28"/>
      <c r="L19" s="28"/>
      <c r="M19" s="28"/>
    </row>
    <row r="20" spans="1:13" s="139" customFormat="1" x14ac:dyDescent="0.2">
      <c r="A20" s="112" t="s">
        <v>1458</v>
      </c>
      <c r="B20" s="142" t="s">
        <v>239</v>
      </c>
      <c r="C20" s="146" t="s">
        <v>239</v>
      </c>
      <c r="D20" s="142" t="s">
        <v>239</v>
      </c>
      <c r="E20" s="157" t="s">
        <v>239</v>
      </c>
      <c r="F20" s="147" t="s">
        <v>239</v>
      </c>
      <c r="G20" s="148">
        <v>0</v>
      </c>
      <c r="H20" s="145" t="s">
        <v>239</v>
      </c>
      <c r="I20" s="145">
        <v>0</v>
      </c>
      <c r="J20" s="145">
        <v>0</v>
      </c>
    </row>
    <row r="21" spans="1:13" s="139" customFormat="1" x14ac:dyDescent="0.2">
      <c r="A21" s="112" t="s">
        <v>1459</v>
      </c>
      <c r="B21" s="142" t="s">
        <v>239</v>
      </c>
      <c r="C21" s="146" t="s">
        <v>239</v>
      </c>
      <c r="D21" s="142" t="s">
        <v>239</v>
      </c>
      <c r="E21" s="157" t="s">
        <v>239</v>
      </c>
      <c r="F21" s="147" t="s">
        <v>239</v>
      </c>
      <c r="G21" s="148">
        <v>0</v>
      </c>
      <c r="H21" s="145" t="s">
        <v>239</v>
      </c>
      <c r="I21" s="145">
        <v>0</v>
      </c>
      <c r="J21" s="145">
        <v>0</v>
      </c>
    </row>
    <row r="22" spans="1:13" s="139" customFormat="1" x14ac:dyDescent="0.2">
      <c r="A22" s="112" t="s">
        <v>1460</v>
      </c>
      <c r="B22" s="142" t="s">
        <v>239</v>
      </c>
      <c r="C22" s="146" t="s">
        <v>239</v>
      </c>
      <c r="D22" s="142" t="s">
        <v>239</v>
      </c>
      <c r="E22" s="157" t="s">
        <v>239</v>
      </c>
      <c r="F22" s="147" t="s">
        <v>239</v>
      </c>
      <c r="G22" s="148">
        <v>149.47907039999998</v>
      </c>
      <c r="H22" s="145" t="s">
        <v>239</v>
      </c>
      <c r="I22" s="145">
        <v>4.7934531975079311E-2</v>
      </c>
      <c r="J22" s="145">
        <v>4.6038066467708489E-4</v>
      </c>
    </row>
    <row r="23" spans="1:13" s="139" customFormat="1" x14ac:dyDescent="0.2">
      <c r="A23" s="112" t="s">
        <v>1439</v>
      </c>
      <c r="B23" s="142" t="s">
        <v>239</v>
      </c>
      <c r="C23" s="146" t="s">
        <v>239</v>
      </c>
      <c r="D23" s="142" t="s">
        <v>239</v>
      </c>
      <c r="E23" s="157" t="s">
        <v>239</v>
      </c>
      <c r="F23" s="147" t="s">
        <v>239</v>
      </c>
      <c r="G23" s="148">
        <v>0</v>
      </c>
      <c r="H23" s="145" t="s">
        <v>239</v>
      </c>
      <c r="I23" s="145">
        <v>0</v>
      </c>
      <c r="J23" s="145">
        <v>0</v>
      </c>
    </row>
    <row r="24" spans="1:13" s="139" customFormat="1" x14ac:dyDescent="0.2">
      <c r="A24" s="112" t="s">
        <v>1440</v>
      </c>
      <c r="B24" s="142" t="s">
        <v>239</v>
      </c>
      <c r="C24" s="146" t="s">
        <v>239</v>
      </c>
      <c r="D24" s="142" t="s">
        <v>239</v>
      </c>
      <c r="E24" s="157" t="s">
        <v>239</v>
      </c>
      <c r="F24" s="147" t="s">
        <v>239</v>
      </c>
      <c r="G24" s="148">
        <v>0</v>
      </c>
      <c r="H24" s="145" t="s">
        <v>239</v>
      </c>
      <c r="I24" s="145">
        <v>0</v>
      </c>
      <c r="J24" s="145">
        <v>0</v>
      </c>
    </row>
    <row r="25" spans="1:13" s="139" customFormat="1" x14ac:dyDescent="0.2">
      <c r="A25" s="112" t="s">
        <v>1458</v>
      </c>
      <c r="B25" s="142" t="s">
        <v>239</v>
      </c>
      <c r="C25" s="146" t="s">
        <v>239</v>
      </c>
      <c r="D25" s="142" t="s">
        <v>239</v>
      </c>
      <c r="E25" s="157" t="s">
        <v>239</v>
      </c>
      <c r="F25" s="147" t="s">
        <v>239</v>
      </c>
      <c r="G25" s="148">
        <v>0</v>
      </c>
      <c r="H25" s="145" t="s">
        <v>239</v>
      </c>
      <c r="I25" s="145">
        <v>0</v>
      </c>
      <c r="J25" s="145">
        <v>0</v>
      </c>
    </row>
    <row r="26" spans="1:13" s="139" customFormat="1" x14ac:dyDescent="0.2">
      <c r="A26" s="112" t="s">
        <v>1459</v>
      </c>
      <c r="B26" s="142" t="s">
        <v>239</v>
      </c>
      <c r="C26" s="146" t="s">
        <v>239</v>
      </c>
      <c r="D26" s="142" t="s">
        <v>239</v>
      </c>
      <c r="E26" s="157" t="s">
        <v>239</v>
      </c>
      <c r="F26" s="147" t="s">
        <v>239</v>
      </c>
      <c r="G26" s="148">
        <v>149.4790701</v>
      </c>
      <c r="H26" s="145" t="s">
        <v>239</v>
      </c>
      <c r="I26" s="145">
        <v>4.7934531878876148E-2</v>
      </c>
      <c r="J26" s="145">
        <v>4.6038066375311479E-4</v>
      </c>
    </row>
    <row r="27" spans="1:13" x14ac:dyDescent="0.2">
      <c r="A27" s="243" t="s">
        <v>1461</v>
      </c>
      <c r="B27" s="205" t="s">
        <v>1462</v>
      </c>
      <c r="C27" s="203" t="s">
        <v>126</v>
      </c>
      <c r="D27" s="205" t="s">
        <v>1463</v>
      </c>
      <c r="E27" s="245">
        <v>43440.59</v>
      </c>
      <c r="F27" s="204">
        <v>1</v>
      </c>
      <c r="G27" s="206">
        <v>149.47907000000001</v>
      </c>
      <c r="H27" s="202" t="s">
        <v>239</v>
      </c>
      <c r="I27" s="202">
        <v>4.7934531846808424E-2</v>
      </c>
      <c r="J27" s="202">
        <v>4.6038066344512477E-4</v>
      </c>
      <c r="K27" s="28"/>
      <c r="L27" s="28"/>
      <c r="M27" s="28"/>
    </row>
    <row r="28" spans="1:13" s="139" customFormat="1" x14ac:dyDescent="0.2">
      <c r="A28" s="97" t="s">
        <v>230</v>
      </c>
      <c r="B28" s="149"/>
      <c r="C28" s="150"/>
      <c r="D28" s="150"/>
      <c r="E28" s="150"/>
      <c r="F28" s="151"/>
      <c r="G28" s="152"/>
      <c r="H28" s="153"/>
      <c r="I28" s="153"/>
      <c r="J28" s="153"/>
      <c r="K28" s="168"/>
      <c r="L28" s="154"/>
      <c r="M28" s="154"/>
    </row>
    <row r="29" spans="1:13" s="139" customFormat="1" x14ac:dyDescent="0.2">
      <c r="A29" s="97" t="s">
        <v>231</v>
      </c>
      <c r="B29" s="149"/>
      <c r="C29" s="150"/>
      <c r="D29" s="150"/>
      <c r="E29" s="150"/>
      <c r="F29" s="151"/>
      <c r="G29" s="152"/>
      <c r="H29" s="153"/>
      <c r="I29" s="153"/>
      <c r="J29" s="153"/>
      <c r="K29" s="168"/>
      <c r="L29" s="154"/>
      <c r="M29" s="154"/>
    </row>
    <row r="30" spans="1:13" s="139" customFormat="1" x14ac:dyDescent="0.2">
      <c r="A30" s="97" t="s">
        <v>232</v>
      </c>
      <c r="B30" s="149"/>
      <c r="C30" s="150"/>
      <c r="D30" s="150"/>
      <c r="E30" s="150"/>
      <c r="F30" s="151"/>
      <c r="G30" s="152"/>
      <c r="H30" s="153"/>
      <c r="I30" s="153"/>
      <c r="J30" s="153"/>
      <c r="K30" s="168"/>
      <c r="L30" s="154"/>
      <c r="M30" s="154"/>
    </row>
    <row r="31" spans="1:13" s="139" customFormat="1" x14ac:dyDescent="0.2">
      <c r="A31" s="97" t="s">
        <v>233</v>
      </c>
      <c r="B31" s="149"/>
      <c r="C31" s="150"/>
      <c r="D31" s="150"/>
      <c r="E31" s="150"/>
      <c r="F31" s="151"/>
      <c r="G31" s="152"/>
      <c r="H31" s="153"/>
      <c r="I31" s="153"/>
      <c r="J31" s="153"/>
      <c r="K31" s="168"/>
      <c r="L31" s="154"/>
      <c r="M31" s="154"/>
    </row>
    <row r="32" spans="1:13" s="139" customFormat="1" x14ac:dyDescent="0.2">
      <c r="A32" s="97" t="s">
        <v>234</v>
      </c>
      <c r="B32" s="149"/>
      <c r="C32" s="150"/>
      <c r="D32" s="150"/>
      <c r="E32" s="150"/>
      <c r="F32" s="151"/>
      <c r="G32" s="152"/>
      <c r="H32" s="153"/>
      <c r="I32" s="153"/>
      <c r="J32" s="153"/>
      <c r="K32" s="168"/>
      <c r="L32" s="154"/>
      <c r="M32" s="154"/>
    </row>
  </sheetData>
  <mergeCells count="2">
    <mergeCell ref="A6:J6"/>
    <mergeCell ref="A5:J5"/>
  </mergeCells>
  <conditionalFormatting sqref="I11:J27">
    <cfRule type="expression" dxfId="82" priority="363" stopIfTrue="1">
      <formula>OR(LEFT(#REF!,3)="TIR",LEFT(#REF!,2)="IR")</formula>
    </cfRule>
  </conditionalFormatting>
  <conditionalFormatting sqref="A11:A27 G11:G27">
    <cfRule type="expression" dxfId="81" priority="364" stopIfTrue="1">
      <formula>#REF!&gt;0</formula>
    </cfRule>
  </conditionalFormatting>
  <conditionalFormatting sqref="B11:D27">
    <cfRule type="expression" dxfId="8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158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9" customFormat="1" ht="12.75" customHeight="1" thickBot="1" x14ac:dyDescent="0.25">
      <c r="A10" s="121" t="s">
        <v>55</v>
      </c>
      <c r="B10" s="86" t="s">
        <v>239</v>
      </c>
      <c r="C10" s="86" t="s">
        <v>239</v>
      </c>
      <c r="D10" s="159" t="s">
        <v>239</v>
      </c>
      <c r="E10" s="159" t="s">
        <v>239</v>
      </c>
      <c r="F10" s="161" t="s">
        <v>239</v>
      </c>
      <c r="G10" s="159" t="s">
        <v>239</v>
      </c>
      <c r="H10" s="172">
        <v>32.705933022299675</v>
      </c>
      <c r="I10" s="89"/>
      <c r="J10" s="103">
        <v>1</v>
      </c>
      <c r="K10" s="102">
        <v>1.0073101968990132E-4</v>
      </c>
    </row>
    <row r="11" spans="1:18" s="139" customFormat="1" x14ac:dyDescent="0.2">
      <c r="A11" s="111" t="s">
        <v>1464</v>
      </c>
      <c r="B11" s="142" t="s">
        <v>239</v>
      </c>
      <c r="C11" s="142" t="s">
        <v>239</v>
      </c>
      <c r="D11" s="146" t="s">
        <v>239</v>
      </c>
      <c r="E11" s="142" t="s">
        <v>239</v>
      </c>
      <c r="F11" s="162" t="s">
        <v>239</v>
      </c>
      <c r="G11" s="163" t="s">
        <v>239</v>
      </c>
      <c r="H11" s="143">
        <v>32.705932922299674</v>
      </c>
      <c r="I11" s="142" t="s">
        <v>239</v>
      </c>
      <c r="J11" s="142">
        <v>0.99999999694245079</v>
      </c>
      <c r="K11" s="142">
        <v>1.0073101938191126E-4</v>
      </c>
    </row>
    <row r="12" spans="1:18" x14ac:dyDescent="0.2">
      <c r="A12" s="30" t="s">
        <v>1465</v>
      </c>
      <c r="B12" s="46" t="s">
        <v>1466</v>
      </c>
      <c r="C12" s="46" t="s">
        <v>199</v>
      </c>
      <c r="D12" s="85" t="s">
        <v>246</v>
      </c>
      <c r="E12" s="46" t="s">
        <v>1467</v>
      </c>
      <c r="F12" s="132">
        <v>673.75794487817143</v>
      </c>
      <c r="G12" s="39">
        <v>2385.7399999999998</v>
      </c>
      <c r="H12" s="104">
        <v>16.074112756135182</v>
      </c>
      <c r="I12" s="38">
        <v>5.5252808849773623E-5</v>
      </c>
      <c r="J12" s="46">
        <v>0.491473909188754</v>
      </c>
      <c r="K12" s="46">
        <v>4.9506668023565159E-5</v>
      </c>
      <c r="L12" s="28"/>
      <c r="M12" s="28"/>
      <c r="N12" s="28"/>
    </row>
    <row r="13" spans="1:18" x14ac:dyDescent="0.2">
      <c r="A13" s="30" t="s">
        <v>1468</v>
      </c>
      <c r="B13" s="46" t="s">
        <v>1469</v>
      </c>
      <c r="C13" s="46" t="s">
        <v>222</v>
      </c>
      <c r="D13" s="85" t="s">
        <v>246</v>
      </c>
      <c r="E13" s="46" t="s">
        <v>1470</v>
      </c>
      <c r="F13" s="132">
        <v>2543.5195623368595</v>
      </c>
      <c r="G13" s="39">
        <v>653.89</v>
      </c>
      <c r="H13" s="104">
        <v>16.63182006616449</v>
      </c>
      <c r="I13" s="38">
        <v>2.3122905112153268E-3</v>
      </c>
      <c r="J13" s="46">
        <v>0.50852608469614746</v>
      </c>
      <c r="K13" s="46">
        <v>5.1224351050356058E-5</v>
      </c>
      <c r="L13" s="28"/>
      <c r="M13" s="28"/>
      <c r="N13" s="28"/>
    </row>
    <row r="14" spans="1:18" s="139" customFormat="1" x14ac:dyDescent="0.2">
      <c r="A14" s="234" t="s">
        <v>1471</v>
      </c>
      <c r="B14" s="235" t="s">
        <v>239</v>
      </c>
      <c r="C14" s="235" t="s">
        <v>239</v>
      </c>
      <c r="D14" s="236" t="s">
        <v>239</v>
      </c>
      <c r="E14" s="235" t="s">
        <v>239</v>
      </c>
      <c r="F14" s="241" t="s">
        <v>239</v>
      </c>
      <c r="G14" s="242" t="s">
        <v>239</v>
      </c>
      <c r="H14" s="240">
        <v>0</v>
      </c>
      <c r="I14" s="238" t="s">
        <v>239</v>
      </c>
      <c r="J14" s="235">
        <v>0</v>
      </c>
      <c r="K14" s="235">
        <v>0</v>
      </c>
    </row>
    <row r="15" spans="1:18" s="139" customFormat="1" x14ac:dyDescent="0.2">
      <c r="A15" s="97" t="s">
        <v>230</v>
      </c>
      <c r="B15" s="149"/>
      <c r="C15" s="97"/>
      <c r="D15" s="166"/>
      <c r="E15" s="166"/>
      <c r="F15" s="166"/>
      <c r="G15" s="167"/>
      <c r="H15" s="154"/>
      <c r="I15" s="168"/>
      <c r="J15" s="168"/>
      <c r="K15" s="168"/>
      <c r="L15" s="168"/>
      <c r="M15" s="154"/>
      <c r="N15" s="154"/>
    </row>
    <row r="16" spans="1:18" s="139" customFormat="1" x14ac:dyDescent="0.2">
      <c r="A16" s="97" t="s">
        <v>231</v>
      </c>
      <c r="B16" s="149"/>
      <c r="C16" s="97"/>
      <c r="D16" s="166"/>
      <c r="E16" s="166"/>
      <c r="F16" s="166"/>
      <c r="G16" s="167"/>
      <c r="H16" s="154"/>
      <c r="I16" s="168"/>
      <c r="J16" s="168"/>
      <c r="K16" s="168"/>
      <c r="L16" s="168"/>
      <c r="M16" s="154"/>
      <c r="N16" s="154"/>
    </row>
    <row r="17" spans="1:14" s="139" customFormat="1" x14ac:dyDescent="0.2">
      <c r="A17" s="97" t="s">
        <v>232</v>
      </c>
      <c r="B17" s="149"/>
      <c r="C17" s="97"/>
      <c r="D17" s="166"/>
      <c r="E17" s="166"/>
      <c r="F17" s="166"/>
      <c r="G17" s="167"/>
      <c r="H17" s="154"/>
      <c r="I17" s="168"/>
      <c r="J17" s="168"/>
      <c r="K17" s="168"/>
      <c r="L17" s="168"/>
      <c r="M17" s="154"/>
      <c r="N17" s="154"/>
    </row>
    <row r="18" spans="1:14" s="139" customFormat="1" x14ac:dyDescent="0.2">
      <c r="A18" s="97" t="s">
        <v>233</v>
      </c>
      <c r="B18" s="149"/>
      <c r="C18" s="97"/>
      <c r="D18" s="166"/>
      <c r="E18" s="166"/>
      <c r="F18" s="166"/>
      <c r="G18" s="167"/>
      <c r="H18" s="154"/>
      <c r="I18" s="168"/>
      <c r="J18" s="168"/>
      <c r="K18" s="168"/>
      <c r="L18" s="168"/>
      <c r="M18" s="154"/>
      <c r="N18" s="154"/>
    </row>
    <row r="19" spans="1:14" s="139" customFormat="1" x14ac:dyDescent="0.2">
      <c r="A19" s="97" t="s">
        <v>234</v>
      </c>
      <c r="B19" s="149"/>
      <c r="C19" s="97"/>
      <c r="D19" s="166"/>
      <c r="E19" s="166"/>
      <c r="F19" s="166"/>
      <c r="G19" s="167"/>
      <c r="H19" s="154"/>
      <c r="I19" s="168"/>
      <c r="J19" s="168"/>
      <c r="K19" s="168"/>
      <c r="L19" s="168"/>
      <c r="M19" s="154"/>
      <c r="N19" s="154"/>
    </row>
  </sheetData>
  <mergeCells count="2">
    <mergeCell ref="A6:K6"/>
    <mergeCell ref="A5:K5"/>
  </mergeCells>
  <conditionalFormatting sqref="A10:A14 H10:H14">
    <cfRule type="expression" dxfId="79" priority="371" stopIfTrue="1">
      <formula>#REF!&gt;0</formula>
    </cfRule>
  </conditionalFormatting>
  <conditionalFormatting sqref="J10:K14">
    <cfRule type="expression" dxfId="78" priority="373" stopIfTrue="1">
      <formula>OR(LEFT(#REF!,3)="TIR",LEFT(#REF!,2)="IR")</formula>
    </cfRule>
  </conditionalFormatting>
  <conditionalFormatting sqref="B11:E14">
    <cfRule type="expression" dxfId="7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158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9" customFormat="1" ht="12.75" customHeight="1" thickBot="1" x14ac:dyDescent="0.25">
      <c r="A10" s="121" t="s">
        <v>56</v>
      </c>
      <c r="B10" s="86" t="s">
        <v>239</v>
      </c>
      <c r="C10" s="86" t="s">
        <v>239</v>
      </c>
      <c r="D10" s="122" t="s">
        <v>239</v>
      </c>
      <c r="E10" s="122" t="s">
        <v>239</v>
      </c>
      <c r="F10" s="123" t="s">
        <v>239</v>
      </c>
      <c r="G10" s="122" t="s">
        <v>239</v>
      </c>
      <c r="H10" s="130">
        <v>792.72885484939889</v>
      </c>
      <c r="I10" s="86" t="s">
        <v>239</v>
      </c>
      <c r="J10" s="86">
        <v>1</v>
      </c>
      <c r="K10" s="101">
        <v>2.4415260017851344E-3</v>
      </c>
    </row>
    <row r="11" spans="1:18" s="139" customFormat="1" x14ac:dyDescent="0.2">
      <c r="A11" s="111" t="s">
        <v>1472</v>
      </c>
      <c r="B11" s="142" t="s">
        <v>239</v>
      </c>
      <c r="C11" s="142" t="s">
        <v>239</v>
      </c>
      <c r="D11" s="146" t="s">
        <v>239</v>
      </c>
      <c r="E11" s="142" t="s">
        <v>239</v>
      </c>
      <c r="F11" s="155" t="s">
        <v>239</v>
      </c>
      <c r="G11" s="146" t="s">
        <v>239</v>
      </c>
      <c r="H11" s="143">
        <v>792.72885434939883</v>
      </c>
      <c r="I11" s="142" t="s">
        <v>239</v>
      </c>
      <c r="J11" s="142">
        <v>0.99999999936926731</v>
      </c>
      <c r="K11" s="142">
        <v>2.4415260002451839E-3</v>
      </c>
    </row>
    <row r="12" spans="1:18" s="139" customFormat="1" x14ac:dyDescent="0.2">
      <c r="A12" s="112" t="s">
        <v>1265</v>
      </c>
      <c r="B12" s="142" t="s">
        <v>239</v>
      </c>
      <c r="C12" s="142" t="s">
        <v>239</v>
      </c>
      <c r="D12" s="146" t="s">
        <v>239</v>
      </c>
      <c r="E12" s="142" t="s">
        <v>239</v>
      </c>
      <c r="F12" s="157" t="s">
        <v>239</v>
      </c>
      <c r="G12" s="147" t="s">
        <v>239</v>
      </c>
      <c r="H12" s="148">
        <v>0</v>
      </c>
      <c r="I12" s="145" t="s">
        <v>239</v>
      </c>
      <c r="J12" s="145">
        <v>0</v>
      </c>
      <c r="K12" s="145">
        <v>0</v>
      </c>
    </row>
    <row r="13" spans="1:18" s="139" customFormat="1" x14ac:dyDescent="0.2">
      <c r="A13" s="112" t="s">
        <v>1473</v>
      </c>
      <c r="B13" s="142" t="s">
        <v>239</v>
      </c>
      <c r="C13" s="142" t="s">
        <v>239</v>
      </c>
      <c r="D13" s="146" t="s">
        <v>239</v>
      </c>
      <c r="E13" s="142" t="s">
        <v>239</v>
      </c>
      <c r="F13" s="157" t="s">
        <v>239</v>
      </c>
      <c r="G13" s="147" t="s">
        <v>239</v>
      </c>
      <c r="H13" s="148">
        <v>0</v>
      </c>
      <c r="I13" s="145" t="s">
        <v>239</v>
      </c>
      <c r="J13" s="145">
        <v>0</v>
      </c>
      <c r="K13" s="145">
        <v>0</v>
      </c>
    </row>
    <row r="14" spans="1:18" s="139" customFormat="1" x14ac:dyDescent="0.2">
      <c r="A14" s="112" t="s">
        <v>1474</v>
      </c>
      <c r="B14" s="142" t="s">
        <v>239</v>
      </c>
      <c r="C14" s="142" t="s">
        <v>239</v>
      </c>
      <c r="D14" s="146" t="s">
        <v>239</v>
      </c>
      <c r="E14" s="142" t="s">
        <v>239</v>
      </c>
      <c r="F14" s="157" t="s">
        <v>239</v>
      </c>
      <c r="G14" s="147" t="s">
        <v>239</v>
      </c>
      <c r="H14" s="148">
        <v>0</v>
      </c>
      <c r="I14" s="145" t="s">
        <v>239</v>
      </c>
      <c r="J14" s="145">
        <v>0</v>
      </c>
      <c r="K14" s="145">
        <v>0</v>
      </c>
    </row>
    <row r="15" spans="1:18" s="139" customFormat="1" x14ac:dyDescent="0.2">
      <c r="A15" s="112" t="s">
        <v>1279</v>
      </c>
      <c r="B15" s="142" t="s">
        <v>239</v>
      </c>
      <c r="C15" s="142" t="s">
        <v>239</v>
      </c>
      <c r="D15" s="146" t="s">
        <v>239</v>
      </c>
      <c r="E15" s="142" t="s">
        <v>239</v>
      </c>
      <c r="F15" s="157" t="s">
        <v>239</v>
      </c>
      <c r="G15" s="147" t="s">
        <v>239</v>
      </c>
      <c r="H15" s="148">
        <v>0</v>
      </c>
      <c r="I15" s="145" t="s">
        <v>239</v>
      </c>
      <c r="J15" s="145">
        <v>0</v>
      </c>
      <c r="K15" s="145">
        <v>0</v>
      </c>
    </row>
    <row r="16" spans="1:18" s="139" customFormat="1" x14ac:dyDescent="0.2">
      <c r="A16" s="112" t="s">
        <v>143</v>
      </c>
      <c r="B16" s="142" t="s">
        <v>239</v>
      </c>
      <c r="C16" s="142" t="s">
        <v>239</v>
      </c>
      <c r="D16" s="146" t="s">
        <v>239</v>
      </c>
      <c r="E16" s="142" t="s">
        <v>239</v>
      </c>
      <c r="F16" s="157" t="s">
        <v>239</v>
      </c>
      <c r="G16" s="147" t="s">
        <v>239</v>
      </c>
      <c r="H16" s="148">
        <v>792.72885394939885</v>
      </c>
      <c r="I16" s="145" t="s">
        <v>239</v>
      </c>
      <c r="J16" s="145">
        <v>0.99999999886468116</v>
      </c>
      <c r="K16" s="145">
        <v>2.4415259990132241E-3</v>
      </c>
    </row>
    <row r="17" spans="1:14" x14ac:dyDescent="0.2">
      <c r="A17" s="30" t="s">
        <v>1475</v>
      </c>
      <c r="B17" s="46" t="s">
        <v>1476</v>
      </c>
      <c r="C17" s="46" t="s">
        <v>219</v>
      </c>
      <c r="D17" s="85" t="s">
        <v>246</v>
      </c>
      <c r="E17" s="46" t="s">
        <v>1477</v>
      </c>
      <c r="F17" s="88">
        <v>18018.635618372355</v>
      </c>
      <c r="G17" s="80">
        <v>15.88</v>
      </c>
      <c r="H17" s="104">
        <v>286.13593361975302</v>
      </c>
      <c r="I17" s="38" t="s">
        <v>239</v>
      </c>
      <c r="J17" s="38">
        <v>0.36095057202643716</v>
      </c>
      <c r="K17" s="38">
        <v>8.8127020696176432E-4</v>
      </c>
      <c r="L17" s="28"/>
      <c r="M17" s="28"/>
      <c r="N17" s="28"/>
    </row>
    <row r="18" spans="1:14" x14ac:dyDescent="0.2">
      <c r="A18" s="30" t="s">
        <v>1478</v>
      </c>
      <c r="B18" s="46" t="s">
        <v>1479</v>
      </c>
      <c r="C18" s="46" t="s">
        <v>219</v>
      </c>
      <c r="D18" s="85" t="s">
        <v>246</v>
      </c>
      <c r="E18" s="46" t="s">
        <v>1480</v>
      </c>
      <c r="F18" s="88">
        <v>17542.98770312437</v>
      </c>
      <c r="G18" s="80">
        <v>15.88</v>
      </c>
      <c r="H18" s="104">
        <v>278.58264472561501</v>
      </c>
      <c r="I18" s="38" t="s">
        <v>239</v>
      </c>
      <c r="J18" s="38">
        <v>0.35142235963965207</v>
      </c>
      <c r="K18" s="38">
        <v>8.5800682866889741E-4</v>
      </c>
      <c r="L18" s="28"/>
      <c r="M18" s="28"/>
      <c r="N18" s="28"/>
    </row>
    <row r="19" spans="1:14" x14ac:dyDescent="0.2">
      <c r="A19" s="30" t="s">
        <v>1481</v>
      </c>
      <c r="B19" s="46" t="s">
        <v>1482</v>
      </c>
      <c r="C19" s="46" t="s">
        <v>219</v>
      </c>
      <c r="D19" s="85" t="s">
        <v>246</v>
      </c>
      <c r="E19" s="46" t="s">
        <v>1483</v>
      </c>
      <c r="F19" s="88">
        <v>12838.277621324751</v>
      </c>
      <c r="G19" s="80">
        <v>15.88</v>
      </c>
      <c r="H19" s="104">
        <v>203.87184862663702</v>
      </c>
      <c r="I19" s="38" t="s">
        <v>239</v>
      </c>
      <c r="J19" s="38">
        <v>0.2571772774252909</v>
      </c>
      <c r="K19" s="38">
        <v>6.2790500990215679E-4</v>
      </c>
      <c r="L19" s="28"/>
      <c r="M19" s="28"/>
      <c r="N19" s="28"/>
    </row>
    <row r="20" spans="1:14" x14ac:dyDescent="0.2">
      <c r="A20" s="30" t="s">
        <v>1484</v>
      </c>
      <c r="B20" s="46" t="s">
        <v>1485</v>
      </c>
      <c r="C20" s="46" t="s">
        <v>219</v>
      </c>
      <c r="D20" s="85" t="s">
        <v>246</v>
      </c>
      <c r="E20" s="46" t="s">
        <v>1486</v>
      </c>
      <c r="F20" s="88">
        <v>1520.0520703648504</v>
      </c>
      <c r="G20" s="80">
        <v>15.88</v>
      </c>
      <c r="H20" s="104">
        <v>24.138426877393822</v>
      </c>
      <c r="I20" s="38" t="s">
        <v>239</v>
      </c>
      <c r="J20" s="38">
        <v>3.0449789647154446E-2</v>
      </c>
      <c r="K20" s="38">
        <v>7.4343953172415362E-5</v>
      </c>
      <c r="L20" s="28"/>
      <c r="M20" s="28"/>
      <c r="N20" s="28"/>
    </row>
    <row r="21" spans="1:14" s="139" customFormat="1" x14ac:dyDescent="0.2">
      <c r="A21" s="112" t="s">
        <v>1487</v>
      </c>
      <c r="B21" s="142" t="s">
        <v>239</v>
      </c>
      <c r="C21" s="142" t="s">
        <v>239</v>
      </c>
      <c r="D21" s="146" t="s">
        <v>239</v>
      </c>
      <c r="E21" s="142" t="s">
        <v>239</v>
      </c>
      <c r="F21" s="157" t="s">
        <v>239</v>
      </c>
      <c r="G21" s="147" t="s">
        <v>239</v>
      </c>
      <c r="H21" s="148">
        <v>0</v>
      </c>
      <c r="I21" s="145" t="s">
        <v>239</v>
      </c>
      <c r="J21" s="145">
        <v>0</v>
      </c>
      <c r="K21" s="145">
        <v>0</v>
      </c>
    </row>
    <row r="22" spans="1:14" s="139" customFormat="1" x14ac:dyDescent="0.2">
      <c r="A22" s="112" t="s">
        <v>1265</v>
      </c>
      <c r="B22" s="142" t="s">
        <v>239</v>
      </c>
      <c r="C22" s="142" t="s">
        <v>239</v>
      </c>
      <c r="D22" s="146" t="s">
        <v>239</v>
      </c>
      <c r="E22" s="142" t="s">
        <v>239</v>
      </c>
      <c r="F22" s="157" t="s">
        <v>239</v>
      </c>
      <c r="G22" s="147" t="s">
        <v>239</v>
      </c>
      <c r="H22" s="148">
        <v>0</v>
      </c>
      <c r="I22" s="145" t="s">
        <v>239</v>
      </c>
      <c r="J22" s="145">
        <v>0</v>
      </c>
      <c r="K22" s="145">
        <v>0</v>
      </c>
    </row>
    <row r="23" spans="1:14" s="139" customFormat="1" x14ac:dyDescent="0.2">
      <c r="A23" s="112" t="s">
        <v>1280</v>
      </c>
      <c r="B23" s="142" t="s">
        <v>239</v>
      </c>
      <c r="C23" s="142" t="s">
        <v>239</v>
      </c>
      <c r="D23" s="146" t="s">
        <v>239</v>
      </c>
      <c r="E23" s="142" t="s">
        <v>239</v>
      </c>
      <c r="F23" s="157" t="s">
        <v>239</v>
      </c>
      <c r="G23" s="147" t="s">
        <v>239</v>
      </c>
      <c r="H23" s="148">
        <v>0</v>
      </c>
      <c r="I23" s="145" t="s">
        <v>239</v>
      </c>
      <c r="J23" s="145">
        <v>0</v>
      </c>
      <c r="K23" s="145">
        <v>0</v>
      </c>
    </row>
    <row r="24" spans="1:14" s="139" customFormat="1" x14ac:dyDescent="0.2">
      <c r="A24" s="112" t="s">
        <v>1279</v>
      </c>
      <c r="B24" s="142" t="s">
        <v>239</v>
      </c>
      <c r="C24" s="142" t="s">
        <v>239</v>
      </c>
      <c r="D24" s="146" t="s">
        <v>239</v>
      </c>
      <c r="E24" s="142" t="s">
        <v>239</v>
      </c>
      <c r="F24" s="157" t="s">
        <v>239</v>
      </c>
      <c r="G24" s="147" t="s">
        <v>239</v>
      </c>
      <c r="H24" s="148">
        <v>0</v>
      </c>
      <c r="I24" s="145" t="s">
        <v>239</v>
      </c>
      <c r="J24" s="145">
        <v>0</v>
      </c>
      <c r="K24" s="145">
        <v>0</v>
      </c>
    </row>
    <row r="25" spans="1:14" s="139" customFormat="1" x14ac:dyDescent="0.2">
      <c r="A25" s="112" t="s">
        <v>1281</v>
      </c>
      <c r="B25" s="142" t="s">
        <v>239</v>
      </c>
      <c r="C25" s="142" t="s">
        <v>239</v>
      </c>
      <c r="D25" s="146" t="s">
        <v>239</v>
      </c>
      <c r="E25" s="142" t="s">
        <v>239</v>
      </c>
      <c r="F25" s="157" t="s">
        <v>239</v>
      </c>
      <c r="G25" s="147" t="s">
        <v>239</v>
      </c>
      <c r="H25" s="148">
        <v>0</v>
      </c>
      <c r="I25" s="145" t="s">
        <v>239</v>
      </c>
      <c r="J25" s="145">
        <v>0</v>
      </c>
      <c r="K25" s="145">
        <v>0</v>
      </c>
    </row>
    <row r="26" spans="1:14" s="139" customFormat="1" x14ac:dyDescent="0.2">
      <c r="A26" s="234" t="s">
        <v>143</v>
      </c>
      <c r="B26" s="235" t="s">
        <v>239</v>
      </c>
      <c r="C26" s="235" t="s">
        <v>239</v>
      </c>
      <c r="D26" s="236" t="s">
        <v>239</v>
      </c>
      <c r="E26" s="235" t="s">
        <v>239</v>
      </c>
      <c r="F26" s="239" t="s">
        <v>239</v>
      </c>
      <c r="G26" s="237" t="s">
        <v>239</v>
      </c>
      <c r="H26" s="240">
        <v>0</v>
      </c>
      <c r="I26" s="238" t="s">
        <v>239</v>
      </c>
      <c r="J26" s="238">
        <v>0</v>
      </c>
      <c r="K26" s="238">
        <v>0</v>
      </c>
    </row>
    <row r="27" spans="1:14" s="139" customFormat="1" x14ac:dyDescent="0.2">
      <c r="A27" s="97" t="s">
        <v>230</v>
      </c>
      <c r="B27" s="149"/>
      <c r="C27" s="149"/>
      <c r="D27" s="150"/>
      <c r="E27" s="150"/>
      <c r="F27" s="150"/>
      <c r="G27" s="151"/>
      <c r="H27" s="152"/>
      <c r="I27" s="153"/>
      <c r="J27" s="153"/>
      <c r="K27" s="153"/>
      <c r="L27" s="168"/>
      <c r="M27" s="154"/>
      <c r="N27" s="154"/>
    </row>
    <row r="28" spans="1:14" s="139" customFormat="1" x14ac:dyDescent="0.2">
      <c r="A28" s="97" t="s">
        <v>231</v>
      </c>
      <c r="B28" s="149"/>
      <c r="C28" s="149"/>
      <c r="D28" s="150"/>
      <c r="E28" s="150"/>
      <c r="F28" s="150"/>
      <c r="G28" s="151"/>
      <c r="H28" s="152"/>
      <c r="I28" s="153"/>
      <c r="J28" s="153"/>
      <c r="K28" s="153"/>
      <c r="L28" s="168"/>
      <c r="M28" s="154"/>
      <c r="N28" s="154"/>
    </row>
    <row r="29" spans="1:14" s="139" customFormat="1" x14ac:dyDescent="0.2">
      <c r="A29" s="97" t="s">
        <v>232</v>
      </c>
      <c r="B29" s="149"/>
      <c r="C29" s="149"/>
      <c r="D29" s="150"/>
      <c r="E29" s="150"/>
      <c r="F29" s="150"/>
      <c r="G29" s="151"/>
      <c r="H29" s="152"/>
      <c r="I29" s="153"/>
      <c r="J29" s="153"/>
      <c r="K29" s="153"/>
      <c r="L29" s="168"/>
      <c r="M29" s="154"/>
      <c r="N29" s="154"/>
    </row>
    <row r="30" spans="1:14" s="139" customFormat="1" x14ac:dyDescent="0.2">
      <c r="A30" s="97" t="s">
        <v>233</v>
      </c>
      <c r="B30" s="149"/>
      <c r="C30" s="149"/>
      <c r="D30" s="150"/>
      <c r="E30" s="150"/>
      <c r="F30" s="150"/>
      <c r="G30" s="151"/>
      <c r="H30" s="152"/>
      <c r="I30" s="153"/>
      <c r="J30" s="153"/>
      <c r="K30" s="153"/>
      <c r="L30" s="168"/>
      <c r="M30" s="154"/>
      <c r="N30" s="154"/>
    </row>
    <row r="31" spans="1:14" s="139" customFormat="1" x14ac:dyDescent="0.2">
      <c r="A31" s="97" t="s">
        <v>234</v>
      </c>
      <c r="B31" s="149"/>
      <c r="C31" s="149"/>
      <c r="D31" s="150"/>
      <c r="E31" s="150"/>
      <c r="F31" s="150"/>
      <c r="G31" s="151"/>
      <c r="H31" s="152"/>
      <c r="I31" s="153"/>
      <c r="J31" s="153"/>
      <c r="K31" s="153"/>
      <c r="L31" s="168"/>
      <c r="M31" s="154"/>
      <c r="N31" s="154"/>
    </row>
  </sheetData>
  <mergeCells count="2">
    <mergeCell ref="A6:K6"/>
    <mergeCell ref="A5:K5"/>
  </mergeCells>
  <conditionalFormatting sqref="J11:K26">
    <cfRule type="expression" dxfId="76" priority="379" stopIfTrue="1">
      <formula>OR(LEFT(#REF!,3)="TIR",LEFT(#REF!,2)="IR")</formula>
    </cfRule>
  </conditionalFormatting>
  <conditionalFormatting sqref="A11:A26 H11:H26">
    <cfRule type="expression" dxfId="75" priority="380" stopIfTrue="1">
      <formula>#REF!&gt;0</formula>
    </cfRule>
  </conditionalFormatting>
  <conditionalFormatting sqref="B11:E26">
    <cfRule type="expression" dxfId="7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18"/>
  <sheetViews>
    <sheetView rightToLeft="1" topLeftCell="A7" zoomScale="85" zoomScaleNormal="85" workbookViewId="0">
      <selection activeCell="A7" sqref="A7:J213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9" bestFit="1" customWidth="1"/>
    <col min="5" max="5" width="13.42578125" style="79" customWidth="1"/>
    <col min="6" max="6" width="13.85546875" style="79" bestFit="1" customWidth="1"/>
    <col min="7" max="7" width="7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158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9" customFormat="1" ht="12.75" customHeight="1" thickBot="1" x14ac:dyDescent="0.25">
      <c r="A10" s="121" t="s">
        <v>62</v>
      </c>
      <c r="B10" s="86"/>
      <c r="C10" s="86"/>
      <c r="D10" s="122"/>
      <c r="E10" s="122"/>
      <c r="F10" s="123"/>
      <c r="G10" s="122"/>
      <c r="H10" s="124">
        <v>2280.5970252479201</v>
      </c>
      <c r="I10" s="86">
        <v>1</v>
      </c>
      <c r="J10" s="101">
        <v>7.0240119338086287E-3</v>
      </c>
    </row>
    <row r="11" spans="1:15" s="139" customFormat="1" x14ac:dyDescent="0.2">
      <c r="A11" s="111" t="s">
        <v>1488</v>
      </c>
      <c r="B11" s="142" t="s">
        <v>239</v>
      </c>
      <c r="C11" s="142" t="s">
        <v>239</v>
      </c>
      <c r="D11" s="146" t="s">
        <v>239</v>
      </c>
      <c r="E11" s="142" t="s">
        <v>239</v>
      </c>
      <c r="F11" s="155" t="s">
        <v>239</v>
      </c>
      <c r="G11" s="146" t="s">
        <v>239</v>
      </c>
      <c r="H11" s="143">
        <v>167.22194219879609</v>
      </c>
      <c r="I11" s="142">
        <v>7.3323757045862858E-2</v>
      </c>
      <c r="J11" s="142">
        <v>5.1502694452182525E-4</v>
      </c>
    </row>
    <row r="12" spans="1:15" s="139" customFormat="1" x14ac:dyDescent="0.2">
      <c r="A12" s="112" t="s">
        <v>1265</v>
      </c>
      <c r="B12" s="142" t="s">
        <v>239</v>
      </c>
      <c r="C12" s="142" t="s">
        <v>239</v>
      </c>
      <c r="D12" s="146" t="s">
        <v>239</v>
      </c>
      <c r="E12" s="142" t="s">
        <v>239</v>
      </c>
      <c r="F12" s="157" t="s">
        <v>239</v>
      </c>
      <c r="G12" s="147" t="s">
        <v>239</v>
      </c>
      <c r="H12" s="148">
        <v>0</v>
      </c>
      <c r="I12" s="145">
        <v>0</v>
      </c>
      <c r="J12" s="145">
        <v>0</v>
      </c>
    </row>
    <row r="13" spans="1:15" s="139" customFormat="1" x14ac:dyDescent="0.2">
      <c r="A13" s="112" t="s">
        <v>1279</v>
      </c>
      <c r="B13" s="142" t="s">
        <v>239</v>
      </c>
      <c r="C13" s="142" t="s">
        <v>239</v>
      </c>
      <c r="D13" s="146" t="s">
        <v>239</v>
      </c>
      <c r="E13" s="142" t="s">
        <v>239</v>
      </c>
      <c r="F13" s="157" t="s">
        <v>239</v>
      </c>
      <c r="G13" s="147" t="s">
        <v>239</v>
      </c>
      <c r="H13" s="148">
        <v>0</v>
      </c>
      <c r="I13" s="145">
        <v>0</v>
      </c>
      <c r="J13" s="145">
        <v>0</v>
      </c>
    </row>
    <row r="14" spans="1:15" s="139" customFormat="1" x14ac:dyDescent="0.2">
      <c r="A14" s="112" t="s">
        <v>1489</v>
      </c>
      <c r="B14" s="142" t="s">
        <v>239</v>
      </c>
      <c r="C14" s="142" t="s">
        <v>239</v>
      </c>
      <c r="D14" s="146" t="s">
        <v>239</v>
      </c>
      <c r="E14" s="142" t="s">
        <v>239</v>
      </c>
      <c r="F14" s="157" t="s">
        <v>239</v>
      </c>
      <c r="G14" s="147" t="s">
        <v>239</v>
      </c>
      <c r="H14" s="148">
        <v>0</v>
      </c>
      <c r="I14" s="145">
        <v>0</v>
      </c>
      <c r="J14" s="145">
        <v>0</v>
      </c>
    </row>
    <row r="15" spans="1:15" s="139" customFormat="1" x14ac:dyDescent="0.2">
      <c r="A15" s="112" t="s">
        <v>1474</v>
      </c>
      <c r="B15" s="142" t="s">
        <v>239</v>
      </c>
      <c r="C15" s="142" t="s">
        <v>239</v>
      </c>
      <c r="D15" s="146" t="s">
        <v>239</v>
      </c>
      <c r="E15" s="142" t="s">
        <v>239</v>
      </c>
      <c r="F15" s="157" t="s">
        <v>239</v>
      </c>
      <c r="G15" s="147" t="s">
        <v>239</v>
      </c>
      <c r="H15" s="148">
        <v>101.42047304856513</v>
      </c>
      <c r="I15" s="145">
        <v>4.4471018740165132E-2</v>
      </c>
      <c r="J15" s="145">
        <v>3.123649663395471E-4</v>
      </c>
    </row>
    <row r="16" spans="1:15" x14ac:dyDescent="0.2">
      <c r="A16" s="30" t="s">
        <v>1490</v>
      </c>
      <c r="B16" s="46" t="s">
        <v>1495</v>
      </c>
      <c r="C16" s="46" t="s">
        <v>201</v>
      </c>
      <c r="D16" s="85" t="s">
        <v>295</v>
      </c>
      <c r="E16" s="46" t="s">
        <v>1492</v>
      </c>
      <c r="F16" s="88">
        <v>9983889.9658758882</v>
      </c>
      <c r="G16" s="80">
        <v>1</v>
      </c>
      <c r="H16" s="104">
        <v>324.96755768605658</v>
      </c>
      <c r="I16" s="38">
        <v>0.14249231849749075</v>
      </c>
      <c r="J16" s="38">
        <v>1.0008677456024349E-3</v>
      </c>
      <c r="K16" s="28"/>
      <c r="L16" s="28"/>
      <c r="M16" s="28"/>
      <c r="N16" s="28"/>
    </row>
    <row r="17" spans="1:14" x14ac:dyDescent="0.2">
      <c r="A17" s="30" t="s">
        <v>1493</v>
      </c>
      <c r="B17" s="46" t="s">
        <v>1496</v>
      </c>
      <c r="C17" s="46" t="s">
        <v>201</v>
      </c>
      <c r="D17" s="85" t="s">
        <v>126</v>
      </c>
      <c r="E17" s="46" t="s">
        <v>1492</v>
      </c>
      <c r="F17" s="88">
        <v>-93072.526920237462</v>
      </c>
      <c r="G17" s="80">
        <v>0.99990000000000001</v>
      </c>
      <c r="H17" s="104">
        <v>-320.25359802976965</v>
      </c>
      <c r="I17" s="38">
        <v>-0.14042533357902429</v>
      </c>
      <c r="J17" s="38">
        <v>-9.8634921886812401E-4</v>
      </c>
      <c r="K17" s="28"/>
      <c r="L17" s="28"/>
      <c r="M17" s="28"/>
      <c r="N17" s="28"/>
    </row>
    <row r="18" spans="1:14" x14ac:dyDescent="0.2">
      <c r="A18" s="30" t="s">
        <v>1497</v>
      </c>
      <c r="B18" s="46" t="s">
        <v>1498</v>
      </c>
      <c r="C18" s="46" t="s">
        <v>201</v>
      </c>
      <c r="D18" s="85" t="s">
        <v>127</v>
      </c>
      <c r="E18" s="46" t="s">
        <v>1463</v>
      </c>
      <c r="F18" s="88">
        <v>75062.841596361555</v>
      </c>
      <c r="G18" s="80">
        <v>1.0026999999999999</v>
      </c>
      <c r="H18" s="104">
        <v>303.02240939579968</v>
      </c>
      <c r="I18" s="38">
        <v>0.13286977315199233</v>
      </c>
      <c r="J18" s="38">
        <v>9.3327887226203946E-4</v>
      </c>
      <c r="K18" s="28"/>
      <c r="L18" s="28"/>
      <c r="M18" s="28"/>
      <c r="N18" s="28"/>
    </row>
    <row r="19" spans="1:14" x14ac:dyDescent="0.2">
      <c r="A19" s="30" t="s">
        <v>1499</v>
      </c>
      <c r="B19" s="46" t="s">
        <v>1500</v>
      </c>
      <c r="C19" s="46" t="s">
        <v>201</v>
      </c>
      <c r="D19" s="85" t="s">
        <v>126</v>
      </c>
      <c r="E19" s="46" t="s">
        <v>1463</v>
      </c>
      <c r="F19" s="88">
        <v>-85196.325211870353</v>
      </c>
      <c r="G19" s="80">
        <v>0.99970000000000003</v>
      </c>
      <c r="H19" s="104">
        <v>-293.08007689856612</v>
      </c>
      <c r="I19" s="38">
        <v>-0.12851024256102667</v>
      </c>
      <c r="J19" s="38">
        <v>-9.0265747736529298E-4</v>
      </c>
      <c r="K19" s="28"/>
      <c r="L19" s="28"/>
      <c r="M19" s="28"/>
      <c r="N19" s="28"/>
    </row>
    <row r="20" spans="1:14" x14ac:dyDescent="0.2">
      <c r="A20" s="30" t="s">
        <v>1501</v>
      </c>
      <c r="B20" s="46" t="s">
        <v>1513</v>
      </c>
      <c r="C20" s="46" t="s">
        <v>201</v>
      </c>
      <c r="D20" s="85" t="s">
        <v>127</v>
      </c>
      <c r="E20" s="46" t="s">
        <v>235</v>
      </c>
      <c r="F20" s="88">
        <v>248635.46202807286</v>
      </c>
      <c r="G20" s="80">
        <v>1.002</v>
      </c>
      <c r="H20" s="104">
        <v>1003.0509545974287</v>
      </c>
      <c r="I20" s="38">
        <v>0.43981946108536579</v>
      </c>
      <c r="J20" s="38">
        <v>3.0892971433848894E-3</v>
      </c>
      <c r="K20" s="28"/>
      <c r="L20" s="28"/>
      <c r="M20" s="28"/>
      <c r="N20" s="28"/>
    </row>
    <row r="21" spans="1:14" x14ac:dyDescent="0.2">
      <c r="A21" s="30" t="s">
        <v>1504</v>
      </c>
      <c r="B21" s="46" t="s">
        <v>1514</v>
      </c>
      <c r="C21" s="46" t="s">
        <v>201</v>
      </c>
      <c r="D21" s="85" t="s">
        <v>126</v>
      </c>
      <c r="E21" s="46" t="s">
        <v>235</v>
      </c>
      <c r="F21" s="88">
        <v>-291904.24830750824</v>
      </c>
      <c r="G21" s="80">
        <v>0.99970000000000003</v>
      </c>
      <c r="H21" s="104">
        <v>-1004.2330218232757</v>
      </c>
      <c r="I21" s="38">
        <v>-0.44033777590063594</v>
      </c>
      <c r="J21" s="38">
        <v>-3.0929377928328168E-3</v>
      </c>
      <c r="K21" s="28"/>
      <c r="L21" s="28"/>
      <c r="M21" s="28"/>
      <c r="N21" s="28"/>
    </row>
    <row r="22" spans="1:14" x14ac:dyDescent="0.2">
      <c r="A22" s="30" t="s">
        <v>1501</v>
      </c>
      <c r="B22" s="46" t="s">
        <v>1515</v>
      </c>
      <c r="C22" s="46" t="s">
        <v>201</v>
      </c>
      <c r="D22" s="85" t="s">
        <v>127</v>
      </c>
      <c r="E22" s="46" t="s">
        <v>235</v>
      </c>
      <c r="F22" s="88">
        <v>35947.177339709298</v>
      </c>
      <c r="G22" s="80">
        <v>1.002</v>
      </c>
      <c r="H22" s="104">
        <v>145.01893756866622</v>
      </c>
      <c r="I22" s="38">
        <v>6.3588146420958086E-2</v>
      </c>
      <c r="J22" s="38">
        <v>4.4664389930958013E-4</v>
      </c>
      <c r="K22" s="28"/>
      <c r="L22" s="28"/>
      <c r="M22" s="28"/>
      <c r="N22" s="28"/>
    </row>
    <row r="23" spans="1:14" x14ac:dyDescent="0.2">
      <c r="A23" s="30" t="s">
        <v>1504</v>
      </c>
      <c r="B23" s="46" t="s">
        <v>1516</v>
      </c>
      <c r="C23" s="46" t="s">
        <v>201</v>
      </c>
      <c r="D23" s="85" t="s">
        <v>126</v>
      </c>
      <c r="E23" s="46" t="s">
        <v>235</v>
      </c>
      <c r="F23" s="88">
        <v>-42202.88487625221</v>
      </c>
      <c r="G23" s="80">
        <v>0.99970000000000003</v>
      </c>
      <c r="H23" s="104">
        <v>-145.18983825541198</v>
      </c>
      <c r="I23" s="38">
        <v>-6.3663083240068946E-2</v>
      </c>
      <c r="J23" s="38">
        <v>-4.4717025642129646E-4</v>
      </c>
      <c r="K23" s="28"/>
      <c r="L23" s="28"/>
      <c r="M23" s="28"/>
      <c r="N23" s="28"/>
    </row>
    <row r="24" spans="1:14" x14ac:dyDescent="0.2">
      <c r="A24" s="30" t="s">
        <v>1490</v>
      </c>
      <c r="B24" s="46" t="s">
        <v>1491</v>
      </c>
      <c r="C24" s="46" t="s">
        <v>201</v>
      </c>
      <c r="D24" s="85" t="s">
        <v>295</v>
      </c>
      <c r="E24" s="46" t="s">
        <v>1492</v>
      </c>
      <c r="F24" s="88">
        <v>26705290.365978196</v>
      </c>
      <c r="G24" s="80">
        <v>1</v>
      </c>
      <c r="H24" s="104">
        <v>869.23564038993356</v>
      </c>
      <c r="I24" s="38">
        <v>0.38114389818404693</v>
      </c>
      <c r="J24" s="38">
        <v>2.6771592893430865E-3</v>
      </c>
      <c r="K24" s="28"/>
      <c r="L24" s="28"/>
      <c r="M24" s="28"/>
      <c r="N24" s="28"/>
    </row>
    <row r="25" spans="1:14" x14ac:dyDescent="0.2">
      <c r="A25" s="30" t="s">
        <v>1493</v>
      </c>
      <c r="B25" s="46" t="s">
        <v>1494</v>
      </c>
      <c r="C25" s="46" t="s">
        <v>201</v>
      </c>
      <c r="D25" s="85" t="s">
        <v>126</v>
      </c>
      <c r="E25" s="46" t="s">
        <v>1492</v>
      </c>
      <c r="F25" s="88">
        <v>-248675.76463933388</v>
      </c>
      <c r="G25" s="80">
        <v>0.99990000000000001</v>
      </c>
      <c r="H25" s="104">
        <v>-855.66934754295869</v>
      </c>
      <c r="I25" s="38">
        <v>-0.37519532739456246</v>
      </c>
      <c r="J25" s="38">
        <v>-2.6353764571286423E-3</v>
      </c>
      <c r="K25" s="28"/>
      <c r="L25" s="28"/>
      <c r="M25" s="28"/>
      <c r="N25" s="28"/>
    </row>
    <row r="26" spans="1:14" x14ac:dyDescent="0.2">
      <c r="A26" s="30" t="s">
        <v>1501</v>
      </c>
      <c r="B26" s="46" t="s">
        <v>1502</v>
      </c>
      <c r="C26" s="46" t="s">
        <v>201</v>
      </c>
      <c r="D26" s="85" t="s">
        <v>127</v>
      </c>
      <c r="E26" s="46" t="s">
        <v>1503</v>
      </c>
      <c r="F26" s="88">
        <v>20541.244194119601</v>
      </c>
      <c r="G26" s="80">
        <v>1.002</v>
      </c>
      <c r="H26" s="104">
        <v>82.867849110580664</v>
      </c>
      <c r="I26" s="38">
        <v>3.6336033149728511E-2</v>
      </c>
      <c r="J26" s="38">
        <v>2.5522473047095902E-4</v>
      </c>
      <c r="K26" s="28"/>
      <c r="L26" s="28"/>
      <c r="M26" s="28"/>
      <c r="N26" s="28"/>
    </row>
    <row r="27" spans="1:14" x14ac:dyDescent="0.2">
      <c r="A27" s="30" t="s">
        <v>1504</v>
      </c>
      <c r="B27" s="46" t="s">
        <v>1505</v>
      </c>
      <c r="C27" s="46" t="s">
        <v>201</v>
      </c>
      <c r="D27" s="85" t="s">
        <v>126</v>
      </c>
      <c r="E27" s="46" t="s">
        <v>1503</v>
      </c>
      <c r="F27" s="88">
        <v>-23895.629371019331</v>
      </c>
      <c r="G27" s="80">
        <v>0.99970000000000003</v>
      </c>
      <c r="H27" s="104">
        <v>-82.207646127333746</v>
      </c>
      <c r="I27" s="38">
        <v>-3.6046546240845453E-2</v>
      </c>
      <c r="J27" s="38">
        <v>-2.5319137096828305E-4</v>
      </c>
      <c r="K27" s="28"/>
      <c r="L27" s="28"/>
      <c r="M27" s="28"/>
      <c r="N27" s="28"/>
    </row>
    <row r="28" spans="1:14" x14ac:dyDescent="0.2">
      <c r="A28" s="30" t="s">
        <v>1506</v>
      </c>
      <c r="B28" s="46" t="s">
        <v>1507</v>
      </c>
      <c r="C28" s="46" t="s">
        <v>201</v>
      </c>
      <c r="D28" s="85" t="s">
        <v>126</v>
      </c>
      <c r="E28" s="46" t="s">
        <v>1508</v>
      </c>
      <c r="F28" s="88">
        <v>568131.45225016121</v>
      </c>
      <c r="G28" s="80">
        <v>0.99970000000000003</v>
      </c>
      <c r="H28" s="104">
        <v>1954.3816931902199</v>
      </c>
      <c r="I28" s="38">
        <v>0.85696055530799531</v>
      </c>
      <c r="J28" s="38">
        <v>6.0193011672866285E-3</v>
      </c>
      <c r="K28" s="28"/>
      <c r="L28" s="28"/>
      <c r="M28" s="28"/>
      <c r="N28" s="28"/>
    </row>
    <row r="29" spans="1:14" x14ac:dyDescent="0.2">
      <c r="A29" s="30" t="s">
        <v>1509</v>
      </c>
      <c r="B29" s="46" t="s">
        <v>1510</v>
      </c>
      <c r="C29" s="46" t="s">
        <v>201</v>
      </c>
      <c r="D29" s="85" t="s">
        <v>2</v>
      </c>
      <c r="E29" s="46" t="s">
        <v>1508</v>
      </c>
      <c r="F29" s="88">
        <v>-426205.14047273906</v>
      </c>
      <c r="G29" s="80">
        <v>1.0004999999999999</v>
      </c>
      <c r="H29" s="104">
        <v>-1881.0057637341768</v>
      </c>
      <c r="I29" s="38">
        <v>-0.82478655497224262</v>
      </c>
      <c r="J29" s="38">
        <v>-5.793310604969939E-3</v>
      </c>
      <c r="K29" s="28"/>
      <c r="L29" s="28"/>
      <c r="M29" s="28"/>
      <c r="N29" s="28"/>
    </row>
    <row r="30" spans="1:14" x14ac:dyDescent="0.2">
      <c r="A30" s="30" t="s">
        <v>1509</v>
      </c>
      <c r="B30" s="46" t="s">
        <v>1511</v>
      </c>
      <c r="C30" s="46" t="s">
        <v>201</v>
      </c>
      <c r="D30" s="85" t="s">
        <v>2</v>
      </c>
      <c r="E30" s="46" t="s">
        <v>1486</v>
      </c>
      <c r="F30" s="88">
        <v>25676.555242649501</v>
      </c>
      <c r="G30" s="80">
        <v>1.0004999999999999</v>
      </c>
      <c r="H30" s="104">
        <v>113.32042675355495</v>
      </c>
      <c r="I30" s="38">
        <v>4.9688930354206733E-2</v>
      </c>
      <c r="J30" s="38">
        <v>3.4901563978613389E-4</v>
      </c>
      <c r="K30" s="28"/>
      <c r="L30" s="28"/>
      <c r="M30" s="28"/>
      <c r="N30" s="28"/>
    </row>
    <row r="31" spans="1:14" x14ac:dyDescent="0.2">
      <c r="A31" s="30" t="s">
        <v>1506</v>
      </c>
      <c r="B31" s="46" t="s">
        <v>1512</v>
      </c>
      <c r="C31" s="46" t="s">
        <v>201</v>
      </c>
      <c r="D31" s="85" t="s">
        <v>126</v>
      </c>
      <c r="E31" s="46" t="s">
        <v>1486</v>
      </c>
      <c r="F31" s="88">
        <v>-32776.122767242086</v>
      </c>
      <c r="G31" s="80">
        <v>0.99970000000000003</v>
      </c>
      <c r="H31" s="104">
        <v>-112.75041020564855</v>
      </c>
      <c r="I31" s="38">
        <v>-4.9438988544410478E-2</v>
      </c>
      <c r="J31" s="38">
        <v>-3.4726004553136731E-4</v>
      </c>
      <c r="K31" s="28"/>
      <c r="L31" s="28"/>
      <c r="M31" s="28"/>
      <c r="N31" s="28"/>
    </row>
    <row r="32" spans="1:14" x14ac:dyDescent="0.2">
      <c r="A32" s="30" t="s">
        <v>1509</v>
      </c>
      <c r="B32" s="46" t="s">
        <v>1517</v>
      </c>
      <c r="C32" s="46" t="s">
        <v>201</v>
      </c>
      <c r="D32" s="85" t="s">
        <v>2</v>
      </c>
      <c r="E32" s="46" t="s">
        <v>235</v>
      </c>
      <c r="F32" s="88">
        <v>7702.9665727948504</v>
      </c>
      <c r="G32" s="80">
        <v>1.0004999999999999</v>
      </c>
      <c r="H32" s="104">
        <v>33.99612569977058</v>
      </c>
      <c r="I32" s="38">
        <v>1.4906678086223896E-2</v>
      </c>
      <c r="J32" s="38">
        <v>1.0470468477108023E-4</v>
      </c>
      <c r="K32" s="28"/>
      <c r="L32" s="28"/>
      <c r="M32" s="28"/>
      <c r="N32" s="28"/>
    </row>
    <row r="33" spans="1:14" x14ac:dyDescent="0.2">
      <c r="A33" s="30" t="s">
        <v>1506</v>
      </c>
      <c r="B33" s="46" t="s">
        <v>1518</v>
      </c>
      <c r="C33" s="46" t="s">
        <v>201</v>
      </c>
      <c r="D33" s="85" t="s">
        <v>126</v>
      </c>
      <c r="E33" s="46" t="s">
        <v>235</v>
      </c>
      <c r="F33" s="88">
        <v>-9898.6201647042944</v>
      </c>
      <c r="G33" s="80">
        <v>0.99970000000000003</v>
      </c>
      <c r="H33" s="104">
        <v>-34.051418826304754</v>
      </c>
      <c r="I33" s="38">
        <v>-1.4930923108874561E-2</v>
      </c>
      <c r="J33" s="38">
        <v>-1.0487498209951395E-4</v>
      </c>
      <c r="K33" s="28"/>
      <c r="L33" s="28"/>
      <c r="M33" s="28"/>
      <c r="N33" s="28"/>
    </row>
    <row r="34" spans="1:14" s="139" customFormat="1" x14ac:dyDescent="0.2">
      <c r="A34" s="112" t="s">
        <v>1473</v>
      </c>
      <c r="B34" s="142" t="s">
        <v>239</v>
      </c>
      <c r="C34" s="142" t="s">
        <v>239</v>
      </c>
      <c r="D34" s="146" t="s">
        <v>239</v>
      </c>
      <c r="E34" s="142" t="s">
        <v>239</v>
      </c>
      <c r="F34" s="157" t="s">
        <v>239</v>
      </c>
      <c r="G34" s="147" t="s">
        <v>239</v>
      </c>
      <c r="H34" s="148">
        <v>65.801468850226257</v>
      </c>
      <c r="I34" s="145">
        <v>2.8852738174151165E-2</v>
      </c>
      <c r="J34" s="145">
        <v>2.0266197725829358E-4</v>
      </c>
    </row>
    <row r="35" spans="1:14" x14ac:dyDescent="0.2">
      <c r="A35" s="30" t="s">
        <v>1537</v>
      </c>
      <c r="B35" s="46" t="s">
        <v>1538</v>
      </c>
      <c r="C35" s="46" t="s">
        <v>201</v>
      </c>
      <c r="D35" s="85" t="s">
        <v>246</v>
      </c>
      <c r="E35" s="46" t="s">
        <v>1539</v>
      </c>
      <c r="F35" s="88">
        <v>17220000</v>
      </c>
      <c r="G35" s="80">
        <v>1.0007999999999999</v>
      </c>
      <c r="H35" s="104">
        <v>17234.93289</v>
      </c>
      <c r="I35" s="38">
        <v>7.5572022146816655</v>
      </c>
      <c r="J35" s="38">
        <v>5.3081878542129014E-2</v>
      </c>
      <c r="K35" s="28"/>
      <c r="L35" s="28"/>
      <c r="M35" s="28"/>
      <c r="N35" s="28"/>
    </row>
    <row r="36" spans="1:14" x14ac:dyDescent="0.2">
      <c r="A36" s="30" t="s">
        <v>1540</v>
      </c>
      <c r="B36" s="46" t="s">
        <v>1541</v>
      </c>
      <c r="C36" s="46" t="s">
        <v>201</v>
      </c>
      <c r="D36" s="85" t="s">
        <v>126</v>
      </c>
      <c r="E36" s="46" t="s">
        <v>1539</v>
      </c>
      <c r="F36" s="88">
        <v>-5000000</v>
      </c>
      <c r="G36" s="80">
        <v>0.99980000000000002</v>
      </c>
      <c r="H36" s="104">
        <v>-17202.431370000002</v>
      </c>
      <c r="I36" s="38">
        <v>-7.5429508938037619</v>
      </c>
      <c r="J36" s="38">
        <v>-5.2981777094210092E-2</v>
      </c>
      <c r="K36" s="28"/>
      <c r="L36" s="28"/>
      <c r="M36" s="28"/>
      <c r="N36" s="28"/>
    </row>
    <row r="37" spans="1:14" x14ac:dyDescent="0.2">
      <c r="A37" s="30" t="s">
        <v>1542</v>
      </c>
      <c r="B37" s="46" t="s">
        <v>1543</v>
      </c>
      <c r="C37" s="46" t="s">
        <v>201</v>
      </c>
      <c r="D37" s="85" t="s">
        <v>246</v>
      </c>
      <c r="E37" s="46" t="s">
        <v>1544</v>
      </c>
      <c r="F37" s="88">
        <v>2545010.8566653524</v>
      </c>
      <c r="G37" s="80">
        <v>1.0007999999999999</v>
      </c>
      <c r="H37" s="104">
        <v>2547.2676475731819</v>
      </c>
      <c r="I37" s="38">
        <v>1.1169301807259318</v>
      </c>
      <c r="J37" s="38">
        <v>7.8453309186499731E-3</v>
      </c>
      <c r="K37" s="28"/>
      <c r="L37" s="28"/>
      <c r="M37" s="28"/>
      <c r="N37" s="28"/>
    </row>
    <row r="38" spans="1:14" x14ac:dyDescent="0.2">
      <c r="A38" s="30" t="s">
        <v>1545</v>
      </c>
      <c r="B38" s="46" t="s">
        <v>1546</v>
      </c>
      <c r="C38" s="46" t="s">
        <v>201</v>
      </c>
      <c r="D38" s="85" t="s">
        <v>126</v>
      </c>
      <c r="E38" s="46" t="s">
        <v>1544</v>
      </c>
      <c r="F38" s="88">
        <v>-739484.79098830558</v>
      </c>
      <c r="G38" s="80">
        <v>0.99980000000000002</v>
      </c>
      <c r="H38" s="104">
        <v>-2544.1818953957763</v>
      </c>
      <c r="I38" s="38">
        <v>-1.1155771349474606</v>
      </c>
      <c r="J38" s="38">
        <v>-7.8358271089550031E-3</v>
      </c>
      <c r="K38" s="28"/>
      <c r="L38" s="28"/>
      <c r="M38" s="28"/>
      <c r="N38" s="28"/>
    </row>
    <row r="39" spans="1:14" x14ac:dyDescent="0.2">
      <c r="A39" s="30" t="s">
        <v>1552</v>
      </c>
      <c r="B39" s="46" t="s">
        <v>1553</v>
      </c>
      <c r="C39" s="46" t="s">
        <v>201</v>
      </c>
      <c r="D39" s="85" t="s">
        <v>246</v>
      </c>
      <c r="E39" s="46" t="s">
        <v>1549</v>
      </c>
      <c r="F39" s="88">
        <v>446386.91289346153</v>
      </c>
      <c r="G39" s="80">
        <v>1.0014000000000001</v>
      </c>
      <c r="H39" s="104">
        <v>447.02984931766377</v>
      </c>
      <c r="I39" s="38">
        <v>0.19601439639213236</v>
      </c>
      <c r="J39" s="38">
        <v>1.376807459456633E-3</v>
      </c>
      <c r="K39" s="28"/>
      <c r="L39" s="28"/>
      <c r="M39" s="28"/>
      <c r="N39" s="28"/>
    </row>
    <row r="40" spans="1:14" x14ac:dyDescent="0.2">
      <c r="A40" s="30" t="s">
        <v>1554</v>
      </c>
      <c r="B40" s="46" t="s">
        <v>1555</v>
      </c>
      <c r="C40" s="46" t="s">
        <v>201</v>
      </c>
      <c r="D40" s="85" t="s">
        <v>126</v>
      </c>
      <c r="E40" s="46" t="s">
        <v>1549</v>
      </c>
      <c r="F40" s="88">
        <v>-128382.7762132475</v>
      </c>
      <c r="G40" s="80">
        <v>0.99970000000000003</v>
      </c>
      <c r="H40" s="104">
        <v>-441.67276339101124</v>
      </c>
      <c r="I40" s="38">
        <v>-0.19366541239042334</v>
      </c>
      <c r="J40" s="38">
        <v>-1.3603081677963033E-3</v>
      </c>
      <c r="K40" s="28"/>
      <c r="L40" s="28"/>
      <c r="M40" s="28"/>
      <c r="N40" s="28"/>
    </row>
    <row r="41" spans="1:14" x14ac:dyDescent="0.2">
      <c r="A41" s="30" t="s">
        <v>1556</v>
      </c>
      <c r="B41" s="46" t="s">
        <v>1557</v>
      </c>
      <c r="C41" s="46" t="s">
        <v>201</v>
      </c>
      <c r="D41" s="85" t="s">
        <v>246</v>
      </c>
      <c r="E41" s="46" t="s">
        <v>1558</v>
      </c>
      <c r="F41" s="88">
        <v>6858200</v>
      </c>
      <c r="G41" s="80">
        <v>1.0017</v>
      </c>
      <c r="H41" s="104">
        <v>6870.1557300000004</v>
      </c>
      <c r="I41" s="38">
        <v>3.0124373810639149</v>
      </c>
      <c r="J41" s="38">
        <v>2.1159396114444153E-2</v>
      </c>
      <c r="K41" s="28"/>
      <c r="L41" s="28"/>
      <c r="M41" s="28"/>
      <c r="N41" s="28"/>
    </row>
    <row r="42" spans="1:14" x14ac:dyDescent="0.2">
      <c r="A42" s="30" t="s">
        <v>1559</v>
      </c>
      <c r="B42" s="46" t="s">
        <v>1560</v>
      </c>
      <c r="C42" s="46" t="s">
        <v>201</v>
      </c>
      <c r="D42" s="85" t="s">
        <v>126</v>
      </c>
      <c r="E42" s="46" t="s">
        <v>1558</v>
      </c>
      <c r="F42" s="88">
        <v>-2000000</v>
      </c>
      <c r="G42" s="80">
        <v>0.99970000000000003</v>
      </c>
      <c r="H42" s="104">
        <v>-6880.3755799999999</v>
      </c>
      <c r="I42" s="38">
        <v>-3.0169185979938935</v>
      </c>
      <c r="J42" s="38">
        <v>-2.1190872235638307E-2</v>
      </c>
      <c r="K42" s="28"/>
      <c r="L42" s="28"/>
      <c r="M42" s="28"/>
      <c r="N42" s="28"/>
    </row>
    <row r="43" spans="1:14" x14ac:dyDescent="0.2">
      <c r="A43" s="30" t="s">
        <v>1574</v>
      </c>
      <c r="B43" s="46" t="s">
        <v>1575</v>
      </c>
      <c r="C43" s="46" t="s">
        <v>201</v>
      </c>
      <c r="D43" s="85" t="s">
        <v>246</v>
      </c>
      <c r="E43" s="46" t="s">
        <v>1576</v>
      </c>
      <c r="F43" s="88">
        <v>898800</v>
      </c>
      <c r="G43" s="80">
        <v>1.0025999999999999</v>
      </c>
      <c r="H43" s="104">
        <v>901.19182999999998</v>
      </c>
      <c r="I43" s="38">
        <v>0.39515610168001192</v>
      </c>
      <c r="J43" s="38">
        <v>2.7755811739177002E-3</v>
      </c>
      <c r="K43" s="28"/>
      <c r="L43" s="28"/>
      <c r="M43" s="28"/>
      <c r="N43" s="28"/>
    </row>
    <row r="44" spans="1:14" x14ac:dyDescent="0.2">
      <c r="A44" s="30" t="s">
        <v>1577</v>
      </c>
      <c r="B44" s="46" t="s">
        <v>1578</v>
      </c>
      <c r="C44" s="46" t="s">
        <v>201</v>
      </c>
      <c r="D44" s="85" t="s">
        <v>126</v>
      </c>
      <c r="E44" s="46" t="s">
        <v>1576</v>
      </c>
      <c r="F44" s="88">
        <v>-262500</v>
      </c>
      <c r="G44" s="80">
        <v>0.99960000000000004</v>
      </c>
      <c r="H44" s="104">
        <v>-902.98343</v>
      </c>
      <c r="I44" s="38">
        <v>-0.39594168544608976</v>
      </c>
      <c r="J44" s="38">
        <v>-2.7810991236656367E-3</v>
      </c>
      <c r="K44" s="28"/>
      <c r="L44" s="28"/>
      <c r="M44" s="28"/>
      <c r="N44" s="28"/>
    </row>
    <row r="45" spans="1:14" x14ac:dyDescent="0.2">
      <c r="A45" s="30" t="s">
        <v>1588</v>
      </c>
      <c r="B45" s="46" t="s">
        <v>1589</v>
      </c>
      <c r="C45" s="46" t="s">
        <v>201</v>
      </c>
      <c r="D45" s="85" t="s">
        <v>246</v>
      </c>
      <c r="E45" s="46" t="s">
        <v>1590</v>
      </c>
      <c r="F45" s="88">
        <v>3466534.9781230227</v>
      </c>
      <c r="G45" s="80">
        <v>1.0056</v>
      </c>
      <c r="H45" s="104">
        <v>3486.289100480803</v>
      </c>
      <c r="I45" s="38">
        <v>1.5286738787628706</v>
      </c>
      <c r="J45" s="38">
        <v>1.0737423567331929E-2</v>
      </c>
      <c r="K45" s="28"/>
      <c r="L45" s="28"/>
      <c r="M45" s="28"/>
      <c r="N45" s="28"/>
    </row>
    <row r="46" spans="1:14" x14ac:dyDescent="0.2">
      <c r="A46" s="30" t="s">
        <v>1591</v>
      </c>
      <c r="B46" s="46" t="s">
        <v>1592</v>
      </c>
      <c r="C46" s="46" t="s">
        <v>201</v>
      </c>
      <c r="D46" s="85" t="s">
        <v>126</v>
      </c>
      <c r="E46" s="46" t="s">
        <v>1590</v>
      </c>
      <c r="F46" s="88">
        <v>-1019359.2431331852</v>
      </c>
      <c r="G46" s="80">
        <v>0.99950000000000006</v>
      </c>
      <c r="H46" s="104">
        <v>-3505.8688122180888</v>
      </c>
      <c r="I46" s="38">
        <v>-1.537259223530282</v>
      </c>
      <c r="J46" s="38">
        <v>-1.0797727131434088E-2</v>
      </c>
      <c r="K46" s="28"/>
      <c r="L46" s="28"/>
      <c r="M46" s="28"/>
      <c r="N46" s="28"/>
    </row>
    <row r="47" spans="1:14" x14ac:dyDescent="0.2">
      <c r="A47" s="30" t="s">
        <v>1628</v>
      </c>
      <c r="B47" s="46" t="s">
        <v>1636</v>
      </c>
      <c r="C47" s="46" t="s">
        <v>201</v>
      </c>
      <c r="D47" s="85" t="s">
        <v>246</v>
      </c>
      <c r="E47" s="46" t="s">
        <v>1634</v>
      </c>
      <c r="F47" s="88">
        <v>877085.45053366432</v>
      </c>
      <c r="G47" s="80">
        <v>1.0081</v>
      </c>
      <c r="H47" s="104">
        <v>884.20632749363074</v>
      </c>
      <c r="I47" s="38">
        <v>0.38770827011734349</v>
      </c>
      <c r="J47" s="38">
        <v>2.7232675161405202E-3</v>
      </c>
      <c r="K47" s="28"/>
      <c r="L47" s="28"/>
      <c r="M47" s="28"/>
      <c r="N47" s="28"/>
    </row>
    <row r="48" spans="1:14" x14ac:dyDescent="0.2">
      <c r="A48" s="30" t="s">
        <v>1631</v>
      </c>
      <c r="B48" s="46" t="s">
        <v>1637</v>
      </c>
      <c r="C48" s="46" t="s">
        <v>201</v>
      </c>
      <c r="D48" s="85" t="s">
        <v>126</v>
      </c>
      <c r="E48" s="46" t="s">
        <v>1634</v>
      </c>
      <c r="F48" s="88">
        <v>-256765.55242649501</v>
      </c>
      <c r="G48" s="80">
        <v>0.99939999999999996</v>
      </c>
      <c r="H48" s="104">
        <v>-883.02662889580733</v>
      </c>
      <c r="I48" s="38">
        <v>-0.3871909939020528</v>
      </c>
      <c r="J48" s="38">
        <v>-2.7196341618312431E-3</v>
      </c>
      <c r="K48" s="28"/>
      <c r="L48" s="28"/>
      <c r="M48" s="28"/>
      <c r="N48" s="28"/>
    </row>
    <row r="49" spans="1:14" x14ac:dyDescent="0.2">
      <c r="A49" s="30" t="s">
        <v>1628</v>
      </c>
      <c r="B49" s="46" t="s">
        <v>1638</v>
      </c>
      <c r="C49" s="46" t="s">
        <v>201</v>
      </c>
      <c r="D49" s="85" t="s">
        <v>246</v>
      </c>
      <c r="E49" s="46" t="s">
        <v>1639</v>
      </c>
      <c r="F49" s="88">
        <v>871359.57871455338</v>
      </c>
      <c r="G49" s="80">
        <v>1.0081</v>
      </c>
      <c r="H49" s="104">
        <v>878.43441812450089</v>
      </c>
      <c r="I49" s="38">
        <v>0.38517739363840819</v>
      </c>
      <c r="J49" s="38">
        <v>2.705490609549483E-3</v>
      </c>
      <c r="K49" s="28"/>
      <c r="L49" s="28"/>
      <c r="M49" s="28"/>
      <c r="N49" s="28"/>
    </row>
    <row r="50" spans="1:14" x14ac:dyDescent="0.2">
      <c r="A50" s="30" t="s">
        <v>1631</v>
      </c>
      <c r="B50" s="46" t="s">
        <v>1640</v>
      </c>
      <c r="C50" s="46" t="s">
        <v>201</v>
      </c>
      <c r="D50" s="85" t="s">
        <v>126</v>
      </c>
      <c r="E50" s="46" t="s">
        <v>1639</v>
      </c>
      <c r="F50" s="88">
        <v>-256765.55242649501</v>
      </c>
      <c r="G50" s="80">
        <v>0.99939999999999996</v>
      </c>
      <c r="H50" s="104">
        <v>-883.02662889580733</v>
      </c>
      <c r="I50" s="38">
        <v>-0.3871909939020528</v>
      </c>
      <c r="J50" s="38">
        <v>-2.7196341618312431E-3</v>
      </c>
      <c r="K50" s="28"/>
      <c r="L50" s="28"/>
      <c r="M50" s="28"/>
      <c r="N50" s="28"/>
    </row>
    <row r="51" spans="1:14" x14ac:dyDescent="0.2">
      <c r="A51" s="30" t="s">
        <v>1519</v>
      </c>
      <c r="B51" s="46" t="s">
        <v>1520</v>
      </c>
      <c r="C51" s="46" t="s">
        <v>201</v>
      </c>
      <c r="D51" s="85" t="s">
        <v>246</v>
      </c>
      <c r="E51" s="46" t="s">
        <v>1521</v>
      </c>
      <c r="F51" s="88">
        <v>375390.52</v>
      </c>
      <c r="G51" s="80">
        <v>1.0003</v>
      </c>
      <c r="H51" s="104">
        <v>375.50703999999996</v>
      </c>
      <c r="I51" s="38">
        <v>0.16465295527568233</v>
      </c>
      <c r="J51" s="38">
        <v>1.156524322793251E-3</v>
      </c>
      <c r="K51" s="28"/>
      <c r="L51" s="28"/>
      <c r="M51" s="28"/>
      <c r="N51" s="28"/>
    </row>
    <row r="52" spans="1:14" x14ac:dyDescent="0.2">
      <c r="A52" s="30" t="s">
        <v>1522</v>
      </c>
      <c r="B52" s="46" t="s">
        <v>1523</v>
      </c>
      <c r="C52" s="46" t="s">
        <v>201</v>
      </c>
      <c r="D52" s="85" t="s">
        <v>126</v>
      </c>
      <c r="E52" s="46" t="s">
        <v>1521</v>
      </c>
      <c r="F52" s="88">
        <v>-106000</v>
      </c>
      <c r="G52" s="80">
        <v>0.99990000000000001</v>
      </c>
      <c r="H52" s="104">
        <v>-364.71845999999999</v>
      </c>
      <c r="I52" s="38">
        <v>-0.15992236066358634</v>
      </c>
      <c r="J52" s="38">
        <v>-1.123296569783878E-3</v>
      </c>
      <c r="K52" s="28"/>
      <c r="L52" s="28"/>
      <c r="M52" s="28"/>
      <c r="N52" s="28"/>
    </row>
    <row r="53" spans="1:14" x14ac:dyDescent="0.2">
      <c r="A53" s="30" t="s">
        <v>1519</v>
      </c>
      <c r="B53" s="46" t="s">
        <v>1524</v>
      </c>
      <c r="C53" s="46" t="s">
        <v>201</v>
      </c>
      <c r="D53" s="85" t="s">
        <v>246</v>
      </c>
      <c r="E53" s="46" t="s">
        <v>1525</v>
      </c>
      <c r="F53" s="88">
        <v>373021.42</v>
      </c>
      <c r="G53" s="80">
        <v>1.0003</v>
      </c>
      <c r="H53" s="104">
        <v>373.13721999999996</v>
      </c>
      <c r="I53" s="38">
        <v>0.16361383263640658</v>
      </c>
      <c r="J53" s="38">
        <v>1.1492255129742876E-3</v>
      </c>
      <c r="K53" s="28"/>
      <c r="L53" s="28"/>
      <c r="M53" s="28"/>
      <c r="N53" s="28"/>
    </row>
    <row r="54" spans="1:14" x14ac:dyDescent="0.2">
      <c r="A54" s="30" t="s">
        <v>1522</v>
      </c>
      <c r="B54" s="46" t="s">
        <v>1526</v>
      </c>
      <c r="C54" s="46" t="s">
        <v>201</v>
      </c>
      <c r="D54" s="85" t="s">
        <v>126</v>
      </c>
      <c r="E54" s="46" t="s">
        <v>1525</v>
      </c>
      <c r="F54" s="88">
        <v>-106000</v>
      </c>
      <c r="G54" s="80">
        <v>0.99990000000000001</v>
      </c>
      <c r="H54" s="104">
        <v>-364.71845999999999</v>
      </c>
      <c r="I54" s="38">
        <v>-0.15992236066358634</v>
      </c>
      <c r="J54" s="38">
        <v>-1.123296569783878E-3</v>
      </c>
      <c r="K54" s="28"/>
      <c r="L54" s="28"/>
      <c r="M54" s="28"/>
      <c r="N54" s="28"/>
    </row>
    <row r="55" spans="1:14" x14ac:dyDescent="0.2">
      <c r="A55" s="30" t="s">
        <v>1529</v>
      </c>
      <c r="B55" s="46" t="s">
        <v>1530</v>
      </c>
      <c r="C55" s="46" t="s">
        <v>201</v>
      </c>
      <c r="D55" s="85" t="s">
        <v>246</v>
      </c>
      <c r="E55" s="46" t="s">
        <v>1531</v>
      </c>
      <c r="F55" s="88">
        <v>791205.6</v>
      </c>
      <c r="G55" s="80">
        <v>1.0041</v>
      </c>
      <c r="H55" s="104">
        <v>794.49558999999999</v>
      </c>
      <c r="I55" s="38">
        <v>0.34837175581847107</v>
      </c>
      <c r="J55" s="38">
        <v>2.4469673702708066E-3</v>
      </c>
      <c r="K55" s="28"/>
      <c r="L55" s="28"/>
      <c r="M55" s="28"/>
      <c r="N55" s="28"/>
    </row>
    <row r="56" spans="1:14" x14ac:dyDescent="0.2">
      <c r="A56" s="30" t="s">
        <v>1532</v>
      </c>
      <c r="B56" s="46" t="s">
        <v>1533</v>
      </c>
      <c r="C56" s="46" t="s">
        <v>201</v>
      </c>
      <c r="D56" s="85" t="s">
        <v>126</v>
      </c>
      <c r="E56" s="46" t="s">
        <v>1531</v>
      </c>
      <c r="F56" s="88">
        <v>-228000</v>
      </c>
      <c r="G56" s="80">
        <v>0.99950000000000006</v>
      </c>
      <c r="H56" s="104">
        <v>-784.22206000000006</v>
      </c>
      <c r="I56" s="38">
        <v>-0.34386700119226388</v>
      </c>
      <c r="J56" s="38">
        <v>-2.4153259200174475E-3</v>
      </c>
      <c r="K56" s="28"/>
      <c r="L56" s="28"/>
      <c r="M56" s="28"/>
      <c r="N56" s="28"/>
    </row>
    <row r="57" spans="1:14" x14ac:dyDescent="0.2">
      <c r="A57" s="30" t="s">
        <v>1529</v>
      </c>
      <c r="B57" s="46" t="s">
        <v>1534</v>
      </c>
      <c r="C57" s="46" t="s">
        <v>201</v>
      </c>
      <c r="D57" s="85" t="s">
        <v>246</v>
      </c>
      <c r="E57" s="46" t="s">
        <v>1535</v>
      </c>
      <c r="F57" s="88">
        <v>2383890</v>
      </c>
      <c r="G57" s="80">
        <v>1.0041</v>
      </c>
      <c r="H57" s="104">
        <v>2393.80269</v>
      </c>
      <c r="I57" s="38">
        <v>1.0496386093197563</v>
      </c>
      <c r="J57" s="38">
        <v>7.3726741180482605E-3</v>
      </c>
      <c r="K57" s="28"/>
      <c r="L57" s="28"/>
      <c r="M57" s="28"/>
      <c r="N57" s="28"/>
    </row>
    <row r="58" spans="1:14" x14ac:dyDescent="0.2">
      <c r="A58" s="30" t="s">
        <v>1532</v>
      </c>
      <c r="B58" s="46" t="s">
        <v>1536</v>
      </c>
      <c r="C58" s="46" t="s">
        <v>201</v>
      </c>
      <c r="D58" s="85" t="s">
        <v>126</v>
      </c>
      <c r="E58" s="46" t="s">
        <v>1535</v>
      </c>
      <c r="F58" s="88">
        <v>-687000</v>
      </c>
      <c r="G58" s="80">
        <v>0.99950000000000006</v>
      </c>
      <c r="H58" s="104">
        <v>-2362.9848999999999</v>
      </c>
      <c r="I58" s="38">
        <v>-1.03612557318982</v>
      </c>
      <c r="J58" s="38">
        <v>-7.2777583910096019E-3</v>
      </c>
      <c r="K58" s="28"/>
      <c r="L58" s="28"/>
      <c r="M58" s="28"/>
      <c r="N58" s="28"/>
    </row>
    <row r="59" spans="1:14" x14ac:dyDescent="0.2">
      <c r="A59" s="30" t="s">
        <v>1547</v>
      </c>
      <c r="B59" s="46" t="s">
        <v>1548</v>
      </c>
      <c r="C59" s="46" t="s">
        <v>201</v>
      </c>
      <c r="D59" s="85" t="s">
        <v>246</v>
      </c>
      <c r="E59" s="46" t="s">
        <v>1549</v>
      </c>
      <c r="F59" s="88">
        <v>9578534</v>
      </c>
      <c r="G59" s="80">
        <v>1.0011000000000001</v>
      </c>
      <c r="H59" s="104">
        <v>9589.4684900000011</v>
      </c>
      <c r="I59" s="38">
        <v>4.2048061905884246</v>
      </c>
      <c r="J59" s="38">
        <v>2.9534608862045494E-2</v>
      </c>
      <c r="K59" s="28"/>
      <c r="L59" s="28"/>
      <c r="M59" s="28"/>
      <c r="N59" s="28"/>
    </row>
    <row r="60" spans="1:14" x14ac:dyDescent="0.2">
      <c r="A60" s="30" t="s">
        <v>1550</v>
      </c>
      <c r="B60" s="46" t="s">
        <v>1551</v>
      </c>
      <c r="C60" s="46" t="s">
        <v>201</v>
      </c>
      <c r="D60" s="85" t="s">
        <v>126</v>
      </c>
      <c r="E60" s="46" t="s">
        <v>1549</v>
      </c>
      <c r="F60" s="88">
        <v>-2758000</v>
      </c>
      <c r="G60" s="80">
        <v>0.99980000000000002</v>
      </c>
      <c r="H60" s="104">
        <v>-9488.5832699999992</v>
      </c>
      <c r="I60" s="38">
        <v>-4.1605698705006908</v>
      </c>
      <c r="J60" s="38">
        <v>-2.9223892421841469E-2</v>
      </c>
      <c r="K60" s="28"/>
      <c r="L60" s="28"/>
      <c r="M60" s="28"/>
      <c r="N60" s="28"/>
    </row>
    <row r="61" spans="1:14" x14ac:dyDescent="0.2">
      <c r="A61" s="30" t="s">
        <v>1569</v>
      </c>
      <c r="B61" s="46" t="s">
        <v>1570</v>
      </c>
      <c r="C61" s="46" t="s">
        <v>201</v>
      </c>
      <c r="D61" s="85" t="s">
        <v>246</v>
      </c>
      <c r="E61" s="46" t="s">
        <v>1571</v>
      </c>
      <c r="F61" s="88">
        <v>2562900</v>
      </c>
      <c r="G61" s="80">
        <v>1.002</v>
      </c>
      <c r="H61" s="104">
        <v>2568.1466700000001</v>
      </c>
      <c r="I61" s="38">
        <v>1.1260852494187659</v>
      </c>
      <c r="J61" s="38">
        <v>7.9096362304032792E-3</v>
      </c>
      <c r="K61" s="28"/>
      <c r="L61" s="28"/>
      <c r="M61" s="28"/>
      <c r="N61" s="28"/>
    </row>
    <row r="62" spans="1:14" x14ac:dyDescent="0.2">
      <c r="A62" s="30" t="s">
        <v>1572</v>
      </c>
      <c r="B62" s="46" t="s">
        <v>1573</v>
      </c>
      <c r="C62" s="46" t="s">
        <v>201</v>
      </c>
      <c r="D62" s="85" t="s">
        <v>126</v>
      </c>
      <c r="E62" s="46" t="s">
        <v>1571</v>
      </c>
      <c r="F62" s="88">
        <v>-750000</v>
      </c>
      <c r="G62" s="80">
        <v>0.99970000000000003</v>
      </c>
      <c r="H62" s="104">
        <v>-2580.0738300000003</v>
      </c>
      <c r="I62" s="38">
        <v>-1.1313150904945708</v>
      </c>
      <c r="J62" s="38">
        <v>-7.9463706965316547E-3</v>
      </c>
      <c r="K62" s="28"/>
      <c r="L62" s="28"/>
      <c r="M62" s="28"/>
      <c r="N62" s="28"/>
    </row>
    <row r="63" spans="1:14" x14ac:dyDescent="0.2">
      <c r="A63" s="30" t="s">
        <v>1593</v>
      </c>
      <c r="B63" s="46" t="s">
        <v>1594</v>
      </c>
      <c r="C63" s="46" t="s">
        <v>201</v>
      </c>
      <c r="D63" s="85" t="s">
        <v>246</v>
      </c>
      <c r="E63" s="46" t="s">
        <v>1595</v>
      </c>
      <c r="F63" s="88">
        <v>896762.65</v>
      </c>
      <c r="G63" s="80">
        <v>1.0061</v>
      </c>
      <c r="H63" s="104">
        <v>902.31313999999998</v>
      </c>
      <c r="I63" s="38">
        <v>0.39564777556522107</v>
      </c>
      <c r="J63" s="38">
        <v>2.7790346971549511E-3</v>
      </c>
      <c r="K63" s="28"/>
      <c r="L63" s="28"/>
      <c r="M63" s="28"/>
      <c r="N63" s="28"/>
    </row>
    <row r="64" spans="1:14" x14ac:dyDescent="0.2">
      <c r="A64" s="30" t="s">
        <v>1596</v>
      </c>
      <c r="B64" s="46" t="s">
        <v>1597</v>
      </c>
      <c r="C64" s="46" t="s">
        <v>201</v>
      </c>
      <c r="D64" s="85" t="s">
        <v>126</v>
      </c>
      <c r="E64" s="46" t="s">
        <v>1595</v>
      </c>
      <c r="F64" s="88">
        <v>-265000</v>
      </c>
      <c r="G64" s="80">
        <v>0.99939999999999996</v>
      </c>
      <c r="H64" s="104">
        <v>-911.39687000000004</v>
      </c>
      <c r="I64" s="38">
        <v>-0.39963082469640748</v>
      </c>
      <c r="J64" s="38">
        <v>-2.8070116817853503E-3</v>
      </c>
      <c r="K64" s="28"/>
      <c r="L64" s="28"/>
      <c r="M64" s="28"/>
      <c r="N64" s="28"/>
    </row>
    <row r="65" spans="1:14" x14ac:dyDescent="0.2">
      <c r="A65" s="30" t="s">
        <v>1593</v>
      </c>
      <c r="B65" s="46" t="s">
        <v>1603</v>
      </c>
      <c r="C65" s="46" t="s">
        <v>201</v>
      </c>
      <c r="D65" s="85" t="s">
        <v>246</v>
      </c>
      <c r="E65" s="46" t="s">
        <v>1601</v>
      </c>
      <c r="F65" s="88">
        <v>675100</v>
      </c>
      <c r="G65" s="80">
        <v>1.0061</v>
      </c>
      <c r="H65" s="104">
        <v>679.27532999999994</v>
      </c>
      <c r="I65" s="38">
        <v>0.29784978340316698</v>
      </c>
      <c r="J65" s="38">
        <v>2.0921004331061598E-3</v>
      </c>
      <c r="K65" s="28"/>
      <c r="L65" s="28"/>
      <c r="M65" s="28"/>
      <c r="N65" s="28"/>
    </row>
    <row r="66" spans="1:14" x14ac:dyDescent="0.2">
      <c r="A66" s="30" t="s">
        <v>1596</v>
      </c>
      <c r="B66" s="46" t="s">
        <v>1604</v>
      </c>
      <c r="C66" s="46" t="s">
        <v>201</v>
      </c>
      <c r="D66" s="85" t="s">
        <v>126</v>
      </c>
      <c r="E66" s="46" t="s">
        <v>1601</v>
      </c>
      <c r="F66" s="88">
        <v>-200000</v>
      </c>
      <c r="G66" s="80">
        <v>0.99939999999999996</v>
      </c>
      <c r="H66" s="104">
        <v>-687.84375</v>
      </c>
      <c r="I66" s="38">
        <v>-0.30160687854322948</v>
      </c>
      <c r="J66" s="38">
        <v>-2.1184903142064137E-3</v>
      </c>
      <c r="K66" s="28"/>
      <c r="L66" s="28"/>
      <c r="M66" s="28"/>
      <c r="N66" s="28"/>
    </row>
    <row r="67" spans="1:14" x14ac:dyDescent="0.2">
      <c r="A67" s="30" t="s">
        <v>1545</v>
      </c>
      <c r="B67" s="46" t="s">
        <v>1612</v>
      </c>
      <c r="C67" s="46" t="s">
        <v>201</v>
      </c>
      <c r="D67" s="85" t="s">
        <v>126</v>
      </c>
      <c r="E67" s="46" t="s">
        <v>1613</v>
      </c>
      <c r="F67" s="88">
        <v>762593.69070669019</v>
      </c>
      <c r="G67" s="80">
        <v>0.99980000000000002</v>
      </c>
      <c r="H67" s="104">
        <v>2623.6872804581153</v>
      </c>
      <c r="I67" s="38">
        <v>1.150438789234542</v>
      </c>
      <c r="J67" s="38">
        <v>8.0806957846997728E-3</v>
      </c>
      <c r="K67" s="28"/>
      <c r="L67" s="28"/>
      <c r="M67" s="28"/>
      <c r="N67" s="28"/>
    </row>
    <row r="68" spans="1:14" x14ac:dyDescent="0.2">
      <c r="A68" s="30" t="s">
        <v>1542</v>
      </c>
      <c r="B68" s="46" t="s">
        <v>1614</v>
      </c>
      <c r="C68" s="46" t="s">
        <v>201</v>
      </c>
      <c r="D68" s="85" t="s">
        <v>246</v>
      </c>
      <c r="E68" s="46" t="s">
        <v>1613</v>
      </c>
      <c r="F68" s="88">
        <v>-2543249.9585068119</v>
      </c>
      <c r="G68" s="80">
        <v>1.0007999999999999</v>
      </c>
      <c r="H68" s="104">
        <v>-2545.5048928969909</v>
      </c>
      <c r="I68" s="38">
        <v>-1.1161572451057076</v>
      </c>
      <c r="J68" s="38">
        <v>-7.8399018096294536E-3</v>
      </c>
      <c r="K68" s="28"/>
      <c r="L68" s="28"/>
      <c r="M68" s="28"/>
      <c r="N68" s="28"/>
    </row>
    <row r="69" spans="1:14" x14ac:dyDescent="0.2">
      <c r="A69" s="30" t="s">
        <v>1615</v>
      </c>
      <c r="B69" s="46" t="s">
        <v>1616</v>
      </c>
      <c r="C69" s="46" t="s">
        <v>201</v>
      </c>
      <c r="D69" s="85" t="s">
        <v>246</v>
      </c>
      <c r="E69" s="46" t="s">
        <v>1613</v>
      </c>
      <c r="F69" s="88">
        <v>2529904.5689194445</v>
      </c>
      <c r="G69" s="80">
        <v>1.0063</v>
      </c>
      <c r="H69" s="104">
        <v>2545.953681338096</v>
      </c>
      <c r="I69" s="38">
        <v>1.1163540306123696</v>
      </c>
      <c r="J69" s="38">
        <v>7.8412840333766474E-3</v>
      </c>
      <c r="K69" s="28"/>
      <c r="L69" s="28"/>
      <c r="M69" s="28"/>
      <c r="N69" s="28"/>
    </row>
    <row r="70" spans="1:14" x14ac:dyDescent="0.2">
      <c r="A70" s="30" t="s">
        <v>1617</v>
      </c>
      <c r="B70" s="46" t="s">
        <v>1618</v>
      </c>
      <c r="C70" s="46" t="s">
        <v>201</v>
      </c>
      <c r="D70" s="85" t="s">
        <v>126</v>
      </c>
      <c r="E70" s="46" t="s">
        <v>1613</v>
      </c>
      <c r="F70" s="88">
        <v>-762593.69070669019</v>
      </c>
      <c r="G70" s="80">
        <v>0.99939999999999996</v>
      </c>
      <c r="H70" s="104">
        <v>-2622.6810856362081</v>
      </c>
      <c r="I70" s="38">
        <v>-1.1499975912452576</v>
      </c>
      <c r="J70" s="38">
        <v>-8.0775968047578656E-3</v>
      </c>
      <c r="K70" s="28"/>
      <c r="L70" s="28"/>
      <c r="M70" s="28"/>
      <c r="N70" s="28"/>
    </row>
    <row r="71" spans="1:14" x14ac:dyDescent="0.2">
      <c r="A71" s="30" t="s">
        <v>1540</v>
      </c>
      <c r="B71" s="46" t="s">
        <v>1619</v>
      </c>
      <c r="C71" s="46" t="s">
        <v>201</v>
      </c>
      <c r="D71" s="85" t="s">
        <v>126</v>
      </c>
      <c r="E71" s="46" t="s">
        <v>1613</v>
      </c>
      <c r="F71" s="88">
        <v>500000</v>
      </c>
      <c r="G71" s="80">
        <v>0.99980000000000002</v>
      </c>
      <c r="H71" s="104">
        <v>1720.24377</v>
      </c>
      <c r="I71" s="38">
        <v>0.75429536693927546</v>
      </c>
      <c r="J71" s="38">
        <v>5.2981796589980298E-3</v>
      </c>
      <c r="K71" s="28"/>
      <c r="L71" s="28"/>
      <c r="M71" s="28"/>
      <c r="N71" s="28"/>
    </row>
    <row r="72" spans="1:14" x14ac:dyDescent="0.2">
      <c r="A72" s="30" t="s">
        <v>1537</v>
      </c>
      <c r="B72" s="46" t="s">
        <v>1620</v>
      </c>
      <c r="C72" s="46" t="s">
        <v>201</v>
      </c>
      <c r="D72" s="85" t="s">
        <v>246</v>
      </c>
      <c r="E72" s="46" t="s">
        <v>1613</v>
      </c>
      <c r="F72" s="88">
        <v>-1674100</v>
      </c>
      <c r="G72" s="80">
        <v>1.0007999999999999</v>
      </c>
      <c r="H72" s="104">
        <v>-1675.5525700000001</v>
      </c>
      <c r="I72" s="38">
        <v>-0.73469909477666417</v>
      </c>
      <c r="J72" s="38">
        <v>-5.1605352094696855E-3</v>
      </c>
      <c r="K72" s="28"/>
      <c r="L72" s="28"/>
      <c r="M72" s="28"/>
      <c r="N72" s="28"/>
    </row>
    <row r="73" spans="1:14" x14ac:dyDescent="0.2">
      <c r="A73" s="30" t="s">
        <v>1550</v>
      </c>
      <c r="B73" s="46" t="s">
        <v>1621</v>
      </c>
      <c r="C73" s="46" t="s">
        <v>201</v>
      </c>
      <c r="D73" s="85" t="s">
        <v>126</v>
      </c>
      <c r="E73" s="46" t="s">
        <v>1622</v>
      </c>
      <c r="F73" s="88">
        <v>2758000</v>
      </c>
      <c r="G73" s="80">
        <v>0.99980000000000002</v>
      </c>
      <c r="H73" s="104">
        <v>9488.5875299999989</v>
      </c>
      <c r="I73" s="38">
        <v>4.1605717384326191</v>
      </c>
      <c r="J73" s="38">
        <v>2.922390554221763E-2</v>
      </c>
      <c r="K73" s="28"/>
      <c r="L73" s="28"/>
      <c r="M73" s="28"/>
      <c r="N73" s="28"/>
    </row>
    <row r="74" spans="1:14" x14ac:dyDescent="0.2">
      <c r="A74" s="30" t="s">
        <v>1547</v>
      </c>
      <c r="B74" s="46" t="s">
        <v>1623</v>
      </c>
      <c r="C74" s="46" t="s">
        <v>201</v>
      </c>
      <c r="D74" s="85" t="s">
        <v>246</v>
      </c>
      <c r="E74" s="46" t="s">
        <v>1622</v>
      </c>
      <c r="F74" s="88">
        <v>-9314317.5999999996</v>
      </c>
      <c r="G74" s="80">
        <v>1.0011000000000001</v>
      </c>
      <c r="H74" s="104">
        <v>-9324.9557499999992</v>
      </c>
      <c r="I74" s="38">
        <v>-4.0888222017154909</v>
      </c>
      <c r="J74" s="38">
        <v>-2.8719935940071276E-2</v>
      </c>
      <c r="K74" s="28"/>
      <c r="L74" s="28"/>
      <c r="M74" s="28"/>
      <c r="N74" s="28"/>
    </row>
    <row r="75" spans="1:14" x14ac:dyDescent="0.2">
      <c r="A75" s="30" t="s">
        <v>1624</v>
      </c>
      <c r="B75" s="46" t="s">
        <v>1625</v>
      </c>
      <c r="C75" s="46" t="s">
        <v>201</v>
      </c>
      <c r="D75" s="85" t="s">
        <v>246</v>
      </c>
      <c r="E75" s="46" t="s">
        <v>1622</v>
      </c>
      <c r="F75" s="88">
        <v>9250332</v>
      </c>
      <c r="G75" s="80">
        <v>1.0078</v>
      </c>
      <c r="H75" s="104">
        <v>9322.8700700000009</v>
      </c>
      <c r="I75" s="38">
        <v>4.0879076692588976</v>
      </c>
      <c r="J75" s="38">
        <v>2.8713512253182315E-2</v>
      </c>
      <c r="K75" s="28"/>
      <c r="L75" s="28"/>
      <c r="M75" s="28"/>
      <c r="N75" s="28"/>
    </row>
    <row r="76" spans="1:14" x14ac:dyDescent="0.2">
      <c r="A76" s="30" t="s">
        <v>1626</v>
      </c>
      <c r="B76" s="46" t="s">
        <v>1627</v>
      </c>
      <c r="C76" s="46" t="s">
        <v>201</v>
      </c>
      <c r="D76" s="85" t="s">
        <v>126</v>
      </c>
      <c r="E76" s="46" t="s">
        <v>1622</v>
      </c>
      <c r="F76" s="88">
        <v>-2758000</v>
      </c>
      <c r="G76" s="80">
        <v>0.99939999999999996</v>
      </c>
      <c r="H76" s="104">
        <v>-9484.9869399999989</v>
      </c>
      <c r="I76" s="38">
        <v>-4.1589929457041634</v>
      </c>
      <c r="J76" s="38">
        <v>-2.9212816083251943E-2</v>
      </c>
      <c r="K76" s="28"/>
      <c r="L76" s="28"/>
      <c r="M76" s="28"/>
      <c r="N76" s="28"/>
    </row>
    <row r="77" spans="1:14" x14ac:dyDescent="0.2">
      <c r="A77" s="30" t="s">
        <v>1628</v>
      </c>
      <c r="B77" s="46" t="s">
        <v>1629</v>
      </c>
      <c r="C77" s="46" t="s">
        <v>201</v>
      </c>
      <c r="D77" s="85" t="s">
        <v>246</v>
      </c>
      <c r="E77" s="46" t="s">
        <v>1630</v>
      </c>
      <c r="F77" s="88">
        <v>870435.22272581805</v>
      </c>
      <c r="G77" s="80">
        <v>1.0081</v>
      </c>
      <c r="H77" s="104">
        <v>877.50210784706996</v>
      </c>
      <c r="I77" s="38">
        <v>0.38476859266782482</v>
      </c>
      <c r="J77" s="38">
        <v>2.7026191866535527E-3</v>
      </c>
      <c r="K77" s="28"/>
      <c r="L77" s="28"/>
      <c r="M77" s="28"/>
      <c r="N77" s="28"/>
    </row>
    <row r="78" spans="1:14" x14ac:dyDescent="0.2">
      <c r="A78" s="30" t="s">
        <v>1631</v>
      </c>
      <c r="B78" s="46" t="s">
        <v>1632</v>
      </c>
      <c r="C78" s="46" t="s">
        <v>201</v>
      </c>
      <c r="D78" s="85" t="s">
        <v>126</v>
      </c>
      <c r="E78" s="46" t="s">
        <v>1630</v>
      </c>
      <c r="F78" s="88">
        <v>-256765.55242649501</v>
      </c>
      <c r="G78" s="80">
        <v>0.99939999999999996</v>
      </c>
      <c r="H78" s="104">
        <v>-883.02662889580733</v>
      </c>
      <c r="I78" s="38">
        <v>-0.3871909939020528</v>
      </c>
      <c r="J78" s="38">
        <v>-2.7196341618312431E-3</v>
      </c>
      <c r="K78" s="28"/>
      <c r="L78" s="28"/>
      <c r="M78" s="28"/>
      <c r="N78" s="28"/>
    </row>
    <row r="79" spans="1:14" x14ac:dyDescent="0.2">
      <c r="A79" s="30" t="s">
        <v>1519</v>
      </c>
      <c r="B79" s="46" t="s">
        <v>1527</v>
      </c>
      <c r="C79" s="46" t="s">
        <v>201</v>
      </c>
      <c r="D79" s="85" t="s">
        <v>246</v>
      </c>
      <c r="E79" s="46" t="s">
        <v>1525</v>
      </c>
      <c r="F79" s="88">
        <v>373728.44</v>
      </c>
      <c r="G79" s="80">
        <v>1.0003</v>
      </c>
      <c r="H79" s="104">
        <v>373.84444000000002</v>
      </c>
      <c r="I79" s="38">
        <v>0.16392393564547419</v>
      </c>
      <c r="J79" s="38">
        <v>1.1514036802106886E-3</v>
      </c>
      <c r="K79" s="28"/>
      <c r="L79" s="28"/>
      <c r="M79" s="28"/>
      <c r="N79" s="28"/>
    </row>
    <row r="80" spans="1:14" x14ac:dyDescent="0.2">
      <c r="A80" s="30" t="s">
        <v>1522</v>
      </c>
      <c r="B80" s="46" t="s">
        <v>1528</v>
      </c>
      <c r="C80" s="46" t="s">
        <v>201</v>
      </c>
      <c r="D80" s="85" t="s">
        <v>126</v>
      </c>
      <c r="E80" s="46" t="s">
        <v>1525</v>
      </c>
      <c r="F80" s="88">
        <v>-106000</v>
      </c>
      <c r="G80" s="80">
        <v>0.99990000000000001</v>
      </c>
      <c r="H80" s="104">
        <v>-364.71845999999999</v>
      </c>
      <c r="I80" s="38">
        <v>-0.15992236066358634</v>
      </c>
      <c r="J80" s="38">
        <v>-1.123296569783878E-3</v>
      </c>
      <c r="K80" s="28"/>
      <c r="L80" s="28"/>
      <c r="M80" s="28"/>
      <c r="N80" s="28"/>
    </row>
    <row r="81" spans="1:14" x14ac:dyDescent="0.2">
      <c r="A81" s="30" t="s">
        <v>1542</v>
      </c>
      <c r="B81" s="46" t="s">
        <v>1566</v>
      </c>
      <c r="C81" s="46" t="s">
        <v>201</v>
      </c>
      <c r="D81" s="85" t="s">
        <v>246</v>
      </c>
      <c r="E81" s="46" t="s">
        <v>1567</v>
      </c>
      <c r="F81" s="88">
        <v>83837.804350537015</v>
      </c>
      <c r="G81" s="80">
        <v>1.0007999999999999</v>
      </c>
      <c r="H81" s="104">
        <v>83.912147580996148</v>
      </c>
      <c r="I81" s="38">
        <v>3.6793938890573696E-2</v>
      </c>
      <c r="J81" s="38">
        <v>2.584410658592151E-4</v>
      </c>
      <c r="K81" s="28"/>
      <c r="L81" s="28"/>
      <c r="M81" s="28"/>
      <c r="N81" s="28"/>
    </row>
    <row r="82" spans="1:14" x14ac:dyDescent="0.2">
      <c r="A82" s="30" t="s">
        <v>1545</v>
      </c>
      <c r="B82" s="46" t="s">
        <v>1568</v>
      </c>
      <c r="C82" s="46" t="s">
        <v>201</v>
      </c>
      <c r="D82" s="85" t="s">
        <v>126</v>
      </c>
      <c r="E82" s="46" t="s">
        <v>1567</v>
      </c>
      <c r="F82" s="88">
        <v>-24392.727480517024</v>
      </c>
      <c r="G82" s="80">
        <v>0.99980000000000002</v>
      </c>
      <c r="H82" s="104">
        <v>-83.922666649441723</v>
      </c>
      <c r="I82" s="38">
        <v>-3.6798551309308411E-2</v>
      </c>
      <c r="J82" s="38">
        <v>-2.584734635434514E-4</v>
      </c>
      <c r="K82" s="28"/>
      <c r="L82" s="28"/>
      <c r="M82" s="28"/>
      <c r="N82" s="28"/>
    </row>
    <row r="83" spans="1:14" x14ac:dyDescent="0.2">
      <c r="A83" s="30" t="s">
        <v>1579</v>
      </c>
      <c r="B83" s="46" t="s">
        <v>1580</v>
      </c>
      <c r="C83" s="46" t="s">
        <v>201</v>
      </c>
      <c r="D83" s="85" t="s">
        <v>246</v>
      </c>
      <c r="E83" s="46" t="s">
        <v>1576</v>
      </c>
      <c r="F83" s="88">
        <v>23949450</v>
      </c>
      <c r="G83" s="80">
        <v>1.0028999999999999</v>
      </c>
      <c r="H83" s="104">
        <v>24020.571170000003</v>
      </c>
      <c r="I83" s="38">
        <v>10.532580242837405</v>
      </c>
      <c r="J83" s="38">
        <v>7.3980969319486917E-2</v>
      </c>
      <c r="K83" s="28"/>
      <c r="L83" s="28"/>
      <c r="M83" s="28"/>
      <c r="N83" s="28"/>
    </row>
    <row r="84" spans="1:14" x14ac:dyDescent="0.2">
      <c r="A84" s="30" t="s">
        <v>1581</v>
      </c>
      <c r="B84" s="46" t="s">
        <v>1582</v>
      </c>
      <c r="C84" s="46" t="s">
        <v>201</v>
      </c>
      <c r="D84" s="85" t="s">
        <v>126</v>
      </c>
      <c r="E84" s="46" t="s">
        <v>1576</v>
      </c>
      <c r="F84" s="88">
        <v>-7000000</v>
      </c>
      <c r="G84" s="80">
        <v>0.99960000000000004</v>
      </c>
      <c r="H84" s="104">
        <v>-24079.018530000001</v>
      </c>
      <c r="I84" s="38">
        <v>-10.558208339056483</v>
      </c>
      <c r="J84" s="38">
        <v>-7.4160981373170523E-2</v>
      </c>
      <c r="K84" s="28"/>
      <c r="L84" s="28"/>
      <c r="M84" s="28"/>
      <c r="N84" s="28"/>
    </row>
    <row r="85" spans="1:14" x14ac:dyDescent="0.2">
      <c r="A85" s="30" t="s">
        <v>1593</v>
      </c>
      <c r="B85" s="46" t="s">
        <v>1598</v>
      </c>
      <c r="C85" s="46" t="s">
        <v>201</v>
      </c>
      <c r="D85" s="85" t="s">
        <v>246</v>
      </c>
      <c r="E85" s="46" t="s">
        <v>1595</v>
      </c>
      <c r="F85" s="88">
        <v>895942.47</v>
      </c>
      <c r="G85" s="80">
        <v>1.0061</v>
      </c>
      <c r="H85" s="104">
        <v>901.48811000000001</v>
      </c>
      <c r="I85" s="38">
        <v>0.39528601503020927</v>
      </c>
      <c r="J85" s="38">
        <v>2.7764936868398473E-3</v>
      </c>
      <c r="K85" s="28"/>
      <c r="L85" s="28"/>
      <c r="M85" s="28"/>
      <c r="N85" s="28"/>
    </row>
    <row r="86" spans="1:14" x14ac:dyDescent="0.2">
      <c r="A86" s="30" t="s">
        <v>1596</v>
      </c>
      <c r="B86" s="46" t="s">
        <v>1599</v>
      </c>
      <c r="C86" s="46" t="s">
        <v>201</v>
      </c>
      <c r="D86" s="85" t="s">
        <v>126</v>
      </c>
      <c r="E86" s="46" t="s">
        <v>1595</v>
      </c>
      <c r="F86" s="88">
        <v>-265000</v>
      </c>
      <c r="G86" s="80">
        <v>0.99939999999999996</v>
      </c>
      <c r="H86" s="104">
        <v>-911.39797999999996</v>
      </c>
      <c r="I86" s="38">
        <v>-0.39963131141106495</v>
      </c>
      <c r="J86" s="38">
        <v>-2.8070151004749126E-3</v>
      </c>
      <c r="K86" s="28"/>
      <c r="L86" s="28"/>
      <c r="M86" s="28"/>
      <c r="N86" s="28"/>
    </row>
    <row r="87" spans="1:14" x14ac:dyDescent="0.2">
      <c r="A87" s="30" t="s">
        <v>1593</v>
      </c>
      <c r="B87" s="46" t="s">
        <v>1600</v>
      </c>
      <c r="C87" s="46" t="s">
        <v>201</v>
      </c>
      <c r="D87" s="85" t="s">
        <v>246</v>
      </c>
      <c r="E87" s="46" t="s">
        <v>1601</v>
      </c>
      <c r="F87" s="88">
        <v>675022</v>
      </c>
      <c r="G87" s="80">
        <v>1.0061</v>
      </c>
      <c r="H87" s="104">
        <v>679.19576000000006</v>
      </c>
      <c r="I87" s="38">
        <v>0.29781489341641393</v>
      </c>
      <c r="J87" s="38">
        <v>2.0918553654228362E-3</v>
      </c>
      <c r="K87" s="28"/>
      <c r="L87" s="28"/>
      <c r="M87" s="28"/>
      <c r="N87" s="28"/>
    </row>
    <row r="88" spans="1:14" x14ac:dyDescent="0.2">
      <c r="A88" s="30" t="s">
        <v>1596</v>
      </c>
      <c r="B88" s="46" t="s">
        <v>1602</v>
      </c>
      <c r="C88" s="46" t="s">
        <v>201</v>
      </c>
      <c r="D88" s="85" t="s">
        <v>126</v>
      </c>
      <c r="E88" s="46" t="s">
        <v>1601</v>
      </c>
      <c r="F88" s="88">
        <v>-200000</v>
      </c>
      <c r="G88" s="80">
        <v>0.99939999999999996</v>
      </c>
      <c r="H88" s="104">
        <v>-687.84239000000002</v>
      </c>
      <c r="I88" s="38">
        <v>-0.30160628220815366</v>
      </c>
      <c r="J88" s="38">
        <v>-2.1184861255417247E-3</v>
      </c>
      <c r="K88" s="28"/>
      <c r="L88" s="28"/>
      <c r="M88" s="28"/>
      <c r="N88" s="28"/>
    </row>
    <row r="89" spans="1:14" x14ac:dyDescent="0.2">
      <c r="A89" s="30" t="s">
        <v>1547</v>
      </c>
      <c r="B89" s="46" t="s">
        <v>1633</v>
      </c>
      <c r="C89" s="46" t="s">
        <v>201</v>
      </c>
      <c r="D89" s="85" t="s">
        <v>246</v>
      </c>
      <c r="E89" s="46" t="s">
        <v>1634</v>
      </c>
      <c r="F89" s="88">
        <v>264026.88224911626</v>
      </c>
      <c r="G89" s="80">
        <v>1.0011000000000001</v>
      </c>
      <c r="H89" s="104">
        <v>264.32843500602763</v>
      </c>
      <c r="I89" s="38">
        <v>0.11590317451075903</v>
      </c>
      <c r="J89" s="38">
        <v>8.1410528092987558E-4</v>
      </c>
      <c r="K89" s="28"/>
      <c r="L89" s="28"/>
      <c r="M89" s="28"/>
      <c r="N89" s="28"/>
    </row>
    <row r="90" spans="1:14" x14ac:dyDescent="0.2">
      <c r="A90" s="30" t="s">
        <v>1550</v>
      </c>
      <c r="B90" s="46" t="s">
        <v>1635</v>
      </c>
      <c r="C90" s="46" t="s">
        <v>201</v>
      </c>
      <c r="D90" s="85" t="s">
        <v>126</v>
      </c>
      <c r="E90" s="46" t="s">
        <v>1634</v>
      </c>
      <c r="F90" s="88">
        <v>-77029.665727948493</v>
      </c>
      <c r="G90" s="80">
        <v>0.99980000000000002</v>
      </c>
      <c r="H90" s="104">
        <v>-265.01186582279684</v>
      </c>
      <c r="I90" s="38">
        <v>-0.11620284639895458</v>
      </c>
      <c r="J90" s="38">
        <v>-8.1621017984878804E-4</v>
      </c>
      <c r="K90" s="28"/>
      <c r="L90" s="28"/>
      <c r="M90" s="28"/>
      <c r="N90" s="28"/>
    </row>
    <row r="91" spans="1:14" x14ac:dyDescent="0.2">
      <c r="A91" s="30" t="s">
        <v>1628</v>
      </c>
      <c r="B91" s="46" t="s">
        <v>1644</v>
      </c>
      <c r="C91" s="46" t="s">
        <v>201</v>
      </c>
      <c r="D91" s="85" t="s">
        <v>246</v>
      </c>
      <c r="E91" s="46" t="s">
        <v>1642</v>
      </c>
      <c r="F91" s="88">
        <v>679160</v>
      </c>
      <c r="G91" s="80">
        <v>1.0081</v>
      </c>
      <c r="H91" s="104">
        <v>684.67458999999997</v>
      </c>
      <c r="I91" s="38">
        <v>0.30021725996313181</v>
      </c>
      <c r="J91" s="38">
        <v>2.1087296167163652E-3</v>
      </c>
      <c r="K91" s="32"/>
      <c r="L91" s="32"/>
    </row>
    <row r="92" spans="1:14" x14ac:dyDescent="0.2">
      <c r="A92" s="30" t="s">
        <v>1631</v>
      </c>
      <c r="B92" s="46" t="s">
        <v>1645</v>
      </c>
      <c r="C92" s="46" t="s">
        <v>201</v>
      </c>
      <c r="D92" s="85" t="s">
        <v>126</v>
      </c>
      <c r="E92" s="46" t="s">
        <v>1642</v>
      </c>
      <c r="F92" s="88">
        <v>-200000</v>
      </c>
      <c r="G92" s="80">
        <v>0.99939999999999996</v>
      </c>
      <c r="H92" s="104">
        <v>-687.80833999999993</v>
      </c>
      <c r="I92" s="38">
        <v>-0.30159135190717412</v>
      </c>
      <c r="J92" s="38">
        <v>-2.1183812549294685E-3</v>
      </c>
      <c r="K92" s="32"/>
      <c r="L92" s="32"/>
    </row>
    <row r="93" spans="1:14" x14ac:dyDescent="0.2">
      <c r="A93" s="30" t="s">
        <v>1646</v>
      </c>
      <c r="B93" s="46" t="s">
        <v>1647</v>
      </c>
      <c r="C93" s="46" t="s">
        <v>201</v>
      </c>
      <c r="D93" s="85" t="s">
        <v>126</v>
      </c>
      <c r="E93" s="46" t="s">
        <v>1486</v>
      </c>
      <c r="F93" s="88">
        <v>516000</v>
      </c>
      <c r="G93" s="80">
        <v>0.99990000000000001</v>
      </c>
      <c r="H93" s="104">
        <v>1775.5345400000001</v>
      </c>
      <c r="I93" s="38">
        <v>0.77853935629289195</v>
      </c>
      <c r="J93" s="38">
        <v>5.4684697295409607E-3</v>
      </c>
      <c r="K93" s="32"/>
      <c r="L93" s="32"/>
    </row>
    <row r="94" spans="1:14" x14ac:dyDescent="0.2">
      <c r="A94" s="30" t="s">
        <v>1648</v>
      </c>
      <c r="B94" s="46" t="s">
        <v>1649</v>
      </c>
      <c r="C94" s="46" t="s">
        <v>201</v>
      </c>
      <c r="D94" s="85" t="s">
        <v>246</v>
      </c>
      <c r="E94" s="46" t="s">
        <v>1486</v>
      </c>
      <c r="F94" s="88">
        <v>-1795767.72</v>
      </c>
      <c r="G94" s="80">
        <v>1</v>
      </c>
      <c r="H94" s="104">
        <v>-1795.8152500000001</v>
      </c>
      <c r="I94" s="38">
        <v>-0.78743207595159415</v>
      </c>
      <c r="J94" s="38">
        <v>-5.5309322985477001E-3</v>
      </c>
      <c r="K94" s="32"/>
      <c r="L94" s="32"/>
    </row>
    <row r="95" spans="1:14" x14ac:dyDescent="0.2">
      <c r="A95" s="30" t="s">
        <v>1615</v>
      </c>
      <c r="B95" s="46" t="s">
        <v>1650</v>
      </c>
      <c r="C95" s="46" t="s">
        <v>201</v>
      </c>
      <c r="D95" s="85" t="s">
        <v>246</v>
      </c>
      <c r="E95" s="46" t="s">
        <v>235</v>
      </c>
      <c r="F95" s="88">
        <v>175987.10963311966</v>
      </c>
      <c r="G95" s="80">
        <v>1.0063</v>
      </c>
      <c r="H95" s="104">
        <v>177.10673253787633</v>
      </c>
      <c r="I95" s="38">
        <v>7.7658056455029933E-2</v>
      </c>
      <c r="J95" s="38">
        <v>5.4547111529651448E-4</v>
      </c>
      <c r="K95" s="32"/>
      <c r="L95" s="32"/>
    </row>
    <row r="96" spans="1:14" x14ac:dyDescent="0.2">
      <c r="A96" s="30" t="s">
        <v>1617</v>
      </c>
      <c r="B96" s="46" t="s">
        <v>1651</v>
      </c>
      <c r="C96" s="46" t="s">
        <v>201</v>
      </c>
      <c r="D96" s="85" t="s">
        <v>126</v>
      </c>
      <c r="E96" s="46" t="s">
        <v>235</v>
      </c>
      <c r="F96" s="88">
        <v>-51353.110485299003</v>
      </c>
      <c r="G96" s="80">
        <v>0.99939999999999996</v>
      </c>
      <c r="H96" s="104">
        <v>-176.61458517634807</v>
      </c>
      <c r="I96" s="38">
        <v>-7.74422588563837E-2</v>
      </c>
      <c r="J96" s="38">
        <v>-5.4395535038833612E-4</v>
      </c>
      <c r="K96" s="32"/>
      <c r="L96" s="32"/>
    </row>
    <row r="97" spans="1:14" x14ac:dyDescent="0.2">
      <c r="A97" s="30" t="s">
        <v>1561</v>
      </c>
      <c r="B97" s="46" t="s">
        <v>1562</v>
      </c>
      <c r="C97" s="46" t="s">
        <v>201</v>
      </c>
      <c r="D97" s="85" t="s">
        <v>246</v>
      </c>
      <c r="E97" s="46" t="s">
        <v>1563</v>
      </c>
      <c r="F97" s="88">
        <v>6825600</v>
      </c>
      <c r="G97" s="80">
        <v>1.0015000000000001</v>
      </c>
      <c r="H97" s="104">
        <v>6836.4633300000005</v>
      </c>
      <c r="I97" s="38">
        <v>2.9976638811307836</v>
      </c>
      <c r="J97" s="38">
        <v>2.1055626874609715E-2</v>
      </c>
      <c r="K97" s="28"/>
      <c r="L97" s="28"/>
      <c r="M97" s="28"/>
      <c r="N97" s="28"/>
    </row>
    <row r="98" spans="1:14" x14ac:dyDescent="0.2">
      <c r="A98" s="30" t="s">
        <v>1564</v>
      </c>
      <c r="B98" s="46" t="s">
        <v>1565</v>
      </c>
      <c r="C98" s="46" t="s">
        <v>201</v>
      </c>
      <c r="D98" s="85" t="s">
        <v>126</v>
      </c>
      <c r="E98" s="46" t="s">
        <v>1563</v>
      </c>
      <c r="F98" s="88">
        <v>-2000000</v>
      </c>
      <c r="G98" s="80">
        <v>0.99970000000000003</v>
      </c>
      <c r="H98" s="104">
        <v>-6880.4675199999992</v>
      </c>
      <c r="I98" s="38">
        <v>-3.0169589119989464</v>
      </c>
      <c r="J98" s="38">
        <v>-2.1191155401690896E-2</v>
      </c>
      <c r="K98" s="28"/>
      <c r="L98" s="28"/>
      <c r="M98" s="28"/>
      <c r="N98" s="28"/>
    </row>
    <row r="99" spans="1:14" x14ac:dyDescent="0.2">
      <c r="A99" s="30" t="s">
        <v>1583</v>
      </c>
      <c r="B99" s="46" t="s">
        <v>1584</v>
      </c>
      <c r="C99" s="46" t="s">
        <v>201</v>
      </c>
      <c r="D99" s="85" t="s">
        <v>246</v>
      </c>
      <c r="E99" s="46" t="s">
        <v>1585</v>
      </c>
      <c r="F99" s="88">
        <v>29164350</v>
      </c>
      <c r="G99" s="80">
        <v>1.0034000000000001</v>
      </c>
      <c r="H99" s="104">
        <v>29264.324510000002</v>
      </c>
      <c r="I99" s="38">
        <v>12.831869982299359</v>
      </c>
      <c r="J99" s="38">
        <v>9.0131207888751425E-2</v>
      </c>
      <c r="K99" s="28"/>
      <c r="L99" s="28"/>
      <c r="M99" s="28"/>
      <c r="N99" s="28"/>
    </row>
    <row r="100" spans="1:14" x14ac:dyDescent="0.2">
      <c r="A100" s="30" t="s">
        <v>1586</v>
      </c>
      <c r="B100" s="46" t="s">
        <v>1587</v>
      </c>
      <c r="C100" s="46" t="s">
        <v>201</v>
      </c>
      <c r="D100" s="85" t="s">
        <v>126</v>
      </c>
      <c r="E100" s="46" t="s">
        <v>1585</v>
      </c>
      <c r="F100" s="88">
        <v>-8500000</v>
      </c>
      <c r="G100" s="80">
        <v>0.99960000000000004</v>
      </c>
      <c r="H100" s="104">
        <v>-29237.86664</v>
      </c>
      <c r="I100" s="38">
        <v>-12.820268691186948</v>
      </c>
      <c r="J100" s="38">
        <v>-9.0049720281530243E-2</v>
      </c>
      <c r="K100" s="28"/>
      <c r="L100" s="28"/>
      <c r="M100" s="28"/>
      <c r="N100" s="28"/>
    </row>
    <row r="101" spans="1:14" x14ac:dyDescent="0.2">
      <c r="A101" s="30" t="s">
        <v>1522</v>
      </c>
      <c r="B101" s="46" t="s">
        <v>1605</v>
      </c>
      <c r="C101" s="46" t="s">
        <v>201</v>
      </c>
      <c r="D101" s="85" t="s">
        <v>126</v>
      </c>
      <c r="E101" s="46" t="s">
        <v>1606</v>
      </c>
      <c r="F101" s="88">
        <v>318000</v>
      </c>
      <c r="G101" s="80">
        <v>0.99990000000000001</v>
      </c>
      <c r="H101" s="104">
        <v>1094.1553899999999</v>
      </c>
      <c r="I101" s="38">
        <v>0.47976708637557569</v>
      </c>
      <c r="J101" s="38">
        <v>3.3698897401506387E-3</v>
      </c>
      <c r="K101" s="28"/>
      <c r="L101" s="28"/>
      <c r="M101" s="28"/>
      <c r="N101" s="28"/>
    </row>
    <row r="102" spans="1:14" x14ac:dyDescent="0.2">
      <c r="A102" s="30" t="s">
        <v>1519</v>
      </c>
      <c r="B102" s="46" t="s">
        <v>1607</v>
      </c>
      <c r="C102" s="46" t="s">
        <v>201</v>
      </c>
      <c r="D102" s="85" t="s">
        <v>246</v>
      </c>
      <c r="E102" s="46" t="s">
        <v>1606</v>
      </c>
      <c r="F102" s="88">
        <v>-1083426</v>
      </c>
      <c r="G102" s="80">
        <v>1.0003</v>
      </c>
      <c r="H102" s="104">
        <v>-1083.7623600000002</v>
      </c>
      <c r="I102" s="38">
        <v>-0.47520993318939625</v>
      </c>
      <c r="J102" s="38">
        <v>-3.337880241786721E-3</v>
      </c>
      <c r="K102" s="28"/>
      <c r="L102" s="28"/>
      <c r="M102" s="28"/>
      <c r="N102" s="28"/>
    </row>
    <row r="103" spans="1:14" x14ac:dyDescent="0.2">
      <c r="A103" s="30" t="s">
        <v>1608</v>
      </c>
      <c r="B103" s="46" t="s">
        <v>1609</v>
      </c>
      <c r="C103" s="46" t="s">
        <v>201</v>
      </c>
      <c r="D103" s="85" t="s">
        <v>246</v>
      </c>
      <c r="E103" s="46" t="s">
        <v>1606</v>
      </c>
      <c r="F103" s="88">
        <v>1076875.2</v>
      </c>
      <c r="G103" s="80">
        <v>1.0066999999999999</v>
      </c>
      <c r="H103" s="104">
        <v>1084.11373</v>
      </c>
      <c r="I103" s="38">
        <v>0.47536400249498156</v>
      </c>
      <c r="J103" s="38">
        <v>3.3389624264277859E-3</v>
      </c>
      <c r="K103" s="28"/>
      <c r="L103" s="28"/>
      <c r="M103" s="28"/>
      <c r="N103" s="28"/>
    </row>
    <row r="104" spans="1:14" x14ac:dyDescent="0.2">
      <c r="A104" s="30" t="s">
        <v>1610</v>
      </c>
      <c r="B104" s="46" t="s">
        <v>1611</v>
      </c>
      <c r="C104" s="46" t="s">
        <v>201</v>
      </c>
      <c r="D104" s="85" t="s">
        <v>126</v>
      </c>
      <c r="E104" s="46" t="s">
        <v>1606</v>
      </c>
      <c r="F104" s="88">
        <v>-318000</v>
      </c>
      <c r="G104" s="80">
        <v>0.99939999999999996</v>
      </c>
      <c r="H104" s="104">
        <v>-1093.6496299999999</v>
      </c>
      <c r="I104" s="38">
        <v>-0.47954531988443283</v>
      </c>
      <c r="J104" s="38">
        <v>-3.3683320496703329E-3</v>
      </c>
      <c r="K104" s="28"/>
      <c r="L104" s="28"/>
      <c r="M104" s="28"/>
      <c r="N104" s="28"/>
    </row>
    <row r="105" spans="1:14" x14ac:dyDescent="0.2">
      <c r="A105" s="30" t="s">
        <v>1628</v>
      </c>
      <c r="B105" s="46" t="s">
        <v>1641</v>
      </c>
      <c r="C105" s="46" t="s">
        <v>201</v>
      </c>
      <c r="D105" s="85" t="s">
        <v>246</v>
      </c>
      <c r="E105" s="46" t="s">
        <v>1642</v>
      </c>
      <c r="F105" s="88">
        <v>1045446.623259717</v>
      </c>
      <c r="G105" s="80">
        <v>1.0081</v>
      </c>
      <c r="H105" s="104">
        <v>1053.9349295105051</v>
      </c>
      <c r="I105" s="38">
        <v>0.46213115155490192</v>
      </c>
      <c r="J105" s="38">
        <v>3.2460147235063548E-3</v>
      </c>
      <c r="K105" s="32"/>
      <c r="L105" s="32"/>
    </row>
    <row r="106" spans="1:14" x14ac:dyDescent="0.2">
      <c r="A106" s="30" t="s">
        <v>1631</v>
      </c>
      <c r="B106" s="46" t="s">
        <v>1643</v>
      </c>
      <c r="C106" s="46" t="s">
        <v>201</v>
      </c>
      <c r="D106" s="85" t="s">
        <v>126</v>
      </c>
      <c r="E106" s="46" t="s">
        <v>1642</v>
      </c>
      <c r="F106" s="88">
        <v>-308118.66291179397</v>
      </c>
      <c r="G106" s="80">
        <v>0.99939999999999996</v>
      </c>
      <c r="H106" s="104">
        <v>-1059.6319546441568</v>
      </c>
      <c r="I106" s="38">
        <v>-0.46462919266895292</v>
      </c>
      <c r="J106" s="38">
        <v>-3.2635609941025941E-3</v>
      </c>
      <c r="K106" s="32"/>
      <c r="L106" s="32"/>
    </row>
    <row r="107" spans="1:14" s="139" customFormat="1" x14ac:dyDescent="0.2">
      <c r="A107" s="112" t="s">
        <v>1652</v>
      </c>
      <c r="B107" s="142" t="s">
        <v>239</v>
      </c>
      <c r="C107" s="142" t="s">
        <v>239</v>
      </c>
      <c r="D107" s="146" t="s">
        <v>239</v>
      </c>
      <c r="E107" s="142" t="s">
        <v>239</v>
      </c>
      <c r="F107" s="157" t="s">
        <v>239</v>
      </c>
      <c r="G107" s="147" t="s">
        <v>239</v>
      </c>
      <c r="H107" s="148">
        <v>2113.3750830491258</v>
      </c>
      <c r="I107" s="145">
        <v>0.92667624295413786</v>
      </c>
      <c r="J107" s="145">
        <v>6.5089849892868085E-3</v>
      </c>
      <c r="K107" s="178"/>
      <c r="L107" s="178"/>
      <c r="M107" s="154"/>
      <c r="N107" s="154"/>
    </row>
    <row r="108" spans="1:14" s="139" customFormat="1" x14ac:dyDescent="0.2">
      <c r="A108" s="112" t="s">
        <v>1265</v>
      </c>
      <c r="B108" s="142" t="s">
        <v>239</v>
      </c>
      <c r="C108" s="142" t="s">
        <v>239</v>
      </c>
      <c r="D108" s="146" t="s">
        <v>239</v>
      </c>
      <c r="E108" s="142" t="s">
        <v>239</v>
      </c>
      <c r="F108" s="157" t="s">
        <v>239</v>
      </c>
      <c r="G108" s="147" t="s">
        <v>239</v>
      </c>
      <c r="H108" s="148">
        <v>2381.2847743624466</v>
      </c>
      <c r="I108" s="145">
        <v>1.0441497327234217</v>
      </c>
      <c r="J108" s="145">
        <v>7.3341201833324043E-3</v>
      </c>
      <c r="K108" s="178"/>
      <c r="L108" s="178"/>
      <c r="M108" s="154"/>
      <c r="N108" s="154"/>
    </row>
    <row r="109" spans="1:14" x14ac:dyDescent="0.2">
      <c r="A109" s="30" t="s">
        <v>1739</v>
      </c>
      <c r="B109" s="46" t="s">
        <v>1740</v>
      </c>
      <c r="C109" s="46" t="s">
        <v>179</v>
      </c>
      <c r="D109" s="85" t="s">
        <v>126</v>
      </c>
      <c r="E109" s="46" t="s">
        <v>1741</v>
      </c>
      <c r="F109" s="88">
        <v>1.2892209142196369</v>
      </c>
      <c r="G109" s="80">
        <v>6918.835</v>
      </c>
      <c r="H109" s="104">
        <v>30.693399217158536</v>
      </c>
      <c r="I109" s="38">
        <v>1.345849305131927E-2</v>
      </c>
      <c r="J109" s="38">
        <v>9.4532615803547066E-5</v>
      </c>
      <c r="K109" s="32"/>
      <c r="L109" s="32"/>
    </row>
    <row r="110" spans="1:14" x14ac:dyDescent="0.2">
      <c r="A110" s="30" t="s">
        <v>1739</v>
      </c>
      <c r="B110" s="46" t="s">
        <v>1742</v>
      </c>
      <c r="C110" s="46" t="s">
        <v>179</v>
      </c>
      <c r="D110" s="85" t="s">
        <v>126</v>
      </c>
      <c r="E110" s="46" t="s">
        <v>1741</v>
      </c>
      <c r="F110" s="88">
        <v>-1.2892209142196369</v>
      </c>
      <c r="G110" s="80">
        <v>6848.42</v>
      </c>
      <c r="H110" s="104">
        <v>-30.381023568084945</v>
      </c>
      <c r="I110" s="38">
        <v>-1.3321522053981575E-2</v>
      </c>
      <c r="J110" s="38">
        <v>-9.3570529883661417E-5</v>
      </c>
      <c r="K110" s="32"/>
      <c r="L110" s="32"/>
    </row>
    <row r="111" spans="1:14" x14ac:dyDescent="0.2">
      <c r="A111" s="30" t="s">
        <v>1653</v>
      </c>
      <c r="B111" s="46" t="s">
        <v>1654</v>
      </c>
      <c r="C111" s="46" t="s">
        <v>179</v>
      </c>
      <c r="D111" s="85" t="s">
        <v>2</v>
      </c>
      <c r="E111" s="46" t="s">
        <v>1655</v>
      </c>
      <c r="F111" s="88">
        <v>238.23881622697306</v>
      </c>
      <c r="G111" s="80">
        <v>208.4</v>
      </c>
      <c r="H111" s="104">
        <v>218.9916737303775</v>
      </c>
      <c r="I111" s="38">
        <v>9.6023835559713236E-2</v>
      </c>
      <c r="J111" s="38">
        <v>6.7447256690150324E-4</v>
      </c>
      <c r="K111" s="32"/>
      <c r="L111" s="32"/>
    </row>
    <row r="112" spans="1:14" x14ac:dyDescent="0.2">
      <c r="A112" s="30" t="s">
        <v>1656</v>
      </c>
      <c r="B112" s="46" t="s">
        <v>1657</v>
      </c>
      <c r="C112" s="46" t="s">
        <v>179</v>
      </c>
      <c r="D112" s="85" t="s">
        <v>2</v>
      </c>
      <c r="E112" s="46" t="s">
        <v>1655</v>
      </c>
      <c r="F112" s="88">
        <v>-238.23881622697306</v>
      </c>
      <c r="G112" s="80">
        <v>314.5</v>
      </c>
      <c r="H112" s="104">
        <v>-330.48407577888685</v>
      </c>
      <c r="I112" s="38">
        <v>-0.14491121058222042</v>
      </c>
      <c r="J112" s="38">
        <v>-1.0178580724721715E-3</v>
      </c>
      <c r="K112" s="32"/>
      <c r="L112" s="32"/>
    </row>
    <row r="113" spans="1:12" x14ac:dyDescent="0.2">
      <c r="A113" s="30" t="s">
        <v>1658</v>
      </c>
      <c r="B113" s="46" t="s">
        <v>1659</v>
      </c>
      <c r="C113" s="46" t="s">
        <v>179</v>
      </c>
      <c r="D113" s="85" t="s">
        <v>126</v>
      </c>
      <c r="E113" s="46" t="s">
        <v>1660</v>
      </c>
      <c r="F113" s="88">
        <v>5520.3887023635907</v>
      </c>
      <c r="G113" s="80">
        <v>114.6</v>
      </c>
      <c r="H113" s="104">
        <v>2176.9023522869388</v>
      </c>
      <c r="I113" s="38">
        <v>0.95453178627657431</v>
      </c>
      <c r="J113" s="38">
        <v>6.704642658006325E-3</v>
      </c>
      <c r="K113" s="32"/>
      <c r="L113" s="32"/>
    </row>
    <row r="114" spans="1:12" x14ac:dyDescent="0.2">
      <c r="A114" s="30" t="s">
        <v>1661</v>
      </c>
      <c r="B114" s="46" t="s">
        <v>1662</v>
      </c>
      <c r="C114" s="46" t="s">
        <v>179</v>
      </c>
      <c r="D114" s="85" t="s">
        <v>126</v>
      </c>
      <c r="E114" s="46" t="s">
        <v>1660</v>
      </c>
      <c r="F114" s="88">
        <v>-5520.3887023635907</v>
      </c>
      <c r="G114" s="80">
        <v>101.71</v>
      </c>
      <c r="H114" s="104">
        <v>-1932.0483267758173</v>
      </c>
      <c r="I114" s="38">
        <v>-0.84716778342977406</v>
      </c>
      <c r="J114" s="38">
        <v>-5.9505166207489378E-3</v>
      </c>
      <c r="K114" s="32"/>
      <c r="L114" s="32"/>
    </row>
    <row r="115" spans="1:12" x14ac:dyDescent="0.2">
      <c r="A115" s="30" t="s">
        <v>1663</v>
      </c>
      <c r="B115" s="46" t="s">
        <v>1664</v>
      </c>
      <c r="C115" s="46" t="s">
        <v>179</v>
      </c>
      <c r="D115" s="85" t="s">
        <v>126</v>
      </c>
      <c r="E115" s="46" t="s">
        <v>1665</v>
      </c>
      <c r="F115" s="88">
        <v>213.03454735397915</v>
      </c>
      <c r="G115" s="80">
        <v>6918.835</v>
      </c>
      <c r="H115" s="104">
        <v>5071.8649864779572</v>
      </c>
      <c r="I115" s="38">
        <v>2.2239198465702645</v>
      </c>
      <c r="J115" s="38">
        <v>1.5620839542143395E-2</v>
      </c>
      <c r="K115" s="32"/>
      <c r="L115" s="32"/>
    </row>
    <row r="116" spans="1:12" x14ac:dyDescent="0.2">
      <c r="A116" s="30" t="s">
        <v>1666</v>
      </c>
      <c r="B116" s="46" t="s">
        <v>1667</v>
      </c>
      <c r="C116" s="46" t="s">
        <v>179</v>
      </c>
      <c r="D116" s="85" t="s">
        <v>126</v>
      </c>
      <c r="E116" s="46" t="s">
        <v>1665</v>
      </c>
      <c r="F116" s="88">
        <v>-213.03454735397915</v>
      </c>
      <c r="G116" s="80">
        <v>6961.57</v>
      </c>
      <c r="H116" s="104">
        <v>-5103.1919583952813</v>
      </c>
      <c r="I116" s="38">
        <v>-2.2376561496393781</v>
      </c>
      <c r="J116" s="38">
        <v>-1.5717323498827259E-2</v>
      </c>
      <c r="K116" s="32"/>
      <c r="L116" s="32"/>
    </row>
    <row r="117" spans="1:12" x14ac:dyDescent="0.2">
      <c r="A117" s="30" t="s">
        <v>1668</v>
      </c>
      <c r="B117" s="46" t="s">
        <v>1669</v>
      </c>
      <c r="C117" s="46" t="s">
        <v>179</v>
      </c>
      <c r="D117" s="85" t="s">
        <v>126</v>
      </c>
      <c r="E117" s="46" t="s">
        <v>1670</v>
      </c>
      <c r="F117" s="88">
        <v>4254.4290169248025</v>
      </c>
      <c r="G117" s="80">
        <v>158.18</v>
      </c>
      <c r="H117" s="104">
        <v>2315.6745673081455</v>
      </c>
      <c r="I117" s="38">
        <v>1.0153808593416069</v>
      </c>
      <c r="J117" s="38">
        <v>7.1320472733763067E-3</v>
      </c>
      <c r="K117" s="32"/>
      <c r="L117" s="32"/>
    </row>
    <row r="118" spans="1:12" x14ac:dyDescent="0.2">
      <c r="A118" s="30" t="s">
        <v>1671</v>
      </c>
      <c r="B118" s="46" t="s">
        <v>1672</v>
      </c>
      <c r="C118" s="46" t="s">
        <v>179</v>
      </c>
      <c r="D118" s="85" t="s">
        <v>126</v>
      </c>
      <c r="E118" s="46" t="s">
        <v>1670</v>
      </c>
      <c r="F118" s="88">
        <v>-4254.4290169248025</v>
      </c>
      <c r="G118" s="80">
        <v>100.55</v>
      </c>
      <c r="H118" s="104">
        <v>-1472.0007443598056</v>
      </c>
      <c r="I118" s="38">
        <v>-0.64544534964469946</v>
      </c>
      <c r="J118" s="38">
        <v>-4.5336158385256529E-3</v>
      </c>
      <c r="K118" s="32"/>
      <c r="L118" s="32"/>
    </row>
    <row r="119" spans="1:12" x14ac:dyDescent="0.2">
      <c r="A119" s="30" t="s">
        <v>1673</v>
      </c>
      <c r="B119" s="46" t="s">
        <v>1674</v>
      </c>
      <c r="C119" s="46" t="s">
        <v>179</v>
      </c>
      <c r="D119" s="85" t="s">
        <v>126</v>
      </c>
      <c r="E119" s="46" t="s">
        <v>1521</v>
      </c>
      <c r="F119" s="88">
        <v>2127.2145084624012</v>
      </c>
      <c r="G119" s="80">
        <v>120.06</v>
      </c>
      <c r="H119" s="104">
        <v>878.80859954171171</v>
      </c>
      <c r="I119" s="38">
        <v>0.38534146533238495</v>
      </c>
      <c r="J119" s="38">
        <v>2.7066430510859761E-3</v>
      </c>
      <c r="K119" s="32"/>
      <c r="L119" s="32"/>
    </row>
    <row r="120" spans="1:12" x14ac:dyDescent="0.2">
      <c r="A120" s="30" t="s">
        <v>1675</v>
      </c>
      <c r="B120" s="46" t="s">
        <v>1676</v>
      </c>
      <c r="C120" s="46" t="s">
        <v>179</v>
      </c>
      <c r="D120" s="85" t="s">
        <v>126</v>
      </c>
      <c r="E120" s="46" t="s">
        <v>1521</v>
      </c>
      <c r="F120" s="88">
        <v>-2127.2145084624012</v>
      </c>
      <c r="G120" s="80">
        <v>100.5</v>
      </c>
      <c r="H120" s="104">
        <v>-735.63438492372177</v>
      </c>
      <c r="I120" s="38">
        <v>-0.3225621961178135</v>
      </c>
      <c r="J120" s="38">
        <v>-2.2656807149270416E-3</v>
      </c>
      <c r="K120" s="32"/>
      <c r="L120" s="32"/>
    </row>
    <row r="121" spans="1:12" x14ac:dyDescent="0.2">
      <c r="A121" s="30" t="s">
        <v>1668</v>
      </c>
      <c r="B121" s="46" t="s">
        <v>1677</v>
      </c>
      <c r="C121" s="46" t="s">
        <v>179</v>
      </c>
      <c r="D121" s="85" t="s">
        <v>126</v>
      </c>
      <c r="E121" s="46" t="s">
        <v>1678</v>
      </c>
      <c r="F121" s="88">
        <v>2085.7752647910556</v>
      </c>
      <c r="G121" s="80">
        <v>158.18</v>
      </c>
      <c r="H121" s="104">
        <v>1135.2820118945779</v>
      </c>
      <c r="I121" s="38">
        <v>0.49780035636552805</v>
      </c>
      <c r="J121" s="38">
        <v>3.4965556437656573E-3</v>
      </c>
      <c r="K121" s="32"/>
      <c r="L121" s="32"/>
    </row>
    <row r="122" spans="1:12" x14ac:dyDescent="0.2">
      <c r="A122" s="30" t="s">
        <v>1671</v>
      </c>
      <c r="B122" s="46" t="s">
        <v>1679</v>
      </c>
      <c r="C122" s="46" t="s">
        <v>179</v>
      </c>
      <c r="D122" s="85" t="s">
        <v>126</v>
      </c>
      <c r="E122" s="46" t="s">
        <v>1678</v>
      </c>
      <c r="F122" s="88">
        <v>-2085.7752647910556</v>
      </c>
      <c r="G122" s="80">
        <v>109.13</v>
      </c>
      <c r="H122" s="104">
        <v>-783.2426725930718</v>
      </c>
      <c r="I122" s="38">
        <v>-0.34343755776315926</v>
      </c>
      <c r="J122" s="38">
        <v>-2.4123095042465209E-3</v>
      </c>
      <c r="K122" s="32"/>
      <c r="L122" s="32"/>
    </row>
    <row r="123" spans="1:12" x14ac:dyDescent="0.2">
      <c r="A123" s="30" t="s">
        <v>1668</v>
      </c>
      <c r="B123" s="46" t="s">
        <v>1680</v>
      </c>
      <c r="C123" s="46" t="s">
        <v>179</v>
      </c>
      <c r="D123" s="85" t="s">
        <v>126</v>
      </c>
      <c r="E123" s="46" t="s">
        <v>1477</v>
      </c>
      <c r="F123" s="88">
        <v>893.24591913789141</v>
      </c>
      <c r="G123" s="80">
        <v>158.18</v>
      </c>
      <c r="H123" s="104">
        <v>486.19141348244608</v>
      </c>
      <c r="I123" s="38">
        <v>0.21318602458038063</v>
      </c>
      <c r="J123" s="38">
        <v>1.4974211807738133E-3</v>
      </c>
      <c r="K123" s="32"/>
      <c r="L123" s="32"/>
    </row>
    <row r="124" spans="1:12" x14ac:dyDescent="0.2">
      <c r="A124" s="30" t="s">
        <v>1671</v>
      </c>
      <c r="B124" s="46" t="s">
        <v>1681</v>
      </c>
      <c r="C124" s="46" t="s">
        <v>179</v>
      </c>
      <c r="D124" s="85" t="s">
        <v>126</v>
      </c>
      <c r="E124" s="46" t="s">
        <v>1477</v>
      </c>
      <c r="F124" s="88">
        <v>-893.24591913789141</v>
      </c>
      <c r="G124" s="80">
        <v>113.98</v>
      </c>
      <c r="H124" s="104">
        <v>-350.33567649974214</v>
      </c>
      <c r="I124" s="38">
        <v>-0.15361577368612839</v>
      </c>
      <c r="J124" s="38">
        <v>-1.0789990275926113E-3</v>
      </c>
      <c r="K124" s="32"/>
      <c r="L124" s="32"/>
    </row>
    <row r="125" spans="1:12" x14ac:dyDescent="0.2">
      <c r="A125" s="30" t="s">
        <v>1682</v>
      </c>
      <c r="B125" s="46" t="s">
        <v>1683</v>
      </c>
      <c r="C125" s="46" t="s">
        <v>179</v>
      </c>
      <c r="D125" s="85" t="s">
        <v>126</v>
      </c>
      <c r="E125" s="46" t="s">
        <v>1477</v>
      </c>
      <c r="F125" s="88">
        <v>451.22731997687293</v>
      </c>
      <c r="G125" s="80">
        <v>114.6</v>
      </c>
      <c r="H125" s="104">
        <v>177.93634964143212</v>
      </c>
      <c r="I125" s="38">
        <v>7.8021828350884975E-2</v>
      </c>
      <c r="J125" s="38">
        <v>5.4802625343418441E-4</v>
      </c>
      <c r="K125" s="32"/>
      <c r="L125" s="32"/>
    </row>
    <row r="126" spans="1:12" x14ac:dyDescent="0.2">
      <c r="A126" s="30" t="s">
        <v>1684</v>
      </c>
      <c r="B126" s="46" t="s">
        <v>1685</v>
      </c>
      <c r="C126" s="46" t="s">
        <v>179</v>
      </c>
      <c r="D126" s="85" t="s">
        <v>126</v>
      </c>
      <c r="E126" s="46" t="s">
        <v>1477</v>
      </c>
      <c r="F126" s="88">
        <v>-451.22731997687293</v>
      </c>
      <c r="G126" s="80">
        <v>93.76</v>
      </c>
      <c r="H126" s="104">
        <v>-145.57863998586976</v>
      </c>
      <c r="I126" s="38">
        <v>-6.3833565673464002E-2</v>
      </c>
      <c r="J126" s="38">
        <v>-4.4836772706796798E-4</v>
      </c>
      <c r="K126" s="32"/>
      <c r="L126" s="32"/>
    </row>
    <row r="127" spans="1:12" x14ac:dyDescent="0.2">
      <c r="A127" s="30" t="s">
        <v>1673</v>
      </c>
      <c r="B127" s="46" t="s">
        <v>1686</v>
      </c>
      <c r="C127" s="46" t="s">
        <v>179</v>
      </c>
      <c r="D127" s="85" t="s">
        <v>126</v>
      </c>
      <c r="E127" s="46" t="s">
        <v>1477</v>
      </c>
      <c r="F127" s="88">
        <v>2320.5976455953464</v>
      </c>
      <c r="G127" s="80">
        <v>120.06</v>
      </c>
      <c r="H127" s="104">
        <v>958.70029040914017</v>
      </c>
      <c r="I127" s="38">
        <v>0.42037250763532907</v>
      </c>
      <c r="J127" s="38">
        <v>2.9527015102756107E-3</v>
      </c>
      <c r="K127" s="32"/>
      <c r="L127" s="32"/>
    </row>
    <row r="128" spans="1:12" x14ac:dyDescent="0.2">
      <c r="A128" s="30" t="s">
        <v>1675</v>
      </c>
      <c r="B128" s="46" t="s">
        <v>1687</v>
      </c>
      <c r="C128" s="46" t="s">
        <v>179</v>
      </c>
      <c r="D128" s="85" t="s">
        <v>126</v>
      </c>
      <c r="E128" s="46" t="s">
        <v>1477</v>
      </c>
      <c r="F128" s="88">
        <v>-2320.5976455953464</v>
      </c>
      <c r="G128" s="80">
        <v>102.65</v>
      </c>
      <c r="H128" s="104">
        <v>-819.67836757036685</v>
      </c>
      <c r="I128" s="38">
        <v>-0.35941394226858681</v>
      </c>
      <c r="J128" s="38">
        <v>-2.5245278196717592E-3</v>
      </c>
      <c r="K128" s="32"/>
      <c r="L128" s="32"/>
    </row>
    <row r="129" spans="1:12" x14ac:dyDescent="0.2">
      <c r="A129" s="30" t="s">
        <v>1668</v>
      </c>
      <c r="B129" s="46" t="s">
        <v>1688</v>
      </c>
      <c r="C129" s="46" t="s">
        <v>179</v>
      </c>
      <c r="D129" s="85" t="s">
        <v>126</v>
      </c>
      <c r="E129" s="46" t="s">
        <v>1689</v>
      </c>
      <c r="F129" s="88">
        <v>1335.2645182989097</v>
      </c>
      <c r="G129" s="80">
        <v>158.18</v>
      </c>
      <c r="H129" s="104">
        <v>726.78097891705863</v>
      </c>
      <c r="I129" s="38">
        <v>0.3186801398366515</v>
      </c>
      <c r="J129" s="38">
        <v>2.2384131052804426E-3</v>
      </c>
      <c r="K129" s="32"/>
      <c r="L129" s="32"/>
    </row>
    <row r="130" spans="1:12" x14ac:dyDescent="0.2">
      <c r="A130" s="30" t="s">
        <v>1671</v>
      </c>
      <c r="B130" s="46" t="s">
        <v>1690</v>
      </c>
      <c r="C130" s="46" t="s">
        <v>179</v>
      </c>
      <c r="D130" s="85" t="s">
        <v>126</v>
      </c>
      <c r="E130" s="46" t="s">
        <v>1689</v>
      </c>
      <c r="F130" s="88">
        <v>-1335.2645182989097</v>
      </c>
      <c r="G130" s="80">
        <v>114.28</v>
      </c>
      <c r="H130" s="104">
        <v>-525.0760543092772</v>
      </c>
      <c r="I130" s="38">
        <v>-0.23023622695999832</v>
      </c>
      <c r="J130" s="38">
        <v>-1.6171820057621002E-3</v>
      </c>
      <c r="K130" s="32"/>
      <c r="L130" s="32"/>
    </row>
    <row r="131" spans="1:12" x14ac:dyDescent="0.2">
      <c r="A131" s="30" t="s">
        <v>1668</v>
      </c>
      <c r="B131" s="46" t="s">
        <v>1691</v>
      </c>
      <c r="C131" s="46" t="s">
        <v>179</v>
      </c>
      <c r="D131" s="85" t="s">
        <v>126</v>
      </c>
      <c r="E131" s="46" t="s">
        <v>1692</v>
      </c>
      <c r="F131" s="88">
        <v>1216.4720197743861</v>
      </c>
      <c r="G131" s="80">
        <v>158.18</v>
      </c>
      <c r="H131" s="104">
        <v>662.12253313283679</v>
      </c>
      <c r="I131" s="38">
        <v>0.29032859632922586</v>
      </c>
      <c r="J131" s="38">
        <v>2.0392715253423907E-3</v>
      </c>
      <c r="K131" s="32"/>
      <c r="L131" s="32"/>
    </row>
    <row r="132" spans="1:12" x14ac:dyDescent="0.2">
      <c r="A132" s="30" t="s">
        <v>1671</v>
      </c>
      <c r="B132" s="46" t="s">
        <v>1693</v>
      </c>
      <c r="C132" s="46" t="s">
        <v>179</v>
      </c>
      <c r="D132" s="85" t="s">
        <v>126</v>
      </c>
      <c r="E132" s="46" t="s">
        <v>1692</v>
      </c>
      <c r="F132" s="88">
        <v>-1216.4720197743861</v>
      </c>
      <c r="G132" s="80">
        <v>124.82</v>
      </c>
      <c r="H132" s="104">
        <v>-522.48156904743246</v>
      </c>
      <c r="I132" s="38">
        <v>-0.22909859272075225</v>
      </c>
      <c r="J132" s="38">
        <v>-1.6091912492893266E-3</v>
      </c>
      <c r="K132" s="32"/>
      <c r="L132" s="32"/>
    </row>
    <row r="133" spans="1:12" x14ac:dyDescent="0.2">
      <c r="A133" s="30" t="s">
        <v>1673</v>
      </c>
      <c r="B133" s="46" t="s">
        <v>1694</v>
      </c>
      <c r="C133" s="46" t="s">
        <v>179</v>
      </c>
      <c r="D133" s="85" t="s">
        <v>126</v>
      </c>
      <c r="E133" s="46" t="s">
        <v>1692</v>
      </c>
      <c r="F133" s="88">
        <v>1454.977888905019</v>
      </c>
      <c r="G133" s="80">
        <v>120.06</v>
      </c>
      <c r="H133" s="104">
        <v>601.08986462160374</v>
      </c>
      <c r="I133" s="38">
        <v>0.26356688970786507</v>
      </c>
      <c r="J133" s="38">
        <v>1.8512969786648669E-3</v>
      </c>
      <c r="K133" s="32"/>
      <c r="L133" s="32"/>
    </row>
    <row r="134" spans="1:12" x14ac:dyDescent="0.2">
      <c r="A134" s="30" t="s">
        <v>1675</v>
      </c>
      <c r="B134" s="46" t="s">
        <v>1695</v>
      </c>
      <c r="C134" s="46" t="s">
        <v>179</v>
      </c>
      <c r="D134" s="85" t="s">
        <v>126</v>
      </c>
      <c r="E134" s="46" t="s">
        <v>1692</v>
      </c>
      <c r="F134" s="88">
        <v>-1454.977888905019</v>
      </c>
      <c r="G134" s="80">
        <v>103.88</v>
      </c>
      <c r="H134" s="104">
        <v>-520.083417765219</v>
      </c>
      <c r="I134" s="38">
        <v>-0.22804704733344178</v>
      </c>
      <c r="J134" s="38">
        <v>-1.6018051819399162E-3</v>
      </c>
      <c r="K134" s="32"/>
      <c r="L134" s="32"/>
    </row>
    <row r="135" spans="1:12" x14ac:dyDescent="0.2">
      <c r="A135" s="30" t="s">
        <v>1673</v>
      </c>
      <c r="B135" s="46" t="s">
        <v>1696</v>
      </c>
      <c r="C135" s="46" t="s">
        <v>179</v>
      </c>
      <c r="D135" s="85" t="s">
        <v>126</v>
      </c>
      <c r="E135" s="46" t="s">
        <v>1697</v>
      </c>
      <c r="F135" s="88">
        <v>1783.7292220310264</v>
      </c>
      <c r="G135" s="80">
        <v>120.06</v>
      </c>
      <c r="H135" s="104">
        <v>736.90573907781447</v>
      </c>
      <c r="I135" s="38">
        <v>0.32311966161479433</v>
      </c>
      <c r="J135" s="38">
        <v>2.2695963592305212E-3</v>
      </c>
      <c r="K135" s="32"/>
      <c r="L135" s="32"/>
    </row>
    <row r="136" spans="1:12" x14ac:dyDescent="0.2">
      <c r="A136" s="30" t="s">
        <v>1675</v>
      </c>
      <c r="B136" s="46" t="s">
        <v>1698</v>
      </c>
      <c r="C136" s="46" t="s">
        <v>179</v>
      </c>
      <c r="D136" s="85" t="s">
        <v>126</v>
      </c>
      <c r="E136" s="46" t="s">
        <v>1697</v>
      </c>
      <c r="F136" s="88">
        <v>-1783.7292220310264</v>
      </c>
      <c r="G136" s="80">
        <v>112.64</v>
      </c>
      <c r="H136" s="104">
        <v>-691.36317210523714</v>
      </c>
      <c r="I136" s="38">
        <v>-0.30315008063736298</v>
      </c>
      <c r="J136" s="38">
        <v>-2.1293297841318858E-3</v>
      </c>
      <c r="K136" s="32"/>
      <c r="L136" s="32"/>
    </row>
    <row r="137" spans="1:12" x14ac:dyDescent="0.2">
      <c r="A137" s="30" t="s">
        <v>1673</v>
      </c>
      <c r="B137" s="46" t="s">
        <v>1699</v>
      </c>
      <c r="C137" s="46" t="s">
        <v>179</v>
      </c>
      <c r="D137" s="85" t="s">
        <v>126</v>
      </c>
      <c r="E137" s="46" t="s">
        <v>1700</v>
      </c>
      <c r="F137" s="88">
        <v>1141.8813811659643</v>
      </c>
      <c r="G137" s="80">
        <v>120.06</v>
      </c>
      <c r="H137" s="104">
        <v>471.74141274100549</v>
      </c>
      <c r="I137" s="38">
        <v>0.20684996407452702</v>
      </c>
      <c r="J137" s="38">
        <v>1.4529166161673639E-3</v>
      </c>
      <c r="K137" s="32"/>
      <c r="L137" s="32"/>
    </row>
    <row r="138" spans="1:12" x14ac:dyDescent="0.2">
      <c r="A138" s="30" t="s">
        <v>1675</v>
      </c>
      <c r="B138" s="46" t="s">
        <v>1701</v>
      </c>
      <c r="C138" s="46" t="s">
        <v>179</v>
      </c>
      <c r="D138" s="85" t="s">
        <v>126</v>
      </c>
      <c r="E138" s="46" t="s">
        <v>1700</v>
      </c>
      <c r="F138" s="88">
        <v>-1141.8813811659643</v>
      </c>
      <c r="G138" s="80">
        <v>125.32</v>
      </c>
      <c r="H138" s="104">
        <v>-492.40907750043982</v>
      </c>
      <c r="I138" s="38">
        <v>-0.21591235630367919</v>
      </c>
      <c r="J138" s="38">
        <v>-1.5165709673337835E-3</v>
      </c>
      <c r="K138" s="32"/>
      <c r="L138" s="32"/>
    </row>
    <row r="139" spans="1:12" x14ac:dyDescent="0.2">
      <c r="A139" s="30" t="s">
        <v>1663</v>
      </c>
      <c r="B139" s="46" t="s">
        <v>1702</v>
      </c>
      <c r="C139" s="46" t="s">
        <v>179</v>
      </c>
      <c r="D139" s="85" t="s">
        <v>126</v>
      </c>
      <c r="E139" s="46" t="s">
        <v>1544</v>
      </c>
      <c r="F139" s="88">
        <v>172.75560250543137</v>
      </c>
      <c r="G139" s="80">
        <v>6918.835</v>
      </c>
      <c r="H139" s="104">
        <v>4112.9154985985579</v>
      </c>
      <c r="I139" s="38">
        <v>1.8034380704111674</v>
      </c>
      <c r="J139" s="38">
        <v>1.2667370528452846E-2</v>
      </c>
      <c r="K139" s="32"/>
      <c r="L139" s="32"/>
    </row>
    <row r="140" spans="1:12" x14ac:dyDescent="0.2">
      <c r="A140" s="30" t="s">
        <v>1666</v>
      </c>
      <c r="B140" s="46" t="s">
        <v>1703</v>
      </c>
      <c r="C140" s="46" t="s">
        <v>179</v>
      </c>
      <c r="D140" s="85" t="s">
        <v>126</v>
      </c>
      <c r="E140" s="46" t="s">
        <v>1544</v>
      </c>
      <c r="F140" s="88">
        <v>-172.75560250543137</v>
      </c>
      <c r="G140" s="80">
        <v>6538.03</v>
      </c>
      <c r="H140" s="104">
        <v>-3886.5451940267803</v>
      </c>
      <c r="I140" s="38">
        <v>-1.7041788404526572</v>
      </c>
      <c r="J140" s="38">
        <v>-1.1970172512683615E-2</v>
      </c>
      <c r="K140" s="32"/>
      <c r="L140" s="32"/>
    </row>
    <row r="141" spans="1:12" x14ac:dyDescent="0.2">
      <c r="A141" s="30" t="s">
        <v>1704</v>
      </c>
      <c r="B141" s="46" t="s">
        <v>1705</v>
      </c>
      <c r="C141" s="46" t="s">
        <v>179</v>
      </c>
      <c r="D141" s="85" t="s">
        <v>126</v>
      </c>
      <c r="E141" s="46" t="s">
        <v>1706</v>
      </c>
      <c r="F141" s="88">
        <v>139.11614536511468</v>
      </c>
      <c r="G141" s="80">
        <v>1255.94</v>
      </c>
      <c r="H141" s="104">
        <v>601.21679026235279</v>
      </c>
      <c r="I141" s="38">
        <v>0.26362254427521908</v>
      </c>
      <c r="J141" s="38">
        <v>1.8516878970101325E-3</v>
      </c>
      <c r="K141" s="32"/>
      <c r="L141" s="32"/>
    </row>
    <row r="142" spans="1:12" x14ac:dyDescent="0.2">
      <c r="A142" s="30" t="s">
        <v>1707</v>
      </c>
      <c r="B142" s="46" t="s">
        <v>1708</v>
      </c>
      <c r="C142" s="46" t="s">
        <v>179</v>
      </c>
      <c r="D142" s="85" t="s">
        <v>126</v>
      </c>
      <c r="E142" s="46" t="s">
        <v>1706</v>
      </c>
      <c r="F142" s="88">
        <v>-139.11614536511468</v>
      </c>
      <c r="G142" s="80">
        <v>1147.6300000000001</v>
      </c>
      <c r="H142" s="104">
        <v>-549.3689387536549</v>
      </c>
      <c r="I142" s="38">
        <v>-0.24088821158307608</v>
      </c>
      <c r="J142" s="38">
        <v>-1.6920016728733443E-3</v>
      </c>
      <c r="K142" s="32"/>
      <c r="L142" s="32"/>
    </row>
    <row r="143" spans="1:12" x14ac:dyDescent="0.2">
      <c r="A143" s="30" t="s">
        <v>1709</v>
      </c>
      <c r="B143" s="46" t="s">
        <v>1710</v>
      </c>
      <c r="C143" s="46" t="s">
        <v>179</v>
      </c>
      <c r="D143" s="85" t="s">
        <v>127</v>
      </c>
      <c r="E143" s="46" t="s">
        <v>1711</v>
      </c>
      <c r="F143" s="88">
        <v>4088.6720422394201</v>
      </c>
      <c r="G143" s="80">
        <v>105.06</v>
      </c>
      <c r="H143" s="104">
        <v>1729.3060808390244</v>
      </c>
      <c r="I143" s="38">
        <v>0.75826902416091424</v>
      </c>
      <c r="J143" s="38">
        <v>5.3260906747436849E-3</v>
      </c>
      <c r="K143" s="32"/>
      <c r="L143" s="32"/>
    </row>
    <row r="144" spans="1:12" x14ac:dyDescent="0.2">
      <c r="A144" s="30" t="s">
        <v>1712</v>
      </c>
      <c r="B144" s="46" t="s">
        <v>1713</v>
      </c>
      <c r="C144" s="46" t="s">
        <v>179</v>
      </c>
      <c r="D144" s="85" t="s">
        <v>127</v>
      </c>
      <c r="E144" s="46" t="s">
        <v>1711</v>
      </c>
      <c r="F144" s="88">
        <v>-4088.6720422394201</v>
      </c>
      <c r="G144" s="80">
        <v>100.04</v>
      </c>
      <c r="H144" s="104">
        <v>-1646.6759977273821</v>
      </c>
      <c r="I144" s="38">
        <v>-0.72203724704427974</v>
      </c>
      <c r="J144" s="38">
        <v>-5.0715982398933501E-3</v>
      </c>
      <c r="K144" s="32"/>
      <c r="L144" s="32"/>
    </row>
    <row r="145" spans="1:14" x14ac:dyDescent="0.2">
      <c r="A145" s="30" t="s">
        <v>1714</v>
      </c>
      <c r="B145" s="46" t="s">
        <v>1715</v>
      </c>
      <c r="C145" s="46" t="s">
        <v>179</v>
      </c>
      <c r="D145" s="85" t="s">
        <v>126</v>
      </c>
      <c r="E145" s="46" t="s">
        <v>1716</v>
      </c>
      <c r="F145" s="88">
        <v>1952.2488129611645</v>
      </c>
      <c r="G145" s="80">
        <v>114.6</v>
      </c>
      <c r="H145" s="104">
        <v>769.84706375476753</v>
      </c>
      <c r="I145" s="38">
        <v>0.33756382878342067</v>
      </c>
      <c r="J145" s="38">
        <v>2.3710523617968796E-3</v>
      </c>
      <c r="K145" s="32"/>
      <c r="L145" s="32"/>
    </row>
    <row r="146" spans="1:14" x14ac:dyDescent="0.2">
      <c r="A146" s="30" t="s">
        <v>1717</v>
      </c>
      <c r="B146" s="46" t="s">
        <v>1718</v>
      </c>
      <c r="C146" s="46" t="s">
        <v>179</v>
      </c>
      <c r="D146" s="85" t="s">
        <v>126</v>
      </c>
      <c r="E146" s="46" t="s">
        <v>1716</v>
      </c>
      <c r="F146" s="88">
        <v>-1952.2488129611645</v>
      </c>
      <c r="G146" s="80">
        <v>119.53</v>
      </c>
      <c r="H146" s="104">
        <v>-802.96526641018647</v>
      </c>
      <c r="I146" s="38">
        <v>-0.35208555370403383</v>
      </c>
      <c r="J146" s="38">
        <v>-2.4730531309387527E-3</v>
      </c>
      <c r="K146" s="32"/>
      <c r="L146" s="32"/>
    </row>
    <row r="147" spans="1:14" x14ac:dyDescent="0.2">
      <c r="A147" s="30" t="s">
        <v>1719</v>
      </c>
      <c r="B147" s="46" t="s">
        <v>1720</v>
      </c>
      <c r="C147" s="46" t="s">
        <v>179</v>
      </c>
      <c r="D147" s="85" t="s">
        <v>126</v>
      </c>
      <c r="E147" s="46" t="s">
        <v>1716</v>
      </c>
      <c r="F147" s="88">
        <v>1994.6089287140956</v>
      </c>
      <c r="G147" s="80">
        <v>120.06</v>
      </c>
      <c r="H147" s="104">
        <v>824.02572574879423</v>
      </c>
      <c r="I147" s="38">
        <v>0.36132017915756759</v>
      </c>
      <c r="J147" s="38">
        <v>2.5379172503286265E-3</v>
      </c>
      <c r="K147" s="32"/>
      <c r="L147" s="32"/>
    </row>
    <row r="148" spans="1:14" x14ac:dyDescent="0.2">
      <c r="A148" s="30" t="s">
        <v>1721</v>
      </c>
      <c r="B148" s="46" t="s">
        <v>1722</v>
      </c>
      <c r="C148" s="46" t="s">
        <v>179</v>
      </c>
      <c r="D148" s="85" t="s">
        <v>126</v>
      </c>
      <c r="E148" s="46" t="s">
        <v>1716</v>
      </c>
      <c r="F148" s="88">
        <v>-1994.6089287140956</v>
      </c>
      <c r="G148" s="80">
        <v>116.97</v>
      </c>
      <c r="H148" s="104">
        <v>-802.81766737538021</v>
      </c>
      <c r="I148" s="38">
        <v>-0.35202083423225855</v>
      </c>
      <c r="J148" s="38">
        <v>-2.4725985405966533E-3</v>
      </c>
      <c r="K148" s="32"/>
      <c r="L148" s="32"/>
    </row>
    <row r="149" spans="1:14" x14ac:dyDescent="0.2">
      <c r="A149" s="30" t="s">
        <v>1723</v>
      </c>
      <c r="B149" s="46" t="s">
        <v>1724</v>
      </c>
      <c r="C149" s="46" t="s">
        <v>179</v>
      </c>
      <c r="D149" s="85" t="s">
        <v>126</v>
      </c>
      <c r="E149" s="46" t="s">
        <v>1601</v>
      </c>
      <c r="F149" s="88">
        <v>2440.3110162014559</v>
      </c>
      <c r="G149" s="80">
        <v>120.06</v>
      </c>
      <c r="H149" s="104">
        <v>1008.15705142231</v>
      </c>
      <c r="I149" s="38">
        <v>0.44205839096572302</v>
      </c>
      <c r="J149" s="38">
        <v>3.1050234135834788E-3</v>
      </c>
      <c r="K149" s="32"/>
      <c r="L149" s="32"/>
    </row>
    <row r="150" spans="1:14" x14ac:dyDescent="0.2">
      <c r="A150" s="30" t="s">
        <v>1725</v>
      </c>
      <c r="B150" s="46" t="s">
        <v>1726</v>
      </c>
      <c r="C150" s="46" t="s">
        <v>179</v>
      </c>
      <c r="D150" s="85" t="s">
        <v>126</v>
      </c>
      <c r="E150" s="46" t="s">
        <v>1601</v>
      </c>
      <c r="F150" s="88">
        <v>-2440.3110162014559</v>
      </c>
      <c r="G150" s="80">
        <v>126.48</v>
      </c>
      <c r="H150" s="104">
        <v>-1062.0664989496399</v>
      </c>
      <c r="I150" s="38">
        <v>-0.46569669573000705</v>
      </c>
      <c r="J150" s="38">
        <v>-3.2710591483428157E-3</v>
      </c>
      <c r="K150" s="32"/>
      <c r="L150" s="32"/>
    </row>
    <row r="151" spans="1:14" x14ac:dyDescent="0.2">
      <c r="A151" s="30" t="s">
        <v>1727</v>
      </c>
      <c r="B151" s="46" t="s">
        <v>1728</v>
      </c>
      <c r="C151" s="46" t="s">
        <v>179</v>
      </c>
      <c r="D151" s="85" t="s">
        <v>127</v>
      </c>
      <c r="E151" s="46" t="s">
        <v>1601</v>
      </c>
      <c r="F151" s="88">
        <v>1270.8034725879279</v>
      </c>
      <c r="G151" s="80">
        <v>105.06</v>
      </c>
      <c r="H151" s="104">
        <v>537.48702509453221</v>
      </c>
      <c r="I151" s="38">
        <v>0.23567821019853463</v>
      </c>
      <c r="J151" s="38">
        <v>1.655406560973166E-3</v>
      </c>
      <c r="K151" s="32"/>
      <c r="L151" s="32"/>
    </row>
    <row r="152" spans="1:14" x14ac:dyDescent="0.2">
      <c r="A152" s="30" t="s">
        <v>1729</v>
      </c>
      <c r="B152" s="46" t="s">
        <v>1730</v>
      </c>
      <c r="C152" s="46" t="s">
        <v>179</v>
      </c>
      <c r="D152" s="85" t="s">
        <v>127</v>
      </c>
      <c r="E152" s="46" t="s">
        <v>1601</v>
      </c>
      <c r="F152" s="88">
        <v>-1270.8034725879279</v>
      </c>
      <c r="G152" s="80">
        <v>103.81</v>
      </c>
      <c r="H152" s="104">
        <v>-531.09202431960159</v>
      </c>
      <c r="I152" s="38">
        <v>-0.23287411955729767</v>
      </c>
      <c r="J152" s="38">
        <v>-1.6357105948456361E-3</v>
      </c>
      <c r="K152" s="32"/>
      <c r="L152" s="32"/>
    </row>
    <row r="153" spans="1:14" x14ac:dyDescent="0.2">
      <c r="A153" s="30" t="s">
        <v>1731</v>
      </c>
      <c r="B153" s="46" t="s">
        <v>1732</v>
      </c>
      <c r="C153" s="46" t="s">
        <v>179</v>
      </c>
      <c r="D153" s="85" t="s">
        <v>126</v>
      </c>
      <c r="E153" s="46" t="s">
        <v>1613</v>
      </c>
      <c r="F153" s="88">
        <v>2394.267412122183</v>
      </c>
      <c r="G153" s="80">
        <v>120.06</v>
      </c>
      <c r="H153" s="104">
        <v>989.13522026339865</v>
      </c>
      <c r="I153" s="38">
        <v>0.43371766660787919</v>
      </c>
      <c r="J153" s="38">
        <v>3.0464380661573763E-3</v>
      </c>
      <c r="K153" s="32"/>
      <c r="L153" s="32"/>
    </row>
    <row r="154" spans="1:14" x14ac:dyDescent="0.2">
      <c r="A154" s="30" t="s">
        <v>1733</v>
      </c>
      <c r="B154" s="46" t="s">
        <v>1734</v>
      </c>
      <c r="C154" s="46" t="s">
        <v>179</v>
      </c>
      <c r="D154" s="85" t="s">
        <v>126</v>
      </c>
      <c r="E154" s="46" t="s">
        <v>1613</v>
      </c>
      <c r="F154" s="88">
        <v>-2394.267412122183</v>
      </c>
      <c r="G154" s="80">
        <v>127.64</v>
      </c>
      <c r="H154" s="104">
        <v>-1051.5843704349509</v>
      </c>
      <c r="I154" s="38">
        <v>-0.4611004744780085</v>
      </c>
      <c r="J154" s="38">
        <v>-3.2387752354183529E-3</v>
      </c>
      <c r="K154" s="32"/>
      <c r="L154" s="32"/>
    </row>
    <row r="155" spans="1:14" x14ac:dyDescent="0.2">
      <c r="A155" s="30" t="s">
        <v>1735</v>
      </c>
      <c r="B155" s="46" t="s">
        <v>1736</v>
      </c>
      <c r="C155" s="46" t="s">
        <v>179</v>
      </c>
      <c r="D155" s="85" t="s">
        <v>126</v>
      </c>
      <c r="E155" s="46" t="s">
        <v>1613</v>
      </c>
      <c r="F155" s="88">
        <v>119.51998746897621</v>
      </c>
      <c r="G155" s="80">
        <v>2662.24</v>
      </c>
      <c r="H155" s="104">
        <v>1094.8948573936416</v>
      </c>
      <c r="I155" s="38">
        <v>0.48009132927577025</v>
      </c>
      <c r="J155" s="38">
        <v>3.372167226151059E-3</v>
      </c>
      <c r="K155" s="32"/>
      <c r="L155" s="32"/>
    </row>
    <row r="156" spans="1:14" x14ac:dyDescent="0.2">
      <c r="A156" s="30" t="s">
        <v>1737</v>
      </c>
      <c r="B156" s="46" t="s">
        <v>1738</v>
      </c>
      <c r="C156" s="46" t="s">
        <v>179</v>
      </c>
      <c r="D156" s="85" t="s">
        <v>126</v>
      </c>
      <c r="E156" s="46" t="s">
        <v>1613</v>
      </c>
      <c r="F156" s="88">
        <v>-119.51998746897621</v>
      </c>
      <c r="G156" s="80">
        <v>2792.05</v>
      </c>
      <c r="H156" s="104">
        <v>-1148.2815924193067</v>
      </c>
      <c r="I156" s="38">
        <v>-0.50350043418761314</v>
      </c>
      <c r="J156" s="38">
        <v>-3.5365930584116204E-3</v>
      </c>
      <c r="K156" s="32"/>
      <c r="L156" s="32"/>
    </row>
    <row r="157" spans="1:14" s="139" customFormat="1" x14ac:dyDescent="0.2">
      <c r="A157" s="112" t="s">
        <v>1280</v>
      </c>
      <c r="B157" s="142" t="s">
        <v>239</v>
      </c>
      <c r="C157" s="142" t="s">
        <v>239</v>
      </c>
      <c r="D157" s="146" t="s">
        <v>239</v>
      </c>
      <c r="E157" s="142" t="s">
        <v>239</v>
      </c>
      <c r="F157" s="157" t="s">
        <v>239</v>
      </c>
      <c r="G157" s="147" t="s">
        <v>239</v>
      </c>
      <c r="H157" s="148">
        <v>-267.90969151331939</v>
      </c>
      <c r="I157" s="145">
        <v>-0.11747348985697958</v>
      </c>
      <c r="J157" s="145">
        <v>-8.2513519466157154E-4</v>
      </c>
      <c r="K157" s="178"/>
      <c r="L157" s="178"/>
      <c r="M157" s="154"/>
      <c r="N157" s="154"/>
    </row>
    <row r="158" spans="1:14" x14ac:dyDescent="0.2">
      <c r="A158" s="30" t="s">
        <v>1743</v>
      </c>
      <c r="B158" s="46" t="s">
        <v>1744</v>
      </c>
      <c r="C158" s="46" t="s">
        <v>179</v>
      </c>
      <c r="D158" s="85" t="s">
        <v>3</v>
      </c>
      <c r="E158" s="46" t="s">
        <v>1745</v>
      </c>
      <c r="F158" s="88">
        <v>609396.3087099907</v>
      </c>
      <c r="G158" s="80">
        <v>0.99990000000000001</v>
      </c>
      <c r="H158" s="104">
        <v>1471.4505744915457</v>
      </c>
      <c r="I158" s="38">
        <v>0.6452041102402063</v>
      </c>
      <c r="J158" s="38">
        <v>4.5319213700695873E-3</v>
      </c>
      <c r="K158" s="32"/>
      <c r="L158" s="32"/>
    </row>
    <row r="159" spans="1:14" x14ac:dyDescent="0.2">
      <c r="A159" s="30" t="s">
        <v>1746</v>
      </c>
      <c r="B159" s="46" t="s">
        <v>1747</v>
      </c>
      <c r="C159" s="46" t="s">
        <v>179</v>
      </c>
      <c r="D159" s="85" t="s">
        <v>126</v>
      </c>
      <c r="E159" s="46" t="s">
        <v>1745</v>
      </c>
      <c r="F159" s="88">
        <v>-389769.87905091007</v>
      </c>
      <c r="G159" s="80">
        <v>0.99990000000000001</v>
      </c>
      <c r="H159" s="104">
        <v>-1341.1184893214265</v>
      </c>
      <c r="I159" s="38">
        <v>-0.5880558794360593</v>
      </c>
      <c r="J159" s="38">
        <v>-4.1305115149052087E-3</v>
      </c>
      <c r="K159" s="32"/>
      <c r="L159" s="32"/>
    </row>
    <row r="160" spans="1:14" x14ac:dyDescent="0.2">
      <c r="A160" s="30" t="s">
        <v>1493</v>
      </c>
      <c r="B160" s="46" t="s">
        <v>1748</v>
      </c>
      <c r="C160" s="46" t="s">
        <v>179</v>
      </c>
      <c r="D160" s="85" t="s">
        <v>126</v>
      </c>
      <c r="E160" s="46" t="s">
        <v>1492</v>
      </c>
      <c r="F160" s="88">
        <v>457723.67</v>
      </c>
      <c r="G160" s="80">
        <v>0.99990000000000001</v>
      </c>
      <c r="H160" s="104">
        <v>1574.9830400000001</v>
      </c>
      <c r="I160" s="38">
        <v>0.69060119896840866</v>
      </c>
      <c r="J160" s="38">
        <v>4.8507910630566503E-3</v>
      </c>
      <c r="K160" s="32"/>
      <c r="L160" s="32"/>
    </row>
    <row r="161" spans="1:12" x14ac:dyDescent="0.2">
      <c r="A161" s="30" t="s">
        <v>1490</v>
      </c>
      <c r="B161" s="46" t="s">
        <v>1749</v>
      </c>
      <c r="C161" s="46" t="s">
        <v>179</v>
      </c>
      <c r="D161" s="85" t="s">
        <v>295</v>
      </c>
      <c r="E161" s="46" t="s">
        <v>1492</v>
      </c>
      <c r="F161" s="88">
        <v>-49159522</v>
      </c>
      <c r="G161" s="80">
        <v>1</v>
      </c>
      <c r="H161" s="104">
        <v>-1600.10275</v>
      </c>
      <c r="I161" s="38">
        <v>-0.70161573144473222</v>
      </c>
      <c r="J161" s="38">
        <v>-4.9281572706156695E-3</v>
      </c>
      <c r="K161" s="32"/>
      <c r="L161" s="32"/>
    </row>
    <row r="162" spans="1:12" x14ac:dyDescent="0.2">
      <c r="A162" s="30" t="s">
        <v>1490</v>
      </c>
      <c r="B162" s="46" t="s">
        <v>1750</v>
      </c>
      <c r="C162" s="46" t="s">
        <v>179</v>
      </c>
      <c r="D162" s="85" t="s">
        <v>295</v>
      </c>
      <c r="E162" s="46" t="s">
        <v>1751</v>
      </c>
      <c r="F162" s="88">
        <v>8287848.7342690947</v>
      </c>
      <c r="G162" s="80">
        <v>1</v>
      </c>
      <c r="H162" s="104">
        <v>269.76278487556539</v>
      </c>
      <c r="I162" s="38">
        <v>0.11828603733543845</v>
      </c>
      <c r="J162" s="38">
        <v>8.3084253784705274E-4</v>
      </c>
      <c r="K162" s="32"/>
      <c r="L162" s="32"/>
    </row>
    <row r="163" spans="1:12" x14ac:dyDescent="0.2">
      <c r="A163" s="30" t="s">
        <v>1493</v>
      </c>
      <c r="B163" s="46" t="s">
        <v>1752</v>
      </c>
      <c r="C163" s="46" t="s">
        <v>179</v>
      </c>
      <c r="D163" s="85" t="s">
        <v>126</v>
      </c>
      <c r="E163" s="46" t="s">
        <v>1751</v>
      </c>
      <c r="F163" s="88">
        <v>-77966.592033961351</v>
      </c>
      <c r="G163" s="80">
        <v>0.99990000000000001</v>
      </c>
      <c r="H163" s="104">
        <v>-268.27553152524735</v>
      </c>
      <c r="I163" s="38">
        <v>-0.11763390399760935</v>
      </c>
      <c r="J163" s="38">
        <v>-8.2626194549970675E-4</v>
      </c>
      <c r="K163" s="32"/>
      <c r="L163" s="32"/>
    </row>
    <row r="164" spans="1:12" x14ac:dyDescent="0.2">
      <c r="A164" s="30" t="s">
        <v>1490</v>
      </c>
      <c r="B164" s="46" t="s">
        <v>1753</v>
      </c>
      <c r="C164" s="46" t="s">
        <v>179</v>
      </c>
      <c r="D164" s="85" t="s">
        <v>295</v>
      </c>
      <c r="E164" s="46" t="s">
        <v>1706</v>
      </c>
      <c r="F164" s="88">
        <v>6613546.594353335</v>
      </c>
      <c r="G164" s="80">
        <v>1</v>
      </c>
      <c r="H164" s="104">
        <v>215.26560206889019</v>
      </c>
      <c r="I164" s="38">
        <v>9.439002142234619E-2</v>
      </c>
      <c r="J164" s="38">
        <v>6.6299663690301178E-4</v>
      </c>
      <c r="K164" s="32"/>
      <c r="L164" s="32"/>
    </row>
    <row r="165" spans="1:12" x14ac:dyDescent="0.2">
      <c r="A165" s="30" t="s">
        <v>1493</v>
      </c>
      <c r="B165" s="46" t="s">
        <v>1754</v>
      </c>
      <c r="C165" s="46" t="s">
        <v>179</v>
      </c>
      <c r="D165" s="85" t="s">
        <v>126</v>
      </c>
      <c r="E165" s="46" t="s">
        <v>1706</v>
      </c>
      <c r="F165" s="88">
        <v>-61607.327407019817</v>
      </c>
      <c r="G165" s="80">
        <v>0.99990000000000001</v>
      </c>
      <c r="H165" s="104">
        <v>-211.98487805122599</v>
      </c>
      <c r="I165" s="38">
        <v>-9.2951484065091003E-2</v>
      </c>
      <c r="J165" s="38">
        <v>-6.5289233333842172E-4</v>
      </c>
      <c r="K165" s="32"/>
      <c r="L165" s="32"/>
    </row>
    <row r="166" spans="1:12" x14ac:dyDescent="0.2">
      <c r="A166" s="30" t="s">
        <v>1504</v>
      </c>
      <c r="B166" s="46" t="s">
        <v>1755</v>
      </c>
      <c r="C166" s="46" t="s">
        <v>179</v>
      </c>
      <c r="D166" s="85" t="s">
        <v>126</v>
      </c>
      <c r="E166" s="46" t="s">
        <v>1463</v>
      </c>
      <c r="F166" s="88">
        <v>4428781.5</v>
      </c>
      <c r="G166" s="80">
        <v>0.99970000000000003</v>
      </c>
      <c r="H166" s="104">
        <v>15236.24662</v>
      </c>
      <c r="I166" s="38">
        <v>6.6808149143944835</v>
      </c>
      <c r="J166" s="38">
        <v>4.6926123686273531E-2</v>
      </c>
      <c r="K166" s="32"/>
      <c r="L166" s="32"/>
    </row>
    <row r="167" spans="1:12" x14ac:dyDescent="0.2">
      <c r="A167" s="30" t="s">
        <v>1501</v>
      </c>
      <c r="B167" s="46" t="s">
        <v>1756</v>
      </c>
      <c r="C167" s="46" t="s">
        <v>179</v>
      </c>
      <c r="D167" s="85" t="s">
        <v>127</v>
      </c>
      <c r="E167" s="46" t="s">
        <v>1463</v>
      </c>
      <c r="F167" s="88">
        <v>-3900000</v>
      </c>
      <c r="G167" s="80">
        <v>1.002</v>
      </c>
      <c r="H167" s="104">
        <v>-15733.448689999999</v>
      </c>
      <c r="I167" s="38">
        <v>-6.8988289100700024</v>
      </c>
      <c r="J167" s="38">
        <v>-4.8457456593635671E-2</v>
      </c>
      <c r="K167" s="32"/>
      <c r="L167" s="32"/>
    </row>
    <row r="168" spans="1:12" x14ac:dyDescent="0.2">
      <c r="A168" s="30" t="s">
        <v>1501</v>
      </c>
      <c r="B168" s="46" t="s">
        <v>1757</v>
      </c>
      <c r="C168" s="46" t="s">
        <v>179</v>
      </c>
      <c r="D168" s="85" t="s">
        <v>127</v>
      </c>
      <c r="E168" s="46" t="s">
        <v>1463</v>
      </c>
      <c r="F168" s="88">
        <v>568049.15224680374</v>
      </c>
      <c r="G168" s="80">
        <v>1.002</v>
      </c>
      <c r="H168" s="104">
        <v>2291.6338953613094</v>
      </c>
      <c r="I168" s="38">
        <v>1.0048394652765056</v>
      </c>
      <c r="J168" s="38">
        <v>7.0580043956640567E-3</v>
      </c>
      <c r="K168" s="32"/>
      <c r="L168" s="32"/>
    </row>
    <row r="169" spans="1:12" x14ac:dyDescent="0.2">
      <c r="A169" s="30" t="s">
        <v>1504</v>
      </c>
      <c r="B169" s="46" t="s">
        <v>1758</v>
      </c>
      <c r="C169" s="46" t="s">
        <v>179</v>
      </c>
      <c r="D169" s="85" t="s">
        <v>126</v>
      </c>
      <c r="E169" s="46" t="s">
        <v>1463</v>
      </c>
      <c r="F169" s="88">
        <v>-645068.09655418666</v>
      </c>
      <c r="G169" s="80">
        <v>0.99970000000000003</v>
      </c>
      <c r="H169" s="104">
        <v>-2219.2146103177902</v>
      </c>
      <c r="I169" s="38">
        <v>-0.97308493598361268</v>
      </c>
      <c r="J169" s="38">
        <v>-6.8349602029583014E-3</v>
      </c>
      <c r="K169" s="32"/>
      <c r="L169" s="32"/>
    </row>
    <row r="170" spans="1:12" x14ac:dyDescent="0.2">
      <c r="A170" s="30" t="s">
        <v>1504</v>
      </c>
      <c r="B170" s="46" t="s">
        <v>1759</v>
      </c>
      <c r="C170" s="46" t="s">
        <v>179</v>
      </c>
      <c r="D170" s="85" t="s">
        <v>126</v>
      </c>
      <c r="E170" s="46" t="s">
        <v>1576</v>
      </c>
      <c r="F170" s="88">
        <v>149880.90057210744</v>
      </c>
      <c r="G170" s="80">
        <v>0.99970000000000003</v>
      </c>
      <c r="H170" s="104">
        <v>515.63220400177909</v>
      </c>
      <c r="I170" s="38">
        <v>0.22609527167375196</v>
      </c>
      <c r="J170" s="38">
        <v>1.5880958864141377E-3</v>
      </c>
      <c r="K170" s="32"/>
      <c r="L170" s="32"/>
    </row>
    <row r="171" spans="1:12" x14ac:dyDescent="0.2">
      <c r="A171" s="30" t="s">
        <v>1501</v>
      </c>
      <c r="B171" s="46" t="s">
        <v>1760</v>
      </c>
      <c r="C171" s="46" t="s">
        <v>179</v>
      </c>
      <c r="D171" s="85" t="s">
        <v>127</v>
      </c>
      <c r="E171" s="46" t="s">
        <v>1576</v>
      </c>
      <c r="F171" s="88">
        <v>-131684.70766672006</v>
      </c>
      <c r="G171" s="80">
        <v>1.002</v>
      </c>
      <c r="H171" s="104">
        <v>-531.24476706959399</v>
      </c>
      <c r="I171" s="38">
        <v>-0.23294109445391528</v>
      </c>
      <c r="J171" s="38">
        <v>-1.6361810273187438E-3</v>
      </c>
      <c r="K171" s="32"/>
      <c r="L171" s="32"/>
    </row>
    <row r="172" spans="1:12" x14ac:dyDescent="0.2">
      <c r="A172" s="30" t="s">
        <v>1490</v>
      </c>
      <c r="B172" s="46" t="s">
        <v>1761</v>
      </c>
      <c r="C172" s="46" t="s">
        <v>179</v>
      </c>
      <c r="D172" s="85" t="s">
        <v>295</v>
      </c>
      <c r="E172" s="46" t="s">
        <v>1590</v>
      </c>
      <c r="F172" s="88">
        <v>3499313.9100247291</v>
      </c>
      <c r="G172" s="80">
        <v>1</v>
      </c>
      <c r="H172" s="104">
        <v>113.89984253575862</v>
      </c>
      <c r="I172" s="38">
        <v>4.9942993555986394E-2</v>
      </c>
      <c r="J172" s="38">
        <v>3.508001827473759E-4</v>
      </c>
      <c r="K172" s="32"/>
      <c r="L172" s="32"/>
    </row>
    <row r="173" spans="1:12" x14ac:dyDescent="0.2">
      <c r="A173" s="30" t="s">
        <v>1493</v>
      </c>
      <c r="B173" s="46" t="s">
        <v>1762</v>
      </c>
      <c r="C173" s="46" t="s">
        <v>179</v>
      </c>
      <c r="D173" s="85" t="s">
        <v>126</v>
      </c>
      <c r="E173" s="46" t="s">
        <v>1590</v>
      </c>
      <c r="F173" s="88">
        <v>-32703.868325733776</v>
      </c>
      <c r="G173" s="80">
        <v>0.99990000000000001</v>
      </c>
      <c r="H173" s="104">
        <v>-112.53086000993083</v>
      </c>
      <c r="I173" s="38">
        <v>-4.9342719807195123E-2</v>
      </c>
      <c r="J173" s="38">
        <v>-3.4658385277231394E-4</v>
      </c>
      <c r="K173" s="32"/>
      <c r="L173" s="32"/>
    </row>
    <row r="174" spans="1:12" x14ac:dyDescent="0.2">
      <c r="A174" s="30" t="s">
        <v>1501</v>
      </c>
      <c r="B174" s="46" t="s">
        <v>1763</v>
      </c>
      <c r="C174" s="46" t="s">
        <v>179</v>
      </c>
      <c r="D174" s="85" t="s">
        <v>127</v>
      </c>
      <c r="E174" s="46" t="s">
        <v>1764</v>
      </c>
      <c r="F174" s="88">
        <v>460436.04079272749</v>
      </c>
      <c r="G174" s="80">
        <v>1.002</v>
      </c>
      <c r="H174" s="104">
        <v>1857.4991857022694</v>
      </c>
      <c r="I174" s="38">
        <v>0.81447935130071625</v>
      </c>
      <c r="J174" s="38">
        <v>5.7209126833769417E-3</v>
      </c>
      <c r="K174" s="32"/>
      <c r="L174" s="32"/>
    </row>
    <row r="175" spans="1:12" x14ac:dyDescent="0.2">
      <c r="A175" s="30" t="s">
        <v>1504</v>
      </c>
      <c r="B175" s="46" t="s">
        <v>1765</v>
      </c>
      <c r="C175" s="46" t="s">
        <v>179</v>
      </c>
      <c r="D175" s="85" t="s">
        <v>126</v>
      </c>
      <c r="E175" s="46" t="s">
        <v>1764</v>
      </c>
      <c r="F175" s="88">
        <v>-535247.68870072986</v>
      </c>
      <c r="G175" s="80">
        <v>0.99970000000000003</v>
      </c>
      <c r="H175" s="104">
        <v>-1841.4017019863206</v>
      </c>
      <c r="I175" s="38">
        <v>-0.80742089970328912</v>
      </c>
      <c r="J175" s="38">
        <v>-5.6713340351224033E-3</v>
      </c>
      <c r="K175" s="32"/>
      <c r="L175" s="32"/>
    </row>
    <row r="176" spans="1:12" x14ac:dyDescent="0.2">
      <c r="A176" s="30" t="s">
        <v>1746</v>
      </c>
      <c r="B176" s="46" t="s">
        <v>1766</v>
      </c>
      <c r="C176" s="46" t="s">
        <v>179</v>
      </c>
      <c r="D176" s="85" t="s">
        <v>126</v>
      </c>
      <c r="E176" s="46" t="s">
        <v>1503</v>
      </c>
      <c r="F176" s="88">
        <v>435169.90404980438</v>
      </c>
      <c r="G176" s="80">
        <v>0.99990000000000001</v>
      </c>
      <c r="H176" s="104">
        <v>1497.3306960645873</v>
      </c>
      <c r="I176" s="38">
        <v>0.65655206925555587</v>
      </c>
      <c r="J176" s="38">
        <v>4.6116295696177739E-3</v>
      </c>
      <c r="K176" s="32"/>
      <c r="L176" s="32"/>
    </row>
    <row r="177" spans="1:12" x14ac:dyDescent="0.2">
      <c r="A177" s="30" t="s">
        <v>1743</v>
      </c>
      <c r="B177" s="46" t="s">
        <v>1767</v>
      </c>
      <c r="C177" s="46" t="s">
        <v>179</v>
      </c>
      <c r="D177" s="85" t="s">
        <v>3</v>
      </c>
      <c r="E177" s="46" t="s">
        <v>1503</v>
      </c>
      <c r="F177" s="88">
        <v>-609396.3087099907</v>
      </c>
      <c r="G177" s="80">
        <v>0.99990000000000001</v>
      </c>
      <c r="H177" s="104">
        <v>-1471.4505744915457</v>
      </c>
      <c r="I177" s="38">
        <v>-0.6452041102402063</v>
      </c>
      <c r="J177" s="38">
        <v>-4.5319213700695873E-3</v>
      </c>
      <c r="K177" s="32"/>
      <c r="L177" s="32"/>
    </row>
    <row r="178" spans="1:12" x14ac:dyDescent="0.2">
      <c r="A178" s="30" t="s">
        <v>1501</v>
      </c>
      <c r="B178" s="46" t="s">
        <v>1768</v>
      </c>
      <c r="C178" s="46" t="s">
        <v>179</v>
      </c>
      <c r="D178" s="85" t="s">
        <v>127</v>
      </c>
      <c r="E178" s="46" t="s">
        <v>1503</v>
      </c>
      <c r="F178" s="88">
        <v>82878.487342690947</v>
      </c>
      <c r="G178" s="80">
        <v>1.002</v>
      </c>
      <c r="H178" s="104">
        <v>334.34985340430757</v>
      </c>
      <c r="I178" s="38">
        <v>0.14660628322443808</v>
      </c>
      <c r="J178" s="38">
        <v>1.0297642829397808E-3</v>
      </c>
      <c r="K178" s="32"/>
      <c r="L178" s="32"/>
    </row>
    <row r="179" spans="1:12" x14ac:dyDescent="0.2">
      <c r="A179" s="30" t="s">
        <v>1504</v>
      </c>
      <c r="B179" s="46" t="s">
        <v>1769</v>
      </c>
      <c r="C179" s="46" t="s">
        <v>179</v>
      </c>
      <c r="D179" s="85" t="s">
        <v>126</v>
      </c>
      <c r="E179" s="46" t="s">
        <v>1503</v>
      </c>
      <c r="F179" s="88">
        <v>-96353.700599739066</v>
      </c>
      <c r="G179" s="80">
        <v>0.99970000000000003</v>
      </c>
      <c r="H179" s="104">
        <v>-331.48367008376198</v>
      </c>
      <c r="I179" s="38">
        <v>-0.14534951436575116</v>
      </c>
      <c r="J179" s="38">
        <v>-1.0209367234783251E-3</v>
      </c>
      <c r="K179" s="32"/>
      <c r="L179" s="32"/>
    </row>
    <row r="180" spans="1:12" x14ac:dyDescent="0.2">
      <c r="A180" s="30" t="s">
        <v>1501</v>
      </c>
      <c r="B180" s="46" t="s">
        <v>1770</v>
      </c>
      <c r="C180" s="46" t="s">
        <v>179</v>
      </c>
      <c r="D180" s="85" t="s">
        <v>127</v>
      </c>
      <c r="E180" s="46" t="s">
        <v>1771</v>
      </c>
      <c r="F180" s="88">
        <v>39000</v>
      </c>
      <c r="G180" s="80">
        <v>1.002</v>
      </c>
      <c r="H180" s="104">
        <v>157.33448000000001</v>
      </c>
      <c r="I180" s="38">
        <v>6.8988286075176486E-2</v>
      </c>
      <c r="J180" s="38">
        <v>4.8457454468504331E-4</v>
      </c>
      <c r="K180" s="32"/>
      <c r="L180" s="32"/>
    </row>
    <row r="181" spans="1:12" x14ac:dyDescent="0.2">
      <c r="A181" s="30" t="s">
        <v>1504</v>
      </c>
      <c r="B181" s="46" t="s">
        <v>1772</v>
      </c>
      <c r="C181" s="46" t="s">
        <v>179</v>
      </c>
      <c r="D181" s="85" t="s">
        <v>126</v>
      </c>
      <c r="E181" s="46" t="s">
        <v>1771</v>
      </c>
      <c r="F181" s="88">
        <v>-45897.15</v>
      </c>
      <c r="G181" s="80">
        <v>0.99970000000000003</v>
      </c>
      <c r="H181" s="104">
        <v>-157.89901999999998</v>
      </c>
      <c r="I181" s="38">
        <v>-6.9235826519082222E-2</v>
      </c>
      <c r="J181" s="38">
        <v>-4.8631327171713744E-4</v>
      </c>
      <c r="K181" s="32"/>
      <c r="L181" s="32"/>
    </row>
    <row r="182" spans="1:12" x14ac:dyDescent="0.2">
      <c r="A182" s="30" t="s">
        <v>1504</v>
      </c>
      <c r="B182" s="46" t="s">
        <v>1773</v>
      </c>
      <c r="C182" s="46" t="s">
        <v>179</v>
      </c>
      <c r="D182" s="85" t="s">
        <v>126</v>
      </c>
      <c r="E182" s="46" t="s">
        <v>1774</v>
      </c>
      <c r="F182" s="88">
        <v>244325.78068625293</v>
      </c>
      <c r="G182" s="80">
        <v>0.99970000000000003</v>
      </c>
      <c r="H182" s="104">
        <v>840.54899796972779</v>
      </c>
      <c r="I182" s="38">
        <v>0.36856533121117835</v>
      </c>
      <c r="J182" s="38">
        <v>2.5888072848154467E-3</v>
      </c>
      <c r="K182" s="32"/>
      <c r="L182" s="32"/>
    </row>
    <row r="183" spans="1:12" x14ac:dyDescent="0.2">
      <c r="A183" s="30" t="s">
        <v>1501</v>
      </c>
      <c r="B183" s="46" t="s">
        <v>1775</v>
      </c>
      <c r="C183" s="46" t="s">
        <v>179</v>
      </c>
      <c r="D183" s="85" t="s">
        <v>127</v>
      </c>
      <c r="E183" s="46" t="s">
        <v>1774</v>
      </c>
      <c r="F183" s="88">
        <v>-207196.21835672736</v>
      </c>
      <c r="G183" s="80">
        <v>1.002</v>
      </c>
      <c r="H183" s="104">
        <v>-835.87463351076883</v>
      </c>
      <c r="I183" s="38">
        <v>-0.36651570806109518</v>
      </c>
      <c r="J183" s="38">
        <v>-2.5744107073494521E-3</v>
      </c>
      <c r="K183" s="32"/>
      <c r="L183" s="32"/>
    </row>
    <row r="184" spans="1:12" x14ac:dyDescent="0.2">
      <c r="A184" s="30" t="s">
        <v>1501</v>
      </c>
      <c r="B184" s="46" t="s">
        <v>1776</v>
      </c>
      <c r="C184" s="46" t="s">
        <v>179</v>
      </c>
      <c r="D184" s="85" t="s">
        <v>127</v>
      </c>
      <c r="E184" s="46" t="s">
        <v>1777</v>
      </c>
      <c r="F184" s="88">
        <v>91000</v>
      </c>
      <c r="G184" s="80">
        <v>1.002</v>
      </c>
      <c r="H184" s="104">
        <v>367.11372999999998</v>
      </c>
      <c r="I184" s="38">
        <v>0.16097264266145028</v>
      </c>
      <c r="J184" s="38">
        <v>1.1306737630707388E-3</v>
      </c>
      <c r="K184" s="32"/>
      <c r="L184" s="32"/>
    </row>
    <row r="185" spans="1:12" x14ac:dyDescent="0.2">
      <c r="A185" s="30" t="s">
        <v>1504</v>
      </c>
      <c r="B185" s="46" t="s">
        <v>1778</v>
      </c>
      <c r="C185" s="46" t="s">
        <v>179</v>
      </c>
      <c r="D185" s="85" t="s">
        <v>126</v>
      </c>
      <c r="E185" s="46" t="s">
        <v>1777</v>
      </c>
      <c r="F185" s="88">
        <v>-108637.62</v>
      </c>
      <c r="G185" s="80">
        <v>0.99970000000000003</v>
      </c>
      <c r="H185" s="104">
        <v>-373.74378000000002</v>
      </c>
      <c r="I185" s="38">
        <v>-0.16387979808022896</v>
      </c>
      <c r="J185" s="38">
        <v>-1.1510936574256768E-3</v>
      </c>
      <c r="K185" s="32"/>
      <c r="L185" s="32"/>
    </row>
    <row r="186" spans="1:12" x14ac:dyDescent="0.2">
      <c r="A186" s="30" t="s">
        <v>1501</v>
      </c>
      <c r="B186" s="46" t="s">
        <v>1779</v>
      </c>
      <c r="C186" s="46" t="s">
        <v>179</v>
      </c>
      <c r="D186" s="85" t="s">
        <v>127</v>
      </c>
      <c r="E186" s="46" t="s">
        <v>1780</v>
      </c>
      <c r="F186" s="88">
        <v>312000</v>
      </c>
      <c r="G186" s="80">
        <v>1.002</v>
      </c>
      <c r="H186" s="104">
        <v>1258.6768500000001</v>
      </c>
      <c r="I186" s="38">
        <v>0.55190673146790203</v>
      </c>
      <c r="J186" s="38">
        <v>3.8765994681798578E-3</v>
      </c>
      <c r="K186" s="32"/>
      <c r="L186" s="32"/>
    </row>
    <row r="187" spans="1:12" x14ac:dyDescent="0.2">
      <c r="A187" s="30" t="s">
        <v>1504</v>
      </c>
      <c r="B187" s="46" t="s">
        <v>1781</v>
      </c>
      <c r="C187" s="46" t="s">
        <v>179</v>
      </c>
      <c r="D187" s="85" t="s">
        <v>126</v>
      </c>
      <c r="E187" s="46" t="s">
        <v>1780</v>
      </c>
      <c r="F187" s="88">
        <v>-371320.56</v>
      </c>
      <c r="G187" s="80">
        <v>0.99970000000000003</v>
      </c>
      <c r="H187" s="104">
        <v>-1277.4475199999999</v>
      </c>
      <c r="I187" s="38">
        <v>-0.56013732626049118</v>
      </c>
      <c r="J187" s="38">
        <v>-3.9344112642253478E-3</v>
      </c>
      <c r="K187" s="32"/>
      <c r="L187" s="32"/>
    </row>
    <row r="188" spans="1:12" x14ac:dyDescent="0.2">
      <c r="A188" s="30" t="s">
        <v>1782</v>
      </c>
      <c r="B188" s="46" t="s">
        <v>1783</v>
      </c>
      <c r="C188" s="46" t="s">
        <v>179</v>
      </c>
      <c r="D188" s="85" t="s">
        <v>224</v>
      </c>
      <c r="E188" s="46" t="s">
        <v>1780</v>
      </c>
      <c r="F188" s="88">
        <v>608451506.70145583</v>
      </c>
      <c r="G188" s="80">
        <v>1.0001</v>
      </c>
      <c r="H188" s="104">
        <v>1791.5091851329294</v>
      </c>
      <c r="I188" s="38">
        <v>0.78554394542287764</v>
      </c>
      <c r="J188" s="38">
        <v>5.5176700471814069E-3</v>
      </c>
      <c r="K188" s="32"/>
      <c r="L188" s="32"/>
    </row>
    <row r="189" spans="1:12" x14ac:dyDescent="0.2">
      <c r="A189" s="30" t="s">
        <v>1784</v>
      </c>
      <c r="B189" s="46" t="s">
        <v>1785</v>
      </c>
      <c r="C189" s="46" t="s">
        <v>179</v>
      </c>
      <c r="D189" s="85" t="s">
        <v>126</v>
      </c>
      <c r="E189" s="46" t="s">
        <v>1780</v>
      </c>
      <c r="F189" s="88">
        <v>-513386.18548389117</v>
      </c>
      <c r="G189" s="80">
        <v>0.99990000000000001</v>
      </c>
      <c r="H189" s="104">
        <v>-1766.4863578041759</v>
      </c>
      <c r="I189" s="38">
        <v>-0.7745718942223665</v>
      </c>
      <c r="J189" s="38">
        <v>-5.4406022286106574E-3</v>
      </c>
      <c r="K189" s="32"/>
      <c r="L189" s="32"/>
    </row>
    <row r="190" spans="1:12" x14ac:dyDescent="0.2">
      <c r="A190" s="30" t="s">
        <v>1501</v>
      </c>
      <c r="B190" s="46" t="s">
        <v>1786</v>
      </c>
      <c r="C190" s="46" t="s">
        <v>179</v>
      </c>
      <c r="D190" s="85" t="s">
        <v>127</v>
      </c>
      <c r="E190" s="46" t="s">
        <v>1601</v>
      </c>
      <c r="F190" s="88">
        <v>119713.37060610915</v>
      </c>
      <c r="G190" s="80">
        <v>1.002</v>
      </c>
      <c r="H190" s="104">
        <v>482.94978821997074</v>
      </c>
      <c r="I190" s="38">
        <v>0.21176463131072884</v>
      </c>
      <c r="J190" s="38">
        <v>1.4874372974851436E-3</v>
      </c>
      <c r="K190" s="32"/>
      <c r="L190" s="32"/>
    </row>
    <row r="191" spans="1:12" x14ac:dyDescent="0.2">
      <c r="A191" s="30" t="s">
        <v>1504</v>
      </c>
      <c r="B191" s="46" t="s">
        <v>1787</v>
      </c>
      <c r="C191" s="46" t="s">
        <v>179</v>
      </c>
      <c r="D191" s="85" t="s">
        <v>126</v>
      </c>
      <c r="E191" s="46" t="s">
        <v>1601</v>
      </c>
      <c r="F191" s="88">
        <v>-141535.92093389679</v>
      </c>
      <c r="G191" s="80">
        <v>0.99970000000000003</v>
      </c>
      <c r="H191" s="104">
        <v>-486.92314083274135</v>
      </c>
      <c r="I191" s="38">
        <v>-0.2135068736134165</v>
      </c>
      <c r="J191" s="38">
        <v>-1.4996748282108082E-3</v>
      </c>
      <c r="K191" s="32"/>
      <c r="L191" s="32"/>
    </row>
    <row r="192" spans="1:12" x14ac:dyDescent="0.2">
      <c r="A192" s="30" t="s">
        <v>1490</v>
      </c>
      <c r="B192" s="46" t="s">
        <v>1788</v>
      </c>
      <c r="C192" s="46" t="s">
        <v>179</v>
      </c>
      <c r="D192" s="85" t="s">
        <v>295</v>
      </c>
      <c r="E192" s="46" t="s">
        <v>1483</v>
      </c>
      <c r="F192" s="88">
        <v>8564110.3587447312</v>
      </c>
      <c r="G192" s="80">
        <v>1</v>
      </c>
      <c r="H192" s="104">
        <v>278.75506308857922</v>
      </c>
      <c r="I192" s="38">
        <v>0.12222898653403101</v>
      </c>
      <c r="J192" s="38">
        <v>8.5853786007236796E-4</v>
      </c>
      <c r="K192" s="32"/>
      <c r="L192" s="32"/>
    </row>
    <row r="193" spans="1:12" x14ac:dyDescent="0.2">
      <c r="A193" s="30" t="s">
        <v>1493</v>
      </c>
      <c r="B193" s="46" t="s">
        <v>1789</v>
      </c>
      <c r="C193" s="46" t="s">
        <v>179</v>
      </c>
      <c r="D193" s="85" t="s">
        <v>126</v>
      </c>
      <c r="E193" s="46" t="s">
        <v>1483</v>
      </c>
      <c r="F193" s="88">
        <v>-80663.367214105281</v>
      </c>
      <c r="G193" s="80">
        <v>0.99990000000000001</v>
      </c>
      <c r="H193" s="104">
        <v>-277.55487503399792</v>
      </c>
      <c r="I193" s="38">
        <v>-0.12170272606745391</v>
      </c>
      <c r="J193" s="38">
        <v>-8.5484140027483884E-4</v>
      </c>
      <c r="K193" s="32"/>
      <c r="L193" s="32"/>
    </row>
    <row r="194" spans="1:12" x14ac:dyDescent="0.2">
      <c r="A194" s="30" t="s">
        <v>1501</v>
      </c>
      <c r="B194" s="46" t="s">
        <v>1790</v>
      </c>
      <c r="C194" s="46" t="s">
        <v>179</v>
      </c>
      <c r="D194" s="85" t="s">
        <v>127</v>
      </c>
      <c r="E194" s="46" t="s">
        <v>396</v>
      </c>
      <c r="F194" s="88">
        <v>322305.22855490923</v>
      </c>
      <c r="G194" s="80">
        <v>1.002</v>
      </c>
      <c r="H194" s="104">
        <v>1300.251237424058</v>
      </c>
      <c r="I194" s="38">
        <v>0.57013633843651512</v>
      </c>
      <c r="J194" s="38">
        <v>4.0046444450760376E-3</v>
      </c>
      <c r="K194" s="32"/>
      <c r="L194" s="32"/>
    </row>
    <row r="195" spans="1:12" x14ac:dyDescent="0.2">
      <c r="A195" s="30" t="s">
        <v>1504</v>
      </c>
      <c r="B195" s="46" t="s">
        <v>1791</v>
      </c>
      <c r="C195" s="46" t="s">
        <v>179</v>
      </c>
      <c r="D195" s="85" t="s">
        <v>126</v>
      </c>
      <c r="E195" s="46" t="s">
        <v>396</v>
      </c>
      <c r="F195" s="88">
        <v>-382395.81536668655</v>
      </c>
      <c r="G195" s="80">
        <v>0.99970000000000003</v>
      </c>
      <c r="H195" s="104">
        <v>-1315.5495592480493</v>
      </c>
      <c r="I195" s="38">
        <v>-0.57684437219023288</v>
      </c>
      <c r="J195" s="38">
        <v>-4.0517617542145425E-3</v>
      </c>
      <c r="K195" s="32"/>
      <c r="L195" s="32"/>
    </row>
    <row r="196" spans="1:12" x14ac:dyDescent="0.2">
      <c r="A196" s="30" t="s">
        <v>1506</v>
      </c>
      <c r="B196" s="46" t="s">
        <v>1792</v>
      </c>
      <c r="C196" s="46" t="s">
        <v>179</v>
      </c>
      <c r="D196" s="85" t="s">
        <v>126</v>
      </c>
      <c r="E196" s="46" t="s">
        <v>1508</v>
      </c>
      <c r="F196" s="88">
        <v>439901.15326359746</v>
      </c>
      <c r="G196" s="80">
        <v>0.99970000000000003</v>
      </c>
      <c r="H196" s="104">
        <v>1513.2673210165399</v>
      </c>
      <c r="I196" s="38">
        <v>0.66353998723296359</v>
      </c>
      <c r="J196" s="38">
        <v>4.6607127888835618E-3</v>
      </c>
      <c r="K196" s="32"/>
      <c r="L196" s="32"/>
    </row>
    <row r="197" spans="1:12" x14ac:dyDescent="0.2">
      <c r="A197" s="30" t="s">
        <v>1509</v>
      </c>
      <c r="B197" s="46" t="s">
        <v>1793</v>
      </c>
      <c r="C197" s="46" t="s">
        <v>179</v>
      </c>
      <c r="D197" s="85" t="s">
        <v>2</v>
      </c>
      <c r="E197" s="46" t="s">
        <v>1508</v>
      </c>
      <c r="F197" s="88">
        <v>-330040.55404022709</v>
      </c>
      <c r="G197" s="80">
        <v>1.0004999999999999</v>
      </c>
      <c r="H197" s="104">
        <v>-1456.5947837320291</v>
      </c>
      <c r="I197" s="38">
        <v>-0.63869011824817445</v>
      </c>
      <c r="J197" s="38">
        <v>-4.4861670125808219E-3</v>
      </c>
      <c r="K197" s="32"/>
      <c r="L197" s="32"/>
    </row>
    <row r="198" spans="1:12" x14ac:dyDescent="0.2">
      <c r="A198" s="30" t="s">
        <v>1509</v>
      </c>
      <c r="B198" s="46" t="s">
        <v>1794</v>
      </c>
      <c r="C198" s="46" t="s">
        <v>179</v>
      </c>
      <c r="D198" s="85" t="s">
        <v>2</v>
      </c>
      <c r="E198" s="46" t="s">
        <v>1508</v>
      </c>
      <c r="F198" s="88">
        <v>161000</v>
      </c>
      <c r="G198" s="80">
        <v>1.0004999999999999</v>
      </c>
      <c r="H198" s="104">
        <v>710.55393000000004</v>
      </c>
      <c r="I198" s="38">
        <v>0.31156487627302626</v>
      </c>
      <c r="J198" s="38">
        <v>2.1884354090973453E-3</v>
      </c>
      <c r="K198" s="32"/>
      <c r="L198" s="32"/>
    </row>
    <row r="199" spans="1:12" x14ac:dyDescent="0.2">
      <c r="A199" s="30" t="s">
        <v>1506</v>
      </c>
      <c r="B199" s="46" t="s">
        <v>1795</v>
      </c>
      <c r="C199" s="46" t="s">
        <v>179</v>
      </c>
      <c r="D199" s="85" t="s">
        <v>126</v>
      </c>
      <c r="E199" s="46" t="s">
        <v>1508</v>
      </c>
      <c r="F199" s="88">
        <v>-214860.14</v>
      </c>
      <c r="G199" s="80">
        <v>0.99970000000000003</v>
      </c>
      <c r="H199" s="104">
        <v>-739.12227000000007</v>
      </c>
      <c r="I199" s="38">
        <v>-0.32409156980271475</v>
      </c>
      <c r="J199" s="38">
        <v>-2.2764230539410409E-3</v>
      </c>
      <c r="K199" s="32"/>
      <c r="L199" s="32"/>
    </row>
    <row r="200" spans="1:12" x14ac:dyDescent="0.2">
      <c r="A200" s="30" t="s">
        <v>1504</v>
      </c>
      <c r="B200" s="46" t="s">
        <v>1796</v>
      </c>
      <c r="C200" s="46" t="s">
        <v>179</v>
      </c>
      <c r="D200" s="85" t="s">
        <v>126</v>
      </c>
      <c r="E200" s="46" t="s">
        <v>387</v>
      </c>
      <c r="F200" s="88">
        <v>248959.2</v>
      </c>
      <c r="G200" s="80">
        <v>0.99970000000000003</v>
      </c>
      <c r="H200" s="104">
        <v>856.48990000000003</v>
      </c>
      <c r="I200" s="38">
        <v>0.375555124609045</v>
      </c>
      <c r="J200" s="38">
        <v>2.6379036770569188E-3</v>
      </c>
      <c r="K200" s="32"/>
      <c r="L200" s="32"/>
    </row>
    <row r="201" spans="1:12" x14ac:dyDescent="0.2">
      <c r="A201" s="30" t="s">
        <v>1501</v>
      </c>
      <c r="B201" s="46" t="s">
        <v>1797</v>
      </c>
      <c r="C201" s="46" t="s">
        <v>179</v>
      </c>
      <c r="D201" s="85" t="s">
        <v>127</v>
      </c>
      <c r="E201" s="46" t="s">
        <v>387</v>
      </c>
      <c r="F201" s="88">
        <v>-210000</v>
      </c>
      <c r="G201" s="80">
        <v>1.002</v>
      </c>
      <c r="H201" s="104">
        <v>-847.18684999999994</v>
      </c>
      <c r="I201" s="38">
        <v>-0.37147590767724675</v>
      </c>
      <c r="J201" s="38">
        <v>-2.6092512086473736E-3</v>
      </c>
      <c r="K201" s="32"/>
      <c r="L201" s="32"/>
    </row>
    <row r="202" spans="1:12" x14ac:dyDescent="0.2">
      <c r="A202" s="30" t="s">
        <v>1501</v>
      </c>
      <c r="B202" s="46" t="s">
        <v>1798</v>
      </c>
      <c r="C202" s="46" t="s">
        <v>179</v>
      </c>
      <c r="D202" s="85" t="s">
        <v>127</v>
      </c>
      <c r="E202" s="46" t="s">
        <v>1622</v>
      </c>
      <c r="F202" s="88">
        <v>276261.62447563652</v>
      </c>
      <c r="G202" s="80">
        <v>1.002</v>
      </c>
      <c r="H202" s="104">
        <v>1114.5001764935962</v>
      </c>
      <c r="I202" s="38">
        <v>0.48868790240241616</v>
      </c>
      <c r="J202" s="38">
        <v>3.4325496583824775E-3</v>
      </c>
      <c r="K202" s="32"/>
      <c r="L202" s="32"/>
    </row>
    <row r="203" spans="1:12" x14ac:dyDescent="0.2">
      <c r="A203" s="30" t="s">
        <v>1504</v>
      </c>
      <c r="B203" s="46" t="s">
        <v>1799</v>
      </c>
      <c r="C203" s="46" t="s">
        <v>179</v>
      </c>
      <c r="D203" s="85" t="s">
        <v>126</v>
      </c>
      <c r="E203" s="46" t="s">
        <v>1622</v>
      </c>
      <c r="F203" s="88">
        <v>-327386.60070109781</v>
      </c>
      <c r="G203" s="80">
        <v>0.99970000000000003</v>
      </c>
      <c r="H203" s="104">
        <v>-1126.3023311195529</v>
      </c>
      <c r="I203" s="38">
        <v>-0.49386293091262551</v>
      </c>
      <c r="J203" s="38">
        <v>-3.468899120395988E-3</v>
      </c>
      <c r="K203" s="32"/>
      <c r="L203" s="32"/>
    </row>
    <row r="204" spans="1:12" x14ac:dyDescent="0.2">
      <c r="A204" s="30" t="s">
        <v>1504</v>
      </c>
      <c r="B204" s="46" t="s">
        <v>1800</v>
      </c>
      <c r="C204" s="46" t="s">
        <v>179</v>
      </c>
      <c r="D204" s="85" t="s">
        <v>126</v>
      </c>
      <c r="E204" s="46" t="s">
        <v>1622</v>
      </c>
      <c r="F204" s="88">
        <v>248493</v>
      </c>
      <c r="G204" s="80">
        <v>0.99970000000000003</v>
      </c>
      <c r="H204" s="104">
        <v>854.8860699999999</v>
      </c>
      <c r="I204" s="38">
        <v>0.37485187454678304</v>
      </c>
      <c r="J204" s="38">
        <v>2.6329640402271387E-3</v>
      </c>
      <c r="K204" s="32"/>
      <c r="L204" s="32"/>
    </row>
    <row r="205" spans="1:12" x14ac:dyDescent="0.2">
      <c r="A205" s="30" t="s">
        <v>1501</v>
      </c>
      <c r="B205" s="46" t="s">
        <v>1801</v>
      </c>
      <c r="C205" s="46" t="s">
        <v>179</v>
      </c>
      <c r="D205" s="85" t="s">
        <v>127</v>
      </c>
      <c r="E205" s="46" t="s">
        <v>1622</v>
      </c>
      <c r="F205" s="88">
        <v>-210000</v>
      </c>
      <c r="G205" s="80">
        <v>1.002</v>
      </c>
      <c r="H205" s="104">
        <v>-847.18619999999999</v>
      </c>
      <c r="I205" s="38">
        <v>-0.37147562266415901</v>
      </c>
      <c r="J205" s="38">
        <v>-2.6092492067120443E-3</v>
      </c>
      <c r="K205" s="32"/>
      <c r="L205" s="32"/>
    </row>
    <row r="206" spans="1:12" x14ac:dyDescent="0.2">
      <c r="A206" s="30" t="s">
        <v>1501</v>
      </c>
      <c r="B206" s="46" t="s">
        <v>1802</v>
      </c>
      <c r="C206" s="46" t="s">
        <v>179</v>
      </c>
      <c r="D206" s="85" t="s">
        <v>127</v>
      </c>
      <c r="E206" s="46" t="s">
        <v>1630</v>
      </c>
      <c r="F206" s="88">
        <v>138130.81223781826</v>
      </c>
      <c r="G206" s="80">
        <v>1.002</v>
      </c>
      <c r="H206" s="104">
        <v>557.25008820075459</v>
      </c>
      <c r="I206" s="38">
        <v>0.24434395118101881</v>
      </c>
      <c r="J206" s="38">
        <v>1.7162748290494292E-3</v>
      </c>
      <c r="K206" s="32"/>
      <c r="L206" s="32"/>
    </row>
    <row r="207" spans="1:12" x14ac:dyDescent="0.2">
      <c r="A207" s="30" t="s">
        <v>1504</v>
      </c>
      <c r="B207" s="46" t="s">
        <v>1803</v>
      </c>
      <c r="C207" s="46" t="s">
        <v>179</v>
      </c>
      <c r="D207" s="85" t="s">
        <v>126</v>
      </c>
      <c r="E207" s="46" t="s">
        <v>1630</v>
      </c>
      <c r="F207" s="88">
        <v>-163796.89845972726</v>
      </c>
      <c r="G207" s="80">
        <v>0.99970000000000003</v>
      </c>
      <c r="H207" s="104">
        <v>-563.50757229303861</v>
      </c>
      <c r="I207" s="38">
        <v>-0.2470877432771274</v>
      </c>
      <c r="J207" s="38">
        <v>-1.7355472574763857E-3</v>
      </c>
      <c r="K207" s="32"/>
      <c r="L207" s="32"/>
    </row>
    <row r="208" spans="1:12" x14ac:dyDescent="0.2">
      <c r="A208" s="30" t="s">
        <v>1501</v>
      </c>
      <c r="B208" s="46" t="s">
        <v>1804</v>
      </c>
      <c r="C208" s="46" t="s">
        <v>179</v>
      </c>
      <c r="D208" s="85" t="s">
        <v>127</v>
      </c>
      <c r="E208" s="46" t="s">
        <v>1486</v>
      </c>
      <c r="F208" s="88">
        <v>184174.416317091</v>
      </c>
      <c r="G208" s="80">
        <v>1.002</v>
      </c>
      <c r="H208" s="104">
        <v>743.00011766239754</v>
      </c>
      <c r="I208" s="38">
        <v>0.32579193493494413</v>
      </c>
      <c r="J208" s="38">
        <v>2.2883664389216516E-3</v>
      </c>
      <c r="K208" s="32"/>
      <c r="L208" s="32"/>
    </row>
    <row r="209" spans="1:14" x14ac:dyDescent="0.2">
      <c r="A209" s="30" t="s">
        <v>1504</v>
      </c>
      <c r="B209" s="46" t="s">
        <v>1805</v>
      </c>
      <c r="C209" s="46" t="s">
        <v>179</v>
      </c>
      <c r="D209" s="85" t="s">
        <v>126</v>
      </c>
      <c r="E209" s="46" t="s">
        <v>1486</v>
      </c>
      <c r="F209" s="88">
        <v>-214927.86035371886</v>
      </c>
      <c r="G209" s="80">
        <v>0.99970000000000003</v>
      </c>
      <c r="H209" s="104">
        <v>-739.41251597033568</v>
      </c>
      <c r="I209" s="38">
        <v>-0.32421883734148749</v>
      </c>
      <c r="J209" s="38">
        <v>-2.2773169826521668E-3</v>
      </c>
      <c r="K209" s="32"/>
      <c r="L209" s="32"/>
    </row>
    <row r="210" spans="1:14" x14ac:dyDescent="0.2">
      <c r="A210" s="30" t="s">
        <v>1806</v>
      </c>
      <c r="B210" s="46" t="s">
        <v>1807</v>
      </c>
      <c r="C210" s="46" t="s">
        <v>179</v>
      </c>
      <c r="D210" s="85" t="s">
        <v>126</v>
      </c>
      <c r="E210" s="46" t="s">
        <v>235</v>
      </c>
      <c r="F210" s="88">
        <v>475.41181510671913</v>
      </c>
      <c r="G210" s="80">
        <v>0.99990000000000001</v>
      </c>
      <c r="H210" s="104">
        <v>1.6358809992394856</v>
      </c>
      <c r="I210" s="38">
        <v>7.173038380428701E-4</v>
      </c>
      <c r="J210" s="38">
        <v>5.0383507185798517E-6</v>
      </c>
      <c r="K210" s="32"/>
      <c r="L210" s="32"/>
    </row>
    <row r="211" spans="1:14" x14ac:dyDescent="0.2">
      <c r="A211" s="30" t="s">
        <v>1808</v>
      </c>
      <c r="B211" s="46" t="s">
        <v>1809</v>
      </c>
      <c r="C211" s="46" t="s">
        <v>179</v>
      </c>
      <c r="D211" s="85" t="s">
        <v>65</v>
      </c>
      <c r="E211" s="46" t="s">
        <v>235</v>
      </c>
      <c r="F211" s="88">
        <v>-3684.5365550322886</v>
      </c>
      <c r="G211" s="80">
        <v>0.99990000000000001</v>
      </c>
      <c r="H211" s="104">
        <v>-1.6388739255918467</v>
      </c>
      <c r="I211" s="38">
        <v>-7.1861618139824033E-4</v>
      </c>
      <c r="J211" s="38">
        <v>-5.0475686339692266E-6</v>
      </c>
      <c r="K211" s="32"/>
      <c r="L211" s="32"/>
    </row>
    <row r="212" spans="1:14" s="139" customFormat="1" x14ac:dyDescent="0.2">
      <c r="A212" s="112" t="s">
        <v>1279</v>
      </c>
      <c r="B212" s="142" t="s">
        <v>239</v>
      </c>
      <c r="C212" s="142" t="s">
        <v>239</v>
      </c>
      <c r="D212" s="146" t="s">
        <v>239</v>
      </c>
      <c r="E212" s="142" t="s">
        <v>239</v>
      </c>
      <c r="F212" s="157" t="s">
        <v>239</v>
      </c>
      <c r="G212" s="147" t="s">
        <v>239</v>
      </c>
      <c r="H212" s="148">
        <v>0</v>
      </c>
      <c r="I212" s="145">
        <v>0</v>
      </c>
      <c r="J212" s="145">
        <v>0</v>
      </c>
      <c r="K212" s="178"/>
      <c r="L212" s="178"/>
      <c r="M212" s="154"/>
      <c r="N212" s="154"/>
    </row>
    <row r="213" spans="1:14" s="139" customFormat="1" x14ac:dyDescent="0.2">
      <c r="A213" s="234" t="s">
        <v>143</v>
      </c>
      <c r="B213" s="235" t="s">
        <v>239</v>
      </c>
      <c r="C213" s="235" t="s">
        <v>239</v>
      </c>
      <c r="D213" s="236" t="s">
        <v>239</v>
      </c>
      <c r="E213" s="235" t="s">
        <v>239</v>
      </c>
      <c r="F213" s="239" t="s">
        <v>239</v>
      </c>
      <c r="G213" s="237" t="s">
        <v>239</v>
      </c>
      <c r="H213" s="240">
        <v>0</v>
      </c>
      <c r="I213" s="238">
        <v>0</v>
      </c>
      <c r="J213" s="238">
        <v>0</v>
      </c>
      <c r="K213" s="178"/>
      <c r="L213" s="178"/>
      <c r="M213" s="154"/>
      <c r="N213" s="154"/>
    </row>
    <row r="214" spans="1:14" s="139" customFormat="1" x14ac:dyDescent="0.2">
      <c r="A214" s="97" t="s">
        <v>230</v>
      </c>
      <c r="B214" s="149"/>
      <c r="C214" s="97"/>
      <c r="D214" s="150"/>
      <c r="E214" s="150"/>
      <c r="F214" s="150"/>
      <c r="G214" s="151"/>
      <c r="H214" s="152"/>
      <c r="I214" s="152"/>
      <c r="J214" s="153"/>
      <c r="K214" s="168"/>
      <c r="L214" s="168"/>
      <c r="M214" s="154"/>
      <c r="N214" s="154"/>
    </row>
    <row r="215" spans="1:14" s="139" customFormat="1" x14ac:dyDescent="0.2">
      <c r="A215" s="97" t="s">
        <v>231</v>
      </c>
      <c r="B215" s="149"/>
      <c r="C215" s="97"/>
      <c r="D215" s="150"/>
      <c r="E215" s="150"/>
      <c r="F215" s="150"/>
      <c r="G215" s="151"/>
      <c r="H215" s="152"/>
      <c r="I215" s="152"/>
      <c r="J215" s="153"/>
      <c r="K215" s="168"/>
      <c r="L215" s="168"/>
      <c r="M215" s="154"/>
      <c r="N215" s="154"/>
    </row>
    <row r="216" spans="1:14" s="139" customFormat="1" x14ac:dyDescent="0.2">
      <c r="A216" s="97" t="s">
        <v>232</v>
      </c>
      <c r="B216" s="149"/>
      <c r="C216" s="97"/>
      <c r="D216" s="150"/>
      <c r="E216" s="150"/>
      <c r="F216" s="150"/>
      <c r="G216" s="151"/>
      <c r="H216" s="152"/>
      <c r="I216" s="152"/>
      <c r="J216" s="153"/>
      <c r="K216" s="168"/>
      <c r="L216" s="168"/>
      <c r="M216" s="154"/>
      <c r="N216" s="154"/>
    </row>
    <row r="217" spans="1:14" s="139" customFormat="1" x14ac:dyDescent="0.2">
      <c r="A217" s="97" t="s">
        <v>233</v>
      </c>
      <c r="B217" s="149"/>
      <c r="C217" s="97"/>
      <c r="D217" s="150"/>
      <c r="E217" s="150"/>
      <c r="F217" s="150"/>
      <c r="G217" s="151"/>
      <c r="H217" s="152"/>
      <c r="I217" s="152"/>
      <c r="J217" s="153"/>
      <c r="K217" s="168"/>
      <c r="L217" s="168"/>
      <c r="M217" s="154"/>
      <c r="N217" s="154"/>
    </row>
    <row r="218" spans="1:14" s="139" customFormat="1" x14ac:dyDescent="0.2">
      <c r="A218" s="97" t="s">
        <v>234</v>
      </c>
      <c r="B218" s="149"/>
      <c r="C218" s="97"/>
      <c r="D218" s="150"/>
      <c r="E218" s="150"/>
      <c r="F218" s="150"/>
      <c r="G218" s="151"/>
      <c r="H218" s="152"/>
      <c r="I218" s="152"/>
      <c r="J218" s="153"/>
      <c r="K218" s="168"/>
      <c r="L218" s="168"/>
      <c r="M218" s="154"/>
      <c r="N218" s="154"/>
    </row>
  </sheetData>
  <mergeCells count="2">
    <mergeCell ref="A6:J6"/>
    <mergeCell ref="A5:J5"/>
  </mergeCells>
  <conditionalFormatting sqref="I11:J213">
    <cfRule type="expression" dxfId="73" priority="387" stopIfTrue="1">
      <formula>OR(LEFT(#REF!,3)="TIR",LEFT(#REF!,2)="IR")</formula>
    </cfRule>
  </conditionalFormatting>
  <conditionalFormatting sqref="A11:A213 H11:I213">
    <cfRule type="expression" dxfId="72" priority="388" stopIfTrue="1">
      <formula>#REF!&gt;0</formula>
    </cfRule>
  </conditionalFormatting>
  <conditionalFormatting sqref="B11:E213">
    <cfRule type="expression" dxfId="7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158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 t="s">
        <v>239</v>
      </c>
      <c r="C10" s="86" t="s">
        <v>239</v>
      </c>
      <c r="D10" s="122"/>
      <c r="E10" s="122" t="s">
        <v>239</v>
      </c>
      <c r="F10" s="122" t="s">
        <v>239</v>
      </c>
      <c r="G10" s="122" t="s">
        <v>239</v>
      </c>
      <c r="H10" s="122" t="s">
        <v>239</v>
      </c>
      <c r="I10" s="86" t="s">
        <v>239</v>
      </c>
      <c r="J10" s="86" t="s">
        <v>239</v>
      </c>
      <c r="K10" s="123" t="s">
        <v>239</v>
      </c>
      <c r="L10" s="122" t="s">
        <v>239</v>
      </c>
      <c r="M10" s="124">
        <v>1.2000000000000002E-6</v>
      </c>
      <c r="N10" s="86" t="s">
        <v>239</v>
      </c>
      <c r="O10" s="86">
        <v>0</v>
      </c>
      <c r="P10" s="101">
        <v>0</v>
      </c>
    </row>
    <row r="11" spans="1:16" s="139" customFormat="1" x14ac:dyDescent="0.2">
      <c r="A11" s="111" t="s">
        <v>139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6" t="s">
        <v>239</v>
      </c>
      <c r="H11" s="146" t="s">
        <v>239</v>
      </c>
      <c r="I11" s="142" t="s">
        <v>239</v>
      </c>
      <c r="J11" s="142" t="s">
        <v>239</v>
      </c>
      <c r="K11" s="155" t="s">
        <v>239</v>
      </c>
      <c r="L11" s="146" t="s">
        <v>239</v>
      </c>
      <c r="M11" s="143">
        <v>0</v>
      </c>
      <c r="N11" s="142" t="s">
        <v>239</v>
      </c>
      <c r="O11" s="142">
        <v>0</v>
      </c>
      <c r="P11" s="142">
        <v>0</v>
      </c>
    </row>
    <row r="12" spans="1:16" s="139" customFormat="1" x14ac:dyDescent="0.2">
      <c r="A12" s="112" t="s">
        <v>1368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6" t="s">
        <v>239</v>
      </c>
      <c r="H12" s="146" t="s">
        <v>239</v>
      </c>
      <c r="I12" s="142" t="s">
        <v>239</v>
      </c>
      <c r="J12" s="142" t="s">
        <v>239</v>
      </c>
      <c r="K12" s="157" t="s">
        <v>239</v>
      </c>
      <c r="L12" s="146" t="s">
        <v>239</v>
      </c>
      <c r="M12" s="148">
        <v>0</v>
      </c>
      <c r="N12" s="145" t="s">
        <v>239</v>
      </c>
      <c r="O12" s="145">
        <v>0</v>
      </c>
      <c r="P12" s="145">
        <v>0</v>
      </c>
    </row>
    <row r="13" spans="1:16" s="139" customFormat="1" x14ac:dyDescent="0.2">
      <c r="A13" s="112" t="s">
        <v>1369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6" t="s">
        <v>239</v>
      </c>
      <c r="H13" s="146" t="s">
        <v>239</v>
      </c>
      <c r="I13" s="142" t="s">
        <v>239</v>
      </c>
      <c r="J13" s="142" t="s">
        <v>239</v>
      </c>
      <c r="K13" s="157" t="s">
        <v>239</v>
      </c>
      <c r="L13" s="146" t="s">
        <v>239</v>
      </c>
      <c r="M13" s="148">
        <v>0</v>
      </c>
      <c r="N13" s="145" t="s">
        <v>239</v>
      </c>
      <c r="O13" s="145">
        <v>0</v>
      </c>
      <c r="P13" s="145">
        <v>0</v>
      </c>
    </row>
    <row r="14" spans="1:16" s="139" customFormat="1" x14ac:dyDescent="0.2">
      <c r="A14" s="112" t="s">
        <v>1370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6" t="s">
        <v>239</v>
      </c>
      <c r="H14" s="146" t="s">
        <v>239</v>
      </c>
      <c r="I14" s="142" t="s">
        <v>239</v>
      </c>
      <c r="J14" s="142" t="s">
        <v>239</v>
      </c>
      <c r="K14" s="157" t="s">
        <v>239</v>
      </c>
      <c r="L14" s="146" t="s">
        <v>239</v>
      </c>
      <c r="M14" s="148">
        <v>0</v>
      </c>
      <c r="N14" s="145" t="s">
        <v>239</v>
      </c>
      <c r="O14" s="145">
        <v>0</v>
      </c>
      <c r="P14" s="145">
        <v>0</v>
      </c>
    </row>
    <row r="15" spans="1:16" s="139" customFormat="1" x14ac:dyDescent="0.2">
      <c r="A15" s="112" t="s">
        <v>1371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6" t="s">
        <v>239</v>
      </c>
      <c r="H15" s="146" t="s">
        <v>239</v>
      </c>
      <c r="I15" s="142" t="s">
        <v>239</v>
      </c>
      <c r="J15" s="142" t="s">
        <v>239</v>
      </c>
      <c r="K15" s="157" t="s">
        <v>239</v>
      </c>
      <c r="L15" s="146" t="s">
        <v>239</v>
      </c>
      <c r="M15" s="148">
        <v>0</v>
      </c>
      <c r="N15" s="145" t="s">
        <v>239</v>
      </c>
      <c r="O15" s="145">
        <v>0</v>
      </c>
      <c r="P15" s="145">
        <v>0</v>
      </c>
    </row>
    <row r="16" spans="1:16" s="139" customFormat="1" x14ac:dyDescent="0.2">
      <c r="A16" s="112" t="s">
        <v>1372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6" t="s">
        <v>239</v>
      </c>
      <c r="H16" s="146" t="s">
        <v>239</v>
      </c>
      <c r="I16" s="142" t="s">
        <v>239</v>
      </c>
      <c r="J16" s="142" t="s">
        <v>239</v>
      </c>
      <c r="K16" s="157" t="s">
        <v>239</v>
      </c>
      <c r="L16" s="146" t="s">
        <v>239</v>
      </c>
      <c r="M16" s="148">
        <v>0</v>
      </c>
      <c r="N16" s="145" t="s">
        <v>239</v>
      </c>
      <c r="O16" s="145">
        <v>0</v>
      </c>
      <c r="P16" s="145">
        <v>0</v>
      </c>
    </row>
    <row r="17" spans="1:16" s="139" customFormat="1" x14ac:dyDescent="0.2">
      <c r="A17" s="112" t="s">
        <v>1373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6" t="s">
        <v>239</v>
      </c>
      <c r="H17" s="146" t="s">
        <v>239</v>
      </c>
      <c r="I17" s="142" t="s">
        <v>239</v>
      </c>
      <c r="J17" s="142" t="s">
        <v>239</v>
      </c>
      <c r="K17" s="157" t="s">
        <v>239</v>
      </c>
      <c r="L17" s="146" t="s">
        <v>239</v>
      </c>
      <c r="M17" s="148">
        <v>0</v>
      </c>
      <c r="N17" s="145" t="s">
        <v>239</v>
      </c>
      <c r="O17" s="145">
        <v>0</v>
      </c>
      <c r="P17" s="145">
        <v>0</v>
      </c>
    </row>
    <row r="18" spans="1:16" s="139" customFormat="1" x14ac:dyDescent="0.2">
      <c r="A18" s="112" t="s">
        <v>1374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6" t="s">
        <v>239</v>
      </c>
      <c r="H18" s="146" t="s">
        <v>239</v>
      </c>
      <c r="I18" s="142" t="s">
        <v>239</v>
      </c>
      <c r="J18" s="142" t="s">
        <v>239</v>
      </c>
      <c r="K18" s="157" t="s">
        <v>239</v>
      </c>
      <c r="L18" s="146" t="s">
        <v>239</v>
      </c>
      <c r="M18" s="148">
        <v>0</v>
      </c>
      <c r="N18" s="145" t="s">
        <v>239</v>
      </c>
      <c r="O18" s="145">
        <v>0</v>
      </c>
      <c r="P18" s="145">
        <v>0</v>
      </c>
    </row>
    <row r="19" spans="1:16" s="139" customFormat="1" x14ac:dyDescent="0.2">
      <c r="A19" s="112" t="s">
        <v>370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6" t="s">
        <v>239</v>
      </c>
      <c r="H19" s="146" t="s">
        <v>239</v>
      </c>
      <c r="I19" s="142" t="s">
        <v>239</v>
      </c>
      <c r="J19" s="142" t="s">
        <v>239</v>
      </c>
      <c r="K19" s="157" t="s">
        <v>239</v>
      </c>
      <c r="L19" s="146" t="s">
        <v>239</v>
      </c>
      <c r="M19" s="148">
        <v>0</v>
      </c>
      <c r="N19" s="145" t="s">
        <v>239</v>
      </c>
      <c r="O19" s="145">
        <v>0</v>
      </c>
      <c r="P19" s="145">
        <v>0</v>
      </c>
    </row>
    <row r="20" spans="1:16" s="139" customFormat="1" x14ac:dyDescent="0.2">
      <c r="A20" s="112" t="s">
        <v>1368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6" t="s">
        <v>239</v>
      </c>
      <c r="H20" s="146" t="s">
        <v>239</v>
      </c>
      <c r="I20" s="142" t="s">
        <v>239</v>
      </c>
      <c r="J20" s="142" t="s">
        <v>239</v>
      </c>
      <c r="K20" s="157" t="s">
        <v>239</v>
      </c>
      <c r="L20" s="146" t="s">
        <v>239</v>
      </c>
      <c r="M20" s="148">
        <v>0</v>
      </c>
      <c r="N20" s="145" t="s">
        <v>239</v>
      </c>
      <c r="O20" s="145">
        <v>0</v>
      </c>
      <c r="P20" s="145">
        <v>0</v>
      </c>
    </row>
    <row r="21" spans="1:16" s="139" customFormat="1" x14ac:dyDescent="0.2">
      <c r="A21" s="112" t="s">
        <v>1369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42" t="s">
        <v>239</v>
      </c>
      <c r="G21" s="146" t="s">
        <v>239</v>
      </c>
      <c r="H21" s="146" t="s">
        <v>239</v>
      </c>
      <c r="I21" s="142" t="s">
        <v>239</v>
      </c>
      <c r="J21" s="142" t="s">
        <v>239</v>
      </c>
      <c r="K21" s="157" t="s">
        <v>239</v>
      </c>
      <c r="L21" s="146" t="s">
        <v>239</v>
      </c>
      <c r="M21" s="148">
        <v>0</v>
      </c>
      <c r="N21" s="145" t="s">
        <v>239</v>
      </c>
      <c r="O21" s="145">
        <v>0</v>
      </c>
      <c r="P21" s="145">
        <v>0</v>
      </c>
    </row>
    <row r="22" spans="1:16" s="139" customFormat="1" x14ac:dyDescent="0.2">
      <c r="A22" s="112" t="s">
        <v>1370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6" t="s">
        <v>239</v>
      </c>
      <c r="H22" s="146" t="s">
        <v>239</v>
      </c>
      <c r="I22" s="142" t="s">
        <v>239</v>
      </c>
      <c r="J22" s="142" t="s">
        <v>239</v>
      </c>
      <c r="K22" s="157" t="s">
        <v>239</v>
      </c>
      <c r="L22" s="146" t="s">
        <v>239</v>
      </c>
      <c r="M22" s="148">
        <v>0</v>
      </c>
      <c r="N22" s="145" t="s">
        <v>239</v>
      </c>
      <c r="O22" s="145">
        <v>0</v>
      </c>
      <c r="P22" s="145">
        <v>0</v>
      </c>
    </row>
    <row r="23" spans="1:16" s="139" customFormat="1" x14ac:dyDescent="0.2">
      <c r="A23" s="112" t="s">
        <v>1371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42" t="s">
        <v>239</v>
      </c>
      <c r="G23" s="146" t="s">
        <v>239</v>
      </c>
      <c r="H23" s="146" t="s">
        <v>239</v>
      </c>
      <c r="I23" s="142" t="s">
        <v>239</v>
      </c>
      <c r="J23" s="142" t="s">
        <v>239</v>
      </c>
      <c r="K23" s="157" t="s">
        <v>239</v>
      </c>
      <c r="L23" s="146" t="s">
        <v>239</v>
      </c>
      <c r="M23" s="148">
        <v>0</v>
      </c>
      <c r="N23" s="145" t="s">
        <v>239</v>
      </c>
      <c r="O23" s="145">
        <v>0</v>
      </c>
      <c r="P23" s="145">
        <v>0</v>
      </c>
    </row>
    <row r="24" spans="1:16" s="139" customFormat="1" x14ac:dyDescent="0.2">
      <c r="A24" s="112" t="s">
        <v>1372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42" t="s">
        <v>239</v>
      </c>
      <c r="G24" s="146" t="s">
        <v>239</v>
      </c>
      <c r="H24" s="146" t="s">
        <v>239</v>
      </c>
      <c r="I24" s="142" t="s">
        <v>239</v>
      </c>
      <c r="J24" s="142" t="s">
        <v>239</v>
      </c>
      <c r="K24" s="157" t="s">
        <v>239</v>
      </c>
      <c r="L24" s="146" t="s">
        <v>239</v>
      </c>
      <c r="M24" s="148">
        <v>0</v>
      </c>
      <c r="N24" s="145" t="s">
        <v>239</v>
      </c>
      <c r="O24" s="145">
        <v>0</v>
      </c>
      <c r="P24" s="145">
        <v>0</v>
      </c>
    </row>
    <row r="25" spans="1:16" s="139" customFormat="1" x14ac:dyDescent="0.2">
      <c r="A25" s="112" t="s">
        <v>1373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42" t="s">
        <v>239</v>
      </c>
      <c r="G25" s="146" t="s">
        <v>239</v>
      </c>
      <c r="H25" s="146" t="s">
        <v>239</v>
      </c>
      <c r="I25" s="142" t="s">
        <v>239</v>
      </c>
      <c r="J25" s="142" t="s">
        <v>239</v>
      </c>
      <c r="K25" s="157" t="s">
        <v>239</v>
      </c>
      <c r="L25" s="146" t="s">
        <v>239</v>
      </c>
      <c r="M25" s="148">
        <v>0</v>
      </c>
      <c r="N25" s="145" t="s">
        <v>239</v>
      </c>
      <c r="O25" s="145">
        <v>0</v>
      </c>
      <c r="P25" s="145">
        <v>0</v>
      </c>
    </row>
    <row r="26" spans="1:16" s="139" customFormat="1" x14ac:dyDescent="0.2">
      <c r="A26" s="234" t="s">
        <v>1374</v>
      </c>
      <c r="B26" s="235" t="s">
        <v>239</v>
      </c>
      <c r="C26" s="235" t="s">
        <v>239</v>
      </c>
      <c r="D26" s="235" t="s">
        <v>239</v>
      </c>
      <c r="E26" s="235" t="s">
        <v>239</v>
      </c>
      <c r="F26" s="235" t="s">
        <v>239</v>
      </c>
      <c r="G26" s="236" t="s">
        <v>239</v>
      </c>
      <c r="H26" s="236" t="s">
        <v>239</v>
      </c>
      <c r="I26" s="235" t="s">
        <v>239</v>
      </c>
      <c r="J26" s="235" t="s">
        <v>239</v>
      </c>
      <c r="K26" s="239" t="s">
        <v>239</v>
      </c>
      <c r="L26" s="236" t="s">
        <v>239</v>
      </c>
      <c r="M26" s="240">
        <v>0</v>
      </c>
      <c r="N26" s="238" t="s">
        <v>239</v>
      </c>
      <c r="O26" s="238">
        <v>0</v>
      </c>
      <c r="P26" s="238">
        <v>0</v>
      </c>
    </row>
    <row r="27" spans="1:16" s="139" customFormat="1" x14ac:dyDescent="0.2">
      <c r="A27" s="97" t="s">
        <v>230</v>
      </c>
      <c r="B27" s="149"/>
      <c r="C27" s="97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7" t="s">
        <v>231</v>
      </c>
      <c r="B28" s="149"/>
      <c r="C28" s="97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7" t="s">
        <v>232</v>
      </c>
      <c r="B29" s="149"/>
      <c r="C29" s="97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7" t="s">
        <v>233</v>
      </c>
      <c r="B30" s="149"/>
      <c r="C30" s="97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7" t="s">
        <v>234</v>
      </c>
      <c r="B31" s="149"/>
      <c r="C31" s="97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O11:P26">
    <cfRule type="expression" dxfId="70" priority="395" stopIfTrue="1">
      <formula>OR(LEFT(#REF!,3)="TIR",LEFT(#REF!,2)="IR")</formula>
    </cfRule>
  </conditionalFormatting>
  <conditionalFormatting sqref="A11:A26 M11:M26">
    <cfRule type="expression" dxfId="69" priority="396" stopIfTrue="1">
      <formula>#REF!&gt;0</formula>
    </cfRule>
  </conditionalFormatting>
  <conditionalFormatting sqref="B11:J26">
    <cfRule type="expression" dxfId="6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71"/>
  <sheetViews>
    <sheetView rightToLeft="1" topLeftCell="A6" zoomScale="80" zoomScaleNormal="80" workbookViewId="0">
      <selection activeCell="A6" sqref="A6:Q66"/>
    </sheetView>
  </sheetViews>
  <sheetFormatPr defaultRowHeight="12.75" x14ac:dyDescent="0.2"/>
  <cols>
    <col min="1" max="1" width="39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0.85546875" style="79" customWidth="1"/>
    <col min="10" max="10" width="11.28515625" style="79" customWidth="1"/>
    <col min="11" max="11" width="18.28515625" style="50" customWidth="1"/>
    <col min="12" max="12" width="14.140625" style="81" customWidth="1"/>
    <col min="13" max="13" width="10.5703125" style="83" customWidth="1"/>
    <col min="14" max="14" width="11.425781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158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161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9" customFormat="1" ht="12.75" customHeight="1" thickBot="1" x14ac:dyDescent="0.25">
      <c r="A9" s="121" t="s">
        <v>122</v>
      </c>
      <c r="B9" s="86" t="s">
        <v>239</v>
      </c>
      <c r="C9" s="86" t="s">
        <v>239</v>
      </c>
      <c r="D9" s="86"/>
      <c r="E9" s="122" t="s">
        <v>239</v>
      </c>
      <c r="F9" s="122"/>
      <c r="G9" s="122" t="s">
        <v>239</v>
      </c>
      <c r="H9" s="123" t="s">
        <v>239</v>
      </c>
      <c r="I9" s="123"/>
      <c r="J9" s="122" t="s">
        <v>239</v>
      </c>
      <c r="K9" s="86" t="s">
        <v>239</v>
      </c>
      <c r="L9" s="86" t="s">
        <v>239</v>
      </c>
      <c r="M9" s="133" t="s">
        <v>239</v>
      </c>
      <c r="N9" s="122" t="s">
        <v>239</v>
      </c>
      <c r="O9" s="124">
        <v>4469.4343912999993</v>
      </c>
      <c r="P9" s="86">
        <v>1</v>
      </c>
      <c r="Q9" s="101">
        <v>1.3765413246758566E-2</v>
      </c>
    </row>
    <row r="10" spans="1:20" s="139" customFormat="1" x14ac:dyDescent="0.2">
      <c r="A10" s="111" t="s">
        <v>139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2" t="s">
        <v>239</v>
      </c>
      <c r="G10" s="142" t="s">
        <v>239</v>
      </c>
      <c r="H10" s="146" t="s">
        <v>239</v>
      </c>
      <c r="I10" s="142" t="s">
        <v>239</v>
      </c>
      <c r="J10" s="146" t="s">
        <v>239</v>
      </c>
      <c r="K10" s="142" t="s">
        <v>239</v>
      </c>
      <c r="L10" s="142" t="s">
        <v>239</v>
      </c>
      <c r="M10" s="179" t="s">
        <v>239</v>
      </c>
      <c r="N10" s="146" t="s">
        <v>239</v>
      </c>
      <c r="O10" s="143">
        <v>4469.4343908999999</v>
      </c>
      <c r="P10" s="142">
        <v>0.99999999991050337</v>
      </c>
      <c r="Q10" s="142">
        <v>1.3765413245526607E-2</v>
      </c>
    </row>
    <row r="11" spans="1:20" s="139" customFormat="1" ht="13.5" customHeight="1" x14ac:dyDescent="0.2">
      <c r="A11" s="112" t="s">
        <v>1810</v>
      </c>
      <c r="B11" s="189" t="s">
        <v>239</v>
      </c>
      <c r="C11" s="189" t="s">
        <v>239</v>
      </c>
      <c r="D11" s="189" t="s">
        <v>239</v>
      </c>
      <c r="E11" s="189" t="s">
        <v>239</v>
      </c>
      <c r="F11" s="189" t="s">
        <v>239</v>
      </c>
      <c r="G11" s="189" t="s">
        <v>239</v>
      </c>
      <c r="H11" s="190" t="s">
        <v>239</v>
      </c>
      <c r="I11" s="189" t="s">
        <v>239</v>
      </c>
      <c r="J11" s="190" t="s">
        <v>239</v>
      </c>
      <c r="K11" s="189" t="s">
        <v>239</v>
      </c>
      <c r="L11" s="189" t="s">
        <v>239</v>
      </c>
      <c r="M11" s="180" t="s">
        <v>239</v>
      </c>
      <c r="N11" s="147" t="s">
        <v>239</v>
      </c>
      <c r="O11" s="148">
        <v>4400.520770099999</v>
      </c>
      <c r="P11" s="145">
        <v>0.98458113148855164</v>
      </c>
      <c r="Q11" s="145">
        <v>1.3553166149901045E-2</v>
      </c>
    </row>
    <row r="12" spans="1:20" s="139" customFormat="1" ht="13.5" customHeight="1" x14ac:dyDescent="0.2">
      <c r="A12" s="191" t="s">
        <v>1936</v>
      </c>
      <c r="B12" s="189"/>
      <c r="C12" s="192">
        <v>26442</v>
      </c>
      <c r="D12" s="192">
        <v>26442</v>
      </c>
      <c r="E12" s="193" t="s">
        <v>380</v>
      </c>
      <c r="F12" s="189"/>
      <c r="G12" s="189"/>
      <c r="H12" s="194">
        <v>2.5</v>
      </c>
      <c r="I12" s="193" t="s">
        <v>219</v>
      </c>
      <c r="J12" s="195" t="s">
        <v>246</v>
      </c>
      <c r="K12" s="196">
        <v>1.7000000000000001E-2</v>
      </c>
      <c r="L12" s="196">
        <v>1.7000000000000001E-2</v>
      </c>
      <c r="M12" s="180"/>
      <c r="N12" s="147"/>
      <c r="O12" s="197">
        <v>337.06693000000001</v>
      </c>
      <c r="P12" s="38">
        <v>7.5416014754824318E-2</v>
      </c>
      <c r="Q12" s="38">
        <v>1.0381326085237982E-3</v>
      </c>
    </row>
    <row r="13" spans="1:20" s="139" customFormat="1" ht="13.5" customHeight="1" x14ac:dyDescent="0.2">
      <c r="A13" s="191" t="s">
        <v>1937</v>
      </c>
      <c r="B13" s="189"/>
      <c r="C13" s="192">
        <v>37179</v>
      </c>
      <c r="D13" s="192">
        <v>37179</v>
      </c>
      <c r="E13" s="193" t="s">
        <v>380</v>
      </c>
      <c r="F13" s="189"/>
      <c r="G13" s="189"/>
      <c r="H13" s="194">
        <v>6.1</v>
      </c>
      <c r="I13" s="193" t="s">
        <v>219</v>
      </c>
      <c r="J13" s="195" t="s">
        <v>246</v>
      </c>
      <c r="K13" s="196">
        <v>1.1000000000000001E-2</v>
      </c>
      <c r="L13" s="196">
        <v>1.1000000000000001E-2</v>
      </c>
      <c r="M13" s="180"/>
      <c r="N13" s="147"/>
      <c r="O13" s="197">
        <v>248.40956</v>
      </c>
      <c r="P13" s="38">
        <v>5.5579641236829187E-2</v>
      </c>
      <c r="Q13" s="38">
        <v>7.6507672973153708E-4</v>
      </c>
    </row>
    <row r="14" spans="1:20" x14ac:dyDescent="0.2">
      <c r="A14" s="191" t="s">
        <v>1811</v>
      </c>
      <c r="B14" s="193" t="s">
        <v>239</v>
      </c>
      <c r="C14" s="193" t="s">
        <v>1812</v>
      </c>
      <c r="D14" s="193" t="s">
        <v>239</v>
      </c>
      <c r="E14" s="193" t="s">
        <v>380</v>
      </c>
      <c r="F14" s="193" t="s">
        <v>239</v>
      </c>
      <c r="G14" s="193" t="s">
        <v>239</v>
      </c>
      <c r="H14" s="195">
        <v>3.3879321184627176</v>
      </c>
      <c r="I14" s="193" t="s">
        <v>219</v>
      </c>
      <c r="J14" s="195" t="s">
        <v>246</v>
      </c>
      <c r="K14" s="193">
        <v>1.44736701328396E-2</v>
      </c>
      <c r="L14" s="193">
        <v>1.44736701328396E-2</v>
      </c>
      <c r="M14" s="134">
        <v>1</v>
      </c>
      <c r="N14" s="80">
        <v>4410204.2467</v>
      </c>
      <c r="O14" s="197">
        <v>3815.044280099999</v>
      </c>
      <c r="P14" s="38">
        <v>0.85358547549689801</v>
      </c>
      <c r="Q14" s="38">
        <v>1.174995681164571E-2</v>
      </c>
      <c r="R14" s="28"/>
    </row>
    <row r="15" spans="1:20" s="139" customFormat="1" x14ac:dyDescent="0.2">
      <c r="A15" s="112" t="s">
        <v>1813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2" t="s">
        <v>239</v>
      </c>
      <c r="H15" s="146" t="s">
        <v>239</v>
      </c>
      <c r="I15" s="142" t="s">
        <v>239</v>
      </c>
      <c r="J15" s="146" t="s">
        <v>239</v>
      </c>
      <c r="K15" s="142" t="s">
        <v>239</v>
      </c>
      <c r="L15" s="142" t="s">
        <v>239</v>
      </c>
      <c r="M15" s="180" t="s">
        <v>239</v>
      </c>
      <c r="N15" s="147" t="s">
        <v>239</v>
      </c>
      <c r="O15" s="148">
        <v>0</v>
      </c>
      <c r="P15" s="145">
        <v>0</v>
      </c>
      <c r="Q15" s="145">
        <v>0</v>
      </c>
    </row>
    <row r="16" spans="1:20" s="139" customFormat="1" x14ac:dyDescent="0.2">
      <c r="A16" s="112" t="s">
        <v>1814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6" t="s">
        <v>239</v>
      </c>
      <c r="I16" s="142" t="s">
        <v>239</v>
      </c>
      <c r="J16" s="146" t="s">
        <v>239</v>
      </c>
      <c r="K16" s="142" t="s">
        <v>239</v>
      </c>
      <c r="L16" s="142" t="s">
        <v>239</v>
      </c>
      <c r="M16" s="180" t="s">
        <v>239</v>
      </c>
      <c r="N16" s="147" t="s">
        <v>239</v>
      </c>
      <c r="O16" s="148">
        <v>0</v>
      </c>
      <c r="P16" s="145">
        <v>0</v>
      </c>
      <c r="Q16" s="145">
        <v>0</v>
      </c>
    </row>
    <row r="17" spans="1:18" s="139" customFormat="1" x14ac:dyDescent="0.2">
      <c r="A17" s="112" t="s">
        <v>1815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6" t="s">
        <v>239</v>
      </c>
      <c r="I17" s="142" t="s">
        <v>239</v>
      </c>
      <c r="J17" s="146" t="s">
        <v>239</v>
      </c>
      <c r="K17" s="142" t="s">
        <v>239</v>
      </c>
      <c r="L17" s="142" t="s">
        <v>239</v>
      </c>
      <c r="M17" s="180" t="s">
        <v>239</v>
      </c>
      <c r="N17" s="147" t="s">
        <v>239</v>
      </c>
      <c r="O17" s="148">
        <v>68.913620099999989</v>
      </c>
      <c r="P17" s="145">
        <v>1.541886826533222E-2</v>
      </c>
      <c r="Q17" s="145">
        <v>2.122470934696294E-4</v>
      </c>
    </row>
    <row r="18" spans="1:18" x14ac:dyDescent="0.2">
      <c r="A18" s="30" t="s">
        <v>1938</v>
      </c>
      <c r="B18" s="46" t="s">
        <v>1816</v>
      </c>
      <c r="C18" s="46" t="s">
        <v>1820</v>
      </c>
      <c r="D18" s="46" t="s">
        <v>1818</v>
      </c>
      <c r="E18" s="46" t="s">
        <v>1408</v>
      </c>
      <c r="F18" s="46" t="s">
        <v>1819</v>
      </c>
      <c r="G18" s="46" t="s">
        <v>386</v>
      </c>
      <c r="H18" s="85">
        <v>3.35</v>
      </c>
      <c r="I18" s="46" t="s">
        <v>219</v>
      </c>
      <c r="J18" s="85" t="s">
        <v>246</v>
      </c>
      <c r="K18" s="46">
        <v>3.85E-2</v>
      </c>
      <c r="L18" s="46">
        <v>3.4000000000000002E-3</v>
      </c>
      <c r="M18" s="134">
        <v>69.849999999999994</v>
      </c>
      <c r="N18" s="80">
        <v>149.88999999999999</v>
      </c>
      <c r="O18" s="104">
        <v>0.10468999999999999</v>
      </c>
      <c r="P18" s="38">
        <v>2.3423545539405356E-5</v>
      </c>
      <c r="Q18" s="38">
        <v>3.22434784054183E-7</v>
      </c>
      <c r="R18" s="139"/>
    </row>
    <row r="19" spans="1:18" x14ac:dyDescent="0.2">
      <c r="A19" s="30" t="s">
        <v>1938</v>
      </c>
      <c r="B19" s="46" t="s">
        <v>1816</v>
      </c>
      <c r="C19" s="46" t="s">
        <v>1840</v>
      </c>
      <c r="D19" s="46" t="s">
        <v>1818</v>
      </c>
      <c r="E19" s="46" t="s">
        <v>1408</v>
      </c>
      <c r="F19" s="46" t="s">
        <v>1839</v>
      </c>
      <c r="G19" s="46" t="s">
        <v>386</v>
      </c>
      <c r="H19" s="85">
        <v>3.31</v>
      </c>
      <c r="I19" s="46" t="s">
        <v>219</v>
      </c>
      <c r="J19" s="85" t="s">
        <v>246</v>
      </c>
      <c r="K19" s="46">
        <v>5.1699999999999996E-2</v>
      </c>
      <c r="L19" s="46">
        <v>3.4000000000000002E-3</v>
      </c>
      <c r="M19" s="134">
        <v>69.86</v>
      </c>
      <c r="N19" s="80">
        <v>156.46</v>
      </c>
      <c r="O19" s="104">
        <v>0.10929999999999999</v>
      </c>
      <c r="P19" s="38">
        <v>2.4454995963864796E-5</v>
      </c>
      <c r="Q19" s="38">
        <v>3.366331253904117E-7</v>
      </c>
      <c r="R19" s="139"/>
    </row>
    <row r="20" spans="1:18" x14ac:dyDescent="0.2">
      <c r="A20" s="30" t="s">
        <v>1938</v>
      </c>
      <c r="B20" s="46" t="s">
        <v>1816</v>
      </c>
      <c r="C20" s="46" t="s">
        <v>1823</v>
      </c>
      <c r="D20" s="46" t="s">
        <v>1818</v>
      </c>
      <c r="E20" s="46" t="s">
        <v>1408</v>
      </c>
      <c r="F20" s="46" t="s">
        <v>1819</v>
      </c>
      <c r="G20" s="46" t="s">
        <v>386</v>
      </c>
      <c r="H20" s="85">
        <v>3.35</v>
      </c>
      <c r="I20" s="46" t="s">
        <v>219</v>
      </c>
      <c r="J20" s="85" t="s">
        <v>246</v>
      </c>
      <c r="K20" s="46">
        <v>3.85E-2</v>
      </c>
      <c r="L20" s="46">
        <v>3.4000000000000002E-3</v>
      </c>
      <c r="M20" s="134">
        <v>1050.94</v>
      </c>
      <c r="N20" s="80">
        <v>149.75</v>
      </c>
      <c r="O20" s="104">
        <v>1.57378</v>
      </c>
      <c r="P20" s="38">
        <v>3.521206180055914E-4</v>
      </c>
      <c r="Q20" s="38">
        <v>4.8470858195509806E-6</v>
      </c>
      <c r="R20" s="139"/>
    </row>
    <row r="21" spans="1:18" x14ac:dyDescent="0.2">
      <c r="A21" s="30" t="s">
        <v>1938</v>
      </c>
      <c r="B21" s="46" t="s">
        <v>1816</v>
      </c>
      <c r="C21" s="46" t="s">
        <v>1843</v>
      </c>
      <c r="D21" s="46" t="s">
        <v>1818</v>
      </c>
      <c r="E21" s="46" t="s">
        <v>1408</v>
      </c>
      <c r="F21" s="46" t="s">
        <v>1839</v>
      </c>
      <c r="G21" s="46" t="s">
        <v>386</v>
      </c>
      <c r="H21" s="85">
        <v>3.31</v>
      </c>
      <c r="I21" s="46" t="s">
        <v>219</v>
      </c>
      <c r="J21" s="85" t="s">
        <v>246</v>
      </c>
      <c r="K21" s="46">
        <v>5.1699999999999996E-2</v>
      </c>
      <c r="L21" s="46">
        <v>3.4000000000000002E-3</v>
      </c>
      <c r="M21" s="134">
        <v>1050.94</v>
      </c>
      <c r="N21" s="80">
        <v>156.31</v>
      </c>
      <c r="O21" s="104">
        <v>1.64272</v>
      </c>
      <c r="P21" s="38">
        <v>3.6754538856139047E-4</v>
      </c>
      <c r="Q21" s="38">
        <v>5.0594141604879883E-6</v>
      </c>
      <c r="R21" s="139"/>
    </row>
    <row r="22" spans="1:18" x14ac:dyDescent="0.2">
      <c r="A22" s="30" t="s">
        <v>1938</v>
      </c>
      <c r="B22" s="46" t="s">
        <v>1816</v>
      </c>
      <c r="C22" s="46" t="s">
        <v>1822</v>
      </c>
      <c r="D22" s="46" t="s">
        <v>1818</v>
      </c>
      <c r="E22" s="46" t="s">
        <v>1408</v>
      </c>
      <c r="F22" s="46" t="s">
        <v>1819</v>
      </c>
      <c r="G22" s="46" t="s">
        <v>386</v>
      </c>
      <c r="H22" s="85">
        <v>3.35</v>
      </c>
      <c r="I22" s="46" t="s">
        <v>219</v>
      </c>
      <c r="J22" s="85" t="s">
        <v>246</v>
      </c>
      <c r="K22" s="46">
        <v>3.85E-2</v>
      </c>
      <c r="L22" s="46">
        <v>3.4000000000000002E-3</v>
      </c>
      <c r="M22" s="134">
        <v>900.56</v>
      </c>
      <c r="N22" s="80">
        <v>149.75</v>
      </c>
      <c r="O22" s="104">
        <v>1.3485799999999999</v>
      </c>
      <c r="P22" s="38">
        <v>3.0173392915781139E-4</v>
      </c>
      <c r="Q22" s="38">
        <v>4.1534922254254479E-6</v>
      </c>
      <c r="R22" s="139"/>
    </row>
    <row r="23" spans="1:18" x14ac:dyDescent="0.2">
      <c r="A23" s="30" t="s">
        <v>1938</v>
      </c>
      <c r="B23" s="46" t="s">
        <v>1816</v>
      </c>
      <c r="C23" s="46" t="s">
        <v>1842</v>
      </c>
      <c r="D23" s="46" t="s">
        <v>1818</v>
      </c>
      <c r="E23" s="46" t="s">
        <v>1408</v>
      </c>
      <c r="F23" s="46" t="s">
        <v>1839</v>
      </c>
      <c r="G23" s="46" t="s">
        <v>386</v>
      </c>
      <c r="H23" s="85">
        <v>3.31</v>
      </c>
      <c r="I23" s="46" t="s">
        <v>219</v>
      </c>
      <c r="J23" s="85" t="s">
        <v>246</v>
      </c>
      <c r="K23" s="46">
        <v>5.1699999999999996E-2</v>
      </c>
      <c r="L23" s="46">
        <v>3.4000000000000002E-3</v>
      </c>
      <c r="M23" s="134">
        <v>900.56</v>
      </c>
      <c r="N23" s="80">
        <v>156.31</v>
      </c>
      <c r="O23" s="104">
        <v>1.4076600000000001</v>
      </c>
      <c r="P23" s="38">
        <v>3.1495260401183828E-4</v>
      </c>
      <c r="Q23" s="38">
        <v>4.3354527473656633E-6</v>
      </c>
      <c r="R23" s="139"/>
    </row>
    <row r="24" spans="1:18" x14ac:dyDescent="0.2">
      <c r="A24" s="30" t="s">
        <v>1938</v>
      </c>
      <c r="B24" s="46" t="s">
        <v>1816</v>
      </c>
      <c r="C24" s="46" t="s">
        <v>1837</v>
      </c>
      <c r="D24" s="46" t="s">
        <v>1818</v>
      </c>
      <c r="E24" s="46" t="s">
        <v>1408</v>
      </c>
      <c r="F24" s="46" t="s">
        <v>1819</v>
      </c>
      <c r="G24" s="46" t="s">
        <v>386</v>
      </c>
      <c r="H24" s="85">
        <v>3.35</v>
      </c>
      <c r="I24" s="46" t="s">
        <v>219</v>
      </c>
      <c r="J24" s="85" t="s">
        <v>246</v>
      </c>
      <c r="K24" s="46">
        <v>3.85E-2</v>
      </c>
      <c r="L24" s="46">
        <v>3.4000000000000002E-3</v>
      </c>
      <c r="M24" s="134">
        <v>593.82000000000005</v>
      </c>
      <c r="N24" s="80">
        <v>141.6</v>
      </c>
      <c r="O24" s="104">
        <v>0.84084000000000003</v>
      </c>
      <c r="P24" s="38">
        <v>1.8813118761441973E-4</v>
      </c>
      <c r="Q24" s="38">
        <v>2.5897035421159545E-6</v>
      </c>
      <c r="R24" s="139"/>
    </row>
    <row r="25" spans="1:18" x14ac:dyDescent="0.2">
      <c r="A25" s="30" t="s">
        <v>1938</v>
      </c>
      <c r="B25" s="46" t="s">
        <v>1816</v>
      </c>
      <c r="C25" s="46" t="s">
        <v>1857</v>
      </c>
      <c r="D25" s="46" t="s">
        <v>1818</v>
      </c>
      <c r="E25" s="46" t="s">
        <v>1408</v>
      </c>
      <c r="F25" s="46" t="s">
        <v>1839</v>
      </c>
      <c r="G25" s="46" t="s">
        <v>386</v>
      </c>
      <c r="H25" s="85">
        <v>3.31</v>
      </c>
      <c r="I25" s="46" t="s">
        <v>219</v>
      </c>
      <c r="J25" s="85" t="s">
        <v>246</v>
      </c>
      <c r="K25" s="46">
        <v>5.1699999999999996E-2</v>
      </c>
      <c r="L25" s="46">
        <v>3.4000000000000002E-3</v>
      </c>
      <c r="M25" s="134">
        <v>593.82000000000005</v>
      </c>
      <c r="N25" s="80">
        <v>147.81</v>
      </c>
      <c r="O25" s="104">
        <v>0.87772000000000006</v>
      </c>
      <c r="P25" s="38">
        <v>1.9638279101009525E-4</v>
      </c>
      <c r="Q25" s="38">
        <v>2.703290272805784E-6</v>
      </c>
      <c r="R25" s="139"/>
    </row>
    <row r="26" spans="1:18" x14ac:dyDescent="0.2">
      <c r="A26" s="30" t="s">
        <v>1938</v>
      </c>
      <c r="B26" s="46" t="s">
        <v>1816</v>
      </c>
      <c r="C26" s="46" t="s">
        <v>1826</v>
      </c>
      <c r="D26" s="46" t="s">
        <v>1818</v>
      </c>
      <c r="E26" s="46" t="s">
        <v>1408</v>
      </c>
      <c r="F26" s="46" t="s">
        <v>1819</v>
      </c>
      <c r="G26" s="46" t="s">
        <v>386</v>
      </c>
      <c r="H26" s="85">
        <v>3.35</v>
      </c>
      <c r="I26" s="46" t="s">
        <v>219</v>
      </c>
      <c r="J26" s="85" t="s">
        <v>246</v>
      </c>
      <c r="K26" s="46">
        <v>3.85E-2</v>
      </c>
      <c r="L26" s="46">
        <v>3.4999999999999996E-3</v>
      </c>
      <c r="M26" s="134">
        <v>254.16</v>
      </c>
      <c r="N26" s="80">
        <v>148.68</v>
      </c>
      <c r="O26" s="104">
        <v>0.37787999999999999</v>
      </c>
      <c r="P26" s="38">
        <v>8.4547610931612349E-5</v>
      </c>
      <c r="Q26" s="38">
        <v>1.1638328034998058E-6</v>
      </c>
      <c r="R26" s="139"/>
    </row>
    <row r="27" spans="1:18" x14ac:dyDescent="0.2">
      <c r="A27" s="30" t="s">
        <v>1938</v>
      </c>
      <c r="B27" s="46" t="s">
        <v>1816</v>
      </c>
      <c r="C27" s="46" t="s">
        <v>1846</v>
      </c>
      <c r="D27" s="46" t="s">
        <v>1818</v>
      </c>
      <c r="E27" s="46" t="s">
        <v>1408</v>
      </c>
      <c r="F27" s="46" t="s">
        <v>1839</v>
      </c>
      <c r="G27" s="46" t="s">
        <v>386</v>
      </c>
      <c r="H27" s="85">
        <v>3.31</v>
      </c>
      <c r="I27" s="46" t="s">
        <v>219</v>
      </c>
      <c r="J27" s="85" t="s">
        <v>246</v>
      </c>
      <c r="K27" s="46">
        <v>5.1699999999999996E-2</v>
      </c>
      <c r="L27" s="46">
        <v>3.4000000000000002E-3</v>
      </c>
      <c r="M27" s="134">
        <v>254.16</v>
      </c>
      <c r="N27" s="80">
        <v>155.19999999999999</v>
      </c>
      <c r="O27" s="104">
        <v>0.39444999999999997</v>
      </c>
      <c r="P27" s="38">
        <v>8.8255015168769155E-5</v>
      </c>
      <c r="Q27" s="38">
        <v>1.2148667548970531E-6</v>
      </c>
      <c r="R27" s="139"/>
    </row>
    <row r="28" spans="1:18" x14ac:dyDescent="0.2">
      <c r="A28" s="30" t="s">
        <v>1938</v>
      </c>
      <c r="B28" s="46" t="s">
        <v>1816</v>
      </c>
      <c r="C28" s="46" t="s">
        <v>1817</v>
      </c>
      <c r="D28" s="46" t="s">
        <v>1818</v>
      </c>
      <c r="E28" s="46" t="s">
        <v>1408</v>
      </c>
      <c r="F28" s="46" t="s">
        <v>1819</v>
      </c>
      <c r="G28" s="46" t="s">
        <v>386</v>
      </c>
      <c r="H28" s="85">
        <v>3.35</v>
      </c>
      <c r="I28" s="46" t="s">
        <v>219</v>
      </c>
      <c r="J28" s="85" t="s">
        <v>246</v>
      </c>
      <c r="K28" s="46">
        <v>3.85E-2</v>
      </c>
      <c r="L28" s="46">
        <v>3.4000000000000002E-3</v>
      </c>
      <c r="M28" s="134">
        <v>1815.13</v>
      </c>
      <c r="N28" s="80">
        <v>150.6</v>
      </c>
      <c r="O28" s="104">
        <v>2.7335799999999999</v>
      </c>
      <c r="P28" s="38">
        <v>6.1161654041081001E-4</v>
      </c>
      <c r="Q28" s="38">
        <v>8.4191544273076082E-6</v>
      </c>
      <c r="R28" s="139"/>
    </row>
    <row r="29" spans="1:18" x14ac:dyDescent="0.2">
      <c r="A29" s="30" t="s">
        <v>1938</v>
      </c>
      <c r="B29" s="46" t="s">
        <v>1816</v>
      </c>
      <c r="C29" s="46" t="s">
        <v>1838</v>
      </c>
      <c r="D29" s="46" t="s">
        <v>1818</v>
      </c>
      <c r="E29" s="46" t="s">
        <v>1408</v>
      </c>
      <c r="F29" s="46" t="s">
        <v>1839</v>
      </c>
      <c r="G29" s="46" t="s">
        <v>386</v>
      </c>
      <c r="H29" s="85">
        <v>3.31</v>
      </c>
      <c r="I29" s="46" t="s">
        <v>219</v>
      </c>
      <c r="J29" s="85" t="s">
        <v>246</v>
      </c>
      <c r="K29" s="46">
        <v>5.1699999999999996E-2</v>
      </c>
      <c r="L29" s="46">
        <v>3.4000000000000002E-3</v>
      </c>
      <c r="M29" s="134">
        <v>1815.15</v>
      </c>
      <c r="N29" s="80">
        <v>157.19999999999999</v>
      </c>
      <c r="O29" s="104">
        <v>2.8534099999999998</v>
      </c>
      <c r="P29" s="38">
        <v>6.3842753918802789E-4</v>
      </c>
      <c r="Q29" s="38">
        <v>8.7882189050343525E-6</v>
      </c>
      <c r="R29" s="139"/>
    </row>
    <row r="30" spans="1:18" x14ac:dyDescent="0.2">
      <c r="A30" s="30" t="s">
        <v>1938</v>
      </c>
      <c r="B30" s="46" t="s">
        <v>1816</v>
      </c>
      <c r="C30" s="46" t="s">
        <v>1825</v>
      </c>
      <c r="D30" s="46" t="s">
        <v>1818</v>
      </c>
      <c r="E30" s="46" t="s">
        <v>1408</v>
      </c>
      <c r="F30" s="46" t="s">
        <v>1819</v>
      </c>
      <c r="G30" s="46" t="s">
        <v>386</v>
      </c>
      <c r="H30" s="85">
        <v>3.35</v>
      </c>
      <c r="I30" s="46" t="s">
        <v>219</v>
      </c>
      <c r="J30" s="85" t="s">
        <v>246</v>
      </c>
      <c r="K30" s="46">
        <v>3.85E-2</v>
      </c>
      <c r="L30" s="46">
        <v>3.4999999999999996E-3</v>
      </c>
      <c r="M30" s="134">
        <v>1000.71</v>
      </c>
      <c r="N30" s="80">
        <v>150.91999999999999</v>
      </c>
      <c r="O30" s="104">
        <v>1.51027</v>
      </c>
      <c r="P30" s="38">
        <v>3.3791076627947013E-4</v>
      </c>
      <c r="Q30" s="38">
        <v>4.6514813383657557E-6</v>
      </c>
      <c r="R30" s="139"/>
    </row>
    <row r="31" spans="1:18" x14ac:dyDescent="0.2">
      <c r="A31" s="30" t="s">
        <v>1938</v>
      </c>
      <c r="B31" s="46" t="s">
        <v>1816</v>
      </c>
      <c r="C31" s="46" t="s">
        <v>1845</v>
      </c>
      <c r="D31" s="46" t="s">
        <v>1818</v>
      </c>
      <c r="E31" s="46" t="s">
        <v>1408</v>
      </c>
      <c r="F31" s="46" t="s">
        <v>1839</v>
      </c>
      <c r="G31" s="46" t="s">
        <v>386</v>
      </c>
      <c r="H31" s="85">
        <v>3.31</v>
      </c>
      <c r="I31" s="46" t="s">
        <v>219</v>
      </c>
      <c r="J31" s="85" t="s">
        <v>246</v>
      </c>
      <c r="K31" s="46">
        <v>5.1699999999999996E-2</v>
      </c>
      <c r="L31" s="46">
        <v>3.4000000000000002E-3</v>
      </c>
      <c r="M31" s="134">
        <v>1000.72</v>
      </c>
      <c r="N31" s="80">
        <v>157.54</v>
      </c>
      <c r="O31" s="104">
        <v>1.57653</v>
      </c>
      <c r="P31" s="38">
        <v>3.5273590838894573E-4</v>
      </c>
      <c r="Q31" s="38">
        <v>4.8555555459446092E-6</v>
      </c>
      <c r="R31" s="139"/>
    </row>
    <row r="32" spans="1:18" x14ac:dyDescent="0.2">
      <c r="A32" s="30" t="s">
        <v>1938</v>
      </c>
      <c r="B32" s="46" t="s">
        <v>1816</v>
      </c>
      <c r="C32" s="46" t="s">
        <v>1821</v>
      </c>
      <c r="D32" s="46" t="s">
        <v>1818</v>
      </c>
      <c r="E32" s="46" t="s">
        <v>1408</v>
      </c>
      <c r="F32" s="46" t="s">
        <v>1819</v>
      </c>
      <c r="G32" s="46" t="s">
        <v>386</v>
      </c>
      <c r="H32" s="85">
        <v>3.35</v>
      </c>
      <c r="I32" s="46" t="s">
        <v>219</v>
      </c>
      <c r="J32" s="85" t="s">
        <v>246</v>
      </c>
      <c r="K32" s="46">
        <v>3.85E-2</v>
      </c>
      <c r="L32" s="46">
        <v>3.4000000000000002E-3</v>
      </c>
      <c r="M32" s="134">
        <v>785.83</v>
      </c>
      <c r="N32" s="80">
        <v>151.31</v>
      </c>
      <c r="O32" s="104">
        <v>1.18903</v>
      </c>
      <c r="P32" s="38">
        <v>2.6603589982538117E-4</v>
      </c>
      <c r="Q32" s="38">
        <v>3.6620940995696364E-6</v>
      </c>
      <c r="R32" s="139"/>
    </row>
    <row r="33" spans="1:18" x14ac:dyDescent="0.2">
      <c r="A33" s="30" t="s">
        <v>1938</v>
      </c>
      <c r="B33" s="46" t="s">
        <v>1816</v>
      </c>
      <c r="C33" s="46" t="s">
        <v>1841</v>
      </c>
      <c r="D33" s="46" t="s">
        <v>1818</v>
      </c>
      <c r="E33" s="46" t="s">
        <v>1408</v>
      </c>
      <c r="F33" s="46" t="s">
        <v>1839</v>
      </c>
      <c r="G33" s="46" t="s">
        <v>386</v>
      </c>
      <c r="H33" s="85">
        <v>3.31</v>
      </c>
      <c r="I33" s="46" t="s">
        <v>219</v>
      </c>
      <c r="J33" s="85" t="s">
        <v>246</v>
      </c>
      <c r="K33" s="46">
        <v>5.1699999999999996E-2</v>
      </c>
      <c r="L33" s="46">
        <v>3.4000000000000002E-3</v>
      </c>
      <c r="M33" s="134">
        <v>785.84</v>
      </c>
      <c r="N33" s="80">
        <v>157.94</v>
      </c>
      <c r="O33" s="104">
        <v>1.2411500000000002</v>
      </c>
      <c r="P33" s="38">
        <v>2.7769733065462757E-4</v>
      </c>
      <c r="Q33" s="38">
        <v>3.8226185139827041E-6</v>
      </c>
      <c r="R33" s="139"/>
    </row>
    <row r="34" spans="1:18" x14ac:dyDescent="0.2">
      <c r="A34" s="30" t="s">
        <v>1938</v>
      </c>
      <c r="B34" s="46" t="s">
        <v>1816</v>
      </c>
      <c r="C34" s="46" t="s">
        <v>1830</v>
      </c>
      <c r="D34" s="46" t="s">
        <v>1818</v>
      </c>
      <c r="E34" s="46" t="s">
        <v>1408</v>
      </c>
      <c r="F34" s="46" t="s">
        <v>1819</v>
      </c>
      <c r="G34" s="46" t="s">
        <v>386</v>
      </c>
      <c r="H34" s="85">
        <v>3.35</v>
      </c>
      <c r="I34" s="46" t="s">
        <v>219</v>
      </c>
      <c r="J34" s="85" t="s">
        <v>246</v>
      </c>
      <c r="K34" s="46">
        <v>3.85E-2</v>
      </c>
      <c r="L34" s="46">
        <v>3.4999999999999996E-3</v>
      </c>
      <c r="M34" s="134">
        <v>1262.21</v>
      </c>
      <c r="N34" s="80">
        <v>140.87</v>
      </c>
      <c r="O34" s="104">
        <v>1.77807</v>
      </c>
      <c r="P34" s="38">
        <v>3.9782886252030266E-4</v>
      </c>
      <c r="Q34" s="38">
        <v>5.4762786940798663E-6</v>
      </c>
      <c r="R34" s="139"/>
    </row>
    <row r="35" spans="1:18" x14ac:dyDescent="0.2">
      <c r="A35" s="30" t="s">
        <v>1938</v>
      </c>
      <c r="B35" s="46" t="s">
        <v>1816</v>
      </c>
      <c r="C35" s="46" t="s">
        <v>1850</v>
      </c>
      <c r="D35" s="46" t="s">
        <v>1818</v>
      </c>
      <c r="E35" s="46" t="s">
        <v>1408</v>
      </c>
      <c r="F35" s="46" t="s">
        <v>1839</v>
      </c>
      <c r="G35" s="46" t="s">
        <v>386</v>
      </c>
      <c r="H35" s="85">
        <v>3.31</v>
      </c>
      <c r="I35" s="46" t="s">
        <v>219</v>
      </c>
      <c r="J35" s="85" t="s">
        <v>246</v>
      </c>
      <c r="K35" s="46">
        <v>5.1699999999999996E-2</v>
      </c>
      <c r="L35" s="46">
        <v>3.4000000000000002E-3</v>
      </c>
      <c r="M35" s="134">
        <v>1262.21</v>
      </c>
      <c r="N35" s="80">
        <v>147.05000000000001</v>
      </c>
      <c r="O35" s="104">
        <v>1.8560699999999999</v>
      </c>
      <c r="P35" s="38">
        <v>4.1528073521180726E-4</v>
      </c>
      <c r="Q35" s="38">
        <v>5.7165109336082476E-6</v>
      </c>
      <c r="R35" s="139"/>
    </row>
    <row r="36" spans="1:18" x14ac:dyDescent="0.2">
      <c r="A36" s="30" t="s">
        <v>1938</v>
      </c>
      <c r="B36" s="46" t="s">
        <v>1816</v>
      </c>
      <c r="C36" s="46" t="s">
        <v>1834</v>
      </c>
      <c r="D36" s="46" t="s">
        <v>1818</v>
      </c>
      <c r="E36" s="46" t="s">
        <v>1408</v>
      </c>
      <c r="F36" s="46" t="s">
        <v>1819</v>
      </c>
      <c r="G36" s="46" t="s">
        <v>386</v>
      </c>
      <c r="H36" s="85">
        <v>3.35</v>
      </c>
      <c r="I36" s="46" t="s">
        <v>219</v>
      </c>
      <c r="J36" s="85" t="s">
        <v>246</v>
      </c>
      <c r="K36" s="46">
        <v>3.85E-2</v>
      </c>
      <c r="L36" s="46">
        <v>3.4999999999999996E-3</v>
      </c>
      <c r="M36" s="134">
        <v>1381.33</v>
      </c>
      <c r="N36" s="80">
        <v>138.66999999999999</v>
      </c>
      <c r="O36" s="104">
        <v>1.9154899999999999</v>
      </c>
      <c r="P36" s="38">
        <v>4.2857548233141244E-4</v>
      </c>
      <c r="Q36" s="38">
        <v>5.8995186217207663E-6</v>
      </c>
      <c r="R36" s="139"/>
    </row>
    <row r="37" spans="1:18" x14ac:dyDescent="0.2">
      <c r="A37" s="30" t="s">
        <v>1938</v>
      </c>
      <c r="B37" s="46" t="s">
        <v>1816</v>
      </c>
      <c r="C37" s="46" t="s">
        <v>1854</v>
      </c>
      <c r="D37" s="46" t="s">
        <v>1818</v>
      </c>
      <c r="E37" s="46" t="s">
        <v>1408</v>
      </c>
      <c r="F37" s="46" t="s">
        <v>1839</v>
      </c>
      <c r="G37" s="46" t="s">
        <v>386</v>
      </c>
      <c r="H37" s="85">
        <v>3.31</v>
      </c>
      <c r="I37" s="46" t="s">
        <v>219</v>
      </c>
      <c r="J37" s="85" t="s">
        <v>246</v>
      </c>
      <c r="K37" s="46">
        <v>5.1699999999999996E-2</v>
      </c>
      <c r="L37" s="46">
        <v>3.4000000000000002E-3</v>
      </c>
      <c r="M37" s="134">
        <v>1381.33</v>
      </c>
      <c r="N37" s="80">
        <v>144.74</v>
      </c>
      <c r="O37" s="104">
        <v>1.9993299999999998</v>
      </c>
      <c r="P37" s="38">
        <v>4.4733400805520404E-4</v>
      </c>
      <c r="Q37" s="38">
        <v>6.1577374802087089E-6</v>
      </c>
      <c r="R37" s="139"/>
    </row>
    <row r="38" spans="1:18" x14ac:dyDescent="0.2">
      <c r="A38" s="30" t="s">
        <v>1938</v>
      </c>
      <c r="B38" s="46" t="s">
        <v>1816</v>
      </c>
      <c r="C38" s="46" t="s">
        <v>1827</v>
      </c>
      <c r="D38" s="46" t="s">
        <v>1818</v>
      </c>
      <c r="E38" s="46" t="s">
        <v>1408</v>
      </c>
      <c r="F38" s="46" t="s">
        <v>1819</v>
      </c>
      <c r="G38" s="46" t="s">
        <v>386</v>
      </c>
      <c r="H38" s="85">
        <v>3.35</v>
      </c>
      <c r="I38" s="46" t="s">
        <v>219</v>
      </c>
      <c r="J38" s="85" t="s">
        <v>246</v>
      </c>
      <c r="K38" s="46">
        <v>3.85E-2</v>
      </c>
      <c r="L38" s="46">
        <v>3.4000000000000002E-3</v>
      </c>
      <c r="M38" s="134">
        <v>3293.92</v>
      </c>
      <c r="N38" s="80">
        <v>147.22999999999999</v>
      </c>
      <c r="O38" s="104">
        <v>4.8496300000000003</v>
      </c>
      <c r="P38" s="38">
        <v>1.0850657097551477E-3</v>
      </c>
      <c r="Q38" s="38">
        <v>1.4936377894666996E-5</v>
      </c>
      <c r="R38" s="139"/>
    </row>
    <row r="39" spans="1:18" x14ac:dyDescent="0.2">
      <c r="A39" s="30" t="s">
        <v>1938</v>
      </c>
      <c r="B39" s="46" t="s">
        <v>1816</v>
      </c>
      <c r="C39" s="46" t="s">
        <v>1847</v>
      </c>
      <c r="D39" s="46" t="s">
        <v>1818</v>
      </c>
      <c r="E39" s="46" t="s">
        <v>1408</v>
      </c>
      <c r="F39" s="46" t="s">
        <v>1839</v>
      </c>
      <c r="G39" s="46" t="s">
        <v>386</v>
      </c>
      <c r="H39" s="85">
        <v>3.31</v>
      </c>
      <c r="I39" s="46" t="s">
        <v>219</v>
      </c>
      <c r="J39" s="85" t="s">
        <v>246</v>
      </c>
      <c r="K39" s="46">
        <v>5.1699999999999996E-2</v>
      </c>
      <c r="L39" s="46">
        <v>3.4000000000000002E-3</v>
      </c>
      <c r="M39" s="134">
        <v>3293.95</v>
      </c>
      <c r="N39" s="80">
        <v>153.68</v>
      </c>
      <c r="O39" s="104">
        <v>5.0621400000000003</v>
      </c>
      <c r="P39" s="38">
        <v>1.1326131131611944E-3</v>
      </c>
      <c r="Q39" s="38">
        <v>1.5590887551361563E-5</v>
      </c>
      <c r="R39" s="139"/>
    </row>
    <row r="40" spans="1:18" x14ac:dyDescent="0.2">
      <c r="A40" s="30" t="s">
        <v>1938</v>
      </c>
      <c r="B40" s="46" t="s">
        <v>1816</v>
      </c>
      <c r="C40" s="46" t="s">
        <v>1831</v>
      </c>
      <c r="D40" s="46" t="s">
        <v>1818</v>
      </c>
      <c r="E40" s="46" t="s">
        <v>1408</v>
      </c>
      <c r="F40" s="46" t="s">
        <v>1819</v>
      </c>
      <c r="G40" s="46" t="s">
        <v>386</v>
      </c>
      <c r="H40" s="85">
        <v>3.35</v>
      </c>
      <c r="I40" s="46" t="s">
        <v>219</v>
      </c>
      <c r="J40" s="85" t="s">
        <v>246</v>
      </c>
      <c r="K40" s="46">
        <v>3.85E-2</v>
      </c>
      <c r="L40" s="46">
        <v>3.4000000000000002E-3</v>
      </c>
      <c r="M40" s="134">
        <v>1570.33</v>
      </c>
      <c r="N40" s="80">
        <v>138.66</v>
      </c>
      <c r="O40" s="104">
        <v>2.1774100000000001</v>
      </c>
      <c r="P40" s="38">
        <v>4.8717797586165455E-4</v>
      </c>
      <c r="Q40" s="38">
        <v>6.7062061624550451E-6</v>
      </c>
      <c r="R40" s="139"/>
    </row>
    <row r="41" spans="1:18" x14ac:dyDescent="0.2">
      <c r="A41" s="30" t="s">
        <v>1938</v>
      </c>
      <c r="B41" s="46" t="s">
        <v>1816</v>
      </c>
      <c r="C41" s="46" t="s">
        <v>1851</v>
      </c>
      <c r="D41" s="46" t="s">
        <v>1818</v>
      </c>
      <c r="E41" s="46" t="s">
        <v>1408</v>
      </c>
      <c r="F41" s="46" t="s">
        <v>1839</v>
      </c>
      <c r="G41" s="46" t="s">
        <v>386</v>
      </c>
      <c r="H41" s="85">
        <v>3.31</v>
      </c>
      <c r="I41" s="46" t="s">
        <v>219</v>
      </c>
      <c r="J41" s="85" t="s">
        <v>246</v>
      </c>
      <c r="K41" s="46">
        <v>5.1699999999999996E-2</v>
      </c>
      <c r="L41" s="46">
        <v>3.4000000000000002E-3</v>
      </c>
      <c r="M41" s="134">
        <v>1570.33</v>
      </c>
      <c r="N41" s="80">
        <v>144.74</v>
      </c>
      <c r="O41" s="104">
        <v>2.2728899999999999</v>
      </c>
      <c r="P41" s="38">
        <v>5.0854085797171693E-4</v>
      </c>
      <c r="Q41" s="38">
        <v>7.0002750628418382E-6</v>
      </c>
      <c r="R41" s="139"/>
    </row>
    <row r="42" spans="1:18" x14ac:dyDescent="0.2">
      <c r="A42" s="30" t="s">
        <v>1938</v>
      </c>
      <c r="B42" s="46" t="s">
        <v>1816</v>
      </c>
      <c r="C42" s="46" t="s">
        <v>1835</v>
      </c>
      <c r="D42" s="46" t="s">
        <v>1818</v>
      </c>
      <c r="E42" s="46" t="s">
        <v>1408</v>
      </c>
      <c r="F42" s="46" t="s">
        <v>1819</v>
      </c>
      <c r="G42" s="46" t="s">
        <v>386</v>
      </c>
      <c r="H42" s="85">
        <v>3.35</v>
      </c>
      <c r="I42" s="46" t="s">
        <v>219</v>
      </c>
      <c r="J42" s="85" t="s">
        <v>246</v>
      </c>
      <c r="K42" s="46">
        <v>3.85E-2</v>
      </c>
      <c r="L42" s="46">
        <v>3.4000000000000002E-3</v>
      </c>
      <c r="M42" s="134">
        <v>979.86</v>
      </c>
      <c r="N42" s="80">
        <v>140.19</v>
      </c>
      <c r="O42" s="104">
        <v>1.3736600000000001</v>
      </c>
      <c r="P42" s="38">
        <v>3.0734537745400294E-4</v>
      </c>
      <c r="Q42" s="38">
        <v>4.2307361301353436E-6</v>
      </c>
      <c r="R42" s="139"/>
    </row>
    <row r="43" spans="1:18" x14ac:dyDescent="0.2">
      <c r="A43" s="30" t="s">
        <v>1938</v>
      </c>
      <c r="B43" s="46" t="s">
        <v>1816</v>
      </c>
      <c r="C43" s="46" t="s">
        <v>1855</v>
      </c>
      <c r="D43" s="46" t="s">
        <v>1818</v>
      </c>
      <c r="E43" s="46" t="s">
        <v>1408</v>
      </c>
      <c r="F43" s="46" t="s">
        <v>1839</v>
      </c>
      <c r="G43" s="46" t="s">
        <v>386</v>
      </c>
      <c r="H43" s="85">
        <v>3.31</v>
      </c>
      <c r="I43" s="46" t="s">
        <v>219</v>
      </c>
      <c r="J43" s="85" t="s">
        <v>246</v>
      </c>
      <c r="K43" s="46">
        <v>5.1699999999999996E-2</v>
      </c>
      <c r="L43" s="46">
        <v>3.4000000000000002E-3</v>
      </c>
      <c r="M43" s="134">
        <v>979.87</v>
      </c>
      <c r="N43" s="80">
        <v>146.33000000000001</v>
      </c>
      <c r="O43" s="104">
        <v>1.43384</v>
      </c>
      <c r="P43" s="38">
        <v>3.2081016846137147E-4</v>
      </c>
      <c r="Q43" s="38">
        <v>4.4160845426330097E-6</v>
      </c>
      <c r="R43" s="139"/>
    </row>
    <row r="44" spans="1:18" x14ac:dyDescent="0.2">
      <c r="A44" s="30" t="s">
        <v>1938</v>
      </c>
      <c r="B44" s="46" t="s">
        <v>1816</v>
      </c>
      <c r="C44" s="46" t="s">
        <v>1829</v>
      </c>
      <c r="D44" s="46" t="s">
        <v>1818</v>
      </c>
      <c r="E44" s="46" t="s">
        <v>1408</v>
      </c>
      <c r="F44" s="46" t="s">
        <v>1819</v>
      </c>
      <c r="G44" s="46" t="s">
        <v>386</v>
      </c>
      <c r="H44" s="85">
        <v>3.35</v>
      </c>
      <c r="I44" s="46" t="s">
        <v>219</v>
      </c>
      <c r="J44" s="85" t="s">
        <v>246</v>
      </c>
      <c r="K44" s="46">
        <v>3.85E-2</v>
      </c>
      <c r="L44" s="46">
        <v>3.4000000000000002E-3</v>
      </c>
      <c r="M44" s="134">
        <v>1622.1</v>
      </c>
      <c r="N44" s="80">
        <v>145.09</v>
      </c>
      <c r="O44" s="104">
        <v>2.3534999999999999</v>
      </c>
      <c r="P44" s="38">
        <v>5.2657669717251423E-4</v>
      </c>
      <c r="Q44" s="38">
        <v>7.2485458426929003E-6</v>
      </c>
      <c r="R44" s="139"/>
    </row>
    <row r="45" spans="1:18" x14ac:dyDescent="0.2">
      <c r="A45" s="30" t="s">
        <v>1938</v>
      </c>
      <c r="B45" s="46" t="s">
        <v>1816</v>
      </c>
      <c r="C45" s="46" t="s">
        <v>1849</v>
      </c>
      <c r="D45" s="46" t="s">
        <v>1818</v>
      </c>
      <c r="E45" s="46" t="s">
        <v>1408</v>
      </c>
      <c r="F45" s="46" t="s">
        <v>1839</v>
      </c>
      <c r="G45" s="46" t="s">
        <v>386</v>
      </c>
      <c r="H45" s="85">
        <v>3.31</v>
      </c>
      <c r="I45" s="46" t="s">
        <v>219</v>
      </c>
      <c r="J45" s="85" t="s">
        <v>246</v>
      </c>
      <c r="K45" s="46">
        <v>5.1699999999999996E-2</v>
      </c>
      <c r="L45" s="46">
        <v>3.4000000000000002E-3</v>
      </c>
      <c r="M45" s="134">
        <v>1622.1</v>
      </c>
      <c r="N45" s="80">
        <v>151.44999999999999</v>
      </c>
      <c r="O45" s="104">
        <v>2.4566699999999999</v>
      </c>
      <c r="P45" s="38">
        <v>5.4966015493639281E-4</v>
      </c>
      <c r="Q45" s="38">
        <v>7.5662991779767863E-6</v>
      </c>
      <c r="R45" s="139"/>
    </row>
    <row r="46" spans="1:18" x14ac:dyDescent="0.2">
      <c r="A46" s="30" t="s">
        <v>1938</v>
      </c>
      <c r="B46" s="46" t="s">
        <v>1816</v>
      </c>
      <c r="C46" s="46" t="s">
        <v>1833</v>
      </c>
      <c r="D46" s="46" t="s">
        <v>1818</v>
      </c>
      <c r="E46" s="46" t="s">
        <v>1408</v>
      </c>
      <c r="F46" s="46" t="s">
        <v>1819</v>
      </c>
      <c r="G46" s="46" t="s">
        <v>386</v>
      </c>
      <c r="H46" s="85">
        <v>3.35</v>
      </c>
      <c r="I46" s="46" t="s">
        <v>219</v>
      </c>
      <c r="J46" s="85" t="s">
        <v>246</v>
      </c>
      <c r="K46" s="46">
        <v>3.85E-2</v>
      </c>
      <c r="L46" s="46">
        <v>3.4000000000000002E-3</v>
      </c>
      <c r="M46" s="134">
        <v>1332.37</v>
      </c>
      <c r="N46" s="80">
        <v>137.99</v>
      </c>
      <c r="O46" s="104">
        <v>1.83853</v>
      </c>
      <c r="P46" s="38">
        <v>4.1135630127579455E-4</v>
      </c>
      <c r="Q46" s="38">
        <v>5.6624894787194297E-6</v>
      </c>
      <c r="R46" s="139"/>
    </row>
    <row r="47" spans="1:18" x14ac:dyDescent="0.2">
      <c r="A47" s="30" t="s">
        <v>1938</v>
      </c>
      <c r="B47" s="46" t="s">
        <v>1816</v>
      </c>
      <c r="C47" s="46" t="s">
        <v>1853</v>
      </c>
      <c r="D47" s="46" t="s">
        <v>1818</v>
      </c>
      <c r="E47" s="46" t="s">
        <v>1408</v>
      </c>
      <c r="F47" s="46" t="s">
        <v>1839</v>
      </c>
      <c r="G47" s="46" t="s">
        <v>386</v>
      </c>
      <c r="H47" s="85">
        <v>3.31</v>
      </c>
      <c r="I47" s="46" t="s">
        <v>219</v>
      </c>
      <c r="J47" s="85" t="s">
        <v>246</v>
      </c>
      <c r="K47" s="46">
        <v>5.1699999999999996E-2</v>
      </c>
      <c r="L47" s="46">
        <v>3.4000000000000002E-3</v>
      </c>
      <c r="M47" s="134">
        <v>1332.37</v>
      </c>
      <c r="N47" s="80">
        <v>144.03</v>
      </c>
      <c r="O47" s="104">
        <v>1.9190099999999999</v>
      </c>
      <c r="P47" s="38">
        <v>4.29363054022106E-4</v>
      </c>
      <c r="Q47" s="38">
        <v>5.9103598715046106E-6</v>
      </c>
      <c r="R47" s="139"/>
    </row>
    <row r="48" spans="1:18" x14ac:dyDescent="0.2">
      <c r="A48" s="30" t="s">
        <v>1938</v>
      </c>
      <c r="B48" s="46" t="s">
        <v>1816</v>
      </c>
      <c r="C48" s="46" t="s">
        <v>1824</v>
      </c>
      <c r="D48" s="46" t="s">
        <v>1818</v>
      </c>
      <c r="E48" s="46" t="s">
        <v>1408</v>
      </c>
      <c r="F48" s="46" t="s">
        <v>1819</v>
      </c>
      <c r="G48" s="46" t="s">
        <v>386</v>
      </c>
      <c r="H48" s="85">
        <v>3.35</v>
      </c>
      <c r="I48" s="46" t="s">
        <v>219</v>
      </c>
      <c r="J48" s="85" t="s">
        <v>246</v>
      </c>
      <c r="K48" s="46">
        <v>3.85E-2</v>
      </c>
      <c r="L48" s="46">
        <v>3.4000000000000002E-3</v>
      </c>
      <c r="M48" s="134">
        <v>1066.1400000000001</v>
      </c>
      <c r="N48" s="80">
        <v>149.75</v>
      </c>
      <c r="O48" s="104">
        <v>1.5965400000000001</v>
      </c>
      <c r="P48" s="38">
        <v>3.572129849601894E-4</v>
      </c>
      <c r="Q48" s="38">
        <v>4.9171843550851601E-6</v>
      </c>
      <c r="R48" s="139"/>
    </row>
    <row r="49" spans="1:18" x14ac:dyDescent="0.2">
      <c r="A49" s="30" t="s">
        <v>1938</v>
      </c>
      <c r="B49" s="46" t="s">
        <v>1816</v>
      </c>
      <c r="C49" s="46" t="s">
        <v>1844</v>
      </c>
      <c r="D49" s="46" t="s">
        <v>1818</v>
      </c>
      <c r="E49" s="46" t="s">
        <v>1408</v>
      </c>
      <c r="F49" s="46" t="s">
        <v>1839</v>
      </c>
      <c r="G49" s="46" t="s">
        <v>386</v>
      </c>
      <c r="H49" s="85">
        <v>3.31</v>
      </c>
      <c r="I49" s="46" t="s">
        <v>219</v>
      </c>
      <c r="J49" s="85" t="s">
        <v>246</v>
      </c>
      <c r="K49" s="46">
        <v>5.1699999999999996E-2</v>
      </c>
      <c r="L49" s="46">
        <v>3.4000000000000002E-3</v>
      </c>
      <c r="M49" s="134">
        <v>1065.46</v>
      </c>
      <c r="N49" s="80">
        <v>156.31</v>
      </c>
      <c r="O49" s="104">
        <v>1.6654200000000001</v>
      </c>
      <c r="P49" s="38">
        <v>3.7262433099853349E-4</v>
      </c>
      <c r="Q49" s="38">
        <v>5.1293279019917617E-6</v>
      </c>
      <c r="R49" s="139"/>
    </row>
    <row r="50" spans="1:18" x14ac:dyDescent="0.2">
      <c r="A50" s="30" t="s">
        <v>1938</v>
      </c>
      <c r="B50" s="46" t="s">
        <v>1816</v>
      </c>
      <c r="C50" s="46" t="s">
        <v>1828</v>
      </c>
      <c r="D50" s="46" t="s">
        <v>1818</v>
      </c>
      <c r="E50" s="46" t="s">
        <v>1408</v>
      </c>
      <c r="F50" s="46" t="s">
        <v>1819</v>
      </c>
      <c r="G50" s="46" t="s">
        <v>386</v>
      </c>
      <c r="H50" s="85">
        <v>3.35</v>
      </c>
      <c r="I50" s="46" t="s">
        <v>219</v>
      </c>
      <c r="J50" s="85" t="s">
        <v>246</v>
      </c>
      <c r="K50" s="46">
        <v>3.85E-2</v>
      </c>
      <c r="L50" s="46">
        <v>3.4000000000000002E-3</v>
      </c>
      <c r="M50" s="134">
        <v>2187.7800000000002</v>
      </c>
      <c r="N50" s="80">
        <v>147.66</v>
      </c>
      <c r="O50" s="104">
        <v>3.23047</v>
      </c>
      <c r="P50" s="38">
        <v>7.2279168171442186E-4</v>
      </c>
      <c r="Q50" s="38">
        <v>9.9495261901186029E-6</v>
      </c>
      <c r="R50" s="139"/>
    </row>
    <row r="51" spans="1:18" x14ac:dyDescent="0.2">
      <c r="A51" s="30" t="s">
        <v>1938</v>
      </c>
      <c r="B51" s="46" t="s">
        <v>1816</v>
      </c>
      <c r="C51" s="46" t="s">
        <v>1848</v>
      </c>
      <c r="D51" s="46" t="s">
        <v>1818</v>
      </c>
      <c r="E51" s="46" t="s">
        <v>1408</v>
      </c>
      <c r="F51" s="46" t="s">
        <v>1839</v>
      </c>
      <c r="G51" s="46" t="s">
        <v>386</v>
      </c>
      <c r="H51" s="85">
        <v>3.31</v>
      </c>
      <c r="I51" s="46" t="s">
        <v>219</v>
      </c>
      <c r="J51" s="85" t="s">
        <v>246</v>
      </c>
      <c r="K51" s="46">
        <v>5.1699999999999996E-2</v>
      </c>
      <c r="L51" s="46">
        <v>3.4000000000000002E-3</v>
      </c>
      <c r="M51" s="134">
        <v>2187.77</v>
      </c>
      <c r="N51" s="80">
        <v>154.13</v>
      </c>
      <c r="O51" s="104">
        <v>3.3719999999999999</v>
      </c>
      <c r="P51" s="38">
        <v>7.5445788097119946E-4</v>
      </c>
      <c r="Q51" s="38">
        <v>1.0385424508842346E-5</v>
      </c>
      <c r="R51" s="139"/>
    </row>
    <row r="52" spans="1:18" x14ac:dyDescent="0.2">
      <c r="A52" s="30" t="s">
        <v>1938</v>
      </c>
      <c r="B52" s="46" t="s">
        <v>1816</v>
      </c>
      <c r="C52" s="46" t="s">
        <v>1832</v>
      </c>
      <c r="D52" s="46" t="s">
        <v>1818</v>
      </c>
      <c r="E52" s="46" t="s">
        <v>1408</v>
      </c>
      <c r="F52" s="46" t="s">
        <v>1819</v>
      </c>
      <c r="G52" s="46" t="s">
        <v>386</v>
      </c>
      <c r="H52" s="85">
        <v>3.35</v>
      </c>
      <c r="I52" s="46" t="s">
        <v>219</v>
      </c>
      <c r="J52" s="85" t="s">
        <v>246</v>
      </c>
      <c r="K52" s="46">
        <v>3.85E-2</v>
      </c>
      <c r="L52" s="46">
        <v>3.4999999999999996E-3</v>
      </c>
      <c r="M52" s="134">
        <v>1512.19</v>
      </c>
      <c r="N52" s="80">
        <v>138.4</v>
      </c>
      <c r="O52" s="104">
        <v>2.09287</v>
      </c>
      <c r="P52" s="38">
        <v>4.6826283076755457E-4</v>
      </c>
      <c r="Q52" s="38">
        <v>6.4458313736123603E-6</v>
      </c>
      <c r="R52" s="139"/>
    </row>
    <row r="53" spans="1:18" x14ac:dyDescent="0.2">
      <c r="A53" s="30" t="s">
        <v>1938</v>
      </c>
      <c r="B53" s="46" t="s">
        <v>1816</v>
      </c>
      <c r="C53" s="46" t="s">
        <v>1852</v>
      </c>
      <c r="D53" s="46" t="s">
        <v>1818</v>
      </c>
      <c r="E53" s="46" t="s">
        <v>1408</v>
      </c>
      <c r="F53" s="46" t="s">
        <v>1839</v>
      </c>
      <c r="G53" s="46" t="s">
        <v>386</v>
      </c>
      <c r="H53" s="85">
        <v>3.31</v>
      </c>
      <c r="I53" s="46" t="s">
        <v>219</v>
      </c>
      <c r="J53" s="85" t="s">
        <v>246</v>
      </c>
      <c r="K53" s="46">
        <v>5.1699999999999996E-2</v>
      </c>
      <c r="L53" s="46">
        <v>3.4000000000000002E-3</v>
      </c>
      <c r="M53" s="134">
        <v>1512.19</v>
      </c>
      <c r="N53" s="80">
        <v>144.47</v>
      </c>
      <c r="O53" s="104">
        <v>2.18466</v>
      </c>
      <c r="P53" s="38">
        <v>4.8880010505413418E-4</v>
      </c>
      <c r="Q53" s="38">
        <v>6.7285354411291574E-6</v>
      </c>
      <c r="R53" s="139"/>
    </row>
    <row r="54" spans="1:18" x14ac:dyDescent="0.2">
      <c r="A54" s="30" t="s">
        <v>1938</v>
      </c>
      <c r="B54" s="46" t="s">
        <v>1816</v>
      </c>
      <c r="C54" s="46" t="s">
        <v>1836</v>
      </c>
      <c r="D54" s="46" t="s">
        <v>1818</v>
      </c>
      <c r="E54" s="46" t="s">
        <v>1408</v>
      </c>
      <c r="F54" s="46" t="s">
        <v>1819</v>
      </c>
      <c r="G54" s="46" t="s">
        <v>386</v>
      </c>
      <c r="H54" s="85">
        <v>3.35</v>
      </c>
      <c r="I54" s="46" t="s">
        <v>219</v>
      </c>
      <c r="J54" s="85" t="s">
        <v>246</v>
      </c>
      <c r="K54" s="46">
        <v>3.85E-2</v>
      </c>
      <c r="L54" s="46">
        <v>3.4999999999999996E-3</v>
      </c>
      <c r="M54" s="134">
        <v>590.52</v>
      </c>
      <c r="N54" s="80">
        <v>141.16999999999999</v>
      </c>
      <c r="O54" s="104">
        <v>0.83362999999999998</v>
      </c>
      <c r="P54" s="38">
        <v>1.8651800810024348E-4</v>
      </c>
      <c r="Q54" s="38">
        <v>2.567497459462113E-6</v>
      </c>
      <c r="R54" s="139"/>
    </row>
    <row r="55" spans="1:18" x14ac:dyDescent="0.2">
      <c r="A55" s="30" t="s">
        <v>1938</v>
      </c>
      <c r="B55" s="46" t="s">
        <v>1816</v>
      </c>
      <c r="C55" s="46" t="s">
        <v>1856</v>
      </c>
      <c r="D55" s="46" t="s">
        <v>1818</v>
      </c>
      <c r="E55" s="46" t="s">
        <v>1408</v>
      </c>
      <c r="F55" s="46" t="s">
        <v>1839</v>
      </c>
      <c r="G55" s="46" t="s">
        <v>386</v>
      </c>
      <c r="H55" s="85">
        <v>3.31</v>
      </c>
      <c r="I55" s="46" t="s">
        <v>219</v>
      </c>
      <c r="J55" s="85" t="s">
        <v>246</v>
      </c>
      <c r="K55" s="46">
        <v>5.1699999999999996E-2</v>
      </c>
      <c r="L55" s="46">
        <v>3.4000000000000002E-3</v>
      </c>
      <c r="M55" s="134">
        <v>590.53</v>
      </c>
      <c r="N55" s="80">
        <v>147.36000000000001</v>
      </c>
      <c r="O55" s="104">
        <v>0.87020000000000008</v>
      </c>
      <c r="P55" s="38">
        <v>1.9470025148906814E-4</v>
      </c>
      <c r="Q55" s="38">
        <v>2.6801294209948427E-6</v>
      </c>
      <c r="R55" s="139"/>
    </row>
    <row r="56" spans="1:18" s="139" customFormat="1" x14ac:dyDescent="0.2">
      <c r="A56" s="112" t="s">
        <v>1858</v>
      </c>
      <c r="B56" s="142" t="s">
        <v>239</v>
      </c>
      <c r="C56" s="142" t="s">
        <v>239</v>
      </c>
      <c r="D56" s="142" t="s">
        <v>239</v>
      </c>
      <c r="E56" s="142" t="s">
        <v>239</v>
      </c>
      <c r="F56" s="142" t="s">
        <v>239</v>
      </c>
      <c r="G56" s="142" t="s">
        <v>239</v>
      </c>
      <c r="H56" s="146" t="s">
        <v>239</v>
      </c>
      <c r="I56" s="142" t="s">
        <v>239</v>
      </c>
      <c r="J56" s="146" t="s">
        <v>239</v>
      </c>
      <c r="K56" s="142" t="s">
        <v>239</v>
      </c>
      <c r="L56" s="142" t="s">
        <v>239</v>
      </c>
      <c r="M56" s="180" t="s">
        <v>239</v>
      </c>
      <c r="N56" s="147" t="s">
        <v>239</v>
      </c>
      <c r="O56" s="148">
        <v>0</v>
      </c>
      <c r="P56" s="145">
        <v>0</v>
      </c>
      <c r="Q56" s="145">
        <v>0</v>
      </c>
    </row>
    <row r="57" spans="1:18" s="139" customFormat="1" x14ac:dyDescent="0.2">
      <c r="A57" s="112" t="s">
        <v>1859</v>
      </c>
      <c r="B57" s="142" t="s">
        <v>239</v>
      </c>
      <c r="C57" s="142" t="s">
        <v>239</v>
      </c>
      <c r="D57" s="142" t="s">
        <v>239</v>
      </c>
      <c r="E57" s="142" t="s">
        <v>239</v>
      </c>
      <c r="F57" s="142" t="s">
        <v>239</v>
      </c>
      <c r="G57" s="142" t="s">
        <v>239</v>
      </c>
      <c r="H57" s="146" t="s">
        <v>239</v>
      </c>
      <c r="I57" s="142" t="s">
        <v>239</v>
      </c>
      <c r="J57" s="146" t="s">
        <v>239</v>
      </c>
      <c r="K57" s="142" t="s">
        <v>239</v>
      </c>
      <c r="L57" s="142" t="s">
        <v>239</v>
      </c>
      <c r="M57" s="180">
        <v>0</v>
      </c>
      <c r="N57" s="147" t="s">
        <v>239</v>
      </c>
      <c r="O57" s="148">
        <v>0</v>
      </c>
      <c r="P57" s="145">
        <v>0</v>
      </c>
      <c r="Q57" s="145">
        <v>0</v>
      </c>
    </row>
    <row r="58" spans="1:18" s="139" customFormat="1" x14ac:dyDescent="0.2">
      <c r="A58" s="112" t="s">
        <v>1860</v>
      </c>
      <c r="B58" s="142" t="s">
        <v>239</v>
      </c>
      <c r="C58" s="142" t="s">
        <v>239</v>
      </c>
      <c r="D58" s="142" t="s">
        <v>239</v>
      </c>
      <c r="E58" s="142" t="s">
        <v>239</v>
      </c>
      <c r="F58" s="142" t="s">
        <v>239</v>
      </c>
      <c r="G58" s="142" t="s">
        <v>239</v>
      </c>
      <c r="H58" s="146" t="s">
        <v>239</v>
      </c>
      <c r="I58" s="142" t="s">
        <v>239</v>
      </c>
      <c r="J58" s="146" t="s">
        <v>239</v>
      </c>
      <c r="K58" s="142" t="s">
        <v>239</v>
      </c>
      <c r="L58" s="142" t="s">
        <v>239</v>
      </c>
      <c r="M58" s="180" t="s">
        <v>239</v>
      </c>
      <c r="N58" s="147" t="s">
        <v>239</v>
      </c>
      <c r="O58" s="148">
        <v>0</v>
      </c>
      <c r="P58" s="145">
        <v>0</v>
      </c>
      <c r="Q58" s="145">
        <v>0</v>
      </c>
    </row>
    <row r="59" spans="1:18" s="139" customFormat="1" x14ac:dyDescent="0.2">
      <c r="A59" s="112" t="s">
        <v>1861</v>
      </c>
      <c r="B59" s="142" t="s">
        <v>239</v>
      </c>
      <c r="C59" s="142" t="s">
        <v>239</v>
      </c>
      <c r="D59" s="142" t="s">
        <v>239</v>
      </c>
      <c r="E59" s="142" t="s">
        <v>239</v>
      </c>
      <c r="F59" s="142" t="s">
        <v>239</v>
      </c>
      <c r="G59" s="142" t="s">
        <v>239</v>
      </c>
      <c r="H59" s="146" t="s">
        <v>239</v>
      </c>
      <c r="I59" s="142" t="s">
        <v>239</v>
      </c>
      <c r="J59" s="146" t="s">
        <v>239</v>
      </c>
      <c r="K59" s="142" t="s">
        <v>239</v>
      </c>
      <c r="L59" s="142" t="s">
        <v>239</v>
      </c>
      <c r="M59" s="180" t="s">
        <v>239</v>
      </c>
      <c r="N59" s="147" t="s">
        <v>239</v>
      </c>
      <c r="O59" s="148">
        <v>0</v>
      </c>
      <c r="P59" s="145">
        <v>0</v>
      </c>
      <c r="Q59" s="145">
        <v>0</v>
      </c>
    </row>
    <row r="60" spans="1:18" s="139" customFormat="1" x14ac:dyDescent="0.2">
      <c r="A60" s="112" t="s">
        <v>1862</v>
      </c>
      <c r="B60" s="142" t="s">
        <v>239</v>
      </c>
      <c r="C60" s="142" t="s">
        <v>239</v>
      </c>
      <c r="D60" s="142" t="s">
        <v>239</v>
      </c>
      <c r="E60" s="142" t="s">
        <v>239</v>
      </c>
      <c r="F60" s="142" t="s">
        <v>239</v>
      </c>
      <c r="G60" s="142" t="s">
        <v>239</v>
      </c>
      <c r="H60" s="146" t="s">
        <v>239</v>
      </c>
      <c r="I60" s="142" t="s">
        <v>239</v>
      </c>
      <c r="J60" s="146" t="s">
        <v>239</v>
      </c>
      <c r="K60" s="142" t="s">
        <v>239</v>
      </c>
      <c r="L60" s="142" t="s">
        <v>239</v>
      </c>
      <c r="M60" s="180">
        <v>0</v>
      </c>
      <c r="N60" s="147" t="s">
        <v>239</v>
      </c>
      <c r="O60" s="148">
        <v>0</v>
      </c>
      <c r="P60" s="145">
        <v>0</v>
      </c>
      <c r="Q60" s="145">
        <v>0</v>
      </c>
    </row>
    <row r="61" spans="1:18" s="139" customFormat="1" x14ac:dyDescent="0.2">
      <c r="A61" s="112" t="s">
        <v>1863</v>
      </c>
      <c r="B61" s="142" t="s">
        <v>239</v>
      </c>
      <c r="C61" s="142" t="s">
        <v>239</v>
      </c>
      <c r="D61" s="142" t="s">
        <v>239</v>
      </c>
      <c r="E61" s="142" t="s">
        <v>239</v>
      </c>
      <c r="F61" s="142" t="s">
        <v>239</v>
      </c>
      <c r="G61" s="142" t="s">
        <v>239</v>
      </c>
      <c r="H61" s="146" t="s">
        <v>239</v>
      </c>
      <c r="I61" s="142" t="s">
        <v>239</v>
      </c>
      <c r="J61" s="146" t="s">
        <v>239</v>
      </c>
      <c r="K61" s="142" t="s">
        <v>239</v>
      </c>
      <c r="L61" s="142" t="s">
        <v>239</v>
      </c>
      <c r="M61" s="180" t="s">
        <v>239</v>
      </c>
      <c r="N61" s="147" t="s">
        <v>239</v>
      </c>
      <c r="O61" s="148">
        <v>0</v>
      </c>
      <c r="P61" s="145">
        <v>0</v>
      </c>
      <c r="Q61" s="145">
        <v>0</v>
      </c>
    </row>
    <row r="62" spans="1:18" s="139" customFormat="1" x14ac:dyDescent="0.2">
      <c r="A62" s="112" t="s">
        <v>370</v>
      </c>
      <c r="B62" s="142" t="s">
        <v>239</v>
      </c>
      <c r="C62" s="142" t="s">
        <v>239</v>
      </c>
      <c r="D62" s="142" t="s">
        <v>239</v>
      </c>
      <c r="E62" s="142" t="s">
        <v>239</v>
      </c>
      <c r="F62" s="142" t="s">
        <v>239</v>
      </c>
      <c r="G62" s="142" t="s">
        <v>239</v>
      </c>
      <c r="H62" s="146" t="s">
        <v>239</v>
      </c>
      <c r="I62" s="142" t="s">
        <v>239</v>
      </c>
      <c r="J62" s="146" t="s">
        <v>239</v>
      </c>
      <c r="K62" s="142" t="s">
        <v>239</v>
      </c>
      <c r="L62" s="142" t="s">
        <v>239</v>
      </c>
      <c r="M62" s="180" t="s">
        <v>239</v>
      </c>
      <c r="N62" s="147" t="s">
        <v>239</v>
      </c>
      <c r="O62" s="148">
        <v>0</v>
      </c>
      <c r="P62" s="145">
        <v>0</v>
      </c>
      <c r="Q62" s="145">
        <v>0</v>
      </c>
    </row>
    <row r="63" spans="1:18" s="139" customFormat="1" x14ac:dyDescent="0.2">
      <c r="A63" s="112" t="s">
        <v>1813</v>
      </c>
      <c r="B63" s="142" t="s">
        <v>239</v>
      </c>
      <c r="C63" s="142" t="s">
        <v>239</v>
      </c>
      <c r="D63" s="142" t="s">
        <v>239</v>
      </c>
      <c r="E63" s="142" t="s">
        <v>239</v>
      </c>
      <c r="F63" s="142" t="s">
        <v>239</v>
      </c>
      <c r="G63" s="142" t="s">
        <v>239</v>
      </c>
      <c r="H63" s="146" t="s">
        <v>239</v>
      </c>
      <c r="I63" s="142" t="s">
        <v>239</v>
      </c>
      <c r="J63" s="146" t="s">
        <v>239</v>
      </c>
      <c r="K63" s="142" t="s">
        <v>239</v>
      </c>
      <c r="L63" s="142" t="s">
        <v>239</v>
      </c>
      <c r="M63" s="180" t="s">
        <v>239</v>
      </c>
      <c r="N63" s="147" t="s">
        <v>239</v>
      </c>
      <c r="O63" s="148">
        <v>0</v>
      </c>
      <c r="P63" s="145">
        <v>0</v>
      </c>
      <c r="Q63" s="145">
        <v>0</v>
      </c>
    </row>
    <row r="64" spans="1:18" s="139" customFormat="1" x14ac:dyDescent="0.2">
      <c r="A64" s="112" t="s">
        <v>1814</v>
      </c>
      <c r="B64" s="142" t="s">
        <v>239</v>
      </c>
      <c r="C64" s="142" t="s">
        <v>239</v>
      </c>
      <c r="D64" s="142" t="s">
        <v>239</v>
      </c>
      <c r="E64" s="142" t="s">
        <v>239</v>
      </c>
      <c r="F64" s="142" t="s">
        <v>239</v>
      </c>
      <c r="G64" s="142" t="s">
        <v>239</v>
      </c>
      <c r="H64" s="146" t="s">
        <v>239</v>
      </c>
      <c r="I64" s="142" t="s">
        <v>239</v>
      </c>
      <c r="J64" s="146" t="s">
        <v>239</v>
      </c>
      <c r="K64" s="142" t="s">
        <v>239</v>
      </c>
      <c r="L64" s="142" t="s">
        <v>239</v>
      </c>
      <c r="M64" s="180" t="s">
        <v>239</v>
      </c>
      <c r="N64" s="147" t="s">
        <v>239</v>
      </c>
      <c r="O64" s="148">
        <v>0</v>
      </c>
      <c r="P64" s="145">
        <v>0</v>
      </c>
      <c r="Q64" s="145">
        <v>0</v>
      </c>
    </row>
    <row r="65" spans="1:17" s="139" customFormat="1" x14ac:dyDescent="0.2">
      <c r="A65" s="112" t="s">
        <v>1815</v>
      </c>
      <c r="B65" s="142" t="s">
        <v>239</v>
      </c>
      <c r="C65" s="142" t="s">
        <v>239</v>
      </c>
      <c r="D65" s="142" t="s">
        <v>239</v>
      </c>
      <c r="E65" s="142" t="s">
        <v>239</v>
      </c>
      <c r="F65" s="142" t="s">
        <v>239</v>
      </c>
      <c r="G65" s="142" t="s">
        <v>239</v>
      </c>
      <c r="H65" s="146" t="s">
        <v>239</v>
      </c>
      <c r="I65" s="142" t="s">
        <v>239</v>
      </c>
      <c r="J65" s="146" t="s">
        <v>239</v>
      </c>
      <c r="K65" s="142" t="s">
        <v>239</v>
      </c>
      <c r="L65" s="142" t="s">
        <v>239</v>
      </c>
      <c r="M65" s="180" t="s">
        <v>239</v>
      </c>
      <c r="N65" s="147" t="s">
        <v>239</v>
      </c>
      <c r="O65" s="148">
        <v>0</v>
      </c>
      <c r="P65" s="145">
        <v>0</v>
      </c>
      <c r="Q65" s="145">
        <v>0</v>
      </c>
    </row>
    <row r="66" spans="1:17" s="139" customFormat="1" x14ac:dyDescent="0.2">
      <c r="A66" s="234" t="s">
        <v>1863</v>
      </c>
      <c r="B66" s="235" t="s">
        <v>239</v>
      </c>
      <c r="C66" s="235" t="s">
        <v>239</v>
      </c>
      <c r="D66" s="235" t="s">
        <v>239</v>
      </c>
      <c r="E66" s="235" t="s">
        <v>239</v>
      </c>
      <c r="F66" s="235" t="s">
        <v>239</v>
      </c>
      <c r="G66" s="235" t="s">
        <v>239</v>
      </c>
      <c r="H66" s="236" t="s">
        <v>239</v>
      </c>
      <c r="I66" s="235" t="s">
        <v>239</v>
      </c>
      <c r="J66" s="236" t="s">
        <v>239</v>
      </c>
      <c r="K66" s="235" t="s">
        <v>239</v>
      </c>
      <c r="L66" s="235" t="s">
        <v>239</v>
      </c>
      <c r="M66" s="248" t="s">
        <v>239</v>
      </c>
      <c r="N66" s="237" t="s">
        <v>239</v>
      </c>
      <c r="O66" s="240">
        <v>0</v>
      </c>
      <c r="P66" s="238">
        <v>0</v>
      </c>
      <c r="Q66" s="238">
        <v>0</v>
      </c>
    </row>
    <row r="67" spans="1:17" s="139" customFormat="1" x14ac:dyDescent="0.2">
      <c r="A67" s="97" t="s">
        <v>230</v>
      </c>
      <c r="B67" s="97"/>
      <c r="C67" s="149"/>
      <c r="D67" s="149"/>
      <c r="E67" s="149"/>
      <c r="F67" s="150"/>
      <c r="G67" s="150"/>
      <c r="H67" s="150"/>
      <c r="I67" s="150"/>
      <c r="J67" s="150"/>
      <c r="K67" s="151"/>
      <c r="L67" s="152"/>
      <c r="M67" s="153"/>
      <c r="N67" s="153"/>
      <c r="O67" s="153"/>
      <c r="P67" s="153"/>
      <c r="Q67" s="152"/>
    </row>
    <row r="68" spans="1:17" s="139" customFormat="1" x14ac:dyDescent="0.2">
      <c r="A68" s="97" t="s">
        <v>231</v>
      </c>
      <c r="B68" s="97"/>
      <c r="C68" s="149"/>
      <c r="D68" s="149"/>
      <c r="E68" s="149"/>
      <c r="F68" s="150"/>
      <c r="G68" s="150"/>
      <c r="H68" s="150"/>
      <c r="I68" s="150"/>
      <c r="J68" s="150"/>
      <c r="K68" s="151"/>
      <c r="L68" s="152"/>
      <c r="M68" s="153"/>
      <c r="N68" s="153"/>
      <c r="O68" s="153"/>
      <c r="P68" s="153"/>
      <c r="Q68" s="152"/>
    </row>
    <row r="69" spans="1:17" s="139" customFormat="1" x14ac:dyDescent="0.2">
      <c r="A69" s="97" t="s">
        <v>232</v>
      </c>
      <c r="B69" s="97"/>
      <c r="C69" s="149"/>
      <c r="D69" s="149"/>
      <c r="E69" s="149"/>
      <c r="F69" s="150"/>
      <c r="G69" s="150"/>
      <c r="H69" s="150"/>
      <c r="I69" s="150"/>
      <c r="J69" s="150"/>
      <c r="K69" s="151"/>
      <c r="L69" s="152"/>
      <c r="M69" s="153"/>
      <c r="N69" s="153"/>
      <c r="O69" s="153"/>
      <c r="P69" s="153"/>
      <c r="Q69" s="152"/>
    </row>
    <row r="70" spans="1:17" s="139" customFormat="1" x14ac:dyDescent="0.2">
      <c r="A70" s="97" t="s">
        <v>233</v>
      </c>
      <c r="B70" s="97"/>
      <c r="C70" s="149"/>
      <c r="D70" s="149"/>
      <c r="E70" s="149"/>
      <c r="F70" s="150"/>
      <c r="G70" s="150"/>
      <c r="H70" s="150"/>
      <c r="I70" s="150"/>
      <c r="J70" s="150"/>
      <c r="K70" s="151"/>
      <c r="L70" s="152"/>
      <c r="M70" s="153"/>
      <c r="N70" s="153"/>
      <c r="O70" s="153"/>
      <c r="P70" s="153"/>
      <c r="Q70" s="152"/>
    </row>
    <row r="71" spans="1:17" s="139" customFormat="1" x14ac:dyDescent="0.2">
      <c r="A71" s="97" t="s">
        <v>234</v>
      </c>
      <c r="B71" s="97"/>
      <c r="C71" s="149"/>
      <c r="D71" s="149"/>
      <c r="E71" s="149"/>
      <c r="F71" s="150"/>
      <c r="G71" s="150"/>
      <c r="H71" s="150"/>
      <c r="I71" s="150"/>
      <c r="J71" s="150"/>
      <c r="K71" s="151"/>
      <c r="L71" s="152"/>
      <c r="M71" s="153"/>
      <c r="N71" s="153"/>
      <c r="O71" s="153"/>
      <c r="P71" s="153"/>
      <c r="Q71" s="152"/>
    </row>
  </sheetData>
  <sortState ref="A18:Z55">
    <sortCondition ref="A18:A55" customList="א,ב,ג,ד,ה,ו,ז,ח,ט,י,כ,ל,מ,נ,ס,ע,פ,צ,ק,ר,ש,ת"/>
  </sortState>
  <mergeCells count="1">
    <mergeCell ref="A5:Q5"/>
  </mergeCells>
  <conditionalFormatting sqref="P10:Q10 P15:Q66">
    <cfRule type="expression" dxfId="67" priority="408" stopIfTrue="1">
      <formula>OR(LEFT(#REF!,3)="TIR",LEFT(#REF!,2)="IR")</formula>
    </cfRule>
  </conditionalFormatting>
  <conditionalFormatting sqref="A10 O10:P10 A15:A66 O15:P66">
    <cfRule type="expression" dxfId="66" priority="409" stopIfTrue="1">
      <formula>#REF!&gt;0</formula>
    </cfRule>
  </conditionalFormatting>
  <conditionalFormatting sqref="B10:L10 B15:L66">
    <cfRule type="expression" dxfId="65" priority="411" stopIfTrue="1">
      <formula>LEFT(#REF!,3)="TIR"</formula>
    </cfRule>
  </conditionalFormatting>
  <conditionalFormatting sqref="P11:Q14">
    <cfRule type="expression" dxfId="64" priority="3" stopIfTrue="1">
      <formula>OR(LEFT(#REF!,3)="TIR",LEFT(#REF!,2)="IR")</formula>
    </cfRule>
  </conditionalFormatting>
  <conditionalFormatting sqref="A11:A14 O11:P14">
    <cfRule type="expression" dxfId="63" priority="4" stopIfTrue="1">
      <formula>#REF!&gt;0</formula>
    </cfRule>
  </conditionalFormatting>
  <conditionalFormatting sqref="B11:L14">
    <cfRule type="expression" dxfId="62" priority="5" stopIfTrue="1">
      <formula>LEFT(#REF!,3)="TIR"</formula>
    </cfRule>
  </conditionalFormatting>
  <conditionalFormatting sqref="Q14">
    <cfRule type="expression" dxfId="61" priority="2" stopIfTrue="1">
      <formula>#REF!&gt;0</formula>
    </cfRule>
  </conditionalFormatting>
  <conditionalFormatting sqref="Q12:Q13">
    <cfRule type="expression" dxfId="60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158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9" customFormat="1" ht="12.75" customHeight="1" thickBot="1" x14ac:dyDescent="0.25">
      <c r="A9" s="121" t="s">
        <v>123</v>
      </c>
      <c r="B9" s="86" t="s">
        <v>239</v>
      </c>
      <c r="C9" s="122" t="s">
        <v>239</v>
      </c>
      <c r="D9" s="122"/>
      <c r="E9" s="122" t="s">
        <v>239</v>
      </c>
      <c r="F9" s="122" t="s">
        <v>239</v>
      </c>
      <c r="G9" s="122" t="s">
        <v>239</v>
      </c>
      <c r="H9" s="86" t="s">
        <v>239</v>
      </c>
      <c r="I9" s="86" t="s">
        <v>239</v>
      </c>
      <c r="J9" s="123" t="s">
        <v>239</v>
      </c>
      <c r="K9" s="122" t="s">
        <v>239</v>
      </c>
      <c r="L9" s="124">
        <v>6.0000000000000008E-7</v>
      </c>
      <c r="M9" s="86">
        <v>0</v>
      </c>
      <c r="N9" s="101">
        <v>0</v>
      </c>
    </row>
    <row r="10" spans="1:17" s="139" customFormat="1" x14ac:dyDescent="0.2">
      <c r="A10" s="111" t="s">
        <v>139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6" t="s">
        <v>239</v>
      </c>
      <c r="G10" s="146" t="s">
        <v>239</v>
      </c>
      <c r="H10" s="142" t="s">
        <v>239</v>
      </c>
      <c r="I10" s="142" t="s">
        <v>239</v>
      </c>
      <c r="J10" s="155" t="s">
        <v>239</v>
      </c>
      <c r="K10" s="146" t="s">
        <v>239</v>
      </c>
      <c r="L10" s="143">
        <v>0</v>
      </c>
      <c r="M10" s="142">
        <v>0</v>
      </c>
      <c r="N10" s="142">
        <v>0</v>
      </c>
    </row>
    <row r="11" spans="1:17" s="139" customFormat="1" x14ac:dyDescent="0.2">
      <c r="A11" s="112" t="s">
        <v>1864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6" t="s">
        <v>239</v>
      </c>
      <c r="G11" s="146" t="s">
        <v>239</v>
      </c>
      <c r="H11" s="142" t="s">
        <v>239</v>
      </c>
      <c r="I11" s="142" t="s">
        <v>239</v>
      </c>
      <c r="J11" s="157" t="s">
        <v>239</v>
      </c>
      <c r="K11" s="147" t="s">
        <v>239</v>
      </c>
      <c r="L11" s="148">
        <v>0</v>
      </c>
      <c r="M11" s="145">
        <v>0</v>
      </c>
      <c r="N11" s="145">
        <v>0</v>
      </c>
    </row>
    <row r="12" spans="1:17" s="139" customFormat="1" x14ac:dyDescent="0.2">
      <c r="A12" s="112" t="s">
        <v>1394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6" t="s">
        <v>239</v>
      </c>
      <c r="G12" s="146" t="s">
        <v>239</v>
      </c>
      <c r="H12" s="142" t="s">
        <v>239</v>
      </c>
      <c r="I12" s="142" t="s">
        <v>239</v>
      </c>
      <c r="J12" s="157" t="s">
        <v>239</v>
      </c>
      <c r="K12" s="147" t="s">
        <v>239</v>
      </c>
      <c r="L12" s="148">
        <v>0</v>
      </c>
      <c r="M12" s="145">
        <v>0</v>
      </c>
      <c r="N12" s="145">
        <v>0</v>
      </c>
    </row>
    <row r="13" spans="1:17" s="139" customFormat="1" x14ac:dyDescent="0.2">
      <c r="A13" s="112" t="s">
        <v>1865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6" t="s">
        <v>239</v>
      </c>
      <c r="G13" s="146" t="s">
        <v>239</v>
      </c>
      <c r="H13" s="142" t="s">
        <v>239</v>
      </c>
      <c r="I13" s="142" t="s">
        <v>239</v>
      </c>
      <c r="J13" s="157" t="s">
        <v>239</v>
      </c>
      <c r="K13" s="147" t="s">
        <v>239</v>
      </c>
      <c r="L13" s="148">
        <v>0</v>
      </c>
      <c r="M13" s="145">
        <v>0</v>
      </c>
      <c r="N13" s="145">
        <v>0</v>
      </c>
    </row>
    <row r="14" spans="1:17" s="139" customFormat="1" x14ac:dyDescent="0.2">
      <c r="A14" s="112" t="s">
        <v>1866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6" t="s">
        <v>239</v>
      </c>
      <c r="G14" s="146" t="s">
        <v>239</v>
      </c>
      <c r="H14" s="142" t="s">
        <v>239</v>
      </c>
      <c r="I14" s="142" t="s">
        <v>239</v>
      </c>
      <c r="J14" s="157" t="s">
        <v>239</v>
      </c>
      <c r="K14" s="147" t="s">
        <v>239</v>
      </c>
      <c r="L14" s="148">
        <v>0</v>
      </c>
      <c r="M14" s="145">
        <v>0</v>
      </c>
      <c r="N14" s="145">
        <v>0</v>
      </c>
    </row>
    <row r="15" spans="1:17" s="139" customFormat="1" x14ac:dyDescent="0.2">
      <c r="A15" s="112" t="s">
        <v>143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6" t="s">
        <v>239</v>
      </c>
      <c r="G15" s="146" t="s">
        <v>239</v>
      </c>
      <c r="H15" s="142" t="s">
        <v>239</v>
      </c>
      <c r="I15" s="142" t="s">
        <v>239</v>
      </c>
      <c r="J15" s="157" t="s">
        <v>239</v>
      </c>
      <c r="K15" s="147" t="s">
        <v>239</v>
      </c>
      <c r="L15" s="148">
        <v>0</v>
      </c>
      <c r="M15" s="145">
        <v>0</v>
      </c>
      <c r="N15" s="145">
        <v>0</v>
      </c>
    </row>
    <row r="16" spans="1:17" s="139" customFormat="1" x14ac:dyDescent="0.2">
      <c r="A16" s="234" t="s">
        <v>374</v>
      </c>
      <c r="B16" s="235" t="s">
        <v>239</v>
      </c>
      <c r="C16" s="235" t="s">
        <v>239</v>
      </c>
      <c r="D16" s="235" t="s">
        <v>239</v>
      </c>
      <c r="E16" s="235" t="s">
        <v>239</v>
      </c>
      <c r="F16" s="236" t="s">
        <v>239</v>
      </c>
      <c r="G16" s="236" t="s">
        <v>239</v>
      </c>
      <c r="H16" s="235" t="s">
        <v>239</v>
      </c>
      <c r="I16" s="235" t="s">
        <v>239</v>
      </c>
      <c r="J16" s="239" t="s">
        <v>239</v>
      </c>
      <c r="K16" s="237" t="s">
        <v>239</v>
      </c>
      <c r="L16" s="240">
        <v>0</v>
      </c>
      <c r="M16" s="238">
        <v>0</v>
      </c>
      <c r="N16" s="238">
        <v>0</v>
      </c>
    </row>
    <row r="17" spans="1:15" s="139" customFormat="1" x14ac:dyDescent="0.2">
      <c r="A17" s="97" t="s">
        <v>230</v>
      </c>
      <c r="B17" s="97"/>
      <c r="C17" s="149"/>
      <c r="D17" s="149"/>
      <c r="E17" s="150"/>
      <c r="F17" s="150"/>
      <c r="G17" s="150"/>
      <c r="H17" s="151"/>
      <c r="I17" s="152"/>
      <c r="J17" s="153"/>
      <c r="K17" s="153"/>
      <c r="L17" s="153"/>
      <c r="M17" s="153"/>
      <c r="N17" s="152"/>
      <c r="O17" s="154"/>
    </row>
    <row r="18" spans="1:15" s="139" customFormat="1" x14ac:dyDescent="0.2">
      <c r="A18" s="97" t="s">
        <v>231</v>
      </c>
      <c r="B18" s="97"/>
      <c r="C18" s="149"/>
      <c r="D18" s="149"/>
      <c r="E18" s="150"/>
      <c r="F18" s="150"/>
      <c r="G18" s="150"/>
      <c r="H18" s="151"/>
      <c r="I18" s="152"/>
      <c r="J18" s="153"/>
      <c r="K18" s="153"/>
      <c r="L18" s="153"/>
      <c r="M18" s="153"/>
      <c r="N18" s="152"/>
      <c r="O18" s="154"/>
    </row>
    <row r="19" spans="1:15" s="139" customFormat="1" x14ac:dyDescent="0.2">
      <c r="A19" s="97" t="s">
        <v>232</v>
      </c>
      <c r="B19" s="97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7" t="s">
        <v>233</v>
      </c>
      <c r="B20" s="97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7" t="s">
        <v>234</v>
      </c>
      <c r="B21" s="97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9" t="s">
        <v>38</v>
      </c>
      <c r="B5" s="250"/>
      <c r="C5" s="250"/>
      <c r="D5" s="250"/>
      <c r="E5" s="250"/>
      <c r="F5" s="250"/>
      <c r="G5" s="250"/>
      <c r="H5" s="250"/>
      <c r="I5" s="251"/>
      <c r="J5" s="25"/>
      <c r="K5" s="25"/>
      <c r="L5" s="25"/>
    </row>
    <row r="6" spans="1:17" s="20" customFormat="1" ht="33" customHeight="1" x14ac:dyDescent="0.2">
      <c r="A6" s="106" t="s">
        <v>158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9" customFormat="1" ht="12.75" customHeight="1" thickBot="1" x14ac:dyDescent="0.25">
      <c r="A9" s="169" t="s">
        <v>73</v>
      </c>
      <c r="B9" s="89"/>
      <c r="C9" s="89" t="s">
        <v>239</v>
      </c>
      <c r="D9" s="181"/>
      <c r="E9" s="170"/>
      <c r="F9" s="172">
        <v>4.0000000000000003E-7</v>
      </c>
      <c r="G9" s="89">
        <v>1</v>
      </c>
      <c r="H9" s="89">
        <v>0</v>
      </c>
      <c r="I9" s="102"/>
    </row>
    <row r="10" spans="1:17" s="139" customFormat="1" x14ac:dyDescent="0.2">
      <c r="A10" s="111" t="s">
        <v>1867</v>
      </c>
      <c r="B10" s="142" t="s">
        <v>239</v>
      </c>
      <c r="C10" s="142" t="s">
        <v>239</v>
      </c>
      <c r="D10" s="163"/>
      <c r="E10" s="146" t="s">
        <v>239</v>
      </c>
      <c r="F10" s="143">
        <v>0</v>
      </c>
      <c r="G10" s="142">
        <v>0</v>
      </c>
      <c r="H10" s="142">
        <v>0</v>
      </c>
      <c r="I10" s="142" t="s">
        <v>239</v>
      </c>
    </row>
    <row r="11" spans="1:17" s="139" customFormat="1" x14ac:dyDescent="0.2">
      <c r="A11" s="112" t="s">
        <v>1868</v>
      </c>
      <c r="B11" s="142" t="s">
        <v>239</v>
      </c>
      <c r="C11" s="142" t="s">
        <v>239</v>
      </c>
      <c r="D11" s="163"/>
      <c r="E11" s="146" t="s">
        <v>239</v>
      </c>
      <c r="F11" s="143">
        <v>0</v>
      </c>
      <c r="G11" s="142">
        <v>0</v>
      </c>
      <c r="H11" s="142">
        <v>0</v>
      </c>
      <c r="I11" s="142" t="s">
        <v>239</v>
      </c>
    </row>
    <row r="12" spans="1:17" s="139" customFormat="1" x14ac:dyDescent="0.2">
      <c r="A12" s="112" t="s">
        <v>1869</v>
      </c>
      <c r="B12" s="142" t="s">
        <v>239</v>
      </c>
      <c r="C12" s="142" t="s">
        <v>239</v>
      </c>
      <c r="D12" s="163"/>
      <c r="E12" s="146" t="s">
        <v>239</v>
      </c>
      <c r="F12" s="143">
        <v>0</v>
      </c>
      <c r="G12" s="142">
        <v>0</v>
      </c>
      <c r="H12" s="142">
        <v>0</v>
      </c>
      <c r="I12" s="142" t="s">
        <v>239</v>
      </c>
    </row>
    <row r="13" spans="1:17" s="139" customFormat="1" x14ac:dyDescent="0.2">
      <c r="A13" s="112" t="s">
        <v>1870</v>
      </c>
      <c r="B13" s="142" t="s">
        <v>239</v>
      </c>
      <c r="C13" s="142" t="s">
        <v>239</v>
      </c>
      <c r="D13" s="163"/>
      <c r="E13" s="146" t="s">
        <v>239</v>
      </c>
      <c r="F13" s="143">
        <v>0</v>
      </c>
      <c r="G13" s="142">
        <v>0</v>
      </c>
      <c r="H13" s="142">
        <v>0</v>
      </c>
      <c r="I13" s="142" t="s">
        <v>239</v>
      </c>
    </row>
    <row r="14" spans="1:17" s="139" customFormat="1" x14ac:dyDescent="0.2">
      <c r="A14" s="112" t="s">
        <v>1868</v>
      </c>
      <c r="B14" s="142" t="s">
        <v>239</v>
      </c>
      <c r="C14" s="142" t="s">
        <v>239</v>
      </c>
      <c r="D14" s="163"/>
      <c r="E14" s="146" t="s">
        <v>239</v>
      </c>
      <c r="F14" s="143">
        <v>0</v>
      </c>
      <c r="G14" s="142">
        <v>0</v>
      </c>
      <c r="H14" s="142">
        <v>0</v>
      </c>
      <c r="I14" s="142" t="s">
        <v>239</v>
      </c>
    </row>
    <row r="15" spans="1:17" s="139" customFormat="1" x14ac:dyDescent="0.2">
      <c r="A15" s="234" t="s">
        <v>1869</v>
      </c>
      <c r="B15" s="235" t="s">
        <v>239</v>
      </c>
      <c r="C15" s="235" t="s">
        <v>239</v>
      </c>
      <c r="D15" s="252"/>
      <c r="E15" s="236" t="s">
        <v>239</v>
      </c>
      <c r="F15" s="253">
        <v>0</v>
      </c>
      <c r="G15" s="235">
        <v>0</v>
      </c>
      <c r="H15" s="235">
        <v>0</v>
      </c>
      <c r="I15" s="235" t="s">
        <v>239</v>
      </c>
    </row>
    <row r="16" spans="1:17" s="139" customFormat="1" x14ac:dyDescent="0.2">
      <c r="A16" s="97" t="s">
        <v>230</v>
      </c>
      <c r="B16" s="149"/>
      <c r="C16" s="97"/>
      <c r="D16" s="166"/>
      <c r="E16" s="150"/>
      <c r="F16" s="150"/>
      <c r="G16" s="150"/>
      <c r="H16" s="150"/>
      <c r="I16" s="150"/>
      <c r="J16" s="167"/>
      <c r="K16" s="154"/>
      <c r="L16" s="168"/>
      <c r="M16" s="168"/>
      <c r="N16" s="168"/>
      <c r="O16" s="154"/>
      <c r="P16" s="154"/>
    </row>
    <row r="17" spans="1:16" s="139" customFormat="1" x14ac:dyDescent="0.2">
      <c r="A17" s="97" t="s">
        <v>231</v>
      </c>
      <c r="B17" s="149"/>
      <c r="C17" s="97"/>
      <c r="D17" s="166"/>
      <c r="E17" s="150"/>
      <c r="F17" s="150"/>
      <c r="G17" s="150"/>
      <c r="H17" s="150"/>
      <c r="I17" s="150"/>
      <c r="J17" s="167"/>
      <c r="K17" s="154"/>
      <c r="L17" s="168"/>
      <c r="M17" s="168"/>
      <c r="N17" s="168"/>
      <c r="O17" s="154"/>
      <c r="P17" s="154"/>
    </row>
    <row r="18" spans="1:16" s="139" customFormat="1" x14ac:dyDescent="0.2">
      <c r="A18" s="97" t="s">
        <v>232</v>
      </c>
      <c r="B18" s="149"/>
      <c r="C18" s="97"/>
      <c r="D18" s="166"/>
      <c r="E18" s="150"/>
      <c r="F18" s="150"/>
      <c r="G18" s="150"/>
      <c r="H18" s="150"/>
      <c r="I18" s="150"/>
      <c r="J18" s="167"/>
      <c r="K18" s="154"/>
      <c r="L18" s="168"/>
      <c r="M18" s="168"/>
      <c r="N18" s="168"/>
      <c r="O18" s="154"/>
      <c r="P18" s="154"/>
    </row>
    <row r="19" spans="1:16" s="139" customFormat="1" x14ac:dyDescent="0.2">
      <c r="A19" s="97" t="s">
        <v>233</v>
      </c>
      <c r="B19" s="149"/>
      <c r="C19" s="97"/>
      <c r="D19" s="166"/>
      <c r="E19" s="150"/>
      <c r="F19" s="150"/>
      <c r="G19" s="150"/>
      <c r="H19" s="150"/>
      <c r="I19" s="150"/>
      <c r="J19" s="167"/>
      <c r="K19" s="154"/>
      <c r="L19" s="168"/>
      <c r="M19" s="168"/>
      <c r="N19" s="168"/>
      <c r="O19" s="154"/>
      <c r="P19" s="154"/>
    </row>
    <row r="20" spans="1:16" s="139" customFormat="1" x14ac:dyDescent="0.2">
      <c r="A20" s="97" t="s">
        <v>234</v>
      </c>
      <c r="B20" s="149"/>
      <c r="C20" s="97"/>
      <c r="D20" s="166"/>
      <c r="E20" s="150"/>
      <c r="F20" s="150"/>
      <c r="G20" s="150"/>
      <c r="H20" s="150"/>
      <c r="I20" s="150"/>
      <c r="J20" s="167"/>
      <c r="K20" s="154"/>
      <c r="L20" s="168"/>
      <c r="M20" s="168"/>
      <c r="N20" s="168"/>
      <c r="O20" s="154"/>
      <c r="P20" s="154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158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9" customFormat="1" ht="12.75" customHeight="1" thickBot="1" x14ac:dyDescent="0.25">
      <c r="A9" s="121" t="s">
        <v>124</v>
      </c>
      <c r="B9" s="89"/>
      <c r="C9" s="89"/>
      <c r="D9" s="181"/>
      <c r="E9" s="170"/>
      <c r="F9" s="129"/>
      <c r="G9" s="129"/>
      <c r="H9" s="172">
        <v>2.0000000000000002E-7</v>
      </c>
      <c r="I9" s="89">
        <v>1</v>
      </c>
      <c r="J9" s="101">
        <v>6.1598010135482483E-13</v>
      </c>
    </row>
    <row r="10" spans="1:18" s="139" customFormat="1" x14ac:dyDescent="0.2">
      <c r="A10" s="111" t="s">
        <v>139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56" t="s">
        <v>239</v>
      </c>
      <c r="G10" s="182" t="s">
        <v>239</v>
      </c>
      <c r="H10" s="143">
        <v>0</v>
      </c>
      <c r="I10" s="142">
        <v>0</v>
      </c>
      <c r="J10" s="142">
        <v>0</v>
      </c>
    </row>
    <row r="11" spans="1:18" s="139" customFormat="1" x14ac:dyDescent="0.2">
      <c r="A11" s="254" t="s">
        <v>370</v>
      </c>
      <c r="B11" s="235" t="s">
        <v>239</v>
      </c>
      <c r="C11" s="235" t="s">
        <v>239</v>
      </c>
      <c r="D11" s="235" t="s">
        <v>239</v>
      </c>
      <c r="E11" s="235" t="s">
        <v>239</v>
      </c>
      <c r="F11" s="255" t="s">
        <v>239</v>
      </c>
      <c r="G11" s="256" t="s">
        <v>239</v>
      </c>
      <c r="H11" s="253">
        <v>0</v>
      </c>
      <c r="I11" s="235">
        <v>0</v>
      </c>
      <c r="J11" s="235">
        <v>0</v>
      </c>
    </row>
    <row r="12" spans="1:18" s="139" customFormat="1" x14ac:dyDescent="0.2">
      <c r="A12" s="97" t="s">
        <v>230</v>
      </c>
      <c r="B12" s="149"/>
      <c r="C12" s="97"/>
      <c r="D12" s="166"/>
      <c r="E12" s="150"/>
      <c r="F12" s="150"/>
      <c r="G12" s="150"/>
      <c r="H12" s="150"/>
      <c r="I12" s="150"/>
      <c r="J12" s="150"/>
      <c r="K12" s="167"/>
      <c r="L12" s="154"/>
      <c r="M12" s="168"/>
      <c r="N12" s="168"/>
      <c r="O12" s="168"/>
      <c r="P12" s="154"/>
      <c r="Q12" s="154"/>
    </row>
    <row r="13" spans="1:18" s="139" customFormat="1" x14ac:dyDescent="0.2">
      <c r="A13" s="97" t="s">
        <v>231</v>
      </c>
      <c r="B13" s="149"/>
      <c r="C13" s="97"/>
      <c r="D13" s="166"/>
      <c r="E13" s="150"/>
      <c r="F13" s="150"/>
      <c r="G13" s="150"/>
      <c r="H13" s="150"/>
      <c r="I13" s="150"/>
      <c r="J13" s="150"/>
      <c r="K13" s="167"/>
      <c r="L13" s="154"/>
      <c r="M13" s="168"/>
      <c r="N13" s="168"/>
      <c r="O13" s="168"/>
      <c r="P13" s="154"/>
      <c r="Q13" s="154"/>
    </row>
    <row r="14" spans="1:18" s="139" customFormat="1" x14ac:dyDescent="0.2">
      <c r="A14" s="97" t="s">
        <v>232</v>
      </c>
      <c r="B14" s="149"/>
      <c r="C14" s="97"/>
      <c r="D14" s="166"/>
      <c r="E14" s="150"/>
      <c r="F14" s="150"/>
      <c r="G14" s="150"/>
      <c r="H14" s="150"/>
      <c r="I14" s="150"/>
      <c r="J14" s="150"/>
      <c r="K14" s="167"/>
      <c r="L14" s="154"/>
      <c r="M14" s="168"/>
      <c r="N14" s="168"/>
      <c r="O14" s="168"/>
      <c r="P14" s="154"/>
      <c r="Q14" s="154"/>
    </row>
    <row r="15" spans="1:18" s="139" customFormat="1" x14ac:dyDescent="0.2">
      <c r="A15" s="97" t="s">
        <v>233</v>
      </c>
      <c r="B15" s="149"/>
      <c r="C15" s="97"/>
      <c r="D15" s="166"/>
      <c r="E15" s="150"/>
      <c r="F15" s="150"/>
      <c r="G15" s="150"/>
      <c r="H15" s="150"/>
      <c r="I15" s="150"/>
      <c r="J15" s="150"/>
      <c r="K15" s="167"/>
      <c r="L15" s="154"/>
      <c r="M15" s="168"/>
      <c r="N15" s="168"/>
      <c r="O15" s="168"/>
      <c r="P15" s="154"/>
      <c r="Q15" s="154"/>
    </row>
    <row r="16" spans="1:18" s="139" customFormat="1" x14ac:dyDescent="0.2">
      <c r="A16" s="97" t="s">
        <v>234</v>
      </c>
      <c r="B16" s="149"/>
      <c r="C16" s="97"/>
      <c r="D16" s="166"/>
      <c r="E16" s="150"/>
      <c r="F16" s="150"/>
      <c r="G16" s="150"/>
      <c r="H16" s="150"/>
      <c r="I16" s="150"/>
      <c r="J16" s="150"/>
      <c r="K16" s="167"/>
      <c r="L16" s="154"/>
      <c r="M16" s="168"/>
      <c r="N16" s="168"/>
      <c r="O16" s="168"/>
      <c r="P16" s="154"/>
      <c r="Q16" s="154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0"/>
  <sheetViews>
    <sheetView rightToLeft="1" zoomScale="85" zoomScaleNormal="85" workbookViewId="0">
      <selection activeCell="A6" sqref="A6:J15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2.5703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158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9" customFormat="1" ht="12.75" customHeight="1" thickBot="1" x14ac:dyDescent="0.25">
      <c r="A9" s="91" t="s">
        <v>125</v>
      </c>
      <c r="B9" s="140"/>
      <c r="C9" s="140"/>
      <c r="D9" s="140" t="s">
        <v>239</v>
      </c>
      <c r="E9" s="140" t="s">
        <v>239</v>
      </c>
      <c r="F9" s="140" t="s">
        <v>239</v>
      </c>
      <c r="G9" s="140" t="s">
        <v>239</v>
      </c>
      <c r="H9" s="114">
        <v>-57.236379799999995</v>
      </c>
      <c r="I9" s="96">
        <v>1</v>
      </c>
      <c r="J9" s="78">
        <v>-1.762823551519362E-4</v>
      </c>
    </row>
    <row r="10" spans="1:20" s="139" customFormat="1" x14ac:dyDescent="0.2">
      <c r="A10" s="111" t="s">
        <v>139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6" t="s">
        <v>239</v>
      </c>
      <c r="G10" s="142" t="s">
        <v>239</v>
      </c>
      <c r="H10" s="143">
        <v>-57.236379900000003</v>
      </c>
      <c r="I10" s="142">
        <v>1.0000000017471407</v>
      </c>
      <c r="J10" s="142">
        <v>-1.7628235545992629E-4</v>
      </c>
    </row>
    <row r="11" spans="1:20" x14ac:dyDescent="0.2">
      <c r="A11" s="30" t="s">
        <v>1875</v>
      </c>
      <c r="B11" s="46" t="s">
        <v>1876</v>
      </c>
      <c r="C11" s="46" t="s">
        <v>380</v>
      </c>
      <c r="D11" s="46" t="s">
        <v>239</v>
      </c>
      <c r="E11" s="38">
        <v>0</v>
      </c>
      <c r="F11" s="87" t="s">
        <v>246</v>
      </c>
      <c r="G11" s="38">
        <v>0</v>
      </c>
      <c r="H11" s="105">
        <v>46.758690000000001</v>
      </c>
      <c r="I11" s="95">
        <v>-0.81694003295435547</v>
      </c>
      <c r="J11" s="46">
        <v>1.4401211302709417E-4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1877</v>
      </c>
      <c r="B12" s="46" t="s">
        <v>1878</v>
      </c>
      <c r="C12" s="46" t="s">
        <v>380</v>
      </c>
      <c r="D12" s="46" t="s">
        <v>239</v>
      </c>
      <c r="E12" s="38">
        <v>0</v>
      </c>
      <c r="F12" s="87" t="s">
        <v>246</v>
      </c>
      <c r="G12" s="38">
        <v>0</v>
      </c>
      <c r="H12" s="105">
        <v>-172.73172</v>
      </c>
      <c r="I12" s="95">
        <v>3.0178659203040654</v>
      </c>
      <c r="J12" s="46">
        <v>-5.3199651196396609E-4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1871</v>
      </c>
      <c r="B13" s="46" t="s">
        <v>1872</v>
      </c>
      <c r="C13" s="46" t="s">
        <v>380</v>
      </c>
      <c r="D13" s="46" t="s">
        <v>239</v>
      </c>
      <c r="E13" s="38">
        <v>5.3499999999999999E-2</v>
      </c>
      <c r="F13" s="87" t="s">
        <v>246</v>
      </c>
      <c r="G13" s="38">
        <v>0</v>
      </c>
      <c r="H13" s="105">
        <v>12.008379999999999</v>
      </c>
      <c r="I13" s="95">
        <v>-0.20980327620231495</v>
      </c>
      <c r="J13" s="46">
        <v>3.698461564753625E-5</v>
      </c>
      <c r="K13" s="28"/>
      <c r="L13" s="28"/>
      <c r="M13" s="28"/>
      <c r="N13" s="28"/>
      <c r="O13" s="28"/>
      <c r="P13" s="28"/>
    </row>
    <row r="14" spans="1:20" x14ac:dyDescent="0.2">
      <c r="A14" s="30" t="s">
        <v>1873</v>
      </c>
      <c r="B14" s="46" t="s">
        <v>1874</v>
      </c>
      <c r="C14" s="46" t="s">
        <v>380</v>
      </c>
      <c r="D14" s="46" t="s">
        <v>239</v>
      </c>
      <c r="E14" s="38">
        <v>0.03</v>
      </c>
      <c r="F14" s="87" t="s">
        <v>126</v>
      </c>
      <c r="G14" s="38">
        <v>0</v>
      </c>
      <c r="H14" s="105">
        <v>56.728269999999995</v>
      </c>
      <c r="I14" s="95">
        <v>-0.99112260765311366</v>
      </c>
      <c r="J14" s="46">
        <v>1.7471742752141932E-4</v>
      </c>
      <c r="K14" s="28"/>
      <c r="L14" s="28"/>
      <c r="M14" s="28"/>
      <c r="N14" s="28"/>
      <c r="O14" s="28"/>
      <c r="P14" s="28"/>
    </row>
    <row r="15" spans="1:20" s="139" customFormat="1" x14ac:dyDescent="0.2">
      <c r="A15" s="234" t="s">
        <v>370</v>
      </c>
      <c r="B15" s="235" t="s">
        <v>239</v>
      </c>
      <c r="C15" s="235" t="s">
        <v>239</v>
      </c>
      <c r="D15" s="235" t="s">
        <v>239</v>
      </c>
      <c r="E15" s="238" t="s">
        <v>239</v>
      </c>
      <c r="F15" s="255" t="s">
        <v>239</v>
      </c>
      <c r="G15" s="238" t="s">
        <v>239</v>
      </c>
      <c r="H15" s="253">
        <v>0</v>
      </c>
      <c r="I15" s="235">
        <v>0</v>
      </c>
      <c r="J15" s="235">
        <v>0</v>
      </c>
    </row>
    <row r="16" spans="1:20" s="139" customFormat="1" x14ac:dyDescent="0.2">
      <c r="A16" s="97" t="s">
        <v>230</v>
      </c>
      <c r="B16" s="97"/>
      <c r="C16" s="149"/>
      <c r="D16" s="97"/>
      <c r="E16" s="166"/>
      <c r="F16" s="166"/>
      <c r="G16" s="166"/>
      <c r="H16" s="166"/>
      <c r="I16" s="166"/>
      <c r="J16" s="151"/>
      <c r="K16" s="154"/>
      <c r="L16" s="168"/>
      <c r="M16" s="168"/>
      <c r="N16" s="168"/>
      <c r="O16" s="154"/>
      <c r="P16" s="154"/>
    </row>
    <row r="17" spans="1:16" s="139" customFormat="1" x14ac:dyDescent="0.2">
      <c r="A17" s="97" t="s">
        <v>231</v>
      </c>
      <c r="B17" s="97"/>
      <c r="C17" s="149"/>
      <c r="D17" s="97"/>
      <c r="E17" s="166"/>
      <c r="F17" s="166"/>
      <c r="G17" s="166"/>
      <c r="H17" s="166"/>
      <c r="I17" s="166"/>
      <c r="J17" s="151"/>
      <c r="K17" s="154"/>
      <c r="L17" s="168"/>
      <c r="M17" s="168"/>
      <c r="N17" s="168"/>
      <c r="O17" s="154"/>
      <c r="P17" s="154"/>
    </row>
    <row r="18" spans="1:16" s="139" customFormat="1" x14ac:dyDescent="0.2">
      <c r="A18" s="97" t="s">
        <v>232</v>
      </c>
      <c r="B18" s="97"/>
      <c r="C18" s="149"/>
      <c r="D18" s="97"/>
      <c r="E18" s="166"/>
      <c r="F18" s="166"/>
      <c r="G18" s="166"/>
      <c r="H18" s="166"/>
      <c r="I18" s="166"/>
      <c r="J18" s="151"/>
      <c r="K18" s="154"/>
      <c r="L18" s="168"/>
      <c r="M18" s="168"/>
      <c r="N18" s="168"/>
      <c r="O18" s="154"/>
      <c r="P18" s="154"/>
    </row>
    <row r="19" spans="1:16" s="139" customFormat="1" x14ac:dyDescent="0.2">
      <c r="A19" s="97" t="s">
        <v>233</v>
      </c>
      <c r="B19" s="97"/>
      <c r="C19" s="149"/>
      <c r="D19" s="97"/>
      <c r="E19" s="166"/>
      <c r="F19" s="166"/>
      <c r="G19" s="166"/>
      <c r="H19" s="166"/>
      <c r="I19" s="166"/>
      <c r="J19" s="151"/>
      <c r="K19" s="154"/>
      <c r="L19" s="168"/>
      <c r="M19" s="168"/>
      <c r="N19" s="168"/>
      <c r="O19" s="154"/>
      <c r="P19" s="154"/>
    </row>
    <row r="20" spans="1:16" s="139" customFormat="1" x14ac:dyDescent="0.2">
      <c r="A20" s="97" t="s">
        <v>234</v>
      </c>
      <c r="B20" s="97"/>
      <c r="C20" s="149"/>
      <c r="D20" s="97"/>
      <c r="E20" s="166"/>
      <c r="F20" s="166"/>
      <c r="G20" s="166"/>
      <c r="H20" s="166"/>
      <c r="I20" s="166"/>
      <c r="J20" s="151"/>
      <c r="K20" s="154"/>
      <c r="L20" s="168"/>
      <c r="M20" s="168"/>
      <c r="N20" s="168"/>
      <c r="O20" s="154"/>
      <c r="P20" s="154"/>
    </row>
  </sheetData>
  <mergeCells count="1">
    <mergeCell ref="A5:J5"/>
  </mergeCells>
  <conditionalFormatting sqref="L5:T5 G10 E11:G15 K16:K55550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5 E10:F10 J10:J15">
    <cfRule type="expression" dxfId="46" priority="455" stopIfTrue="1">
      <formula>LEFT(#REF!,3)="TIR"</formula>
    </cfRule>
  </conditionalFormatting>
  <conditionalFormatting sqref="A10:A15 H10:J15 F11:F15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3"/>
  <sheetViews>
    <sheetView showGridLines="0" rightToLeft="1" workbookViewId="0">
      <selection activeCell="A6" sqref="A6:C12"/>
    </sheetView>
  </sheetViews>
  <sheetFormatPr defaultRowHeight="12.75" x14ac:dyDescent="0.2"/>
  <cols>
    <col min="1" max="1" width="37.140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6" t="s">
        <v>158</v>
      </c>
      <c r="B6" s="107" t="s">
        <v>63</v>
      </c>
      <c r="C6" s="116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5" customFormat="1" x14ac:dyDescent="0.2">
      <c r="A8" s="183"/>
      <c r="B8" s="184">
        <v>1</v>
      </c>
      <c r="C8" s="185">
        <v>2</v>
      </c>
    </row>
    <row r="9" spans="1:3" s="135" customFormat="1" ht="13.5" thickBot="1" x14ac:dyDescent="0.25">
      <c r="A9" s="91" t="s">
        <v>1933</v>
      </c>
      <c r="B9" s="186">
        <v>68.820000199999996</v>
      </c>
      <c r="C9" s="138" t="s">
        <v>239</v>
      </c>
    </row>
    <row r="10" spans="1:3" s="135" customFormat="1" x14ac:dyDescent="0.2">
      <c r="A10" s="137" t="s">
        <v>139</v>
      </c>
      <c r="B10" s="187">
        <v>68.820000100000001</v>
      </c>
      <c r="C10" s="188" t="s">
        <v>239</v>
      </c>
    </row>
    <row r="11" spans="1:3" x14ac:dyDescent="0.2">
      <c r="A11" s="63" t="s">
        <v>1934</v>
      </c>
      <c r="B11" s="136">
        <v>68.819999999999993</v>
      </c>
      <c r="C11" s="54" t="s">
        <v>236</v>
      </c>
    </row>
    <row r="12" spans="1:3" s="135" customFormat="1" x14ac:dyDescent="0.2">
      <c r="A12" s="257" t="s">
        <v>370</v>
      </c>
      <c r="B12" s="258">
        <v>1.0000000000000001E-7</v>
      </c>
      <c r="C12" s="259" t="s">
        <v>239</v>
      </c>
    </row>
    <row r="13" spans="1:3" x14ac:dyDescent="0.2">
      <c r="A13" t="s">
        <v>1932</v>
      </c>
    </row>
  </sheetData>
  <mergeCells count="1">
    <mergeCell ref="A5:C5"/>
  </mergeCells>
  <conditionalFormatting sqref="A9:C1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9" t="s">
        <v>99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158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8" t="s">
        <v>117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60"/>
      <c r="C19" s="260"/>
      <c r="D19" s="260"/>
      <c r="E19" s="260"/>
      <c r="F19" s="260"/>
      <c r="G19" s="260"/>
      <c r="H19" s="204"/>
      <c r="I19" s="261"/>
      <c r="J19" s="262"/>
      <c r="K19" s="263"/>
      <c r="L19" s="262"/>
      <c r="M19" s="264"/>
      <c r="N19" s="265"/>
      <c r="O19" s="202"/>
      <c r="P19" s="28"/>
      <c r="Q19" s="28"/>
      <c r="R19" s="28"/>
      <c r="S19" s="28"/>
      <c r="T19" s="28"/>
      <c r="U19" s="28"/>
    </row>
    <row r="20" spans="1:21" x14ac:dyDescent="0.2">
      <c r="A20" s="131" t="s">
        <v>147</v>
      </c>
      <c r="O20" s="51"/>
      <c r="Q20" s="32"/>
      <c r="R20" s="32"/>
      <c r="S20" s="32"/>
    </row>
    <row r="21" spans="1:21" x14ac:dyDescent="0.2">
      <c r="A21" s="131" t="s">
        <v>148</v>
      </c>
      <c r="O21" s="51"/>
      <c r="Q21" s="32"/>
      <c r="R21" s="32"/>
      <c r="S21" s="32"/>
    </row>
    <row r="22" spans="1:21" x14ac:dyDescent="0.2">
      <c r="A22" s="131" t="s">
        <v>149</v>
      </c>
      <c r="O22" s="51"/>
      <c r="Q22" s="32"/>
      <c r="R22" s="32"/>
      <c r="S22" s="32"/>
    </row>
    <row r="23" spans="1:21" x14ac:dyDescent="0.2">
      <c r="A23" s="131" t="s">
        <v>150</v>
      </c>
      <c r="O23" s="51"/>
      <c r="Q23" s="32"/>
      <c r="R23" s="32"/>
      <c r="S23" s="32"/>
    </row>
    <row r="24" spans="1:21" x14ac:dyDescent="0.2">
      <c r="A24" s="131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9" t="s">
        <v>118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158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43"/>
      <c r="B18" s="260"/>
      <c r="C18" s="260"/>
      <c r="D18" s="260"/>
      <c r="E18" s="260"/>
      <c r="F18" s="260"/>
      <c r="G18" s="260"/>
      <c r="H18" s="204"/>
      <c r="I18" s="261"/>
      <c r="J18" s="262"/>
      <c r="K18" s="263"/>
      <c r="L18" s="262"/>
      <c r="M18" s="264"/>
      <c r="N18" s="265"/>
      <c r="O18" s="202"/>
      <c r="P18" s="28"/>
      <c r="Q18" s="28"/>
      <c r="R18" s="28"/>
      <c r="S18" s="28"/>
      <c r="T18" s="28"/>
      <c r="U18" s="28"/>
    </row>
    <row r="19" spans="1:21" x14ac:dyDescent="0.2">
      <c r="A19" s="131" t="s">
        <v>147</v>
      </c>
      <c r="O19" s="51"/>
      <c r="Q19" s="32"/>
      <c r="R19" s="32"/>
      <c r="S19" s="32"/>
    </row>
    <row r="20" spans="1:21" x14ac:dyDescent="0.2">
      <c r="A20" s="131" t="s">
        <v>148</v>
      </c>
      <c r="O20" s="51"/>
      <c r="Q20" s="32"/>
      <c r="R20" s="32"/>
      <c r="S20" s="32"/>
    </row>
    <row r="21" spans="1:21" x14ac:dyDescent="0.2">
      <c r="A21" s="131" t="s">
        <v>149</v>
      </c>
      <c r="O21" s="51"/>
      <c r="Q21" s="32"/>
      <c r="R21" s="32"/>
      <c r="S21" s="32"/>
    </row>
    <row r="22" spans="1:21" x14ac:dyDescent="0.2">
      <c r="A22" s="131" t="s">
        <v>150</v>
      </c>
      <c r="O22" s="51"/>
      <c r="Q22" s="32"/>
      <c r="R22" s="32"/>
      <c r="S22" s="32"/>
    </row>
    <row r="23" spans="1:21" x14ac:dyDescent="0.2">
      <c r="A23" s="131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9" t="s">
        <v>119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158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60"/>
      <c r="C19" s="260"/>
      <c r="D19" s="260"/>
      <c r="E19" s="260"/>
      <c r="F19" s="260"/>
      <c r="G19" s="260"/>
      <c r="H19" s="204"/>
      <c r="I19" s="261"/>
      <c r="J19" s="262"/>
      <c r="K19" s="263"/>
      <c r="L19" s="262"/>
      <c r="M19" s="264"/>
      <c r="N19" s="265"/>
      <c r="O19" s="202"/>
      <c r="P19" s="28"/>
      <c r="Q19" s="28"/>
      <c r="R19" s="28"/>
      <c r="S19" s="28"/>
      <c r="T19" s="28"/>
      <c r="U19" s="28"/>
    </row>
    <row r="20" spans="1:21" x14ac:dyDescent="0.2">
      <c r="A20" s="131" t="s">
        <v>147</v>
      </c>
      <c r="O20" s="51"/>
      <c r="Q20" s="32"/>
      <c r="R20" s="32"/>
      <c r="S20" s="32"/>
    </row>
    <row r="21" spans="1:21" x14ac:dyDescent="0.2">
      <c r="A21" s="131" t="s">
        <v>148</v>
      </c>
      <c r="O21" s="51"/>
      <c r="Q21" s="32"/>
      <c r="R21" s="32"/>
      <c r="S21" s="32"/>
    </row>
    <row r="22" spans="1:21" x14ac:dyDescent="0.2">
      <c r="A22" s="131" t="s">
        <v>149</v>
      </c>
      <c r="O22" s="51"/>
      <c r="Q22" s="32"/>
      <c r="R22" s="32"/>
      <c r="S22" s="32"/>
    </row>
    <row r="23" spans="1:21" x14ac:dyDescent="0.2">
      <c r="A23" s="131" t="s">
        <v>150</v>
      </c>
      <c r="O23" s="51"/>
      <c r="Q23" s="32"/>
      <c r="R23" s="32"/>
      <c r="S23" s="32"/>
    </row>
    <row r="24" spans="1:21" x14ac:dyDescent="0.2">
      <c r="A24" s="131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2023-05-28T12:34:04Z</dcterms:created>
  <dcterms:modified xsi:type="dcterms:W3CDTF">2023-05-28T12:34:04Z</dcterms:modified>
  <cp:category/>
</cp:coreProperties>
</file>