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קונצרני'!$B$5:$U$326</definedName>
    <definedName name="_xlnm.Print_Area" localSheetId="9">אופציות!$B$5:$L$56</definedName>
    <definedName name="_xlnm.Print_Area" localSheetId="21">הלוואות!$B$5:$Q$145</definedName>
    <definedName name="_xlnm.Print_Area" localSheetId="25">'השקעות אחרות'!$B$5:$K$35</definedName>
    <definedName name="_xlnm.Print_Area" localSheetId="23">'זכויות מקרקעין'!$B$5:$I$21</definedName>
    <definedName name="_xlnm.Print_Area" localSheetId="10">'חוזים עתידיים'!$B$5:$H$50</definedName>
    <definedName name="_xlnm.Print_Area" localSheetId="26">'יתרת התחייבות להשקעה'!$A$1:$C$60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קונצרני'!$B$5:$S$54</definedName>
    <definedName name="_xlnm.Print_Area" localSheetId="18">'לא סחיר - אופציות'!$B$5:$L$23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מובנים'!$B$5:$Q$28</definedName>
    <definedName name="_xlnm.Print_Area" localSheetId="15">'לא סחיר - מניות'!$B$5:$M$22</definedName>
    <definedName name="_xlnm.Print_Area" localSheetId="16">'לא סחיר - קרנות השקעה'!$B$5:$K$88</definedName>
    <definedName name="_xlnm.Print_Area" localSheetId="13">'לא סחיר - תעודות חוב מסחריות'!$B$5:$S$20</definedName>
    <definedName name="_xlnm.Print_Area" localSheetId="11">'מוצרים מובנים'!$B$5:$Q$30</definedName>
    <definedName name="_xlnm.Print_Area" localSheetId="1">מזומנים!$B$5:$L$164</definedName>
    <definedName name="_xlnm.Print_Area" localSheetId="5">מניות!$B$5:$O$264</definedName>
    <definedName name="_xlnm.Print_Area" localSheetId="0">'סכום נכסי הקרן'!$B$6:$D$57</definedName>
    <definedName name="_xlnm.Print_Area" localSheetId="22">'פקדונות מעל 3 חודשים'!$B$5:$O$20</definedName>
    <definedName name="_xlnm.Print_Area" localSheetId="7">'קרנות נאמנות'!$B$5:$O$45</definedName>
    <definedName name="_xlnm.Print_Area" localSheetId="6">'קרנות סל'!$B$5:$N$120</definedName>
    <definedName name="_xlnm.Print_Area" localSheetId="2">'תעודות התחייבות ממשלתיות'!$B$5:$R$63</definedName>
    <definedName name="_xlnm.Print_Area" localSheetId="3">'תעודות חוב מסחריות'!$B$5:$U$18</definedName>
    <definedName name="_xlnm.Print_Titles" localSheetId="1">מזומנים!$10:$10</definedName>
  </definedNames>
  <calcPr calcId="145621" calcMode="manual" calcCompleted="0" calcOnSave="0" concurrentCalc="0"/>
</workbook>
</file>

<file path=xl/calcChain.xml><?xml version="1.0" encoding="utf-8"?>
<calcChain xmlns="http://schemas.openxmlformats.org/spreadsheetml/2006/main">
  <c r="L261" i="16" l="1"/>
  <c r="K261" i="16"/>
  <c r="I261" i="16"/>
  <c r="Q214" i="16"/>
  <c r="P214" i="16"/>
  <c r="Q213" i="16"/>
  <c r="P213" i="16"/>
  <c r="O13" i="16"/>
</calcChain>
</file>

<file path=xl/sharedStrings.xml><?xml version="1.0" encoding="utf-8"?>
<sst xmlns="http://schemas.openxmlformats.org/spreadsheetml/2006/main" count="14823" uniqueCount="3942">
  <si>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</si>
  <si>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</si>
  <si>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</si>
  <si>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</si>
  <si>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</si>
  <si>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</si>
  <si>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</si>
  <si>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</si>
  <si>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</si>
  <si>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</si>
  <si>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</si>
  <si>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</si>
  <si>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</si>
  <si>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</si>
  <si>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</si>
  <si>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</si>
  <si>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</si>
  <si>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</si>
  <si>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</si>
  <si>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</si>
  <si>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</si>
  <si>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</si>
  <si>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</si>
  <si>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</si>
  <si>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</si>
  <si>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</si>
  <si>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</si>
  <si>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</si>
  <si>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</si>
  <si>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</si>
  <si>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</si>
  <si>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</si>
  <si>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</si>
  <si>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</si>
  <si>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</si>
  <si>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</si>
  <si>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</si>
  <si>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</si>
  <si>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</si>
  <si>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</si>
  <si>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</si>
  <si>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</si>
  <si>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</si>
  <si>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</si>
  <si>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</si>
  <si>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</si>
  <si>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</si>
  <si>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</si>
  <si>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</si>
  <si>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</si>
  <si>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</si>
  <si>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</si>
  <si>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</si>
  <si>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</si>
  <si>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</si>
  <si>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</si>
  <si>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</si>
  <si>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</si>
  <si>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</si>
  <si>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</si>
  <si>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</si>
  <si>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</si>
  <si>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</si>
  <si>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</si>
  <si>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</si>
  <si>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</si>
  <si>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</si>
  <si>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</si>
  <si>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</si>
  <si>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</si>
  <si>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</si>
  <si>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</si>
  <si>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</si>
  <si>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</si>
  <si>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</si>
  <si>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</si>
  <si>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</si>
  <si>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</si>
  <si>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</si>
  <si>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</si>
  <si>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</si>
  <si>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</si>
  <si>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</si>
  <si>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</si>
  <si>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</si>
  <si>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</si>
  <si>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</si>
  <si>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</si>
  <si>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</si>
  <si>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</si>
  <si>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</si>
  <si>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</si>
  <si>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</si>
  <si>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</si>
  <si>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</si>
  <si>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</si>
  <si>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</si>
  <si>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</si>
  <si>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</si>
  <si>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</si>
  <si>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</si>
  <si>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</si>
  <si>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</si>
  <si>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</si>
  <si>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</si>
  <si>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</si>
  <si>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</si>
  <si>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</si>
  <si>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</si>
  <si>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</si>
  <si>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</si>
  <si>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</si>
  <si>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</si>
  <si>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</si>
  <si>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</si>
  <si>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</si>
  <si>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</si>
  <si>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</si>
  <si>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</si>
  <si>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</si>
  <si>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</si>
  <si>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</si>
  <si>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</si>
  <si>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</si>
  <si>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</si>
  <si>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</si>
  <si>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</si>
  <si>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</si>
  <si>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</si>
  <si>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</si>
  <si>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</si>
  <si>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</si>
  <si>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</si>
  <si>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</si>
  <si>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</si>
  <si>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</si>
  <si>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</si>
  <si>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</si>
  <si>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</si>
  <si>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</si>
  <si>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</si>
  <si>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</si>
  <si>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</si>
  <si>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</si>
  <si>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</si>
  <si>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</si>
  <si>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</si>
  <si>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</si>
  <si>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</si>
  <si>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</si>
  <si>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</si>
  <si>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</si>
  <si>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</si>
  <si>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</si>
  <si>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</si>
  <si>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</si>
  <si>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</si>
  <si>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</si>
  <si>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</si>
  <si>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</si>
  <si>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</si>
  <si>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</si>
  <si>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</si>
  <si>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</si>
  <si>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</si>
  <si>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</si>
  <si>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</si>
  <si>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</si>
  <si>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</si>
  <si>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</si>
  <si>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</si>
  <si>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</si>
  <si>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</si>
  <si>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</si>
  <si>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</si>
  <si>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</si>
  <si>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</si>
  <si>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</si>
  <si>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</si>
  <si>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</si>
  <si>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</si>
  <si>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</si>
  <si>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</si>
  <si>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</si>
  <si>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</si>
  <si>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</si>
  <si>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</si>
  <si>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</si>
  <si>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</si>
  <si>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</si>
  <si>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</si>
  <si>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</si>
  <si>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</si>
  <si>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</si>
  <si>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</si>
  <si>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</si>
  <si>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</si>
  <si>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</si>
  <si>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</si>
  <si>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</si>
  <si>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</si>
  <si>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</si>
  <si>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</si>
  <si>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</si>
  <si>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</si>
  <si>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</si>
  <si>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</si>
  <si>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</si>
  <si>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</si>
  <si>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</si>
  <si>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</si>
  <si>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</si>
  <si>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</si>
  <si>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</si>
  <si>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</si>
  <si>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</si>
  <si>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</si>
  <si>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</si>
  <si>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</si>
  <si>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</si>
  <si>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</si>
  <si>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</si>
  <si>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תאריך הדיווח</t>
  </si>
  <si>
    <t>החברה המדווחת</t>
  </si>
  <si>
    <t>שם מסלול/קרן/קופה</t>
  </si>
  <si>
    <t>כלל תמר משולב עד 25%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</si>
  <si>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</si>
  <si>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</si>
  <si>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</si>
  <si>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</si>
  <si>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</si>
  <si>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</si>
  <si>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31/12/2019</t>
  </si>
  <si>
    <t>2019</t>
  </si>
  <si>
    <t>253</t>
  </si>
  <si>
    <t>31</t>
  </si>
  <si>
    <t>12</t>
  </si>
  <si>
    <t xml:space="preserve">סה"כ בישראל: </t>
  </si>
  <si>
    <t/>
  </si>
  <si>
    <t xml:space="preserve">יתרות מזומנים ועו"ש בש"ח </t>
  </si>
  <si>
    <t>30002400</t>
  </si>
  <si>
    <t>10</t>
  </si>
  <si>
    <t>ilAAA</t>
  </si>
  <si>
    <t>S&amp;P מעלות</t>
  </si>
  <si>
    <t>שקל חדש</t>
  </si>
  <si>
    <t>30002520</t>
  </si>
  <si>
    <t>בנק דיסקונט לישראל בע"מ</t>
  </si>
  <si>
    <t>30006200</t>
  </si>
  <si>
    <t>11</t>
  </si>
  <si>
    <t>30008300</t>
  </si>
  <si>
    <t>30008860</t>
  </si>
  <si>
    <t>20</t>
  </si>
  <si>
    <t>30009780</t>
  </si>
  <si>
    <t>ilAA+</t>
  </si>
  <si>
    <t>30003080</t>
  </si>
  <si>
    <t>21494326</t>
  </si>
  <si>
    <t>7321090</t>
  </si>
  <si>
    <t>30010500</t>
  </si>
  <si>
    <t>30010820</t>
  </si>
  <si>
    <t>29992947</t>
  </si>
  <si>
    <t>יתרות המזומנים בעו"ש ההשקעות ג' בנק הפועלים בע"מ</t>
  </si>
  <si>
    <t>999999655</t>
  </si>
  <si>
    <t>29573527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</si>
  <si>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</si>
  <si>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</si>
  <si>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</si>
  <si>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</si>
  <si>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</si>
  <si>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</si>
  <si>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</si>
  <si>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</si>
  <si>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</si>
  <si>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</si>
  <si>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</si>
  <si>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</si>
  <si>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</si>
  <si>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</si>
  <si>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27295748</t>
  </si>
  <si>
    <t>27295749</t>
  </si>
  <si>
    <t>27376994</t>
  </si>
  <si>
    <t>27387007</t>
  </si>
  <si>
    <t>30019370</t>
  </si>
  <si>
    <t>30022650</t>
  </si>
  <si>
    <t>30023490</t>
  </si>
  <si>
    <t>300234900</t>
  </si>
  <si>
    <t>30030200</t>
  </si>
  <si>
    <t>27296142</t>
  </si>
  <si>
    <t>30030210</t>
  </si>
  <si>
    <t>שקל - נייר הפרשים - עדכון ידני בנק הפועלים בע"מ</t>
  </si>
  <si>
    <t>27457978</t>
  </si>
  <si>
    <t>448421824</t>
  </si>
  <si>
    <t>30030290</t>
  </si>
  <si>
    <t>30030340</t>
  </si>
  <si>
    <t>30022340</t>
  </si>
  <si>
    <t>27517283</t>
  </si>
  <si>
    <t>30030380</t>
  </si>
  <si>
    <t>17</t>
  </si>
  <si>
    <t>30030400</t>
  </si>
  <si>
    <t xml:space="preserve">יתרות מזומנים ועו"ש נקובים במט"ח </t>
  </si>
  <si>
    <t>30006240</t>
  </si>
  <si>
    <t>30008320</t>
  </si>
  <si>
    <t>30008880</t>
  </si>
  <si>
    <t>30009860</t>
  </si>
  <si>
    <t>30092810</t>
  </si>
  <si>
    <t>30029860</t>
  </si>
  <si>
    <t>51722814</t>
  </si>
  <si>
    <t>214943268</t>
  </si>
  <si>
    <t>30091690</t>
  </si>
  <si>
    <t>30020380</t>
  </si>
  <si>
    <t>30029330</t>
  </si>
  <si>
    <t>26401409</t>
  </si>
  <si>
    <t>30029880</t>
  </si>
  <si>
    <t>30091710</t>
  </si>
  <si>
    <t>30020400</t>
  </si>
  <si>
    <t>30099290</t>
  </si>
  <si>
    <t>30029350</t>
  </si>
  <si>
    <t>30029900</t>
  </si>
  <si>
    <t>23295742</t>
  </si>
  <si>
    <t>יין יפני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</si>
  <si>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</si>
  <si>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</si>
  <si>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</si>
  <si>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</si>
  <si>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</si>
  <si>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</si>
  <si>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</si>
  <si>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</si>
  <si>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</si>
  <si>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</si>
  <si>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</si>
  <si>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</si>
  <si>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</si>
  <si>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</si>
  <si>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</si>
  <si>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</si>
  <si>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30019390</t>
  </si>
  <si>
    <t>30022670</t>
  </si>
  <si>
    <t>30023510</t>
  </si>
  <si>
    <t>30022360</t>
  </si>
  <si>
    <t>29517283</t>
  </si>
  <si>
    <t xml:space="preserve">פח"ק/פר"י </t>
  </si>
  <si>
    <t>30170311</t>
  </si>
  <si>
    <t>30170312</t>
  </si>
  <si>
    <t>30170313</t>
  </si>
  <si>
    <t>13</t>
  </si>
  <si>
    <t>Aa3.il</t>
  </si>
  <si>
    <t>מידרוג</t>
  </si>
  <si>
    <t>30170317</t>
  </si>
  <si>
    <t>30170331</t>
  </si>
  <si>
    <t>30170810</t>
  </si>
  <si>
    <t>30170811</t>
  </si>
  <si>
    <t>30170812</t>
  </si>
  <si>
    <t>30170813</t>
  </si>
  <si>
    <t>30170817</t>
  </si>
  <si>
    <t>30170820</t>
  </si>
  <si>
    <t>30170823</t>
  </si>
  <si>
    <t>23</t>
  </si>
  <si>
    <t>A1</t>
  </si>
  <si>
    <t>Moodys</t>
  </si>
  <si>
    <t>30170831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</si>
  <si>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</si>
  <si>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</si>
  <si>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</si>
  <si>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</si>
  <si>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</si>
  <si>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</si>
  <si>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</si>
  <si>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</si>
  <si>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</si>
  <si>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</si>
  <si>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</si>
  <si>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</si>
  <si>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</si>
  <si>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</si>
  <si>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</si>
  <si>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</si>
  <si>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>16124101</t>
  </si>
  <si>
    <t>30002500</t>
  </si>
  <si>
    <t>30022320</t>
  </si>
  <si>
    <t>30029410</t>
  </si>
  <si>
    <t>30022590</t>
  </si>
  <si>
    <t>30022060</t>
  </si>
  <si>
    <t>30023610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</si>
  <si>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</si>
  <si>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</si>
  <si>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</si>
  <si>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</si>
  <si>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</si>
  <si>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</si>
  <si>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30096290</t>
  </si>
  <si>
    <t>88</t>
  </si>
  <si>
    <t>30096450</t>
  </si>
  <si>
    <t>30180992</t>
  </si>
  <si>
    <t>30028740</t>
  </si>
  <si>
    <t>30096470</t>
  </si>
  <si>
    <t>24857051</t>
  </si>
  <si>
    <t>30180994</t>
  </si>
  <si>
    <t>23857051</t>
  </si>
  <si>
    <t>70232855</t>
  </si>
  <si>
    <t>30096270</t>
  </si>
  <si>
    <t>30096430</t>
  </si>
  <si>
    <t>29857051</t>
  </si>
  <si>
    <t>Waterton Cash בנק הפועלים בע"מ</t>
  </si>
  <si>
    <t>89120</t>
  </si>
  <si>
    <t>Houston Road Amitim Cash בנק הפועלים בע"מ</t>
  </si>
  <si>
    <t>999999542</t>
  </si>
  <si>
    <t>30029480</t>
  </si>
  <si>
    <t>30040270</t>
  </si>
  <si>
    <t>30040310</t>
  </si>
  <si>
    <t>30064710</t>
  </si>
  <si>
    <t>98</t>
  </si>
  <si>
    <t>AA</t>
  </si>
  <si>
    <t>S&amp;P</t>
  </si>
  <si>
    <t>30014410</t>
  </si>
  <si>
    <t>30099530</t>
  </si>
  <si>
    <t>30099730</t>
  </si>
  <si>
    <t>30099750</t>
  </si>
  <si>
    <t>30099770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</si>
  <si>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</si>
  <si>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</si>
  <si>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</si>
  <si>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</si>
  <si>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</si>
  <si>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</si>
  <si>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</si>
  <si>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</si>
  <si>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</si>
  <si>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</si>
  <si>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</si>
  <si>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</si>
  <si>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</si>
  <si>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</si>
  <si>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</si>
  <si>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</si>
  <si>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</si>
  <si>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</si>
  <si>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</si>
  <si>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</si>
  <si>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</si>
  <si>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</si>
  <si>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</si>
  <si>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</si>
  <si>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</si>
  <si>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</si>
  <si>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</si>
  <si>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</si>
  <si>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</si>
  <si>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</si>
  <si>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</si>
  <si>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</si>
  <si>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ממצמ 0529</t>
  </si>
  <si>
    <t>1157023</t>
  </si>
  <si>
    <t>21/05/2019</t>
  </si>
  <si>
    <t>מלווה קצר מועד (מק"מ)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</si>
  <si>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</si>
  <si>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</si>
  <si>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</si>
  <si>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</si>
  <si>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</si>
  <si>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</si>
  <si>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</si>
  <si>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</si>
  <si>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</si>
  <si>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</si>
  <si>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</si>
  <si>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</si>
  <si>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</si>
  <si>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</si>
  <si>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</si>
  <si>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</si>
  <si>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</si>
  <si>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</si>
  <si>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מקמ 0720</t>
  </si>
  <si>
    <t>8200727</t>
  </si>
  <si>
    <t>21/07/2019</t>
  </si>
  <si>
    <t>מקמ 810</t>
  </si>
  <si>
    <t>8200818</t>
  </si>
  <si>
    <t>06/08/2019</t>
  </si>
  <si>
    <t>מקמ 910</t>
  </si>
  <si>
    <t>8200917</t>
  </si>
  <si>
    <t>03/09/2019</t>
  </si>
  <si>
    <t>מקמ 1020</t>
  </si>
  <si>
    <t>8201022</t>
  </si>
  <si>
    <t>06/10/2019</t>
  </si>
  <si>
    <t>מקמ 1210</t>
  </si>
  <si>
    <t>8201212</t>
  </si>
  <si>
    <t>03/12/2019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</si>
  <si>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</si>
  <si>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</si>
  <si>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</si>
  <si>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</si>
  <si>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</si>
  <si>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</si>
  <si>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</si>
  <si>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</si>
  <si>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</si>
  <si>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</si>
  <si>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</si>
  <si>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</si>
  <si>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</si>
  <si>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</si>
  <si>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</si>
  <si>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</si>
  <si>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</si>
  <si>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</si>
  <si>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</si>
  <si>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</si>
  <si>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</si>
  <si>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</si>
  <si>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ממש"ק 0421</t>
  </si>
  <si>
    <t>1138130</t>
  </si>
  <si>
    <t>06/10/2016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</si>
  <si>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</si>
  <si>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</si>
  <si>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</si>
  <si>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</si>
  <si>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</si>
  <si>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</si>
  <si>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</si>
  <si>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</si>
  <si>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</si>
  <si>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</si>
  <si>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</si>
  <si>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</si>
  <si>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</si>
  <si>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</si>
  <si>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</si>
  <si>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</si>
  <si>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</si>
  <si>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</si>
  <si>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</si>
  <si>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</si>
  <si>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</si>
  <si>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</si>
  <si>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</si>
  <si>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</si>
  <si>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</si>
  <si>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</si>
  <si>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</si>
  <si>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</si>
  <si>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</si>
  <si>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</si>
  <si>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</si>
  <si>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</si>
  <si>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</si>
  <si>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</si>
  <si>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</si>
  <si>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</si>
  <si>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09/01/2019</t>
  </si>
  <si>
    <t>ISRAEL 4.625 03/18/20</t>
  </si>
  <si>
    <t>XS0495946070</t>
  </si>
  <si>
    <t>23/06/2019</t>
  </si>
  <si>
    <t>סה"כ אג"ח שהנפיקו ממשלות זרות בחו"ל</t>
  </si>
  <si>
    <t>MBONO 8 07/12/23</t>
  </si>
  <si>
    <t>MX0MGO000003</t>
  </si>
  <si>
    <t>BBB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</si>
  <si>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</si>
  <si>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</si>
  <si>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</si>
  <si>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</si>
  <si>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</si>
  <si>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</si>
  <si>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</si>
  <si>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גזית גלוב אגח ד</t>
  </si>
  <si>
    <t>1260397</t>
  </si>
  <si>
    <t>520033234</t>
  </si>
  <si>
    <t>נדל"ן מניב בחו"ל</t>
  </si>
  <si>
    <t>ilAA-</t>
  </si>
  <si>
    <t>21/09/2006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</si>
  <si>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</si>
  <si>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</si>
  <si>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</si>
  <si>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</si>
  <si>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</si>
  <si>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</si>
  <si>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</si>
  <si>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</si>
  <si>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14/05/2007</t>
  </si>
  <si>
    <t>נכסים ובנ אגח ד - סחיר מ 6990147 *</t>
  </si>
  <si>
    <t>6990154</t>
  </si>
  <si>
    <t>520025438</t>
  </si>
  <si>
    <t>נדל"ן מניב בישראל</t>
  </si>
  <si>
    <t>A2.il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</si>
  <si>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</si>
  <si>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</si>
  <si>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</si>
  <si>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</si>
  <si>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</si>
  <si>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</si>
  <si>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</si>
  <si>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</si>
  <si>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</si>
  <si>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</si>
  <si>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ilA</t>
  </si>
  <si>
    <t>03/06/2007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</si>
  <si>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</si>
  <si>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</si>
  <si>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</si>
  <si>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</si>
  <si>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</si>
  <si>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</si>
  <si>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קבוצת דלק אגח יג - סחיר מ 1103233</t>
  </si>
  <si>
    <t>1105543</t>
  </si>
  <si>
    <t>520044322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</si>
  <si>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</si>
  <si>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</si>
  <si>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</si>
  <si>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</si>
  <si>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</si>
  <si>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</si>
  <si>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</si>
  <si>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</si>
  <si>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</si>
  <si>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</si>
  <si>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</si>
  <si>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</si>
  <si>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</si>
  <si>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</si>
  <si>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</si>
  <si>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</si>
  <si>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</si>
  <si>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</si>
  <si>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</si>
  <si>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</si>
  <si>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</si>
  <si>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</si>
  <si>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</si>
  <si>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</si>
  <si>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</si>
  <si>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</si>
  <si>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</si>
  <si>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</si>
  <si>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</si>
  <si>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</si>
  <si>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</si>
  <si>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</si>
  <si>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</si>
  <si>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</si>
  <si>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</si>
  <si>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</si>
  <si>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</si>
  <si>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</si>
  <si>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</si>
  <si>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</si>
  <si>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</si>
  <si>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</si>
  <si>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</si>
  <si>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</si>
  <si>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</si>
  <si>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</si>
  <si>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</si>
  <si>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</si>
  <si>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</si>
  <si>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</si>
  <si>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</si>
  <si>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</si>
  <si>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</si>
  <si>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</si>
  <si>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</si>
  <si>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</si>
  <si>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</si>
  <si>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</si>
  <si>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</si>
  <si>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</si>
  <si>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</si>
  <si>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</si>
  <si>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</si>
  <si>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</si>
  <si>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</si>
  <si>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</si>
  <si>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</si>
  <si>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</si>
  <si>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</si>
  <si>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</si>
  <si>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</si>
  <si>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</si>
  <si>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</si>
  <si>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 *</t>
  </si>
  <si>
    <t>7670177</t>
  </si>
  <si>
    <t>520017450</t>
  </si>
  <si>
    <t>19/02/2013</t>
  </si>
  <si>
    <t>נכסים ובנ אגח ו *</t>
  </si>
  <si>
    <t>6990188</t>
  </si>
  <si>
    <t>26/12/2012</t>
  </si>
  <si>
    <t>בראק אן וי אגח ב</t>
  </si>
  <si>
    <t>1128347</t>
  </si>
  <si>
    <t>21/05/2013</t>
  </si>
  <si>
    <t>שיכון ובינוי אגח 6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</si>
  <si>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</si>
  <si>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</si>
  <si>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</si>
  <si>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</si>
  <si>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</si>
  <si>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</si>
  <si>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</si>
  <si>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</si>
  <si>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</si>
  <si>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</si>
  <si>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</si>
  <si>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</si>
  <si>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</si>
  <si>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</si>
  <si>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</si>
  <si>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</si>
  <si>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</si>
  <si>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</si>
  <si>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</si>
  <si>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</si>
  <si>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</si>
  <si>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</si>
  <si>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</si>
  <si>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</si>
  <si>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</si>
  <si>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</si>
  <si>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</si>
  <si>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</si>
  <si>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</si>
  <si>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</si>
  <si>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</si>
  <si>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</si>
  <si>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</si>
  <si>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</si>
  <si>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</si>
  <si>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</si>
  <si>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</si>
  <si>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</si>
  <si>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</si>
  <si>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</si>
  <si>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</si>
  <si>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</si>
  <si>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</si>
  <si>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</si>
  <si>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</si>
  <si>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</si>
  <si>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</si>
  <si>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</si>
  <si>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</si>
  <si>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</si>
  <si>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</si>
  <si>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</si>
  <si>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</si>
  <si>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</si>
  <si>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</si>
  <si>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</si>
  <si>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</si>
  <si>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</si>
  <si>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</si>
  <si>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</si>
  <si>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</si>
  <si>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</si>
  <si>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</si>
  <si>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</si>
  <si>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</si>
  <si>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</si>
  <si>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</si>
  <si>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</si>
  <si>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</si>
  <si>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</si>
  <si>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</si>
  <si>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</si>
  <si>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</si>
  <si>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</si>
  <si>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</si>
  <si>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</si>
  <si>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</si>
  <si>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</si>
  <si>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</si>
  <si>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</si>
  <si>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</si>
  <si>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</si>
  <si>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</si>
  <si>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</si>
  <si>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</si>
  <si>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</si>
  <si>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</si>
  <si>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</si>
  <si>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</si>
  <si>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</si>
  <si>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</si>
  <si>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</si>
  <si>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</si>
  <si>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</si>
  <si>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</si>
  <si>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</si>
  <si>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</si>
  <si>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</si>
  <si>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</si>
  <si>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</si>
  <si>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</si>
  <si>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</si>
  <si>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</si>
  <si>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</si>
  <si>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</si>
  <si>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</si>
  <si>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שופרסל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</si>
  <si>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</si>
  <si>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</si>
  <si>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</si>
  <si>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</si>
  <si>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</si>
  <si>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</si>
  <si>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</si>
  <si>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</si>
  <si>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</si>
  <si>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</si>
  <si>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</si>
  <si>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</si>
  <si>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</si>
  <si>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</si>
  <si>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</si>
  <si>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</si>
  <si>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</si>
  <si>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</si>
  <si>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</si>
  <si>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</si>
  <si>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</si>
  <si>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</si>
  <si>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</si>
  <si>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</si>
  <si>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</si>
  <si>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</si>
  <si>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</si>
  <si>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</si>
  <si>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</si>
  <si>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</si>
  <si>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</si>
  <si>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</si>
  <si>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</si>
  <si>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</si>
  <si>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</si>
  <si>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</si>
  <si>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</si>
  <si>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</si>
  <si>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</si>
  <si>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</si>
  <si>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</si>
  <si>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</si>
  <si>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</si>
  <si>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</si>
  <si>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</si>
  <si>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</si>
  <si>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</si>
  <si>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</si>
  <si>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</si>
  <si>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</si>
  <si>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</si>
  <si>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</si>
  <si>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</si>
  <si>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</si>
  <si>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</si>
  <si>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</si>
  <si>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</si>
  <si>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</si>
  <si>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</si>
  <si>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</si>
  <si>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</si>
  <si>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</si>
  <si>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</si>
  <si>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</si>
  <si>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</si>
  <si>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</si>
  <si>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</si>
  <si>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</si>
  <si>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</si>
  <si>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</si>
  <si>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</si>
  <si>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</si>
  <si>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</si>
  <si>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</si>
  <si>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</si>
  <si>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</si>
  <si>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</si>
  <si>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</si>
  <si>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</si>
  <si>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</si>
  <si>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</si>
  <si>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</si>
  <si>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</si>
  <si>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</si>
  <si>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</si>
  <si>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</si>
  <si>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</si>
  <si>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</si>
  <si>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ארזים 4 - סחיר מ  1380096</t>
  </si>
  <si>
    <t>1380104</t>
  </si>
  <si>
    <t>520034281</t>
  </si>
  <si>
    <t>ilD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</si>
  <si>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</si>
  <si>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</si>
  <si>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</si>
  <si>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</si>
  <si>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</si>
  <si>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</si>
  <si>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</si>
  <si>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</si>
  <si>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</si>
  <si>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</si>
  <si>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</si>
  <si>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</si>
  <si>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</si>
  <si>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</si>
  <si>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</si>
  <si>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</si>
  <si>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</si>
  <si>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</si>
  <si>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</si>
  <si>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</si>
  <si>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</si>
  <si>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</si>
  <si>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</si>
  <si>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</si>
  <si>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</si>
  <si>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</si>
  <si>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</si>
  <si>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</si>
  <si>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</si>
  <si>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</si>
  <si>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</si>
  <si>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</si>
  <si>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</si>
  <si>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</si>
  <si>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</si>
  <si>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</si>
  <si>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</si>
  <si>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</si>
  <si>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</si>
  <si>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</si>
  <si>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</si>
  <si>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</si>
  <si>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</si>
  <si>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</si>
  <si>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</si>
  <si>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</si>
  <si>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</si>
  <si>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</si>
  <si>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</si>
  <si>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</si>
  <si>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</si>
  <si>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</si>
  <si>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</si>
  <si>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</si>
  <si>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</si>
  <si>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</si>
  <si>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</si>
  <si>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</si>
  <si>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</si>
  <si>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</si>
  <si>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</si>
  <si>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</si>
  <si>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</si>
  <si>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</si>
  <si>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</si>
  <si>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</si>
  <si>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</si>
  <si>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</si>
  <si>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</si>
  <si>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</si>
  <si>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</si>
  <si>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</si>
  <si>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</si>
  <si>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אגח 49</t>
  </si>
  <si>
    <t>2310282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</si>
  <si>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</si>
  <si>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</si>
  <si>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</si>
  <si>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</si>
  <si>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</si>
  <si>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</si>
  <si>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</si>
  <si>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</si>
  <si>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</si>
  <si>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</si>
  <si>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</si>
  <si>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</si>
  <si>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</si>
  <si>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</si>
  <si>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</si>
  <si>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</si>
  <si>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</si>
  <si>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</si>
  <si>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</si>
  <si>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</si>
  <si>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</si>
  <si>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</si>
  <si>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</si>
  <si>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</si>
  <si>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</si>
  <si>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</si>
  <si>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ilA-</t>
  </si>
  <si>
    <t>18/02/2019</t>
  </si>
  <si>
    <t>דיסקונט מנפיקים הת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</si>
  <si>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</si>
  <si>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</si>
  <si>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</si>
  <si>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</si>
  <si>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</si>
  <si>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</si>
  <si>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</si>
  <si>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</si>
  <si>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</si>
  <si>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</si>
  <si>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</si>
  <si>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</si>
  <si>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</si>
  <si>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</si>
  <si>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</si>
  <si>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</si>
  <si>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</si>
  <si>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</si>
  <si>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</si>
  <si>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</si>
  <si>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</si>
  <si>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</si>
  <si>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</si>
  <si>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</si>
  <si>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</si>
  <si>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</si>
  <si>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</si>
  <si>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</si>
  <si>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</si>
  <si>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</si>
  <si>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</si>
  <si>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</si>
  <si>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</si>
  <si>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</si>
  <si>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</si>
  <si>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</si>
  <si>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</si>
  <si>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</si>
  <si>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</si>
  <si>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</si>
  <si>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</si>
  <si>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</si>
  <si>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</si>
  <si>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</si>
  <si>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</si>
  <si>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</si>
  <si>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</si>
  <si>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</si>
  <si>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</si>
  <si>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</si>
  <si>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</si>
  <si>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</si>
  <si>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</si>
  <si>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</si>
  <si>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</si>
  <si>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</si>
  <si>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</si>
  <si>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</si>
  <si>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</si>
  <si>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</si>
  <si>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</si>
  <si>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</si>
  <si>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</si>
  <si>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</si>
  <si>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</si>
  <si>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</si>
  <si>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</si>
  <si>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</si>
  <si>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</si>
  <si>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</si>
  <si>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</si>
  <si>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</si>
  <si>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</si>
  <si>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</si>
  <si>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</si>
  <si>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</si>
  <si>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</si>
  <si>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</si>
  <si>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</si>
  <si>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</si>
  <si>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</si>
  <si>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</si>
  <si>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</si>
  <si>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</si>
  <si>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</si>
  <si>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</si>
  <si>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</si>
  <si>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</si>
  <si>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</si>
  <si>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</si>
  <si>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</si>
  <si>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</si>
  <si>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</si>
  <si>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</si>
  <si>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</si>
  <si>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</si>
  <si>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</si>
  <si>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</si>
  <si>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</si>
  <si>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</si>
  <si>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</si>
  <si>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</si>
  <si>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</si>
  <si>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</si>
  <si>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</si>
  <si>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</si>
  <si>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</si>
  <si>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</si>
  <si>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</si>
  <si>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</si>
  <si>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</si>
  <si>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</si>
  <si>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</si>
  <si>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</si>
  <si>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</si>
  <si>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</si>
  <si>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</si>
  <si>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</si>
  <si>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</si>
  <si>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</si>
  <si>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</si>
  <si>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</si>
  <si>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</si>
  <si>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</si>
  <si>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</si>
  <si>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</si>
  <si>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</si>
  <si>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</si>
  <si>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</si>
  <si>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</si>
  <si>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</si>
  <si>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</si>
  <si>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</si>
  <si>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</si>
  <si>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</si>
  <si>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</si>
  <si>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</si>
  <si>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</si>
  <si>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</si>
  <si>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</si>
  <si>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</si>
  <si>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</si>
  <si>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</si>
  <si>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</si>
  <si>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</si>
  <si>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</si>
  <si>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</si>
  <si>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</si>
  <si>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</si>
  <si>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</si>
  <si>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</si>
  <si>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</si>
  <si>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</si>
  <si>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</si>
  <si>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</si>
  <si>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</si>
  <si>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</si>
  <si>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</si>
  <si>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</si>
  <si>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</si>
  <si>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</si>
  <si>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</si>
  <si>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</si>
  <si>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</si>
  <si>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</si>
  <si>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</si>
  <si>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</si>
  <si>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</si>
  <si>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</si>
  <si>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</si>
  <si>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</si>
  <si>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</si>
  <si>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</si>
  <si>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</si>
  <si>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</si>
  <si>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</si>
  <si>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</si>
  <si>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</si>
  <si>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קבוצת דלק אגח לא</t>
  </si>
  <si>
    <t>1134790</t>
  </si>
  <si>
    <t>17/04/2016</t>
  </si>
  <si>
    <t>אפריקה מגורים אגח ג</t>
  </si>
  <si>
    <t>1135698</t>
  </si>
  <si>
    <t>520034760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</si>
  <si>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</si>
  <si>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</si>
  <si>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</si>
  <si>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</si>
  <si>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</si>
  <si>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</si>
  <si>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</si>
  <si>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</si>
  <si>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</si>
  <si>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</si>
  <si>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</si>
  <si>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</si>
  <si>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</si>
  <si>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</si>
  <si>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</si>
  <si>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</si>
  <si>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</si>
  <si>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</si>
  <si>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</si>
  <si>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</si>
  <si>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</si>
  <si>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</si>
  <si>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</si>
  <si>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</si>
  <si>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</si>
  <si>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</si>
  <si>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</si>
  <si>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</si>
  <si>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</si>
  <si>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</si>
  <si>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</si>
  <si>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</si>
  <si>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</si>
  <si>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</si>
  <si>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</si>
  <si>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</si>
  <si>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</si>
  <si>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</si>
  <si>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</si>
  <si>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</si>
  <si>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</si>
  <si>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</si>
  <si>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</si>
  <si>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</si>
  <si>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</si>
  <si>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</si>
  <si>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</si>
  <si>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</si>
  <si>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</si>
  <si>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</si>
  <si>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</si>
  <si>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</si>
  <si>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</si>
  <si>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</si>
  <si>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</si>
  <si>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</si>
  <si>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</si>
  <si>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</si>
  <si>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</si>
  <si>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</si>
  <si>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</si>
  <si>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</si>
  <si>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</si>
  <si>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</si>
  <si>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</si>
  <si>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</si>
  <si>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</si>
  <si>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</si>
  <si>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</si>
  <si>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</si>
  <si>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</si>
  <si>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</si>
  <si>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</si>
  <si>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</si>
  <si>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</si>
  <si>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</si>
  <si>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</si>
  <si>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</si>
  <si>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</si>
  <si>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</si>
  <si>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</si>
  <si>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</si>
  <si>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</si>
  <si>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 *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</si>
  <si>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</si>
  <si>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</si>
  <si>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</si>
  <si>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</si>
  <si>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</si>
  <si>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</si>
  <si>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</si>
  <si>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</si>
  <si>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</si>
  <si>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</si>
  <si>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</si>
  <si>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</si>
  <si>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</si>
  <si>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ilBBB+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</si>
  <si>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</si>
  <si>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</si>
  <si>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</si>
  <si>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</si>
  <si>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</si>
  <si>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</si>
  <si>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</si>
  <si>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</si>
  <si>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</si>
  <si>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</si>
  <si>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</si>
  <si>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</si>
  <si>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</si>
  <si>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</si>
  <si>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</si>
  <si>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</si>
  <si>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</si>
  <si>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קרסו אגח א</t>
  </si>
  <si>
    <t>1136464</t>
  </si>
  <si>
    <t>514065283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</si>
  <si>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</si>
  <si>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</si>
  <si>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</si>
  <si>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</si>
  <si>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</si>
  <si>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</si>
  <si>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</si>
  <si>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</si>
  <si>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</si>
  <si>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</si>
  <si>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</si>
  <si>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</si>
  <si>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</si>
  <si>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</si>
  <si>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</si>
  <si>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</si>
  <si>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</si>
  <si>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</si>
  <si>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</si>
  <si>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</si>
  <si>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</si>
  <si>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 *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</si>
  <si>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</si>
  <si>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</si>
  <si>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</si>
  <si>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</si>
  <si>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</si>
  <si>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</si>
  <si>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</si>
  <si>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</si>
  <si>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</si>
  <si>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</si>
  <si>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</si>
  <si>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</si>
  <si>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</si>
  <si>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</si>
  <si>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</si>
  <si>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</si>
  <si>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</si>
  <si>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</si>
  <si>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</si>
  <si>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מבני תעשיה אגח כב</t>
  </si>
  <si>
    <t>2260537</t>
  </si>
  <si>
    <t>דור אלון אגח ו חסום</t>
  </si>
  <si>
    <t>11406560</t>
  </si>
  <si>
    <t>12/04/2017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</si>
  <si>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</si>
  <si>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</si>
  <si>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</si>
  <si>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</si>
  <si>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</si>
  <si>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</si>
  <si>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</si>
  <si>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</si>
  <si>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</si>
  <si>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</si>
  <si>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</si>
  <si>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</si>
  <si>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</si>
  <si>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</si>
  <si>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</si>
  <si>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</si>
  <si>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</si>
  <si>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</si>
  <si>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</si>
  <si>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</si>
  <si>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</si>
  <si>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</si>
  <si>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</si>
  <si>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</si>
  <si>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</si>
  <si>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</si>
  <si>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</si>
  <si>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</si>
  <si>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</si>
  <si>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</si>
  <si>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</si>
  <si>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</si>
  <si>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</si>
  <si>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</si>
  <si>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</si>
  <si>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</si>
  <si>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</si>
  <si>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</si>
  <si>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</si>
  <si>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</si>
  <si>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</si>
  <si>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</si>
  <si>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</si>
  <si>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</si>
  <si>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</si>
  <si>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</si>
  <si>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</si>
  <si>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</si>
  <si>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</si>
  <si>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</si>
  <si>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</si>
  <si>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</si>
  <si>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</si>
  <si>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</si>
  <si>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</si>
  <si>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</si>
  <si>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</si>
  <si>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</si>
  <si>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</si>
  <si>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</si>
  <si>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</si>
  <si>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</si>
  <si>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</si>
  <si>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</si>
  <si>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</si>
  <si>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</si>
  <si>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</si>
  <si>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</si>
  <si>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</si>
  <si>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ATRSAV 4 04/20/20</t>
  </si>
  <si>
    <t>XS0918754895</t>
  </si>
  <si>
    <t>BBB-</t>
  </si>
  <si>
    <t>10/10/2013</t>
  </si>
  <si>
    <t>FLEX 4.75 06/15/25</t>
  </si>
  <si>
    <t>US33938EAU10</t>
  </si>
  <si>
    <t>Technology Hardware &amp; Equipmen</t>
  </si>
  <si>
    <t>21/09/2016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</si>
  <si>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</si>
  <si>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</si>
  <si>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</si>
  <si>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</si>
  <si>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</si>
  <si>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</si>
  <si>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</si>
  <si>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</si>
  <si>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</si>
  <si>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</si>
  <si>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</si>
  <si>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</si>
  <si>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</si>
  <si>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</si>
  <si>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</si>
  <si>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</si>
  <si>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SVC 4.95 02/15/27</t>
  </si>
  <si>
    <t>US44106MAW29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</si>
  <si>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</si>
  <si>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</si>
  <si>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</si>
  <si>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</si>
  <si>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</si>
  <si>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</si>
  <si>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</si>
  <si>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</si>
  <si>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</si>
  <si>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</si>
  <si>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</si>
  <si>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</si>
  <si>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</si>
  <si>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</si>
  <si>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</si>
  <si>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 Float 08/25/36</t>
  </si>
  <si>
    <t>US172967DS78</t>
  </si>
  <si>
    <t>Baa2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</si>
  <si>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</si>
  <si>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</si>
  <si>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</si>
  <si>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</si>
  <si>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</si>
  <si>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</si>
  <si>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</si>
  <si>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</si>
  <si>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</si>
  <si>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INTNED 4.7 03/22/28</t>
  </si>
  <si>
    <t>XS1796077946</t>
  </si>
  <si>
    <t>19/03/2018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</si>
  <si>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</si>
  <si>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</si>
  <si>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</si>
  <si>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</si>
  <si>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</si>
  <si>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</si>
  <si>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</si>
  <si>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WHR 4.75 02/26/29</t>
  </si>
  <si>
    <t>US963320AW61</t>
  </si>
  <si>
    <t>21/02/2019</t>
  </si>
  <si>
    <t>ARNDTN 5.375 03/21/29</t>
  </si>
  <si>
    <t>XS1964701822</t>
  </si>
  <si>
    <t>BBB+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</si>
  <si>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</si>
  <si>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</si>
  <si>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</si>
  <si>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</si>
  <si>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</si>
  <si>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</si>
  <si>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</si>
  <si>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</si>
  <si>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CLH 4.875 07/15/27</t>
  </si>
  <si>
    <t>US184496AN71</t>
  </si>
  <si>
    <t>Commercial &amp; Professional Serv</t>
  </si>
  <si>
    <t>Ba3</t>
  </si>
  <si>
    <t>ELAN 4.9 08/28/28</t>
  </si>
  <si>
    <t>US28414HAG83</t>
  </si>
  <si>
    <t>BB+</t>
  </si>
  <si>
    <t>05/07/2019</t>
  </si>
  <si>
    <t>JNPR 3.75 08/15/29</t>
  </si>
  <si>
    <t>US48203RAM60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</si>
  <si>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</si>
  <si>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</si>
  <si>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</si>
  <si>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</si>
  <si>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</si>
  <si>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</si>
  <si>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</si>
  <si>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</si>
  <si>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</si>
  <si>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B1</t>
  </si>
  <si>
    <t>18/09/2019</t>
  </si>
  <si>
    <t>FMEGR 3.75 06/15/29</t>
  </si>
  <si>
    <t>US35805BAA61</t>
  </si>
  <si>
    <t>02/10/2019</t>
  </si>
  <si>
    <t>RBS 3.754 11/01/29</t>
  </si>
  <si>
    <t>US780097BM20</t>
  </si>
  <si>
    <t>13/11/2019</t>
  </si>
  <si>
    <t>CNC 4.625 12/15/29</t>
  </si>
  <si>
    <t>US15135BAS07</t>
  </si>
  <si>
    <t>Health Care Equipment &amp; Servic</t>
  </si>
  <si>
    <t>25/11/2019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</si>
  <si>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</si>
  <si>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</si>
  <si>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</si>
  <si>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</si>
  <si>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</si>
  <si>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</si>
  <si>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</si>
  <si>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</si>
  <si>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</si>
  <si>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</si>
  <si>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</si>
  <si>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</si>
  <si>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</si>
  <si>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</si>
  <si>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</si>
  <si>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</si>
  <si>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</si>
  <si>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</si>
  <si>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</si>
  <si>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</si>
  <si>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</si>
  <si>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</si>
  <si>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</si>
  <si>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</si>
  <si>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</si>
  <si>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</si>
  <si>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</si>
  <si>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ARNDTN 2.875 PERP</t>
  </si>
  <si>
    <t>XS2027946610</t>
  </si>
  <si>
    <t>09/07/2019</t>
  </si>
  <si>
    <t>AVLN 4.375 09/12/49</t>
  </si>
  <si>
    <t>XS1488459485</t>
  </si>
  <si>
    <t>06/09/2016</t>
  </si>
  <si>
    <t>CNALN 5.25 04/10/75</t>
  </si>
  <si>
    <t>XS1216019585</t>
  </si>
  <si>
    <t>20/02/2017</t>
  </si>
  <si>
    <t>SOCGEN 7.375 Perp</t>
  </si>
  <si>
    <t>USF84914CU62</t>
  </si>
  <si>
    <t>03/05/2019</t>
  </si>
  <si>
    <t>SEB 5.125 Perp</t>
  </si>
  <si>
    <t>XS2076169668</t>
  </si>
  <si>
    <t>30/10/2019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</si>
  <si>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</si>
  <si>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</si>
  <si>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</si>
  <si>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</si>
  <si>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</si>
  <si>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</si>
  <si>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</si>
  <si>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</si>
  <si>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</si>
  <si>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</si>
  <si>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</si>
  <si>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</si>
  <si>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</si>
  <si>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</si>
  <si>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</si>
  <si>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</si>
  <si>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</si>
  <si>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</si>
  <si>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</si>
  <si>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</si>
  <si>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</si>
  <si>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</si>
  <si>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</si>
  <si>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</si>
  <si>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</si>
  <si>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</si>
  <si>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</si>
  <si>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</si>
  <si>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</si>
  <si>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</si>
  <si>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</si>
  <si>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</si>
  <si>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</si>
  <si>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</si>
  <si>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</si>
  <si>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</si>
  <si>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</si>
  <si>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</si>
  <si>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</si>
  <si>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</si>
  <si>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</si>
  <si>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</si>
  <si>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</si>
  <si>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</si>
  <si>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</si>
  <si>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</si>
  <si>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</si>
  <si>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</si>
  <si>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</si>
  <si>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</si>
  <si>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</si>
  <si>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</si>
  <si>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</si>
  <si>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</si>
  <si>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</si>
  <si>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</si>
  <si>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</si>
  <si>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</si>
  <si>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</si>
  <si>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</si>
  <si>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</si>
  <si>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</si>
  <si>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</si>
  <si>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</si>
  <si>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</si>
  <si>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בזן</t>
  </si>
  <si>
    <t>2590248</t>
  </si>
  <si>
    <t>אלוני חץ</t>
  </si>
  <si>
    <t>390013</t>
  </si>
  <si>
    <t>אמות</t>
  </si>
  <si>
    <t>1097278</t>
  </si>
  <si>
    <t>שופרסל *</t>
  </si>
  <si>
    <t>777037</t>
  </si>
  <si>
    <t>הפניקס 1 *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</si>
  <si>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</si>
  <si>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</si>
  <si>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</si>
  <si>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</si>
  <si>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</si>
  <si>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</si>
  <si>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</si>
  <si>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</si>
  <si>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</si>
  <si>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פתאל החזקות</t>
  </si>
  <si>
    <t>1143429</t>
  </si>
  <si>
    <t>512607888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</si>
  <si>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</si>
  <si>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</si>
  <si>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</si>
  <si>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</si>
  <si>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</si>
  <si>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</si>
  <si>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</si>
  <si>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</si>
  <si>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</si>
  <si>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</si>
  <si>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סה"כ תל אביב 90</t>
  </si>
  <si>
    <t>גילת לווינים בע"מ</t>
  </si>
  <si>
    <t>1082510</t>
  </si>
  <si>
    <t>520038936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</si>
  <si>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</si>
  <si>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</si>
  <si>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</si>
  <si>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</si>
  <si>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</si>
  <si>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</si>
  <si>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</si>
  <si>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</si>
  <si>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</si>
  <si>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</si>
  <si>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מטריקס</t>
  </si>
  <si>
    <t>445015</t>
  </si>
  <si>
    <t>520039413</t>
  </si>
  <si>
    <t>שרותי מידע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</si>
  <si>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</si>
  <si>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</si>
  <si>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</si>
  <si>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</si>
  <si>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</si>
  <si>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</si>
  <si>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</si>
  <si>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</si>
  <si>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</si>
  <si>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</si>
  <si>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</si>
  <si>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</si>
  <si>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</si>
  <si>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</si>
  <si>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</si>
  <si>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</si>
  <si>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</si>
  <si>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</si>
  <si>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</si>
  <si>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</si>
  <si>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</si>
  <si>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</si>
  <si>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</si>
  <si>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</si>
  <si>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</si>
  <si>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</si>
  <si>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</si>
  <si>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</si>
  <si>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</si>
  <si>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</si>
  <si>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</si>
  <si>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</si>
  <si>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</si>
  <si>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</si>
  <si>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</si>
  <si>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</si>
  <si>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</si>
  <si>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</si>
  <si>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</si>
  <si>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</si>
  <si>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</si>
  <si>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</si>
  <si>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</si>
  <si>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</si>
  <si>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</si>
  <si>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</si>
  <si>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</si>
  <si>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</si>
  <si>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</si>
  <si>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</si>
  <si>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</si>
  <si>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</si>
  <si>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</si>
  <si>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</si>
  <si>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</si>
  <si>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</si>
  <si>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</si>
  <si>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</si>
  <si>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</si>
  <si>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</si>
  <si>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</si>
  <si>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</si>
  <si>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</si>
  <si>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</si>
  <si>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</si>
  <si>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</si>
  <si>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</si>
  <si>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</si>
  <si>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</si>
  <si>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</si>
  <si>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</si>
  <si>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</si>
  <si>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</si>
  <si>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</si>
  <si>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</si>
  <si>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</si>
  <si>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</si>
  <si>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</si>
  <si>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</si>
  <si>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</si>
  <si>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</si>
  <si>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</si>
  <si>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</si>
  <si>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</si>
  <si>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</si>
  <si>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</si>
  <si>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</si>
  <si>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</si>
  <si>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</si>
  <si>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</si>
  <si>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</si>
  <si>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</si>
  <si>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</si>
  <si>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</si>
  <si>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</si>
  <si>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</si>
  <si>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</si>
  <si>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</si>
  <si>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</si>
  <si>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</si>
  <si>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</si>
  <si>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</si>
  <si>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</si>
  <si>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</si>
  <si>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</si>
  <si>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</si>
  <si>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</si>
  <si>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</si>
  <si>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</si>
  <si>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</si>
  <si>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אלקטרה נדל"ן</t>
  </si>
  <si>
    <t>1094044</t>
  </si>
  <si>
    <t>510607328</t>
  </si>
  <si>
    <t>פרשמרקט</t>
  </si>
  <si>
    <t>1157833</t>
  </si>
  <si>
    <t>513226050</t>
  </si>
  <si>
    <t>דמרי חסום</t>
  </si>
  <si>
    <t>10903150</t>
  </si>
  <si>
    <t>511399388</t>
  </si>
  <si>
    <t>מגה אור חסום</t>
  </si>
  <si>
    <t>11044880</t>
  </si>
  <si>
    <t>או פי סי אנרגיה חסום מאוחד</t>
  </si>
  <si>
    <t>11415710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</si>
  <si>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</si>
  <si>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</si>
  <si>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</si>
  <si>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</si>
  <si>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</si>
  <si>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</si>
  <si>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</si>
  <si>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</si>
  <si>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</si>
  <si>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</si>
  <si>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</si>
  <si>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</si>
  <si>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</si>
  <si>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</si>
  <si>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</si>
  <si>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</si>
  <si>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</si>
  <si>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</si>
  <si>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</si>
  <si>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</si>
  <si>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</si>
  <si>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</si>
  <si>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</si>
  <si>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</si>
  <si>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</si>
  <si>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</si>
  <si>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</si>
  <si>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</si>
  <si>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</si>
  <si>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</si>
  <si>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</si>
  <si>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</si>
  <si>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</si>
  <si>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</si>
  <si>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</si>
  <si>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</si>
  <si>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</si>
  <si>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</si>
  <si>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</si>
  <si>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</si>
  <si>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</si>
  <si>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</si>
  <si>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</si>
  <si>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</si>
  <si>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</si>
  <si>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</si>
  <si>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</si>
  <si>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</si>
  <si>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</si>
  <si>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</si>
  <si>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</si>
  <si>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</si>
  <si>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</si>
  <si>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</si>
  <si>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</si>
  <si>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</si>
  <si>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</si>
  <si>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</si>
  <si>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</si>
  <si>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</si>
  <si>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</si>
  <si>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</si>
  <si>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</si>
  <si>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</si>
  <si>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</si>
  <si>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</si>
  <si>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</si>
  <si>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</si>
  <si>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</si>
  <si>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</si>
  <si>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</si>
  <si>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אפריקה מגורים</t>
  </si>
  <si>
    <t>1097948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</si>
  <si>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</si>
  <si>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</si>
  <si>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</si>
  <si>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</si>
  <si>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</si>
  <si>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</si>
  <si>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</si>
  <si>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</si>
  <si>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</si>
  <si>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</si>
  <si>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</si>
  <si>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ישראכרט</t>
  </si>
  <si>
    <t>1157403</t>
  </si>
  <si>
    <t>510706153</t>
  </si>
  <si>
    <t>שרותים פיננסיים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</si>
  <si>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</si>
  <si>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</si>
  <si>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</si>
  <si>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</si>
  <si>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</si>
  <si>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</si>
  <si>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</si>
  <si>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</si>
  <si>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מגוריט</t>
  </si>
  <si>
    <t>1139195</t>
  </si>
  <si>
    <t>515434074</t>
  </si>
  <si>
    <t>כלל משקאות חסום</t>
  </si>
  <si>
    <t>11476850</t>
  </si>
  <si>
    <t>מניבים ריט חסום מאוחד</t>
  </si>
  <si>
    <t>11405730</t>
  </si>
  <si>
    <t>אבגול</t>
  </si>
  <si>
    <t>1100957</t>
  </si>
  <si>
    <t>מבטח שמיר</t>
  </si>
  <si>
    <t>127019</t>
  </si>
  <si>
    <t>520034125</t>
  </si>
  <si>
    <t>נטו (עזרא )</t>
  </si>
  <si>
    <t>168013</t>
  </si>
  <si>
    <t>520034109</t>
  </si>
  <si>
    <t>סה"כ אופציות Call 001</t>
  </si>
  <si>
    <t>long</t>
  </si>
  <si>
    <t>short</t>
  </si>
  <si>
    <t>CHKP US Equity</t>
  </si>
  <si>
    <t>IL0010824113</t>
  </si>
  <si>
    <t>NASDAQ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</si>
  <si>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</si>
  <si>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</si>
  <si>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</si>
  <si>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</si>
  <si>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</si>
  <si>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</si>
  <si>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</si>
  <si>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511251217</t>
  </si>
  <si>
    <t>AMPLQ US Equity</t>
  </si>
  <si>
    <t>US0320157037</t>
  </si>
  <si>
    <t>130435685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</si>
  <si>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</si>
  <si>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</si>
  <si>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</si>
  <si>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</si>
  <si>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</si>
  <si>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</si>
  <si>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</si>
  <si>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</si>
  <si>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CYBR US Equity</t>
  </si>
  <si>
    <t>IL0011334468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</si>
  <si>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</si>
  <si>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</si>
  <si>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</si>
  <si>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</si>
  <si>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</si>
  <si>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</si>
  <si>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</si>
  <si>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</si>
  <si>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</si>
  <si>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</si>
  <si>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</si>
  <si>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</si>
  <si>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</si>
  <si>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</si>
  <si>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</si>
  <si>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</si>
  <si>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</si>
  <si>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</si>
  <si>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</si>
  <si>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</si>
  <si>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</si>
  <si>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</si>
  <si>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</si>
  <si>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</si>
  <si>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</si>
  <si>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</si>
  <si>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</si>
  <si>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</si>
  <si>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</si>
  <si>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</si>
  <si>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</si>
  <si>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</si>
  <si>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</si>
  <si>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</si>
  <si>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</si>
  <si>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</si>
  <si>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</si>
  <si>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</si>
  <si>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</si>
  <si>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</si>
  <si>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</si>
  <si>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</si>
  <si>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</si>
  <si>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</si>
  <si>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</si>
  <si>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</si>
  <si>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</si>
  <si>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</si>
  <si>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</si>
  <si>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</si>
  <si>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</si>
  <si>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</si>
  <si>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</si>
  <si>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</si>
  <si>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NEXI IM Equity</t>
  </si>
  <si>
    <t>IT0005366767</t>
  </si>
  <si>
    <t>BAYN GY Equity</t>
  </si>
  <si>
    <t>DE000BAY0017</t>
  </si>
  <si>
    <t>DAX</t>
  </si>
  <si>
    <t>VIE FP Equity</t>
  </si>
  <si>
    <t>FR0000124141</t>
  </si>
  <si>
    <t>GLEN LN Equity</t>
  </si>
  <si>
    <t>JE00B4T3BW64</t>
  </si>
  <si>
    <t>BP LN Equity</t>
  </si>
  <si>
    <t>GB0007980591</t>
  </si>
  <si>
    <t>POG LN Equity</t>
  </si>
  <si>
    <t>GB0031544546</t>
  </si>
  <si>
    <t>BP/ LN Equity</t>
  </si>
  <si>
    <t>TLW LN Equity</t>
  </si>
  <si>
    <t>GB0001500809</t>
  </si>
  <si>
    <t>FXPO LN Equity</t>
  </si>
  <si>
    <t>GB00B1XH2C03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</si>
  <si>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</si>
  <si>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</si>
  <si>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</si>
  <si>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</si>
  <si>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</si>
  <si>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</si>
  <si>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</si>
  <si>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</si>
  <si>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</si>
  <si>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</si>
  <si>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</si>
  <si>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</si>
  <si>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</si>
  <si>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</si>
  <si>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</si>
  <si>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SALM NO Equity</t>
  </si>
  <si>
    <t>NO0010310956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</si>
  <si>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</si>
  <si>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</si>
  <si>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</si>
  <si>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</si>
  <si>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</si>
  <si>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</si>
  <si>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</si>
  <si>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</si>
  <si>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Media &amp; Entertainment</t>
  </si>
  <si>
    <t>NRS NO Equity</t>
  </si>
  <si>
    <t>NO0010331838</t>
  </si>
  <si>
    <t>PAGS US Equity</t>
  </si>
  <si>
    <t>KYG687071012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</si>
  <si>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</si>
  <si>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</si>
  <si>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</si>
  <si>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</si>
  <si>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</si>
  <si>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</si>
  <si>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</si>
  <si>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</si>
  <si>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</si>
  <si>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</si>
  <si>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</si>
  <si>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</si>
  <si>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</si>
  <si>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</si>
  <si>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</si>
  <si>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</si>
  <si>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</si>
  <si>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</si>
  <si>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</si>
  <si>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</si>
  <si>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</si>
  <si>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</si>
  <si>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</si>
  <si>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</si>
  <si>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</si>
  <si>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</si>
  <si>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</si>
  <si>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</si>
  <si>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</si>
  <si>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</si>
  <si>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</si>
  <si>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</si>
  <si>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</si>
  <si>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</si>
  <si>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</si>
  <si>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</si>
  <si>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</si>
  <si>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</si>
  <si>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</si>
  <si>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</si>
  <si>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SPR US Equity</t>
  </si>
  <si>
    <t>US8485741099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</si>
  <si>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</si>
  <si>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</si>
  <si>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</si>
  <si>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</si>
  <si>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</si>
  <si>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</si>
  <si>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</si>
  <si>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</si>
  <si>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</si>
  <si>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</si>
  <si>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</si>
  <si>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</si>
  <si>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</si>
  <si>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</si>
  <si>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</si>
  <si>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</si>
  <si>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</si>
  <si>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</si>
  <si>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</si>
  <si>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</si>
  <si>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</si>
  <si>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</si>
  <si>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</si>
  <si>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</si>
  <si>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</si>
  <si>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</si>
  <si>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</si>
  <si>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</si>
  <si>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</si>
  <si>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</si>
  <si>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</si>
  <si>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</si>
  <si>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CPRI US Equity</t>
  </si>
  <si>
    <t>VGG1890L1076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</si>
  <si>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</si>
  <si>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</si>
  <si>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</si>
  <si>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</si>
  <si>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</si>
  <si>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</si>
  <si>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</si>
  <si>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</si>
  <si>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</si>
  <si>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</si>
  <si>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</si>
  <si>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</si>
  <si>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</si>
  <si>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</si>
  <si>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</si>
  <si>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</si>
  <si>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</si>
  <si>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</si>
  <si>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</si>
  <si>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</si>
  <si>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</si>
  <si>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</si>
  <si>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</si>
  <si>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</si>
  <si>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</si>
  <si>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</si>
  <si>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</si>
  <si>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</si>
  <si>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</si>
  <si>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</si>
  <si>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</si>
  <si>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</si>
  <si>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</si>
  <si>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</si>
  <si>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</si>
  <si>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PWFL US Equity</t>
  </si>
  <si>
    <t>US73931J1097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</si>
  <si>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</si>
  <si>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</si>
  <si>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</si>
  <si>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</si>
  <si>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</si>
  <si>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</si>
  <si>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</si>
  <si>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</si>
  <si>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</si>
  <si>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</si>
  <si>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</si>
  <si>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</si>
  <si>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</si>
  <si>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</si>
  <si>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</si>
  <si>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</si>
  <si>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</si>
  <si>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</si>
  <si>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</si>
  <si>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</si>
  <si>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</si>
  <si>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</si>
  <si>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</si>
  <si>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</si>
  <si>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</si>
  <si>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</si>
  <si>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</si>
  <si>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</si>
  <si>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</si>
  <si>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</si>
  <si>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</si>
  <si>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</si>
  <si>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</si>
  <si>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</si>
  <si>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</si>
  <si>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</si>
  <si>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</si>
  <si>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</si>
  <si>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</si>
  <si>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</si>
  <si>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</si>
  <si>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</si>
  <si>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</si>
  <si>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</si>
  <si>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</si>
  <si>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</si>
  <si>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</si>
  <si>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</si>
  <si>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</si>
  <si>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</si>
  <si>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</si>
  <si>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</si>
  <si>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</si>
  <si>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</si>
  <si>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</si>
  <si>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</si>
  <si>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</si>
  <si>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</si>
  <si>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</si>
  <si>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</si>
  <si>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</si>
  <si>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</si>
  <si>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</si>
  <si>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</si>
  <si>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</si>
  <si>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</si>
  <si>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</si>
  <si>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</si>
  <si>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</si>
  <si>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</si>
  <si>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</si>
  <si>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</si>
  <si>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</si>
  <si>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</si>
  <si>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</si>
  <si>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</si>
  <si>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</si>
  <si>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</si>
  <si>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</si>
  <si>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</si>
  <si>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</si>
  <si>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</si>
  <si>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</si>
  <si>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</si>
  <si>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</si>
  <si>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</si>
  <si>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</si>
  <si>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</si>
  <si>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</si>
  <si>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</si>
  <si>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</si>
  <si>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</si>
  <si>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</si>
  <si>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</si>
  <si>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</si>
  <si>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</si>
  <si>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</si>
  <si>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</si>
  <si>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</si>
  <si>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</si>
  <si>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</si>
  <si>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</si>
  <si>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</si>
  <si>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</si>
  <si>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</si>
  <si>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</si>
  <si>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</si>
  <si>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</si>
  <si>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</si>
  <si>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</si>
  <si>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</si>
  <si>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</si>
  <si>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</si>
  <si>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</si>
  <si>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</si>
  <si>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</si>
  <si>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</si>
  <si>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</si>
  <si>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</si>
  <si>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</si>
  <si>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</si>
  <si>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XD5E GR Equity</t>
  </si>
  <si>
    <t>LU0846194776</t>
  </si>
  <si>
    <t>1306 JP Equity</t>
  </si>
  <si>
    <t>JP3027630007</t>
  </si>
  <si>
    <t>IDJP LN Equity</t>
  </si>
  <si>
    <t>IE00B2QWDY88</t>
  </si>
  <si>
    <t>ISF LN Equity</t>
  </si>
  <si>
    <t>IE0005042456</t>
  </si>
  <si>
    <t>VMID LN Equity</t>
  </si>
  <si>
    <t>IE00BKX55Q28</t>
  </si>
  <si>
    <t>FXI US Equity</t>
  </si>
  <si>
    <t>US4642871846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</si>
  <si>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</si>
  <si>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</si>
  <si>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</si>
  <si>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</si>
  <si>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</si>
  <si>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</si>
  <si>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</si>
  <si>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</si>
  <si>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</si>
  <si>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</si>
  <si>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</si>
  <si>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</si>
  <si>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</si>
  <si>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</si>
  <si>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CNYA LN Equity</t>
  </si>
  <si>
    <t>IE00BQT3WG13</t>
  </si>
  <si>
    <t>XSOE US Equity</t>
  </si>
  <si>
    <t>US97717X5784</t>
  </si>
  <si>
    <t>FLBR US Equity</t>
  </si>
  <si>
    <t>US35473P8352</t>
  </si>
  <si>
    <t>סה"כ שעוקבות אחר מדדים אחרים</t>
  </si>
  <si>
    <t>IHYU LN Equity</t>
  </si>
  <si>
    <t>IE00B4PY7Y77</t>
  </si>
  <si>
    <t>EMLB LN Equity</t>
  </si>
  <si>
    <t>IE00B4P11460</t>
  </si>
  <si>
    <t>EMDD LN Equity</t>
  </si>
  <si>
    <t>IE00B4613386</t>
  </si>
  <si>
    <t>IEML LN Equity</t>
  </si>
  <si>
    <t>IE00B5M4WH52</t>
  </si>
  <si>
    <t>XLE US Equity</t>
  </si>
  <si>
    <t>US81369Y5069</t>
  </si>
  <si>
    <t>OIH US Equity</t>
  </si>
  <si>
    <t>US92189F7188</t>
  </si>
  <si>
    <t>IHI US Equity</t>
  </si>
  <si>
    <t>US4642888105</t>
  </si>
  <si>
    <t>SOXX US Equity</t>
  </si>
  <si>
    <t>US4642875235</t>
  </si>
  <si>
    <t>PPH US Equity</t>
  </si>
  <si>
    <t>US92189F6925</t>
  </si>
  <si>
    <t>KRE US Equity</t>
  </si>
  <si>
    <t>US78464A6982</t>
  </si>
  <si>
    <t>XLV US Equity</t>
  </si>
  <si>
    <t>US81369Y2090</t>
  </si>
  <si>
    <t>XLI US Equity</t>
  </si>
  <si>
    <t>US81369Y7040</t>
  </si>
  <si>
    <t>XLF US Equity</t>
  </si>
  <si>
    <t>US81369Y6059</t>
  </si>
  <si>
    <t>XBI US Equity</t>
  </si>
  <si>
    <t>US78464A8707</t>
  </si>
  <si>
    <t>IHE US Equity</t>
  </si>
  <si>
    <t>US4642888360</t>
  </si>
  <si>
    <t>GLD US Equity</t>
  </si>
  <si>
    <t>US78463V1070</t>
  </si>
  <si>
    <t>IBUY US Equity</t>
  </si>
  <si>
    <t>US0321081020</t>
  </si>
  <si>
    <t>MLPS LN Equity</t>
  </si>
  <si>
    <t>IE00B94ZB998</t>
  </si>
  <si>
    <t>COPX US Equity</t>
  </si>
  <si>
    <t>US37954Y8306</t>
  </si>
  <si>
    <t>OIL FP Equity</t>
  </si>
  <si>
    <t>LU1834988278</t>
  </si>
  <si>
    <t>BRE FP Equity</t>
  </si>
  <si>
    <t>LU1834983550</t>
  </si>
  <si>
    <t>SXAPEX GY Equity</t>
  </si>
  <si>
    <t>DE000A0Q4R28</t>
  </si>
  <si>
    <t>BNK FP Equity</t>
  </si>
  <si>
    <t>LU1834983477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</si>
  <si>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</si>
  <si>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</si>
  <si>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</si>
  <si>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</si>
  <si>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</si>
  <si>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</si>
  <si>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</si>
  <si>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</si>
  <si>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</si>
  <si>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</si>
  <si>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</si>
  <si>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</si>
  <si>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NIMEHYB LX Equity</t>
  </si>
  <si>
    <t>LU0141799097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</si>
  <si>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</si>
  <si>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</si>
  <si>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</si>
  <si>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</si>
  <si>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</si>
  <si>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</si>
  <si>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</si>
  <si>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</si>
  <si>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</si>
  <si>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</si>
  <si>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</si>
  <si>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</si>
  <si>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</si>
  <si>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</si>
  <si>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</si>
  <si>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</si>
  <si>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</si>
  <si>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</si>
  <si>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</si>
  <si>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</si>
  <si>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</si>
  <si>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</si>
  <si>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</si>
  <si>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</si>
  <si>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</si>
  <si>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</si>
  <si>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</si>
  <si>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</si>
  <si>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</si>
  <si>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</si>
  <si>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</si>
  <si>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</si>
  <si>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</si>
  <si>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</si>
  <si>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</si>
  <si>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</si>
  <si>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</si>
  <si>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</si>
  <si>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</si>
  <si>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</si>
  <si>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</si>
  <si>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</si>
  <si>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</si>
  <si>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</si>
  <si>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</si>
  <si>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C 1680 JAN</t>
  </si>
  <si>
    <t>82896812</t>
  </si>
  <si>
    <t>P 1680 JAN</t>
  </si>
  <si>
    <t>82897471</t>
  </si>
  <si>
    <t>pnC 100 FEB</t>
  </si>
  <si>
    <t>82945494</t>
  </si>
  <si>
    <t>₪/מט"ח</t>
  </si>
  <si>
    <t>סה"כ ריבית</t>
  </si>
  <si>
    <t>SPX US 02/21/20 P2950</t>
  </si>
  <si>
    <t>70868807</t>
  </si>
  <si>
    <t>SX5E 04/17/20 C3775</t>
  </si>
  <si>
    <t>DE000C4JW393</t>
  </si>
  <si>
    <t>SX5E 04/17/20 P3200</t>
  </si>
  <si>
    <t>DE000C4KH1P2</t>
  </si>
  <si>
    <t>NKY 04/10/20 C24000</t>
  </si>
  <si>
    <t>557000289</t>
  </si>
  <si>
    <t>NKY 04/10/20 P20750</t>
  </si>
  <si>
    <t>557000290</t>
  </si>
  <si>
    <t>SPX US 02/21/20 P2850</t>
  </si>
  <si>
    <t>557000301</t>
  </si>
  <si>
    <t>SPX US 02/21/20 P3150</t>
  </si>
  <si>
    <t>557000302</t>
  </si>
  <si>
    <t>סה"כ מטבע</t>
  </si>
  <si>
    <t>סה"כ סחורות</t>
  </si>
  <si>
    <t>CLM0C 65.00 Comdty</t>
  </si>
  <si>
    <t>70107842</t>
  </si>
  <si>
    <t>CLM0C 70.00 Comdty</t>
  </si>
  <si>
    <t>70107909</t>
  </si>
  <si>
    <t>HGG0C 275 Comdty</t>
  </si>
  <si>
    <t>70495072</t>
  </si>
  <si>
    <t>S H0C 1000 Comdty</t>
  </si>
  <si>
    <t>70102736</t>
  </si>
  <si>
    <t>C H0P 370 Comdty</t>
  </si>
  <si>
    <t>70102843</t>
  </si>
  <si>
    <t>C H0P 350 Comdty</t>
  </si>
  <si>
    <t>70105556</t>
  </si>
  <si>
    <t>GCG0P 1490 Comdty</t>
  </si>
  <si>
    <t>70362330</t>
  </si>
  <si>
    <t>HGH0C 285 Comdty</t>
  </si>
  <si>
    <t>70399829</t>
  </si>
  <si>
    <t>CLG0P 55.00 Comdty</t>
  </si>
  <si>
    <t>70427919</t>
  </si>
  <si>
    <t>KCH0P 105.00 Comdty</t>
  </si>
  <si>
    <t>70488226</t>
  </si>
  <si>
    <t>KCH0C 120.00 Comdty</t>
  </si>
  <si>
    <t>70488283</t>
  </si>
  <si>
    <t>C H0C 420 Comdty</t>
  </si>
  <si>
    <t>70498993</t>
  </si>
  <si>
    <t>KCH0C 125.00 Comdty</t>
  </si>
  <si>
    <t>70499736</t>
  </si>
  <si>
    <t>C H0P 360 Comdty</t>
  </si>
  <si>
    <t>70539150</t>
  </si>
  <si>
    <t>C H0C 400 Comdty</t>
  </si>
  <si>
    <t>70601802</t>
  </si>
  <si>
    <t>CLH0P 55.00 Comdty</t>
  </si>
  <si>
    <t>70608518</t>
  </si>
  <si>
    <t>KCH0C 130.00 Comdty</t>
  </si>
  <si>
    <t>70634522</t>
  </si>
  <si>
    <t>CLH0C 65.00 Comdty</t>
  </si>
  <si>
    <t>70724380</t>
  </si>
  <si>
    <t>CLH0C 57.50 Comdty</t>
  </si>
  <si>
    <t>70729025</t>
  </si>
  <si>
    <t>KCK0P 115.00 Comdty</t>
  </si>
  <si>
    <t>70252051</t>
  </si>
  <si>
    <t>S H0C 950 Comdty</t>
  </si>
  <si>
    <t>70340237</t>
  </si>
  <si>
    <t>C H0C 390 Comdty</t>
  </si>
  <si>
    <t>70154604</t>
  </si>
  <si>
    <t>KCH0P 125.00 Comdty</t>
  </si>
  <si>
    <t>70154695</t>
  </si>
  <si>
    <t>03/2020 JPM TPH0 Index משתנה</t>
  </si>
  <si>
    <t>557000291</t>
  </si>
  <si>
    <t>03/2020 JPM TPH0 Index התחייבות</t>
  </si>
  <si>
    <t>557000292</t>
  </si>
  <si>
    <t>NKH0 Index</t>
  </si>
  <si>
    <t>70394044</t>
  </si>
  <si>
    <t>03/2020 JPM NKH0 Index משתנה</t>
  </si>
  <si>
    <t>557000293</t>
  </si>
  <si>
    <t>03/2020 JPM NKH0 Index התחייבות</t>
  </si>
  <si>
    <t>557000294</t>
  </si>
  <si>
    <t>03/2020 JPM ESH0 Index משתנה</t>
  </si>
  <si>
    <t>557000295</t>
  </si>
  <si>
    <t>03/2020 JPM ESH0 Index התחייבות</t>
  </si>
  <si>
    <t>557000296</t>
  </si>
  <si>
    <t>03/2020 JPM VGH0 Index משתנה</t>
  </si>
  <si>
    <t>DE000C174QX9</t>
  </si>
  <si>
    <t>03/2020 JPM VGH0 Index התחייבות</t>
  </si>
  <si>
    <t>557000298</t>
  </si>
  <si>
    <t>ESH0 Index</t>
  </si>
  <si>
    <t>70892781</t>
  </si>
  <si>
    <t>03/2020 JPM XPH0 Index משתנה</t>
  </si>
  <si>
    <t>557000299</t>
  </si>
  <si>
    <t>03/2020 JPM XPH0 Index התחייבות</t>
  </si>
  <si>
    <t>557000300</t>
  </si>
  <si>
    <t>03/2020 JPM TYH0 Comdty משתנה</t>
  </si>
  <si>
    <t>557000281</t>
  </si>
  <si>
    <t>03/2020 JPM TYH0 Comdty התחייבות</t>
  </si>
  <si>
    <t>557000282</t>
  </si>
  <si>
    <t>CLZ0 Comdty</t>
  </si>
  <si>
    <t>70560529</t>
  </si>
  <si>
    <t>C H0 Comdty</t>
  </si>
  <si>
    <t>70101944</t>
  </si>
  <si>
    <t>KWH0 Comdty</t>
  </si>
  <si>
    <t>70733142</t>
  </si>
  <si>
    <t>SBH0 Comdty</t>
  </si>
  <si>
    <t>70753108</t>
  </si>
  <si>
    <t>KCH0 Comdty</t>
  </si>
  <si>
    <t>70702311</t>
  </si>
  <si>
    <t>W K0 Comdty</t>
  </si>
  <si>
    <t>70243746</t>
  </si>
  <si>
    <t>KWK0 Comdty</t>
  </si>
  <si>
    <t>70244025</t>
  </si>
  <si>
    <t>QWH0 Comdty</t>
  </si>
  <si>
    <t>GB00H3MVQ529</t>
  </si>
  <si>
    <t>CLG0 Comdty</t>
  </si>
  <si>
    <t>70427802</t>
  </si>
  <si>
    <t>HGH0 Comdty</t>
  </si>
  <si>
    <t>70495015</t>
  </si>
  <si>
    <t>CLF1 Comdty</t>
  </si>
  <si>
    <t>70623574</t>
  </si>
  <si>
    <t>GCG0 Comdty</t>
  </si>
  <si>
    <t>70362298</t>
  </si>
  <si>
    <t>NGG20 Comdty</t>
  </si>
  <si>
    <t>70617451</t>
  </si>
  <si>
    <t>SIH0 Comdty</t>
  </si>
  <si>
    <t>70641881</t>
  </si>
  <si>
    <t>03/2020 JPM HGH0 Comdty משתנה</t>
  </si>
  <si>
    <t>557000283</t>
  </si>
  <si>
    <t>03/2020 JPM HGH0 Comdty התחייבות</t>
  </si>
  <si>
    <t>557000284</t>
  </si>
  <si>
    <t>02/2020 JPM GCG0 Comdty משתנה</t>
  </si>
  <si>
    <t>557000287</t>
  </si>
  <si>
    <t>02/2020 JPM GCG0 Comdty התחייבות</t>
  </si>
  <si>
    <t>557000288</t>
  </si>
  <si>
    <t>S H0 Comdty</t>
  </si>
  <si>
    <t>70102728</t>
  </si>
  <si>
    <t>QSF0 Comdty</t>
  </si>
  <si>
    <t>GB00H1K7ZQ24</t>
  </si>
  <si>
    <t>DFH0 Comdty</t>
  </si>
  <si>
    <t>GB00H3N08Y17</t>
  </si>
  <si>
    <t>SMH0 Comdty</t>
  </si>
  <si>
    <t>70110705</t>
  </si>
  <si>
    <t>PLJ0 Comdty</t>
  </si>
  <si>
    <t>70296389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</si>
  <si>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</si>
  <si>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</si>
  <si>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</si>
  <si>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</si>
  <si>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</si>
  <si>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</si>
  <si>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</si>
  <si>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</si>
  <si>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</si>
  <si>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</si>
  <si>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</si>
  <si>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</si>
  <si>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SGBENRGY Index</t>
  </si>
  <si>
    <t>XS2059575709</t>
  </si>
  <si>
    <t>05/12/2019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</si>
  <si>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</si>
  <si>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</si>
  <si>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</si>
  <si>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</si>
  <si>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</si>
  <si>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</si>
  <si>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</si>
  <si>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</si>
  <si>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</si>
  <si>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</si>
  <si>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</si>
  <si>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</si>
  <si>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</si>
  <si>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קבוצת עזריאלי</t>
  </si>
  <si>
    <t>1132810</t>
  </si>
  <si>
    <t>10/12/2019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</si>
  <si>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</si>
  <si>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</si>
  <si>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</si>
  <si>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</si>
  <si>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</si>
  <si>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</si>
  <si>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</si>
  <si>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</si>
  <si>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מרכנתיל כתב התח' נדחה 04/2020</t>
  </si>
  <si>
    <t>999997666</t>
  </si>
  <si>
    <t>520029281</t>
  </si>
  <si>
    <t>07/04/2010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</si>
  <si>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</si>
  <si>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</si>
  <si>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</si>
  <si>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</si>
  <si>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</si>
  <si>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</si>
  <si>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</si>
  <si>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</si>
  <si>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</si>
  <si>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</si>
  <si>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</si>
  <si>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</si>
  <si>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</si>
  <si>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</si>
  <si>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</si>
  <si>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</si>
  <si>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</si>
  <si>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</si>
  <si>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</si>
  <si>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</si>
  <si>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</si>
  <si>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</si>
  <si>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</si>
  <si>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</si>
  <si>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</si>
  <si>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</si>
  <si>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אס.פי.סי.אל-עד אגח 4 רצף מוסדי</t>
  </si>
  <si>
    <t>1094747</t>
  </si>
  <si>
    <t>01/04/2008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</si>
  <si>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</si>
  <si>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</si>
  <si>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</si>
  <si>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</si>
  <si>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</si>
  <si>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</si>
  <si>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</si>
  <si>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</si>
  <si>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</si>
  <si>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</si>
  <si>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</si>
  <si>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</si>
  <si>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</si>
  <si>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</si>
  <si>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</si>
  <si>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</si>
  <si>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</si>
  <si>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</si>
  <si>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</si>
  <si>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</si>
  <si>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</si>
  <si>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</si>
  <si>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</si>
  <si>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</si>
  <si>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</si>
  <si>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</si>
  <si>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</si>
  <si>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</si>
  <si>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</si>
  <si>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</si>
  <si>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</si>
  <si>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</si>
  <si>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</si>
  <si>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</si>
  <si>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</si>
  <si>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</si>
  <si>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</si>
  <si>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</si>
  <si>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</si>
  <si>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</si>
  <si>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</si>
  <si>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</si>
  <si>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</si>
  <si>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</si>
  <si>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</si>
  <si>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</si>
  <si>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</si>
  <si>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</si>
  <si>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</si>
  <si>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</si>
  <si>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</si>
  <si>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אס.פי.סי.אל-עד אגח 3 רצף מוסדי</t>
  </si>
  <si>
    <t>1093939</t>
  </si>
  <si>
    <t>26/12/2005</t>
  </si>
  <si>
    <t>ביטוח ישיר אגח יא רצף מוסדי</t>
  </si>
  <si>
    <t>1138825</t>
  </si>
  <si>
    <t>520044439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</si>
  <si>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</si>
  <si>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</si>
  <si>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</si>
  <si>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</si>
  <si>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</si>
  <si>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</si>
  <si>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בזק אגח סדרה 11 רצף מוסדי</t>
  </si>
  <si>
    <t>2300192</t>
  </si>
  <si>
    <t>11/07/2019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</si>
  <si>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</si>
  <si>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</si>
  <si>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</si>
  <si>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</si>
  <si>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</si>
  <si>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</si>
  <si>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</si>
  <si>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</si>
  <si>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</si>
  <si>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</si>
  <si>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</si>
  <si>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</si>
  <si>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</si>
  <si>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</si>
  <si>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</si>
  <si>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</si>
  <si>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</si>
  <si>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</si>
  <si>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</si>
  <si>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יורופורט  12.2007 חדש מניה ל"ס</t>
  </si>
  <si>
    <t>1103837</t>
  </si>
  <si>
    <t>513932426</t>
  </si>
  <si>
    <t>שיכון ובינוי נדלן מניה ל"ס</t>
  </si>
  <si>
    <t>999999382</t>
  </si>
  <si>
    <t>520021171</t>
  </si>
  <si>
    <t>צים הסדר 7.2014 מניה ל"ס</t>
  </si>
  <si>
    <t>207013519</t>
  </si>
  <si>
    <t>מניה ל"ס IDE</t>
  </si>
  <si>
    <t>999999388</t>
  </si>
  <si>
    <t>550275648</t>
  </si>
  <si>
    <t>פאגאיה מניה ל"ס</t>
  </si>
  <si>
    <t>999999419</t>
  </si>
  <si>
    <t>515421279</t>
  </si>
  <si>
    <t>השקעות בהי-טק</t>
  </si>
  <si>
    <t>Riskified</t>
  </si>
  <si>
    <t>89163</t>
  </si>
  <si>
    <t>514844117</t>
  </si>
  <si>
    <t>Houston Road</t>
  </si>
  <si>
    <t>999999653</t>
  </si>
  <si>
    <t>סה"כ קרנות השקעה בישראל</t>
  </si>
  <si>
    <t>סה"כ קרנות הון סיכון</t>
  </si>
  <si>
    <t>Infinity I-China</t>
  </si>
  <si>
    <t>89044</t>
  </si>
  <si>
    <t>01/08/2008</t>
  </si>
  <si>
    <t>JVP Media V</t>
  </si>
  <si>
    <t>89046</t>
  </si>
  <si>
    <t>03/09/2008</t>
  </si>
  <si>
    <t>Genesis Partners IV</t>
  </si>
  <si>
    <t>89050</t>
  </si>
  <si>
    <t>02/02/2009</t>
  </si>
  <si>
    <t>סה"כ קרנות גידור</t>
  </si>
  <si>
    <t>IONISCL KY Equity</t>
  </si>
  <si>
    <t>834107</t>
  </si>
  <si>
    <t>27/04/2017</t>
  </si>
  <si>
    <t>SPHNISE VI Equity</t>
  </si>
  <si>
    <t>78119</t>
  </si>
  <si>
    <t>17/05/2017</t>
  </si>
  <si>
    <t>SGHMGTI KY Equity</t>
  </si>
  <si>
    <t>70427570</t>
  </si>
  <si>
    <t>835175</t>
  </si>
  <si>
    <t>01/08/2017</t>
  </si>
  <si>
    <t>סה"כ קרנות נדל"ן</t>
  </si>
  <si>
    <t>סה"כ קרנות השקעה אחרות</t>
  </si>
  <si>
    <t>Fortissimo Capital Fund I</t>
  </si>
  <si>
    <t>78705365</t>
  </si>
  <si>
    <t>04/08/2008</t>
  </si>
  <si>
    <t>FITE</t>
  </si>
  <si>
    <t>89009</t>
  </si>
  <si>
    <t>FIMI Opportunity II</t>
  </si>
  <si>
    <t>89015</t>
  </si>
  <si>
    <t>FIMI Opportunity IV</t>
  </si>
  <si>
    <t>89039</t>
  </si>
  <si>
    <t>Forest Growth Fund</t>
  </si>
  <si>
    <t>78705371</t>
  </si>
  <si>
    <t>KCPS Investment Fund</t>
  </si>
  <si>
    <t>89053</t>
  </si>
  <si>
    <t>23/08/2009</t>
  </si>
  <si>
    <t>Origo Manof Fund</t>
  </si>
  <si>
    <t>89054</t>
  </si>
  <si>
    <t>26/10/2009</t>
  </si>
  <si>
    <t>Forest Value II Fund</t>
  </si>
  <si>
    <t>89055</t>
  </si>
  <si>
    <t>29/10/2009</t>
  </si>
  <si>
    <t>Sky II</t>
  </si>
  <si>
    <t>89059</t>
  </si>
  <si>
    <t>13/07/2010</t>
  </si>
  <si>
    <t>Israel Infrastructure Fund</t>
  </si>
  <si>
    <t>89063</t>
  </si>
  <si>
    <t>11/11/2010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</si>
  <si>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</si>
  <si>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</si>
  <si>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</si>
  <si>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</si>
  <si>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</si>
  <si>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</si>
  <si>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</si>
  <si>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</si>
  <si>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</si>
  <si>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Co-Investment Fund I Israel</t>
  </si>
  <si>
    <t>89081</t>
  </si>
  <si>
    <t>29/03/2012</t>
  </si>
  <si>
    <t>Klirmark Opportunity Fund II</t>
  </si>
  <si>
    <t>89121</t>
  </si>
  <si>
    <t>02/04/2015</t>
  </si>
  <si>
    <t>Noy - Cross Israel Highway</t>
  </si>
  <si>
    <t>999999810</t>
  </si>
  <si>
    <t>01/09/2011</t>
  </si>
  <si>
    <t>סה"כ קרנות השקעה בחו"ל</t>
  </si>
  <si>
    <t>פלטפורמת ייעוץ UBP - ענבר</t>
  </si>
  <si>
    <t>999999995</t>
  </si>
  <si>
    <t>01/01/2008</t>
  </si>
  <si>
    <t>פלטפורמת ייעוץ UBP - תגמולים</t>
  </si>
  <si>
    <t>999999997</t>
  </si>
  <si>
    <t>פלטפורמת יעוץ UBP תמר</t>
  </si>
  <si>
    <t>78705377</t>
  </si>
  <si>
    <t>28/08/2008</t>
  </si>
  <si>
    <t>פלטפורמת יעוץ UBP גפן</t>
  </si>
  <si>
    <t>787053771</t>
  </si>
  <si>
    <t>01/09/2008</t>
  </si>
  <si>
    <t>פלטפורמת יעוץ UBP-שיקמה</t>
  </si>
  <si>
    <t>787053774</t>
  </si>
  <si>
    <t>פלטפורמת יעוץ UBP -תואר</t>
  </si>
  <si>
    <t>787053773</t>
  </si>
  <si>
    <t>פלטפורמת יעוץ UBP אשכולות</t>
  </si>
  <si>
    <t>787053777</t>
  </si>
  <si>
    <t>01/01/2009</t>
  </si>
  <si>
    <t>EdR Real Estate (Eastern Europe) S.C.A. SICAR</t>
  </si>
  <si>
    <t>89025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</si>
  <si>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</si>
  <si>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</si>
  <si>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</si>
  <si>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</si>
  <si>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</si>
  <si>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</si>
  <si>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</si>
  <si>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</si>
  <si>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</si>
  <si>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</si>
  <si>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</si>
  <si>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</si>
  <si>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</si>
  <si>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</si>
  <si>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</si>
  <si>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Blackstone Real Estate Partners IX</t>
  </si>
  <si>
    <t>89203</t>
  </si>
  <si>
    <t>25/09/2019</t>
  </si>
  <si>
    <t>Apollo Investment Fund VII</t>
  </si>
  <si>
    <t>89033</t>
  </si>
  <si>
    <t>Silver Lake Partners III</t>
  </si>
  <si>
    <t>89041</t>
  </si>
  <si>
    <t>American Securities Opportunities Fund II</t>
  </si>
  <si>
    <t>89056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</si>
  <si>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</si>
  <si>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</si>
  <si>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</si>
  <si>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</si>
  <si>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</si>
  <si>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</si>
  <si>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</si>
  <si>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</si>
  <si>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</si>
  <si>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</si>
  <si>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</si>
  <si>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</si>
  <si>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</si>
  <si>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</si>
  <si>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</si>
  <si>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</si>
  <si>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</si>
  <si>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</si>
  <si>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</si>
  <si>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</si>
  <si>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</si>
  <si>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</si>
  <si>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</si>
  <si>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</si>
  <si>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</si>
  <si>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</si>
  <si>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</si>
  <si>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SSG Capital Partners II</t>
  </si>
  <si>
    <t>89089</t>
  </si>
  <si>
    <t>Dover Street VIII</t>
  </si>
  <si>
    <t>89090</t>
  </si>
  <si>
    <t>17/12/2012</t>
  </si>
  <si>
    <t>Silver Lake Partners IV</t>
  </si>
  <si>
    <t>89092</t>
  </si>
  <si>
    <t>22/10/2013</t>
  </si>
  <si>
    <t>Castlelake IV</t>
  </si>
  <si>
    <t>89130</t>
  </si>
  <si>
    <t>09/12/2015</t>
  </si>
  <si>
    <t>Hamilton Lane Secondary Fund IV</t>
  </si>
  <si>
    <t>89131</t>
  </si>
  <si>
    <t>17/02/2016</t>
  </si>
  <si>
    <t>Dover Street IX</t>
  </si>
  <si>
    <t>89141</t>
  </si>
  <si>
    <t>15/12/2016</t>
  </si>
  <si>
    <t>HarbourVest Partners Co-investment Fund IV</t>
  </si>
  <si>
    <t>89156</t>
  </si>
  <si>
    <t>Castlelake V</t>
  </si>
  <si>
    <t>89166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</si>
  <si>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</si>
  <si>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</si>
  <si>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</si>
  <si>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</si>
  <si>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</si>
  <si>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</si>
  <si>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Dover Street X</t>
  </si>
  <si>
    <t>89204</t>
  </si>
  <si>
    <t>26/09/2019</t>
  </si>
  <si>
    <t>RevolverCap Partners Fund</t>
  </si>
  <si>
    <t>89210</t>
  </si>
  <si>
    <t>18/11/2019</t>
  </si>
  <si>
    <t>One South Wacker -שיקגו עמיתים הון</t>
  </si>
  <si>
    <t>440000079</t>
  </si>
  <si>
    <t>31/12/2012</t>
  </si>
  <si>
    <t>קולומבוס תמר הון</t>
  </si>
  <si>
    <t>440000221</t>
  </si>
  <si>
    <t>14/10/2015</t>
  </si>
  <si>
    <t>SL SPV-1</t>
  </si>
  <si>
    <t>89168</t>
  </si>
  <si>
    <t>01/11/2017</t>
  </si>
  <si>
    <t>SL SPV-2 L.P</t>
  </si>
  <si>
    <t>89189</t>
  </si>
  <si>
    <t>22/04/2019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</si>
  <si>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</si>
  <si>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</si>
  <si>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</si>
  <si>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</si>
  <si>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</si>
  <si>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</si>
  <si>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</si>
  <si>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</si>
  <si>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</si>
  <si>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</si>
  <si>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</si>
  <si>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</si>
  <si>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</si>
  <si>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</si>
  <si>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</si>
  <si>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</si>
  <si>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</si>
  <si>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IRS 3.225 FLOAT ILS 2014-2024</t>
  </si>
  <si>
    <t>999999964</t>
  </si>
  <si>
    <t>24/03/2014</t>
  </si>
  <si>
    <t>IRS 3.145 FLOAT ILS 2014-2024</t>
  </si>
  <si>
    <t>999999972</t>
  </si>
  <si>
    <t>25/03/2014</t>
  </si>
  <si>
    <t>IRS 3.195 FLOAT ILS 2014-2024</t>
  </si>
  <si>
    <t>555555205</t>
  </si>
  <si>
    <t>28/04/2014</t>
  </si>
  <si>
    <t>IRS 3.2 FLOAT ILS 2014-2024</t>
  </si>
  <si>
    <t>555555209</t>
  </si>
  <si>
    <t>IRS 3.215 FLOAT ILS 2014-2024</t>
  </si>
  <si>
    <t>555555211</t>
  </si>
  <si>
    <t>29/04/2014</t>
  </si>
  <si>
    <t>IRS 3.10 FLOAT ILS 2014-2024</t>
  </si>
  <si>
    <t>555555217</t>
  </si>
  <si>
    <t>IRS 3.11  FLOAT ILS 2014-2024</t>
  </si>
  <si>
    <t>555555221</t>
  </si>
  <si>
    <t>IRS 3.225 FIX ILS 2014-2024</t>
  </si>
  <si>
    <t>999999963</t>
  </si>
  <si>
    <t>IRS 3.145 FIX ILS 2014-2024</t>
  </si>
  <si>
    <t>999999971</t>
  </si>
  <si>
    <t>IRS 3.195  FIX ILS 2014-2024</t>
  </si>
  <si>
    <t>555555204</t>
  </si>
  <si>
    <t>IRS 3.2  FIX ILS 2014-2024</t>
  </si>
  <si>
    <t>555555208</t>
  </si>
  <si>
    <t>IRS 3.215  FIX ILS 2014-2024</t>
  </si>
  <si>
    <t>555555210</t>
  </si>
  <si>
    <t>IRS 3.10  FIX ILS 2014-2024</t>
  </si>
  <si>
    <t>555555216</t>
  </si>
  <si>
    <t>IRS 3.11  FIX ILS 2014-2024</t>
  </si>
  <si>
    <t>555555220</t>
  </si>
  <si>
    <t>סה"כ  אחר</t>
  </si>
  <si>
    <t>FW EURUSD 15/01/2020 - EUR</t>
  </si>
  <si>
    <t>445091788</t>
  </si>
  <si>
    <t>02/07/2019</t>
  </si>
  <si>
    <t>FW EURUSD 15/01/2020 - USD</t>
  </si>
  <si>
    <t>445091789</t>
  </si>
  <si>
    <t>445093356</t>
  </si>
  <si>
    <t>18/07/2019</t>
  </si>
  <si>
    <t>445093357</t>
  </si>
  <si>
    <t>445094822</t>
  </si>
  <si>
    <t>25/07/2019</t>
  </si>
  <si>
    <t>445094823</t>
  </si>
  <si>
    <t>445097270</t>
  </si>
  <si>
    <t>07/08/2019</t>
  </si>
  <si>
    <t>445097271</t>
  </si>
  <si>
    <t>445097276</t>
  </si>
  <si>
    <t>08/08/2019</t>
  </si>
  <si>
    <t>445097277</t>
  </si>
  <si>
    <t>445097510</t>
  </si>
  <si>
    <t>14/08/2019</t>
  </si>
  <si>
    <t>445097511</t>
  </si>
  <si>
    <t>445097750</t>
  </si>
  <si>
    <t>15/08/2019</t>
  </si>
  <si>
    <t>445097751</t>
  </si>
  <si>
    <t>445097920</t>
  </si>
  <si>
    <t>445097921</t>
  </si>
  <si>
    <t>445097982</t>
  </si>
  <si>
    <t>445097983</t>
  </si>
  <si>
    <t>445103146</t>
  </si>
  <si>
    <t>445103147</t>
  </si>
  <si>
    <t>FW GBPUSD 01/04/2020 - USD</t>
  </si>
  <si>
    <t>445108078</t>
  </si>
  <si>
    <t>FW GBPUSD 01/04/2020 - GBP</t>
  </si>
  <si>
    <t>445108079</t>
  </si>
  <si>
    <t>445109306</t>
  </si>
  <si>
    <t>445109307</t>
  </si>
  <si>
    <t>FW USDJPY 03/06/2020 - JPY</t>
  </si>
  <si>
    <t>445110460</t>
  </si>
  <si>
    <t>16/12/2019</t>
  </si>
  <si>
    <t>FW USDJPY 03/06/2020 - USD</t>
  </si>
  <si>
    <t>445110461</t>
  </si>
  <si>
    <t>445111400</t>
  </si>
  <si>
    <t>19/12/2019</t>
  </si>
  <si>
    <t>445111401</t>
  </si>
  <si>
    <t>445112740</t>
  </si>
  <si>
    <t>30/12/2019</t>
  </si>
  <si>
    <t>445112741</t>
  </si>
  <si>
    <t>SWAP ISRAEL 18.03.20 ILS 5</t>
  </si>
  <si>
    <t>999999850</t>
  </si>
  <si>
    <t>29/05/2012</t>
  </si>
  <si>
    <t>SWAP ATRSAV 10.13-04.20 ILS 5.10</t>
  </si>
  <si>
    <t>999999931</t>
  </si>
  <si>
    <t>SWAP ATRIUM 12.13-04.20 ILS 4.99</t>
  </si>
  <si>
    <t>999999939</t>
  </si>
  <si>
    <t>10/12/2013</t>
  </si>
  <si>
    <t>SWAP ATRSAV 03.14-04.20 ILS 4.35</t>
  </si>
  <si>
    <t>999999962</t>
  </si>
  <si>
    <t>13/03/2014</t>
  </si>
  <si>
    <t>SWAP ISRAEL 2012-2020 madad 1.96</t>
  </si>
  <si>
    <t>888888125</t>
  </si>
  <si>
    <t>22/06/2016</t>
  </si>
  <si>
    <t>SWAP ISRAEL 18.03.20 EURO 4.625</t>
  </si>
  <si>
    <t>999999849</t>
  </si>
  <si>
    <t>SWAP ATRSAV 10.13-04.20  EURO 4</t>
  </si>
  <si>
    <t>999999930</t>
  </si>
  <si>
    <t>SWAP ATRIUM 12.13-04.20 EURO 4</t>
  </si>
  <si>
    <t>999999938</t>
  </si>
  <si>
    <t>SWAP ATRSAV 03.14-04.20 EURO 4</t>
  </si>
  <si>
    <t>999999961</t>
  </si>
  <si>
    <t>SWAP ISRAEL 2012-2020 EURO 4.625</t>
  </si>
  <si>
    <t>888888124</t>
  </si>
  <si>
    <t>FW USDILS 08/01/2020 - ILS</t>
  </si>
  <si>
    <t>445093812</t>
  </si>
  <si>
    <t>22/07/2019</t>
  </si>
  <si>
    <t>FW USDILS 08/01/2020 - USD</t>
  </si>
  <si>
    <t>445093813</t>
  </si>
  <si>
    <t>FW USDILS 22/01/2020 - ILS</t>
  </si>
  <si>
    <t>445094066</t>
  </si>
  <si>
    <t>FW USDILS 22/01/2020 - USD</t>
  </si>
  <si>
    <t>445094067</t>
  </si>
  <si>
    <t>445094194</t>
  </si>
  <si>
    <t>445094195</t>
  </si>
  <si>
    <t>445094786</t>
  </si>
  <si>
    <t>445094787</t>
  </si>
  <si>
    <t>FW USDILS 29/01/2020 - ILS</t>
  </si>
  <si>
    <t>445094902</t>
  </si>
  <si>
    <t>29/07/2019</t>
  </si>
  <si>
    <t>FW USDILS 29/01/2020 - USD</t>
  </si>
  <si>
    <t>445094903</t>
  </si>
  <si>
    <t>FW USDILS 12/02/2020 - ILS</t>
  </si>
  <si>
    <t>445095794</t>
  </si>
  <si>
    <t>FW USDILS 12/02/2020 - USD</t>
  </si>
  <si>
    <t>445095795</t>
  </si>
  <si>
    <t>445096052</t>
  </si>
  <si>
    <t>445096053</t>
  </si>
  <si>
    <t>445096056</t>
  </si>
  <si>
    <t>445096057</t>
  </si>
  <si>
    <t>FW USDILS 04/03/2020 - ILS</t>
  </si>
  <si>
    <t>445100408</t>
  </si>
  <si>
    <t>09/09/2019</t>
  </si>
  <si>
    <t>FW USDILS 04/03/2020 - USD</t>
  </si>
  <si>
    <t>445100409</t>
  </si>
  <si>
    <t>FW USDILS 26/02/2020 - ILS</t>
  </si>
  <si>
    <t>445101292</t>
  </si>
  <si>
    <t>FW USDILS 26/02/2020 - USD</t>
  </si>
  <si>
    <t>445101293</t>
  </si>
  <si>
    <t>FW USDILS 20/05/2020 - ILS</t>
  </si>
  <si>
    <t>445104878</t>
  </si>
  <si>
    <t>FW USDILS 20/05/2020 - USD</t>
  </si>
  <si>
    <t>445104879</t>
  </si>
  <si>
    <t>FW USDILS 13/05/2020 - ILS</t>
  </si>
  <si>
    <t>445105054</t>
  </si>
  <si>
    <t>FW USDILS 13/05/2020 - USD</t>
  </si>
  <si>
    <t>445105055</t>
  </si>
  <si>
    <t>445105062</t>
  </si>
  <si>
    <t>445105063</t>
  </si>
  <si>
    <t>FW USDILS 24/03/2020 - ILS</t>
  </si>
  <si>
    <t>445106520</t>
  </si>
  <si>
    <t>11/11/2019</t>
  </si>
  <si>
    <t>FW USDILS 24/03/2020 - USD</t>
  </si>
  <si>
    <t>445106521</t>
  </si>
  <si>
    <t>445106660</t>
  </si>
  <si>
    <t>445106661</t>
  </si>
  <si>
    <t>FW USDILS 18/03/2020 - ILS</t>
  </si>
  <si>
    <t>445106960</t>
  </si>
  <si>
    <t>FW USDILS 18/03/2020 - USD</t>
  </si>
  <si>
    <t>445106961</t>
  </si>
  <si>
    <t>FW USDILS 18/02/2020 - ILS</t>
  </si>
  <si>
    <t>445107128</t>
  </si>
  <si>
    <t>FW USDILS 18/02/2020 - USD</t>
  </si>
  <si>
    <t>445107129</t>
  </si>
  <si>
    <t>FW USDILS 25/02/2020 - ILS</t>
  </si>
  <si>
    <t>445107264</t>
  </si>
  <si>
    <t>FW USDILS 25/02/2020 - USD</t>
  </si>
  <si>
    <t>445107265</t>
  </si>
  <si>
    <t>FW USDILS 17/03/2020 - ILS</t>
  </si>
  <si>
    <t>445108826</t>
  </si>
  <si>
    <t>FW USDILS 17/03/2020 - USD</t>
  </si>
  <si>
    <t>445108827</t>
  </si>
  <si>
    <t>445108834</t>
  </si>
  <si>
    <t>445108835</t>
  </si>
  <si>
    <t>445108842</t>
  </si>
  <si>
    <t>445108843</t>
  </si>
  <si>
    <t>445109092</t>
  </si>
  <si>
    <t>445109093</t>
  </si>
  <si>
    <t>FW USDILS 03/03/2020 - ILS</t>
  </si>
  <si>
    <t>445109628</t>
  </si>
  <si>
    <t>FW USDILS 03/03/2020 - USD</t>
  </si>
  <si>
    <t>445109629</t>
  </si>
  <si>
    <t>445111782</t>
  </si>
  <si>
    <t>23/12/2019</t>
  </si>
  <si>
    <t>445111783</t>
  </si>
  <si>
    <t>445112412</t>
  </si>
  <si>
    <t>26/12/2019</t>
  </si>
  <si>
    <t>445112413</t>
  </si>
  <si>
    <t>445112842</t>
  </si>
  <si>
    <t>445112843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</si>
  <si>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</si>
  <si>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</si>
  <si>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</si>
  <si>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</si>
  <si>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</si>
  <si>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Equty Swap JPCLAL5G Index - Equity Leg</t>
  </si>
  <si>
    <t>444000104</t>
  </si>
  <si>
    <t>03/07/2019</t>
  </si>
  <si>
    <t>Equty Swap JPCLAL5G Index - Libor Leg</t>
  </si>
  <si>
    <t>444000105</t>
  </si>
  <si>
    <t>Equity Swap JPUKDECL Index Equity Leg</t>
  </si>
  <si>
    <t>444000112</t>
  </si>
  <si>
    <t>04/12/2019</t>
  </si>
  <si>
    <t>Equity Swap JPUKDECL Index Libor Leg</t>
  </si>
  <si>
    <t>444000113</t>
  </si>
  <si>
    <t>444000114</t>
  </si>
  <si>
    <t>17/12/2019</t>
  </si>
  <si>
    <t>444000115</t>
  </si>
  <si>
    <t>445091444</t>
  </si>
  <si>
    <t>445091445</t>
  </si>
  <si>
    <t>445091772</t>
  </si>
  <si>
    <t>445091773</t>
  </si>
  <si>
    <t>445091784</t>
  </si>
  <si>
    <t>445091785</t>
  </si>
  <si>
    <t>445091812</t>
  </si>
  <si>
    <t>445091813</t>
  </si>
  <si>
    <t>445091846</t>
  </si>
  <si>
    <t>445091847</t>
  </si>
  <si>
    <t>445091998</t>
  </si>
  <si>
    <t>04/07/2019</t>
  </si>
  <si>
    <t>445091999</t>
  </si>
  <si>
    <t>445092006</t>
  </si>
  <si>
    <t>445092007</t>
  </si>
  <si>
    <t>445092018</t>
  </si>
  <si>
    <t>445092019</t>
  </si>
  <si>
    <t>445092162</t>
  </si>
  <si>
    <t>08/07/2019</t>
  </si>
  <si>
    <t>445092163</t>
  </si>
  <si>
    <t>445092512</t>
  </si>
  <si>
    <t>445092513</t>
  </si>
  <si>
    <t>445092724</t>
  </si>
  <si>
    <t>10/07/2019</t>
  </si>
  <si>
    <t>445092725</t>
  </si>
  <si>
    <t>445092910</t>
  </si>
  <si>
    <t>445092911</t>
  </si>
  <si>
    <t>445092950</t>
  </si>
  <si>
    <t>445092951</t>
  </si>
  <si>
    <t>445093094</t>
  </si>
  <si>
    <t>16/07/2019</t>
  </si>
  <si>
    <t>445093095</t>
  </si>
  <si>
    <t>445093126</t>
  </si>
  <si>
    <t>445093127</t>
  </si>
  <si>
    <t>445093352</t>
  </si>
  <si>
    <t>445093353</t>
  </si>
  <si>
    <t>445093426</t>
  </si>
  <si>
    <t>445093427</t>
  </si>
  <si>
    <t>445093868</t>
  </si>
  <si>
    <t>445093869</t>
  </si>
  <si>
    <t>445093914</t>
  </si>
  <si>
    <t>445093915</t>
  </si>
  <si>
    <t>445094274</t>
  </si>
  <si>
    <t>445094275</t>
  </si>
  <si>
    <t>445094770</t>
  </si>
  <si>
    <t>445094771</t>
  </si>
  <si>
    <t>445097034</t>
  </si>
  <si>
    <t>445097035</t>
  </si>
  <si>
    <t>445097068</t>
  </si>
  <si>
    <t>445097069</t>
  </si>
  <si>
    <t>445097460</t>
  </si>
  <si>
    <t>12/08/2019</t>
  </si>
  <si>
    <t>445097461</t>
  </si>
  <si>
    <t>445097480</t>
  </si>
  <si>
    <t>445097481</t>
  </si>
  <si>
    <t>445097846</t>
  </si>
  <si>
    <t>445097847</t>
  </si>
  <si>
    <t>445097964</t>
  </si>
  <si>
    <t>445097965</t>
  </si>
  <si>
    <t>445097972</t>
  </si>
  <si>
    <t>445097973</t>
  </si>
  <si>
    <t>445099590</t>
  </si>
  <si>
    <t>445099591</t>
  </si>
  <si>
    <t>445100174</t>
  </si>
  <si>
    <t>445100175</t>
  </si>
  <si>
    <t>445100456</t>
  </si>
  <si>
    <t>10/09/2019</t>
  </si>
  <si>
    <t>445100457</t>
  </si>
  <si>
    <t>445100624</t>
  </si>
  <si>
    <t>12/09/2019</t>
  </si>
  <si>
    <t>445100625</t>
  </si>
  <si>
    <t>445101814</t>
  </si>
  <si>
    <t>24/09/2019</t>
  </si>
  <si>
    <t>445101815</t>
  </si>
  <si>
    <t>445102488</t>
  </si>
  <si>
    <t>445102489</t>
  </si>
  <si>
    <t>445102846</t>
  </si>
  <si>
    <t>445102847</t>
  </si>
  <si>
    <t>445102904</t>
  </si>
  <si>
    <t>10/10/2019</t>
  </si>
  <si>
    <t>445102905</t>
  </si>
  <si>
    <t>445103964</t>
  </si>
  <si>
    <t>22/10/2019</t>
  </si>
  <si>
    <t>445103965</t>
  </si>
  <si>
    <t>FW AUDUSD 06/05/2020 - AUD</t>
  </si>
  <si>
    <t>445105186</t>
  </si>
  <si>
    <t>FW AUDUSD 06/05/2020 - USD</t>
  </si>
  <si>
    <t>445105187</t>
  </si>
  <si>
    <t>445105262</t>
  </si>
  <si>
    <t>31/10/2019</t>
  </si>
  <si>
    <t>445105263</t>
  </si>
  <si>
    <t>445105384</t>
  </si>
  <si>
    <t>04/11/2019</t>
  </si>
  <si>
    <t>445105385</t>
  </si>
  <si>
    <t>445105524</t>
  </si>
  <si>
    <t>445105525</t>
  </si>
  <si>
    <t>445106758</t>
  </si>
  <si>
    <t>12/11/2019</t>
  </si>
  <si>
    <t>445106759</t>
  </si>
  <si>
    <t>445106984</t>
  </si>
  <si>
    <t>14/11/2019</t>
  </si>
  <si>
    <t>445106985</t>
  </si>
  <si>
    <t>445107842</t>
  </si>
  <si>
    <t>445107843</t>
  </si>
  <si>
    <t>445108066</t>
  </si>
  <si>
    <t>445108067</t>
  </si>
  <si>
    <t>445108074</t>
  </si>
  <si>
    <t>445108075</t>
  </si>
  <si>
    <t>445108110</t>
  </si>
  <si>
    <t>445108111</t>
  </si>
  <si>
    <t>445108152</t>
  </si>
  <si>
    <t>26/11/2019</t>
  </si>
  <si>
    <t>445108153</t>
  </si>
  <si>
    <t>445108882</t>
  </si>
  <si>
    <t>445108883</t>
  </si>
  <si>
    <t>445108956</t>
  </si>
  <si>
    <t>445108957</t>
  </si>
  <si>
    <t>445109176</t>
  </si>
  <si>
    <t>445109177</t>
  </si>
  <si>
    <t>445109220</t>
  </si>
  <si>
    <t>445109221</t>
  </si>
  <si>
    <t>445109688</t>
  </si>
  <si>
    <t>11/12/2019</t>
  </si>
  <si>
    <t>445109689</t>
  </si>
  <si>
    <t>445109714</t>
  </si>
  <si>
    <t>12/12/2019</t>
  </si>
  <si>
    <t>445109715</t>
  </si>
  <si>
    <t>445109866</t>
  </si>
  <si>
    <t>13/12/2019</t>
  </si>
  <si>
    <t>445109867</t>
  </si>
  <si>
    <t>445111044</t>
  </si>
  <si>
    <t>445111045</t>
  </si>
  <si>
    <t>445111174</t>
  </si>
  <si>
    <t>18/12/2019</t>
  </si>
  <si>
    <t>445111175</t>
  </si>
  <si>
    <t>445111360</t>
  </si>
  <si>
    <t>445111361</t>
  </si>
  <si>
    <t>445112338</t>
  </si>
  <si>
    <t>24/12/2019</t>
  </si>
  <si>
    <t>445112339</t>
  </si>
  <si>
    <t>445112364</t>
  </si>
  <si>
    <t>445112365</t>
  </si>
  <si>
    <t>445112576</t>
  </si>
  <si>
    <t>445112577</t>
  </si>
  <si>
    <t>445112768</t>
  </si>
  <si>
    <t>445112769</t>
  </si>
  <si>
    <t>חוב מובנה IDE</t>
  </si>
  <si>
    <t>2080200</t>
  </si>
  <si>
    <t>אשראי</t>
  </si>
  <si>
    <t>06/12/2017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</si>
  <si>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</si>
  <si>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</si>
  <si>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</si>
  <si>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</si>
  <si>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AA+</t>
  </si>
  <si>
    <t>10/06/2019</t>
  </si>
  <si>
    <t>פנימי</t>
  </si>
  <si>
    <t>משכנתאות עמיתים סל שקלי</t>
  </si>
  <si>
    <t>333460004</t>
  </si>
  <si>
    <t>בנק ירושלים לא צמוד קבוע - 2</t>
  </si>
  <si>
    <t>2080407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</si>
  <si>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</si>
  <si>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</si>
  <si>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</si>
  <si>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</si>
  <si>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</si>
  <si>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</si>
  <si>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</si>
  <si>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</si>
  <si>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</si>
  <si>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</si>
  <si>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תיק הלוואות משכנתא בנק י-ם תמר</t>
  </si>
  <si>
    <t>70100</t>
  </si>
  <si>
    <t>520025636</t>
  </si>
  <si>
    <t>24/03/2009</t>
  </si>
  <si>
    <t>תיק הלוואות משכנתא אדנים תמר</t>
  </si>
  <si>
    <t>70104</t>
  </si>
  <si>
    <t>01/06/2009</t>
  </si>
  <si>
    <t>תיק הלוואות משכנתא טפחות תמר</t>
  </si>
  <si>
    <t>70109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</si>
  <si>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</si>
  <si>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</si>
  <si>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</si>
  <si>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</si>
  <si>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</si>
  <si>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</si>
  <si>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</si>
  <si>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הלוואה לגורם 46</t>
  </si>
  <si>
    <t>999999529</t>
  </si>
  <si>
    <t>02/04/2012</t>
  </si>
  <si>
    <t>הלוואה לגורם 70</t>
  </si>
  <si>
    <t>כן</t>
  </si>
  <si>
    <t>2060150</t>
  </si>
  <si>
    <t>512705153</t>
  </si>
  <si>
    <t>06/03/2013</t>
  </si>
  <si>
    <t>סה"כ מובטחות בבטחונות אחרים</t>
  </si>
  <si>
    <t>הלוואה לגורם 120</t>
  </si>
  <si>
    <t>2070287</t>
  </si>
  <si>
    <t>02/08/2017</t>
  </si>
  <si>
    <t>2070288</t>
  </si>
  <si>
    <t>הלוואה לגורם 123</t>
  </si>
  <si>
    <t>2080184</t>
  </si>
  <si>
    <t>515642528</t>
  </si>
  <si>
    <t>הלוואה לגורם 125</t>
  </si>
  <si>
    <t>2080198</t>
  </si>
  <si>
    <t>500250006</t>
  </si>
  <si>
    <t>26/11/2017</t>
  </si>
  <si>
    <t>2080210</t>
  </si>
  <si>
    <t>20/12/2017</t>
  </si>
  <si>
    <t>2080218</t>
  </si>
  <si>
    <t>23/01/2018</t>
  </si>
  <si>
    <t>2080269</t>
  </si>
  <si>
    <t>18/03/2018</t>
  </si>
  <si>
    <t>2080272</t>
  </si>
  <si>
    <t>14/06/2018</t>
  </si>
  <si>
    <t>2080288</t>
  </si>
  <si>
    <t>21/08/2018</t>
  </si>
  <si>
    <t>2080303</t>
  </si>
  <si>
    <t>04/10/2018</t>
  </si>
  <si>
    <t>2080308</t>
  </si>
  <si>
    <t>הלוואה לגורם 154</t>
  </si>
  <si>
    <t>2080322</t>
  </si>
  <si>
    <t>515654267</t>
  </si>
  <si>
    <t>30/11/2018</t>
  </si>
  <si>
    <t>2080326</t>
  </si>
  <si>
    <t>17/12/2018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</si>
  <si>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</si>
  <si>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</si>
  <si>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</si>
  <si>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</si>
  <si>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</si>
  <si>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</si>
  <si>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</si>
  <si>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</si>
  <si>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</si>
  <si>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2080358</t>
  </si>
  <si>
    <t>2080359</t>
  </si>
  <si>
    <t>28/07/2019</t>
  </si>
  <si>
    <t>2080360</t>
  </si>
  <si>
    <t>2080404</t>
  </si>
  <si>
    <t>2080405</t>
  </si>
  <si>
    <t>20/11/2019</t>
  </si>
  <si>
    <t>2080413</t>
  </si>
  <si>
    <t>הלוואה לגורם 42</t>
  </si>
  <si>
    <t>999999813</t>
  </si>
  <si>
    <t>512194168</t>
  </si>
  <si>
    <t>05/10/2011</t>
  </si>
  <si>
    <t>הלוואה לגורם 53</t>
  </si>
  <si>
    <t>999999532</t>
  </si>
  <si>
    <t>511826877</t>
  </si>
  <si>
    <t>11/07/2012</t>
  </si>
  <si>
    <t>הלוואה לגורם 54</t>
  </si>
  <si>
    <t>999999869</t>
  </si>
  <si>
    <t>513184192</t>
  </si>
  <si>
    <t>30/09/2007</t>
  </si>
  <si>
    <t>הלוואה לגורם 75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</si>
  <si>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</si>
  <si>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</si>
  <si>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</si>
  <si>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</si>
  <si>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</si>
  <si>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</si>
  <si>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</si>
  <si>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</si>
  <si>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</si>
  <si>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</si>
  <si>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</si>
  <si>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</si>
  <si>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</si>
  <si>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הלוואה לגורם 76</t>
  </si>
  <si>
    <t>207013303</t>
  </si>
  <si>
    <t>550242382</t>
  </si>
  <si>
    <t>17/06/2013</t>
  </si>
  <si>
    <t>הלוואה לגורם 37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</si>
  <si>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</si>
  <si>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</si>
  <si>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</si>
  <si>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</si>
  <si>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</si>
  <si>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</si>
  <si>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</si>
  <si>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</si>
  <si>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</si>
  <si>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</si>
  <si>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</si>
  <si>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</si>
  <si>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</si>
  <si>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</si>
  <si>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</si>
  <si>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</si>
  <si>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</si>
  <si>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</si>
  <si>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</si>
  <si>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הלוואה לגורם 77</t>
  </si>
  <si>
    <t>207013328</t>
  </si>
  <si>
    <t>514255678</t>
  </si>
  <si>
    <t>207013348</t>
  </si>
  <si>
    <t>08/10/2013</t>
  </si>
  <si>
    <t>הלוואה לגורם 81</t>
  </si>
  <si>
    <t>207013391</t>
  </si>
  <si>
    <t>17/10/2013</t>
  </si>
  <si>
    <t>207013392</t>
  </si>
  <si>
    <t>207013393</t>
  </si>
  <si>
    <t>20/10/2013</t>
  </si>
  <si>
    <t>207013394</t>
  </si>
  <si>
    <t>הלוואה לגורם 36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</si>
  <si>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</si>
  <si>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</si>
  <si>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</si>
  <si>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</si>
  <si>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</si>
  <si>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</si>
  <si>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</si>
  <si>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</si>
  <si>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</si>
  <si>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</si>
  <si>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</si>
  <si>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</si>
  <si>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</si>
  <si>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</si>
  <si>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</si>
  <si>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</si>
  <si>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</si>
  <si>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</si>
  <si>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</si>
  <si>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</si>
  <si>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</si>
  <si>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</si>
  <si>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</si>
  <si>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</si>
  <si>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</si>
  <si>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</si>
  <si>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</si>
  <si>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</si>
  <si>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</si>
  <si>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</si>
  <si>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</si>
  <si>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</si>
  <si>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</si>
  <si>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</si>
  <si>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</si>
  <si>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</si>
  <si>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</si>
  <si>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207013507</t>
  </si>
  <si>
    <t>28/05/2014</t>
  </si>
  <si>
    <t>207013511</t>
  </si>
  <si>
    <t>25/06/2014</t>
  </si>
  <si>
    <t>207013517</t>
  </si>
  <si>
    <t>16/07/2014</t>
  </si>
  <si>
    <t>207013520</t>
  </si>
  <si>
    <t>207013530</t>
  </si>
  <si>
    <t>29/09/2014</t>
  </si>
  <si>
    <t>הלוואה לגורם 91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</si>
  <si>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</si>
  <si>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</si>
  <si>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</si>
  <si>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</si>
  <si>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</si>
  <si>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</si>
  <si>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</si>
  <si>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הלוואה לגורם 93</t>
  </si>
  <si>
    <t>20701381</t>
  </si>
  <si>
    <t>510791270</t>
  </si>
  <si>
    <t>הלוואה לגורם 94</t>
  </si>
  <si>
    <t>20701382</t>
  </si>
  <si>
    <t>550225650</t>
  </si>
  <si>
    <t>20701383</t>
  </si>
  <si>
    <t>19/02/2015</t>
  </si>
  <si>
    <t>הלוואה לגורם 92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</si>
  <si>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</si>
  <si>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</si>
  <si>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</si>
  <si>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</si>
  <si>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</si>
  <si>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</si>
  <si>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</si>
  <si>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</si>
  <si>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</si>
  <si>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</si>
  <si>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</si>
  <si>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</si>
  <si>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</si>
  <si>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</si>
  <si>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</si>
  <si>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20701409</t>
  </si>
  <si>
    <t>11/06/2015</t>
  </si>
  <si>
    <t>הלוואה לגורם 97</t>
  </si>
  <si>
    <t>2070150</t>
  </si>
  <si>
    <t>514116359</t>
  </si>
  <si>
    <t>26/08/2015</t>
  </si>
  <si>
    <t>20701430</t>
  </si>
  <si>
    <t>10/09/2015</t>
  </si>
  <si>
    <t>2070153</t>
  </si>
  <si>
    <t>17/09/2015</t>
  </si>
  <si>
    <t>2070169</t>
  </si>
  <si>
    <t>23/12/2015</t>
  </si>
  <si>
    <t>2070170</t>
  </si>
  <si>
    <t>הלוואה לגורם 101</t>
  </si>
  <si>
    <t>2070177</t>
  </si>
  <si>
    <t>514357060</t>
  </si>
  <si>
    <t>01/02/2016</t>
  </si>
  <si>
    <t>2070200</t>
  </si>
  <si>
    <t>12/07/2016</t>
  </si>
  <si>
    <t>הלוואה לגורם 113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</si>
  <si>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</si>
  <si>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</si>
  <si>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</si>
  <si>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</si>
  <si>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</si>
  <si>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</si>
  <si>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</si>
  <si>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</si>
  <si>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</si>
  <si>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</si>
  <si>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</si>
  <si>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</si>
  <si>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</si>
  <si>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</si>
  <si>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</si>
  <si>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</si>
  <si>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</si>
  <si>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</si>
  <si>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</si>
  <si>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</si>
  <si>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</si>
  <si>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</si>
  <si>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</si>
  <si>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</si>
  <si>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</si>
  <si>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</si>
  <si>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</si>
  <si>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</si>
  <si>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</si>
  <si>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</si>
  <si>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</si>
  <si>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</si>
  <si>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</si>
  <si>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</si>
  <si>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</si>
  <si>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</si>
  <si>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</si>
  <si>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</si>
  <si>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</si>
  <si>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</si>
  <si>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</si>
  <si>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</si>
  <si>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</si>
  <si>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</si>
  <si>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</si>
  <si>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</si>
  <si>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</si>
  <si>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</si>
  <si>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</si>
  <si>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הלוואה לגורם 135</t>
  </si>
  <si>
    <t>20802748</t>
  </si>
  <si>
    <t>550237333</t>
  </si>
  <si>
    <t>02/01/2019</t>
  </si>
  <si>
    <t>הלוואה לגורם 134</t>
  </si>
  <si>
    <t>20802749</t>
  </si>
  <si>
    <t>540279379</t>
  </si>
  <si>
    <t>הלוואה לגורם 155</t>
  </si>
  <si>
    <t>2080361</t>
  </si>
  <si>
    <t>550238992</t>
  </si>
  <si>
    <t>01/03/2019</t>
  </si>
  <si>
    <t>הלוואה לגורם 156</t>
  </si>
  <si>
    <t>2080362</t>
  </si>
  <si>
    <t>512973322</t>
  </si>
  <si>
    <t>12/03/2019</t>
  </si>
  <si>
    <t>הלוואה לגורם 157</t>
  </si>
  <si>
    <t>2080363</t>
  </si>
  <si>
    <t>550238760</t>
  </si>
  <si>
    <t>הלוואה לגורם 158</t>
  </si>
  <si>
    <t>2080367</t>
  </si>
  <si>
    <t>550241103</t>
  </si>
  <si>
    <t>הלוואה לגורם 162</t>
  </si>
  <si>
    <t>2080451</t>
  </si>
  <si>
    <t>29/05/2019</t>
  </si>
  <si>
    <t>הלוואה לגורם 41</t>
  </si>
  <si>
    <t>2080396</t>
  </si>
  <si>
    <t>512542721</t>
  </si>
  <si>
    <t>2080397</t>
  </si>
  <si>
    <t>20803950</t>
  </si>
  <si>
    <t>הלוואה לגורם 164</t>
  </si>
  <si>
    <t>20804061</t>
  </si>
  <si>
    <t>516117181</t>
  </si>
  <si>
    <t>21/11/2019</t>
  </si>
  <si>
    <t>הלוואה לגורם 165</t>
  </si>
  <si>
    <t>20702019</t>
  </si>
  <si>
    <t>511774150</t>
  </si>
  <si>
    <t>A-</t>
  </si>
  <si>
    <t>הלוואה לגורם 167</t>
  </si>
  <si>
    <t>20804114</t>
  </si>
  <si>
    <t>550275655</t>
  </si>
  <si>
    <t>הלוואה לגורם 168</t>
  </si>
  <si>
    <t>20804116</t>
  </si>
  <si>
    <t>540284999</t>
  </si>
  <si>
    <t>הלוואה לגורם 96</t>
  </si>
  <si>
    <t>20701413</t>
  </si>
  <si>
    <t>22/06/2015</t>
  </si>
  <si>
    <t>הלוואה לגורם 45</t>
  </si>
  <si>
    <t>20701419</t>
  </si>
  <si>
    <t>513838326</t>
  </si>
  <si>
    <t>207013246</t>
  </si>
  <si>
    <t>20/02/2013</t>
  </si>
  <si>
    <t>הלוואה לגורם 119</t>
  </si>
  <si>
    <t>2080281</t>
  </si>
  <si>
    <t>514700608</t>
  </si>
  <si>
    <t>20/07/2018</t>
  </si>
  <si>
    <t>2080342</t>
  </si>
  <si>
    <t>הלוואה לגורם 159</t>
  </si>
  <si>
    <t>2080338</t>
  </si>
  <si>
    <t>20/02/2019</t>
  </si>
  <si>
    <t>2080353</t>
  </si>
  <si>
    <t>07/03/2019</t>
  </si>
  <si>
    <t>הלוואה לגורם 163</t>
  </si>
  <si>
    <t>2080385</t>
  </si>
  <si>
    <t>18/06/2019</t>
  </si>
  <si>
    <t>2080388</t>
  </si>
  <si>
    <t>2080392</t>
  </si>
  <si>
    <t>2080458</t>
  </si>
  <si>
    <t>23/10/2019</t>
  </si>
  <si>
    <t>99999844</t>
  </si>
  <si>
    <t>20/05/2012</t>
  </si>
  <si>
    <t>99999845</t>
  </si>
  <si>
    <t>2080277</t>
  </si>
  <si>
    <t>25/06/2018</t>
  </si>
  <si>
    <t>הלוואה לגורם 107</t>
  </si>
  <si>
    <t>999999657</t>
  </si>
  <si>
    <t>30/06/2016</t>
  </si>
  <si>
    <t>999999659</t>
  </si>
  <si>
    <t>99999965</t>
  </si>
  <si>
    <t>13/09/2016</t>
  </si>
  <si>
    <t>999999663</t>
  </si>
  <si>
    <t>הלוואה לגורם 169</t>
  </si>
  <si>
    <t>2080406</t>
  </si>
  <si>
    <t>515759157</t>
  </si>
  <si>
    <t>2080075</t>
  </si>
  <si>
    <t>18/05/2017</t>
  </si>
  <si>
    <t>הלוואה לגורם 112</t>
  </si>
  <si>
    <t>2070231</t>
  </si>
  <si>
    <t>הלוואה לגורם 136</t>
  </si>
  <si>
    <t>2080254</t>
  </si>
  <si>
    <t>2080312</t>
  </si>
  <si>
    <t>29/10/2018</t>
  </si>
  <si>
    <t>הלוואה לגורם 137</t>
  </si>
  <si>
    <t>2080284</t>
  </si>
  <si>
    <t>01/08/2018</t>
  </si>
  <si>
    <t>הלוואה לגורם 138</t>
  </si>
  <si>
    <t>2080289</t>
  </si>
  <si>
    <t>23/08/2018</t>
  </si>
  <si>
    <t>2080291</t>
  </si>
  <si>
    <t>04/09/2018</t>
  </si>
  <si>
    <t>2080296</t>
  </si>
  <si>
    <t>06/09/2018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</si>
  <si>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</si>
  <si>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</si>
  <si>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</si>
  <si>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</si>
  <si>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</si>
  <si>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</si>
  <si>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</si>
  <si>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</si>
  <si>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</si>
  <si>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</si>
  <si>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הלוואה לגורם 152</t>
  </si>
  <si>
    <t>2080330</t>
  </si>
  <si>
    <t>31/12/2018</t>
  </si>
  <si>
    <t>הלוואה לגורם 153</t>
  </si>
  <si>
    <t>2080331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</si>
  <si>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</si>
  <si>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</si>
  <si>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</si>
  <si>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</si>
  <si>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</si>
  <si>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</si>
  <si>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</si>
  <si>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</si>
  <si>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</si>
  <si>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</si>
  <si>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</si>
  <si>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</si>
  <si>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</si>
  <si>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</si>
  <si>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</si>
  <si>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</si>
  <si>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</si>
  <si>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</si>
  <si>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2080394</t>
  </si>
  <si>
    <t>2080398</t>
  </si>
  <si>
    <t>2080399</t>
  </si>
  <si>
    <t>2080400</t>
  </si>
  <si>
    <t>2080453</t>
  </si>
  <si>
    <t>2080455</t>
  </si>
  <si>
    <t>2080457</t>
  </si>
  <si>
    <t>2080459</t>
  </si>
  <si>
    <t>2080460</t>
  </si>
  <si>
    <t>2080461</t>
  </si>
  <si>
    <t>2080463</t>
  </si>
  <si>
    <t>27/11/2019</t>
  </si>
  <si>
    <t>2080464</t>
  </si>
  <si>
    <t>2080465</t>
  </si>
  <si>
    <t>הלוואה לגורם 98</t>
  </si>
  <si>
    <t>440000232</t>
  </si>
  <si>
    <t>31/12/2015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</si>
  <si>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</si>
  <si>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</si>
  <si>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</si>
  <si>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</si>
  <si>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</si>
  <si>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</si>
  <si>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</si>
  <si>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</si>
  <si>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</si>
  <si>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</si>
  <si>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אדגר פ.ת - תמר משולב עד 25% מניות</t>
  </si>
  <si>
    <t>רחוב אפעל 35 פ"ת</t>
  </si>
  <si>
    <t>כמעט חינם - תמר משולב עד 25% מניות</t>
  </si>
  <si>
    <t>הגדוד 21 נהריה</t>
  </si>
  <si>
    <t>סה"כ לא מניב</t>
  </si>
  <si>
    <t>סה"כ מקרקעין בחו"ל</t>
  </si>
  <si>
    <t>ברמינגהם CR115 - תמר משולב עד 25% מניות</t>
  </si>
  <si>
    <t>115 Colmore Row, Birmingham</t>
  </si>
  <si>
    <t>הארפר קורט (א. שיקגו) - תמר משולב עד 25% מניות</t>
  </si>
  <si>
    <t>Harper Court 5235  South Harper Court Chicago</t>
  </si>
  <si>
    <t>בישראל</t>
  </si>
  <si>
    <t>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</si>
  <si>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</si>
  <si>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</si>
  <si>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</si>
  <si>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</si>
  <si>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</si>
  <si>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</si>
  <si>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</si>
  <si>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</si>
  <si>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</si>
  <si>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</si>
  <si>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</si>
  <si>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</si>
  <si>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לגנא שווי לפי שער</t>
  </si>
  <si>
    <t>3520046</t>
  </si>
  <si>
    <t>אגל"ס אלון חברה לדלק 22.01.07 עמיתים הפחתת שווי-חש</t>
  </si>
  <si>
    <t>20701423</t>
  </si>
  <si>
    <t>הום סנטר אגח א רצף מוסדי - 12.2014 עמיתים - חש</t>
  </si>
  <si>
    <t>37800388</t>
  </si>
  <si>
    <t>טאו אגח להמרה סד ב - חש</t>
  </si>
  <si>
    <t>6370068</t>
  </si>
  <si>
    <t>סקורפיו א לאחר הסדר חוב - חש</t>
  </si>
  <si>
    <t>11133988</t>
  </si>
  <si>
    <t>קרדן אן.וי אג"ח ב חש 02.2018</t>
  </si>
  <si>
    <t>1143270</t>
  </si>
  <si>
    <t>הלוואה לגורם 89</t>
  </si>
  <si>
    <t>20701371</t>
  </si>
  <si>
    <t>20701372</t>
  </si>
  <si>
    <t>צים אגח A 1 רצף מוסדי - החל מ- 09.2016 - חש</t>
  </si>
  <si>
    <t>65100444</t>
  </si>
  <si>
    <t>אדגר פ.ת הכנסות לקבל - תמר משולב עד 25% מניות</t>
  </si>
  <si>
    <t>400000452</t>
  </si>
  <si>
    <t>כמעט חינם הכנסות לקבל - תמר משולב עד 25% מניות</t>
  </si>
  <si>
    <t>440000475</t>
  </si>
  <si>
    <t>מזומן לקבל עבור הסדר הפשרה של אוצר התיישבות</t>
  </si>
  <si>
    <t>60101333</t>
  </si>
  <si>
    <t>חייבים זכאים תפעולי</t>
  </si>
  <si>
    <t>60101335</t>
  </si>
  <si>
    <t>ברמינגהם הכנסות לקבל - תמר משולב עד 25% מניות</t>
  </si>
  <si>
    <t>440000461</t>
  </si>
  <si>
    <t>הארפר קורט הכנסות לקבל - תמר משולב עד 25% מניות</t>
  </si>
  <si>
    <t>440001181</t>
  </si>
  <si>
    <t>חייבים בגין מקדמות מס Waterton</t>
  </si>
  <si>
    <t>89220</t>
  </si>
  <si>
    <t>פקד סחורות  חודשים בנק לאומי לישראל בע"מ</t>
  </si>
  <si>
    <t>שקל  פועלים סהר בנק הפועלים בע"מ</t>
  </si>
  <si>
    <t>פרי hsbc  פועלים סהר HSBC</t>
  </si>
  <si>
    <t>פרי איגוד  פועלים סהר בנק אגוד לישראל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</si>
  <si>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</si>
  <si>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</si>
  <si>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</si>
  <si>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</si>
  <si>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</si>
  <si>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</si>
  <si>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Margin Future  Poalim Sahar EURO בנק הפועלים בע"מ</t>
  </si>
  <si>
    <t>שקל  דיסקונט בנק דיסקונט לישראל בע"מ</t>
  </si>
  <si>
    <t>שקל  מזרחי בנק מזרחי טפחות בע"מ</t>
  </si>
  <si>
    <t>דולר  מזרחי בנק מזרחי טפחות בע"מ</t>
  </si>
  <si>
    <t>שקל  הפועלים בנק הפועלים בע"מ</t>
  </si>
  <si>
    <t>דולר  הפועלים בנק הפועלים בע"מ</t>
  </si>
  <si>
    <t>Margin FW  Hapoalim USD בנק הפועלים בע"מ</t>
  </si>
  <si>
    <t>יין יפני ()  BNY עדכון ידני Bny Mellon</t>
  </si>
  <si>
    <t>Margin Future  JPM USD JPM</t>
  </si>
  <si>
    <t>Margin Future  JPM EURO JPM</t>
  </si>
  <si>
    <t>Margin Future  JPM GBP JPM</t>
  </si>
  <si>
    <t>Margin Future  JPM JPY JPM</t>
  </si>
  <si>
    <t>Margin Future  JPM AUD JPM</t>
  </si>
  <si>
    <t>שקל  הפועלים עדכון ידני בנק הפועלים בע"מ</t>
  </si>
  <si>
    <t>שקל  פועלים בנק הפועלים בע"מ</t>
  </si>
  <si>
    <t>שקל  פועלים עדכון ידני בנק הפועלים בע"מ</t>
  </si>
  <si>
    <t>שקל  לאומי בנק לאומי לישראל בע"מ</t>
  </si>
  <si>
    <t>שקל  לאומי עדכון ידני בנק לאומי לישראל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</si>
  <si>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</si>
  <si>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</si>
  <si>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</si>
  <si>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</si>
  <si>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</si>
  <si>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</si>
  <si>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</si>
  <si>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</si>
  <si>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</si>
  <si>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</si>
  <si>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אירו  BNY Bny Mellon</t>
  </si>
  <si>
    <t>BNY אירו עתידי  Bny Mellon</t>
  </si>
  <si>
    <t>שטרלינג  BNY Bny Mellon</t>
  </si>
  <si>
    <t>שטרלינג  BNY עדכון ידני Bny Mellon</t>
  </si>
  <si>
    <t>שטרלינג עתידי  BNY Bny Mellon</t>
  </si>
  <si>
    <t>יין יפני  BNY עדכון ידני Bny Mellon</t>
  </si>
  <si>
    <t>דולר  BNY Bny Mellon</t>
  </si>
  <si>
    <t>דולר  BNY עדכון ידני Bny Mellon</t>
  </si>
  <si>
    <t>Margin FW  BNY USD Bny Mellon</t>
  </si>
  <si>
    <t>שקל  עדכון ידני בנק דיסקונט לישראל בע"מ</t>
  </si>
  <si>
    <t>שקל  יובנק הבנק הבינלאומי הראשון לישראל בע"מ</t>
  </si>
  <si>
    <t>שקל  יו בנק הבנק הבינלאומי הראשון לישראל בע"מ</t>
  </si>
  <si>
    <t>דולר  דיסקונט בנק דיסקונט לישראל בע"מ</t>
  </si>
  <si>
    <t>אירו  הפועלים עדכון ידני בנק הפועלים בע"מ</t>
  </si>
  <si>
    <t>שטרלינג  הפועלים בנק הפועלים בע"מ</t>
  </si>
  <si>
    <t>יין יפני  הפועלים עדכון ידני בנק הפועלים בע"מ</t>
  </si>
  <si>
    <t>יורו  לאומי בנק לאומי לישראל בע"מ</t>
  </si>
  <si>
    <t>יין יפני  לאומי עדכון ידני בנק לאומי לישראל בע"מ</t>
  </si>
  <si>
    <t>דולר  יובנק הבנק הבינלאומי הראשון לישראל בע"מ</t>
  </si>
  <si>
    <t>Margin Future  Leumi USD בנק לאומי לישראל בע"מ</t>
  </si>
  <si>
    <t>Margin Future   Leumi USD בנק לאומי לישראל בע"מ</t>
  </si>
  <si>
    <t>יורו  BNY Bny Mellon</t>
  </si>
  <si>
    <t>Margin FW  JPM USD JPM</t>
  </si>
  <si>
    <t>Margin FW  JPM ILS JPM</t>
  </si>
  <si>
    <t>*בעל עניין/צד קשור</t>
  </si>
  <si>
    <t>סה"כ יתרות התחייבות להשקעה</t>
  </si>
  <si>
    <t>מסגרת משכנתא תמר משולב עד 25% מניות</t>
  </si>
  <si>
    <t>Forest Growth Fund Commitment</t>
  </si>
  <si>
    <t>2059</t>
  </si>
  <si>
    <t>Fortissimo Capital Fund I Commitment</t>
  </si>
  <si>
    <t>2020</t>
  </si>
  <si>
    <t>Israel Infrastructure Fund Commitment</t>
  </si>
  <si>
    <t>מסגרת מתקן התפלה חדרה דולר 2012</t>
  </si>
  <si>
    <t>2036</t>
  </si>
  <si>
    <t>KCPS Investment Fund Commitment</t>
  </si>
  <si>
    <t>Origo Manof Fund Commitment</t>
  </si>
  <si>
    <t>מסגרת רד דיזיין</t>
  </si>
  <si>
    <t>מסגרת קרן לעסקים קטנים</t>
  </si>
  <si>
    <t>מסגרת לויתן</t>
  </si>
  <si>
    <t>מסגרת מתקן התפלה חדרה יורו</t>
  </si>
  <si>
    <t>FIMI Opportunity II Commitment</t>
  </si>
  <si>
    <t>FIMI Opportunity IV Commitment</t>
  </si>
  <si>
    <t>Infinity I-China Commitment</t>
  </si>
  <si>
    <t>Genesis Partners IV Commitment</t>
  </si>
  <si>
    <t>Sky II Commitment</t>
  </si>
  <si>
    <t>NOY Infrastructure and Energy Investment Fund Comm</t>
  </si>
  <si>
    <t>2021</t>
  </si>
  <si>
    <t>Vintage Investment Partners V Commitment</t>
  </si>
  <si>
    <t>FIMI Opportunity V Commitment</t>
  </si>
  <si>
    <t>2022</t>
  </si>
  <si>
    <t>Klirmark Opportunity Fund II Commitment</t>
  </si>
  <si>
    <t>מסגרת כביש 16 טווח קצר</t>
  </si>
  <si>
    <t>מסגרת כביש 16 סטנד ביי</t>
  </si>
  <si>
    <t>מסגרת קרית התקשוב</t>
  </si>
  <si>
    <t>2024</t>
  </si>
  <si>
    <t>מסגרת סאנלייט 2 בית השיטה</t>
  </si>
  <si>
    <t>מסגרת סאנלייט 2 בית שיקמה</t>
  </si>
  <si>
    <t>מסגרת כפר בלום - משקי קיבוצים</t>
  </si>
  <si>
    <t>מסגרת משקי קיבוצים - מסילות</t>
  </si>
  <si>
    <t>Apollo Investment Fund VII Commitment</t>
  </si>
  <si>
    <t>Silver Lake Partners III Commitment</t>
  </si>
  <si>
    <t>EdR Real Estate (Eastern Europe) S.C.A. SICAR Comm</t>
  </si>
  <si>
    <t>Apollo European Principal Finance Fund Commitment</t>
  </si>
  <si>
    <t>Credit Suisse Emerging Market Credit Opportunity C</t>
  </si>
  <si>
    <t>Brack Capital Real Estate (India-China) Fund Commi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</si>
  <si>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</si>
  <si>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</si>
  <si>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</si>
  <si>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</si>
  <si>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</si>
  <si>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Apollo European Principal Finance Fund II Commitme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</si>
  <si>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</si>
  <si>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</si>
  <si>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</si>
  <si>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</si>
  <si>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Starwood Opportunity Fund VIII Commitment</t>
  </si>
  <si>
    <t>Commitment RevolverCap Partners Fund</t>
  </si>
  <si>
    <t>2026</t>
  </si>
  <si>
    <t>Castlelake IV Commitment</t>
  </si>
  <si>
    <t>Hamilton Lane Secondary Fund IV Commitment</t>
  </si>
  <si>
    <t>Dover Street IX Commitment</t>
  </si>
  <si>
    <t>HarbourVest Partners Co-investment Fund IV Commitm</t>
  </si>
  <si>
    <t>Castlelake V Commitment</t>
  </si>
  <si>
    <t>Silver Lake SPV-1 Commitment</t>
  </si>
  <si>
    <t>2027</t>
  </si>
  <si>
    <t>Mdison Realty Capital  Fund IV Commitment</t>
  </si>
  <si>
    <t>2025</t>
  </si>
  <si>
    <t>Commitment Torchlight Debt Opportunity Fund VI</t>
  </si>
  <si>
    <t>2029</t>
  </si>
  <si>
    <t>Commitment  Blackstone Real Estate Partners IX</t>
  </si>
  <si>
    <t>Commitment  Dover Street X</t>
  </si>
  <si>
    <t>2030</t>
  </si>
  <si>
    <t>מסגרת יוסטון</t>
  </si>
  <si>
    <t>מסגרת 1440 broadway owner (ny) llc</t>
  </si>
  <si>
    <t>מסגרת Southfield</t>
  </si>
  <si>
    <t>Goldstreert 260 מסגרת</t>
  </si>
  <si>
    <t>השכרה</t>
  </si>
  <si>
    <t>עמית 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</si>
</sst>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3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1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0" fontId="1" fillId="2" borderId="32" xfId="3" applyNumberFormat="1" applyFill="1" applyBorder="1" applyAlignment="1">
      <alignment horizontal="center"/>
    </xf>
    <xf numFmtId="4" fontId="5" fillId="0" borderId="8" xfId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4" fontId="5" fillId="0" borderId="1" xfId="1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14" fontId="1" fillId="2" borderId="32" xfId="3" applyNumberFormat="1" applyFont="1" applyFill="1" applyBorder="1" applyAlignment="1">
      <alignment horizontal="center"/>
    </xf>
    <xf numFmtId="10" fontId="1" fillId="2" borderId="32" xfId="3" applyNumberFormat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51"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tabSelected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153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238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5" t="s">
        <v>51</v>
      </c>
      <c r="C6" s="226"/>
      <c r="D6" s="227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/>
      <c r="C7" s="60" t="s">
        <v>29</v>
      </c>
      <c r="D7" s="60" t="s">
        <v>72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/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49</v>
      </c>
      <c r="D9" s="51" t="s">
        <v>50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99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43</v>
      </c>
      <c r="C11" s="135">
        <v>529147.52889182908</v>
      </c>
      <c r="D11" s="49">
        <v>4.4810612541990459E-2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45</v>
      </c>
      <c r="C12" s="135">
        <v>9009207.5157279503</v>
      </c>
      <c r="D12" s="49">
        <v>0.76294055108438685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5">
        <v>3924247.9202312999</v>
      </c>
      <c r="D13" s="49">
        <v>0.33232311117556851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18</v>
      </c>
      <c r="C14" s="135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20</v>
      </c>
      <c r="C15" s="135">
        <v>2560999.7791588665</v>
      </c>
      <c r="D15" s="49">
        <v>0.21687707597226799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21</v>
      </c>
      <c r="C16" s="135">
        <v>1153192.466710516</v>
      </c>
      <c r="D16" s="49">
        <v>9.7657568051632851E-2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220</v>
      </c>
      <c r="C17" s="135">
        <v>869157.42251989048</v>
      </c>
      <c r="D17" s="49">
        <v>7.3604192350855205E-2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44</v>
      </c>
      <c r="C18" s="135">
        <v>464276.48490980826</v>
      </c>
      <c r="D18" s="49">
        <v>3.9317038333752961E-2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23</v>
      </c>
      <c r="C19" s="135">
        <v>2.0000000000000002E-7</v>
      </c>
      <c r="D19" s="49">
        <v>1.693690704210049E-14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24</v>
      </c>
      <c r="C20" s="135">
        <v>4806.59224702748</v>
      </c>
      <c r="D20" s="49">
        <v>4.0704403038592665E-4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25</v>
      </c>
      <c r="C21" s="135">
        <v>8013.5109881614817</v>
      </c>
      <c r="D21" s="49">
        <v>6.7862045343670919E-4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26</v>
      </c>
      <c r="C22" s="135">
        <v>24513.338962180362</v>
      </c>
      <c r="D22" s="49">
        <v>2.0759007164697441E-3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46</v>
      </c>
      <c r="C23" s="135">
        <v>977396.8725934542</v>
      </c>
      <c r="D23" s="49">
        <v>8.2770399871775341E-2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5">
        <v>6.9999999999999997E-7</v>
      </c>
      <c r="D24" s="49">
        <v>5.9279174647351702E-14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18</v>
      </c>
      <c r="C25" s="135">
        <v>22.8322002677284</v>
      </c>
      <c r="D25" s="49">
        <v>1.9335342675056889E-6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20</v>
      </c>
      <c r="C26" s="135">
        <v>380343.54138746165</v>
      </c>
      <c r="D26" s="49">
        <v>3.2209216022713691E-2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21</v>
      </c>
      <c r="C27" s="135">
        <v>91624.600280300001</v>
      </c>
      <c r="D27" s="49">
        <v>7.7591866885852769E-3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30</v>
      </c>
      <c r="C28" s="135">
        <v>462701.76042080001</v>
      </c>
      <c r="D28" s="49">
        <v>3.9183683522316701E-2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31</v>
      </c>
      <c r="C29" s="135">
        <v>897.32475186929946</v>
      </c>
      <c r="D29" s="49">
        <v>7.5989529544931051E-5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32</v>
      </c>
      <c r="C30" s="135">
        <v>9.9999999999999995E-7</v>
      </c>
      <c r="D30" s="49">
        <v>8.468453521050243E-14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33</v>
      </c>
      <c r="C31" s="135">
        <v>39862.042399855476</v>
      </c>
      <c r="D31" s="49">
        <v>3.3756985331731023E-3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34</v>
      </c>
      <c r="C32" s="135">
        <v>1944.7711512000001</v>
      </c>
      <c r="D32" s="49">
        <v>1.6469204103016576E-4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35</v>
      </c>
      <c r="C33" s="135">
        <v>1131248.8329781033</v>
      </c>
      <c r="D33" s="49">
        <v>9.5799281628173985E-2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37</v>
      </c>
      <c r="C34" s="135">
        <v>50070.843420600002</v>
      </c>
      <c r="D34" s="49">
        <v>4.2402261026713555E-3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47</v>
      </c>
      <c r="C35" s="135">
        <v>82560.838370400015</v>
      </c>
      <c r="D35" s="49">
        <v>6.9916262239867405E-3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86</v>
      </c>
      <c r="C36" s="135">
        <v>2.0000000000000002E-7</v>
      </c>
      <c r="D36" s="49">
        <v>1.693690704210049E-14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87</v>
      </c>
      <c r="C37" s="135">
        <v>28899.049170133938</v>
      </c>
      <c r="D37" s="49">
        <v>2.4473025469982489E-3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95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96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97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98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48</v>
      </c>
      <c r="C42" s="69">
        <v>11808531.481152672</v>
      </c>
      <c r="D42" s="62">
        <v>1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94</v>
      </c>
      <c r="C43" s="135">
        <v>323680.27445761004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49</v>
      </c>
      <c r="D47" s="51" t="s">
        <v>50</v>
      </c>
      <c r="E47" s="53"/>
      <c r="F47" s="151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127</v>
      </c>
      <c r="D48" s="50">
        <v>3.456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128</v>
      </c>
      <c r="D49" s="50">
        <v>3.8782000000000001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4.5597000000000003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134</v>
      </c>
      <c r="D51" s="50">
        <v>2.6535000000000002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2.4230999999999998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65</v>
      </c>
      <c r="D53" s="50">
        <v>0.44379999999999997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129</v>
      </c>
      <c r="D54" s="50">
        <v>2.3329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92</v>
      </c>
      <c r="D55" s="115">
        <v>0.51910000000000001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135</v>
      </c>
      <c r="D56" s="115">
        <v>0.3715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318</v>
      </c>
      <c r="D57" s="50">
        <v>3.1846999999999999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133</v>
      </c>
      <c r="D58" s="115">
        <v>0.1827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91</v>
      </c>
      <c r="D59" s="115">
        <v>3.5750000000000002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93</v>
      </c>
      <c r="D60" s="115">
        <v>0.49619999999999997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130</v>
      </c>
      <c r="D61" s="115">
        <v>0.8609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132</v>
      </c>
      <c r="D62" s="115">
        <v>0.15279999999999999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212</v>
      </c>
      <c r="D63" s="115">
        <v>0.39319999999999999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211</v>
      </c>
      <c r="D64" s="115">
        <v>0.45889999999999997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213</v>
      </c>
      <c r="D65" s="115">
        <v>0.91269999999999996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214</v>
      </c>
      <c r="D66" s="115">
        <v>4.8460000000000003E-2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215</v>
      </c>
      <c r="D67" s="115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216</v>
      </c>
      <c r="D68" s="115">
        <v>5.5599999999999997E-2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217</v>
      </c>
      <c r="D69" s="115">
        <v>2.99E-3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218</v>
      </c>
      <c r="D70" s="115">
        <v>6.8150000000000002E-2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46" priority="21" stopIfTrue="1">
      <formula>$G10&gt;0</formula>
    </cfRule>
    <cfRule type="expression" dxfId="145" priority="22" stopIfTrue="1">
      <formula>LEFT(#REF!,3)="TIR"</formula>
    </cfRule>
  </conditionalFormatting>
  <conditionalFormatting sqref="A11:A24">
    <cfRule type="expression" dxfId="144" priority="23" stopIfTrue="1">
      <formula>$F11&gt;0</formula>
    </cfRule>
    <cfRule type="expression" dxfId="143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  <hyperlink ref="B17" location="'קרנות סל'!A1" display="5. קרנות סל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69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56" style="13" bestFit="1" customWidth="1"/>
    <col min="3" max="3" width="12.7109375" style="12" bestFit="1" customWidth="1"/>
    <col min="4" max="4" width="7.140625" style="12" bestFit="1" customWidth="1"/>
    <col min="5" max="5" width="5.85546875" style="12" bestFit="1" customWidth="1"/>
    <col min="6" max="6" width="10.140625" style="93" bestFit="1" customWidth="1"/>
    <col min="7" max="7" width="11.42578125" style="45" bestFit="1" customWidth="1"/>
    <col min="8" max="8" width="8.7109375" style="95" bestFit="1" customWidth="1"/>
    <col min="9" max="9" width="8.7109375" style="97" bestFit="1" customWidth="1"/>
    <col min="10" max="10" width="12.140625" style="95" bestFit="1" customWidth="1"/>
    <col min="11" max="11" width="14.5703125" style="16" bestFit="1" customWidth="1"/>
    <col min="12" max="12" width="11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223</v>
      </c>
      <c r="C2" s="12" t="s">
        <v>153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226</v>
      </c>
      <c r="C4" s="12" t="s">
        <v>234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28" t="s">
        <v>4</v>
      </c>
      <c r="C7" s="229"/>
      <c r="D7" s="229"/>
      <c r="E7" s="229"/>
      <c r="F7" s="229"/>
      <c r="G7" s="229"/>
      <c r="H7" s="229"/>
      <c r="I7" s="229"/>
      <c r="J7" s="229"/>
      <c r="K7" s="229"/>
      <c r="L7" s="230"/>
    </row>
    <row r="8" spans="1:12" s="10" customFormat="1" ht="25.5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6</v>
      </c>
      <c r="H8" s="5" t="s">
        <v>66</v>
      </c>
      <c r="I8" s="5" t="s">
        <v>71</v>
      </c>
      <c r="J8" s="5" t="s">
        <v>7</v>
      </c>
      <c r="K8" s="38" t="s">
        <v>75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60" customFormat="1" ht="12.75" customHeight="1" thickBot="1" x14ac:dyDescent="0.25">
      <c r="B11" s="108" t="s">
        <v>78</v>
      </c>
      <c r="C11" s="161"/>
      <c r="D11" s="161"/>
      <c r="E11" s="161"/>
      <c r="F11" s="161"/>
      <c r="G11" s="161"/>
      <c r="H11" s="161"/>
      <c r="I11" s="161"/>
      <c r="J11" s="119">
        <v>529147.52889182908</v>
      </c>
      <c r="K11" s="113">
        <v>1</v>
      </c>
      <c r="L11" s="92">
        <v>4.4810612541990459E-2</v>
      </c>
    </row>
    <row r="12" spans="1:12" s="160" customFormat="1" x14ac:dyDescent="0.2">
      <c r="B12" s="162" t="s">
        <v>237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3" t="s">
        <v>238</v>
      </c>
      <c r="I12" s="163" t="s">
        <v>238</v>
      </c>
      <c r="J12" s="165">
        <v>501639.99549362937</v>
      </c>
      <c r="K12" s="163">
        <v>0.94801537965072313</v>
      </c>
      <c r="L12" s="163">
        <v>4.2481149861376542E-2</v>
      </c>
    </row>
    <row r="13" spans="1:12" s="160" customFormat="1" x14ac:dyDescent="0.2">
      <c r="B13" s="166" t="s">
        <v>239</v>
      </c>
      <c r="C13" s="167" t="s">
        <v>238</v>
      </c>
      <c r="D13" s="167" t="s">
        <v>238</v>
      </c>
      <c r="E13" s="164" t="s">
        <v>238</v>
      </c>
      <c r="F13" s="168" t="s">
        <v>238</v>
      </c>
      <c r="G13" s="168" t="s">
        <v>238</v>
      </c>
      <c r="H13" s="167" t="s">
        <v>238</v>
      </c>
      <c r="I13" s="167" t="s">
        <v>238</v>
      </c>
      <c r="J13" s="169">
        <v>434840.17926587514</v>
      </c>
      <c r="K13" s="163">
        <v>0.82177494086865011</v>
      </c>
      <c r="L13" s="163">
        <v>3.6824238471982199E-2</v>
      </c>
    </row>
    <row r="14" spans="1:12" x14ac:dyDescent="0.2">
      <c r="B14" s="72" t="s">
        <v>3817</v>
      </c>
      <c r="C14" s="32" t="s">
        <v>247</v>
      </c>
      <c r="D14" s="32" t="s">
        <v>248</v>
      </c>
      <c r="E14" s="100" t="s">
        <v>242</v>
      </c>
      <c r="F14" s="94" t="s">
        <v>243</v>
      </c>
      <c r="G14" s="94" t="s">
        <v>244</v>
      </c>
      <c r="H14" s="32">
        <v>0</v>
      </c>
      <c r="I14" s="32">
        <v>0</v>
      </c>
      <c r="J14" s="124">
        <v>2151.5376299999998</v>
      </c>
      <c r="K14" s="41">
        <v>4.0660449355321999E-3</v>
      </c>
      <c r="L14" s="41">
        <v>1.8220196418445596E-4</v>
      </c>
    </row>
    <row r="15" spans="1:12" x14ac:dyDescent="0.2">
      <c r="B15" s="72" t="s">
        <v>3853</v>
      </c>
      <c r="C15" s="32" t="s">
        <v>256</v>
      </c>
      <c r="D15" s="32" t="s">
        <v>248</v>
      </c>
      <c r="E15" s="100" t="s">
        <v>242</v>
      </c>
      <c r="F15" s="94" t="s">
        <v>243</v>
      </c>
      <c r="G15" s="94" t="s">
        <v>244</v>
      </c>
      <c r="H15" s="32">
        <v>0</v>
      </c>
      <c r="I15" s="32">
        <v>0</v>
      </c>
      <c r="J15" s="124">
        <v>-1722.01873</v>
      </c>
      <c r="K15" s="41">
        <v>-3.2543263191767138E-3</v>
      </c>
      <c r="L15" s="41">
        <v>-1.4582835577382969E-4</v>
      </c>
    </row>
    <row r="16" spans="1:12" x14ac:dyDescent="0.2">
      <c r="B16" s="72" t="s">
        <v>3817</v>
      </c>
      <c r="C16" s="32" t="s">
        <v>264</v>
      </c>
      <c r="D16" s="32" t="s">
        <v>248</v>
      </c>
      <c r="E16" s="100" t="s">
        <v>242</v>
      </c>
      <c r="F16" s="94" t="s">
        <v>243</v>
      </c>
      <c r="G16" s="94" t="s">
        <v>244</v>
      </c>
      <c r="H16" s="32">
        <v>0</v>
      </c>
      <c r="I16" s="32">
        <v>0</v>
      </c>
      <c r="J16" s="124">
        <v>56261.49762722382</v>
      </c>
      <c r="K16" s="41">
        <v>0.10632478572667599</v>
      </c>
      <c r="L16" s="41">
        <v>4.7644787768082349E-3</v>
      </c>
    </row>
    <row r="17" spans="2:12" x14ac:dyDescent="0.2">
      <c r="B17" s="72" t="s">
        <v>3817</v>
      </c>
      <c r="C17" s="32" t="s">
        <v>291</v>
      </c>
      <c r="D17" s="32" t="s">
        <v>248</v>
      </c>
      <c r="E17" s="100" t="s">
        <v>242</v>
      </c>
      <c r="F17" s="94" t="s">
        <v>243</v>
      </c>
      <c r="G17" s="94" t="s">
        <v>244</v>
      </c>
      <c r="H17" s="32">
        <v>0</v>
      </c>
      <c r="I17" s="32">
        <v>0</v>
      </c>
      <c r="J17" s="124">
        <v>6.1830219016335329E-3</v>
      </c>
      <c r="K17" s="41">
        <v>1.1684873431389485E-8</v>
      </c>
      <c r="L17" s="41">
        <v>5.236063359361927E-10</v>
      </c>
    </row>
    <row r="18" spans="2:12" x14ac:dyDescent="0.2">
      <c r="B18" s="72" t="s">
        <v>3820</v>
      </c>
      <c r="C18" s="32" t="s">
        <v>249</v>
      </c>
      <c r="D18" s="32" t="s">
        <v>236</v>
      </c>
      <c r="E18" s="100" t="s">
        <v>242</v>
      </c>
      <c r="F18" s="94" t="s">
        <v>243</v>
      </c>
      <c r="G18" s="94" t="s">
        <v>244</v>
      </c>
      <c r="H18" s="32">
        <v>0</v>
      </c>
      <c r="I18" s="32">
        <v>0</v>
      </c>
      <c r="J18" s="124">
        <v>161967.85140000001</v>
      </c>
      <c r="K18" s="41">
        <v>0.30609204911001348</v>
      </c>
      <c r="L18" s="41">
        <v>1.3716172214852728E-2</v>
      </c>
    </row>
    <row r="19" spans="2:12" x14ac:dyDescent="0.2">
      <c r="B19" s="72" t="s">
        <v>3807</v>
      </c>
      <c r="C19" s="32" t="s">
        <v>257</v>
      </c>
      <c r="D19" s="32" t="s">
        <v>236</v>
      </c>
      <c r="E19" s="100" t="s">
        <v>242</v>
      </c>
      <c r="F19" s="94" t="s">
        <v>243</v>
      </c>
      <c r="G19" s="94" t="s">
        <v>244</v>
      </c>
      <c r="H19" s="32">
        <v>0</v>
      </c>
      <c r="I19" s="32">
        <v>0</v>
      </c>
      <c r="J19" s="124">
        <v>3.1179999999999999E-2</v>
      </c>
      <c r="K19" s="41">
        <v>5.8924965718537763E-8</v>
      </c>
      <c r="L19" s="41">
        <v>2.6404638078634661E-9</v>
      </c>
    </row>
    <row r="20" spans="2:12" x14ac:dyDescent="0.2">
      <c r="B20" s="72" t="s">
        <v>3807</v>
      </c>
      <c r="C20" s="32" t="s">
        <v>258</v>
      </c>
      <c r="D20" s="32" t="s">
        <v>236</v>
      </c>
      <c r="E20" s="100" t="s">
        <v>242</v>
      </c>
      <c r="F20" s="94" t="s">
        <v>243</v>
      </c>
      <c r="G20" s="94" t="s">
        <v>244</v>
      </c>
      <c r="H20" s="32">
        <v>0</v>
      </c>
      <c r="I20" s="32">
        <v>0</v>
      </c>
      <c r="J20" s="124">
        <v>23.788700000000002</v>
      </c>
      <c r="K20" s="41">
        <v>4.4956649518556108E-5</v>
      </c>
      <c r="L20" s="41">
        <v>2.0145350027620794E-6</v>
      </c>
    </row>
    <row r="21" spans="2:12" x14ac:dyDescent="0.2">
      <c r="B21" s="72" t="s">
        <v>260</v>
      </c>
      <c r="C21" s="32" t="s">
        <v>261</v>
      </c>
      <c r="D21" s="32" t="s">
        <v>236</v>
      </c>
      <c r="E21" s="100" t="s">
        <v>242</v>
      </c>
      <c r="F21" s="94" t="s">
        <v>243</v>
      </c>
      <c r="G21" s="94" t="s">
        <v>244</v>
      </c>
      <c r="H21" s="32">
        <v>0</v>
      </c>
      <c r="I21" s="32">
        <v>0</v>
      </c>
      <c r="J21" s="124">
        <v>1908.6063100000001</v>
      </c>
      <c r="K21" s="41">
        <v>3.606945522351984E-3</v>
      </c>
      <c r="L21" s="41">
        <v>1.6162943826218215E-4</v>
      </c>
    </row>
    <row r="22" spans="2:12" x14ac:dyDescent="0.2">
      <c r="B22" s="72" t="s">
        <v>3820</v>
      </c>
      <c r="C22" s="32" t="s">
        <v>263</v>
      </c>
      <c r="D22" s="32" t="s">
        <v>236</v>
      </c>
      <c r="E22" s="100" t="s">
        <v>242</v>
      </c>
      <c r="F22" s="94" t="s">
        <v>243</v>
      </c>
      <c r="G22" s="94" t="s">
        <v>244</v>
      </c>
      <c r="H22" s="32">
        <v>0</v>
      </c>
      <c r="I22" s="32">
        <v>0</v>
      </c>
      <c r="J22" s="124">
        <v>30276.24152</v>
      </c>
      <c r="K22" s="41">
        <v>5.7217013908023404E-2</v>
      </c>
      <c r="L22" s="41">
        <v>2.563929441042116E-3</v>
      </c>
    </row>
    <row r="23" spans="2:12" x14ac:dyDescent="0.2">
      <c r="B23" s="72" t="s">
        <v>3820</v>
      </c>
      <c r="C23" s="32" t="s">
        <v>266</v>
      </c>
      <c r="D23" s="32" t="s">
        <v>236</v>
      </c>
      <c r="E23" s="100" t="s">
        <v>242</v>
      </c>
      <c r="F23" s="94" t="s">
        <v>243</v>
      </c>
      <c r="G23" s="94" t="s">
        <v>244</v>
      </c>
      <c r="H23" s="32">
        <v>0</v>
      </c>
      <c r="I23" s="32">
        <v>0</v>
      </c>
      <c r="J23" s="124">
        <v>58553.327487739632</v>
      </c>
      <c r="K23" s="41">
        <v>0.1106559594265995</v>
      </c>
      <c r="L23" s="41">
        <v>4.9585613233275672E-3</v>
      </c>
    </row>
    <row r="24" spans="2:12" x14ac:dyDescent="0.2">
      <c r="B24" s="72" t="s">
        <v>3820</v>
      </c>
      <c r="C24" s="32" t="s">
        <v>271</v>
      </c>
      <c r="D24" s="32" t="s">
        <v>236</v>
      </c>
      <c r="E24" s="100" t="s">
        <v>242</v>
      </c>
      <c r="F24" s="94" t="s">
        <v>243</v>
      </c>
      <c r="G24" s="94" t="s">
        <v>244</v>
      </c>
      <c r="H24" s="32">
        <v>0</v>
      </c>
      <c r="I24" s="32">
        <v>0</v>
      </c>
      <c r="J24" s="124">
        <v>0.75804684456079807</v>
      </c>
      <c r="K24" s="41">
        <v>1.4325812805898252E-6</v>
      </c>
      <c r="L24" s="41">
        <v>6.4194844699419169E-8</v>
      </c>
    </row>
    <row r="25" spans="2:12" x14ac:dyDescent="0.2">
      <c r="B25" s="72" t="s">
        <v>3820</v>
      </c>
      <c r="C25" s="32" t="s">
        <v>272</v>
      </c>
      <c r="D25" s="32" t="s">
        <v>236</v>
      </c>
      <c r="E25" s="100" t="s">
        <v>242</v>
      </c>
      <c r="F25" s="94" t="s">
        <v>243</v>
      </c>
      <c r="G25" s="94" t="s">
        <v>244</v>
      </c>
      <c r="H25" s="32">
        <v>0</v>
      </c>
      <c r="I25" s="32">
        <v>0</v>
      </c>
      <c r="J25" s="124">
        <v>1.1576348150847282</v>
      </c>
      <c r="K25" s="41">
        <v>2.1877354648317323E-6</v>
      </c>
      <c r="L25" s="41">
        <v>9.8033766258946152E-8</v>
      </c>
    </row>
    <row r="26" spans="2:12" x14ac:dyDescent="0.2">
      <c r="B26" s="72" t="s">
        <v>3829</v>
      </c>
      <c r="C26" s="32" t="s">
        <v>279</v>
      </c>
      <c r="D26" s="32" t="s">
        <v>236</v>
      </c>
      <c r="E26" s="100" t="s">
        <v>242</v>
      </c>
      <c r="F26" s="94" t="s">
        <v>243</v>
      </c>
      <c r="G26" s="94" t="s">
        <v>244</v>
      </c>
      <c r="H26" s="32">
        <v>0</v>
      </c>
      <c r="I26" s="32">
        <v>0</v>
      </c>
      <c r="J26" s="124">
        <v>6.958564096234529E-4</v>
      </c>
      <c r="K26" s="41">
        <v>1.3150517986557644E-9</v>
      </c>
      <c r="L26" s="41">
        <v>5.8928276622211109E-11</v>
      </c>
    </row>
    <row r="27" spans="2:12" x14ac:dyDescent="0.2">
      <c r="B27" s="72" t="s">
        <v>3829</v>
      </c>
      <c r="C27" s="32" t="s">
        <v>280</v>
      </c>
      <c r="D27" s="32" t="s">
        <v>236</v>
      </c>
      <c r="E27" s="100" t="s">
        <v>242</v>
      </c>
      <c r="F27" s="94" t="s">
        <v>243</v>
      </c>
      <c r="G27" s="94" t="s">
        <v>244</v>
      </c>
      <c r="H27" s="32">
        <v>0</v>
      </c>
      <c r="I27" s="32">
        <v>0</v>
      </c>
      <c r="J27" s="124">
        <v>8.4471740385479666E-2</v>
      </c>
      <c r="K27" s="41">
        <v>1.5963740880050068E-7</v>
      </c>
      <c r="L27" s="41">
        <v>7.1534500729665737E-9</v>
      </c>
    </row>
    <row r="28" spans="2:12" x14ac:dyDescent="0.2">
      <c r="B28" s="72" t="s">
        <v>3830</v>
      </c>
      <c r="C28" s="32" t="s">
        <v>282</v>
      </c>
      <c r="D28" s="32" t="s">
        <v>236</v>
      </c>
      <c r="E28" s="100" t="s">
        <v>242</v>
      </c>
      <c r="F28" s="94" t="s">
        <v>243</v>
      </c>
      <c r="G28" s="94" t="s">
        <v>244</v>
      </c>
      <c r="H28" s="32">
        <v>0</v>
      </c>
      <c r="I28" s="32">
        <v>0</v>
      </c>
      <c r="J28" s="124">
        <v>28.893891161796819</v>
      </c>
      <c r="K28" s="41">
        <v>5.4604603790379695E-5</v>
      </c>
      <c r="L28" s="41">
        <v>2.4468657434596079E-6</v>
      </c>
    </row>
    <row r="29" spans="2:12" x14ac:dyDescent="0.2">
      <c r="B29" s="72" t="s">
        <v>3830</v>
      </c>
      <c r="C29" s="32" t="s">
        <v>283</v>
      </c>
      <c r="D29" s="32" t="s">
        <v>236</v>
      </c>
      <c r="E29" s="100" t="s">
        <v>242</v>
      </c>
      <c r="F29" s="94" t="s">
        <v>243</v>
      </c>
      <c r="G29" s="94" t="s">
        <v>244</v>
      </c>
      <c r="H29" s="32">
        <v>0</v>
      </c>
      <c r="I29" s="32">
        <v>0</v>
      </c>
      <c r="J29" s="124">
        <v>7.1921710915576771</v>
      </c>
      <c r="K29" s="41">
        <v>1.3591995991401361E-5</v>
      </c>
      <c r="L29" s="41">
        <v>6.0906566604297389E-7</v>
      </c>
    </row>
    <row r="30" spans="2:12" x14ac:dyDescent="0.2">
      <c r="B30" s="72" t="s">
        <v>3831</v>
      </c>
      <c r="C30" s="32" t="s">
        <v>284</v>
      </c>
      <c r="D30" s="32" t="s">
        <v>236</v>
      </c>
      <c r="E30" s="100" t="s">
        <v>242</v>
      </c>
      <c r="F30" s="94" t="s">
        <v>243</v>
      </c>
      <c r="G30" s="94" t="s">
        <v>244</v>
      </c>
      <c r="H30" s="32">
        <v>0</v>
      </c>
      <c r="I30" s="32">
        <v>0</v>
      </c>
      <c r="J30" s="124">
        <v>4.3670319984066962E-3</v>
      </c>
      <c r="K30" s="41">
        <v>8.2529573700407962E-9</v>
      </c>
      <c r="L30" s="41">
        <v>3.6982007503446272E-10</v>
      </c>
    </row>
    <row r="31" spans="2:12" x14ac:dyDescent="0.2">
      <c r="B31" s="72" t="s">
        <v>3830</v>
      </c>
      <c r="C31" s="32" t="s">
        <v>287</v>
      </c>
      <c r="D31" s="32" t="s">
        <v>236</v>
      </c>
      <c r="E31" s="100" t="s">
        <v>242</v>
      </c>
      <c r="F31" s="94" t="s">
        <v>243</v>
      </c>
      <c r="G31" s="94" t="s">
        <v>244</v>
      </c>
      <c r="H31" s="32">
        <v>0</v>
      </c>
      <c r="I31" s="32">
        <v>0</v>
      </c>
      <c r="J31" s="124">
        <v>2.9835267222387265E-3</v>
      </c>
      <c r="K31" s="41">
        <v>5.6383646513232294E-9</v>
      </c>
      <c r="L31" s="41">
        <v>2.5265857376090034E-10</v>
      </c>
    </row>
    <row r="32" spans="2:12" x14ac:dyDescent="0.2">
      <c r="B32" s="72" t="s">
        <v>288</v>
      </c>
      <c r="C32" s="32" t="s">
        <v>289</v>
      </c>
      <c r="D32" s="32" t="s">
        <v>236</v>
      </c>
      <c r="E32" s="100" t="s">
        <v>242</v>
      </c>
      <c r="F32" s="94" t="s">
        <v>243</v>
      </c>
      <c r="G32" s="94" t="s">
        <v>244</v>
      </c>
      <c r="H32" s="32">
        <v>0</v>
      </c>
      <c r="I32" s="32">
        <v>0</v>
      </c>
      <c r="J32" s="124">
        <v>0.12497208961843222</v>
      </c>
      <c r="K32" s="41">
        <v>2.3617626993393676E-7</v>
      </c>
      <c r="L32" s="41">
        <v>1.0583203323622189E-8</v>
      </c>
    </row>
    <row r="33" spans="2:12" x14ac:dyDescent="0.2">
      <c r="B33" s="72" t="s">
        <v>3831</v>
      </c>
      <c r="C33" s="32" t="s">
        <v>290</v>
      </c>
      <c r="D33" s="32" t="s">
        <v>236</v>
      </c>
      <c r="E33" s="100" t="s">
        <v>242</v>
      </c>
      <c r="F33" s="94" t="s">
        <v>243</v>
      </c>
      <c r="G33" s="94" t="s">
        <v>244</v>
      </c>
      <c r="H33" s="32">
        <v>0</v>
      </c>
      <c r="I33" s="32">
        <v>0</v>
      </c>
      <c r="J33" s="124">
        <v>-5.8236120730986837E-4</v>
      </c>
      <c r="K33" s="41">
        <v>-1.1005649190680007E-9</v>
      </c>
      <c r="L33" s="41">
        <v>-4.9316988165663258E-11</v>
      </c>
    </row>
    <row r="34" spans="2:12" x14ac:dyDescent="0.2">
      <c r="B34" s="72" t="s">
        <v>3832</v>
      </c>
      <c r="C34" s="32" t="s">
        <v>240</v>
      </c>
      <c r="D34" s="32" t="s">
        <v>241</v>
      </c>
      <c r="E34" s="100" t="s">
        <v>242</v>
      </c>
      <c r="F34" s="94" t="s">
        <v>243</v>
      </c>
      <c r="G34" s="94" t="s">
        <v>244</v>
      </c>
      <c r="H34" s="32">
        <v>0</v>
      </c>
      <c r="I34" s="32">
        <v>0</v>
      </c>
      <c r="J34" s="124">
        <v>9989.2381600000008</v>
      </c>
      <c r="K34" s="41">
        <v>1.8877983198598756E-2</v>
      </c>
      <c r="L34" s="41">
        <v>8.4593399068661466E-4</v>
      </c>
    </row>
    <row r="35" spans="2:12" x14ac:dyDescent="0.2">
      <c r="B35" s="72" t="s">
        <v>3832</v>
      </c>
      <c r="C35" s="32" t="s">
        <v>245</v>
      </c>
      <c r="D35" s="32" t="s">
        <v>241</v>
      </c>
      <c r="E35" s="100" t="s">
        <v>242</v>
      </c>
      <c r="F35" s="94" t="s">
        <v>243</v>
      </c>
      <c r="G35" s="94" t="s">
        <v>244</v>
      </c>
      <c r="H35" s="32">
        <v>0</v>
      </c>
      <c r="I35" s="32">
        <v>0</v>
      </c>
      <c r="J35" s="124">
        <v>246.16557999999998</v>
      </c>
      <c r="K35" s="41">
        <v>4.6521162163514959E-4</v>
      </c>
      <c r="L35" s="41">
        <v>2.0846417727123752E-5</v>
      </c>
    </row>
    <row r="36" spans="2:12" x14ac:dyDescent="0.2">
      <c r="B36" s="72" t="s">
        <v>3832</v>
      </c>
      <c r="C36" s="32" t="s">
        <v>254</v>
      </c>
      <c r="D36" s="32" t="s">
        <v>241</v>
      </c>
      <c r="E36" s="100" t="s">
        <v>242</v>
      </c>
      <c r="F36" s="94" t="s">
        <v>243</v>
      </c>
      <c r="G36" s="94" t="s">
        <v>244</v>
      </c>
      <c r="H36" s="32">
        <v>0</v>
      </c>
      <c r="I36" s="32">
        <v>0</v>
      </c>
      <c r="J36" s="124">
        <v>77133.648829999991</v>
      </c>
      <c r="K36" s="41">
        <v>0.145769647628399</v>
      </c>
      <c r="L36" s="41">
        <v>6.5320272002586648E-3</v>
      </c>
    </row>
    <row r="37" spans="2:12" x14ac:dyDescent="0.2">
      <c r="B37" s="72" t="s">
        <v>3833</v>
      </c>
      <c r="C37" s="32" t="s">
        <v>255</v>
      </c>
      <c r="D37" s="32" t="s">
        <v>241</v>
      </c>
      <c r="E37" s="100" t="s">
        <v>242</v>
      </c>
      <c r="F37" s="94" t="s">
        <v>243</v>
      </c>
      <c r="G37" s="94" t="s">
        <v>244</v>
      </c>
      <c r="H37" s="32">
        <v>0</v>
      </c>
      <c r="I37" s="32">
        <v>0</v>
      </c>
      <c r="J37" s="124">
        <v>17058.600910000001</v>
      </c>
      <c r="K37" s="41">
        <v>3.2237892040666037E-2</v>
      </c>
      <c r="L37" s="41">
        <v>1.444599689404804E-3</v>
      </c>
    </row>
    <row r="38" spans="2:12" x14ac:dyDescent="0.2">
      <c r="B38" s="72" t="s">
        <v>3833</v>
      </c>
      <c r="C38" s="32" t="s">
        <v>259</v>
      </c>
      <c r="D38" s="32" t="s">
        <v>241</v>
      </c>
      <c r="E38" s="100" t="s">
        <v>242</v>
      </c>
      <c r="F38" s="94" t="s">
        <v>243</v>
      </c>
      <c r="G38" s="94" t="s">
        <v>244</v>
      </c>
      <c r="H38" s="32">
        <v>0</v>
      </c>
      <c r="I38" s="32">
        <v>0</v>
      </c>
      <c r="J38" s="124">
        <v>-2160.1386200000002</v>
      </c>
      <c r="K38" s="41">
        <v>-4.0822993627578413E-3</v>
      </c>
      <c r="L38" s="41">
        <v>-1.8293033502495617E-4</v>
      </c>
    </row>
    <row r="39" spans="2:12" x14ac:dyDescent="0.2">
      <c r="B39" s="72" t="s">
        <v>3833</v>
      </c>
      <c r="C39" s="32" t="s">
        <v>262</v>
      </c>
      <c r="D39" s="32" t="s">
        <v>241</v>
      </c>
      <c r="E39" s="100" t="s">
        <v>242</v>
      </c>
      <c r="F39" s="94" t="s">
        <v>243</v>
      </c>
      <c r="G39" s="94" t="s">
        <v>244</v>
      </c>
      <c r="H39" s="32">
        <v>0</v>
      </c>
      <c r="I39" s="32">
        <v>0</v>
      </c>
      <c r="J39" s="124">
        <v>-392.92753061978527</v>
      </c>
      <c r="K39" s="41">
        <v>-7.4256707093138367E-4</v>
      </c>
      <c r="L39" s="41">
        <v>-3.3274885301946979E-5</v>
      </c>
    </row>
    <row r="40" spans="2:12" x14ac:dyDescent="0.2">
      <c r="B40" s="72" t="s">
        <v>3832</v>
      </c>
      <c r="C40" s="32" t="s">
        <v>265</v>
      </c>
      <c r="D40" s="32" t="s">
        <v>241</v>
      </c>
      <c r="E40" s="100" t="s">
        <v>242</v>
      </c>
      <c r="F40" s="94" t="s">
        <v>243</v>
      </c>
      <c r="G40" s="94" t="s">
        <v>244</v>
      </c>
      <c r="H40" s="32">
        <v>0</v>
      </c>
      <c r="I40" s="32">
        <v>0</v>
      </c>
      <c r="J40" s="124">
        <v>15081.086255368999</v>
      </c>
      <c r="K40" s="41">
        <v>2.8500721314814924E-2</v>
      </c>
      <c r="L40" s="41">
        <v>1.2771347800054204E-3</v>
      </c>
    </row>
    <row r="41" spans="2:12" x14ac:dyDescent="0.2">
      <c r="B41" s="72" t="s">
        <v>3832</v>
      </c>
      <c r="C41" s="32" t="s">
        <v>267</v>
      </c>
      <c r="D41" s="32" t="s">
        <v>241</v>
      </c>
      <c r="E41" s="100" t="s">
        <v>242</v>
      </c>
      <c r="F41" s="94" t="s">
        <v>243</v>
      </c>
      <c r="G41" s="94" t="s">
        <v>244</v>
      </c>
      <c r="H41" s="32">
        <v>0</v>
      </c>
      <c r="I41" s="32">
        <v>0</v>
      </c>
      <c r="J41" s="124">
        <v>3768.7802914440595</v>
      </c>
      <c r="K41" s="41">
        <v>7.1223620742155861E-3</v>
      </c>
      <c r="L41" s="41">
        <v>3.1915740729144209E-4</v>
      </c>
    </row>
    <row r="42" spans="2:12" x14ac:dyDescent="0.2">
      <c r="B42" s="72" t="s">
        <v>3832</v>
      </c>
      <c r="C42" s="32" t="s">
        <v>268</v>
      </c>
      <c r="D42" s="32" t="s">
        <v>241</v>
      </c>
      <c r="E42" s="100" t="s">
        <v>242</v>
      </c>
      <c r="F42" s="94" t="s">
        <v>243</v>
      </c>
      <c r="G42" s="94" t="s">
        <v>244</v>
      </c>
      <c r="H42" s="32">
        <v>0</v>
      </c>
      <c r="I42" s="32">
        <v>0</v>
      </c>
      <c r="J42" s="124">
        <v>956.62844155113589</v>
      </c>
      <c r="K42" s="41">
        <v>1.8078671624047109E-3</v>
      </c>
      <c r="L42" s="41">
        <v>8.1011634941905247E-5</v>
      </c>
    </row>
    <row r="43" spans="2:12" x14ac:dyDescent="0.2">
      <c r="B43" s="72" t="s">
        <v>3832</v>
      </c>
      <c r="C43" s="32" t="s">
        <v>269</v>
      </c>
      <c r="D43" s="32" t="s">
        <v>241</v>
      </c>
      <c r="E43" s="100" t="s">
        <v>242</v>
      </c>
      <c r="F43" s="94" t="s">
        <v>243</v>
      </c>
      <c r="G43" s="94" t="s">
        <v>244</v>
      </c>
      <c r="H43" s="32">
        <v>0</v>
      </c>
      <c r="I43" s="32">
        <v>0</v>
      </c>
      <c r="J43" s="124">
        <v>1233.2008288949946</v>
      </c>
      <c r="K43" s="41">
        <v>2.3305425454364951E-3</v>
      </c>
      <c r="L43" s="41">
        <v>1.0443303901617897E-4</v>
      </c>
    </row>
    <row r="44" spans="2:12" x14ac:dyDescent="0.2">
      <c r="B44" s="72" t="s">
        <v>3832</v>
      </c>
      <c r="C44" s="32" t="s">
        <v>270</v>
      </c>
      <c r="D44" s="32" t="s">
        <v>241</v>
      </c>
      <c r="E44" s="100" t="s">
        <v>242</v>
      </c>
      <c r="F44" s="94" t="s">
        <v>243</v>
      </c>
      <c r="G44" s="94" t="s">
        <v>244</v>
      </c>
      <c r="H44" s="32">
        <v>0</v>
      </c>
      <c r="I44" s="32">
        <v>0</v>
      </c>
      <c r="J44" s="124">
        <v>1483.2034407545664</v>
      </c>
      <c r="K44" s="41">
        <v>2.803005513152023E-3</v>
      </c>
      <c r="L44" s="41">
        <v>1.2560439400291845E-4</v>
      </c>
    </row>
    <row r="45" spans="2:12" x14ac:dyDescent="0.2">
      <c r="B45" s="72" t="s">
        <v>3832</v>
      </c>
      <c r="C45" s="32" t="s">
        <v>273</v>
      </c>
      <c r="D45" s="32" t="s">
        <v>241</v>
      </c>
      <c r="E45" s="100" t="s">
        <v>242</v>
      </c>
      <c r="F45" s="94" t="s">
        <v>243</v>
      </c>
      <c r="G45" s="94" t="s">
        <v>244</v>
      </c>
      <c r="H45" s="32">
        <v>0</v>
      </c>
      <c r="I45" s="32">
        <v>0</v>
      </c>
      <c r="J45" s="124">
        <v>0.31963601208552483</v>
      </c>
      <c r="K45" s="41">
        <v>6.0405840457183052E-7</v>
      </c>
      <c r="L45" s="41">
        <v>2.706822712000121E-8</v>
      </c>
    </row>
    <row r="46" spans="2:12" x14ac:dyDescent="0.2">
      <c r="B46" s="72" t="s">
        <v>3832</v>
      </c>
      <c r="C46" s="32" t="s">
        <v>274</v>
      </c>
      <c r="D46" s="32" t="s">
        <v>241</v>
      </c>
      <c r="E46" s="100" t="s">
        <v>242</v>
      </c>
      <c r="F46" s="94" t="s">
        <v>243</v>
      </c>
      <c r="G46" s="94" t="s">
        <v>244</v>
      </c>
      <c r="H46" s="32">
        <v>0</v>
      </c>
      <c r="I46" s="32">
        <v>0</v>
      </c>
      <c r="J46" s="124">
        <v>248.66275017652146</v>
      </c>
      <c r="K46" s="41">
        <v>4.6993085406122026E-4</v>
      </c>
      <c r="L46" s="41">
        <v>2.1057889422864004E-5</v>
      </c>
    </row>
    <row r="47" spans="2:12" x14ac:dyDescent="0.2">
      <c r="B47" s="72" t="s">
        <v>3832</v>
      </c>
      <c r="C47" s="32" t="s">
        <v>275</v>
      </c>
      <c r="D47" s="32" t="s">
        <v>241</v>
      </c>
      <c r="E47" s="100" t="s">
        <v>242</v>
      </c>
      <c r="F47" s="94" t="s">
        <v>243</v>
      </c>
      <c r="G47" s="94" t="s">
        <v>244</v>
      </c>
      <c r="H47" s="32">
        <v>0</v>
      </c>
      <c r="I47" s="32">
        <v>0</v>
      </c>
      <c r="J47" s="124">
        <v>0.21588636112075901</v>
      </c>
      <c r="K47" s="41">
        <v>4.0798898101797912E-7</v>
      </c>
      <c r="L47" s="41">
        <v>1.8282236149798161E-8</v>
      </c>
    </row>
    <row r="48" spans="2:12" x14ac:dyDescent="0.2">
      <c r="B48" s="72" t="s">
        <v>3832</v>
      </c>
      <c r="C48" s="32" t="s">
        <v>276</v>
      </c>
      <c r="D48" s="32" t="s">
        <v>241</v>
      </c>
      <c r="E48" s="100" t="s">
        <v>242</v>
      </c>
      <c r="F48" s="94" t="s">
        <v>243</v>
      </c>
      <c r="G48" s="94" t="s">
        <v>244</v>
      </c>
      <c r="H48" s="32">
        <v>0</v>
      </c>
      <c r="I48" s="32">
        <v>0</v>
      </c>
      <c r="J48" s="124">
        <v>8.0358737864723903E-2</v>
      </c>
      <c r="K48" s="41">
        <v>1.518645244985189E-7</v>
      </c>
      <c r="L48" s="41">
        <v>6.8051423661767472E-9</v>
      </c>
    </row>
    <row r="49" spans="2:12" x14ac:dyDescent="0.2">
      <c r="B49" s="72" t="s">
        <v>3833</v>
      </c>
      <c r="C49" s="32" t="s">
        <v>277</v>
      </c>
      <c r="D49" s="32" t="s">
        <v>241</v>
      </c>
      <c r="E49" s="100" t="s">
        <v>242</v>
      </c>
      <c r="F49" s="94" t="s">
        <v>243</v>
      </c>
      <c r="G49" s="94" t="s">
        <v>244</v>
      </c>
      <c r="H49" s="32">
        <v>0</v>
      </c>
      <c r="I49" s="32">
        <v>0</v>
      </c>
      <c r="J49" s="124">
        <v>30.481988229686063</v>
      </c>
      <c r="K49" s="41">
        <v>5.7605840650003942E-5</v>
      </c>
      <c r="L49" s="41">
        <v>2.5813530055229705E-6</v>
      </c>
    </row>
    <row r="50" spans="2:12" x14ac:dyDescent="0.2">
      <c r="B50" s="72" t="s">
        <v>3833</v>
      </c>
      <c r="C50" s="32" t="s">
        <v>278</v>
      </c>
      <c r="D50" s="32" t="s">
        <v>241</v>
      </c>
      <c r="E50" s="100" t="s">
        <v>242</v>
      </c>
      <c r="F50" s="94" t="s">
        <v>243</v>
      </c>
      <c r="G50" s="94" t="s">
        <v>244</v>
      </c>
      <c r="H50" s="32">
        <v>0</v>
      </c>
      <c r="I50" s="32">
        <v>0</v>
      </c>
      <c r="J50" s="124">
        <v>151.93303171208819</v>
      </c>
      <c r="K50" s="41">
        <v>2.8712792447557111E-4</v>
      </c>
      <c r="L50" s="41">
        <v>1.2866378173660717E-5</v>
      </c>
    </row>
    <row r="51" spans="2:12" x14ac:dyDescent="0.2">
      <c r="B51" s="72" t="s">
        <v>3832</v>
      </c>
      <c r="C51" s="32" t="s">
        <v>285</v>
      </c>
      <c r="D51" s="32" t="s">
        <v>241</v>
      </c>
      <c r="E51" s="100" t="s">
        <v>242</v>
      </c>
      <c r="F51" s="94" t="s">
        <v>243</v>
      </c>
      <c r="G51" s="94" t="s">
        <v>244</v>
      </c>
      <c r="H51" s="32">
        <v>0</v>
      </c>
      <c r="I51" s="32">
        <v>0</v>
      </c>
      <c r="J51" s="124">
        <v>3.3302865860060926E-2</v>
      </c>
      <c r="K51" s="41">
        <v>6.2936825822102362E-8</v>
      </c>
      <c r="L51" s="41">
        <v>2.820237716536969E-9</v>
      </c>
    </row>
    <row r="52" spans="2:12" x14ac:dyDescent="0.2">
      <c r="B52" s="72" t="s">
        <v>3833</v>
      </c>
      <c r="C52" s="32" t="s">
        <v>286</v>
      </c>
      <c r="D52" s="32" t="s">
        <v>241</v>
      </c>
      <c r="E52" s="100" t="s">
        <v>242</v>
      </c>
      <c r="F52" s="94" t="s">
        <v>243</v>
      </c>
      <c r="G52" s="94" t="s">
        <v>244</v>
      </c>
      <c r="H52" s="32">
        <v>0</v>
      </c>
      <c r="I52" s="32">
        <v>0</v>
      </c>
      <c r="J52" s="124">
        <v>1.1718594024713944</v>
      </c>
      <c r="K52" s="41">
        <v>2.2146175470677696E-6</v>
      </c>
      <c r="L52" s="41">
        <v>9.9238368830347156E-8</v>
      </c>
    </row>
    <row r="53" spans="2:12" x14ac:dyDescent="0.2">
      <c r="B53" s="72" t="s">
        <v>3832</v>
      </c>
      <c r="C53" s="32" t="s">
        <v>293</v>
      </c>
      <c r="D53" s="32" t="s">
        <v>241</v>
      </c>
      <c r="E53" s="100" t="s">
        <v>242</v>
      </c>
      <c r="F53" s="94" t="s">
        <v>243</v>
      </c>
      <c r="G53" s="94" t="s">
        <v>244</v>
      </c>
      <c r="H53" s="32">
        <v>0</v>
      </c>
      <c r="I53" s="32">
        <v>0</v>
      </c>
      <c r="J53" s="124">
        <v>4.7043334292627241</v>
      </c>
      <c r="K53" s="41">
        <v>8.8904004505412839E-6</v>
      </c>
      <c r="L53" s="41">
        <v>3.9838428993234287E-7</v>
      </c>
    </row>
    <row r="54" spans="2:12" x14ac:dyDescent="0.2">
      <c r="B54" s="72" t="s">
        <v>3833</v>
      </c>
      <c r="C54" s="32" t="s">
        <v>294</v>
      </c>
      <c r="D54" s="32" t="s">
        <v>241</v>
      </c>
      <c r="E54" s="100" t="s">
        <v>242</v>
      </c>
      <c r="F54" s="94" t="s">
        <v>243</v>
      </c>
      <c r="G54" s="94" t="s">
        <v>244</v>
      </c>
      <c r="H54" s="32">
        <v>0</v>
      </c>
      <c r="I54" s="32">
        <v>0</v>
      </c>
      <c r="J54" s="124">
        <v>-0.92265472730658471</v>
      </c>
      <c r="K54" s="41">
        <v>-1.7436625457532815E-6</v>
      </c>
      <c r="L54" s="41">
        <v>-7.8134586741731001E-8</v>
      </c>
    </row>
    <row r="55" spans="2:12" x14ac:dyDescent="0.2">
      <c r="B55" s="72" t="s">
        <v>3818</v>
      </c>
      <c r="C55" s="32" t="s">
        <v>250</v>
      </c>
      <c r="D55" s="32" t="s">
        <v>251</v>
      </c>
      <c r="E55" s="100" t="s">
        <v>242</v>
      </c>
      <c r="F55" s="94" t="s">
        <v>243</v>
      </c>
      <c r="G55" s="94" t="s">
        <v>244</v>
      </c>
      <c r="H55" s="32">
        <v>0</v>
      </c>
      <c r="I55" s="32">
        <v>0</v>
      </c>
      <c r="J55" s="124">
        <v>492.33744999999999</v>
      </c>
      <c r="K55" s="41">
        <v>9.3043513031437785E-4</v>
      </c>
      <c r="L55" s="41">
        <v>4.1693368119973986E-5</v>
      </c>
    </row>
    <row r="56" spans="2:12" x14ac:dyDescent="0.2">
      <c r="B56" s="72" t="s">
        <v>3818</v>
      </c>
      <c r="C56" s="32" t="s">
        <v>281</v>
      </c>
      <c r="D56" s="32" t="s">
        <v>251</v>
      </c>
      <c r="E56" s="100" t="s">
        <v>242</v>
      </c>
      <c r="F56" s="94" t="s">
        <v>243</v>
      </c>
      <c r="G56" s="94" t="s">
        <v>244</v>
      </c>
      <c r="H56" s="32">
        <v>0</v>
      </c>
      <c r="I56" s="32">
        <v>0</v>
      </c>
      <c r="J56" s="124">
        <v>54.545649572893993</v>
      </c>
      <c r="K56" s="41">
        <v>1.030821209486258E-4</v>
      </c>
      <c r="L56" s="41">
        <v>4.6191729818354683E-6</v>
      </c>
    </row>
    <row r="57" spans="2:12" x14ac:dyDescent="0.2">
      <c r="B57" s="72" t="s">
        <v>3818</v>
      </c>
      <c r="C57" s="32" t="s">
        <v>297</v>
      </c>
      <c r="D57" s="32" t="s">
        <v>251</v>
      </c>
      <c r="E57" s="100" t="s">
        <v>242</v>
      </c>
      <c r="F57" s="94" t="s">
        <v>243</v>
      </c>
      <c r="G57" s="94" t="s">
        <v>244</v>
      </c>
      <c r="H57" s="32">
        <v>0</v>
      </c>
      <c r="I57" s="32">
        <v>0</v>
      </c>
      <c r="J57" s="124">
        <v>1.071677201612236E-2</v>
      </c>
      <c r="K57" s="41">
        <v>2.0252900053348134E-8</v>
      </c>
      <c r="L57" s="41">
        <v>9.0754485714224121E-10</v>
      </c>
    </row>
    <row r="58" spans="2:12" x14ac:dyDescent="0.2">
      <c r="B58" s="72" t="s">
        <v>3834</v>
      </c>
      <c r="C58" s="32" t="s">
        <v>295</v>
      </c>
      <c r="D58" s="32" t="s">
        <v>296</v>
      </c>
      <c r="E58" s="100" t="s">
        <v>242</v>
      </c>
      <c r="F58" s="94" t="s">
        <v>243</v>
      </c>
      <c r="G58" s="94" t="s">
        <v>244</v>
      </c>
      <c r="H58" s="32">
        <v>0</v>
      </c>
      <c r="I58" s="32">
        <v>0</v>
      </c>
      <c r="J58" s="124">
        <v>3.9864841671370457E-3</v>
      </c>
      <c r="K58" s="41">
        <v>7.5337858526633746E-9</v>
      </c>
      <c r="L58" s="41">
        <v>3.3759355881802762E-10</v>
      </c>
    </row>
    <row r="59" spans="2:12" x14ac:dyDescent="0.2">
      <c r="B59" s="72" t="s">
        <v>3854</v>
      </c>
      <c r="C59" s="32" t="s">
        <v>252</v>
      </c>
      <c r="D59" s="32" t="s">
        <v>235</v>
      </c>
      <c r="E59" s="100" t="s">
        <v>253</v>
      </c>
      <c r="F59" s="94" t="s">
        <v>243</v>
      </c>
      <c r="G59" s="94" t="s">
        <v>244</v>
      </c>
      <c r="H59" s="32">
        <v>0</v>
      </c>
      <c r="I59" s="32">
        <v>0</v>
      </c>
      <c r="J59" s="124">
        <v>2.231E-2</v>
      </c>
      <c r="K59" s="41">
        <v>4.2162154752423907E-8</v>
      </c>
      <c r="L59" s="41">
        <v>1.8893119805463095E-9</v>
      </c>
    </row>
    <row r="60" spans="2:12" x14ac:dyDescent="0.2">
      <c r="B60" s="72" t="s">
        <v>3855</v>
      </c>
      <c r="C60" s="32" t="s">
        <v>292</v>
      </c>
      <c r="D60" s="32" t="s">
        <v>235</v>
      </c>
      <c r="E60" s="100" t="s">
        <v>253</v>
      </c>
      <c r="F60" s="94" t="s">
        <v>243</v>
      </c>
      <c r="G60" s="94" t="s">
        <v>244</v>
      </c>
      <c r="H60" s="32">
        <v>0</v>
      </c>
      <c r="I60" s="32">
        <v>0</v>
      </c>
      <c r="J60" s="124">
        <v>4.1135701263848509E-3</v>
      </c>
      <c r="K60" s="41">
        <v>7.7739569813350998E-9</v>
      </c>
      <c r="L60" s="41">
        <v>3.4835577420870886E-10</v>
      </c>
    </row>
    <row r="61" spans="2:12" s="160" customFormat="1" x14ac:dyDescent="0.2">
      <c r="B61" s="166" t="s">
        <v>298</v>
      </c>
      <c r="C61" s="167" t="s">
        <v>238</v>
      </c>
      <c r="D61" s="167" t="s">
        <v>238</v>
      </c>
      <c r="E61" s="164" t="s">
        <v>238</v>
      </c>
      <c r="F61" s="168" t="s">
        <v>238</v>
      </c>
      <c r="G61" s="168" t="s">
        <v>238</v>
      </c>
      <c r="H61" s="167" t="s">
        <v>238</v>
      </c>
      <c r="I61" s="167" t="s">
        <v>238</v>
      </c>
      <c r="J61" s="169">
        <v>49351.431784274617</v>
      </c>
      <c r="K61" s="163">
        <v>9.3265921297278287E-2</v>
      </c>
      <c r="L61" s="163">
        <v>4.179303062624113E-3</v>
      </c>
    </row>
    <row r="62" spans="2:12" x14ac:dyDescent="0.2">
      <c r="B62" s="72" t="s">
        <v>3856</v>
      </c>
      <c r="C62" s="32" t="s">
        <v>299</v>
      </c>
      <c r="D62" s="32" t="s">
        <v>248</v>
      </c>
      <c r="E62" s="100" t="s">
        <v>242</v>
      </c>
      <c r="F62" s="94" t="s">
        <v>243</v>
      </c>
      <c r="G62" s="94" t="s">
        <v>127</v>
      </c>
      <c r="H62" s="32">
        <v>0</v>
      </c>
      <c r="I62" s="32">
        <v>0</v>
      </c>
      <c r="J62" s="124">
        <v>6337.30735</v>
      </c>
      <c r="K62" s="41">
        <v>1.197644702843449E-2</v>
      </c>
      <c r="L62" s="41">
        <v>5.366719274208509E-4</v>
      </c>
    </row>
    <row r="63" spans="2:12" x14ac:dyDescent="0.2">
      <c r="B63" s="72" t="s">
        <v>3821</v>
      </c>
      <c r="C63" s="32" t="s">
        <v>300</v>
      </c>
      <c r="D63" s="32" t="s">
        <v>236</v>
      </c>
      <c r="E63" s="100" t="s">
        <v>242</v>
      </c>
      <c r="F63" s="94" t="s">
        <v>243</v>
      </c>
      <c r="G63" s="94" t="s">
        <v>127</v>
      </c>
      <c r="H63" s="32">
        <v>0</v>
      </c>
      <c r="I63" s="32">
        <v>0</v>
      </c>
      <c r="J63" s="124">
        <v>60.773580000000003</v>
      </c>
      <c r="K63" s="41">
        <v>1.1485186395422747E-4</v>
      </c>
      <c r="L63" s="41">
        <v>5.1465823753782867E-6</v>
      </c>
    </row>
    <row r="64" spans="2:12" x14ac:dyDescent="0.2">
      <c r="B64" s="72" t="s">
        <v>3857</v>
      </c>
      <c r="C64" s="32" t="s">
        <v>310</v>
      </c>
      <c r="D64" s="32" t="s">
        <v>236</v>
      </c>
      <c r="E64" s="100" t="s">
        <v>242</v>
      </c>
      <c r="F64" s="94" t="s">
        <v>243</v>
      </c>
      <c r="G64" s="94" t="s">
        <v>128</v>
      </c>
      <c r="H64" s="32">
        <v>0</v>
      </c>
      <c r="I64" s="32">
        <v>0</v>
      </c>
      <c r="J64" s="124">
        <v>2.7061737182872679E-3</v>
      </c>
      <c r="K64" s="41">
        <v>5.1142140339475675E-9</v>
      </c>
      <c r="L64" s="41">
        <v>2.2917106353203445E-10</v>
      </c>
    </row>
    <row r="65" spans="2:12" x14ac:dyDescent="0.2">
      <c r="B65" s="72" t="s">
        <v>3858</v>
      </c>
      <c r="C65" s="32" t="s">
        <v>314</v>
      </c>
      <c r="D65" s="32" t="s">
        <v>236</v>
      </c>
      <c r="E65" s="100" t="s">
        <v>242</v>
      </c>
      <c r="F65" s="94" t="s">
        <v>243</v>
      </c>
      <c r="G65" s="94" t="s">
        <v>2</v>
      </c>
      <c r="H65" s="32">
        <v>0</v>
      </c>
      <c r="I65" s="32">
        <v>0</v>
      </c>
      <c r="J65" s="124">
        <v>2.9732027215738261</v>
      </c>
      <c r="K65" s="41">
        <v>5.6188540231879696E-6</v>
      </c>
      <c r="L65" s="41">
        <v>2.5178429056308034E-7</v>
      </c>
    </row>
    <row r="66" spans="2:12" x14ac:dyDescent="0.2">
      <c r="B66" s="72" t="s">
        <v>3859</v>
      </c>
      <c r="C66" s="32" t="s">
        <v>319</v>
      </c>
      <c r="D66" s="32" t="s">
        <v>236</v>
      </c>
      <c r="E66" s="100" t="s">
        <v>242</v>
      </c>
      <c r="F66" s="94" t="s">
        <v>243</v>
      </c>
      <c r="G66" s="94" t="s">
        <v>318</v>
      </c>
      <c r="H66" s="32">
        <v>0</v>
      </c>
      <c r="I66" s="32">
        <v>0</v>
      </c>
      <c r="J66" s="124">
        <v>0.42362269412866044</v>
      </c>
      <c r="K66" s="41">
        <v>8.0057577707267238E-7</v>
      </c>
      <c r="L66" s="41">
        <v>3.5874290956906449E-8</v>
      </c>
    </row>
    <row r="67" spans="2:12" x14ac:dyDescent="0.2">
      <c r="B67" s="72" t="s">
        <v>3821</v>
      </c>
      <c r="C67" s="32" t="s">
        <v>326</v>
      </c>
      <c r="D67" s="32" t="s">
        <v>236</v>
      </c>
      <c r="E67" s="100" t="s">
        <v>242</v>
      </c>
      <c r="F67" s="94" t="s">
        <v>243</v>
      </c>
      <c r="G67" s="94" t="s">
        <v>127</v>
      </c>
      <c r="H67" s="32">
        <v>0</v>
      </c>
      <c r="I67" s="32">
        <v>0</v>
      </c>
      <c r="J67" s="124">
        <v>183.90287065010193</v>
      </c>
      <c r="K67" s="41">
        <v>3.4754555319428931E-4</v>
      </c>
      <c r="L67" s="41">
        <v>1.5573729124881031E-5</v>
      </c>
    </row>
    <row r="68" spans="2:12" x14ac:dyDescent="0.2">
      <c r="B68" s="72" t="s">
        <v>3821</v>
      </c>
      <c r="C68" s="32" t="s">
        <v>329</v>
      </c>
      <c r="D68" s="32" t="s">
        <v>236</v>
      </c>
      <c r="E68" s="100" t="s">
        <v>242</v>
      </c>
      <c r="F68" s="94" t="s">
        <v>243</v>
      </c>
      <c r="G68" s="94" t="s">
        <v>127</v>
      </c>
      <c r="H68" s="32">
        <v>0</v>
      </c>
      <c r="I68" s="32">
        <v>0</v>
      </c>
      <c r="J68" s="124">
        <v>268.39846228988404</v>
      </c>
      <c r="K68" s="41">
        <v>5.0722803686143901E-4</v>
      </c>
      <c r="L68" s="41">
        <v>2.2729199030232395E-5</v>
      </c>
    </row>
    <row r="69" spans="2:12" x14ac:dyDescent="0.2">
      <c r="B69" s="72" t="s">
        <v>3821</v>
      </c>
      <c r="C69" s="32" t="s">
        <v>330</v>
      </c>
      <c r="D69" s="32" t="s">
        <v>236</v>
      </c>
      <c r="E69" s="100" t="s">
        <v>242</v>
      </c>
      <c r="F69" s="94" t="s">
        <v>243</v>
      </c>
      <c r="G69" s="94" t="s">
        <v>127</v>
      </c>
      <c r="H69" s="32">
        <v>0</v>
      </c>
      <c r="I69" s="32">
        <v>0</v>
      </c>
      <c r="J69" s="124">
        <v>133.2853720857922</v>
      </c>
      <c r="K69" s="41">
        <v>2.5188697822122694E-4</v>
      </c>
      <c r="L69" s="41">
        <v>1.128720978544419E-5</v>
      </c>
    </row>
    <row r="70" spans="2:12" x14ac:dyDescent="0.2">
      <c r="B70" s="72" t="s">
        <v>3835</v>
      </c>
      <c r="C70" s="32" t="s">
        <v>336</v>
      </c>
      <c r="D70" s="32" t="s">
        <v>236</v>
      </c>
      <c r="E70" s="100" t="s">
        <v>242</v>
      </c>
      <c r="F70" s="94" t="s">
        <v>243</v>
      </c>
      <c r="G70" s="94" t="s">
        <v>127</v>
      </c>
      <c r="H70" s="32">
        <v>0</v>
      </c>
      <c r="I70" s="32">
        <v>0</v>
      </c>
      <c r="J70" s="124">
        <v>5.5262432739770935</v>
      </c>
      <c r="K70" s="41">
        <v>1.0443672080545227E-5</v>
      </c>
      <c r="L70" s="41">
        <v>4.6798734311691548E-7</v>
      </c>
    </row>
    <row r="71" spans="2:12" x14ac:dyDescent="0.2">
      <c r="B71" s="72" t="s">
        <v>3835</v>
      </c>
      <c r="C71" s="32" t="s">
        <v>337</v>
      </c>
      <c r="D71" s="32" t="s">
        <v>236</v>
      </c>
      <c r="E71" s="100" t="s">
        <v>242</v>
      </c>
      <c r="F71" s="94" t="s">
        <v>243</v>
      </c>
      <c r="G71" s="94" t="s">
        <v>127</v>
      </c>
      <c r="H71" s="32">
        <v>0</v>
      </c>
      <c r="I71" s="32">
        <v>0</v>
      </c>
      <c r="J71" s="124">
        <v>1510.7788730209786</v>
      </c>
      <c r="K71" s="41">
        <v>2.8551184509638321E-3</v>
      </c>
      <c r="L71" s="41">
        <v>1.2793960666762825E-4</v>
      </c>
    </row>
    <row r="72" spans="2:12" x14ac:dyDescent="0.2">
      <c r="B72" s="72" t="s">
        <v>3843</v>
      </c>
      <c r="C72" s="32" t="s">
        <v>303</v>
      </c>
      <c r="D72" s="32" t="s">
        <v>241</v>
      </c>
      <c r="E72" s="100" t="s">
        <v>242</v>
      </c>
      <c r="F72" s="94" t="s">
        <v>243</v>
      </c>
      <c r="G72" s="94" t="s">
        <v>127</v>
      </c>
      <c r="H72" s="32">
        <v>0</v>
      </c>
      <c r="I72" s="32">
        <v>0</v>
      </c>
      <c r="J72" s="124">
        <v>77.58108</v>
      </c>
      <c r="K72" s="41">
        <v>1.4661521742806723E-4</v>
      </c>
      <c r="L72" s="41">
        <v>6.5699177009288062E-6</v>
      </c>
    </row>
    <row r="73" spans="2:12" x14ac:dyDescent="0.2">
      <c r="B73" s="72" t="s">
        <v>3843</v>
      </c>
      <c r="C73" s="32" t="s">
        <v>304</v>
      </c>
      <c r="D73" s="32" t="s">
        <v>241</v>
      </c>
      <c r="E73" s="100" t="s">
        <v>242</v>
      </c>
      <c r="F73" s="94" t="s">
        <v>243</v>
      </c>
      <c r="G73" s="94" t="s">
        <v>127</v>
      </c>
      <c r="H73" s="32">
        <v>0</v>
      </c>
      <c r="I73" s="32">
        <v>0</v>
      </c>
      <c r="J73" s="124">
        <v>21510.323469999999</v>
      </c>
      <c r="K73" s="41">
        <v>4.065090035485594E-2</v>
      </c>
      <c r="L73" s="41">
        <v>1.8215917452845118E-3</v>
      </c>
    </row>
    <row r="74" spans="2:12" x14ac:dyDescent="0.2">
      <c r="B74" s="72" t="s">
        <v>3836</v>
      </c>
      <c r="C74" s="32" t="s">
        <v>305</v>
      </c>
      <c r="D74" s="32" t="s">
        <v>241</v>
      </c>
      <c r="E74" s="100" t="s">
        <v>242</v>
      </c>
      <c r="F74" s="94" t="s">
        <v>243</v>
      </c>
      <c r="G74" s="94" t="s">
        <v>127</v>
      </c>
      <c r="H74" s="32">
        <v>0</v>
      </c>
      <c r="I74" s="32">
        <v>0</v>
      </c>
      <c r="J74" s="124">
        <v>-277.96154928039579</v>
      </c>
      <c r="K74" s="41">
        <v>-5.2530066588899827E-4</v>
      </c>
      <c r="L74" s="41">
        <v>-2.3539044607201487E-5</v>
      </c>
    </row>
    <row r="75" spans="2:12" x14ac:dyDescent="0.2">
      <c r="B75" s="72" t="s">
        <v>3836</v>
      </c>
      <c r="C75" s="32" t="s">
        <v>306</v>
      </c>
      <c r="D75" s="32" t="s">
        <v>241</v>
      </c>
      <c r="E75" s="100" t="s">
        <v>242</v>
      </c>
      <c r="F75" s="94" t="s">
        <v>243</v>
      </c>
      <c r="G75" s="94" t="s">
        <v>127</v>
      </c>
      <c r="H75" s="32">
        <v>0</v>
      </c>
      <c r="I75" s="32">
        <v>0</v>
      </c>
      <c r="J75" s="124">
        <v>547.10622000000001</v>
      </c>
      <c r="K75" s="41">
        <v>1.0339389114143291E-3</v>
      </c>
      <c r="L75" s="41">
        <v>4.6331435951474892E-5</v>
      </c>
    </row>
    <row r="76" spans="2:12" x14ac:dyDescent="0.2">
      <c r="B76" s="72" t="s">
        <v>3837</v>
      </c>
      <c r="C76" s="32" t="s">
        <v>307</v>
      </c>
      <c r="D76" s="32" t="s">
        <v>241</v>
      </c>
      <c r="E76" s="100" t="s">
        <v>242</v>
      </c>
      <c r="F76" s="94" t="s">
        <v>243</v>
      </c>
      <c r="G76" s="94" t="s">
        <v>128</v>
      </c>
      <c r="H76" s="32">
        <v>0</v>
      </c>
      <c r="I76" s="32">
        <v>0</v>
      </c>
      <c r="J76" s="124">
        <v>137.91951728395932</v>
      </c>
      <c r="K76" s="41">
        <v>2.6064473469770939E-4</v>
      </c>
      <c r="L76" s="41">
        <v>1.1679650217648954E-5</v>
      </c>
    </row>
    <row r="77" spans="2:12" x14ac:dyDescent="0.2">
      <c r="B77" s="72" t="s">
        <v>3837</v>
      </c>
      <c r="C77" s="32" t="s">
        <v>308</v>
      </c>
      <c r="D77" s="32" t="s">
        <v>241</v>
      </c>
      <c r="E77" s="100" t="s">
        <v>242</v>
      </c>
      <c r="F77" s="94" t="s">
        <v>243</v>
      </c>
      <c r="G77" s="94" t="s">
        <v>128</v>
      </c>
      <c r="H77" s="32">
        <v>0</v>
      </c>
      <c r="I77" s="32">
        <v>0</v>
      </c>
      <c r="J77" s="124">
        <v>96.372700693420725</v>
      </c>
      <c r="K77" s="41">
        <v>1.8212822593209485E-4</v>
      </c>
      <c r="L77" s="41">
        <v>8.1612773652031999E-6</v>
      </c>
    </row>
    <row r="78" spans="2:12" x14ac:dyDescent="0.2">
      <c r="B78" s="72" t="s">
        <v>3837</v>
      </c>
      <c r="C78" s="32" t="s">
        <v>309</v>
      </c>
      <c r="D78" s="32" t="s">
        <v>241</v>
      </c>
      <c r="E78" s="100" t="s">
        <v>242</v>
      </c>
      <c r="F78" s="94" t="s">
        <v>243</v>
      </c>
      <c r="G78" s="94" t="s">
        <v>128</v>
      </c>
      <c r="H78" s="32">
        <v>0</v>
      </c>
      <c r="I78" s="32">
        <v>0</v>
      </c>
      <c r="J78" s="124">
        <v>2.4598310877265286</v>
      </c>
      <c r="K78" s="41">
        <v>4.648667816474636E-6</v>
      </c>
      <c r="L78" s="41">
        <v>2.0830965236046572E-7</v>
      </c>
    </row>
    <row r="79" spans="2:12" x14ac:dyDescent="0.2">
      <c r="B79" s="72" t="s">
        <v>3860</v>
      </c>
      <c r="C79" s="32" t="s">
        <v>311</v>
      </c>
      <c r="D79" s="32" t="s">
        <v>241</v>
      </c>
      <c r="E79" s="100" t="s">
        <v>242</v>
      </c>
      <c r="F79" s="94" t="s">
        <v>243</v>
      </c>
      <c r="G79" s="94" t="s">
        <v>128</v>
      </c>
      <c r="H79" s="32">
        <v>0</v>
      </c>
      <c r="I79" s="32">
        <v>0</v>
      </c>
      <c r="J79" s="124">
        <v>334.44968</v>
      </c>
      <c r="K79" s="41">
        <v>6.3205375011468655E-4</v>
      </c>
      <c r="L79" s="41">
        <v>2.8322715702101273E-5</v>
      </c>
    </row>
    <row r="80" spans="2:12" x14ac:dyDescent="0.2">
      <c r="B80" s="72" t="s">
        <v>3838</v>
      </c>
      <c r="C80" s="32" t="s">
        <v>312</v>
      </c>
      <c r="D80" s="32" t="s">
        <v>241</v>
      </c>
      <c r="E80" s="100" t="s">
        <v>242</v>
      </c>
      <c r="F80" s="94" t="s">
        <v>243</v>
      </c>
      <c r="G80" s="94" t="s">
        <v>2</v>
      </c>
      <c r="H80" s="32">
        <v>0</v>
      </c>
      <c r="I80" s="32">
        <v>0</v>
      </c>
      <c r="J80" s="124">
        <v>4.0623424991878041</v>
      </c>
      <c r="K80" s="41">
        <v>7.6771453656703146E-6</v>
      </c>
      <c r="L80" s="41">
        <v>3.440175864095901E-7</v>
      </c>
    </row>
    <row r="81" spans="2:12" x14ac:dyDescent="0.2">
      <c r="B81" s="72" t="s">
        <v>3838</v>
      </c>
      <c r="C81" s="32" t="s">
        <v>313</v>
      </c>
      <c r="D81" s="32" t="s">
        <v>241</v>
      </c>
      <c r="E81" s="100" t="s">
        <v>242</v>
      </c>
      <c r="F81" s="94" t="s">
        <v>243</v>
      </c>
      <c r="G81" s="94" t="s">
        <v>2</v>
      </c>
      <c r="H81" s="32">
        <v>0</v>
      </c>
      <c r="I81" s="32">
        <v>0</v>
      </c>
      <c r="J81" s="124">
        <v>14.266870039120104</v>
      </c>
      <c r="K81" s="41">
        <v>2.6961989351057911E-5</v>
      </c>
      <c r="L81" s="41">
        <v>1.2081832581715288E-6</v>
      </c>
    </row>
    <row r="82" spans="2:12" x14ac:dyDescent="0.2">
      <c r="B82" s="72" t="s">
        <v>3838</v>
      </c>
      <c r="C82" s="32" t="s">
        <v>315</v>
      </c>
      <c r="D82" s="32" t="s">
        <v>241</v>
      </c>
      <c r="E82" s="100" t="s">
        <v>242</v>
      </c>
      <c r="F82" s="94" t="s">
        <v>243</v>
      </c>
      <c r="G82" s="94" t="s">
        <v>2</v>
      </c>
      <c r="H82" s="32">
        <v>0</v>
      </c>
      <c r="I82" s="32">
        <v>0</v>
      </c>
      <c r="J82" s="124">
        <v>48.708969387481986</v>
      </c>
      <c r="K82" s="41">
        <v>9.2051775219457397E-5</v>
      </c>
      <c r="L82" s="41">
        <v>4.124896433161504E-6</v>
      </c>
    </row>
    <row r="83" spans="2:12" x14ac:dyDescent="0.2">
      <c r="B83" s="72" t="s">
        <v>3838</v>
      </c>
      <c r="C83" s="32" t="s">
        <v>316</v>
      </c>
      <c r="D83" s="32" t="s">
        <v>241</v>
      </c>
      <c r="E83" s="100" t="s">
        <v>242</v>
      </c>
      <c r="F83" s="94" t="s">
        <v>243</v>
      </c>
      <c r="G83" s="94" t="s">
        <v>2</v>
      </c>
      <c r="H83" s="32">
        <v>0</v>
      </c>
      <c r="I83" s="32">
        <v>0</v>
      </c>
      <c r="J83" s="124">
        <v>643.25775999999996</v>
      </c>
      <c r="K83" s="41">
        <v>1.2156491807627772E-3</v>
      </c>
      <c r="L83" s="41">
        <v>5.4473984426148927E-5</v>
      </c>
    </row>
    <row r="84" spans="2:12" x14ac:dyDescent="0.2">
      <c r="B84" s="72" t="s">
        <v>3861</v>
      </c>
      <c r="C84" s="32" t="s">
        <v>317</v>
      </c>
      <c r="D84" s="32" t="s">
        <v>241</v>
      </c>
      <c r="E84" s="100" t="s">
        <v>242</v>
      </c>
      <c r="F84" s="94" t="s">
        <v>243</v>
      </c>
      <c r="G84" s="94" t="s">
        <v>318</v>
      </c>
      <c r="H84" s="32">
        <v>0</v>
      </c>
      <c r="I84" s="32">
        <v>0</v>
      </c>
      <c r="J84" s="124">
        <v>0.90847984605593357</v>
      </c>
      <c r="K84" s="41">
        <v>1.7168743997699919E-6</v>
      </c>
      <c r="L84" s="41">
        <v>7.6934193511355542E-8</v>
      </c>
    </row>
    <row r="85" spans="2:12" x14ac:dyDescent="0.2">
      <c r="B85" s="72" t="s">
        <v>3839</v>
      </c>
      <c r="C85" s="32" t="s">
        <v>320</v>
      </c>
      <c r="D85" s="32" t="s">
        <v>241</v>
      </c>
      <c r="E85" s="100" t="s">
        <v>242</v>
      </c>
      <c r="F85" s="94" t="s">
        <v>243</v>
      </c>
      <c r="G85" s="94" t="s">
        <v>134</v>
      </c>
      <c r="H85" s="32">
        <v>0</v>
      </c>
      <c r="I85" s="32">
        <v>0</v>
      </c>
      <c r="J85" s="124">
        <v>24.359822019220257</v>
      </c>
      <c r="K85" s="41">
        <v>4.6035974258891439E-5</v>
      </c>
      <c r="L85" s="41">
        <v>2.0629002055082303E-6</v>
      </c>
    </row>
    <row r="86" spans="2:12" x14ac:dyDescent="0.2">
      <c r="B86" s="72" t="s">
        <v>3840</v>
      </c>
      <c r="C86" s="32" t="s">
        <v>321</v>
      </c>
      <c r="D86" s="32" t="s">
        <v>241</v>
      </c>
      <c r="E86" s="100" t="s">
        <v>242</v>
      </c>
      <c r="F86" s="94" t="s">
        <v>243</v>
      </c>
      <c r="G86" s="94" t="s">
        <v>65</v>
      </c>
      <c r="H86" s="32">
        <v>0</v>
      </c>
      <c r="I86" s="32">
        <v>0</v>
      </c>
      <c r="J86" s="124">
        <v>2.6928680419519182</v>
      </c>
      <c r="K86" s="41">
        <v>5.0890685393381241E-6</v>
      </c>
      <c r="L86" s="41">
        <v>2.2804427851591398E-7</v>
      </c>
    </row>
    <row r="87" spans="2:12" x14ac:dyDescent="0.2">
      <c r="B87" s="72" t="s">
        <v>3841</v>
      </c>
      <c r="C87" s="32" t="s">
        <v>322</v>
      </c>
      <c r="D87" s="32" t="s">
        <v>241</v>
      </c>
      <c r="E87" s="100" t="s">
        <v>242</v>
      </c>
      <c r="F87" s="94" t="s">
        <v>243</v>
      </c>
      <c r="G87" s="94" t="s">
        <v>212</v>
      </c>
      <c r="H87" s="32">
        <v>0</v>
      </c>
      <c r="I87" s="32">
        <v>0</v>
      </c>
      <c r="J87" s="124">
        <v>6.0075124826345698</v>
      </c>
      <c r="K87" s="41">
        <v>1.1353190092781583E-5</v>
      </c>
      <c r="L87" s="41">
        <v>5.087434023632002E-7</v>
      </c>
    </row>
    <row r="88" spans="2:12" x14ac:dyDescent="0.2">
      <c r="B88" s="72" t="s">
        <v>3842</v>
      </c>
      <c r="C88" s="32" t="s">
        <v>323</v>
      </c>
      <c r="D88" s="32" t="s">
        <v>241</v>
      </c>
      <c r="E88" s="100" t="s">
        <v>242</v>
      </c>
      <c r="F88" s="94" t="s">
        <v>243</v>
      </c>
      <c r="G88" s="94" t="s">
        <v>212</v>
      </c>
      <c r="H88" s="32">
        <v>0</v>
      </c>
      <c r="I88" s="32">
        <v>0</v>
      </c>
      <c r="J88" s="124">
        <v>-21.732238306654626</v>
      </c>
      <c r="K88" s="41">
        <v>-4.1070282142614398E-5</v>
      </c>
      <c r="L88" s="41">
        <v>-1.8403845000829236E-6</v>
      </c>
    </row>
    <row r="89" spans="2:12" x14ac:dyDescent="0.2">
      <c r="B89" s="72" t="s">
        <v>3843</v>
      </c>
      <c r="C89" s="32" t="s">
        <v>324</v>
      </c>
      <c r="D89" s="32" t="s">
        <v>241</v>
      </c>
      <c r="E89" s="100" t="s">
        <v>242</v>
      </c>
      <c r="F89" s="94" t="s">
        <v>243</v>
      </c>
      <c r="G89" s="94" t="s">
        <v>127</v>
      </c>
      <c r="H89" s="32">
        <v>0</v>
      </c>
      <c r="I89" s="32">
        <v>0</v>
      </c>
      <c r="J89" s="124">
        <v>966.24008973752279</v>
      </c>
      <c r="K89" s="41">
        <v>1.8260315639403587E-3</v>
      </c>
      <c r="L89" s="41">
        <v>8.1825592901176285E-5</v>
      </c>
    </row>
    <row r="90" spans="2:12" x14ac:dyDescent="0.2">
      <c r="B90" s="72" t="s">
        <v>3843</v>
      </c>
      <c r="C90" s="32" t="s">
        <v>325</v>
      </c>
      <c r="D90" s="32" t="s">
        <v>241</v>
      </c>
      <c r="E90" s="100" t="s">
        <v>242</v>
      </c>
      <c r="F90" s="94" t="s">
        <v>243</v>
      </c>
      <c r="G90" s="94" t="s">
        <v>127</v>
      </c>
      <c r="H90" s="32">
        <v>0</v>
      </c>
      <c r="I90" s="32">
        <v>0</v>
      </c>
      <c r="J90" s="124">
        <v>10939.662650736867</v>
      </c>
      <c r="K90" s="41">
        <v>2.0674125935440598E-2</v>
      </c>
      <c r="L90" s="41">
        <v>9.2642024693734466E-4</v>
      </c>
    </row>
    <row r="91" spans="2:12" x14ac:dyDescent="0.2">
      <c r="B91" s="72" t="s">
        <v>3843</v>
      </c>
      <c r="C91" s="32" t="s">
        <v>327</v>
      </c>
      <c r="D91" s="32" t="s">
        <v>241</v>
      </c>
      <c r="E91" s="100" t="s">
        <v>242</v>
      </c>
      <c r="F91" s="94" t="s">
        <v>243</v>
      </c>
      <c r="G91" s="94" t="s">
        <v>127</v>
      </c>
      <c r="H91" s="32">
        <v>0</v>
      </c>
      <c r="I91" s="32">
        <v>0</v>
      </c>
      <c r="J91" s="124">
        <v>393.53747014633637</v>
      </c>
      <c r="K91" s="41">
        <v>7.4371975424416127E-4</v>
      </c>
      <c r="L91" s="41">
        <v>3.3326537747259474E-5</v>
      </c>
    </row>
    <row r="92" spans="2:12" x14ac:dyDescent="0.2">
      <c r="B92" s="72" t="s">
        <v>3843</v>
      </c>
      <c r="C92" s="32" t="s">
        <v>328</v>
      </c>
      <c r="D92" s="32" t="s">
        <v>241</v>
      </c>
      <c r="E92" s="100" t="s">
        <v>242</v>
      </c>
      <c r="F92" s="94" t="s">
        <v>243</v>
      </c>
      <c r="G92" s="94" t="s">
        <v>127</v>
      </c>
      <c r="H92" s="32">
        <v>0</v>
      </c>
      <c r="I92" s="32">
        <v>0</v>
      </c>
      <c r="J92" s="124">
        <v>0.33333447678946987</v>
      </c>
      <c r="K92" s="41">
        <v>6.2994620325934041E-7</v>
      </c>
      <c r="L92" s="41">
        <v>2.8228275236552269E-8</v>
      </c>
    </row>
    <row r="93" spans="2:12" x14ac:dyDescent="0.2">
      <c r="B93" s="72" t="s">
        <v>3843</v>
      </c>
      <c r="C93" s="32" t="s">
        <v>331</v>
      </c>
      <c r="D93" s="32" t="s">
        <v>241</v>
      </c>
      <c r="E93" s="100" t="s">
        <v>242</v>
      </c>
      <c r="F93" s="94" t="s">
        <v>243</v>
      </c>
      <c r="G93" s="94" t="s">
        <v>127</v>
      </c>
      <c r="H93" s="32">
        <v>0</v>
      </c>
      <c r="I93" s="32">
        <v>0</v>
      </c>
      <c r="J93" s="124">
        <v>228.41398447076074</v>
      </c>
      <c r="K93" s="41">
        <v>4.3166408609923652E-4</v>
      </c>
      <c r="L93" s="41">
        <v>1.9343132110485296E-5</v>
      </c>
    </row>
    <row r="94" spans="2:12" x14ac:dyDescent="0.2">
      <c r="B94" s="72" t="s">
        <v>3843</v>
      </c>
      <c r="C94" s="32" t="s">
        <v>332</v>
      </c>
      <c r="D94" s="32" t="s">
        <v>241</v>
      </c>
      <c r="E94" s="100" t="s">
        <v>242</v>
      </c>
      <c r="F94" s="94" t="s">
        <v>243</v>
      </c>
      <c r="G94" s="94" t="s">
        <v>127</v>
      </c>
      <c r="H94" s="32">
        <v>0</v>
      </c>
      <c r="I94" s="32">
        <v>0</v>
      </c>
      <c r="J94" s="124">
        <v>29.153269958156471</v>
      </c>
      <c r="K94" s="41">
        <v>5.5094786172791755E-5</v>
      </c>
      <c r="L94" s="41">
        <v>2.4688311162727846E-6</v>
      </c>
    </row>
    <row r="95" spans="2:12" x14ac:dyDescent="0.2">
      <c r="B95" s="72" t="s">
        <v>3836</v>
      </c>
      <c r="C95" s="32" t="s">
        <v>333</v>
      </c>
      <c r="D95" s="32" t="s">
        <v>241</v>
      </c>
      <c r="E95" s="100" t="s">
        <v>242</v>
      </c>
      <c r="F95" s="94" t="s">
        <v>243</v>
      </c>
      <c r="G95" s="94" t="s">
        <v>127</v>
      </c>
      <c r="H95" s="32">
        <v>0</v>
      </c>
      <c r="I95" s="32">
        <v>0</v>
      </c>
      <c r="J95" s="124">
        <v>0.4964471945259597</v>
      </c>
      <c r="K95" s="41">
        <v>9.3820185755312452E-7</v>
      </c>
      <c r="L95" s="41">
        <v>4.2041399924988788E-8</v>
      </c>
    </row>
    <row r="96" spans="2:12" x14ac:dyDescent="0.2">
      <c r="B96" s="72" t="s">
        <v>3836</v>
      </c>
      <c r="C96" s="32" t="s">
        <v>334</v>
      </c>
      <c r="D96" s="32" t="s">
        <v>241</v>
      </c>
      <c r="E96" s="100" t="s">
        <v>242</v>
      </c>
      <c r="F96" s="94" t="s">
        <v>243</v>
      </c>
      <c r="G96" s="94" t="s">
        <v>127</v>
      </c>
      <c r="H96" s="32">
        <v>0</v>
      </c>
      <c r="I96" s="32">
        <v>0</v>
      </c>
      <c r="J96" s="124">
        <v>725.481884423829</v>
      </c>
      <c r="K96" s="41">
        <v>1.3710389727098879E-3</v>
      </c>
      <c r="L96" s="41">
        <v>6.1437096186071411E-5</v>
      </c>
    </row>
    <row r="97" spans="2:12" x14ac:dyDescent="0.2">
      <c r="B97" s="72" t="s">
        <v>3843</v>
      </c>
      <c r="C97" s="32" t="s">
        <v>338</v>
      </c>
      <c r="D97" s="32" t="s">
        <v>241</v>
      </c>
      <c r="E97" s="100" t="s">
        <v>242</v>
      </c>
      <c r="F97" s="94" t="s">
        <v>243</v>
      </c>
      <c r="G97" s="94" t="s">
        <v>127</v>
      </c>
      <c r="H97" s="32">
        <v>0</v>
      </c>
      <c r="I97" s="32">
        <v>0</v>
      </c>
      <c r="J97" s="124">
        <v>117.77039319977628</v>
      </c>
      <c r="K97" s="41">
        <v>2.2256627267336533E-4</v>
      </c>
      <c r="L97" s="41">
        <v>9.9733310096811712E-6</v>
      </c>
    </row>
    <row r="98" spans="2:12" x14ac:dyDescent="0.2">
      <c r="B98" s="72" t="s">
        <v>3836</v>
      </c>
      <c r="C98" s="32" t="s">
        <v>339</v>
      </c>
      <c r="D98" s="32" t="s">
        <v>241</v>
      </c>
      <c r="E98" s="100" t="s">
        <v>242</v>
      </c>
      <c r="F98" s="94" t="s">
        <v>243</v>
      </c>
      <c r="G98" s="94" t="s">
        <v>127</v>
      </c>
      <c r="H98" s="32">
        <v>0</v>
      </c>
      <c r="I98" s="32">
        <v>0</v>
      </c>
      <c r="J98" s="124">
        <v>-20.589001622711937</v>
      </c>
      <c r="K98" s="41">
        <v>-3.8909756728583044E-5</v>
      </c>
      <c r="L98" s="41">
        <v>-1.7435700328676409E-6</v>
      </c>
    </row>
    <row r="99" spans="2:12" x14ac:dyDescent="0.2">
      <c r="B99" s="72" t="s">
        <v>3819</v>
      </c>
      <c r="C99" s="32" t="s">
        <v>301</v>
      </c>
      <c r="D99" s="32" t="s">
        <v>251</v>
      </c>
      <c r="E99" s="100" t="s">
        <v>242</v>
      </c>
      <c r="F99" s="94" t="s">
        <v>243</v>
      </c>
      <c r="G99" s="94" t="s">
        <v>127</v>
      </c>
      <c r="H99" s="32">
        <v>0</v>
      </c>
      <c r="I99" s="32">
        <v>0</v>
      </c>
      <c r="J99" s="124">
        <v>4267.5896199999997</v>
      </c>
      <c r="K99" s="41">
        <v>8.0650279685467487E-3</v>
      </c>
      <c r="L99" s="41">
        <v>3.6139884343886473E-4</v>
      </c>
    </row>
    <row r="100" spans="2:12" x14ac:dyDescent="0.2">
      <c r="B100" s="72" t="s">
        <v>3819</v>
      </c>
      <c r="C100" s="32" t="s">
        <v>335</v>
      </c>
      <c r="D100" s="32" t="s">
        <v>251</v>
      </c>
      <c r="E100" s="100" t="s">
        <v>242</v>
      </c>
      <c r="F100" s="94" t="s">
        <v>243</v>
      </c>
      <c r="G100" s="94" t="s">
        <v>127</v>
      </c>
      <c r="H100" s="32">
        <v>0</v>
      </c>
      <c r="I100" s="32">
        <v>0</v>
      </c>
      <c r="J100" s="124">
        <v>48.855672748911836</v>
      </c>
      <c r="K100" s="41">
        <v>9.2329019945020194E-5</v>
      </c>
      <c r="L100" s="41">
        <v>4.1373199391380085E-6</v>
      </c>
    </row>
    <row r="101" spans="2:12" x14ac:dyDescent="0.2">
      <c r="B101" s="72" t="s">
        <v>3862</v>
      </c>
      <c r="C101" s="32" t="s">
        <v>302</v>
      </c>
      <c r="D101" s="32" t="s">
        <v>235</v>
      </c>
      <c r="E101" s="100" t="s">
        <v>253</v>
      </c>
      <c r="F101" s="94" t="s">
        <v>243</v>
      </c>
      <c r="G101" s="94" t="s">
        <v>127</v>
      </c>
      <c r="H101" s="32">
        <v>0</v>
      </c>
      <c r="I101" s="32">
        <v>0</v>
      </c>
      <c r="J101" s="124">
        <v>0.33035000000000003</v>
      </c>
      <c r="K101" s="41">
        <v>6.2430604314044103E-7</v>
      </c>
      <c r="L101" s="41">
        <v>2.7975536206789485E-8</v>
      </c>
    </row>
    <row r="102" spans="2:12" s="160" customFormat="1" x14ac:dyDescent="0.2">
      <c r="B102" s="166" t="s">
        <v>340</v>
      </c>
      <c r="C102" s="167" t="s">
        <v>238</v>
      </c>
      <c r="D102" s="167" t="s">
        <v>238</v>
      </c>
      <c r="E102" s="164" t="s">
        <v>238</v>
      </c>
      <c r="F102" s="168" t="s">
        <v>238</v>
      </c>
      <c r="G102" s="168" t="s">
        <v>238</v>
      </c>
      <c r="H102" s="167" t="s">
        <v>238</v>
      </c>
      <c r="I102" s="167" t="s">
        <v>238</v>
      </c>
      <c r="J102" s="169">
        <v>23.819090099999997</v>
      </c>
      <c r="K102" s="163">
        <v>4.5014081705877557E-5</v>
      </c>
      <c r="L102" s="163">
        <v>2.0171085742555796E-6</v>
      </c>
    </row>
    <row r="103" spans="2:12" x14ac:dyDescent="0.2">
      <c r="B103" s="72" t="s">
        <v>3808</v>
      </c>
      <c r="C103" s="32" t="s">
        <v>355</v>
      </c>
      <c r="D103" s="32" t="s">
        <v>356</v>
      </c>
      <c r="E103" s="100" t="s">
        <v>357</v>
      </c>
      <c r="F103" s="94" t="s">
        <v>358</v>
      </c>
      <c r="G103" s="94" t="s">
        <v>244</v>
      </c>
      <c r="H103" s="32">
        <v>0</v>
      </c>
      <c r="I103" s="32">
        <v>0</v>
      </c>
      <c r="J103" s="124">
        <v>0.21718999999999999</v>
      </c>
      <c r="K103" s="41">
        <v>4.1045263965391972E-7</v>
      </c>
      <c r="L103" s="41">
        <v>1.8392634202369026E-8</v>
      </c>
    </row>
    <row r="104" spans="2:12" x14ac:dyDescent="0.2">
      <c r="B104" s="72" t="s">
        <v>3809</v>
      </c>
      <c r="C104" s="32" t="s">
        <v>343</v>
      </c>
      <c r="D104" s="32" t="s">
        <v>344</v>
      </c>
      <c r="E104" s="100" t="s">
        <v>345</v>
      </c>
      <c r="F104" s="94" t="s">
        <v>346</v>
      </c>
      <c r="G104" s="94" t="s">
        <v>244</v>
      </c>
      <c r="H104" s="32">
        <v>0</v>
      </c>
      <c r="I104" s="32">
        <v>0</v>
      </c>
      <c r="J104" s="124">
        <v>1.7099999999999999E-3</v>
      </c>
      <c r="K104" s="41">
        <v>3.2316129370974849E-9</v>
      </c>
      <c r="L104" s="41">
        <v>1.4481055520995918E-10</v>
      </c>
    </row>
    <row r="105" spans="2:12" x14ac:dyDescent="0.2">
      <c r="B105" s="72" t="s">
        <v>3809</v>
      </c>
      <c r="C105" s="32" t="s">
        <v>352</v>
      </c>
      <c r="D105" s="32" t="s">
        <v>344</v>
      </c>
      <c r="E105" s="100" t="s">
        <v>345</v>
      </c>
      <c r="F105" s="94" t="s">
        <v>346</v>
      </c>
      <c r="G105" s="94" t="s">
        <v>244</v>
      </c>
      <c r="H105" s="32">
        <v>0</v>
      </c>
      <c r="I105" s="32">
        <v>0</v>
      </c>
      <c r="J105" s="124">
        <v>1.3025199999999999</v>
      </c>
      <c r="K105" s="41">
        <v>2.4615441420048047E-6</v>
      </c>
      <c r="L105" s="41">
        <v>1.1030330080238363E-7</v>
      </c>
    </row>
    <row r="106" spans="2:12" x14ac:dyDescent="0.2">
      <c r="B106" s="72" t="s">
        <v>3810</v>
      </c>
      <c r="C106" s="32" t="s">
        <v>341</v>
      </c>
      <c r="D106" s="32" t="s">
        <v>248</v>
      </c>
      <c r="E106" s="100" t="s">
        <v>242</v>
      </c>
      <c r="F106" s="94" t="s">
        <v>243</v>
      </c>
      <c r="G106" s="94" t="s">
        <v>244</v>
      </c>
      <c r="H106" s="32">
        <v>0</v>
      </c>
      <c r="I106" s="32">
        <v>0</v>
      </c>
      <c r="J106" s="124">
        <v>5.3400000000000001E-3</v>
      </c>
      <c r="K106" s="41">
        <v>1.0091703557953549E-8</v>
      </c>
      <c r="L106" s="41">
        <v>4.5221541802408305E-10</v>
      </c>
    </row>
    <row r="107" spans="2:12" x14ac:dyDescent="0.2">
      <c r="B107" s="72" t="s">
        <v>3810</v>
      </c>
      <c r="C107" s="32" t="s">
        <v>350</v>
      </c>
      <c r="D107" s="32" t="s">
        <v>248</v>
      </c>
      <c r="E107" s="100" t="s">
        <v>242</v>
      </c>
      <c r="F107" s="94" t="s">
        <v>243</v>
      </c>
      <c r="G107" s="94" t="s">
        <v>244</v>
      </c>
      <c r="H107" s="32">
        <v>0</v>
      </c>
      <c r="I107" s="32">
        <v>0</v>
      </c>
      <c r="J107" s="124">
        <v>4.0770300000000006</v>
      </c>
      <c r="K107" s="41">
        <v>7.7049022765699184E-6</v>
      </c>
      <c r="L107" s="41">
        <v>3.4526139058927481E-7</v>
      </c>
    </row>
    <row r="108" spans="2:12" x14ac:dyDescent="0.2">
      <c r="B108" s="72" t="s">
        <v>3811</v>
      </c>
      <c r="C108" s="32" t="s">
        <v>342</v>
      </c>
      <c r="D108" s="32" t="s">
        <v>236</v>
      </c>
      <c r="E108" s="100" t="s">
        <v>242</v>
      </c>
      <c r="F108" s="94" t="s">
        <v>243</v>
      </c>
      <c r="G108" s="94" t="s">
        <v>244</v>
      </c>
      <c r="H108" s="32">
        <v>0</v>
      </c>
      <c r="I108" s="32">
        <v>0</v>
      </c>
      <c r="J108" s="124">
        <v>1.04E-2</v>
      </c>
      <c r="K108" s="41">
        <v>1.9654254120358975E-8</v>
      </c>
      <c r="L108" s="41">
        <v>8.807191661892253E-10</v>
      </c>
    </row>
    <row r="109" spans="2:12" x14ac:dyDescent="0.2">
      <c r="B109" s="72" t="s">
        <v>3811</v>
      </c>
      <c r="C109" s="32" t="s">
        <v>351</v>
      </c>
      <c r="D109" s="32" t="s">
        <v>236</v>
      </c>
      <c r="E109" s="100" t="s">
        <v>242</v>
      </c>
      <c r="F109" s="94" t="s">
        <v>243</v>
      </c>
      <c r="G109" s="94" t="s">
        <v>244</v>
      </c>
      <c r="H109" s="32">
        <v>0</v>
      </c>
      <c r="I109" s="32">
        <v>0</v>
      </c>
      <c r="J109" s="124">
        <v>7.9315200000000008</v>
      </c>
      <c r="K109" s="41">
        <v>1.4989241311606693E-5</v>
      </c>
      <c r="L109" s="41">
        <v>6.7167708471280432E-7</v>
      </c>
    </row>
    <row r="110" spans="2:12" x14ac:dyDescent="0.2">
      <c r="B110" s="72" t="s">
        <v>3812</v>
      </c>
      <c r="C110" s="32" t="s">
        <v>349</v>
      </c>
      <c r="D110" s="32" t="s">
        <v>241</v>
      </c>
      <c r="E110" s="100" t="s">
        <v>242</v>
      </c>
      <c r="F110" s="94" t="s">
        <v>243</v>
      </c>
      <c r="G110" s="94" t="s">
        <v>244</v>
      </c>
      <c r="H110" s="32">
        <v>0</v>
      </c>
      <c r="I110" s="32">
        <v>0</v>
      </c>
      <c r="J110" s="124">
        <v>0.22358</v>
      </c>
      <c r="K110" s="41">
        <v>4.225286669451788E-7</v>
      </c>
      <c r="L110" s="41">
        <v>1.8933768382364137E-8</v>
      </c>
    </row>
    <row r="111" spans="2:12" x14ac:dyDescent="0.2">
      <c r="B111" s="72" t="s">
        <v>3813</v>
      </c>
      <c r="C111" s="32" t="s">
        <v>354</v>
      </c>
      <c r="D111" s="32" t="s">
        <v>251</v>
      </c>
      <c r="E111" s="100" t="s">
        <v>242</v>
      </c>
      <c r="F111" s="94" t="s">
        <v>243</v>
      </c>
      <c r="G111" s="94" t="s">
        <v>244</v>
      </c>
      <c r="H111" s="32">
        <v>0</v>
      </c>
      <c r="I111" s="32">
        <v>0</v>
      </c>
      <c r="J111" s="124">
        <v>0.16750999999999999</v>
      </c>
      <c r="K111" s="41">
        <v>3.1656577958666648E-7</v>
      </c>
      <c r="L111" s="41">
        <v>1.4185506493111263E-8</v>
      </c>
    </row>
    <row r="112" spans="2:12" x14ac:dyDescent="0.2">
      <c r="B112" s="72" t="s">
        <v>3814</v>
      </c>
      <c r="C112" s="32" t="s">
        <v>347</v>
      </c>
      <c r="D112" s="32" t="s">
        <v>296</v>
      </c>
      <c r="E112" s="100" t="s">
        <v>242</v>
      </c>
      <c r="F112" s="94" t="s">
        <v>243</v>
      </c>
      <c r="G112" s="94" t="s">
        <v>244</v>
      </c>
      <c r="H112" s="32">
        <v>0</v>
      </c>
      <c r="I112" s="32">
        <v>0</v>
      </c>
      <c r="J112" s="124">
        <v>4.2699999999999995E-3</v>
      </c>
      <c r="K112" s="41">
        <v>8.0695831821089237E-9</v>
      </c>
      <c r="L112" s="41">
        <v>3.6160296534884538E-10</v>
      </c>
    </row>
    <row r="113" spans="2:12" x14ac:dyDescent="0.2">
      <c r="B113" s="72" t="s">
        <v>3814</v>
      </c>
      <c r="C113" s="32" t="s">
        <v>353</v>
      </c>
      <c r="D113" s="32" t="s">
        <v>296</v>
      </c>
      <c r="E113" s="100" t="s">
        <v>242</v>
      </c>
      <c r="F113" s="94" t="s">
        <v>243</v>
      </c>
      <c r="G113" s="94" t="s">
        <v>244</v>
      </c>
      <c r="H113" s="32">
        <v>0</v>
      </c>
      <c r="I113" s="32">
        <v>0</v>
      </c>
      <c r="J113" s="124">
        <v>3.2563</v>
      </c>
      <c r="K113" s="41">
        <v>6.1538603550120117E-6</v>
      </c>
      <c r="L113" s="41">
        <v>2.7575825200595908E-7</v>
      </c>
    </row>
    <row r="114" spans="2:12" x14ac:dyDescent="0.2">
      <c r="B114" s="72" t="s">
        <v>3815</v>
      </c>
      <c r="C114" s="32" t="s">
        <v>348</v>
      </c>
      <c r="D114" s="32" t="s">
        <v>235</v>
      </c>
      <c r="E114" s="100" t="s">
        <v>253</v>
      </c>
      <c r="F114" s="94" t="s">
        <v>243</v>
      </c>
      <c r="G114" s="94" t="s">
        <v>244</v>
      </c>
      <c r="H114" s="32">
        <v>0</v>
      </c>
      <c r="I114" s="32">
        <v>0</v>
      </c>
      <c r="J114" s="124">
        <v>8.6700000000000006E-3</v>
      </c>
      <c r="K114" s="41">
        <v>1.6384844540722336E-8</v>
      </c>
      <c r="L114" s="41">
        <v>7.3421492027505615E-10</v>
      </c>
    </row>
    <row r="115" spans="2:12" x14ac:dyDescent="0.2">
      <c r="B115" s="72" t="s">
        <v>3815</v>
      </c>
      <c r="C115" s="32" t="s">
        <v>359</v>
      </c>
      <c r="D115" s="32" t="s">
        <v>235</v>
      </c>
      <c r="E115" s="100" t="s">
        <v>253</v>
      </c>
      <c r="F115" s="94" t="s">
        <v>243</v>
      </c>
      <c r="G115" s="94" t="s">
        <v>244</v>
      </c>
      <c r="H115" s="32">
        <v>0</v>
      </c>
      <c r="I115" s="32">
        <v>0</v>
      </c>
      <c r="J115" s="124">
        <v>6.6130500000000003</v>
      </c>
      <c r="K115" s="41">
        <v>1.2497554347176914E-5</v>
      </c>
      <c r="L115" s="41">
        <v>5.6002306557381321E-7</v>
      </c>
    </row>
    <row r="116" spans="2:12" s="160" customFormat="1" x14ac:dyDescent="0.2">
      <c r="B116" s="166" t="s">
        <v>360</v>
      </c>
      <c r="C116" s="167" t="s">
        <v>238</v>
      </c>
      <c r="D116" s="167" t="s">
        <v>238</v>
      </c>
      <c r="E116" s="164" t="s">
        <v>238</v>
      </c>
      <c r="F116" s="168" t="s">
        <v>238</v>
      </c>
      <c r="G116" s="168" t="s">
        <v>238</v>
      </c>
      <c r="H116" s="167" t="s">
        <v>238</v>
      </c>
      <c r="I116" s="167" t="s">
        <v>238</v>
      </c>
      <c r="J116" s="169">
        <v>0</v>
      </c>
      <c r="K116" s="163">
        <v>0</v>
      </c>
      <c r="L116" s="163">
        <v>0</v>
      </c>
    </row>
    <row r="117" spans="2:12" s="160" customFormat="1" x14ac:dyDescent="0.2">
      <c r="B117" s="166" t="s">
        <v>361</v>
      </c>
      <c r="C117" s="167" t="s">
        <v>238</v>
      </c>
      <c r="D117" s="167" t="s">
        <v>238</v>
      </c>
      <c r="E117" s="164" t="s">
        <v>238</v>
      </c>
      <c r="F117" s="168" t="s">
        <v>238</v>
      </c>
      <c r="G117" s="168" t="s">
        <v>238</v>
      </c>
      <c r="H117" s="167" t="s">
        <v>238</v>
      </c>
      <c r="I117" s="167" t="s">
        <v>238</v>
      </c>
      <c r="J117" s="169">
        <v>0</v>
      </c>
      <c r="K117" s="163">
        <v>0</v>
      </c>
      <c r="L117" s="163">
        <v>0</v>
      </c>
    </row>
    <row r="118" spans="2:12" s="160" customFormat="1" x14ac:dyDescent="0.2">
      <c r="B118" s="166" t="s">
        <v>362</v>
      </c>
      <c r="C118" s="167" t="s">
        <v>238</v>
      </c>
      <c r="D118" s="167" t="s">
        <v>238</v>
      </c>
      <c r="E118" s="164" t="s">
        <v>238</v>
      </c>
      <c r="F118" s="168" t="s">
        <v>238</v>
      </c>
      <c r="G118" s="168" t="s">
        <v>238</v>
      </c>
      <c r="H118" s="167" t="s">
        <v>238</v>
      </c>
      <c r="I118" s="167" t="s">
        <v>238</v>
      </c>
      <c r="J118" s="169">
        <v>9978.945042737696</v>
      </c>
      <c r="K118" s="163">
        <v>1.8858530934909915E-2</v>
      </c>
      <c r="L118" s="163">
        <v>8.4506232283538922E-4</v>
      </c>
    </row>
    <row r="119" spans="2:12" x14ac:dyDescent="0.2">
      <c r="B119" s="72" t="s">
        <v>369</v>
      </c>
      <c r="C119" s="32" t="s">
        <v>370</v>
      </c>
      <c r="D119" s="32" t="s">
        <v>248</v>
      </c>
      <c r="E119" s="100" t="s">
        <v>242</v>
      </c>
      <c r="F119" s="94" t="s">
        <v>243</v>
      </c>
      <c r="G119" s="94" t="s">
        <v>244</v>
      </c>
      <c r="H119" s="32">
        <v>8.0000000000000004E-4</v>
      </c>
      <c r="I119" s="32">
        <v>8.0000000000000004E-4</v>
      </c>
      <c r="J119" s="124">
        <v>621.49621660567288</v>
      </c>
      <c r="K119" s="41">
        <v>1.174523516923996E-3</v>
      </c>
      <c r="L119" s="41">
        <v>5.2631118238337156E-5</v>
      </c>
    </row>
    <row r="120" spans="2:12" x14ac:dyDescent="0.2">
      <c r="B120" s="72" t="s">
        <v>365</v>
      </c>
      <c r="C120" s="32" t="s">
        <v>366</v>
      </c>
      <c r="D120" s="32" t="s">
        <v>236</v>
      </c>
      <c r="E120" s="100" t="s">
        <v>242</v>
      </c>
      <c r="F120" s="94" t="s">
        <v>243</v>
      </c>
      <c r="G120" s="94" t="s">
        <v>244</v>
      </c>
      <c r="H120" s="32">
        <v>8.0000000000000004E-4</v>
      </c>
      <c r="I120" s="32">
        <v>8.0000000000000004E-4</v>
      </c>
      <c r="J120" s="124">
        <v>3349.5414428117379</v>
      </c>
      <c r="K120" s="41">
        <v>6.3300710292015132E-3</v>
      </c>
      <c r="L120" s="41">
        <v>2.8365436025282778E-4</v>
      </c>
    </row>
    <row r="121" spans="2:12" x14ac:dyDescent="0.2">
      <c r="B121" s="72" t="s">
        <v>363</v>
      </c>
      <c r="C121" s="32" t="s">
        <v>364</v>
      </c>
      <c r="D121" s="32" t="s">
        <v>241</v>
      </c>
      <c r="E121" s="100" t="s">
        <v>242</v>
      </c>
      <c r="F121" s="94" t="s">
        <v>243</v>
      </c>
      <c r="G121" s="94" t="s">
        <v>244</v>
      </c>
      <c r="H121" s="32">
        <v>8.0000000000000004E-4</v>
      </c>
      <c r="I121" s="32">
        <v>8.0000000000000004E-4</v>
      </c>
      <c r="J121" s="124">
        <v>2225.7937716698252</v>
      </c>
      <c r="K121" s="41">
        <v>4.2063765776837502E-3</v>
      </c>
      <c r="L121" s="41">
        <v>1.8849031102829034E-4</v>
      </c>
    </row>
    <row r="122" spans="2:12" x14ac:dyDescent="0.2">
      <c r="B122" s="72" t="s">
        <v>373</v>
      </c>
      <c r="C122" s="32" t="s">
        <v>374</v>
      </c>
      <c r="D122" s="32" t="s">
        <v>251</v>
      </c>
      <c r="E122" s="100" t="s">
        <v>242</v>
      </c>
      <c r="F122" s="94" t="s">
        <v>243</v>
      </c>
      <c r="G122" s="94" t="s">
        <v>244</v>
      </c>
      <c r="H122" s="32">
        <v>8.0000000000000004E-4</v>
      </c>
      <c r="I122" s="32">
        <v>8.0000000000000004E-4</v>
      </c>
      <c r="J122" s="124">
        <v>528.71142800226073</v>
      </c>
      <c r="K122" s="41">
        <v>9.9917584252829901E-4</v>
      </c>
      <c r="L122" s="41">
        <v>4.4773681540852474E-5</v>
      </c>
    </row>
    <row r="123" spans="2:12" x14ac:dyDescent="0.2">
      <c r="B123" s="72" t="s">
        <v>371</v>
      </c>
      <c r="C123" s="32" t="s">
        <v>372</v>
      </c>
      <c r="D123" s="32" t="s">
        <v>296</v>
      </c>
      <c r="E123" s="100" t="s">
        <v>242</v>
      </c>
      <c r="F123" s="94" t="s">
        <v>243</v>
      </c>
      <c r="G123" s="94" t="s">
        <v>244</v>
      </c>
      <c r="H123" s="32">
        <v>8.0000000000000004E-4</v>
      </c>
      <c r="I123" s="32">
        <v>8.0000000000000004E-4</v>
      </c>
      <c r="J123" s="124">
        <v>1382.9024914958948</v>
      </c>
      <c r="K123" s="41">
        <v>2.6134535568786421E-3</v>
      </c>
      <c r="L123" s="41">
        <v>1.1711045473377565E-4</v>
      </c>
    </row>
    <row r="124" spans="2:12" x14ac:dyDescent="0.2">
      <c r="B124" s="72" t="s">
        <v>367</v>
      </c>
      <c r="C124" s="32" t="s">
        <v>368</v>
      </c>
      <c r="D124" s="32" t="s">
        <v>235</v>
      </c>
      <c r="E124" s="100" t="s">
        <v>253</v>
      </c>
      <c r="F124" s="94" t="s">
        <v>243</v>
      </c>
      <c r="G124" s="94" t="s">
        <v>244</v>
      </c>
      <c r="H124" s="32">
        <v>8.0000000000000004E-4</v>
      </c>
      <c r="I124" s="32">
        <v>8.0000000000000004E-4</v>
      </c>
      <c r="J124" s="124">
        <v>1870.4996920523058</v>
      </c>
      <c r="K124" s="41">
        <v>3.534930411504733E-3</v>
      </c>
      <c r="L124" s="41">
        <v>1.5840239703283747E-4</v>
      </c>
    </row>
    <row r="125" spans="2:12" s="160" customFormat="1" x14ac:dyDescent="0.2">
      <c r="B125" s="166" t="s">
        <v>375</v>
      </c>
      <c r="C125" s="167" t="s">
        <v>238</v>
      </c>
      <c r="D125" s="167" t="s">
        <v>238</v>
      </c>
      <c r="E125" s="164" t="s">
        <v>238</v>
      </c>
      <c r="F125" s="168" t="s">
        <v>238</v>
      </c>
      <c r="G125" s="168" t="s">
        <v>238</v>
      </c>
      <c r="H125" s="167" t="s">
        <v>238</v>
      </c>
      <c r="I125" s="167" t="s">
        <v>238</v>
      </c>
      <c r="J125" s="169">
        <v>7445.6203104417946</v>
      </c>
      <c r="K125" s="163">
        <v>1.4070972467800875E-2</v>
      </c>
      <c r="L125" s="163">
        <v>6.3052889534364026E-4</v>
      </c>
    </row>
    <row r="126" spans="2:12" x14ac:dyDescent="0.2">
      <c r="B126" s="72" t="s">
        <v>3816</v>
      </c>
      <c r="C126" s="32" t="s">
        <v>376</v>
      </c>
      <c r="D126" s="32" t="s">
        <v>236</v>
      </c>
      <c r="E126" s="100" t="s">
        <v>242</v>
      </c>
      <c r="F126" s="94" t="s">
        <v>243</v>
      </c>
      <c r="G126" s="94" t="s">
        <v>128</v>
      </c>
      <c r="H126" s="32">
        <v>0</v>
      </c>
      <c r="I126" s="32">
        <v>0</v>
      </c>
      <c r="J126" s="124">
        <v>3.8374699999999997</v>
      </c>
      <c r="K126" s="41">
        <v>7.2521740922359557E-6</v>
      </c>
      <c r="L126" s="41">
        <v>3.2497436333424675E-7</v>
      </c>
    </row>
    <row r="127" spans="2:12" x14ac:dyDescent="0.2">
      <c r="B127" s="72" t="s">
        <v>3822</v>
      </c>
      <c r="C127" s="32" t="s">
        <v>381</v>
      </c>
      <c r="D127" s="32" t="s">
        <v>236</v>
      </c>
      <c r="E127" s="100" t="s">
        <v>242</v>
      </c>
      <c r="F127" s="94" t="s">
        <v>243</v>
      </c>
      <c r="G127" s="94" t="s">
        <v>127</v>
      </c>
      <c r="H127" s="32">
        <v>0</v>
      </c>
      <c r="I127" s="32">
        <v>0</v>
      </c>
      <c r="J127" s="124">
        <v>-16174.08</v>
      </c>
      <c r="K127" s="41">
        <v>-3.0566296007982274E-2</v>
      </c>
      <c r="L127" s="41">
        <v>-1.3696944472574833E-3</v>
      </c>
    </row>
    <row r="128" spans="2:12" x14ac:dyDescent="0.2">
      <c r="B128" s="72" t="s">
        <v>3822</v>
      </c>
      <c r="C128" s="32" t="s">
        <v>382</v>
      </c>
      <c r="D128" s="32" t="s">
        <v>236</v>
      </c>
      <c r="E128" s="100" t="s">
        <v>242</v>
      </c>
      <c r="F128" s="94" t="s">
        <v>243</v>
      </c>
      <c r="G128" s="94" t="s">
        <v>127</v>
      </c>
      <c r="H128" s="32">
        <v>0</v>
      </c>
      <c r="I128" s="32">
        <v>0</v>
      </c>
      <c r="J128" s="124">
        <v>-128.21114215227294</v>
      </c>
      <c r="K128" s="41">
        <v>-2.4229753547329235E-4</v>
      </c>
      <c r="L128" s="41">
        <v>-1.0857500981972891E-5</v>
      </c>
    </row>
    <row r="129" spans="2:12" x14ac:dyDescent="0.2">
      <c r="B129" s="72" t="s">
        <v>3863</v>
      </c>
      <c r="C129" s="32" t="s">
        <v>377</v>
      </c>
      <c r="D129" s="32" t="s">
        <v>241</v>
      </c>
      <c r="E129" s="100" t="s">
        <v>242</v>
      </c>
      <c r="F129" s="94" t="s">
        <v>243</v>
      </c>
      <c r="G129" s="94" t="s">
        <v>127</v>
      </c>
      <c r="H129" s="32">
        <v>0</v>
      </c>
      <c r="I129" s="32">
        <v>0</v>
      </c>
      <c r="J129" s="124">
        <v>9.5999999999999992E-4</v>
      </c>
      <c r="K129" s="41">
        <v>1.8142388418792898E-9</v>
      </c>
      <c r="L129" s="41">
        <v>8.1297153802082335E-11</v>
      </c>
    </row>
    <row r="130" spans="2:12" x14ac:dyDescent="0.2">
      <c r="B130" s="72" t="s">
        <v>3863</v>
      </c>
      <c r="C130" s="32" t="s">
        <v>378</v>
      </c>
      <c r="D130" s="32" t="s">
        <v>241</v>
      </c>
      <c r="E130" s="100" t="s">
        <v>242</v>
      </c>
      <c r="F130" s="94" t="s">
        <v>243</v>
      </c>
      <c r="G130" s="94" t="s">
        <v>127</v>
      </c>
      <c r="H130" s="32">
        <v>0</v>
      </c>
      <c r="I130" s="32">
        <v>0</v>
      </c>
      <c r="J130" s="124">
        <v>-18.679022285962308</v>
      </c>
      <c r="K130" s="41">
        <v>-3.5300216416168437E-5</v>
      </c>
      <c r="L130" s="41">
        <v>-1.5818243204733349E-6</v>
      </c>
    </row>
    <row r="131" spans="2:12" x14ac:dyDescent="0.2">
      <c r="B131" s="72" t="s">
        <v>3863</v>
      </c>
      <c r="C131" s="32" t="s">
        <v>379</v>
      </c>
      <c r="D131" s="32" t="s">
        <v>241</v>
      </c>
      <c r="E131" s="100" t="s">
        <v>242</v>
      </c>
      <c r="F131" s="94" t="s">
        <v>243</v>
      </c>
      <c r="G131" s="94" t="s">
        <v>127</v>
      </c>
      <c r="H131" s="32">
        <v>0</v>
      </c>
      <c r="I131" s="32">
        <v>0</v>
      </c>
      <c r="J131" s="124">
        <v>1450.0915403287158</v>
      </c>
      <c r="K131" s="41">
        <v>2.7404295799426303E-3</v>
      </c>
      <c r="L131" s="41">
        <v>1.2280032810541884E-4</v>
      </c>
    </row>
    <row r="132" spans="2:12" x14ac:dyDescent="0.2">
      <c r="B132" s="72" t="s">
        <v>3864</v>
      </c>
      <c r="C132" s="32" t="s">
        <v>380</v>
      </c>
      <c r="D132" s="32" t="s">
        <v>241</v>
      </c>
      <c r="E132" s="100" t="s">
        <v>242</v>
      </c>
      <c r="F132" s="94" t="s">
        <v>243</v>
      </c>
      <c r="G132" s="94" t="s">
        <v>127</v>
      </c>
      <c r="H132" s="32">
        <v>0</v>
      </c>
      <c r="I132" s="32">
        <v>0</v>
      </c>
      <c r="J132" s="124">
        <v>0</v>
      </c>
      <c r="K132" s="41">
        <v>0</v>
      </c>
      <c r="L132" s="41">
        <v>0</v>
      </c>
    </row>
    <row r="133" spans="2:12" x14ac:dyDescent="0.2">
      <c r="B133" s="72" t="s">
        <v>3806</v>
      </c>
      <c r="C133" s="32" t="s">
        <v>383</v>
      </c>
      <c r="D133" s="32" t="s">
        <v>241</v>
      </c>
      <c r="E133" s="100" t="s">
        <v>242</v>
      </c>
      <c r="F133" s="94" t="s">
        <v>243</v>
      </c>
      <c r="G133" s="94" t="s">
        <v>127</v>
      </c>
      <c r="H133" s="32">
        <v>2.23E-2</v>
      </c>
      <c r="I133" s="32">
        <v>2.0400000000000001E-2</v>
      </c>
      <c r="J133" s="124">
        <v>3188.7599813676916</v>
      </c>
      <c r="K133" s="41">
        <v>6.0262210579453603E-3</v>
      </c>
      <c r="L133" s="41">
        <v>2.7003865691997339E-4</v>
      </c>
    </row>
    <row r="134" spans="2:12" x14ac:dyDescent="0.2">
      <c r="B134" s="72" t="s">
        <v>3806</v>
      </c>
      <c r="C134" s="32" t="s">
        <v>384</v>
      </c>
      <c r="D134" s="32" t="s">
        <v>241</v>
      </c>
      <c r="E134" s="100" t="s">
        <v>242</v>
      </c>
      <c r="F134" s="94" t="s">
        <v>243</v>
      </c>
      <c r="G134" s="94" t="s">
        <v>127</v>
      </c>
      <c r="H134" s="32">
        <v>2.2000000000000002E-2</v>
      </c>
      <c r="I134" s="32">
        <v>2.2400000000000003E-2</v>
      </c>
      <c r="J134" s="124">
        <v>9551.1080752526741</v>
      </c>
      <c r="K134" s="41">
        <v>1.8049990888656609E-2</v>
      </c>
      <c r="L134" s="41">
        <v>8.0883114809804921E-4</v>
      </c>
    </row>
    <row r="135" spans="2:12" x14ac:dyDescent="0.2">
      <c r="B135" s="72" t="s">
        <v>3806</v>
      </c>
      <c r="C135" s="32" t="s">
        <v>385</v>
      </c>
      <c r="D135" s="32" t="s">
        <v>241</v>
      </c>
      <c r="E135" s="100" t="s">
        <v>242</v>
      </c>
      <c r="F135" s="94" t="s">
        <v>243</v>
      </c>
      <c r="G135" s="94" t="s">
        <v>127</v>
      </c>
      <c r="H135" s="32">
        <v>2.2599999999999999E-2</v>
      </c>
      <c r="I135" s="32">
        <v>2.4700000000000003E-2</v>
      </c>
      <c r="J135" s="124">
        <v>6389.0894508022293</v>
      </c>
      <c r="K135" s="41">
        <v>1.20743065061319E-2</v>
      </c>
      <c r="L135" s="41">
        <v>5.4105707055951109E-4</v>
      </c>
    </row>
    <row r="136" spans="2:12" x14ac:dyDescent="0.2">
      <c r="B136" s="72" t="s">
        <v>386</v>
      </c>
      <c r="C136" s="32" t="s">
        <v>387</v>
      </c>
      <c r="D136" s="32" t="s">
        <v>241</v>
      </c>
      <c r="E136" s="100" t="s">
        <v>242</v>
      </c>
      <c r="F136" s="94" t="s">
        <v>243</v>
      </c>
      <c r="G136" s="94" t="s">
        <v>127</v>
      </c>
      <c r="H136" s="32">
        <v>1.46E-2</v>
      </c>
      <c r="I136" s="32">
        <v>2.29E-2</v>
      </c>
      <c r="J136" s="124">
        <v>3183.7026917508915</v>
      </c>
      <c r="K136" s="41">
        <v>6.0166636295522031E-3</v>
      </c>
      <c r="L136" s="41">
        <v>2.6961038269934979E-4</v>
      </c>
    </row>
    <row r="137" spans="2:12" s="160" customFormat="1" x14ac:dyDescent="0.2">
      <c r="B137" s="166" t="s">
        <v>388</v>
      </c>
      <c r="C137" s="167" t="s">
        <v>238</v>
      </c>
      <c r="D137" s="167" t="s">
        <v>238</v>
      </c>
      <c r="E137" s="164" t="s">
        <v>238</v>
      </c>
      <c r="F137" s="168" t="s">
        <v>238</v>
      </c>
      <c r="G137" s="168" t="s">
        <v>238</v>
      </c>
      <c r="H137" s="167" t="s">
        <v>238</v>
      </c>
      <c r="I137" s="167" t="s">
        <v>238</v>
      </c>
      <c r="J137" s="169">
        <v>27507.533398199728</v>
      </c>
      <c r="K137" s="163">
        <v>5.1984620349276832E-2</v>
      </c>
      <c r="L137" s="163">
        <v>2.3294626806139168E-3</v>
      </c>
    </row>
    <row r="138" spans="2:12" s="160" customFormat="1" x14ac:dyDescent="0.2">
      <c r="B138" s="166" t="s">
        <v>298</v>
      </c>
      <c r="C138" s="167" t="s">
        <v>238</v>
      </c>
      <c r="D138" s="167" t="s">
        <v>238</v>
      </c>
      <c r="E138" s="164" t="s">
        <v>238</v>
      </c>
      <c r="F138" s="168" t="s">
        <v>238</v>
      </c>
      <c r="G138" s="168" t="s">
        <v>238</v>
      </c>
      <c r="H138" s="167" t="s">
        <v>238</v>
      </c>
      <c r="I138" s="167" t="s">
        <v>238</v>
      </c>
      <c r="J138" s="169">
        <v>1657.7634208855836</v>
      </c>
      <c r="K138" s="163">
        <v>3.1328945716846989E-3</v>
      </c>
      <c r="L138" s="163">
        <v>1.4038692478666819E-4</v>
      </c>
    </row>
    <row r="139" spans="2:12" x14ac:dyDescent="0.2">
      <c r="B139" s="72" t="s">
        <v>3844</v>
      </c>
      <c r="C139" s="32" t="s">
        <v>389</v>
      </c>
      <c r="D139" s="32" t="s">
        <v>390</v>
      </c>
      <c r="E139" s="100" t="s">
        <v>357</v>
      </c>
      <c r="F139" s="94" t="s">
        <v>358</v>
      </c>
      <c r="G139" s="94" t="s">
        <v>128</v>
      </c>
      <c r="H139" s="32">
        <v>0</v>
      </c>
      <c r="I139" s="32">
        <v>0</v>
      </c>
      <c r="J139" s="124">
        <v>360.98835316094727</v>
      </c>
      <c r="K139" s="41">
        <v>6.8220738726107195E-4</v>
      </c>
      <c r="L139" s="41">
        <v>3.0570130903839526E-5</v>
      </c>
    </row>
    <row r="140" spans="2:12" x14ac:dyDescent="0.2">
      <c r="B140" s="72" t="s">
        <v>3844</v>
      </c>
      <c r="C140" s="32" t="s">
        <v>391</v>
      </c>
      <c r="D140" s="32" t="s">
        <v>390</v>
      </c>
      <c r="E140" s="100" t="s">
        <v>357</v>
      </c>
      <c r="F140" s="94" t="s">
        <v>358</v>
      </c>
      <c r="G140" s="94" t="s">
        <v>128</v>
      </c>
      <c r="H140" s="32">
        <v>0</v>
      </c>
      <c r="I140" s="32">
        <v>0</v>
      </c>
      <c r="J140" s="124">
        <v>693.70741685978362</v>
      </c>
      <c r="K140" s="41">
        <v>1.3109905630903829E-3</v>
      </c>
      <c r="L140" s="41">
        <v>5.8746290168849041E-5</v>
      </c>
    </row>
    <row r="141" spans="2:12" x14ac:dyDescent="0.2">
      <c r="B141" s="72" t="s">
        <v>3845</v>
      </c>
      <c r="C141" s="32" t="s">
        <v>392</v>
      </c>
      <c r="D141" s="32" t="s">
        <v>390</v>
      </c>
      <c r="E141" s="100" t="s">
        <v>357</v>
      </c>
      <c r="F141" s="94" t="s">
        <v>358</v>
      </c>
      <c r="G141" s="94" t="s">
        <v>128</v>
      </c>
      <c r="H141" s="32">
        <v>0</v>
      </c>
      <c r="I141" s="32">
        <v>0</v>
      </c>
      <c r="J141" s="124">
        <v>-2573.6512988332183</v>
      </c>
      <c r="K141" s="41">
        <v>-4.8637689081211539E-3</v>
      </c>
      <c r="L141" s="41">
        <v>-2.1794846403559701E-4</v>
      </c>
    </row>
    <row r="142" spans="2:12" x14ac:dyDescent="0.2">
      <c r="B142" s="72" t="s">
        <v>3865</v>
      </c>
      <c r="C142" s="32" t="s">
        <v>393</v>
      </c>
      <c r="D142" s="32" t="s">
        <v>390</v>
      </c>
      <c r="E142" s="100" t="s">
        <v>357</v>
      </c>
      <c r="F142" s="94" t="s">
        <v>358</v>
      </c>
      <c r="G142" s="94" t="s">
        <v>128</v>
      </c>
      <c r="H142" s="32">
        <v>0</v>
      </c>
      <c r="I142" s="32">
        <v>0</v>
      </c>
      <c r="J142" s="124">
        <v>306.37779999999998</v>
      </c>
      <c r="K142" s="41">
        <v>5.790026094265882E-4</v>
      </c>
      <c r="L142" s="41">
        <v>2.5945461591816273E-5</v>
      </c>
    </row>
    <row r="143" spans="2:12" x14ac:dyDescent="0.2">
      <c r="B143" s="72" t="s">
        <v>3846</v>
      </c>
      <c r="C143" s="32" t="s">
        <v>394</v>
      </c>
      <c r="D143" s="32" t="s">
        <v>390</v>
      </c>
      <c r="E143" s="100" t="s">
        <v>357</v>
      </c>
      <c r="F143" s="94" t="s">
        <v>358</v>
      </c>
      <c r="G143" s="94" t="s">
        <v>2</v>
      </c>
      <c r="H143" s="32">
        <v>0</v>
      </c>
      <c r="I143" s="32">
        <v>0</v>
      </c>
      <c r="J143" s="124">
        <v>-1.0230939400380439</v>
      </c>
      <c r="K143" s="41">
        <v>-1.9334757967795211E-6</v>
      </c>
      <c r="L143" s="41">
        <v>-8.6640234788803405E-8</v>
      </c>
    </row>
    <row r="144" spans="2:12" x14ac:dyDescent="0.2">
      <c r="B144" s="72" t="s">
        <v>3847</v>
      </c>
      <c r="C144" s="32" t="s">
        <v>395</v>
      </c>
      <c r="D144" s="32" t="s">
        <v>390</v>
      </c>
      <c r="E144" s="100" t="s">
        <v>357</v>
      </c>
      <c r="F144" s="94" t="s">
        <v>358</v>
      </c>
      <c r="G144" s="94" t="s">
        <v>2</v>
      </c>
      <c r="H144" s="32">
        <v>0</v>
      </c>
      <c r="I144" s="32">
        <v>0</v>
      </c>
      <c r="J144" s="124">
        <v>1.0231001044428691</v>
      </c>
      <c r="K144" s="41">
        <v>1.9334874464698032E-6</v>
      </c>
      <c r="L144" s="41">
        <v>8.6640756818560877E-8</v>
      </c>
    </row>
    <row r="145" spans="2:12" x14ac:dyDescent="0.2">
      <c r="B145" s="72" t="s">
        <v>3848</v>
      </c>
      <c r="C145" s="32" t="s">
        <v>396</v>
      </c>
      <c r="D145" s="32" t="s">
        <v>390</v>
      </c>
      <c r="E145" s="100" t="s">
        <v>357</v>
      </c>
      <c r="F145" s="94" t="s">
        <v>358</v>
      </c>
      <c r="G145" s="94" t="s">
        <v>2</v>
      </c>
      <c r="H145" s="32">
        <v>0</v>
      </c>
      <c r="I145" s="32">
        <v>0</v>
      </c>
      <c r="J145" s="124">
        <v>2436.7723232556937</v>
      </c>
      <c r="K145" s="41">
        <v>4.6050906225697042E-3</v>
      </c>
      <c r="L145" s="41">
        <v>2.0635693160872461E-4</v>
      </c>
    </row>
    <row r="146" spans="2:12" x14ac:dyDescent="0.2">
      <c r="B146" s="72" t="s">
        <v>3849</v>
      </c>
      <c r="C146" s="32" t="s">
        <v>397</v>
      </c>
      <c r="D146" s="32" t="s">
        <v>390</v>
      </c>
      <c r="E146" s="100" t="s">
        <v>357</v>
      </c>
      <c r="F146" s="94" t="s">
        <v>358</v>
      </c>
      <c r="G146" s="94" t="s">
        <v>318</v>
      </c>
      <c r="H146" s="32">
        <v>0</v>
      </c>
      <c r="I146" s="32">
        <v>0</v>
      </c>
      <c r="J146" s="124">
        <v>-0.90617435865128793</v>
      </c>
      <c r="K146" s="41">
        <v>-1.7125174156043966E-6</v>
      </c>
      <c r="L146" s="41">
        <v>-7.6738954382059454E-8</v>
      </c>
    </row>
    <row r="147" spans="2:12" x14ac:dyDescent="0.2">
      <c r="B147" s="72" t="s">
        <v>3823</v>
      </c>
      <c r="C147" s="32" t="s">
        <v>398</v>
      </c>
      <c r="D147" s="32" t="s">
        <v>390</v>
      </c>
      <c r="E147" s="100" t="s">
        <v>357</v>
      </c>
      <c r="F147" s="94" t="s">
        <v>358</v>
      </c>
      <c r="G147" s="94" t="s">
        <v>318</v>
      </c>
      <c r="H147" s="32">
        <v>0</v>
      </c>
      <c r="I147" s="32">
        <v>0</v>
      </c>
      <c r="J147" s="124">
        <v>2.0975038105108639</v>
      </c>
      <c r="K147" s="41">
        <v>3.963930087519403E-6</v>
      </c>
      <c r="L147" s="41">
        <v>1.7762613529537028E-7</v>
      </c>
    </row>
    <row r="148" spans="2:12" x14ac:dyDescent="0.2">
      <c r="B148" s="72" t="s">
        <v>3850</v>
      </c>
      <c r="C148" s="32" t="s">
        <v>399</v>
      </c>
      <c r="D148" s="32" t="s">
        <v>390</v>
      </c>
      <c r="E148" s="100" t="s">
        <v>357</v>
      </c>
      <c r="F148" s="94" t="s">
        <v>358</v>
      </c>
      <c r="G148" s="94" t="s">
        <v>127</v>
      </c>
      <c r="H148" s="32">
        <v>0</v>
      </c>
      <c r="I148" s="32">
        <v>0</v>
      </c>
      <c r="J148" s="124">
        <v>0.16917278091470836</v>
      </c>
      <c r="K148" s="41">
        <v>3.1970815637937428E-7</v>
      </c>
      <c r="L148" s="41">
        <v>1.4326318322030234E-8</v>
      </c>
    </row>
    <row r="149" spans="2:12" x14ac:dyDescent="0.2">
      <c r="B149" s="72" t="s">
        <v>3850</v>
      </c>
      <c r="C149" s="32" t="s">
        <v>400</v>
      </c>
      <c r="D149" s="32" t="s">
        <v>390</v>
      </c>
      <c r="E149" s="100" t="s">
        <v>357</v>
      </c>
      <c r="F149" s="94" t="s">
        <v>358</v>
      </c>
      <c r="G149" s="94" t="s">
        <v>127</v>
      </c>
      <c r="H149" s="32">
        <v>0</v>
      </c>
      <c r="I149" s="32">
        <v>0</v>
      </c>
      <c r="J149" s="124">
        <v>0.601324676960177</v>
      </c>
      <c r="K149" s="41">
        <v>1.1364026932517392E-6</v>
      </c>
      <c r="L149" s="41">
        <v>5.0922900778978112E-8</v>
      </c>
    </row>
    <row r="150" spans="2:12" x14ac:dyDescent="0.2">
      <c r="B150" s="72" t="s">
        <v>3851</v>
      </c>
      <c r="C150" s="32" t="s">
        <v>401</v>
      </c>
      <c r="D150" s="32" t="s">
        <v>390</v>
      </c>
      <c r="E150" s="100" t="s">
        <v>357</v>
      </c>
      <c r="F150" s="94" t="s">
        <v>358</v>
      </c>
      <c r="G150" s="94" t="s">
        <v>127</v>
      </c>
      <c r="H150" s="32">
        <v>0</v>
      </c>
      <c r="I150" s="32">
        <v>0</v>
      </c>
      <c r="J150" s="124">
        <v>-0.60132673176178553</v>
      </c>
      <c r="K150" s="41">
        <v>-1.1364065764818334E-6</v>
      </c>
      <c r="L150" s="41">
        <v>-5.092307478889728E-8</v>
      </c>
    </row>
    <row r="151" spans="2:12" x14ac:dyDescent="0.2">
      <c r="B151" s="72" t="s">
        <v>402</v>
      </c>
      <c r="C151" s="32" t="s">
        <v>403</v>
      </c>
      <c r="D151" s="32" t="s">
        <v>236</v>
      </c>
      <c r="E151" s="100" t="s">
        <v>242</v>
      </c>
      <c r="F151" s="94" t="s">
        <v>243</v>
      </c>
      <c r="G151" s="94" t="s">
        <v>127</v>
      </c>
      <c r="H151" s="32">
        <v>0</v>
      </c>
      <c r="I151" s="32">
        <v>0</v>
      </c>
      <c r="J151" s="124">
        <v>428.37984</v>
      </c>
      <c r="K151" s="41">
        <v>8.0956598417295368E-4</v>
      </c>
      <c r="L151" s="41">
        <v>3.6277147643949399E-5</v>
      </c>
    </row>
    <row r="152" spans="2:12" x14ac:dyDescent="0.2">
      <c r="B152" s="72" t="s">
        <v>404</v>
      </c>
      <c r="C152" s="32" t="s">
        <v>405</v>
      </c>
      <c r="D152" s="32" t="s">
        <v>236</v>
      </c>
      <c r="E152" s="100" t="s">
        <v>242</v>
      </c>
      <c r="F152" s="94" t="s">
        <v>243</v>
      </c>
      <c r="G152" s="94" t="s">
        <v>127</v>
      </c>
      <c r="H152" s="32">
        <v>0</v>
      </c>
      <c r="I152" s="32">
        <v>0</v>
      </c>
      <c r="J152" s="124">
        <v>3.8284799999999999</v>
      </c>
      <c r="K152" s="41">
        <v>7.2351845014146076E-6</v>
      </c>
      <c r="L152" s="41">
        <v>3.2421304936270439E-7</v>
      </c>
    </row>
    <row r="153" spans="2:12" s="160" customFormat="1" x14ac:dyDescent="0.2">
      <c r="B153" s="166" t="s">
        <v>375</v>
      </c>
      <c r="C153" s="167" t="s">
        <v>238</v>
      </c>
      <c r="D153" s="167" t="s">
        <v>238</v>
      </c>
      <c r="E153" s="164" t="s">
        <v>238</v>
      </c>
      <c r="F153" s="168" t="s">
        <v>238</v>
      </c>
      <c r="G153" s="168" t="s">
        <v>238</v>
      </c>
      <c r="H153" s="167" t="s">
        <v>238</v>
      </c>
      <c r="I153" s="167" t="s">
        <v>238</v>
      </c>
      <c r="J153" s="169">
        <v>25849.769977314143</v>
      </c>
      <c r="K153" s="163">
        <v>4.8851725777592135E-2</v>
      </c>
      <c r="L153" s="163">
        <v>2.1890757558272484E-3</v>
      </c>
    </row>
    <row r="154" spans="2:12" x14ac:dyDescent="0.2">
      <c r="B154" s="72" t="s">
        <v>3852</v>
      </c>
      <c r="C154" s="32" t="s">
        <v>406</v>
      </c>
      <c r="D154" s="32" t="s">
        <v>390</v>
      </c>
      <c r="E154" s="100" t="s">
        <v>357</v>
      </c>
      <c r="F154" s="94" t="s">
        <v>358</v>
      </c>
      <c r="G154" s="94" t="s">
        <v>127</v>
      </c>
      <c r="H154" s="32">
        <v>0</v>
      </c>
      <c r="I154" s="32">
        <v>0</v>
      </c>
      <c r="J154" s="124">
        <v>-5184</v>
      </c>
      <c r="K154" s="41">
        <v>-9.7968897461481654E-3</v>
      </c>
      <c r="L154" s="41">
        <v>-4.3900463053124462E-4</v>
      </c>
    </row>
    <row r="155" spans="2:12" x14ac:dyDescent="0.2">
      <c r="B155" s="72" t="s">
        <v>3852</v>
      </c>
      <c r="C155" s="32" t="s">
        <v>407</v>
      </c>
      <c r="D155" s="32" t="s">
        <v>390</v>
      </c>
      <c r="E155" s="100" t="s">
        <v>357</v>
      </c>
      <c r="F155" s="94" t="s">
        <v>358</v>
      </c>
      <c r="G155" s="94" t="s">
        <v>127</v>
      </c>
      <c r="H155" s="32">
        <v>0</v>
      </c>
      <c r="I155" s="32">
        <v>0</v>
      </c>
      <c r="J155" s="124">
        <v>-812.01410788557234</v>
      </c>
      <c r="K155" s="41">
        <v>-1.534570348624964E-3</v>
      </c>
      <c r="L155" s="41">
        <v>-6.8765037310660471E-5</v>
      </c>
    </row>
    <row r="156" spans="2:12" x14ac:dyDescent="0.2">
      <c r="B156" s="72" t="s">
        <v>3852</v>
      </c>
      <c r="C156" s="32" t="s">
        <v>408</v>
      </c>
      <c r="D156" s="32" t="s">
        <v>390</v>
      </c>
      <c r="E156" s="100" t="s">
        <v>357</v>
      </c>
      <c r="F156" s="94" t="s">
        <v>358</v>
      </c>
      <c r="G156" s="94" t="s">
        <v>127</v>
      </c>
      <c r="H156" s="32">
        <v>0</v>
      </c>
      <c r="I156" s="32">
        <v>0</v>
      </c>
      <c r="J156" s="124">
        <v>890.04142628972409</v>
      </c>
      <c r="K156" s="41">
        <v>1.6820288817254794E-3</v>
      </c>
      <c r="L156" s="41">
        <v>7.5372744503437954E-5</v>
      </c>
    </row>
    <row r="157" spans="2:12" x14ac:dyDescent="0.2">
      <c r="B157" s="72" t="s">
        <v>3866</v>
      </c>
      <c r="C157" s="32" t="s">
        <v>409</v>
      </c>
      <c r="D157" s="32" t="s">
        <v>410</v>
      </c>
      <c r="E157" s="100" t="s">
        <v>411</v>
      </c>
      <c r="F157" s="94" t="s">
        <v>412</v>
      </c>
      <c r="G157" s="94" t="s">
        <v>127</v>
      </c>
      <c r="H157" s="32">
        <v>0</v>
      </c>
      <c r="I157" s="32">
        <v>0</v>
      </c>
      <c r="J157" s="124">
        <v>-1363.4677168693645</v>
      </c>
      <c r="K157" s="41">
        <v>-2.5767250954092449E-3</v>
      </c>
      <c r="L157" s="41">
        <v>-1.1546462987760707E-4</v>
      </c>
    </row>
    <row r="158" spans="2:12" x14ac:dyDescent="0.2">
      <c r="B158" s="72" t="s">
        <v>3867</v>
      </c>
      <c r="C158" s="32" t="s">
        <v>413</v>
      </c>
      <c r="D158" s="32" t="s">
        <v>410</v>
      </c>
      <c r="E158" s="100" t="s">
        <v>411</v>
      </c>
      <c r="F158" s="94" t="s">
        <v>412</v>
      </c>
      <c r="G158" s="94" t="s">
        <v>244</v>
      </c>
      <c r="H158" s="32">
        <v>0</v>
      </c>
      <c r="I158" s="32">
        <v>0</v>
      </c>
      <c r="J158" s="124">
        <v>13895.180420000001</v>
      </c>
      <c r="K158" s="41">
        <v>2.6259558367588108E-2</v>
      </c>
      <c r="L158" s="41">
        <v>1.1767068955337741E-3</v>
      </c>
    </row>
    <row r="159" spans="2:12" x14ac:dyDescent="0.2">
      <c r="B159" s="72" t="s">
        <v>3824</v>
      </c>
      <c r="C159" s="32" t="s">
        <v>414</v>
      </c>
      <c r="D159" s="32" t="s">
        <v>410</v>
      </c>
      <c r="E159" s="100" t="s">
        <v>411</v>
      </c>
      <c r="F159" s="94" t="s">
        <v>412</v>
      </c>
      <c r="G159" s="94" t="s">
        <v>127</v>
      </c>
      <c r="H159" s="32">
        <v>0</v>
      </c>
      <c r="I159" s="32">
        <v>0</v>
      </c>
      <c r="J159" s="124">
        <v>2145.590944257091</v>
      </c>
      <c r="K159" s="41">
        <v>4.0548066977663293E-3</v>
      </c>
      <c r="L159" s="41">
        <v>1.816983718662748E-4</v>
      </c>
    </row>
    <row r="160" spans="2:12" x14ac:dyDescent="0.2">
      <c r="B160" s="72" t="s">
        <v>3824</v>
      </c>
      <c r="C160" s="32" t="s">
        <v>415</v>
      </c>
      <c r="D160" s="32" t="s">
        <v>410</v>
      </c>
      <c r="E160" s="100" t="s">
        <v>411</v>
      </c>
      <c r="F160" s="94" t="s">
        <v>412</v>
      </c>
      <c r="G160" s="94" t="s">
        <v>127</v>
      </c>
      <c r="H160" s="32">
        <v>0</v>
      </c>
      <c r="I160" s="32">
        <v>0</v>
      </c>
      <c r="J160" s="124">
        <v>11352.515671906078</v>
      </c>
      <c r="K160" s="41">
        <v>2.1454348838557676E-2</v>
      </c>
      <c r="L160" s="41">
        <v>9.6138251314531096E-4</v>
      </c>
    </row>
    <row r="161" spans="2:12" x14ac:dyDescent="0.2">
      <c r="B161" s="72" t="s">
        <v>3825</v>
      </c>
      <c r="C161" s="32" t="s">
        <v>416</v>
      </c>
      <c r="D161" s="32" t="s">
        <v>410</v>
      </c>
      <c r="E161" s="100" t="s">
        <v>411</v>
      </c>
      <c r="F161" s="94" t="s">
        <v>412</v>
      </c>
      <c r="G161" s="94" t="s">
        <v>128</v>
      </c>
      <c r="H161" s="32">
        <v>0</v>
      </c>
      <c r="I161" s="32">
        <v>0</v>
      </c>
      <c r="J161" s="124">
        <v>1787.6477238793345</v>
      </c>
      <c r="K161" s="41">
        <v>3.3783541002697834E-3</v>
      </c>
      <c r="L161" s="41">
        <v>1.5138611661683405E-4</v>
      </c>
    </row>
    <row r="162" spans="2:12" x14ac:dyDescent="0.2">
      <c r="B162" s="72" t="s">
        <v>3826</v>
      </c>
      <c r="C162" s="32" t="s">
        <v>417</v>
      </c>
      <c r="D162" s="32" t="s">
        <v>410</v>
      </c>
      <c r="E162" s="100" t="s">
        <v>411</v>
      </c>
      <c r="F162" s="94" t="s">
        <v>412</v>
      </c>
      <c r="G162" s="94" t="s">
        <v>2</v>
      </c>
      <c r="H162" s="32">
        <v>0</v>
      </c>
      <c r="I162" s="32">
        <v>0</v>
      </c>
      <c r="J162" s="124">
        <v>2.3472067266352368</v>
      </c>
      <c r="K162" s="41">
        <v>4.4358266806062403E-6</v>
      </c>
      <c r="L162" s="41">
        <v>1.9877211068806988E-7</v>
      </c>
    </row>
    <row r="163" spans="2:12" x14ac:dyDescent="0.2">
      <c r="B163" s="72" t="s">
        <v>3827</v>
      </c>
      <c r="C163" s="32" t="s">
        <v>418</v>
      </c>
      <c r="D163" s="32" t="s">
        <v>410</v>
      </c>
      <c r="E163" s="100" t="s">
        <v>411</v>
      </c>
      <c r="F163" s="94" t="s">
        <v>412</v>
      </c>
      <c r="G163" s="94" t="s">
        <v>318</v>
      </c>
      <c r="H163" s="32">
        <v>0</v>
      </c>
      <c r="I163" s="32">
        <v>0</v>
      </c>
      <c r="J163" s="124">
        <v>2235.3493599704516</v>
      </c>
      <c r="K163" s="41">
        <v>4.2244350354462539E-3</v>
      </c>
      <c r="L163" s="41">
        <v>1.892995215821918E-4</v>
      </c>
    </row>
    <row r="164" spans="2:12" x14ac:dyDescent="0.2">
      <c r="B164" s="72" t="s">
        <v>3828</v>
      </c>
      <c r="C164" s="32" t="s">
        <v>419</v>
      </c>
      <c r="D164" s="32" t="s">
        <v>410</v>
      </c>
      <c r="E164" s="100" t="s">
        <v>411</v>
      </c>
      <c r="F164" s="94" t="s">
        <v>412</v>
      </c>
      <c r="G164" s="94" t="s">
        <v>3</v>
      </c>
      <c r="H164" s="32">
        <v>0</v>
      </c>
      <c r="I164" s="32">
        <v>0</v>
      </c>
      <c r="J164" s="124">
        <v>900.57904893976422</v>
      </c>
      <c r="K164" s="41">
        <v>1.7019432195512815E-3</v>
      </c>
      <c r="L164" s="41">
        <v>7.6265118179780268E-5</v>
      </c>
    </row>
    <row r="165" spans="2:12" s="160" customFormat="1" x14ac:dyDescent="0.2">
      <c r="B165" s="114" t="s">
        <v>227</v>
      </c>
      <c r="C165" s="170"/>
      <c r="D165" s="170"/>
      <c r="E165" s="170"/>
      <c r="F165" s="171"/>
      <c r="G165" s="172"/>
      <c r="H165" s="173"/>
      <c r="I165" s="174"/>
      <c r="J165" s="173"/>
      <c r="K165" s="175"/>
    </row>
    <row r="166" spans="2:12" s="160" customFormat="1" x14ac:dyDescent="0.2">
      <c r="B166" s="114" t="s">
        <v>228</v>
      </c>
      <c r="C166" s="170"/>
      <c r="D166" s="170"/>
      <c r="E166" s="170"/>
      <c r="F166" s="171"/>
      <c r="G166" s="172"/>
      <c r="H166" s="173"/>
      <c r="I166" s="174"/>
      <c r="J166" s="173"/>
      <c r="K166" s="175"/>
    </row>
    <row r="167" spans="2:12" s="160" customFormat="1" x14ac:dyDescent="0.2">
      <c r="B167" s="114" t="s">
        <v>229</v>
      </c>
      <c r="C167" s="170"/>
      <c r="D167" s="170"/>
      <c r="E167" s="170"/>
      <c r="F167" s="171"/>
      <c r="G167" s="172"/>
      <c r="H167" s="173"/>
      <c r="I167" s="174"/>
      <c r="J167" s="173"/>
      <c r="K167" s="175"/>
    </row>
    <row r="168" spans="2:12" s="160" customFormat="1" x14ac:dyDescent="0.2">
      <c r="B168" s="114" t="s">
        <v>230</v>
      </c>
      <c r="C168" s="170"/>
      <c r="D168" s="170"/>
      <c r="E168" s="170"/>
      <c r="F168" s="171"/>
      <c r="G168" s="172"/>
      <c r="H168" s="173"/>
      <c r="I168" s="174"/>
      <c r="J168" s="173"/>
      <c r="K168" s="175"/>
    </row>
    <row r="169" spans="2:12" s="160" customFormat="1" x14ac:dyDescent="0.2">
      <c r="B169" s="114" t="s">
        <v>231</v>
      </c>
      <c r="C169" s="170"/>
      <c r="D169" s="170"/>
      <c r="E169" s="170"/>
      <c r="F169" s="171"/>
      <c r="G169" s="172"/>
      <c r="H169" s="173"/>
      <c r="I169" s="174"/>
      <c r="J169" s="173"/>
      <c r="K169" s="175"/>
    </row>
  </sheetData>
  <mergeCells count="1">
    <mergeCell ref="B7:L7"/>
  </mergeCells>
  <phoneticPr fontId="3" type="noConversion"/>
  <conditionalFormatting sqref="H1:H6 H165:H55699 H12:I164">
    <cfRule type="expression" dxfId="142" priority="34" stopIfTrue="1">
      <formula>LEFT(#REF!,3)="TIR"</formula>
    </cfRule>
  </conditionalFormatting>
  <conditionalFormatting sqref="H8">
    <cfRule type="expression" dxfId="141" priority="37" stopIfTrue="1">
      <formula>LEFT(#REF!,3)="TIR"</formula>
    </cfRule>
  </conditionalFormatting>
  <conditionalFormatting sqref="K12:L164 C12:G164">
    <cfRule type="expression" dxfId="140" priority="38" stopIfTrue="1">
      <formula>LEFT(#REF!,3)="TIR"</formula>
    </cfRule>
  </conditionalFormatting>
  <conditionalFormatting sqref="B12:B164 J12:K164">
    <cfRule type="expression" dxfId="139" priority="40" stopIfTrue="1">
      <formula>#REF!&gt;0</formula>
    </cfRule>
  </conditionalFormatting>
  <conditionalFormatting sqref="B12:B164 J12:L164">
    <cfRule type="expression" dxfId="138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5.7109375" style="12" bestFit="1" customWidth="1"/>
    <col min="6" max="6" width="9.85546875" style="93" bestFit="1" customWidth="1"/>
    <col min="7" max="7" width="13.5703125" style="93" bestFit="1" customWidth="1"/>
    <col min="8" max="8" width="6.42578125" style="93" bestFit="1" customWidth="1"/>
    <col min="9" max="9" width="10" style="45" bestFit="1" customWidth="1"/>
    <col min="10" max="10" width="11.5703125" style="95" bestFit="1" customWidth="1"/>
    <col min="11" max="11" width="13.42578125" style="97" bestFit="1" customWidth="1"/>
    <col min="12" max="12" width="14.85546875" style="97" bestFit="1" customWidth="1"/>
    <col min="13" max="13" width="9.28515625" style="97" bestFit="1" customWidth="1"/>
    <col min="14" max="14" width="10.42578125" style="97" bestFit="1" customWidth="1"/>
    <col min="15" max="15" width="13.85546875" style="95" bestFit="1" customWidth="1"/>
    <col min="16" max="16" width="22.85546875" style="95" bestFit="1" customWidth="1"/>
    <col min="17" max="17" width="26.42578125" style="95" bestFit="1" customWidth="1"/>
    <col min="18" max="18" width="20.5703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9"/>
    </row>
    <row r="2" spans="1:18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9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9"/>
    </row>
    <row r="4" spans="1:18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9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9"/>
    </row>
    <row r="6" spans="1:18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30"/>
    </row>
    <row r="7" spans="1:18" s="10" customFormat="1" x14ac:dyDescent="0.2">
      <c r="B7" s="231" t="s">
        <v>12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3"/>
    </row>
    <row r="8" spans="1:18" s="10" customFormat="1" ht="28.5" customHeight="1" x14ac:dyDescent="0.2">
      <c r="B8" s="159" t="s">
        <v>219</v>
      </c>
      <c r="C8" s="4" t="s">
        <v>69</v>
      </c>
      <c r="D8" s="4" t="s">
        <v>76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137</v>
      </c>
      <c r="O8" s="5" t="s">
        <v>7</v>
      </c>
      <c r="P8" s="38" t="s">
        <v>17</v>
      </c>
      <c r="Q8" s="38" t="s">
        <v>75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40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2" t="s">
        <v>138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60" customFormat="1" ht="12.75" customHeight="1" thickBot="1" x14ac:dyDescent="0.25">
      <c r="B11" s="141" t="s">
        <v>52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5"/>
      <c r="M11" s="142"/>
      <c r="N11" s="142" t="s">
        <v>238</v>
      </c>
      <c r="O11" s="146">
        <v>3924247.9202312999</v>
      </c>
      <c r="P11" s="101"/>
      <c r="Q11" s="101">
        <v>1</v>
      </c>
      <c r="R11" s="120">
        <v>0.33232311117556851</v>
      </c>
    </row>
    <row r="12" spans="1:18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4" t="s">
        <v>238</v>
      </c>
      <c r="O12" s="177">
        <v>3796210.7212520097</v>
      </c>
      <c r="P12" s="163" t="s">
        <v>238</v>
      </c>
      <c r="Q12" s="163">
        <v>0.96737280580077534</v>
      </c>
      <c r="R12" s="163">
        <v>0.32148034049035268</v>
      </c>
    </row>
    <row r="13" spans="1:18" s="160" customFormat="1" x14ac:dyDescent="0.2">
      <c r="B13" s="132" t="s">
        <v>420</v>
      </c>
      <c r="C13" s="167" t="s">
        <v>238</v>
      </c>
      <c r="D13" s="167" t="s">
        <v>238</v>
      </c>
      <c r="E13" s="164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8" t="s">
        <v>238</v>
      </c>
      <c r="N13" s="168" t="s">
        <v>238</v>
      </c>
      <c r="O13" s="169">
        <v>1444943.8894483873</v>
      </c>
      <c r="P13" s="167" t="s">
        <v>238</v>
      </c>
      <c r="Q13" s="163">
        <v>0.3682091240971393</v>
      </c>
      <c r="R13" s="163">
        <v>0.12236440168319231</v>
      </c>
    </row>
    <row r="14" spans="1:18" x14ac:dyDescent="0.2">
      <c r="B14" s="23" t="s">
        <v>421</v>
      </c>
      <c r="C14" s="32" t="s">
        <v>422</v>
      </c>
      <c r="D14" s="32" t="s">
        <v>423</v>
      </c>
      <c r="E14" s="100" t="s">
        <v>424</v>
      </c>
      <c r="F14" s="94" t="s">
        <v>238</v>
      </c>
      <c r="G14" s="94" t="s">
        <v>425</v>
      </c>
      <c r="H14" s="94">
        <v>1.54</v>
      </c>
      <c r="I14" s="94" t="s">
        <v>244</v>
      </c>
      <c r="J14" s="32">
        <v>0.04</v>
      </c>
      <c r="K14" s="32">
        <v>-9.5999999999999992E-3</v>
      </c>
      <c r="L14" s="103">
        <v>349661155.57383955</v>
      </c>
      <c r="M14" s="94">
        <v>143.96</v>
      </c>
      <c r="N14" s="103">
        <v>0</v>
      </c>
      <c r="O14" s="124">
        <v>503372.19956404367</v>
      </c>
      <c r="P14" s="32">
        <v>2.2489419605854353E-2</v>
      </c>
      <c r="Q14" s="41">
        <v>0.12827227275038583</v>
      </c>
      <c r="R14" s="41">
        <v>4.2627840757969319E-2</v>
      </c>
    </row>
    <row r="15" spans="1:18" x14ac:dyDescent="0.2">
      <c r="B15" s="23" t="s">
        <v>426</v>
      </c>
      <c r="C15" s="32" t="s">
        <v>427</v>
      </c>
      <c r="D15" s="32" t="s">
        <v>423</v>
      </c>
      <c r="E15" s="100" t="s">
        <v>424</v>
      </c>
      <c r="F15" s="94" t="s">
        <v>238</v>
      </c>
      <c r="G15" s="94" t="s">
        <v>428</v>
      </c>
      <c r="H15" s="94">
        <v>4.26</v>
      </c>
      <c r="I15" s="94" t="s">
        <v>244</v>
      </c>
      <c r="J15" s="32">
        <v>0.04</v>
      </c>
      <c r="K15" s="32">
        <v>-8.6999999999999994E-3</v>
      </c>
      <c r="L15" s="103">
        <v>507741.32106942148</v>
      </c>
      <c r="M15" s="94">
        <v>154.88</v>
      </c>
      <c r="N15" s="94">
        <v>0</v>
      </c>
      <c r="O15" s="124">
        <v>786.38975773763957</v>
      </c>
      <c r="P15" s="32">
        <v>4.3703387298026777E-5</v>
      </c>
      <c r="Q15" s="41">
        <v>2.0039247614388463E-4</v>
      </c>
      <c r="R15" s="41">
        <v>6.6595051128311622E-5</v>
      </c>
    </row>
    <row r="16" spans="1:18" x14ac:dyDescent="0.2">
      <c r="B16" s="23" t="s">
        <v>429</v>
      </c>
      <c r="C16" s="32" t="s">
        <v>430</v>
      </c>
      <c r="D16" s="32" t="s">
        <v>423</v>
      </c>
      <c r="E16" s="100" t="s">
        <v>424</v>
      </c>
      <c r="F16" s="94" t="s">
        <v>238</v>
      </c>
      <c r="G16" s="94" t="s">
        <v>431</v>
      </c>
      <c r="H16" s="94">
        <v>13.2</v>
      </c>
      <c r="I16" s="94" t="s">
        <v>244</v>
      </c>
      <c r="J16" s="32">
        <v>0.04</v>
      </c>
      <c r="K16" s="32">
        <v>-5.9999999999999995E-4</v>
      </c>
      <c r="L16" s="103">
        <v>71490579.120530322</v>
      </c>
      <c r="M16" s="94">
        <v>202.83</v>
      </c>
      <c r="N16" s="94">
        <v>0</v>
      </c>
      <c r="O16" s="124">
        <v>145004.34162923731</v>
      </c>
      <c r="P16" s="32">
        <v>4.4071217326999259E-3</v>
      </c>
      <c r="Q16" s="41">
        <v>3.6950861560421135E-2</v>
      </c>
      <c r="R16" s="41">
        <v>1.2279625274376873E-2</v>
      </c>
    </row>
    <row r="17" spans="2:18" x14ac:dyDescent="0.2">
      <c r="B17" s="23" t="s">
        <v>432</v>
      </c>
      <c r="C17" s="32" t="s">
        <v>433</v>
      </c>
      <c r="D17" s="32" t="s">
        <v>423</v>
      </c>
      <c r="E17" s="100" t="s">
        <v>424</v>
      </c>
      <c r="F17" s="94" t="s">
        <v>238</v>
      </c>
      <c r="G17" s="94" t="s">
        <v>434</v>
      </c>
      <c r="H17" s="94">
        <v>17.59</v>
      </c>
      <c r="I17" s="94" t="s">
        <v>244</v>
      </c>
      <c r="J17" s="32">
        <v>2.75E-2</v>
      </c>
      <c r="K17" s="32">
        <v>2.8999999999999998E-3</v>
      </c>
      <c r="L17" s="103">
        <v>121820332.58298074</v>
      </c>
      <c r="M17" s="94">
        <v>164.26</v>
      </c>
      <c r="N17" s="94">
        <v>0</v>
      </c>
      <c r="O17" s="124">
        <v>200102.07830044159</v>
      </c>
      <c r="P17" s="32">
        <v>6.8922133411421149E-3</v>
      </c>
      <c r="Q17" s="41">
        <v>5.0991191781952279E-2</v>
      </c>
      <c r="R17" s="41">
        <v>1.6945551495528462E-2</v>
      </c>
    </row>
    <row r="18" spans="2:18" x14ac:dyDescent="0.2">
      <c r="B18" s="23" t="s">
        <v>435</v>
      </c>
      <c r="C18" s="32" t="s">
        <v>436</v>
      </c>
      <c r="D18" s="32" t="s">
        <v>423</v>
      </c>
      <c r="E18" s="100" t="s">
        <v>424</v>
      </c>
      <c r="F18" s="94" t="s">
        <v>238</v>
      </c>
      <c r="G18" s="94" t="s">
        <v>437</v>
      </c>
      <c r="H18" s="94">
        <v>2.67</v>
      </c>
      <c r="I18" s="94" t="s">
        <v>244</v>
      </c>
      <c r="J18" s="32">
        <v>2.75E-2</v>
      </c>
      <c r="K18" s="32">
        <v>-9.5999999999999992E-3</v>
      </c>
      <c r="L18" s="103">
        <v>161749161.42859316</v>
      </c>
      <c r="M18" s="94">
        <v>115.84999999999998</v>
      </c>
      <c r="N18" s="94">
        <v>0</v>
      </c>
      <c r="O18" s="124">
        <v>187386.40351460682</v>
      </c>
      <c r="P18" s="32">
        <v>9.7549496556706954E-3</v>
      </c>
      <c r="Q18" s="41">
        <v>4.7750908536778193E-2</v>
      </c>
      <c r="R18" s="41">
        <v>1.5868730486402138E-2</v>
      </c>
    </row>
    <row r="19" spans="2:18" x14ac:dyDescent="0.2">
      <c r="B19" s="23" t="s">
        <v>438</v>
      </c>
      <c r="C19" s="32" t="s">
        <v>439</v>
      </c>
      <c r="D19" s="32" t="s">
        <v>423</v>
      </c>
      <c r="E19" s="100" t="s">
        <v>424</v>
      </c>
      <c r="F19" s="94" t="s">
        <v>238</v>
      </c>
      <c r="G19" s="94" t="s">
        <v>440</v>
      </c>
      <c r="H19" s="94">
        <v>3.65</v>
      </c>
      <c r="I19" s="94" t="s">
        <v>244</v>
      </c>
      <c r="J19" s="32">
        <v>1.7500000000000002E-2</v>
      </c>
      <c r="K19" s="32">
        <v>-9.0000000000000011E-3</v>
      </c>
      <c r="L19" s="103">
        <v>41985460.912091739</v>
      </c>
      <c r="M19" s="94">
        <v>113.25</v>
      </c>
      <c r="N19" s="94">
        <v>0</v>
      </c>
      <c r="O19" s="124">
        <v>47548.534482246643</v>
      </c>
      <c r="P19" s="32">
        <v>2.5032275040714927E-3</v>
      </c>
      <c r="Q19" s="41">
        <v>1.211659799502272E-2</v>
      </c>
      <c r="R19" s="41">
        <v>4.0266255425696054E-3</v>
      </c>
    </row>
    <row r="20" spans="2:18" x14ac:dyDescent="0.2">
      <c r="B20" s="23" t="s">
        <v>441</v>
      </c>
      <c r="C20" s="32" t="s">
        <v>442</v>
      </c>
      <c r="D20" s="32" t="s">
        <v>423</v>
      </c>
      <c r="E20" s="100" t="s">
        <v>424</v>
      </c>
      <c r="F20" s="94" t="s">
        <v>238</v>
      </c>
      <c r="G20" s="94" t="s">
        <v>443</v>
      </c>
      <c r="H20" s="94">
        <v>22.63</v>
      </c>
      <c r="I20" s="94" t="s">
        <v>244</v>
      </c>
      <c r="J20" s="32">
        <v>0.01</v>
      </c>
      <c r="K20" s="32">
        <v>5.6999999999999993E-3</v>
      </c>
      <c r="L20" s="103">
        <v>78105743.377722606</v>
      </c>
      <c r="M20" s="94">
        <v>112.4</v>
      </c>
      <c r="N20" s="94">
        <v>0</v>
      </c>
      <c r="O20" s="124">
        <v>87790.855555444592</v>
      </c>
      <c r="P20" s="32">
        <v>5.2840115388455618E-3</v>
      </c>
      <c r="Q20" s="41">
        <v>2.2371383597565901E-2</v>
      </c>
      <c r="R20" s="41">
        <v>7.4345277984451813E-3</v>
      </c>
    </row>
    <row r="21" spans="2:18" x14ac:dyDescent="0.2">
      <c r="B21" s="23" t="s">
        <v>444</v>
      </c>
      <c r="C21" s="32" t="s">
        <v>445</v>
      </c>
      <c r="D21" s="32" t="s">
        <v>423</v>
      </c>
      <c r="E21" s="100" t="s">
        <v>424</v>
      </c>
      <c r="F21" s="94" t="s">
        <v>238</v>
      </c>
      <c r="G21" s="94" t="s">
        <v>446</v>
      </c>
      <c r="H21" s="94">
        <v>5.73</v>
      </c>
      <c r="I21" s="94" t="s">
        <v>244</v>
      </c>
      <c r="J21" s="32">
        <v>7.4999999999999997E-3</v>
      </c>
      <c r="K21" s="32">
        <v>-8.0000000000000002E-3</v>
      </c>
      <c r="L21" s="103">
        <v>7440922.27677311</v>
      </c>
      <c r="M21" s="94">
        <v>110.65</v>
      </c>
      <c r="N21" s="94">
        <v>0</v>
      </c>
      <c r="O21" s="124">
        <v>8233.3804992494479</v>
      </c>
      <c r="P21" s="32">
        <v>5.4451736922026038E-4</v>
      </c>
      <c r="Q21" s="41">
        <v>2.0980785787775005E-3</v>
      </c>
      <c r="R21" s="41">
        <v>6.9724000079015398E-4</v>
      </c>
    </row>
    <row r="22" spans="2:18" x14ac:dyDescent="0.2">
      <c r="B22" s="23" t="s">
        <v>447</v>
      </c>
      <c r="C22" s="32" t="s">
        <v>448</v>
      </c>
      <c r="D22" s="32" t="s">
        <v>423</v>
      </c>
      <c r="E22" s="100" t="s">
        <v>424</v>
      </c>
      <c r="F22" s="94" t="s">
        <v>238</v>
      </c>
      <c r="G22" s="94" t="s">
        <v>449</v>
      </c>
      <c r="H22" s="94">
        <v>0.83</v>
      </c>
      <c r="I22" s="94" t="s">
        <v>244</v>
      </c>
      <c r="J22" s="32">
        <v>1E-3</v>
      </c>
      <c r="K22" s="32">
        <v>-8.199999999999999E-3</v>
      </c>
      <c r="L22" s="103">
        <v>258615375.73170215</v>
      </c>
      <c r="M22" s="94">
        <v>102.3</v>
      </c>
      <c r="N22" s="94">
        <v>0</v>
      </c>
      <c r="O22" s="124">
        <v>264563.52937241568</v>
      </c>
      <c r="P22" s="32">
        <v>1.7064195615297068E-2</v>
      </c>
      <c r="Q22" s="41">
        <v>6.7417638933684396E-2</v>
      </c>
      <c r="R22" s="41">
        <v>2.2404439518553133E-2</v>
      </c>
    </row>
    <row r="23" spans="2:18" x14ac:dyDescent="0.2">
      <c r="B23" s="23" t="s">
        <v>450</v>
      </c>
      <c r="C23" s="32" t="s">
        <v>451</v>
      </c>
      <c r="D23" s="32" t="s">
        <v>423</v>
      </c>
      <c r="E23" s="100" t="s">
        <v>424</v>
      </c>
      <c r="F23" s="94" t="s">
        <v>238</v>
      </c>
      <c r="G23" s="94" t="s">
        <v>452</v>
      </c>
      <c r="H23" s="94">
        <v>9.2100000000000009</v>
      </c>
      <c r="I23" s="94" t="s">
        <v>244</v>
      </c>
      <c r="J23" s="32">
        <v>5.0000000000000001E-3</v>
      </c>
      <c r="K23" s="32">
        <v>-5.3E-3</v>
      </c>
      <c r="L23" s="103">
        <v>140699.79537276324</v>
      </c>
      <c r="M23" s="94">
        <v>111.00000000000001</v>
      </c>
      <c r="N23" s="94">
        <v>0</v>
      </c>
      <c r="O23" s="124">
        <v>156.17677286376718</v>
      </c>
      <c r="P23" s="32">
        <v>1.6423680129835187E-5</v>
      </c>
      <c r="Q23" s="41">
        <v>3.979788638189861E-5</v>
      </c>
      <c r="R23" s="41">
        <v>1.3225757420644334E-5</v>
      </c>
    </row>
    <row r="24" spans="2:18" s="160" customFormat="1" x14ac:dyDescent="0.2">
      <c r="B24" s="132" t="s">
        <v>142</v>
      </c>
      <c r="C24" s="167" t="s">
        <v>238</v>
      </c>
      <c r="D24" s="167" t="s">
        <v>238</v>
      </c>
      <c r="E24" s="164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8" t="s">
        <v>238</v>
      </c>
      <c r="N24" s="168" t="s">
        <v>238</v>
      </c>
      <c r="O24" s="169">
        <v>2351266.8318035216</v>
      </c>
      <c r="P24" s="167" t="s">
        <v>238</v>
      </c>
      <c r="Q24" s="163">
        <v>0.59916368170361034</v>
      </c>
      <c r="R24" s="163">
        <v>0.19911593880715184</v>
      </c>
    </row>
    <row r="25" spans="2:18" s="160" customFormat="1" x14ac:dyDescent="0.2">
      <c r="B25" s="132" t="s">
        <v>453</v>
      </c>
      <c r="C25" s="167" t="s">
        <v>238</v>
      </c>
      <c r="D25" s="167" t="s">
        <v>238</v>
      </c>
      <c r="E25" s="164" t="s">
        <v>238</v>
      </c>
      <c r="F25" s="168" t="s">
        <v>238</v>
      </c>
      <c r="G25" s="168" t="s">
        <v>238</v>
      </c>
      <c r="H25" s="168" t="s">
        <v>238</v>
      </c>
      <c r="I25" s="168" t="s">
        <v>238</v>
      </c>
      <c r="J25" s="167" t="s">
        <v>238</v>
      </c>
      <c r="K25" s="167" t="s">
        <v>238</v>
      </c>
      <c r="L25" s="178" t="s">
        <v>238</v>
      </c>
      <c r="M25" s="168" t="s">
        <v>238</v>
      </c>
      <c r="N25" s="168" t="s">
        <v>238</v>
      </c>
      <c r="O25" s="169">
        <v>413465.27093301975</v>
      </c>
      <c r="P25" s="167" t="s">
        <v>238</v>
      </c>
      <c r="Q25" s="163">
        <v>0.10536165893123532</v>
      </c>
      <c r="R25" s="163">
        <v>3.5014114294647243E-2</v>
      </c>
    </row>
    <row r="26" spans="2:18" x14ac:dyDescent="0.2">
      <c r="B26" s="23" t="s">
        <v>454</v>
      </c>
      <c r="C26" s="32" t="s">
        <v>455</v>
      </c>
      <c r="D26" s="32" t="s">
        <v>423</v>
      </c>
      <c r="E26" s="100" t="s">
        <v>424</v>
      </c>
      <c r="F26" s="94" t="s">
        <v>238</v>
      </c>
      <c r="G26" s="94" t="s">
        <v>456</v>
      </c>
      <c r="H26" s="94">
        <v>0.02</v>
      </c>
      <c r="I26" s="94" t="s">
        <v>244</v>
      </c>
      <c r="J26" s="32">
        <v>0</v>
      </c>
      <c r="K26" s="32">
        <v>4.5999999999999999E-3</v>
      </c>
      <c r="L26" s="103">
        <v>57137973.586657137</v>
      </c>
      <c r="M26" s="94">
        <v>100</v>
      </c>
      <c r="N26" s="94">
        <v>0</v>
      </c>
      <c r="O26" s="124">
        <v>57137.973586657135</v>
      </c>
      <c r="P26" s="32">
        <v>4.7614977988880945E-3</v>
      </c>
      <c r="Q26" s="41">
        <v>1.4560235425515459E-2</v>
      </c>
      <c r="R26" s="41">
        <v>4.8387027360560246E-3</v>
      </c>
    </row>
    <row r="27" spans="2:18" x14ac:dyDescent="0.2">
      <c r="B27" s="23" t="s">
        <v>457</v>
      </c>
      <c r="C27" s="32" t="s">
        <v>458</v>
      </c>
      <c r="D27" s="32" t="s">
        <v>423</v>
      </c>
      <c r="E27" s="100" t="s">
        <v>424</v>
      </c>
      <c r="F27" s="94" t="s">
        <v>238</v>
      </c>
      <c r="G27" s="94" t="s">
        <v>459</v>
      </c>
      <c r="H27" s="94">
        <v>0.1</v>
      </c>
      <c r="I27" s="94" t="s">
        <v>244</v>
      </c>
      <c r="J27" s="32">
        <v>0</v>
      </c>
      <c r="K27" s="32">
        <v>3.0999999999999999E-3</v>
      </c>
      <c r="L27" s="103">
        <v>7514870.4217832536</v>
      </c>
      <c r="M27" s="94">
        <v>99.97</v>
      </c>
      <c r="N27" s="94">
        <v>0</v>
      </c>
      <c r="O27" s="124">
        <v>7512.6159601853306</v>
      </c>
      <c r="P27" s="32">
        <v>6.262392018152711E-4</v>
      </c>
      <c r="Q27" s="41">
        <v>1.9144091079094023E-3</v>
      </c>
      <c r="R27" s="41">
        <v>6.3620239080329727E-4</v>
      </c>
    </row>
    <row r="28" spans="2:18" x14ac:dyDescent="0.2">
      <c r="B28" s="23" t="s">
        <v>460</v>
      </c>
      <c r="C28" s="32" t="s">
        <v>461</v>
      </c>
      <c r="D28" s="32" t="s">
        <v>423</v>
      </c>
      <c r="E28" s="100" t="s">
        <v>424</v>
      </c>
      <c r="F28" s="94" t="s">
        <v>238</v>
      </c>
      <c r="G28" s="94" t="s">
        <v>462</v>
      </c>
      <c r="H28" s="94">
        <v>0.17</v>
      </c>
      <c r="I28" s="94" t="s">
        <v>244</v>
      </c>
      <c r="J28" s="32">
        <v>0</v>
      </c>
      <c r="K28" s="32">
        <v>1.7000000000000001E-3</v>
      </c>
      <c r="L28" s="103">
        <v>81255296.433074787</v>
      </c>
      <c r="M28" s="94">
        <v>99.97</v>
      </c>
      <c r="N28" s="94">
        <v>0</v>
      </c>
      <c r="O28" s="124">
        <v>81230.919843673488</v>
      </c>
      <c r="P28" s="32">
        <v>6.7712747027562324E-3</v>
      </c>
      <c r="Q28" s="41">
        <v>2.069974208940541E-2</v>
      </c>
      <c r="R28" s="41">
        <v>6.8790026916830688E-3</v>
      </c>
    </row>
    <row r="29" spans="2:18" x14ac:dyDescent="0.2">
      <c r="B29" s="23" t="s">
        <v>463</v>
      </c>
      <c r="C29" s="32" t="s">
        <v>464</v>
      </c>
      <c r="D29" s="32" t="s">
        <v>423</v>
      </c>
      <c r="E29" s="100" t="s">
        <v>424</v>
      </c>
      <c r="F29" s="94" t="s">
        <v>238</v>
      </c>
      <c r="G29" s="94" t="s">
        <v>465</v>
      </c>
      <c r="H29" s="94">
        <v>0.27</v>
      </c>
      <c r="I29" s="94" t="s">
        <v>244</v>
      </c>
      <c r="J29" s="32">
        <v>0</v>
      </c>
      <c r="K29" s="32">
        <v>1.9E-3</v>
      </c>
      <c r="L29" s="103">
        <v>58594991.913116895</v>
      </c>
      <c r="M29" s="94">
        <v>99.95</v>
      </c>
      <c r="N29" s="94">
        <v>0</v>
      </c>
      <c r="O29" s="124">
        <v>58565.694417160339</v>
      </c>
      <c r="P29" s="32">
        <v>5.8594991913116894E-3</v>
      </c>
      <c r="Q29" s="41">
        <v>1.4924055668151671E-2</v>
      </c>
      <c r="R29" s="41">
        <v>4.9596086109975407E-3</v>
      </c>
    </row>
    <row r="30" spans="2:18" x14ac:dyDescent="0.2">
      <c r="B30" s="23" t="s">
        <v>466</v>
      </c>
      <c r="C30" s="32" t="s">
        <v>467</v>
      </c>
      <c r="D30" s="32" t="s">
        <v>423</v>
      </c>
      <c r="E30" s="100" t="s">
        <v>424</v>
      </c>
      <c r="F30" s="94" t="s">
        <v>238</v>
      </c>
      <c r="G30" s="94" t="s">
        <v>468</v>
      </c>
      <c r="H30" s="94">
        <v>0.35</v>
      </c>
      <c r="I30" s="94" t="s">
        <v>244</v>
      </c>
      <c r="J30" s="32">
        <v>0</v>
      </c>
      <c r="K30" s="32">
        <v>1.7000000000000001E-3</v>
      </c>
      <c r="L30" s="103">
        <v>16427167.406163927</v>
      </c>
      <c r="M30" s="94">
        <v>99.94</v>
      </c>
      <c r="N30" s="94">
        <v>0</v>
      </c>
      <c r="O30" s="124">
        <v>16417.31110572023</v>
      </c>
      <c r="P30" s="32">
        <v>1.6427167406163927E-3</v>
      </c>
      <c r="Q30" s="41">
        <v>4.1835560442247937E-3</v>
      </c>
      <c r="R30" s="41">
        <v>1.3902923603941375E-3</v>
      </c>
    </row>
    <row r="31" spans="2:18" x14ac:dyDescent="0.2">
      <c r="B31" s="23" t="s">
        <v>469</v>
      </c>
      <c r="C31" s="32" t="s">
        <v>470</v>
      </c>
      <c r="D31" s="32" t="s">
        <v>423</v>
      </c>
      <c r="E31" s="100" t="s">
        <v>424</v>
      </c>
      <c r="F31" s="94" t="s">
        <v>238</v>
      </c>
      <c r="G31" s="94" t="s">
        <v>471</v>
      </c>
      <c r="H31" s="94">
        <v>0.42</v>
      </c>
      <c r="I31" s="94" t="s">
        <v>244</v>
      </c>
      <c r="J31" s="32">
        <v>0</v>
      </c>
      <c r="K31" s="32">
        <v>1.7000000000000001E-3</v>
      </c>
      <c r="L31" s="103">
        <v>48917247.636876844</v>
      </c>
      <c r="M31" s="94">
        <v>99.93</v>
      </c>
      <c r="N31" s="94">
        <v>0</v>
      </c>
      <c r="O31" s="124">
        <v>48883.005563531035</v>
      </c>
      <c r="P31" s="32">
        <v>4.8917247636876843E-3</v>
      </c>
      <c r="Q31" s="41">
        <v>1.2456655786581856E-2</v>
      </c>
      <c r="R31" s="41">
        <v>4.1396346058400306E-3</v>
      </c>
    </row>
    <row r="32" spans="2:18" x14ac:dyDescent="0.2">
      <c r="B32" s="23" t="s">
        <v>472</v>
      </c>
      <c r="C32" s="32" t="s">
        <v>473</v>
      </c>
      <c r="D32" s="32" t="s">
        <v>423</v>
      </c>
      <c r="E32" s="100" t="s">
        <v>424</v>
      </c>
      <c r="F32" s="94" t="s">
        <v>238</v>
      </c>
      <c r="G32" s="94" t="s">
        <v>474</v>
      </c>
      <c r="H32" s="94">
        <v>0.52</v>
      </c>
      <c r="I32" s="94" t="s">
        <v>244</v>
      </c>
      <c r="J32" s="32">
        <v>0</v>
      </c>
      <c r="K32" s="32">
        <v>1.7000000000000001E-3</v>
      </c>
      <c r="L32" s="103">
        <v>6478223.1664022971</v>
      </c>
      <c r="M32" s="94">
        <v>99.91</v>
      </c>
      <c r="N32" s="94">
        <v>0</v>
      </c>
      <c r="O32" s="124">
        <v>6472.3927647240353</v>
      </c>
      <c r="P32" s="32">
        <v>7.1980257404469965E-4</v>
      </c>
      <c r="Q32" s="41">
        <v>1.6493332980711739E-3</v>
      </c>
      <c r="R32" s="41">
        <v>5.4811157298047383E-4</v>
      </c>
    </row>
    <row r="33" spans="2:18" x14ac:dyDescent="0.2">
      <c r="B33" s="23" t="s">
        <v>475</v>
      </c>
      <c r="C33" s="32" t="s">
        <v>476</v>
      </c>
      <c r="D33" s="32" t="s">
        <v>423</v>
      </c>
      <c r="E33" s="100" t="s">
        <v>424</v>
      </c>
      <c r="F33" s="94" t="s">
        <v>238</v>
      </c>
      <c r="G33" s="94" t="s">
        <v>477</v>
      </c>
      <c r="H33" s="94">
        <v>0.59</v>
      </c>
      <c r="I33" s="94" t="s">
        <v>244</v>
      </c>
      <c r="J33" s="32">
        <v>0</v>
      </c>
      <c r="K33" s="32">
        <v>1.2999999999999999E-3</v>
      </c>
      <c r="L33" s="103">
        <v>21524560.305776786</v>
      </c>
      <c r="M33" s="94">
        <v>99.920000000000016</v>
      </c>
      <c r="N33" s="94">
        <v>0</v>
      </c>
      <c r="O33" s="124">
        <v>21507.340657532164</v>
      </c>
      <c r="P33" s="32">
        <v>2.3916178117529764E-3</v>
      </c>
      <c r="Q33" s="41">
        <v>5.4806273952906865E-3</v>
      </c>
      <c r="R33" s="41">
        <v>1.8213391471970533E-3</v>
      </c>
    </row>
    <row r="34" spans="2:18" x14ac:dyDescent="0.2">
      <c r="B34" s="23" t="s">
        <v>478</v>
      </c>
      <c r="C34" s="32" t="s">
        <v>479</v>
      </c>
      <c r="D34" s="32" t="s">
        <v>423</v>
      </c>
      <c r="E34" s="100" t="s">
        <v>424</v>
      </c>
      <c r="F34" s="94" t="s">
        <v>238</v>
      </c>
      <c r="G34" s="94" t="s">
        <v>480</v>
      </c>
      <c r="H34" s="94">
        <v>0.67</v>
      </c>
      <c r="I34" s="94" t="s">
        <v>244</v>
      </c>
      <c r="J34" s="32">
        <v>0</v>
      </c>
      <c r="K34" s="32">
        <v>1.5E-3</v>
      </c>
      <c r="L34" s="103">
        <v>85706960.379985705</v>
      </c>
      <c r="M34" s="94">
        <v>99.9</v>
      </c>
      <c r="N34" s="94">
        <v>0</v>
      </c>
      <c r="O34" s="124">
        <v>85621.253419605724</v>
      </c>
      <c r="P34" s="32">
        <v>9.522995597776189E-3</v>
      </c>
      <c r="Q34" s="41">
        <v>2.1818512785134914E-2</v>
      </c>
      <c r="R34" s="41">
        <v>7.2507960499799537E-3</v>
      </c>
    </row>
    <row r="35" spans="2:18" x14ac:dyDescent="0.2">
      <c r="B35" s="23" t="s">
        <v>481</v>
      </c>
      <c r="C35" s="32" t="s">
        <v>482</v>
      </c>
      <c r="D35" s="32" t="s">
        <v>423</v>
      </c>
      <c r="E35" s="100" t="s">
        <v>424</v>
      </c>
      <c r="F35" s="94" t="s">
        <v>238</v>
      </c>
      <c r="G35" s="94" t="s">
        <v>483</v>
      </c>
      <c r="H35" s="94">
        <v>0.79</v>
      </c>
      <c r="I35" s="94" t="s">
        <v>244</v>
      </c>
      <c r="J35" s="32">
        <v>0</v>
      </c>
      <c r="K35" s="32">
        <v>1.4000000000000002E-3</v>
      </c>
      <c r="L35" s="103">
        <v>21426740.094996426</v>
      </c>
      <c r="M35" s="94">
        <v>99.89</v>
      </c>
      <c r="N35" s="94">
        <v>0</v>
      </c>
      <c r="O35" s="124">
        <v>21403.17068089193</v>
      </c>
      <c r="P35" s="32">
        <v>2.3807488994440473E-3</v>
      </c>
      <c r="Q35" s="41">
        <v>5.4540821874552725E-3</v>
      </c>
      <c r="R35" s="41">
        <v>1.8125175611423861E-3</v>
      </c>
    </row>
    <row r="36" spans="2:18" x14ac:dyDescent="0.2">
      <c r="B36" s="23" t="s">
        <v>484</v>
      </c>
      <c r="C36" s="32" t="s">
        <v>485</v>
      </c>
      <c r="D36" s="32" t="s">
        <v>423</v>
      </c>
      <c r="E36" s="100" t="s">
        <v>424</v>
      </c>
      <c r="F36" s="94" t="s">
        <v>238</v>
      </c>
      <c r="G36" s="94" t="s">
        <v>486</v>
      </c>
      <c r="H36" s="94">
        <v>0.92</v>
      </c>
      <c r="I36" s="94" t="s">
        <v>244</v>
      </c>
      <c r="J36" s="32">
        <v>0</v>
      </c>
      <c r="K36" s="32">
        <v>1.5E-3</v>
      </c>
      <c r="L36" s="103">
        <v>8725809.0662740059</v>
      </c>
      <c r="M36" s="94">
        <v>99.86</v>
      </c>
      <c r="N36" s="94">
        <v>0</v>
      </c>
      <c r="O36" s="124">
        <v>8713.592933238393</v>
      </c>
      <c r="P36" s="32">
        <v>9.6953434069711178E-4</v>
      </c>
      <c r="Q36" s="41">
        <v>2.2204491434692033E-3</v>
      </c>
      <c r="R36" s="41">
        <v>7.3790656756481197E-4</v>
      </c>
    </row>
    <row r="37" spans="2:18" s="160" customFormat="1" x14ac:dyDescent="0.2">
      <c r="B37" s="132" t="s">
        <v>487</v>
      </c>
      <c r="C37" s="167" t="s">
        <v>238</v>
      </c>
      <c r="D37" s="167" t="s">
        <v>238</v>
      </c>
      <c r="E37" s="164" t="s">
        <v>238</v>
      </c>
      <c r="F37" s="168" t="s">
        <v>238</v>
      </c>
      <c r="G37" s="168" t="s">
        <v>238</v>
      </c>
      <c r="H37" s="168" t="s">
        <v>238</v>
      </c>
      <c r="I37" s="168" t="s">
        <v>238</v>
      </c>
      <c r="J37" s="167" t="s">
        <v>238</v>
      </c>
      <c r="K37" s="167" t="s">
        <v>238</v>
      </c>
      <c r="L37" s="178" t="s">
        <v>238</v>
      </c>
      <c r="M37" s="168" t="s">
        <v>238</v>
      </c>
      <c r="N37" s="168" t="s">
        <v>238</v>
      </c>
      <c r="O37" s="169">
        <v>1647245.2937445778</v>
      </c>
      <c r="P37" s="167" t="s">
        <v>238</v>
      </c>
      <c r="Q37" s="163">
        <v>0.41976076110081428</v>
      </c>
      <c r="R37" s="163">
        <v>0.13949620207844712</v>
      </c>
    </row>
    <row r="38" spans="2:18" x14ac:dyDescent="0.2">
      <c r="B38" s="23" t="s">
        <v>488</v>
      </c>
      <c r="C38" s="32" t="s">
        <v>489</v>
      </c>
      <c r="D38" s="32" t="s">
        <v>423</v>
      </c>
      <c r="E38" s="100" t="s">
        <v>424</v>
      </c>
      <c r="F38" s="94" t="s">
        <v>238</v>
      </c>
      <c r="G38" s="94" t="s">
        <v>490</v>
      </c>
      <c r="H38" s="94">
        <v>5.9</v>
      </c>
      <c r="I38" s="94" t="s">
        <v>244</v>
      </c>
      <c r="J38" s="32">
        <v>6.25E-2</v>
      </c>
      <c r="K38" s="32">
        <v>6.5000000000000006E-3</v>
      </c>
      <c r="L38" s="103">
        <v>15155098.272182152</v>
      </c>
      <c r="M38" s="94">
        <v>138.36000000000001</v>
      </c>
      <c r="N38" s="94">
        <v>0</v>
      </c>
      <c r="O38" s="124">
        <v>20968.593968248464</v>
      </c>
      <c r="P38" s="32">
        <v>9.2025715532850446E-4</v>
      </c>
      <c r="Q38" s="41">
        <v>5.3433407864334299E-3</v>
      </c>
      <c r="R38" s="41">
        <v>1.7757156342188662E-3</v>
      </c>
    </row>
    <row r="39" spans="2:18" x14ac:dyDescent="0.2">
      <c r="B39" s="23" t="s">
        <v>491</v>
      </c>
      <c r="C39" s="32" t="s">
        <v>492</v>
      </c>
      <c r="D39" s="32" t="s">
        <v>423</v>
      </c>
      <c r="E39" s="100" t="s">
        <v>424</v>
      </c>
      <c r="F39" s="94" t="s">
        <v>238</v>
      </c>
      <c r="G39" s="94" t="s">
        <v>493</v>
      </c>
      <c r="H39" s="94">
        <v>0.08</v>
      </c>
      <c r="I39" s="94" t="s">
        <v>244</v>
      </c>
      <c r="J39" s="32">
        <v>0.05</v>
      </c>
      <c r="K39" s="32">
        <v>3.4999999999999996E-3</v>
      </c>
      <c r="L39" s="103">
        <v>5727832.1591178048</v>
      </c>
      <c r="M39" s="94">
        <v>104.97000000000001</v>
      </c>
      <c r="N39" s="94">
        <v>0</v>
      </c>
      <c r="O39" s="124">
        <v>6012.5054167974413</v>
      </c>
      <c r="P39" s="32">
        <v>7.740654471101358E-4</v>
      </c>
      <c r="Q39" s="41">
        <v>1.5321420916859546E-3</v>
      </c>
      <c r="R39" s="41">
        <v>5.0916622667211957E-4</v>
      </c>
    </row>
    <row r="40" spans="2:18" x14ac:dyDescent="0.2">
      <c r="B40" s="23" t="s">
        <v>494</v>
      </c>
      <c r="C40" s="32" t="s">
        <v>495</v>
      </c>
      <c r="D40" s="32" t="s">
        <v>423</v>
      </c>
      <c r="E40" s="100" t="s">
        <v>424</v>
      </c>
      <c r="F40" s="94" t="s">
        <v>238</v>
      </c>
      <c r="G40" s="94" t="s">
        <v>496</v>
      </c>
      <c r="H40" s="94">
        <v>1.94</v>
      </c>
      <c r="I40" s="94" t="s">
        <v>244</v>
      </c>
      <c r="J40" s="32">
        <v>5.5E-2</v>
      </c>
      <c r="K40" s="32">
        <v>1.8E-3</v>
      </c>
      <c r="L40" s="103">
        <v>82688687.778921664</v>
      </c>
      <c r="M40" s="94">
        <v>116.10000000000001</v>
      </c>
      <c r="N40" s="94">
        <v>0</v>
      </c>
      <c r="O40" s="124">
        <v>96001.566510470977</v>
      </c>
      <c r="P40" s="32">
        <v>4.6660000455709741E-3</v>
      </c>
      <c r="Q40" s="41">
        <v>2.4463685389380936E-2</v>
      </c>
      <c r="R40" s="41">
        <v>8.1298480394193708E-3</v>
      </c>
    </row>
    <row r="41" spans="2:18" x14ac:dyDescent="0.2">
      <c r="B41" s="23" t="s">
        <v>497</v>
      </c>
      <c r="C41" s="32" t="s">
        <v>498</v>
      </c>
      <c r="D41" s="32" t="s">
        <v>423</v>
      </c>
      <c r="E41" s="100" t="s">
        <v>424</v>
      </c>
      <c r="F41" s="94" t="s">
        <v>238</v>
      </c>
      <c r="G41" s="94" t="s">
        <v>499</v>
      </c>
      <c r="H41" s="94">
        <v>15.03</v>
      </c>
      <c r="I41" s="94" t="s">
        <v>244</v>
      </c>
      <c r="J41" s="32">
        <v>5.5E-2</v>
      </c>
      <c r="K41" s="32">
        <v>1.6200000000000003E-2</v>
      </c>
      <c r="L41" s="103">
        <v>173102719.99051014</v>
      </c>
      <c r="M41" s="94">
        <v>176.61</v>
      </c>
      <c r="N41" s="94">
        <v>0</v>
      </c>
      <c r="O41" s="124">
        <v>305716.71377516846</v>
      </c>
      <c r="P41" s="32">
        <v>9.4676362331252099E-3</v>
      </c>
      <c r="Q41" s="41">
        <v>7.7904536102079189E-2</v>
      </c>
      <c r="R41" s="41">
        <v>2.5889477812132348E-2</v>
      </c>
    </row>
    <row r="42" spans="2:18" x14ac:dyDescent="0.2">
      <c r="B42" s="23" t="s">
        <v>500</v>
      </c>
      <c r="C42" s="32" t="s">
        <v>501</v>
      </c>
      <c r="D42" s="32" t="s">
        <v>423</v>
      </c>
      <c r="E42" s="100" t="s">
        <v>424</v>
      </c>
      <c r="F42" s="94" t="s">
        <v>238</v>
      </c>
      <c r="G42" s="94" t="s">
        <v>502</v>
      </c>
      <c r="H42" s="94">
        <v>3.03</v>
      </c>
      <c r="I42" s="94" t="s">
        <v>244</v>
      </c>
      <c r="J42" s="32">
        <v>4.2599999999999999E-2</v>
      </c>
      <c r="K42" s="32">
        <v>3.0000000000000001E-3</v>
      </c>
      <c r="L42" s="103">
        <v>132180459.88288635</v>
      </c>
      <c r="M42" s="94">
        <v>115.95</v>
      </c>
      <c r="N42" s="94">
        <v>0</v>
      </c>
      <c r="O42" s="124">
        <v>153263.24323284969</v>
      </c>
      <c r="P42" s="32">
        <v>7.8115354017538729E-3</v>
      </c>
      <c r="Q42" s="41">
        <v>3.9055443577534259E-2</v>
      </c>
      <c r="R42" s="41">
        <v>1.2979026518028059E-2</v>
      </c>
    </row>
    <row r="43" spans="2:18" x14ac:dyDescent="0.2">
      <c r="B43" s="23" t="s">
        <v>503</v>
      </c>
      <c r="C43" s="32" t="s">
        <v>504</v>
      </c>
      <c r="D43" s="32" t="s">
        <v>423</v>
      </c>
      <c r="E43" s="100" t="s">
        <v>424</v>
      </c>
      <c r="F43" s="94" t="s">
        <v>238</v>
      </c>
      <c r="G43" s="94" t="s">
        <v>505</v>
      </c>
      <c r="H43" s="94">
        <v>3.93</v>
      </c>
      <c r="I43" s="94" t="s">
        <v>244</v>
      </c>
      <c r="J43" s="32">
        <v>3.7599999999999995E-2</v>
      </c>
      <c r="K43" s="32">
        <v>3.9000000000000003E-3</v>
      </c>
      <c r="L43" s="103">
        <v>49372.065906626638</v>
      </c>
      <c r="M43" s="94">
        <v>116.98000000000002</v>
      </c>
      <c r="N43" s="94">
        <v>0</v>
      </c>
      <c r="O43" s="124">
        <v>57.755442240468049</v>
      </c>
      <c r="P43" s="32">
        <v>3.0425900353045624E-6</v>
      </c>
      <c r="Q43" s="41">
        <v>1.4717582429670722E-5</v>
      </c>
      <c r="R43" s="41">
        <v>4.890992782011056E-6</v>
      </c>
    </row>
    <row r="44" spans="2:18" x14ac:dyDescent="0.2">
      <c r="B44" s="23" t="s">
        <v>506</v>
      </c>
      <c r="C44" s="32" t="s">
        <v>507</v>
      </c>
      <c r="D44" s="32" t="s">
        <v>423</v>
      </c>
      <c r="E44" s="100" t="s">
        <v>424</v>
      </c>
      <c r="F44" s="94" t="s">
        <v>238</v>
      </c>
      <c r="G44" s="94" t="s">
        <v>508</v>
      </c>
      <c r="H44" s="94">
        <v>5.43</v>
      </c>
      <c r="I44" s="94" t="s">
        <v>244</v>
      </c>
      <c r="J44" s="32">
        <v>1.7500000000000002E-2</v>
      </c>
      <c r="K44" s="32">
        <v>5.4000000000000003E-3</v>
      </c>
      <c r="L44" s="103">
        <v>81465156.06789735</v>
      </c>
      <c r="M44" s="94">
        <v>107.33</v>
      </c>
      <c r="N44" s="94">
        <v>0</v>
      </c>
      <c r="O44" s="124">
        <v>87436.552006874292</v>
      </c>
      <c r="P44" s="32">
        <v>4.1763154877924764E-3</v>
      </c>
      <c r="Q44" s="41">
        <v>2.2281097877659237E-2</v>
      </c>
      <c r="R44" s="41">
        <v>7.404523767111074E-3</v>
      </c>
    </row>
    <row r="45" spans="2:18" x14ac:dyDescent="0.2">
      <c r="B45" s="23" t="s">
        <v>509</v>
      </c>
      <c r="C45" s="32" t="s">
        <v>510</v>
      </c>
      <c r="D45" s="32" t="s">
        <v>423</v>
      </c>
      <c r="E45" s="100" t="s">
        <v>424</v>
      </c>
      <c r="F45" s="94" t="s">
        <v>238</v>
      </c>
      <c r="G45" s="94" t="s">
        <v>511</v>
      </c>
      <c r="H45" s="94">
        <v>1.32</v>
      </c>
      <c r="I45" s="94" t="s">
        <v>244</v>
      </c>
      <c r="J45" s="32">
        <v>0.01</v>
      </c>
      <c r="K45" s="32">
        <v>1.2999999999999999E-3</v>
      </c>
      <c r="L45" s="103">
        <v>3571123.349166071</v>
      </c>
      <c r="M45" s="94">
        <v>101.83</v>
      </c>
      <c r="N45" s="94">
        <v>0</v>
      </c>
      <c r="O45" s="124">
        <v>3636.47490645581</v>
      </c>
      <c r="P45" s="32">
        <v>2.4175648666005696E-4</v>
      </c>
      <c r="Q45" s="41">
        <v>9.266679833626495E-4</v>
      </c>
      <c r="R45" s="41">
        <v>3.079531872578656E-4</v>
      </c>
    </row>
    <row r="46" spans="2:18" x14ac:dyDescent="0.2">
      <c r="B46" s="23" t="s">
        <v>512</v>
      </c>
      <c r="C46" s="32" t="s">
        <v>513</v>
      </c>
      <c r="D46" s="32" t="s">
        <v>423</v>
      </c>
      <c r="E46" s="100" t="s">
        <v>424</v>
      </c>
      <c r="F46" s="94" t="s">
        <v>238</v>
      </c>
      <c r="G46" s="94" t="s">
        <v>514</v>
      </c>
      <c r="H46" s="94">
        <v>6.75</v>
      </c>
      <c r="I46" s="94" t="s">
        <v>244</v>
      </c>
      <c r="J46" s="32">
        <v>2.0099999999999996E-2</v>
      </c>
      <c r="K46" s="32">
        <v>7.1999999999999998E-3</v>
      </c>
      <c r="L46" s="103">
        <v>25919401.537870314</v>
      </c>
      <c r="M46" s="94">
        <v>110.52</v>
      </c>
      <c r="N46" s="94">
        <v>0</v>
      </c>
      <c r="O46" s="124">
        <v>28646.122579140028</v>
      </c>
      <c r="P46" s="32">
        <v>1.5915558957303249E-3</v>
      </c>
      <c r="Q46" s="41">
        <v>7.2997739086402046E-3</v>
      </c>
      <c r="R46" s="41">
        <v>2.4258835761975526E-3</v>
      </c>
    </row>
    <row r="47" spans="2:18" x14ac:dyDescent="0.2">
      <c r="B47" s="23" t="s">
        <v>515</v>
      </c>
      <c r="C47" s="32" t="s">
        <v>516</v>
      </c>
      <c r="D47" s="32" t="s">
        <v>423</v>
      </c>
      <c r="E47" s="100" t="s">
        <v>424</v>
      </c>
      <c r="F47" s="94" t="s">
        <v>238</v>
      </c>
      <c r="G47" s="94" t="s">
        <v>517</v>
      </c>
      <c r="H47" s="94">
        <v>18.77</v>
      </c>
      <c r="I47" s="94" t="s">
        <v>244</v>
      </c>
      <c r="J47" s="32">
        <v>3.7599999999999995E-2</v>
      </c>
      <c r="K47" s="32">
        <v>1.8700000000000001E-2</v>
      </c>
      <c r="L47" s="103">
        <v>136057911.90742496</v>
      </c>
      <c r="M47" s="94">
        <v>142.79</v>
      </c>
      <c r="N47" s="94">
        <v>0</v>
      </c>
      <c r="O47" s="124">
        <v>194277.09241239779</v>
      </c>
      <c r="P47" s="32">
        <v>9.3270627244945864E-3</v>
      </c>
      <c r="Q47" s="41">
        <v>4.9506834522561681E-2</v>
      </c>
      <c r="R47" s="41">
        <v>1.6452265272991737E-2</v>
      </c>
    </row>
    <row r="48" spans="2:18" x14ac:dyDescent="0.2">
      <c r="B48" s="23" t="s">
        <v>518</v>
      </c>
      <c r="C48" s="32" t="s">
        <v>519</v>
      </c>
      <c r="D48" s="32" t="s">
        <v>423</v>
      </c>
      <c r="E48" s="100" t="s">
        <v>424</v>
      </c>
      <c r="F48" s="94" t="s">
        <v>238</v>
      </c>
      <c r="G48" s="94" t="s">
        <v>520</v>
      </c>
      <c r="H48" s="94">
        <v>2.88</v>
      </c>
      <c r="I48" s="94" t="s">
        <v>244</v>
      </c>
      <c r="J48" s="32">
        <v>1.2500000000000001E-2</v>
      </c>
      <c r="K48" s="32">
        <v>2.7000000000000001E-3</v>
      </c>
      <c r="L48" s="103">
        <v>57218552.842442527</v>
      </c>
      <c r="M48" s="94">
        <v>102.95999999999998</v>
      </c>
      <c r="N48" s="94">
        <v>0</v>
      </c>
      <c r="O48" s="124">
        <v>58912.222005321782</v>
      </c>
      <c r="P48" s="32">
        <v>4.9248975776311783E-3</v>
      </c>
      <c r="Q48" s="41">
        <v>1.5012359871964824E-2</v>
      </c>
      <c r="R48" s="41">
        <v>4.9889541387386094E-3</v>
      </c>
    </row>
    <row r="49" spans="2:18" x14ac:dyDescent="0.2">
      <c r="B49" s="23" t="s">
        <v>521</v>
      </c>
      <c r="C49" s="32" t="s">
        <v>522</v>
      </c>
      <c r="D49" s="32" t="s">
        <v>423</v>
      </c>
      <c r="E49" s="100" t="s">
        <v>424</v>
      </c>
      <c r="F49" s="94" t="s">
        <v>238</v>
      </c>
      <c r="G49" s="94" t="s">
        <v>523</v>
      </c>
      <c r="H49" s="94">
        <v>1.08</v>
      </c>
      <c r="I49" s="94" t="s">
        <v>244</v>
      </c>
      <c r="J49" s="32">
        <v>5.0000000000000001E-3</v>
      </c>
      <c r="K49" s="32">
        <v>1.4000000000000002E-3</v>
      </c>
      <c r="L49" s="103">
        <v>93742579.436480924</v>
      </c>
      <c r="M49" s="94">
        <v>100.85</v>
      </c>
      <c r="N49" s="94">
        <v>0</v>
      </c>
      <c r="O49" s="124">
        <v>94539.391360476831</v>
      </c>
      <c r="P49" s="32">
        <v>5.992305171157038E-3</v>
      </c>
      <c r="Q49" s="41">
        <v>2.4091085293842639E-2</v>
      </c>
      <c r="R49" s="41">
        <v>8.0060244164457707E-3</v>
      </c>
    </row>
    <row r="50" spans="2:18" x14ac:dyDescent="0.2">
      <c r="B50" s="23" t="s">
        <v>524</v>
      </c>
      <c r="C50" s="32" t="s">
        <v>525</v>
      </c>
      <c r="D50" s="32" t="s">
        <v>423</v>
      </c>
      <c r="E50" s="100" t="s">
        <v>424</v>
      </c>
      <c r="F50" s="94" t="s">
        <v>238</v>
      </c>
      <c r="G50" s="94" t="s">
        <v>526</v>
      </c>
      <c r="H50" s="94">
        <v>8.0399999999999991</v>
      </c>
      <c r="I50" s="94" t="s">
        <v>244</v>
      </c>
      <c r="J50" s="32">
        <v>2.2499999999999999E-2</v>
      </c>
      <c r="K50" s="32">
        <v>8.5000000000000006E-3</v>
      </c>
      <c r="L50" s="103">
        <v>86097160.744026616</v>
      </c>
      <c r="M50" s="94">
        <v>112.37000000000002</v>
      </c>
      <c r="N50" s="94">
        <v>0</v>
      </c>
      <c r="O50" s="124">
        <v>96747.379527605604</v>
      </c>
      <c r="P50" s="32">
        <v>5.5281528537816102E-3</v>
      </c>
      <c r="Q50" s="41">
        <v>2.4653737861165308E-2</v>
      </c>
      <c r="R50" s="41">
        <v>8.1930068681293593E-3</v>
      </c>
    </row>
    <row r="51" spans="2:18" x14ac:dyDescent="0.2">
      <c r="B51" s="23" t="s">
        <v>527</v>
      </c>
      <c r="C51" s="32" t="s">
        <v>528</v>
      </c>
      <c r="D51" s="32" t="s">
        <v>423</v>
      </c>
      <c r="E51" s="100" t="s">
        <v>424</v>
      </c>
      <c r="F51" s="94" t="s">
        <v>238</v>
      </c>
      <c r="G51" s="94" t="s">
        <v>529</v>
      </c>
      <c r="H51" s="94">
        <v>3.83</v>
      </c>
      <c r="I51" s="94" t="s">
        <v>244</v>
      </c>
      <c r="J51" s="32">
        <v>1.4999999999999999E-2</v>
      </c>
      <c r="K51" s="32">
        <v>3.4999999999999996E-3</v>
      </c>
      <c r="L51" s="103">
        <v>259878597.72490919</v>
      </c>
      <c r="M51" s="94">
        <v>104.59</v>
      </c>
      <c r="N51" s="94">
        <v>0</v>
      </c>
      <c r="O51" s="124">
        <v>271807.02535913978</v>
      </c>
      <c r="P51" s="32">
        <v>1.6496831650785124E-2</v>
      </c>
      <c r="Q51" s="41">
        <v>6.9263469302703787E-2</v>
      </c>
      <c r="R51" s="41">
        <v>2.3017851609488001E-2</v>
      </c>
    </row>
    <row r="52" spans="2:18" x14ac:dyDescent="0.2">
      <c r="B52" s="23" t="s">
        <v>530</v>
      </c>
      <c r="C52" s="32" t="s">
        <v>531</v>
      </c>
      <c r="D52" s="32" t="s">
        <v>423</v>
      </c>
      <c r="E52" s="100" t="s">
        <v>424</v>
      </c>
      <c r="F52" s="94" t="s">
        <v>238</v>
      </c>
      <c r="G52" s="94" t="s">
        <v>532</v>
      </c>
      <c r="H52" s="94">
        <v>2.56</v>
      </c>
      <c r="I52" s="94" t="s">
        <v>244</v>
      </c>
      <c r="J52" s="32">
        <v>7.4999999999999997E-3</v>
      </c>
      <c r="K52" s="32">
        <v>2.3E-3</v>
      </c>
      <c r="L52" s="103">
        <v>225501874.31614548</v>
      </c>
      <c r="M52" s="94">
        <v>101.65000000000002</v>
      </c>
      <c r="N52" s="94">
        <v>0</v>
      </c>
      <c r="O52" s="124">
        <v>229222.65524129054</v>
      </c>
      <c r="P52" s="32">
        <v>3.0030655559919312E-2</v>
      </c>
      <c r="Q52" s="41">
        <v>5.8411868949345046E-2</v>
      </c>
      <c r="R52" s="41">
        <v>1.9411614018825931E-2</v>
      </c>
    </row>
    <row r="53" spans="2:18" s="160" customFormat="1" x14ac:dyDescent="0.2">
      <c r="B53" s="132" t="s">
        <v>533</v>
      </c>
      <c r="C53" s="167" t="s">
        <v>238</v>
      </c>
      <c r="D53" s="167" t="s">
        <v>238</v>
      </c>
      <c r="E53" s="164" t="s">
        <v>238</v>
      </c>
      <c r="F53" s="168" t="s">
        <v>238</v>
      </c>
      <c r="G53" s="168" t="s">
        <v>238</v>
      </c>
      <c r="H53" s="168" t="s">
        <v>238</v>
      </c>
      <c r="I53" s="168" t="s">
        <v>238</v>
      </c>
      <c r="J53" s="167" t="s">
        <v>238</v>
      </c>
      <c r="K53" s="167" t="s">
        <v>238</v>
      </c>
      <c r="L53" s="178" t="s">
        <v>238</v>
      </c>
      <c r="M53" s="168" t="s">
        <v>238</v>
      </c>
      <c r="N53" s="168" t="s">
        <v>238</v>
      </c>
      <c r="O53" s="169">
        <v>290556.26712592394</v>
      </c>
      <c r="P53" s="167" t="s">
        <v>238</v>
      </c>
      <c r="Q53" s="163">
        <v>7.4041261671560804E-2</v>
      </c>
      <c r="R53" s="163">
        <v>2.4605622434057457E-2</v>
      </c>
    </row>
    <row r="54" spans="2:18" x14ac:dyDescent="0.2">
      <c r="B54" s="23" t="s">
        <v>534</v>
      </c>
      <c r="C54" s="32" t="s">
        <v>535</v>
      </c>
      <c r="D54" s="32" t="s">
        <v>423</v>
      </c>
      <c r="E54" s="100" t="s">
        <v>424</v>
      </c>
      <c r="F54" s="94" t="s">
        <v>238</v>
      </c>
      <c r="G54" s="94" t="s">
        <v>536</v>
      </c>
      <c r="H54" s="94">
        <v>0.41</v>
      </c>
      <c r="I54" s="94" t="s">
        <v>244</v>
      </c>
      <c r="J54" s="32">
        <v>2.8999999999999998E-3</v>
      </c>
      <c r="K54" s="32">
        <v>2E-3</v>
      </c>
      <c r="L54" s="103">
        <v>234737465.95439577</v>
      </c>
      <c r="M54" s="94">
        <v>99.99</v>
      </c>
      <c r="N54" s="94">
        <v>0</v>
      </c>
      <c r="O54" s="124">
        <v>234713.99220640046</v>
      </c>
      <c r="P54" s="32">
        <v>1.4770058436552129E-2</v>
      </c>
      <c r="Q54" s="41">
        <v>5.9811203822353338E-2</v>
      </c>
      <c r="R54" s="41">
        <v>1.9876645337400516E-2</v>
      </c>
    </row>
    <row r="55" spans="2:18" x14ac:dyDescent="0.2">
      <c r="B55" s="23" t="s">
        <v>537</v>
      </c>
      <c r="C55" s="32" t="s">
        <v>538</v>
      </c>
      <c r="D55" s="32" t="s">
        <v>423</v>
      </c>
      <c r="E55" s="100" t="s">
        <v>424</v>
      </c>
      <c r="F55" s="94" t="s">
        <v>238</v>
      </c>
      <c r="G55" s="94" t="s">
        <v>539</v>
      </c>
      <c r="H55" s="94">
        <v>1.91</v>
      </c>
      <c r="I55" s="94" t="s">
        <v>244</v>
      </c>
      <c r="J55" s="32">
        <v>2.8999999999999998E-3</v>
      </c>
      <c r="K55" s="32">
        <v>2.2000000000000001E-3</v>
      </c>
      <c r="L55" s="103">
        <v>44537716.524805859</v>
      </c>
      <c r="M55" s="94">
        <v>99.87</v>
      </c>
      <c r="N55" s="94">
        <v>0</v>
      </c>
      <c r="O55" s="124">
        <v>44479.817491980873</v>
      </c>
      <c r="P55" s="32">
        <v>3.1770241386055924E-3</v>
      </c>
      <c r="Q55" s="41">
        <v>1.1334609432463987E-2</v>
      </c>
      <c r="R55" s="41">
        <v>3.7667526705563764E-3</v>
      </c>
    </row>
    <row r="56" spans="2:18" x14ac:dyDescent="0.2">
      <c r="B56" s="23" t="s">
        <v>540</v>
      </c>
      <c r="C56" s="32" t="s">
        <v>541</v>
      </c>
      <c r="D56" s="32" t="s">
        <v>423</v>
      </c>
      <c r="E56" s="100" t="s">
        <v>424</v>
      </c>
      <c r="F56" s="94" t="s">
        <v>238</v>
      </c>
      <c r="G56" s="94" t="s">
        <v>542</v>
      </c>
      <c r="H56" s="94">
        <v>6.39</v>
      </c>
      <c r="I56" s="94" t="s">
        <v>244</v>
      </c>
      <c r="J56" s="32">
        <v>1E-3</v>
      </c>
      <c r="K56" s="32">
        <v>2.3999999999999998E-3</v>
      </c>
      <c r="L56" s="103">
        <v>11427594.717331428</v>
      </c>
      <c r="M56" s="94">
        <v>99.43</v>
      </c>
      <c r="N56" s="94">
        <v>0</v>
      </c>
      <c r="O56" s="124">
        <v>11362.457427442638</v>
      </c>
      <c r="P56" s="32">
        <v>8.0312063754715303E-4</v>
      </c>
      <c r="Q56" s="41">
        <v>2.8954484167180044E-3</v>
      </c>
      <c r="R56" s="41">
        <v>9.6222442609210097E-4</v>
      </c>
    </row>
    <row r="57" spans="2:18" s="160" customFormat="1" x14ac:dyDescent="0.2">
      <c r="B57" s="132" t="s">
        <v>543</v>
      </c>
      <c r="C57" s="167" t="s">
        <v>238</v>
      </c>
      <c r="D57" s="167" t="s">
        <v>238</v>
      </c>
      <c r="E57" s="164" t="s">
        <v>238</v>
      </c>
      <c r="F57" s="168" t="s">
        <v>238</v>
      </c>
      <c r="G57" s="168" t="s">
        <v>238</v>
      </c>
      <c r="H57" s="168" t="s">
        <v>238</v>
      </c>
      <c r="I57" s="168" t="s">
        <v>238</v>
      </c>
      <c r="J57" s="167" t="s">
        <v>238</v>
      </c>
      <c r="K57" s="167" t="s">
        <v>238</v>
      </c>
      <c r="L57" s="178" t="s">
        <v>238</v>
      </c>
      <c r="M57" s="168" t="s">
        <v>238</v>
      </c>
      <c r="N57" s="168" t="s">
        <v>238</v>
      </c>
      <c r="O57" s="169">
        <v>0</v>
      </c>
      <c r="P57" s="167" t="s">
        <v>238</v>
      </c>
      <c r="Q57" s="163">
        <v>0</v>
      </c>
      <c r="R57" s="163">
        <v>0</v>
      </c>
    </row>
    <row r="58" spans="2:18" s="160" customFormat="1" x14ac:dyDescent="0.2">
      <c r="B58" s="132" t="s">
        <v>544</v>
      </c>
      <c r="C58" s="167" t="s">
        <v>238</v>
      </c>
      <c r="D58" s="167" t="s">
        <v>238</v>
      </c>
      <c r="E58" s="164" t="s">
        <v>238</v>
      </c>
      <c r="F58" s="168" t="s">
        <v>238</v>
      </c>
      <c r="G58" s="168" t="s">
        <v>238</v>
      </c>
      <c r="H58" s="168" t="s">
        <v>238</v>
      </c>
      <c r="I58" s="168" t="s">
        <v>238</v>
      </c>
      <c r="J58" s="167" t="s">
        <v>238</v>
      </c>
      <c r="K58" s="167" t="s">
        <v>238</v>
      </c>
      <c r="L58" s="178" t="s">
        <v>238</v>
      </c>
      <c r="M58" s="168" t="s">
        <v>238</v>
      </c>
      <c r="N58" s="168" t="s">
        <v>238</v>
      </c>
      <c r="O58" s="169">
        <v>128037.19897928968</v>
      </c>
      <c r="P58" s="167" t="s">
        <v>238</v>
      </c>
      <c r="Q58" s="163">
        <v>3.2627194199224552E-2</v>
      </c>
      <c r="R58" s="163">
        <v>1.0842770685215764E-2</v>
      </c>
    </row>
    <row r="59" spans="2:18" s="160" customFormat="1" x14ac:dyDescent="0.2">
      <c r="B59" s="132" t="s">
        <v>545</v>
      </c>
      <c r="C59" s="167" t="s">
        <v>238</v>
      </c>
      <c r="D59" s="167" t="s">
        <v>238</v>
      </c>
      <c r="E59" s="164" t="s">
        <v>238</v>
      </c>
      <c r="F59" s="168" t="s">
        <v>238</v>
      </c>
      <c r="G59" s="168" t="s">
        <v>238</v>
      </c>
      <c r="H59" s="168" t="s">
        <v>238</v>
      </c>
      <c r="I59" s="168" t="s">
        <v>238</v>
      </c>
      <c r="J59" s="167" t="s">
        <v>238</v>
      </c>
      <c r="K59" s="167" t="s">
        <v>238</v>
      </c>
      <c r="L59" s="178" t="s">
        <v>238</v>
      </c>
      <c r="M59" s="168" t="s">
        <v>238</v>
      </c>
      <c r="N59" s="168" t="s">
        <v>238</v>
      </c>
      <c r="O59" s="169">
        <v>40464.342630100007</v>
      </c>
      <c r="P59" s="167" t="s">
        <v>238</v>
      </c>
      <c r="Q59" s="163">
        <v>1.0311362445142096E-2</v>
      </c>
      <c r="R59" s="163">
        <v>3.4267040482285388E-3</v>
      </c>
    </row>
    <row r="60" spans="2:18" x14ac:dyDescent="0.2">
      <c r="B60" s="23" t="s">
        <v>546</v>
      </c>
      <c r="C60" s="32" t="s">
        <v>547</v>
      </c>
      <c r="D60" s="32" t="s">
        <v>209</v>
      </c>
      <c r="E60" s="100" t="s">
        <v>357</v>
      </c>
      <c r="F60" s="94" t="s">
        <v>358</v>
      </c>
      <c r="G60" s="94" t="s">
        <v>548</v>
      </c>
      <c r="H60" s="94">
        <v>8.4149999999999991</v>
      </c>
      <c r="I60" s="94" t="s">
        <v>128</v>
      </c>
      <c r="J60" s="32">
        <v>1.4999999999999999E-2</v>
      </c>
      <c r="K60" s="32">
        <v>4.3E-3</v>
      </c>
      <c r="L60" s="103">
        <v>440000</v>
      </c>
      <c r="M60" s="94">
        <v>110.5506</v>
      </c>
      <c r="N60" s="94">
        <v>0</v>
      </c>
      <c r="O60" s="124">
        <v>1886.4442799999999</v>
      </c>
      <c r="P60" s="32">
        <v>3.5199999999999999E-4</v>
      </c>
      <c r="Q60" s="41">
        <v>4.8071485755895124E-4</v>
      </c>
      <c r="R60" s="41">
        <v>1.5975265705231093E-4</v>
      </c>
    </row>
    <row r="61" spans="2:18" x14ac:dyDescent="0.2">
      <c r="B61" s="23" t="s">
        <v>549</v>
      </c>
      <c r="C61" s="32" t="s">
        <v>550</v>
      </c>
      <c r="D61" s="32" t="s">
        <v>209</v>
      </c>
      <c r="E61" s="100" t="s">
        <v>357</v>
      </c>
      <c r="F61" s="94" t="s">
        <v>358</v>
      </c>
      <c r="G61" s="94" t="s">
        <v>551</v>
      </c>
      <c r="H61" s="94">
        <v>0.20599999999999999</v>
      </c>
      <c r="I61" s="94" t="s">
        <v>128</v>
      </c>
      <c r="J61" s="32">
        <v>4.6300000000000001E-2</v>
      </c>
      <c r="K61" s="32">
        <v>-3.8500000000000001E-3</v>
      </c>
      <c r="L61" s="103">
        <v>9524184</v>
      </c>
      <c r="M61" s="94">
        <v>104.44329999999999</v>
      </c>
      <c r="N61" s="94">
        <v>0</v>
      </c>
      <c r="O61" s="124">
        <v>38577.898350000003</v>
      </c>
      <c r="P61" s="32">
        <v>6.3494559999999999E-3</v>
      </c>
      <c r="Q61" s="41">
        <v>9.8306475875576619E-3</v>
      </c>
      <c r="R61" s="41">
        <v>3.2669513911677594E-3</v>
      </c>
    </row>
    <row r="62" spans="2:18" s="160" customFormat="1" x14ac:dyDescent="0.2">
      <c r="B62" s="132" t="s">
        <v>552</v>
      </c>
      <c r="C62" s="167" t="s">
        <v>238</v>
      </c>
      <c r="D62" s="167" t="s">
        <v>238</v>
      </c>
      <c r="E62" s="164" t="s">
        <v>238</v>
      </c>
      <c r="F62" s="168" t="s">
        <v>238</v>
      </c>
      <c r="G62" s="168" t="s">
        <v>238</v>
      </c>
      <c r="H62" s="168" t="s">
        <v>238</v>
      </c>
      <c r="I62" s="168" t="s">
        <v>238</v>
      </c>
      <c r="J62" s="167" t="s">
        <v>238</v>
      </c>
      <c r="K62" s="167" t="s">
        <v>238</v>
      </c>
      <c r="L62" s="178" t="s">
        <v>238</v>
      </c>
      <c r="M62" s="168" t="s">
        <v>238</v>
      </c>
      <c r="N62" s="168" t="s">
        <v>238</v>
      </c>
      <c r="O62" s="169">
        <v>87572.856349189678</v>
      </c>
      <c r="P62" s="167" t="s">
        <v>238</v>
      </c>
      <c r="Q62" s="163">
        <v>2.2315831754082457E-2</v>
      </c>
      <c r="R62" s="163">
        <v>7.4160666369872258E-3</v>
      </c>
    </row>
    <row r="63" spans="2:18" x14ac:dyDescent="0.2">
      <c r="B63" s="23" t="s">
        <v>553</v>
      </c>
      <c r="C63" s="32" t="s">
        <v>554</v>
      </c>
      <c r="D63" s="32" t="s">
        <v>209</v>
      </c>
      <c r="E63" s="100" t="s">
        <v>555</v>
      </c>
      <c r="F63" s="94" t="s">
        <v>412</v>
      </c>
      <c r="G63" s="94" t="s">
        <v>556</v>
      </c>
      <c r="H63" s="94">
        <v>3.37</v>
      </c>
      <c r="I63" s="94" t="s">
        <v>133</v>
      </c>
      <c r="J63" s="32">
        <v>0.08</v>
      </c>
      <c r="K63" s="32">
        <v>6.7670000000000008E-2</v>
      </c>
      <c r="L63" s="103">
        <v>4583513.6223735167</v>
      </c>
      <c r="M63" s="94">
        <v>10457.61</v>
      </c>
      <c r="N63" s="94">
        <v>0</v>
      </c>
      <c r="O63" s="124">
        <v>87572.856349089678</v>
      </c>
      <c r="P63" s="32">
        <v>1.8367475948730377E-5</v>
      </c>
      <c r="Q63" s="41">
        <v>2.2315831754056974E-2</v>
      </c>
      <c r="R63" s="41">
        <v>7.4160666369787569E-3</v>
      </c>
    </row>
    <row r="64" spans="2:18" s="160" customFormat="1" x14ac:dyDescent="0.2">
      <c r="B64" s="114" t="s">
        <v>227</v>
      </c>
      <c r="C64" s="170"/>
      <c r="D64" s="170"/>
      <c r="E64" s="170"/>
      <c r="F64" s="171"/>
      <c r="G64" s="171"/>
      <c r="H64" s="171"/>
      <c r="I64" s="172"/>
      <c r="J64" s="173"/>
      <c r="K64" s="174"/>
      <c r="L64" s="174"/>
      <c r="M64" s="174"/>
      <c r="N64" s="174"/>
      <c r="O64" s="173"/>
      <c r="P64" s="173"/>
      <c r="Q64" s="173"/>
      <c r="R64" s="179"/>
    </row>
    <row r="65" spans="2:18" s="160" customFormat="1" x14ac:dyDescent="0.2">
      <c r="B65" s="114" t="s">
        <v>228</v>
      </c>
      <c r="C65" s="170"/>
      <c r="D65" s="170"/>
      <c r="E65" s="170"/>
      <c r="F65" s="171"/>
      <c r="G65" s="171"/>
      <c r="H65" s="171"/>
      <c r="I65" s="172"/>
      <c r="J65" s="173"/>
      <c r="K65" s="174"/>
      <c r="L65" s="174"/>
      <c r="M65" s="174"/>
      <c r="N65" s="174"/>
      <c r="O65" s="173"/>
      <c r="P65" s="173"/>
      <c r="Q65" s="173"/>
      <c r="R65" s="179"/>
    </row>
    <row r="66" spans="2:18" s="160" customFormat="1" x14ac:dyDescent="0.2">
      <c r="B66" s="114" t="s">
        <v>229</v>
      </c>
      <c r="C66" s="170"/>
      <c r="D66" s="170"/>
      <c r="E66" s="170"/>
      <c r="F66" s="171"/>
      <c r="G66" s="171"/>
      <c r="H66" s="171"/>
      <c r="I66" s="172"/>
      <c r="J66" s="173"/>
      <c r="K66" s="174"/>
      <c r="L66" s="174"/>
      <c r="M66" s="174"/>
      <c r="N66" s="174"/>
      <c r="O66" s="173"/>
      <c r="P66" s="173"/>
      <c r="Q66" s="173"/>
      <c r="R66" s="179"/>
    </row>
    <row r="67" spans="2:18" s="160" customFormat="1" x14ac:dyDescent="0.2">
      <c r="B67" s="114" t="s">
        <v>230</v>
      </c>
      <c r="C67" s="170"/>
      <c r="D67" s="170"/>
      <c r="E67" s="170"/>
      <c r="F67" s="171"/>
      <c r="G67" s="171"/>
      <c r="H67" s="171"/>
      <c r="I67" s="172"/>
      <c r="J67" s="173"/>
      <c r="K67" s="174"/>
      <c r="L67" s="174"/>
      <c r="M67" s="174"/>
      <c r="N67" s="174"/>
      <c r="O67" s="173"/>
      <c r="P67" s="173"/>
      <c r="Q67" s="173"/>
      <c r="R67" s="179"/>
    </row>
    <row r="68" spans="2:18" s="160" customFormat="1" x14ac:dyDescent="0.2">
      <c r="B68" s="114" t="s">
        <v>231</v>
      </c>
      <c r="C68" s="170"/>
      <c r="D68" s="170"/>
      <c r="E68" s="170"/>
      <c r="F68" s="171"/>
      <c r="G68" s="171"/>
      <c r="H68" s="171"/>
      <c r="I68" s="172"/>
      <c r="J68" s="173"/>
      <c r="K68" s="174"/>
      <c r="L68" s="174"/>
      <c r="M68" s="174"/>
      <c r="N68" s="174"/>
      <c r="O68" s="173"/>
      <c r="P68" s="173"/>
      <c r="Q68" s="173"/>
      <c r="R68" s="179"/>
    </row>
  </sheetData>
  <mergeCells count="2">
    <mergeCell ref="B7:R7"/>
    <mergeCell ref="B6:R6"/>
  </mergeCells>
  <phoneticPr fontId="3" type="noConversion"/>
  <conditionalFormatting sqref="J1:J5 J64:J55598 H11:H63 P11:P63 J11:N63">
    <cfRule type="expression" dxfId="137" priority="57" stopIfTrue="1">
      <formula>LEFT(#REF!,3)="TIR"</formula>
    </cfRule>
  </conditionalFormatting>
  <conditionalFormatting sqref="J8">
    <cfRule type="expression" dxfId="136" priority="62" stopIfTrue="1">
      <formula>LEFT(#REF!,3)="TIR"</formula>
    </cfRule>
  </conditionalFormatting>
  <conditionalFormatting sqref="I11:I63 Q11:R63 C11:G63">
    <cfRule type="expression" dxfId="135" priority="63" stopIfTrue="1">
      <formula>OR(LEFT(#REF!,3)="TIR",LEFT(#REF!,2)="IR")</formula>
    </cfRule>
  </conditionalFormatting>
  <conditionalFormatting sqref="B11:B63 O11:O63">
    <cfRule type="expression" dxfId="134" priority="66" stopIfTrue="1">
      <formula>#REF!&gt;0</formula>
    </cfRule>
    <cfRule type="expression" dxfId="133" priority="67" stopIfTrue="1">
      <formula>LEFT(#REF!,3)="TIR"</formula>
    </cfRule>
  </conditionalFormatting>
  <conditionalFormatting sqref="G12:G63">
    <cfRule type="expression" dxfId="132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30"/>
    </row>
    <row r="7" spans="1:21" s="10" customFormat="1" x14ac:dyDescent="0.2">
      <c r="B7" s="231" t="s">
        <v>18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3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40</v>
      </c>
      <c r="K9" s="36" t="s">
        <v>16</v>
      </c>
      <c r="L9" s="37"/>
      <c r="M9" s="2" t="s">
        <v>9</v>
      </c>
      <c r="N9" s="2" t="s">
        <v>9</v>
      </c>
      <c r="O9" s="2" t="s">
        <v>136</v>
      </c>
      <c r="P9" s="2"/>
      <c r="Q9" s="2" t="s">
        <v>138</v>
      </c>
      <c r="R9" s="2" t="s">
        <v>138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1" t="s">
        <v>61</v>
      </c>
      <c r="C11" s="101" t="s">
        <v>238</v>
      </c>
      <c r="D11" s="101" t="s">
        <v>238</v>
      </c>
      <c r="E11" s="101" t="s">
        <v>238</v>
      </c>
      <c r="F11" s="101" t="s">
        <v>238</v>
      </c>
      <c r="G11" s="101" t="s">
        <v>238</v>
      </c>
      <c r="H11" s="180"/>
      <c r="I11" s="180" t="s">
        <v>238</v>
      </c>
      <c r="J11" s="180" t="s">
        <v>238</v>
      </c>
      <c r="K11" s="180" t="s">
        <v>238</v>
      </c>
      <c r="L11" s="180" t="s">
        <v>238</v>
      </c>
      <c r="M11" s="181" t="s">
        <v>238</v>
      </c>
      <c r="N11" s="181" t="s">
        <v>238</v>
      </c>
      <c r="O11" s="182" t="s">
        <v>238</v>
      </c>
      <c r="P11" s="180"/>
      <c r="Q11" s="180" t="s">
        <v>238</v>
      </c>
      <c r="R11" s="144">
        <v>4.9999999999999998E-7</v>
      </c>
      <c r="S11" s="101" t="s">
        <v>238</v>
      </c>
      <c r="T11" s="101">
        <v>1</v>
      </c>
      <c r="U11" s="120">
        <v>0</v>
      </c>
    </row>
    <row r="12" spans="1:21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83" t="s">
        <v>238</v>
      </c>
      <c r="I12" s="183" t="s">
        <v>238</v>
      </c>
      <c r="J12" s="183" t="s">
        <v>238</v>
      </c>
      <c r="K12" s="183" t="s">
        <v>238</v>
      </c>
      <c r="L12" s="183" t="s">
        <v>238</v>
      </c>
      <c r="M12" s="184" t="s">
        <v>238</v>
      </c>
      <c r="N12" s="184" t="s">
        <v>238</v>
      </c>
      <c r="O12" s="185" t="s">
        <v>238</v>
      </c>
      <c r="P12" s="183" t="s">
        <v>238</v>
      </c>
      <c r="Q12" s="183" t="s">
        <v>238</v>
      </c>
      <c r="R12" s="165">
        <v>0</v>
      </c>
      <c r="S12" s="163" t="s">
        <v>238</v>
      </c>
      <c r="T12" s="163">
        <v>0</v>
      </c>
      <c r="U12" s="163">
        <v>0</v>
      </c>
    </row>
    <row r="13" spans="1:21" s="160" customFormat="1" x14ac:dyDescent="0.2">
      <c r="B13" s="132" t="s">
        <v>141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83" t="s">
        <v>238</v>
      </c>
      <c r="I13" s="186" t="s">
        <v>238</v>
      </c>
      <c r="J13" s="186" t="s">
        <v>238</v>
      </c>
      <c r="K13" s="186" t="s">
        <v>238</v>
      </c>
      <c r="L13" s="186" t="s">
        <v>238</v>
      </c>
      <c r="M13" s="187" t="s">
        <v>238</v>
      </c>
      <c r="N13" s="187" t="s">
        <v>238</v>
      </c>
      <c r="O13" s="188" t="s">
        <v>238</v>
      </c>
      <c r="P13" s="186" t="s">
        <v>238</v>
      </c>
      <c r="Q13" s="186" t="s">
        <v>238</v>
      </c>
      <c r="R13" s="169">
        <v>0</v>
      </c>
      <c r="S13" s="167" t="s">
        <v>238</v>
      </c>
      <c r="T13" s="167">
        <v>0</v>
      </c>
      <c r="U13" s="163">
        <v>0</v>
      </c>
    </row>
    <row r="14" spans="1:21" s="160" customFormat="1" x14ac:dyDescent="0.2">
      <c r="B14" s="132" t="s">
        <v>142</v>
      </c>
      <c r="C14" s="167" t="s">
        <v>238</v>
      </c>
      <c r="D14" s="167" t="s">
        <v>238</v>
      </c>
      <c r="E14" s="167" t="s">
        <v>238</v>
      </c>
      <c r="F14" s="167" t="s">
        <v>238</v>
      </c>
      <c r="G14" s="167" t="s">
        <v>238</v>
      </c>
      <c r="H14" s="183" t="s">
        <v>238</v>
      </c>
      <c r="I14" s="186" t="s">
        <v>238</v>
      </c>
      <c r="J14" s="186" t="s">
        <v>238</v>
      </c>
      <c r="K14" s="186" t="s">
        <v>238</v>
      </c>
      <c r="L14" s="186" t="s">
        <v>238</v>
      </c>
      <c r="M14" s="187" t="s">
        <v>238</v>
      </c>
      <c r="N14" s="187" t="s">
        <v>238</v>
      </c>
      <c r="O14" s="188" t="s">
        <v>238</v>
      </c>
      <c r="P14" s="186" t="s">
        <v>238</v>
      </c>
      <c r="Q14" s="186" t="s">
        <v>238</v>
      </c>
      <c r="R14" s="169">
        <v>0</v>
      </c>
      <c r="S14" s="167" t="s">
        <v>238</v>
      </c>
      <c r="T14" s="167">
        <v>0</v>
      </c>
      <c r="U14" s="163">
        <v>0</v>
      </c>
    </row>
    <row r="15" spans="1:21" s="160" customFormat="1" x14ac:dyDescent="0.2">
      <c r="B15" s="132" t="s">
        <v>557</v>
      </c>
      <c r="C15" s="167" t="s">
        <v>238</v>
      </c>
      <c r="D15" s="167" t="s">
        <v>238</v>
      </c>
      <c r="E15" s="167" t="s">
        <v>238</v>
      </c>
      <c r="F15" s="167" t="s">
        <v>238</v>
      </c>
      <c r="G15" s="167" t="s">
        <v>238</v>
      </c>
      <c r="H15" s="183" t="s">
        <v>238</v>
      </c>
      <c r="I15" s="186" t="s">
        <v>238</v>
      </c>
      <c r="J15" s="186" t="s">
        <v>238</v>
      </c>
      <c r="K15" s="186" t="s">
        <v>238</v>
      </c>
      <c r="L15" s="186" t="s">
        <v>238</v>
      </c>
      <c r="M15" s="187" t="s">
        <v>238</v>
      </c>
      <c r="N15" s="187" t="s">
        <v>238</v>
      </c>
      <c r="O15" s="188" t="s">
        <v>238</v>
      </c>
      <c r="P15" s="186" t="s">
        <v>238</v>
      </c>
      <c r="Q15" s="186" t="s">
        <v>238</v>
      </c>
      <c r="R15" s="169">
        <v>0</v>
      </c>
      <c r="S15" s="167" t="s">
        <v>238</v>
      </c>
      <c r="T15" s="167">
        <v>0</v>
      </c>
      <c r="U15" s="163">
        <v>0</v>
      </c>
    </row>
    <row r="16" spans="1:21" s="160" customFormat="1" x14ac:dyDescent="0.2">
      <c r="B16" s="132" t="s">
        <v>558</v>
      </c>
      <c r="C16" s="167" t="s">
        <v>238</v>
      </c>
      <c r="D16" s="167" t="s">
        <v>238</v>
      </c>
      <c r="E16" s="167" t="s">
        <v>238</v>
      </c>
      <c r="F16" s="167" t="s">
        <v>238</v>
      </c>
      <c r="G16" s="167" t="s">
        <v>238</v>
      </c>
      <c r="H16" s="183" t="s">
        <v>238</v>
      </c>
      <c r="I16" s="186" t="s">
        <v>238</v>
      </c>
      <c r="J16" s="186" t="s">
        <v>238</v>
      </c>
      <c r="K16" s="186" t="s">
        <v>238</v>
      </c>
      <c r="L16" s="186" t="s">
        <v>238</v>
      </c>
      <c r="M16" s="187" t="s">
        <v>238</v>
      </c>
      <c r="N16" s="187" t="s">
        <v>238</v>
      </c>
      <c r="O16" s="188" t="s">
        <v>238</v>
      </c>
      <c r="P16" s="186" t="s">
        <v>238</v>
      </c>
      <c r="Q16" s="186" t="s">
        <v>238</v>
      </c>
      <c r="R16" s="169">
        <v>0</v>
      </c>
      <c r="S16" s="167" t="s">
        <v>238</v>
      </c>
      <c r="T16" s="167">
        <v>0</v>
      </c>
      <c r="U16" s="163">
        <v>0</v>
      </c>
    </row>
    <row r="17" spans="2:21" s="160" customFormat="1" x14ac:dyDescent="0.2">
      <c r="B17" s="132" t="s">
        <v>146</v>
      </c>
      <c r="C17" s="167" t="s">
        <v>238</v>
      </c>
      <c r="D17" s="167" t="s">
        <v>238</v>
      </c>
      <c r="E17" s="167" t="s">
        <v>238</v>
      </c>
      <c r="F17" s="167" t="s">
        <v>238</v>
      </c>
      <c r="G17" s="167" t="s">
        <v>238</v>
      </c>
      <c r="H17" s="183" t="s">
        <v>238</v>
      </c>
      <c r="I17" s="186" t="s">
        <v>238</v>
      </c>
      <c r="J17" s="186" t="s">
        <v>238</v>
      </c>
      <c r="K17" s="186" t="s">
        <v>238</v>
      </c>
      <c r="L17" s="186" t="s">
        <v>238</v>
      </c>
      <c r="M17" s="187" t="s">
        <v>238</v>
      </c>
      <c r="N17" s="187" t="s">
        <v>238</v>
      </c>
      <c r="O17" s="188" t="s">
        <v>238</v>
      </c>
      <c r="P17" s="186" t="s">
        <v>238</v>
      </c>
      <c r="Q17" s="186" t="s">
        <v>238</v>
      </c>
      <c r="R17" s="169">
        <v>0</v>
      </c>
      <c r="S17" s="167" t="s">
        <v>238</v>
      </c>
      <c r="T17" s="167">
        <v>0</v>
      </c>
      <c r="U17" s="163">
        <v>0</v>
      </c>
    </row>
    <row r="18" spans="2:21" s="160" customFormat="1" x14ac:dyDescent="0.2">
      <c r="B18" s="132" t="s">
        <v>147</v>
      </c>
      <c r="C18" s="167" t="s">
        <v>238</v>
      </c>
      <c r="D18" s="167" t="s">
        <v>238</v>
      </c>
      <c r="E18" s="167" t="s">
        <v>238</v>
      </c>
      <c r="F18" s="167" t="s">
        <v>238</v>
      </c>
      <c r="G18" s="167" t="s">
        <v>238</v>
      </c>
      <c r="H18" s="183" t="s">
        <v>238</v>
      </c>
      <c r="I18" s="186" t="s">
        <v>238</v>
      </c>
      <c r="J18" s="186" t="s">
        <v>238</v>
      </c>
      <c r="K18" s="186" t="s">
        <v>238</v>
      </c>
      <c r="L18" s="186" t="s">
        <v>238</v>
      </c>
      <c r="M18" s="187" t="s">
        <v>238</v>
      </c>
      <c r="N18" s="187" t="s">
        <v>238</v>
      </c>
      <c r="O18" s="188" t="s">
        <v>238</v>
      </c>
      <c r="P18" s="186" t="s">
        <v>238</v>
      </c>
      <c r="Q18" s="186" t="s">
        <v>238</v>
      </c>
      <c r="R18" s="169">
        <v>0</v>
      </c>
      <c r="S18" s="167" t="s">
        <v>238</v>
      </c>
      <c r="T18" s="167">
        <v>0</v>
      </c>
      <c r="U18" s="163">
        <v>0</v>
      </c>
    </row>
    <row r="19" spans="2:21" s="160" customFormat="1" x14ac:dyDescent="0.2">
      <c r="B19" s="114" t="s">
        <v>227</v>
      </c>
      <c r="C19" s="170"/>
      <c r="D19" s="170"/>
      <c r="E19" s="170"/>
      <c r="F19" s="170"/>
      <c r="G19" s="114"/>
      <c r="H19" s="189"/>
      <c r="I19" s="189"/>
      <c r="J19" s="189"/>
      <c r="K19" s="190"/>
      <c r="L19" s="175"/>
      <c r="M19" s="191"/>
      <c r="N19" s="191"/>
      <c r="O19" s="191"/>
      <c r="P19" s="175"/>
      <c r="Q19" s="175"/>
      <c r="R19" s="175"/>
    </row>
    <row r="20" spans="2:21" s="160" customFormat="1" x14ac:dyDescent="0.2">
      <c r="B20" s="114" t="s">
        <v>228</v>
      </c>
      <c r="C20" s="170"/>
      <c r="D20" s="170"/>
      <c r="E20" s="170"/>
      <c r="F20" s="170"/>
      <c r="G20" s="114"/>
      <c r="H20" s="189"/>
      <c r="I20" s="189"/>
      <c r="J20" s="189"/>
      <c r="K20" s="190"/>
      <c r="L20" s="175"/>
      <c r="M20" s="191"/>
      <c r="N20" s="191"/>
      <c r="O20" s="191"/>
      <c r="P20" s="175"/>
      <c r="Q20" s="175"/>
      <c r="R20" s="175"/>
    </row>
    <row r="21" spans="2:21" s="160" customFormat="1" x14ac:dyDescent="0.2">
      <c r="B21" s="114" t="s">
        <v>229</v>
      </c>
      <c r="C21" s="170"/>
      <c r="D21" s="170"/>
      <c r="E21" s="170"/>
      <c r="F21" s="170"/>
      <c r="G21" s="114"/>
      <c r="H21" s="189"/>
      <c r="I21" s="189"/>
      <c r="J21" s="189"/>
      <c r="K21" s="190"/>
      <c r="L21" s="175"/>
      <c r="M21" s="191"/>
      <c r="N21" s="191"/>
      <c r="O21" s="191"/>
      <c r="P21" s="175"/>
      <c r="Q21" s="175"/>
      <c r="R21" s="175"/>
    </row>
    <row r="22" spans="2:21" s="160" customFormat="1" x14ac:dyDescent="0.2">
      <c r="B22" s="114" t="s">
        <v>230</v>
      </c>
      <c r="C22" s="170"/>
      <c r="D22" s="170"/>
      <c r="E22" s="170"/>
      <c r="F22" s="170"/>
      <c r="G22" s="114"/>
      <c r="H22" s="189"/>
      <c r="I22" s="189"/>
      <c r="J22" s="189"/>
      <c r="K22" s="190"/>
      <c r="L22" s="175"/>
      <c r="M22" s="191"/>
      <c r="N22" s="191"/>
      <c r="O22" s="191"/>
      <c r="P22" s="175"/>
      <c r="Q22" s="175"/>
      <c r="R22" s="175"/>
    </row>
    <row r="23" spans="2:21" s="160" customFormat="1" x14ac:dyDescent="0.2">
      <c r="B23" s="114" t="s">
        <v>231</v>
      </c>
      <c r="C23" s="170"/>
      <c r="D23" s="170"/>
      <c r="E23" s="170"/>
      <c r="F23" s="170"/>
      <c r="G23" s="114"/>
      <c r="H23" s="189"/>
      <c r="I23" s="189"/>
      <c r="J23" s="189"/>
      <c r="K23" s="190"/>
      <c r="L23" s="175"/>
      <c r="M23" s="191"/>
      <c r="N23" s="191"/>
      <c r="O23" s="191"/>
      <c r="P23" s="175"/>
      <c r="Q23" s="175"/>
      <c r="R23" s="175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31" priority="84" stopIfTrue="1">
      <formula>LEFT(#REF!,3)="TIR"</formula>
    </cfRule>
  </conditionalFormatting>
  <conditionalFormatting sqref="M8">
    <cfRule type="expression" dxfId="130" priority="89" stopIfTrue="1">
      <formula>LEFT(#REF!,3)="TIR"</formula>
    </cfRule>
  </conditionalFormatting>
  <conditionalFormatting sqref="L11:L18 C11:J18">
    <cfRule type="expression" dxfId="129" priority="90" stopIfTrue="1">
      <formula>LEFT(#REF!,3)="TIR"</formula>
    </cfRule>
  </conditionalFormatting>
  <conditionalFormatting sqref="B11:B18 R11:R18">
    <cfRule type="expression" dxfId="128" priority="92" stopIfTrue="1">
      <formula>#REF!&gt;0</formula>
    </cfRule>
    <cfRule type="expression" dxfId="127" priority="93" stopIfTrue="1">
      <formula>LEFT(#REF!,3)="TIR"</formula>
    </cfRule>
  </conditionalFormatting>
  <conditionalFormatting sqref="T11:U18">
    <cfRule type="expression" dxfId="126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31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3" bestFit="1" customWidth="1"/>
    <col min="9" max="9" width="10.28515625" style="93" bestFit="1" customWidth="1"/>
    <col min="10" max="10" width="13.5703125" style="93" bestFit="1" customWidth="1"/>
    <col min="11" max="11" width="6.42578125" style="45" bestFit="1" customWidth="1"/>
    <col min="12" max="12" width="12.7109375" style="95" bestFit="1" customWidth="1"/>
    <col min="13" max="13" width="11.5703125" style="97" bestFit="1" customWidth="1"/>
    <col min="14" max="14" width="13.42578125" style="97" bestFit="1" customWidth="1"/>
    <col min="15" max="15" width="13.5703125" style="97" bestFit="1" customWidth="1"/>
    <col min="16" max="16" width="11.42578125" style="95" bestFit="1" customWidth="1"/>
    <col min="17" max="17" width="16.5703125" style="95" bestFit="1" customWidth="1"/>
    <col min="18" max="18" width="13.85546875" style="95" bestFit="1" customWidth="1"/>
    <col min="19" max="19" width="22.85546875" style="99" bestFit="1" customWidth="1"/>
    <col min="20" max="20" width="26.42578125" style="99" bestFit="1" customWidth="1"/>
    <col min="21" max="21" width="20.5703125" style="99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9"/>
      <c r="T1" s="99"/>
      <c r="U1" s="55"/>
    </row>
    <row r="2" spans="1:21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9"/>
      <c r="T2" s="99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9"/>
      <c r="T3" s="99"/>
      <c r="U3" s="55"/>
    </row>
    <row r="4" spans="1:21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9"/>
      <c r="T5" s="99"/>
      <c r="U5" s="55"/>
    </row>
    <row r="6" spans="1:21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30"/>
    </row>
    <row r="7" spans="1:21" s="10" customFormat="1" x14ac:dyDescent="0.2">
      <c r="B7" s="231" t="s">
        <v>88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3"/>
    </row>
    <row r="8" spans="1:21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70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66</v>
      </c>
      <c r="N8" s="5" t="s">
        <v>71</v>
      </c>
      <c r="O8" s="5" t="s">
        <v>67</v>
      </c>
      <c r="P8" s="5" t="s">
        <v>68</v>
      </c>
      <c r="Q8" s="5" t="s">
        <v>137</v>
      </c>
      <c r="R8" s="5" t="s">
        <v>7</v>
      </c>
      <c r="S8" s="38" t="s">
        <v>17</v>
      </c>
      <c r="T8" s="38" t="s">
        <v>75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40</v>
      </c>
      <c r="K9" s="84" t="s">
        <v>16</v>
      </c>
      <c r="L9" s="37"/>
      <c r="M9" s="82" t="s">
        <v>9</v>
      </c>
      <c r="N9" s="82" t="s">
        <v>9</v>
      </c>
      <c r="O9" s="2" t="s">
        <v>136</v>
      </c>
      <c r="P9" s="82"/>
      <c r="Q9" s="2" t="s">
        <v>138</v>
      </c>
      <c r="R9" s="2" t="s">
        <v>138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1" t="s">
        <v>53</v>
      </c>
      <c r="C11" s="101"/>
      <c r="D11" s="101"/>
      <c r="E11" s="101"/>
      <c r="F11" s="101"/>
      <c r="G11" s="101"/>
      <c r="H11" s="142"/>
      <c r="I11" s="142"/>
      <c r="J11" s="142"/>
      <c r="K11" s="142"/>
      <c r="L11" s="142"/>
      <c r="M11" s="101"/>
      <c r="N11" s="101"/>
      <c r="O11" s="145"/>
      <c r="P11" s="142"/>
      <c r="Q11" s="144" t="s">
        <v>238</v>
      </c>
      <c r="R11" s="146">
        <v>2560999.7791588665</v>
      </c>
      <c r="S11" s="101" t="s">
        <v>238</v>
      </c>
      <c r="T11" s="101">
        <v>1</v>
      </c>
      <c r="U11" s="120">
        <v>0.21687707597226799</v>
      </c>
    </row>
    <row r="12" spans="1:21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64" t="s">
        <v>238</v>
      </c>
      <c r="I12" s="164" t="s">
        <v>238</v>
      </c>
      <c r="J12" s="164" t="s">
        <v>238</v>
      </c>
      <c r="K12" s="164" t="s">
        <v>238</v>
      </c>
      <c r="L12" s="164" t="s">
        <v>238</v>
      </c>
      <c r="M12" s="163" t="s">
        <v>238</v>
      </c>
      <c r="N12" s="163" t="s">
        <v>238</v>
      </c>
      <c r="O12" s="176" t="s">
        <v>238</v>
      </c>
      <c r="P12" s="164" t="s">
        <v>238</v>
      </c>
      <c r="Q12" s="165" t="s">
        <v>238</v>
      </c>
      <c r="R12" s="177">
        <v>1929943.7591304695</v>
      </c>
      <c r="S12" s="163" t="s">
        <v>238</v>
      </c>
      <c r="T12" s="163">
        <v>0.75358997483566337</v>
      </c>
      <c r="U12" s="163">
        <v>0.16343639022437367</v>
      </c>
    </row>
    <row r="13" spans="1:21" s="160" customFormat="1" x14ac:dyDescent="0.2">
      <c r="B13" s="132" t="s">
        <v>141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68" t="s">
        <v>238</v>
      </c>
      <c r="I13" s="168" t="s">
        <v>238</v>
      </c>
      <c r="J13" s="168" t="s">
        <v>238</v>
      </c>
      <c r="K13" s="168" t="s">
        <v>238</v>
      </c>
      <c r="L13" s="168" t="s">
        <v>238</v>
      </c>
      <c r="M13" s="167" t="s">
        <v>238</v>
      </c>
      <c r="N13" s="167" t="s">
        <v>238</v>
      </c>
      <c r="O13" s="178" t="s">
        <v>238</v>
      </c>
      <c r="P13" s="168" t="s">
        <v>238</v>
      </c>
      <c r="Q13" s="169" t="s">
        <v>238</v>
      </c>
      <c r="R13" s="169">
        <v>1392747.730053406</v>
      </c>
      <c r="S13" s="167" t="s">
        <v>238</v>
      </c>
      <c r="T13" s="167">
        <v>0.54382969549135984</v>
      </c>
      <c r="U13" s="167">
        <v>0.117944194185055</v>
      </c>
    </row>
    <row r="14" spans="1:21" x14ac:dyDescent="0.2">
      <c r="B14" s="23" t="s">
        <v>953</v>
      </c>
      <c r="C14" s="32" t="s">
        <v>954</v>
      </c>
      <c r="D14" s="32" t="s">
        <v>423</v>
      </c>
      <c r="E14" s="32" t="s">
        <v>238</v>
      </c>
      <c r="F14" s="32" t="s">
        <v>955</v>
      </c>
      <c r="G14" s="32" t="s">
        <v>208</v>
      </c>
      <c r="H14" s="94" t="s">
        <v>242</v>
      </c>
      <c r="I14" s="94" t="s">
        <v>243</v>
      </c>
      <c r="J14" s="94" t="s">
        <v>956</v>
      </c>
      <c r="K14" s="94">
        <v>2.82</v>
      </c>
      <c r="L14" s="94" t="s">
        <v>244</v>
      </c>
      <c r="M14" s="32">
        <v>6.1999999999999998E-3</v>
      </c>
      <c r="N14" s="32">
        <v>-2.5000000000000001E-3</v>
      </c>
      <c r="O14" s="103">
        <v>12798246.81321626</v>
      </c>
      <c r="P14" s="94">
        <v>104.12000000000002</v>
      </c>
      <c r="Q14" s="124">
        <v>0</v>
      </c>
      <c r="R14" s="124">
        <v>13325.534580934825</v>
      </c>
      <c r="S14" s="32">
        <v>2.5842477835961906E-3</v>
      </c>
      <c r="T14" s="32">
        <v>5.2032548731071968E-3</v>
      </c>
      <c r="U14" s="32">
        <v>1.1284667024179431E-3</v>
      </c>
    </row>
    <row r="15" spans="1:21" x14ac:dyDescent="0.2">
      <c r="B15" s="23" t="s">
        <v>734</v>
      </c>
      <c r="C15" s="32" t="s">
        <v>735</v>
      </c>
      <c r="D15" s="32" t="s">
        <v>423</v>
      </c>
      <c r="E15" s="32" t="s">
        <v>238</v>
      </c>
      <c r="F15" s="32" t="s">
        <v>561</v>
      </c>
      <c r="G15" s="32" t="s">
        <v>191</v>
      </c>
      <c r="H15" s="94" t="s">
        <v>242</v>
      </c>
      <c r="I15" s="94" t="s">
        <v>243</v>
      </c>
      <c r="J15" s="94" t="s">
        <v>736</v>
      </c>
      <c r="K15" s="94">
        <v>4.9800000000000004</v>
      </c>
      <c r="L15" s="94" t="s">
        <v>244</v>
      </c>
      <c r="M15" s="32">
        <v>1.4999999999999999E-2</v>
      </c>
      <c r="N15" s="32">
        <v>-2.2000000000000001E-3</v>
      </c>
      <c r="O15" s="103">
        <v>546596.08369577525</v>
      </c>
      <c r="P15" s="94">
        <v>110.88</v>
      </c>
      <c r="Q15" s="124">
        <v>0</v>
      </c>
      <c r="R15" s="124">
        <v>606.06573750070925</v>
      </c>
      <c r="S15" s="32">
        <v>1.0692910571715002E-3</v>
      </c>
      <c r="T15" s="32">
        <v>2.3665200693604325E-4</v>
      </c>
      <c r="U15" s="32">
        <v>5.1324395287257942E-5</v>
      </c>
    </row>
    <row r="16" spans="1:21" x14ac:dyDescent="0.2">
      <c r="B16" s="23" t="s">
        <v>559</v>
      </c>
      <c r="C16" s="32" t="s">
        <v>560</v>
      </c>
      <c r="D16" s="32" t="s">
        <v>423</v>
      </c>
      <c r="E16" s="32" t="s">
        <v>238</v>
      </c>
      <c r="F16" s="32" t="s">
        <v>561</v>
      </c>
      <c r="G16" s="32" t="s">
        <v>191</v>
      </c>
      <c r="H16" s="94" t="s">
        <v>242</v>
      </c>
      <c r="I16" s="94" t="s">
        <v>243</v>
      </c>
      <c r="J16" s="94" t="s">
        <v>562</v>
      </c>
      <c r="K16" s="94">
        <v>0.94</v>
      </c>
      <c r="L16" s="94" t="s">
        <v>244</v>
      </c>
      <c r="M16" s="32">
        <v>4.6500000000000007E-2</v>
      </c>
      <c r="N16" s="32">
        <v>-4.3E-3</v>
      </c>
      <c r="O16" s="103">
        <v>1024583.0007104792</v>
      </c>
      <c r="P16" s="94">
        <v>127.21000000000001</v>
      </c>
      <c r="Q16" s="124">
        <v>0</v>
      </c>
      <c r="R16" s="124">
        <v>1303.372034688324</v>
      </c>
      <c r="S16" s="32">
        <v>5.1584561733644171E-3</v>
      </c>
      <c r="T16" s="32">
        <v>5.0893094380367453E-4</v>
      </c>
      <c r="U16" s="32">
        <v>1.1037545496394758E-4</v>
      </c>
    </row>
    <row r="17" spans="2:21" x14ac:dyDescent="0.2">
      <c r="B17" s="23" t="s">
        <v>636</v>
      </c>
      <c r="C17" s="32" t="s">
        <v>637</v>
      </c>
      <c r="D17" s="32" t="s">
        <v>423</v>
      </c>
      <c r="E17" s="32" t="s">
        <v>238</v>
      </c>
      <c r="F17" s="32" t="s">
        <v>561</v>
      </c>
      <c r="G17" s="32" t="s">
        <v>191</v>
      </c>
      <c r="H17" s="94" t="s">
        <v>242</v>
      </c>
      <c r="I17" s="94" t="s">
        <v>243</v>
      </c>
      <c r="J17" s="94" t="s">
        <v>638</v>
      </c>
      <c r="K17" s="94">
        <v>2.0499999999999998</v>
      </c>
      <c r="L17" s="94" t="s">
        <v>244</v>
      </c>
      <c r="M17" s="32">
        <v>3.5499999999999997E-2</v>
      </c>
      <c r="N17" s="32">
        <v>-2.7000000000000001E-3</v>
      </c>
      <c r="O17" s="103">
        <v>2235629.9512439924</v>
      </c>
      <c r="P17" s="94">
        <v>118.84000000000002</v>
      </c>
      <c r="Q17" s="124">
        <v>0</v>
      </c>
      <c r="R17" s="124">
        <v>2656.8226330106891</v>
      </c>
      <c r="S17" s="32">
        <v>7.8417429764059601E-3</v>
      </c>
      <c r="T17" s="32">
        <v>1.0374161898144695E-3</v>
      </c>
      <c r="U17" s="32">
        <v>2.249917898132535E-4</v>
      </c>
    </row>
    <row r="18" spans="2:21" x14ac:dyDescent="0.2">
      <c r="B18" s="23" t="s">
        <v>764</v>
      </c>
      <c r="C18" s="32" t="s">
        <v>765</v>
      </c>
      <c r="D18" s="32" t="s">
        <v>423</v>
      </c>
      <c r="E18" s="32" t="s">
        <v>238</v>
      </c>
      <c r="F18" s="32" t="s">
        <v>766</v>
      </c>
      <c r="G18" s="32" t="s">
        <v>191</v>
      </c>
      <c r="H18" s="94" t="s">
        <v>658</v>
      </c>
      <c r="I18" s="94" t="s">
        <v>346</v>
      </c>
      <c r="J18" s="94" t="s">
        <v>767</v>
      </c>
      <c r="K18" s="94">
        <v>0.5</v>
      </c>
      <c r="L18" s="94" t="s">
        <v>244</v>
      </c>
      <c r="M18" s="32">
        <v>5.8999999999999999E-3</v>
      </c>
      <c r="N18" s="32">
        <v>-4.3E-3</v>
      </c>
      <c r="O18" s="103">
        <v>57216560.299270771</v>
      </c>
      <c r="P18" s="94">
        <v>101.29999999999998</v>
      </c>
      <c r="Q18" s="124">
        <v>0</v>
      </c>
      <c r="R18" s="124">
        <v>57960.375582303946</v>
      </c>
      <c r="S18" s="32">
        <v>1.0718422970663583E-2</v>
      </c>
      <c r="T18" s="32">
        <v>2.26319330653517E-2</v>
      </c>
      <c r="U18" s="32">
        <v>4.9083474668135648E-3</v>
      </c>
    </row>
    <row r="19" spans="2:21" x14ac:dyDescent="0.2">
      <c r="B19" s="23" t="s">
        <v>950</v>
      </c>
      <c r="C19" s="32" t="s">
        <v>951</v>
      </c>
      <c r="D19" s="32" t="s">
        <v>423</v>
      </c>
      <c r="E19" s="32" t="s">
        <v>238</v>
      </c>
      <c r="F19" s="32" t="s">
        <v>766</v>
      </c>
      <c r="G19" s="32" t="s">
        <v>191</v>
      </c>
      <c r="H19" s="94" t="s">
        <v>658</v>
      </c>
      <c r="I19" s="94" t="s">
        <v>346</v>
      </c>
      <c r="J19" s="94" t="s">
        <v>952</v>
      </c>
      <c r="K19" s="94">
        <v>5.39</v>
      </c>
      <c r="L19" s="94" t="s">
        <v>244</v>
      </c>
      <c r="M19" s="32">
        <v>8.3000000000000001E-3</v>
      </c>
      <c r="N19" s="32">
        <v>-3.0999999999999999E-3</v>
      </c>
      <c r="O19" s="103">
        <v>1124586.7623975934</v>
      </c>
      <c r="P19" s="94">
        <v>107.42</v>
      </c>
      <c r="Q19" s="124">
        <v>0</v>
      </c>
      <c r="R19" s="124">
        <v>1208.0310997816912</v>
      </c>
      <c r="S19" s="32">
        <v>8.7450466371501146E-4</v>
      </c>
      <c r="T19" s="32">
        <v>4.7170293008711475E-4</v>
      </c>
      <c r="U19" s="32">
        <v>1.0230155220484462E-4</v>
      </c>
    </row>
    <row r="20" spans="2:21" x14ac:dyDescent="0.2">
      <c r="B20" s="23" t="s">
        <v>1021</v>
      </c>
      <c r="C20" s="32" t="s">
        <v>1022</v>
      </c>
      <c r="D20" s="32" t="s">
        <v>423</v>
      </c>
      <c r="E20" s="32" t="s">
        <v>238</v>
      </c>
      <c r="F20" s="32" t="s">
        <v>739</v>
      </c>
      <c r="G20" s="32" t="s">
        <v>191</v>
      </c>
      <c r="H20" s="94" t="s">
        <v>658</v>
      </c>
      <c r="I20" s="94" t="s">
        <v>346</v>
      </c>
      <c r="J20" s="94" t="s">
        <v>1023</v>
      </c>
      <c r="K20" s="94">
        <v>1.2</v>
      </c>
      <c r="L20" s="94" t="s">
        <v>244</v>
      </c>
      <c r="M20" s="32">
        <v>4.0999999999999995E-3</v>
      </c>
      <c r="N20" s="32">
        <v>-2.7000000000000001E-3</v>
      </c>
      <c r="O20" s="103">
        <v>291526.80701108347</v>
      </c>
      <c r="P20" s="94">
        <v>101.24</v>
      </c>
      <c r="Q20" s="124">
        <v>0</v>
      </c>
      <c r="R20" s="124">
        <v>295.14173925041058</v>
      </c>
      <c r="S20" s="32">
        <v>3.546816733324713E-4</v>
      </c>
      <c r="T20" s="32">
        <v>1.1524473436204152E-4</v>
      </c>
      <c r="U20" s="32">
        <v>2.4993941009640326E-5</v>
      </c>
    </row>
    <row r="21" spans="2:21" x14ac:dyDescent="0.2">
      <c r="B21" s="23" t="s">
        <v>737</v>
      </c>
      <c r="C21" s="32" t="s">
        <v>738</v>
      </c>
      <c r="D21" s="32" t="s">
        <v>423</v>
      </c>
      <c r="E21" s="32" t="s">
        <v>238</v>
      </c>
      <c r="F21" s="32" t="s">
        <v>739</v>
      </c>
      <c r="G21" s="32" t="s">
        <v>191</v>
      </c>
      <c r="H21" s="94" t="s">
        <v>658</v>
      </c>
      <c r="I21" s="94" t="s">
        <v>346</v>
      </c>
      <c r="J21" s="94" t="s">
        <v>740</v>
      </c>
      <c r="K21" s="94">
        <v>0.09</v>
      </c>
      <c r="L21" s="94" t="s">
        <v>244</v>
      </c>
      <c r="M21" s="32">
        <v>6.4000000000000003E-3</v>
      </c>
      <c r="N21" s="32">
        <v>8.3000000000000001E-3</v>
      </c>
      <c r="O21" s="103">
        <v>33847187.445576578</v>
      </c>
      <c r="P21" s="94">
        <v>101.16000000000001</v>
      </c>
      <c r="Q21" s="124">
        <v>0</v>
      </c>
      <c r="R21" s="124">
        <v>34239.814812702403</v>
      </c>
      <c r="S21" s="32">
        <v>1.0744814821640801E-2</v>
      </c>
      <c r="T21" s="32">
        <v>1.3369706273050954E-2</v>
      </c>
      <c r="U21" s="32">
        <v>2.8995828031073796E-3</v>
      </c>
    </row>
    <row r="22" spans="2:21" x14ac:dyDescent="0.2">
      <c r="B22" s="23" t="s">
        <v>1027</v>
      </c>
      <c r="C22" s="32" t="s">
        <v>1028</v>
      </c>
      <c r="D22" s="32" t="s">
        <v>423</v>
      </c>
      <c r="E22" s="32" t="s">
        <v>238</v>
      </c>
      <c r="F22" s="32" t="s">
        <v>739</v>
      </c>
      <c r="G22" s="32" t="s">
        <v>191</v>
      </c>
      <c r="H22" s="94" t="s">
        <v>658</v>
      </c>
      <c r="I22" s="94" t="s">
        <v>346</v>
      </c>
      <c r="J22" s="94" t="s">
        <v>1029</v>
      </c>
      <c r="K22" s="94">
        <v>10.26</v>
      </c>
      <c r="L22" s="94" t="s">
        <v>244</v>
      </c>
      <c r="M22" s="32">
        <v>4.6999999999999993E-3</v>
      </c>
      <c r="N22" s="32">
        <v>3.4999999999999996E-3</v>
      </c>
      <c r="O22" s="103">
        <v>1071.6772016122361</v>
      </c>
      <c r="P22" s="94">
        <v>101.15</v>
      </c>
      <c r="Q22" s="124">
        <v>0</v>
      </c>
      <c r="R22" s="124">
        <v>1.0840014894307768</v>
      </c>
      <c r="S22" s="32">
        <v>1.5267644664078118E-6</v>
      </c>
      <c r="T22" s="32">
        <v>4.2327277739430561E-7</v>
      </c>
      <c r="U22" s="32">
        <v>9.1798162299937706E-8</v>
      </c>
    </row>
    <row r="23" spans="2:21" x14ac:dyDescent="0.2">
      <c r="B23" s="23" t="s">
        <v>797</v>
      </c>
      <c r="C23" s="32" t="s">
        <v>798</v>
      </c>
      <c r="D23" s="32" t="s">
        <v>423</v>
      </c>
      <c r="E23" s="32" t="s">
        <v>238</v>
      </c>
      <c r="F23" s="32" t="s">
        <v>739</v>
      </c>
      <c r="G23" s="32" t="s">
        <v>191</v>
      </c>
      <c r="H23" s="94" t="s">
        <v>658</v>
      </c>
      <c r="I23" s="94" t="s">
        <v>346</v>
      </c>
      <c r="J23" s="94" t="s">
        <v>799</v>
      </c>
      <c r="K23" s="94">
        <v>1.55</v>
      </c>
      <c r="L23" s="94" t="s">
        <v>244</v>
      </c>
      <c r="M23" s="32">
        <v>0.04</v>
      </c>
      <c r="N23" s="32">
        <v>-5.3E-3</v>
      </c>
      <c r="O23" s="103">
        <v>27062663.993711274</v>
      </c>
      <c r="P23" s="94">
        <v>111.19000000000001</v>
      </c>
      <c r="Q23" s="124">
        <v>0</v>
      </c>
      <c r="R23" s="124">
        <v>30090.976094436097</v>
      </c>
      <c r="S23" s="32">
        <v>1.3063047857268284E-2</v>
      </c>
      <c r="T23" s="32">
        <v>1.174969882438614E-2</v>
      </c>
      <c r="U23" s="32">
        <v>2.5482403245876608E-3</v>
      </c>
    </row>
    <row r="24" spans="2:21" x14ac:dyDescent="0.2">
      <c r="B24" s="23" t="s">
        <v>820</v>
      </c>
      <c r="C24" s="32" t="s">
        <v>821</v>
      </c>
      <c r="D24" s="32" t="s">
        <v>423</v>
      </c>
      <c r="E24" s="32" t="s">
        <v>238</v>
      </c>
      <c r="F24" s="32" t="s">
        <v>739</v>
      </c>
      <c r="G24" s="32" t="s">
        <v>191</v>
      </c>
      <c r="H24" s="94" t="s">
        <v>658</v>
      </c>
      <c r="I24" s="94" t="s">
        <v>346</v>
      </c>
      <c r="J24" s="94" t="s">
        <v>822</v>
      </c>
      <c r="K24" s="94">
        <v>2.71</v>
      </c>
      <c r="L24" s="94" t="s">
        <v>244</v>
      </c>
      <c r="M24" s="32">
        <v>9.8999999999999991E-3</v>
      </c>
      <c r="N24" s="32">
        <v>-4.0000000000000001E-3</v>
      </c>
      <c r="O24" s="103">
        <v>25049890.992645688</v>
      </c>
      <c r="P24" s="94">
        <v>105.64</v>
      </c>
      <c r="Q24" s="124">
        <v>0</v>
      </c>
      <c r="R24" s="124">
        <v>26462.704844373704</v>
      </c>
      <c r="S24" s="32">
        <v>8.3115256286910768E-3</v>
      </c>
      <c r="T24" s="32">
        <v>1.0332958659240924E-2</v>
      </c>
      <c r="U24" s="32">
        <v>2.2409818601584982E-3</v>
      </c>
    </row>
    <row r="25" spans="2:21" x14ac:dyDescent="0.2">
      <c r="B25" s="23" t="s">
        <v>871</v>
      </c>
      <c r="C25" s="32" t="s">
        <v>872</v>
      </c>
      <c r="D25" s="32" t="s">
        <v>423</v>
      </c>
      <c r="E25" s="32" t="s">
        <v>238</v>
      </c>
      <c r="F25" s="32" t="s">
        <v>739</v>
      </c>
      <c r="G25" s="32" t="s">
        <v>191</v>
      </c>
      <c r="H25" s="94" t="s">
        <v>658</v>
      </c>
      <c r="I25" s="94" t="s">
        <v>346</v>
      </c>
      <c r="J25" s="94" t="s">
        <v>873</v>
      </c>
      <c r="K25" s="94">
        <v>4.67</v>
      </c>
      <c r="L25" s="94" t="s">
        <v>244</v>
      </c>
      <c r="M25" s="32">
        <v>8.6E-3</v>
      </c>
      <c r="N25" s="32">
        <v>-2.5000000000000001E-3</v>
      </c>
      <c r="O25" s="103">
        <v>48611.277865131022</v>
      </c>
      <c r="P25" s="94">
        <v>107.21000000000001</v>
      </c>
      <c r="Q25" s="124">
        <v>0</v>
      </c>
      <c r="R25" s="124">
        <v>52.116150999206972</v>
      </c>
      <c r="S25" s="32">
        <v>1.9434009007584711E-5</v>
      </c>
      <c r="T25" s="32">
        <v>2.0349924050490928E-5</v>
      </c>
      <c r="U25" s="32">
        <v>4.413432024328205E-6</v>
      </c>
    </row>
    <row r="26" spans="2:21" x14ac:dyDescent="0.2">
      <c r="B26" s="23" t="s">
        <v>874</v>
      </c>
      <c r="C26" s="32" t="s">
        <v>875</v>
      </c>
      <c r="D26" s="32" t="s">
        <v>423</v>
      </c>
      <c r="E26" s="32" t="s">
        <v>238</v>
      </c>
      <c r="F26" s="32" t="s">
        <v>739</v>
      </c>
      <c r="G26" s="32" t="s">
        <v>191</v>
      </c>
      <c r="H26" s="94" t="s">
        <v>658</v>
      </c>
      <c r="I26" s="94" t="s">
        <v>346</v>
      </c>
      <c r="J26" s="94" t="s">
        <v>873</v>
      </c>
      <c r="K26" s="94">
        <v>7.43</v>
      </c>
      <c r="L26" s="94" t="s">
        <v>244</v>
      </c>
      <c r="M26" s="32">
        <v>1.2199999999999999E-2</v>
      </c>
      <c r="N26" s="32">
        <v>-1E-4</v>
      </c>
      <c r="O26" s="103">
        <v>196965.69623871607</v>
      </c>
      <c r="P26" s="94">
        <v>111.6</v>
      </c>
      <c r="Q26" s="124">
        <v>0</v>
      </c>
      <c r="R26" s="124">
        <v>219.81371700240715</v>
      </c>
      <c r="S26" s="32">
        <v>2.4571323669264286E-4</v>
      </c>
      <c r="T26" s="32">
        <v>8.5831212790890077E-5</v>
      </c>
      <c r="U26" s="32">
        <v>1.8614822457241765E-5</v>
      </c>
    </row>
    <row r="27" spans="2:21" x14ac:dyDescent="0.2">
      <c r="B27" s="23" t="s">
        <v>960</v>
      </c>
      <c r="C27" s="32" t="s">
        <v>961</v>
      </c>
      <c r="D27" s="32" t="s">
        <v>423</v>
      </c>
      <c r="E27" s="32" t="s">
        <v>238</v>
      </c>
      <c r="F27" s="32" t="s">
        <v>739</v>
      </c>
      <c r="G27" s="32" t="s">
        <v>191</v>
      </c>
      <c r="H27" s="94" t="s">
        <v>658</v>
      </c>
      <c r="I27" s="94" t="s">
        <v>346</v>
      </c>
      <c r="J27" s="94" t="s">
        <v>551</v>
      </c>
      <c r="K27" s="94">
        <v>6.4</v>
      </c>
      <c r="L27" s="94" t="s">
        <v>244</v>
      </c>
      <c r="M27" s="32">
        <v>3.8E-3</v>
      </c>
      <c r="N27" s="32">
        <v>-1.2999999999999999E-3</v>
      </c>
      <c r="O27" s="103">
        <v>24970069.688308883</v>
      </c>
      <c r="P27" s="94">
        <v>102.63</v>
      </c>
      <c r="Q27" s="124">
        <v>0</v>
      </c>
      <c r="R27" s="124">
        <v>25626.782520629153</v>
      </c>
      <c r="S27" s="32">
        <v>8.3233565627696283E-3</v>
      </c>
      <c r="T27" s="32">
        <v>1.0006553975200264E-2</v>
      </c>
      <c r="U27" s="32">
        <v>2.1701921667001078E-3</v>
      </c>
    </row>
    <row r="28" spans="2:21" x14ac:dyDescent="0.2">
      <c r="B28" s="23" t="s">
        <v>962</v>
      </c>
      <c r="C28" s="32" t="s">
        <v>963</v>
      </c>
      <c r="D28" s="32" t="s">
        <v>423</v>
      </c>
      <c r="E28" s="32" t="s">
        <v>238</v>
      </c>
      <c r="F28" s="32" t="s">
        <v>964</v>
      </c>
      <c r="G28" s="32" t="s">
        <v>834</v>
      </c>
      <c r="H28" s="94" t="s">
        <v>242</v>
      </c>
      <c r="I28" s="94" t="s">
        <v>243</v>
      </c>
      <c r="J28" s="94" t="s">
        <v>965</v>
      </c>
      <c r="K28" s="94">
        <v>15.56</v>
      </c>
      <c r="L28" s="94" t="s">
        <v>244</v>
      </c>
      <c r="M28" s="32">
        <v>2.0799999999999999E-2</v>
      </c>
      <c r="N28" s="32">
        <v>9.7000000000000003E-3</v>
      </c>
      <c r="O28" s="103">
        <v>1916587.5073633229</v>
      </c>
      <c r="P28" s="94">
        <v>116.87</v>
      </c>
      <c r="Q28" s="124">
        <v>0</v>
      </c>
      <c r="R28" s="124">
        <v>2239.9158198555156</v>
      </c>
      <c r="S28" s="32">
        <v>2.8605783691989894E-3</v>
      </c>
      <c r="T28" s="32">
        <v>8.7462554197923132E-4</v>
      </c>
      <c r="U28" s="32">
        <v>1.8968623011511585E-4</v>
      </c>
    </row>
    <row r="29" spans="2:21" x14ac:dyDescent="0.2">
      <c r="B29" s="23" t="s">
        <v>655</v>
      </c>
      <c r="C29" s="32" t="s">
        <v>656</v>
      </c>
      <c r="D29" s="32" t="s">
        <v>423</v>
      </c>
      <c r="E29" s="32" t="s">
        <v>238</v>
      </c>
      <c r="F29" s="32" t="s">
        <v>657</v>
      </c>
      <c r="G29" s="32" t="s">
        <v>191</v>
      </c>
      <c r="H29" s="94" t="s">
        <v>658</v>
      </c>
      <c r="I29" s="94" t="s">
        <v>346</v>
      </c>
      <c r="J29" s="94" t="s">
        <v>659</v>
      </c>
      <c r="K29" s="94">
        <v>2.46</v>
      </c>
      <c r="L29" s="94" t="s">
        <v>244</v>
      </c>
      <c r="M29" s="32">
        <v>0.05</v>
      </c>
      <c r="N29" s="32">
        <v>-4.0999999999999995E-3</v>
      </c>
      <c r="O29" s="103">
        <v>23772700.933273278</v>
      </c>
      <c r="P29" s="94">
        <v>120.68</v>
      </c>
      <c r="Q29" s="124">
        <v>0</v>
      </c>
      <c r="R29" s="124">
        <v>28688.895485331115</v>
      </c>
      <c r="S29" s="32">
        <v>7.5430410369291849E-3</v>
      </c>
      <c r="T29" s="32">
        <v>1.120222489622927E-2</v>
      </c>
      <c r="U29" s="32">
        <v>2.4295057798779471E-3</v>
      </c>
    </row>
    <row r="30" spans="2:21" x14ac:dyDescent="0.2">
      <c r="B30" s="23" t="s">
        <v>724</v>
      </c>
      <c r="C30" s="32" t="s">
        <v>725</v>
      </c>
      <c r="D30" s="32" t="s">
        <v>423</v>
      </c>
      <c r="E30" s="32" t="s">
        <v>238</v>
      </c>
      <c r="F30" s="32" t="s">
        <v>657</v>
      </c>
      <c r="G30" s="32" t="s">
        <v>191</v>
      </c>
      <c r="H30" s="94" t="s">
        <v>242</v>
      </c>
      <c r="I30" s="94" t="s">
        <v>243</v>
      </c>
      <c r="J30" s="94" t="s">
        <v>726</v>
      </c>
      <c r="K30" s="94">
        <v>0.71</v>
      </c>
      <c r="L30" s="94" t="s">
        <v>244</v>
      </c>
      <c r="M30" s="32">
        <v>1.6E-2</v>
      </c>
      <c r="N30" s="32">
        <v>-1.4000000000000002E-3</v>
      </c>
      <c r="O30" s="103">
        <v>4675526.3182152174</v>
      </c>
      <c r="P30" s="94">
        <v>102</v>
      </c>
      <c r="Q30" s="124">
        <v>0</v>
      </c>
      <c r="R30" s="124">
        <v>4769.0368445366548</v>
      </c>
      <c r="S30" s="32">
        <v>4.4545514725033829E-3</v>
      </c>
      <c r="T30" s="32">
        <v>1.8621777648504894E-3</v>
      </c>
      <c r="U30" s="32">
        <v>4.038636685813478E-4</v>
      </c>
    </row>
    <row r="31" spans="2:21" x14ac:dyDescent="0.2">
      <c r="B31" s="23" t="s">
        <v>744</v>
      </c>
      <c r="C31" s="32" t="s">
        <v>745</v>
      </c>
      <c r="D31" s="32" t="s">
        <v>423</v>
      </c>
      <c r="E31" s="32" t="s">
        <v>238</v>
      </c>
      <c r="F31" s="32" t="s">
        <v>657</v>
      </c>
      <c r="G31" s="32" t="s">
        <v>191</v>
      </c>
      <c r="H31" s="94" t="s">
        <v>658</v>
      </c>
      <c r="I31" s="94" t="s">
        <v>346</v>
      </c>
      <c r="J31" s="94" t="s">
        <v>746</v>
      </c>
      <c r="K31" s="94">
        <v>1.73</v>
      </c>
      <c r="L31" s="94" t="s">
        <v>244</v>
      </c>
      <c r="M31" s="32">
        <v>6.9999999999999993E-3</v>
      </c>
      <c r="N31" s="32">
        <v>-2.8999999999999998E-3</v>
      </c>
      <c r="O31" s="103">
        <v>31837353.827247035</v>
      </c>
      <c r="P31" s="94">
        <v>104.53000000000002</v>
      </c>
      <c r="Q31" s="124">
        <v>0</v>
      </c>
      <c r="R31" s="124">
        <v>33279.585955473216</v>
      </c>
      <c r="S31" s="32">
        <v>1.1196993702271183E-2</v>
      </c>
      <c r="T31" s="32">
        <v>1.2994763305447667E-2</v>
      </c>
      <c r="U31" s="32">
        <v>2.8182662686372139E-3</v>
      </c>
    </row>
    <row r="32" spans="2:21" x14ac:dyDescent="0.2">
      <c r="B32" s="23" t="s">
        <v>939</v>
      </c>
      <c r="C32" s="32" t="s">
        <v>940</v>
      </c>
      <c r="D32" s="32" t="s">
        <v>423</v>
      </c>
      <c r="E32" s="32" t="s">
        <v>238</v>
      </c>
      <c r="F32" s="32" t="s">
        <v>657</v>
      </c>
      <c r="G32" s="32" t="s">
        <v>191</v>
      </c>
      <c r="H32" s="94" t="s">
        <v>658</v>
      </c>
      <c r="I32" s="94" t="s">
        <v>346</v>
      </c>
      <c r="J32" s="94" t="s">
        <v>941</v>
      </c>
      <c r="K32" s="94">
        <v>5.79</v>
      </c>
      <c r="L32" s="94" t="s">
        <v>244</v>
      </c>
      <c r="M32" s="32">
        <v>1.7500000000000002E-2</v>
      </c>
      <c r="N32" s="32">
        <v>-2.5999999999999999E-3</v>
      </c>
      <c r="O32" s="103">
        <v>24580249.828282528</v>
      </c>
      <c r="P32" s="94">
        <v>112.18999999999998</v>
      </c>
      <c r="Q32" s="124">
        <v>0</v>
      </c>
      <c r="R32" s="124">
        <v>27576.582281840048</v>
      </c>
      <c r="S32" s="32">
        <v>6.1987048509510503E-3</v>
      </c>
      <c r="T32" s="32">
        <v>1.0767897172914747E-2</v>
      </c>
      <c r="U32" s="32">
        <v>2.3353100532318011E-3</v>
      </c>
    </row>
    <row r="33" spans="2:21" x14ac:dyDescent="0.2">
      <c r="B33" s="23" t="s">
        <v>997</v>
      </c>
      <c r="C33" s="32" t="s">
        <v>998</v>
      </c>
      <c r="D33" s="32" t="s">
        <v>423</v>
      </c>
      <c r="E33" s="32" t="s">
        <v>238</v>
      </c>
      <c r="F33" s="32" t="s">
        <v>999</v>
      </c>
      <c r="G33" s="32" t="s">
        <v>191</v>
      </c>
      <c r="H33" s="94" t="s">
        <v>253</v>
      </c>
      <c r="I33" s="94" t="s">
        <v>243</v>
      </c>
      <c r="J33" s="94" t="s">
        <v>1000</v>
      </c>
      <c r="K33" s="94">
        <v>0.71</v>
      </c>
      <c r="L33" s="94" t="s">
        <v>244</v>
      </c>
      <c r="M33" s="32">
        <v>4.2000000000000003E-2</v>
      </c>
      <c r="N33" s="32">
        <v>6.4000000000000003E-3</v>
      </c>
      <c r="O33" s="103">
        <v>1104238.0825549266</v>
      </c>
      <c r="P33" s="94">
        <v>126.62</v>
      </c>
      <c r="Q33" s="124">
        <v>0</v>
      </c>
      <c r="R33" s="124">
        <v>1398.1862595405541</v>
      </c>
      <c r="S33" s="32">
        <v>2.1167773694646449E-2</v>
      </c>
      <c r="T33" s="32">
        <v>5.4595329172569228E-4</v>
      </c>
      <c r="U33" s="32">
        <v>1.1840475352690275E-4</v>
      </c>
    </row>
    <row r="34" spans="2:21" x14ac:dyDescent="0.2">
      <c r="B34" s="23" t="s">
        <v>1001</v>
      </c>
      <c r="C34" s="32" t="s">
        <v>1002</v>
      </c>
      <c r="D34" s="32" t="s">
        <v>423</v>
      </c>
      <c r="E34" s="32" t="s">
        <v>238</v>
      </c>
      <c r="F34" s="32" t="s">
        <v>1003</v>
      </c>
      <c r="G34" s="32" t="s">
        <v>191</v>
      </c>
      <c r="H34" s="94" t="s">
        <v>811</v>
      </c>
      <c r="I34" s="94" t="s">
        <v>346</v>
      </c>
      <c r="J34" s="94" t="s">
        <v>1004</v>
      </c>
      <c r="K34" s="94">
        <v>1.43</v>
      </c>
      <c r="L34" s="94" t="s">
        <v>244</v>
      </c>
      <c r="M34" s="32">
        <v>3.85E-2</v>
      </c>
      <c r="N34" s="32">
        <v>-1.6000000000000001E-3</v>
      </c>
      <c r="O34" s="103">
        <v>6521847.3786925161</v>
      </c>
      <c r="P34" s="94">
        <v>115.08</v>
      </c>
      <c r="Q34" s="124">
        <v>0</v>
      </c>
      <c r="R34" s="124">
        <v>7505.3419625634406</v>
      </c>
      <c r="S34" s="32">
        <v>2.0415878800006938E-2</v>
      </c>
      <c r="T34" s="32">
        <v>2.9306296797216012E-3</v>
      </c>
      <c r="U34" s="32">
        <v>6.3558639569556512E-4</v>
      </c>
    </row>
    <row r="35" spans="2:21" x14ac:dyDescent="0.2">
      <c r="B35" s="23" t="s">
        <v>990</v>
      </c>
      <c r="C35" s="32" t="s">
        <v>991</v>
      </c>
      <c r="D35" s="32" t="s">
        <v>423</v>
      </c>
      <c r="E35" s="32" t="s">
        <v>238</v>
      </c>
      <c r="F35" s="32" t="s">
        <v>992</v>
      </c>
      <c r="G35" s="32" t="s">
        <v>191</v>
      </c>
      <c r="H35" s="94" t="s">
        <v>811</v>
      </c>
      <c r="I35" s="94" t="s">
        <v>346</v>
      </c>
      <c r="J35" s="94" t="s">
        <v>993</v>
      </c>
      <c r="K35" s="94">
        <v>1.8</v>
      </c>
      <c r="L35" s="94" t="s">
        <v>244</v>
      </c>
      <c r="M35" s="32">
        <v>4.7500000000000001E-2</v>
      </c>
      <c r="N35" s="32">
        <v>-4.6999999999999993E-3</v>
      </c>
      <c r="O35" s="103">
        <v>3474056.5160182775</v>
      </c>
      <c r="P35" s="94">
        <v>131.21</v>
      </c>
      <c r="Q35" s="124">
        <v>0</v>
      </c>
      <c r="R35" s="124">
        <v>4558.3095538085254</v>
      </c>
      <c r="S35" s="32">
        <v>1.5959531787931306E-2</v>
      </c>
      <c r="T35" s="32">
        <v>1.7798945516917047E-3</v>
      </c>
      <c r="U35" s="32">
        <v>3.8601832590986774E-4</v>
      </c>
    </row>
    <row r="36" spans="2:21" x14ac:dyDescent="0.2">
      <c r="B36" s="23" t="s">
        <v>1018</v>
      </c>
      <c r="C36" s="32" t="s">
        <v>1019</v>
      </c>
      <c r="D36" s="32" t="s">
        <v>423</v>
      </c>
      <c r="E36" s="32" t="s">
        <v>238</v>
      </c>
      <c r="F36" s="32" t="s">
        <v>561</v>
      </c>
      <c r="G36" s="32" t="s">
        <v>191</v>
      </c>
      <c r="H36" s="94" t="s">
        <v>253</v>
      </c>
      <c r="I36" s="94" t="s">
        <v>243</v>
      </c>
      <c r="J36" s="94" t="s">
        <v>1020</v>
      </c>
      <c r="K36" s="94">
        <v>0.75</v>
      </c>
      <c r="L36" s="94" t="s">
        <v>244</v>
      </c>
      <c r="M36" s="32">
        <v>2.4500000000000001E-2</v>
      </c>
      <c r="N36" s="32">
        <v>-1.8E-3</v>
      </c>
      <c r="O36" s="103">
        <v>2354796.315102566</v>
      </c>
      <c r="P36" s="94">
        <v>103.19</v>
      </c>
      <c r="Q36" s="124">
        <v>0</v>
      </c>
      <c r="R36" s="124">
        <v>2429.9143175543377</v>
      </c>
      <c r="S36" s="32">
        <v>2.2031326626085906E-2</v>
      </c>
      <c r="T36" s="32">
        <v>9.4881473139072975E-4</v>
      </c>
      <c r="U36" s="32">
        <v>2.0577616458343433E-4</v>
      </c>
    </row>
    <row r="37" spans="2:21" x14ac:dyDescent="0.2">
      <c r="B37" s="23" t="s">
        <v>1024</v>
      </c>
      <c r="C37" s="32" t="s">
        <v>1025</v>
      </c>
      <c r="D37" s="32" t="s">
        <v>423</v>
      </c>
      <c r="E37" s="32" t="s">
        <v>238</v>
      </c>
      <c r="F37" s="32" t="s">
        <v>766</v>
      </c>
      <c r="G37" s="32" t="s">
        <v>191</v>
      </c>
      <c r="H37" s="94" t="s">
        <v>253</v>
      </c>
      <c r="I37" s="94" t="s">
        <v>243</v>
      </c>
      <c r="J37" s="94" t="s">
        <v>1026</v>
      </c>
      <c r="K37" s="94">
        <v>0.86</v>
      </c>
      <c r="L37" s="94" t="s">
        <v>244</v>
      </c>
      <c r="M37" s="32">
        <v>3.4000000000000002E-2</v>
      </c>
      <c r="N37" s="32">
        <v>-3.4000000000000002E-3</v>
      </c>
      <c r="O37" s="103">
        <v>6199.8669467671079</v>
      </c>
      <c r="P37" s="94">
        <v>107.73000000000002</v>
      </c>
      <c r="Q37" s="124">
        <v>0</v>
      </c>
      <c r="R37" s="124">
        <v>6.679115632942092</v>
      </c>
      <c r="S37" s="32">
        <v>6.9361853303100332E-6</v>
      </c>
      <c r="T37" s="32">
        <v>2.6080110147982042E-6</v>
      </c>
      <c r="U37" s="32">
        <v>5.6561780299290189E-7</v>
      </c>
    </row>
    <row r="38" spans="2:21" x14ac:dyDescent="0.2">
      <c r="B38" s="23" t="s">
        <v>895</v>
      </c>
      <c r="C38" s="32" t="s">
        <v>896</v>
      </c>
      <c r="D38" s="32" t="s">
        <v>423</v>
      </c>
      <c r="E38" s="32" t="s">
        <v>238</v>
      </c>
      <c r="F38" s="32" t="s">
        <v>897</v>
      </c>
      <c r="G38" s="32" t="s">
        <v>581</v>
      </c>
      <c r="H38" s="94" t="s">
        <v>811</v>
      </c>
      <c r="I38" s="94" t="s">
        <v>346</v>
      </c>
      <c r="J38" s="94" t="s">
        <v>898</v>
      </c>
      <c r="K38" s="94">
        <v>5.53</v>
      </c>
      <c r="L38" s="94" t="s">
        <v>244</v>
      </c>
      <c r="M38" s="32">
        <v>8.3000000000000001E-3</v>
      </c>
      <c r="N38" s="32">
        <v>-3.8E-3</v>
      </c>
      <c r="O38" s="103">
        <v>15164821.610938586</v>
      </c>
      <c r="P38" s="94">
        <v>108.51000000000002</v>
      </c>
      <c r="Q38" s="124">
        <v>0</v>
      </c>
      <c r="R38" s="124">
        <v>16455.347928979216</v>
      </c>
      <c r="S38" s="32">
        <v>9.9024446631552805E-3</v>
      </c>
      <c r="T38" s="32">
        <v>6.4253609324338963E-3</v>
      </c>
      <c r="U38" s="32">
        <v>1.3935134910927087E-3</v>
      </c>
    </row>
    <row r="39" spans="2:21" x14ac:dyDescent="0.2">
      <c r="B39" s="23" t="s">
        <v>899</v>
      </c>
      <c r="C39" s="32" t="s">
        <v>900</v>
      </c>
      <c r="D39" s="32" t="s">
        <v>423</v>
      </c>
      <c r="E39" s="32" t="s">
        <v>238</v>
      </c>
      <c r="F39" s="32" t="s">
        <v>897</v>
      </c>
      <c r="G39" s="32" t="s">
        <v>581</v>
      </c>
      <c r="H39" s="94" t="s">
        <v>811</v>
      </c>
      <c r="I39" s="94" t="s">
        <v>346</v>
      </c>
      <c r="J39" s="94" t="s">
        <v>898</v>
      </c>
      <c r="K39" s="94">
        <v>9.32</v>
      </c>
      <c r="L39" s="94" t="s">
        <v>244</v>
      </c>
      <c r="M39" s="32">
        <v>1.6500000000000001E-2</v>
      </c>
      <c r="N39" s="32">
        <v>3.7000000000000002E-3</v>
      </c>
      <c r="O39" s="103">
        <v>13898034.322162226</v>
      </c>
      <c r="P39" s="94">
        <v>114.26</v>
      </c>
      <c r="Q39" s="124">
        <v>0</v>
      </c>
      <c r="R39" s="124">
        <v>15879.894016309656</v>
      </c>
      <c r="S39" s="32">
        <v>9.5190059945084865E-3</v>
      </c>
      <c r="T39" s="32">
        <v>6.2006620014333786E-3</v>
      </c>
      <c r="U39" s="32">
        <v>1.3447814439632221E-3</v>
      </c>
    </row>
    <row r="40" spans="2:21" x14ac:dyDescent="0.2">
      <c r="B40" s="23" t="s">
        <v>907</v>
      </c>
      <c r="C40" s="32" t="s">
        <v>908</v>
      </c>
      <c r="D40" s="32" t="s">
        <v>423</v>
      </c>
      <c r="E40" s="32" t="s">
        <v>238</v>
      </c>
      <c r="F40" s="32" t="s">
        <v>909</v>
      </c>
      <c r="G40" s="32" t="s">
        <v>834</v>
      </c>
      <c r="H40" s="94" t="s">
        <v>811</v>
      </c>
      <c r="I40" s="94" t="s">
        <v>346</v>
      </c>
      <c r="J40" s="94" t="s">
        <v>910</v>
      </c>
      <c r="K40" s="94">
        <v>9.23</v>
      </c>
      <c r="L40" s="94" t="s">
        <v>244</v>
      </c>
      <c r="M40" s="32">
        <v>2.6499999999999999E-2</v>
      </c>
      <c r="N40" s="32">
        <v>3.2000000000000002E-3</v>
      </c>
      <c r="O40" s="103">
        <v>13924787.35889353</v>
      </c>
      <c r="P40" s="94">
        <v>124.78</v>
      </c>
      <c r="Q40" s="124">
        <v>0</v>
      </c>
      <c r="R40" s="124">
        <v>17375.349666017537</v>
      </c>
      <c r="S40" s="32">
        <v>1.1975358505907146E-2</v>
      </c>
      <c r="T40" s="32">
        <v>6.7845963156327521E-3</v>
      </c>
      <c r="U40" s="32">
        <v>1.471423410586654E-3</v>
      </c>
    </row>
    <row r="41" spans="2:21" x14ac:dyDescent="0.2">
      <c r="B41" s="23" t="s">
        <v>760</v>
      </c>
      <c r="C41" s="32" t="s">
        <v>761</v>
      </c>
      <c r="D41" s="32" t="s">
        <v>423</v>
      </c>
      <c r="E41" s="32" t="s">
        <v>238</v>
      </c>
      <c r="F41" s="32" t="s">
        <v>762</v>
      </c>
      <c r="G41" s="32" t="s">
        <v>581</v>
      </c>
      <c r="H41" s="94" t="s">
        <v>253</v>
      </c>
      <c r="I41" s="94" t="s">
        <v>243</v>
      </c>
      <c r="J41" s="94" t="s">
        <v>763</v>
      </c>
      <c r="K41" s="94">
        <v>2.74</v>
      </c>
      <c r="L41" s="94" t="s">
        <v>244</v>
      </c>
      <c r="M41" s="32">
        <v>6.5000000000000006E-3</v>
      </c>
      <c r="N41" s="32">
        <v>-2.8000000000000004E-3</v>
      </c>
      <c r="O41" s="103">
        <v>5005105.7666915022</v>
      </c>
      <c r="P41" s="94">
        <v>103.34999999999998</v>
      </c>
      <c r="Q41" s="124">
        <v>0</v>
      </c>
      <c r="R41" s="124">
        <v>5172.7768097556391</v>
      </c>
      <c r="S41" s="32">
        <v>5.525729501430203E-3</v>
      </c>
      <c r="T41" s="32">
        <v>2.0198271205843616E-3</v>
      </c>
      <c r="U41" s="32">
        <v>4.3805419988182187E-4</v>
      </c>
    </row>
    <row r="42" spans="2:21" x14ac:dyDescent="0.2">
      <c r="B42" s="23" t="s">
        <v>809</v>
      </c>
      <c r="C42" s="32" t="s">
        <v>810</v>
      </c>
      <c r="D42" s="32" t="s">
        <v>423</v>
      </c>
      <c r="E42" s="32" t="s">
        <v>238</v>
      </c>
      <c r="F42" s="32" t="s">
        <v>762</v>
      </c>
      <c r="G42" s="32" t="s">
        <v>581</v>
      </c>
      <c r="H42" s="94" t="s">
        <v>811</v>
      </c>
      <c r="I42" s="94" t="s">
        <v>346</v>
      </c>
      <c r="J42" s="94" t="s">
        <v>812</v>
      </c>
      <c r="K42" s="94">
        <v>5.4</v>
      </c>
      <c r="L42" s="94" t="s">
        <v>244</v>
      </c>
      <c r="M42" s="32">
        <v>1.34E-2</v>
      </c>
      <c r="N42" s="32">
        <v>1E-4</v>
      </c>
      <c r="O42" s="103">
        <v>52498409.543214731</v>
      </c>
      <c r="P42" s="94">
        <v>109.39000000000001</v>
      </c>
      <c r="Q42" s="124">
        <v>2790.3543271000003</v>
      </c>
      <c r="R42" s="124">
        <v>57608.000452706823</v>
      </c>
      <c r="S42" s="32">
        <v>1.3751769411450055E-2</v>
      </c>
      <c r="T42" s="32">
        <v>2.2494340265670609E-2</v>
      </c>
      <c r="U42" s="32">
        <v>4.878506742743891E-3</v>
      </c>
    </row>
    <row r="43" spans="2:21" x14ac:dyDescent="0.2">
      <c r="B43" s="23" t="s">
        <v>945</v>
      </c>
      <c r="C43" s="32" t="s">
        <v>946</v>
      </c>
      <c r="D43" s="32" t="s">
        <v>423</v>
      </c>
      <c r="E43" s="32" t="s">
        <v>238</v>
      </c>
      <c r="F43" s="32" t="s">
        <v>762</v>
      </c>
      <c r="G43" s="32" t="s">
        <v>581</v>
      </c>
      <c r="H43" s="94" t="s">
        <v>811</v>
      </c>
      <c r="I43" s="94" t="s">
        <v>346</v>
      </c>
      <c r="J43" s="94" t="s">
        <v>947</v>
      </c>
      <c r="K43" s="94">
        <v>6.27</v>
      </c>
      <c r="L43" s="94" t="s">
        <v>244</v>
      </c>
      <c r="M43" s="32">
        <v>1.77E-2</v>
      </c>
      <c r="N43" s="32">
        <v>2.7000000000000001E-3</v>
      </c>
      <c r="O43" s="103">
        <v>23266178.169484984</v>
      </c>
      <c r="P43" s="94">
        <v>110.45</v>
      </c>
      <c r="Q43" s="124">
        <v>0</v>
      </c>
      <c r="R43" s="124">
        <v>25697.493787499574</v>
      </c>
      <c r="S43" s="32">
        <v>9.5640463381546394E-3</v>
      </c>
      <c r="T43" s="32">
        <v>1.0034164780732487E-2</v>
      </c>
      <c r="U43" s="32">
        <v>2.1761803174691753E-3</v>
      </c>
    </row>
    <row r="44" spans="2:21" x14ac:dyDescent="0.2">
      <c r="B44" s="23" t="s">
        <v>948</v>
      </c>
      <c r="C44" s="32" t="s">
        <v>949</v>
      </c>
      <c r="D44" s="32" t="s">
        <v>423</v>
      </c>
      <c r="E44" s="32" t="s">
        <v>238</v>
      </c>
      <c r="F44" s="32" t="s">
        <v>762</v>
      </c>
      <c r="G44" s="32" t="s">
        <v>581</v>
      </c>
      <c r="H44" s="94" t="s">
        <v>811</v>
      </c>
      <c r="I44" s="94" t="s">
        <v>346</v>
      </c>
      <c r="J44" s="94" t="s">
        <v>947</v>
      </c>
      <c r="K44" s="94">
        <v>9.6</v>
      </c>
      <c r="L44" s="94" t="s">
        <v>244</v>
      </c>
      <c r="M44" s="32">
        <v>2.4799999999999999E-2</v>
      </c>
      <c r="N44" s="32">
        <v>7.9000000000000008E-3</v>
      </c>
      <c r="O44" s="103">
        <v>5055851.5340460455</v>
      </c>
      <c r="P44" s="94">
        <v>117.95</v>
      </c>
      <c r="Q44" s="124">
        <v>0</v>
      </c>
      <c r="R44" s="124">
        <v>5963.3768844073111</v>
      </c>
      <c r="S44" s="32">
        <v>4.2270814841087216E-3</v>
      </c>
      <c r="T44" s="32">
        <v>2.3285347124730794E-3</v>
      </c>
      <c r="U44" s="32">
        <v>5.0500579974108726E-4</v>
      </c>
    </row>
    <row r="45" spans="2:21" x14ac:dyDescent="0.2">
      <c r="B45" s="23" t="s">
        <v>994</v>
      </c>
      <c r="C45" s="32" t="s">
        <v>995</v>
      </c>
      <c r="D45" s="32" t="s">
        <v>423</v>
      </c>
      <c r="E45" s="32" t="s">
        <v>238</v>
      </c>
      <c r="F45" s="32" t="s">
        <v>657</v>
      </c>
      <c r="G45" s="32" t="s">
        <v>191</v>
      </c>
      <c r="H45" s="94" t="s">
        <v>253</v>
      </c>
      <c r="I45" s="94" t="s">
        <v>243</v>
      </c>
      <c r="J45" s="94" t="s">
        <v>996</v>
      </c>
      <c r="K45" s="94">
        <v>0.73</v>
      </c>
      <c r="L45" s="94" t="s">
        <v>244</v>
      </c>
      <c r="M45" s="32">
        <v>4.0999999999999995E-2</v>
      </c>
      <c r="N45" s="32">
        <v>7.1999999999999998E-3</v>
      </c>
      <c r="O45" s="103">
        <v>17172308.430120006</v>
      </c>
      <c r="P45" s="94">
        <v>128.9</v>
      </c>
      <c r="Q45" s="124">
        <v>0</v>
      </c>
      <c r="R45" s="124">
        <v>22135.105562338198</v>
      </c>
      <c r="S45" s="32">
        <v>1.1020444849170481E-2</v>
      </c>
      <c r="T45" s="32">
        <v>8.6431501253812076E-3</v>
      </c>
      <c r="U45" s="32">
        <v>1.8745011263820175E-3</v>
      </c>
    </row>
    <row r="46" spans="2:21" x14ac:dyDescent="0.2">
      <c r="B46" s="23" t="s">
        <v>1011</v>
      </c>
      <c r="C46" s="32" t="s">
        <v>1012</v>
      </c>
      <c r="D46" s="32" t="s">
        <v>423</v>
      </c>
      <c r="E46" s="32" t="s">
        <v>238</v>
      </c>
      <c r="F46" s="32" t="s">
        <v>657</v>
      </c>
      <c r="G46" s="32" t="s">
        <v>191</v>
      </c>
      <c r="H46" s="94" t="s">
        <v>811</v>
      </c>
      <c r="I46" s="94" t="s">
        <v>346</v>
      </c>
      <c r="J46" s="94" t="s">
        <v>1013</v>
      </c>
      <c r="K46" s="94">
        <v>2.3199999999999998</v>
      </c>
      <c r="L46" s="94" t="s">
        <v>244</v>
      </c>
      <c r="M46" s="32">
        <v>4.2000000000000003E-2</v>
      </c>
      <c r="N46" s="32">
        <v>-4.6999999999999993E-3</v>
      </c>
      <c r="O46" s="103">
        <v>724284.35612429667</v>
      </c>
      <c r="P46" s="94">
        <v>116.79000000000002</v>
      </c>
      <c r="Q46" s="124">
        <v>0</v>
      </c>
      <c r="R46" s="124">
        <v>845.89169950684925</v>
      </c>
      <c r="S46" s="32">
        <v>7.2592931194516441E-4</v>
      </c>
      <c r="T46" s="32">
        <v>3.3029745117146148E-4</v>
      </c>
      <c r="U46" s="32">
        <v>7.1633945411159525E-5</v>
      </c>
    </row>
    <row r="47" spans="2:21" x14ac:dyDescent="0.2">
      <c r="B47" s="23" t="s">
        <v>1005</v>
      </c>
      <c r="C47" s="32" t="s">
        <v>1006</v>
      </c>
      <c r="D47" s="32" t="s">
        <v>423</v>
      </c>
      <c r="E47" s="32" t="s">
        <v>238</v>
      </c>
      <c r="F47" s="32" t="s">
        <v>657</v>
      </c>
      <c r="G47" s="32" t="s">
        <v>191</v>
      </c>
      <c r="H47" s="94" t="s">
        <v>253</v>
      </c>
      <c r="I47" s="94" t="s">
        <v>243</v>
      </c>
      <c r="J47" s="94" t="s">
        <v>1007</v>
      </c>
      <c r="K47" s="94">
        <v>1.89</v>
      </c>
      <c r="L47" s="94" t="s">
        <v>244</v>
      </c>
      <c r="M47" s="32">
        <v>0.04</v>
      </c>
      <c r="N47" s="32">
        <v>-5.0000000000000001E-3</v>
      </c>
      <c r="O47" s="103">
        <v>21868010.489612073</v>
      </c>
      <c r="P47" s="94">
        <v>116.27000000000001</v>
      </c>
      <c r="Q47" s="124">
        <v>0</v>
      </c>
      <c r="R47" s="124">
        <v>25425.935795773628</v>
      </c>
      <c r="S47" s="32">
        <v>1.0038110184645309E-2</v>
      </c>
      <c r="T47" s="32">
        <v>9.9281288513521516E-3</v>
      </c>
      <c r="U47" s="32">
        <v>2.1531835551571663E-3</v>
      </c>
    </row>
    <row r="48" spans="2:21" x14ac:dyDescent="0.2">
      <c r="B48" s="23" t="s">
        <v>667</v>
      </c>
      <c r="C48" s="32" t="s">
        <v>668</v>
      </c>
      <c r="D48" s="32" t="s">
        <v>423</v>
      </c>
      <c r="E48" s="32" t="s">
        <v>238</v>
      </c>
      <c r="F48" s="32" t="s">
        <v>626</v>
      </c>
      <c r="G48" s="32" t="s">
        <v>581</v>
      </c>
      <c r="H48" s="94" t="s">
        <v>587</v>
      </c>
      <c r="I48" s="94" t="s">
        <v>346</v>
      </c>
      <c r="J48" s="94" t="s">
        <v>669</v>
      </c>
      <c r="K48" s="94">
        <v>1.48</v>
      </c>
      <c r="L48" s="94" t="s">
        <v>244</v>
      </c>
      <c r="M48" s="32">
        <v>4.8000000000000001E-2</v>
      </c>
      <c r="N48" s="32">
        <v>-5.1999999999999998E-3</v>
      </c>
      <c r="O48" s="103">
        <v>20578556.917235225</v>
      </c>
      <c r="P48" s="94">
        <v>113.33</v>
      </c>
      <c r="Q48" s="124">
        <v>0</v>
      </c>
      <c r="R48" s="124">
        <v>23321.678553844005</v>
      </c>
      <c r="S48" s="32">
        <v>1.6818160798805243E-2</v>
      </c>
      <c r="T48" s="32">
        <v>9.1064742541695047E-3</v>
      </c>
      <c r="U48" s="32">
        <v>1.9749855086610224E-3</v>
      </c>
    </row>
    <row r="49" spans="2:21" x14ac:dyDescent="0.2">
      <c r="B49" s="23" t="s">
        <v>624</v>
      </c>
      <c r="C49" s="32" t="s">
        <v>625</v>
      </c>
      <c r="D49" s="32" t="s">
        <v>423</v>
      </c>
      <c r="E49" s="32" t="s">
        <v>238</v>
      </c>
      <c r="F49" s="32" t="s">
        <v>626</v>
      </c>
      <c r="G49" s="32" t="s">
        <v>581</v>
      </c>
      <c r="H49" s="94" t="s">
        <v>587</v>
      </c>
      <c r="I49" s="94" t="s">
        <v>346</v>
      </c>
      <c r="J49" s="94" t="s">
        <v>627</v>
      </c>
      <c r="K49" s="94">
        <v>1</v>
      </c>
      <c r="L49" s="94" t="s">
        <v>244</v>
      </c>
      <c r="M49" s="32">
        <v>4.9000000000000002E-2</v>
      </c>
      <c r="N49" s="32">
        <v>-1.7000000000000001E-3</v>
      </c>
      <c r="O49" s="103">
        <v>1037.5517844812975</v>
      </c>
      <c r="P49" s="94">
        <v>114.5</v>
      </c>
      <c r="Q49" s="124">
        <v>0</v>
      </c>
      <c r="R49" s="124">
        <v>1.1879959733980265</v>
      </c>
      <c r="S49" s="32">
        <v>1.0474833300781002E-5</v>
      </c>
      <c r="T49" s="32">
        <v>4.6387976409283856E-7</v>
      </c>
      <c r="U49" s="32">
        <v>1.006048868391603E-7</v>
      </c>
    </row>
    <row r="50" spans="2:21" x14ac:dyDescent="0.2">
      <c r="B50" s="23" t="s">
        <v>721</v>
      </c>
      <c r="C50" s="32" t="s">
        <v>722</v>
      </c>
      <c r="D50" s="32" t="s">
        <v>423</v>
      </c>
      <c r="E50" s="32" t="s">
        <v>238</v>
      </c>
      <c r="F50" s="32" t="s">
        <v>626</v>
      </c>
      <c r="G50" s="32" t="s">
        <v>581</v>
      </c>
      <c r="H50" s="94" t="s">
        <v>587</v>
      </c>
      <c r="I50" s="94" t="s">
        <v>346</v>
      </c>
      <c r="J50" s="94" t="s">
        <v>723</v>
      </c>
      <c r="K50" s="94">
        <v>5.39</v>
      </c>
      <c r="L50" s="94" t="s">
        <v>244</v>
      </c>
      <c r="M50" s="32">
        <v>3.2000000000000001E-2</v>
      </c>
      <c r="N50" s="32">
        <v>1.1000000000000001E-3</v>
      </c>
      <c r="O50" s="103">
        <v>17574209.055523559</v>
      </c>
      <c r="P50" s="94">
        <v>119.9</v>
      </c>
      <c r="Q50" s="124">
        <v>0</v>
      </c>
      <c r="R50" s="124">
        <v>21071.476657251242</v>
      </c>
      <c r="S50" s="32">
        <v>1.0653515154753324E-2</v>
      </c>
      <c r="T50" s="32">
        <v>8.2278322820363344E-3</v>
      </c>
      <c r="U50" s="32">
        <v>1.7844282069182731E-3</v>
      </c>
    </row>
    <row r="51" spans="2:21" x14ac:dyDescent="0.2">
      <c r="B51" s="23" t="s">
        <v>966</v>
      </c>
      <c r="C51" s="32" t="s">
        <v>967</v>
      </c>
      <c r="D51" s="32" t="s">
        <v>423</v>
      </c>
      <c r="E51" s="32" t="s">
        <v>238</v>
      </c>
      <c r="F51" s="32" t="s">
        <v>626</v>
      </c>
      <c r="G51" s="32" t="s">
        <v>581</v>
      </c>
      <c r="H51" s="94" t="s">
        <v>587</v>
      </c>
      <c r="I51" s="94" t="s">
        <v>346</v>
      </c>
      <c r="J51" s="94" t="s">
        <v>968</v>
      </c>
      <c r="K51" s="94">
        <v>7.83</v>
      </c>
      <c r="L51" s="94" t="s">
        <v>244</v>
      </c>
      <c r="M51" s="32">
        <v>1.1399999999999999E-2</v>
      </c>
      <c r="N51" s="32">
        <v>6.4000000000000003E-3</v>
      </c>
      <c r="O51" s="103">
        <v>6610747.9858652391</v>
      </c>
      <c r="P51" s="94">
        <v>103.28</v>
      </c>
      <c r="Q51" s="124">
        <v>0</v>
      </c>
      <c r="R51" s="124">
        <v>6827.5805198016187</v>
      </c>
      <c r="S51" s="32">
        <v>6.591737415159918E-3</v>
      </c>
      <c r="T51" s="32">
        <v>2.6659824711285471E-3</v>
      </c>
      <c r="U51" s="32">
        <v>5.7819048293168078E-4</v>
      </c>
    </row>
    <row r="52" spans="2:21" x14ac:dyDescent="0.2">
      <c r="B52" s="23" t="s">
        <v>727</v>
      </c>
      <c r="C52" s="32" t="s">
        <v>728</v>
      </c>
      <c r="D52" s="32" t="s">
        <v>423</v>
      </c>
      <c r="E52" s="32" t="s">
        <v>238</v>
      </c>
      <c r="F52" s="32" t="s">
        <v>729</v>
      </c>
      <c r="G52" s="32" t="s">
        <v>581</v>
      </c>
      <c r="H52" s="94" t="s">
        <v>572</v>
      </c>
      <c r="I52" s="94" t="s">
        <v>243</v>
      </c>
      <c r="J52" s="94" t="s">
        <v>730</v>
      </c>
      <c r="K52" s="94">
        <v>4.54</v>
      </c>
      <c r="L52" s="94" t="s">
        <v>244</v>
      </c>
      <c r="M52" s="32">
        <v>2.3399999999999997E-2</v>
      </c>
      <c r="N52" s="32">
        <v>2E-3</v>
      </c>
      <c r="O52" s="103">
        <v>26819375.21868619</v>
      </c>
      <c r="P52" s="94">
        <v>112.48</v>
      </c>
      <c r="Q52" s="124">
        <v>0</v>
      </c>
      <c r="R52" s="124">
        <v>30166.433245213477</v>
      </c>
      <c r="S52" s="32">
        <v>8.1093805432395655E-3</v>
      </c>
      <c r="T52" s="32">
        <v>1.1779162767097669E-2</v>
      </c>
      <c r="U52" s="32">
        <v>2.5546303783295522E-3</v>
      </c>
    </row>
    <row r="53" spans="2:21" x14ac:dyDescent="0.2">
      <c r="B53" s="23" t="s">
        <v>840</v>
      </c>
      <c r="C53" s="32" t="s">
        <v>841</v>
      </c>
      <c r="D53" s="32" t="s">
        <v>423</v>
      </c>
      <c r="E53" s="32" t="s">
        <v>238</v>
      </c>
      <c r="F53" s="32" t="s">
        <v>729</v>
      </c>
      <c r="G53" s="32" t="s">
        <v>581</v>
      </c>
      <c r="H53" s="94" t="s">
        <v>572</v>
      </c>
      <c r="I53" s="94" t="s">
        <v>243</v>
      </c>
      <c r="J53" s="94" t="s">
        <v>842</v>
      </c>
      <c r="K53" s="94">
        <v>1.59</v>
      </c>
      <c r="L53" s="94" t="s">
        <v>244</v>
      </c>
      <c r="M53" s="32">
        <v>0.03</v>
      </c>
      <c r="N53" s="32">
        <v>-4.6999999999999993E-3</v>
      </c>
      <c r="O53" s="103">
        <v>2455764.4844617969</v>
      </c>
      <c r="P53" s="94">
        <v>108.72</v>
      </c>
      <c r="Q53" s="124">
        <v>0</v>
      </c>
      <c r="R53" s="124">
        <v>2669.9071472025093</v>
      </c>
      <c r="S53" s="32">
        <v>5.8325153082508423E-3</v>
      </c>
      <c r="T53" s="32">
        <v>1.0425253328523959E-3</v>
      </c>
      <c r="U53" s="32">
        <v>2.2609984581604302E-4</v>
      </c>
    </row>
    <row r="54" spans="2:21" x14ac:dyDescent="0.2">
      <c r="B54" s="23" t="s">
        <v>972</v>
      </c>
      <c r="C54" s="32" t="s">
        <v>973</v>
      </c>
      <c r="D54" s="32" t="s">
        <v>423</v>
      </c>
      <c r="E54" s="32" t="s">
        <v>238</v>
      </c>
      <c r="F54" s="32" t="s">
        <v>729</v>
      </c>
      <c r="G54" s="32" t="s">
        <v>581</v>
      </c>
      <c r="H54" s="94" t="s">
        <v>572</v>
      </c>
      <c r="I54" s="94" t="s">
        <v>243</v>
      </c>
      <c r="J54" s="94" t="s">
        <v>974</v>
      </c>
      <c r="K54" s="94">
        <v>8.4700000000000006</v>
      </c>
      <c r="L54" s="94" t="s">
        <v>244</v>
      </c>
      <c r="M54" s="32">
        <v>6.5000000000000006E-3</v>
      </c>
      <c r="N54" s="32">
        <v>6.8000000000000005E-3</v>
      </c>
      <c r="O54" s="103">
        <v>3350290.6636451925</v>
      </c>
      <c r="P54" s="94">
        <v>99.89</v>
      </c>
      <c r="Q54" s="124">
        <v>0</v>
      </c>
      <c r="R54" s="124">
        <v>3346.6053436472635</v>
      </c>
      <c r="S54" s="32">
        <v>1.1167635545483974E-2</v>
      </c>
      <c r="T54" s="32">
        <v>1.3067573729922074E-3</v>
      </c>
      <c r="U54" s="32">
        <v>2.8340571805975231E-4</v>
      </c>
    </row>
    <row r="55" spans="2:21" x14ac:dyDescent="0.2">
      <c r="B55" s="23" t="s">
        <v>911</v>
      </c>
      <c r="C55" s="32" t="s">
        <v>912</v>
      </c>
      <c r="D55" s="32" t="s">
        <v>423</v>
      </c>
      <c r="E55" s="32" t="s">
        <v>238</v>
      </c>
      <c r="F55" s="32" t="s">
        <v>630</v>
      </c>
      <c r="G55" s="32" t="s">
        <v>581</v>
      </c>
      <c r="H55" s="94" t="s">
        <v>572</v>
      </c>
      <c r="I55" s="94" t="s">
        <v>243</v>
      </c>
      <c r="J55" s="94" t="s">
        <v>913</v>
      </c>
      <c r="K55" s="94">
        <v>6.27</v>
      </c>
      <c r="L55" s="94" t="s">
        <v>244</v>
      </c>
      <c r="M55" s="32">
        <v>1.8200000000000001E-2</v>
      </c>
      <c r="N55" s="32">
        <v>2.8999999999999998E-3</v>
      </c>
      <c r="O55" s="103">
        <v>5833144.6239639372</v>
      </c>
      <c r="P55" s="94">
        <v>110.86</v>
      </c>
      <c r="Q55" s="124">
        <v>0</v>
      </c>
      <c r="R55" s="124">
        <v>6466.6241300578331</v>
      </c>
      <c r="S55" s="32">
        <v>1.2981294367339351E-2</v>
      </c>
      <c r="T55" s="32">
        <v>2.5250389252988253E-3</v>
      </c>
      <c r="U55" s="32">
        <v>5.4762305883496729E-4</v>
      </c>
    </row>
    <row r="56" spans="2:21" x14ac:dyDescent="0.2">
      <c r="B56" s="23" t="s">
        <v>969</v>
      </c>
      <c r="C56" s="32" t="s">
        <v>970</v>
      </c>
      <c r="D56" s="32" t="s">
        <v>423</v>
      </c>
      <c r="E56" s="32" t="s">
        <v>238</v>
      </c>
      <c r="F56" s="32" t="s">
        <v>630</v>
      </c>
      <c r="G56" s="32" t="s">
        <v>581</v>
      </c>
      <c r="H56" s="94" t="s">
        <v>572</v>
      </c>
      <c r="I56" s="94" t="s">
        <v>243</v>
      </c>
      <c r="J56" s="94" t="s">
        <v>971</v>
      </c>
      <c r="K56" s="94">
        <v>7.07</v>
      </c>
      <c r="L56" s="94" t="s">
        <v>244</v>
      </c>
      <c r="M56" s="32">
        <v>7.8000000000000005E-3</v>
      </c>
      <c r="N56" s="32">
        <v>4.8999999999999998E-3</v>
      </c>
      <c r="O56" s="103">
        <v>5023272.547117034</v>
      </c>
      <c r="P56" s="94">
        <v>102.07</v>
      </c>
      <c r="Q56" s="124">
        <v>0</v>
      </c>
      <c r="R56" s="124">
        <v>5127.2542888423568</v>
      </c>
      <c r="S56" s="32">
        <v>1.0465151139827154E-2</v>
      </c>
      <c r="T56" s="32">
        <v>2.0020518277929526E-3</v>
      </c>
      <c r="U56" s="32">
        <v>4.3419914635667019E-4</v>
      </c>
    </row>
    <row r="57" spans="2:21" x14ac:dyDescent="0.2">
      <c r="B57" s="23" t="s">
        <v>1008</v>
      </c>
      <c r="C57" s="32" t="s">
        <v>1009</v>
      </c>
      <c r="D57" s="32" t="s">
        <v>423</v>
      </c>
      <c r="E57" s="32" t="s">
        <v>238</v>
      </c>
      <c r="F57" s="32" t="s">
        <v>999</v>
      </c>
      <c r="G57" s="32" t="s">
        <v>191</v>
      </c>
      <c r="H57" s="94" t="s">
        <v>572</v>
      </c>
      <c r="I57" s="94" t="s">
        <v>243</v>
      </c>
      <c r="J57" s="94" t="s">
        <v>1010</v>
      </c>
      <c r="K57" s="94">
        <v>0.56999999999999995</v>
      </c>
      <c r="L57" s="94" t="s">
        <v>244</v>
      </c>
      <c r="M57" s="32">
        <v>3.1E-2</v>
      </c>
      <c r="N57" s="32">
        <v>3.8E-3</v>
      </c>
      <c r="O57" s="103">
        <v>6929557.8425711654</v>
      </c>
      <c r="P57" s="94">
        <v>111.25</v>
      </c>
      <c r="Q57" s="124">
        <v>0</v>
      </c>
      <c r="R57" s="124">
        <v>7709.1330990968518</v>
      </c>
      <c r="S57" s="32">
        <v>2.0142025872298866E-2</v>
      </c>
      <c r="T57" s="32">
        <v>3.0102045153743962E-3</v>
      </c>
      <c r="U57" s="32">
        <v>6.5284435337291716E-4</v>
      </c>
    </row>
    <row r="58" spans="2:21" x14ac:dyDescent="0.2">
      <c r="B58" s="23" t="s">
        <v>584</v>
      </c>
      <c r="C58" s="32" t="s">
        <v>585</v>
      </c>
      <c r="D58" s="32" t="s">
        <v>423</v>
      </c>
      <c r="E58" s="32" t="s">
        <v>238</v>
      </c>
      <c r="F58" s="32" t="s">
        <v>586</v>
      </c>
      <c r="G58" s="32" t="s">
        <v>581</v>
      </c>
      <c r="H58" s="94" t="s">
        <v>587</v>
      </c>
      <c r="I58" s="94" t="s">
        <v>346</v>
      </c>
      <c r="J58" s="94" t="s">
        <v>588</v>
      </c>
      <c r="K58" s="94">
        <v>3.53</v>
      </c>
      <c r="L58" s="94" t="s">
        <v>244</v>
      </c>
      <c r="M58" s="32">
        <v>4.7500000000000001E-2</v>
      </c>
      <c r="N58" s="32">
        <v>-5.9999999999999995E-4</v>
      </c>
      <c r="O58" s="103">
        <v>23860604.398393761</v>
      </c>
      <c r="P58" s="94">
        <v>145.59</v>
      </c>
      <c r="Q58" s="124">
        <v>0</v>
      </c>
      <c r="R58" s="124">
        <v>34738.653942849865</v>
      </c>
      <c r="S58" s="32">
        <v>1.2642719439619437E-2</v>
      </c>
      <c r="T58" s="32">
        <v>1.3564489237972295E-2</v>
      </c>
      <c r="U58" s="32">
        <v>2.9418267629887289E-3</v>
      </c>
    </row>
    <row r="59" spans="2:21" x14ac:dyDescent="0.2">
      <c r="B59" s="23" t="s">
        <v>569</v>
      </c>
      <c r="C59" s="32" t="s">
        <v>570</v>
      </c>
      <c r="D59" s="32" t="s">
        <v>423</v>
      </c>
      <c r="E59" s="32" t="s">
        <v>238</v>
      </c>
      <c r="F59" s="32" t="s">
        <v>571</v>
      </c>
      <c r="G59" s="32" t="s">
        <v>192</v>
      </c>
      <c r="H59" s="94" t="s">
        <v>572</v>
      </c>
      <c r="I59" s="94" t="s">
        <v>243</v>
      </c>
      <c r="J59" s="94" t="s">
        <v>573</v>
      </c>
      <c r="K59" s="94">
        <v>1.49</v>
      </c>
      <c r="L59" s="94" t="s">
        <v>244</v>
      </c>
      <c r="M59" s="32">
        <v>4.6500000000000007E-2</v>
      </c>
      <c r="N59" s="32">
        <v>1.8E-3</v>
      </c>
      <c r="O59" s="103">
        <v>357.22751999941471</v>
      </c>
      <c r="P59" s="94">
        <v>129.75</v>
      </c>
      <c r="Q59" s="124">
        <v>0</v>
      </c>
      <c r="R59" s="124">
        <v>0.46350253305169531</v>
      </c>
      <c r="S59" s="32">
        <v>7.0506978557604811E-6</v>
      </c>
      <c r="T59" s="32">
        <v>1.8098499532238456E-7</v>
      </c>
      <c r="U59" s="32">
        <v>3.9251496580373361E-8</v>
      </c>
    </row>
    <row r="60" spans="2:21" x14ac:dyDescent="0.2">
      <c r="B60" s="23" t="s">
        <v>786</v>
      </c>
      <c r="C60" s="32" t="s">
        <v>787</v>
      </c>
      <c r="D60" s="32" t="s">
        <v>423</v>
      </c>
      <c r="E60" s="32" t="s">
        <v>238</v>
      </c>
      <c r="F60" s="32" t="s">
        <v>788</v>
      </c>
      <c r="G60" s="32" t="s">
        <v>607</v>
      </c>
      <c r="H60" s="94" t="s">
        <v>587</v>
      </c>
      <c r="I60" s="94" t="s">
        <v>346</v>
      </c>
      <c r="J60" s="94" t="s">
        <v>789</v>
      </c>
      <c r="K60" s="94">
        <v>7.15</v>
      </c>
      <c r="L60" s="94" t="s">
        <v>244</v>
      </c>
      <c r="M60" s="32">
        <v>3.85E-2</v>
      </c>
      <c r="N60" s="32">
        <v>3.9000000000000003E-3</v>
      </c>
      <c r="O60" s="103">
        <v>14953872.608415956</v>
      </c>
      <c r="P60" s="94">
        <v>130</v>
      </c>
      <c r="Q60" s="124">
        <v>0</v>
      </c>
      <c r="R60" s="124">
        <v>19440.034390297737</v>
      </c>
      <c r="S60" s="32">
        <v>5.5513992891336478E-3</v>
      </c>
      <c r="T60" s="32">
        <v>7.5907989327053411E-3</v>
      </c>
      <c r="U60" s="32">
        <v>1.6462702768185471E-3</v>
      </c>
    </row>
    <row r="61" spans="2:21" x14ac:dyDescent="0.2">
      <c r="B61" s="23" t="s">
        <v>843</v>
      </c>
      <c r="C61" s="32" t="s">
        <v>844</v>
      </c>
      <c r="D61" s="32" t="s">
        <v>423</v>
      </c>
      <c r="E61" s="32" t="s">
        <v>238</v>
      </c>
      <c r="F61" s="32" t="s">
        <v>788</v>
      </c>
      <c r="G61" s="32" t="s">
        <v>607</v>
      </c>
      <c r="H61" s="94" t="s">
        <v>587</v>
      </c>
      <c r="I61" s="94" t="s">
        <v>346</v>
      </c>
      <c r="J61" s="94" t="s">
        <v>845</v>
      </c>
      <c r="K61" s="94">
        <v>5.09</v>
      </c>
      <c r="L61" s="94" t="s">
        <v>244</v>
      </c>
      <c r="M61" s="32">
        <v>4.4999999999999998E-2</v>
      </c>
      <c r="N61" s="32">
        <v>-5.9999999999999995E-4</v>
      </c>
      <c r="O61" s="103">
        <v>30762535.224683776</v>
      </c>
      <c r="P61" s="94">
        <v>129.97999999999999</v>
      </c>
      <c r="Q61" s="124">
        <v>0</v>
      </c>
      <c r="R61" s="124">
        <v>39985.143284701036</v>
      </c>
      <c r="S61" s="32">
        <v>1.0415058134405731E-2</v>
      </c>
      <c r="T61" s="32">
        <v>1.5613099075640582E-2</v>
      </c>
      <c r="U61" s="32">
        <v>3.3861232743902501E-3</v>
      </c>
    </row>
    <row r="62" spans="2:21" x14ac:dyDescent="0.2">
      <c r="B62" s="23" t="s">
        <v>933</v>
      </c>
      <c r="C62" s="32" t="s">
        <v>934</v>
      </c>
      <c r="D62" s="32" t="s">
        <v>423</v>
      </c>
      <c r="E62" s="32" t="s">
        <v>238</v>
      </c>
      <c r="F62" s="32" t="s">
        <v>788</v>
      </c>
      <c r="G62" s="32" t="s">
        <v>607</v>
      </c>
      <c r="H62" s="94" t="s">
        <v>587</v>
      </c>
      <c r="I62" s="94" t="s">
        <v>346</v>
      </c>
      <c r="J62" s="94" t="s">
        <v>935</v>
      </c>
      <c r="K62" s="94">
        <v>9.7899999999999991</v>
      </c>
      <c r="L62" s="94" t="s">
        <v>244</v>
      </c>
      <c r="M62" s="32">
        <v>2.3900000000000001E-2</v>
      </c>
      <c r="N62" s="32">
        <v>7.4000000000000003E-3</v>
      </c>
      <c r="O62" s="103">
        <v>9516815.2678125799</v>
      </c>
      <c r="P62" s="94">
        <v>118.42000000000002</v>
      </c>
      <c r="Q62" s="124">
        <v>0</v>
      </c>
      <c r="R62" s="124">
        <v>11269.812639243448</v>
      </c>
      <c r="S62" s="32">
        <v>7.6798739077030059E-3</v>
      </c>
      <c r="T62" s="32">
        <v>4.4005519762070813E-3</v>
      </c>
      <c r="U62" s="32">
        <v>9.5437884526377713E-4</v>
      </c>
    </row>
    <row r="63" spans="2:21" x14ac:dyDescent="0.2">
      <c r="B63" s="23" t="s">
        <v>1076</v>
      </c>
      <c r="C63" s="32" t="s">
        <v>1077</v>
      </c>
      <c r="D63" s="32" t="s">
        <v>423</v>
      </c>
      <c r="E63" s="32" t="s">
        <v>238</v>
      </c>
      <c r="F63" s="32" t="s">
        <v>766</v>
      </c>
      <c r="G63" s="32" t="s">
        <v>191</v>
      </c>
      <c r="H63" s="94" t="s">
        <v>572</v>
      </c>
      <c r="I63" s="94" t="s">
        <v>243</v>
      </c>
      <c r="J63" s="94" t="s">
        <v>1078</v>
      </c>
      <c r="K63" s="94">
        <v>3.48</v>
      </c>
      <c r="L63" s="94" t="s">
        <v>244</v>
      </c>
      <c r="M63" s="32">
        <v>1.6399999999999998E-2</v>
      </c>
      <c r="N63" s="32">
        <v>8.0000000000000002E-3</v>
      </c>
      <c r="O63" s="103">
        <v>115.84830549428271</v>
      </c>
      <c r="P63" s="94">
        <v>5194000</v>
      </c>
      <c r="Q63" s="124">
        <v>0</v>
      </c>
      <c r="R63" s="124">
        <v>6017.160987373044</v>
      </c>
      <c r="S63" s="32">
        <v>9.4369750321181747E-3</v>
      </c>
      <c r="T63" s="32">
        <v>2.3495359259067634E-3</v>
      </c>
      <c r="U63" s="32">
        <v>5.0956048150245417E-4</v>
      </c>
    </row>
    <row r="64" spans="2:21" x14ac:dyDescent="0.2">
      <c r="B64" s="23" t="s">
        <v>1088</v>
      </c>
      <c r="C64" s="32" t="s">
        <v>1089</v>
      </c>
      <c r="D64" s="32" t="s">
        <v>423</v>
      </c>
      <c r="E64" s="32" t="s">
        <v>238</v>
      </c>
      <c r="F64" s="32" t="s">
        <v>766</v>
      </c>
      <c r="G64" s="32" t="s">
        <v>191</v>
      </c>
      <c r="H64" s="94" t="s">
        <v>572</v>
      </c>
      <c r="I64" s="94" t="s">
        <v>243</v>
      </c>
      <c r="J64" s="94" t="s">
        <v>1090</v>
      </c>
      <c r="K64" s="94">
        <v>4.83</v>
      </c>
      <c r="L64" s="94" t="s">
        <v>244</v>
      </c>
      <c r="M64" s="32">
        <v>2.4199999999999999E-2</v>
      </c>
      <c r="N64" s="32">
        <v>1.0700000000000001E-2</v>
      </c>
      <c r="O64" s="103">
        <v>520.51361682306299</v>
      </c>
      <c r="P64" s="94">
        <v>5481000</v>
      </c>
      <c r="Q64" s="124">
        <v>0</v>
      </c>
      <c r="R64" s="124">
        <v>28529.351338072083</v>
      </c>
      <c r="S64" s="32">
        <v>1.8058967381017348E-2</v>
      </c>
      <c r="T64" s="32">
        <v>1.1139927293333173E-2</v>
      </c>
      <c r="U64" s="32">
        <v>2.4159948579217604E-3</v>
      </c>
    </row>
    <row r="65" spans="2:21" x14ac:dyDescent="0.2">
      <c r="B65" s="23" t="s">
        <v>1094</v>
      </c>
      <c r="C65" s="32" t="s">
        <v>1095</v>
      </c>
      <c r="D65" s="32" t="s">
        <v>423</v>
      </c>
      <c r="E65" s="32" t="s">
        <v>238</v>
      </c>
      <c r="F65" s="32" t="s">
        <v>766</v>
      </c>
      <c r="G65" s="32" t="s">
        <v>191</v>
      </c>
      <c r="H65" s="94" t="s">
        <v>572</v>
      </c>
      <c r="I65" s="94" t="s">
        <v>243</v>
      </c>
      <c r="J65" s="94" t="s">
        <v>1096</v>
      </c>
      <c r="K65" s="94">
        <v>4.55</v>
      </c>
      <c r="L65" s="94" t="s">
        <v>244</v>
      </c>
      <c r="M65" s="32">
        <v>1.95E-2</v>
      </c>
      <c r="N65" s="32">
        <v>9.5999999999999992E-3</v>
      </c>
      <c r="O65" s="103">
        <v>252.59431642000402</v>
      </c>
      <c r="P65" s="94">
        <v>5228000</v>
      </c>
      <c r="Q65" s="124">
        <v>0</v>
      </c>
      <c r="R65" s="124">
        <v>13205.630862437811</v>
      </c>
      <c r="S65" s="32">
        <v>1.0177457448728958E-2</v>
      </c>
      <c r="T65" s="32">
        <v>5.1564357677434331E-3</v>
      </c>
      <c r="U65" s="32">
        <v>1.1183127117470125E-3</v>
      </c>
    </row>
    <row r="66" spans="2:21" x14ac:dyDescent="0.2">
      <c r="B66" s="23" t="s">
        <v>1065</v>
      </c>
      <c r="C66" s="32" t="s">
        <v>1066</v>
      </c>
      <c r="D66" s="32" t="s">
        <v>423</v>
      </c>
      <c r="E66" s="32" t="s">
        <v>238</v>
      </c>
      <c r="F66" s="32" t="s">
        <v>766</v>
      </c>
      <c r="G66" s="32" t="s">
        <v>191</v>
      </c>
      <c r="H66" s="94" t="s">
        <v>572</v>
      </c>
      <c r="I66" s="94" t="s">
        <v>243</v>
      </c>
      <c r="J66" s="94" t="s">
        <v>1067</v>
      </c>
      <c r="K66" s="94">
        <v>0.6</v>
      </c>
      <c r="L66" s="94" t="s">
        <v>244</v>
      </c>
      <c r="M66" s="32">
        <v>0.05</v>
      </c>
      <c r="N66" s="32">
        <v>-1.1000000000000001E-3</v>
      </c>
      <c r="O66" s="103">
        <v>1971738.9096867328</v>
      </c>
      <c r="P66" s="94">
        <v>115.10000000000001</v>
      </c>
      <c r="Q66" s="124">
        <v>0</v>
      </c>
      <c r="R66" s="124">
        <v>2269.4714842992557</v>
      </c>
      <c r="S66" s="32">
        <v>1.9717408814276141E-3</v>
      </c>
      <c r="T66" s="32">
        <v>8.8616621632222074E-4</v>
      </c>
      <c r="U66" s="32">
        <v>1.9218913782137156E-4</v>
      </c>
    </row>
    <row r="67" spans="2:21" x14ac:dyDescent="0.2">
      <c r="B67" s="23" t="s">
        <v>1048</v>
      </c>
      <c r="C67" s="32" t="s">
        <v>1049</v>
      </c>
      <c r="D67" s="32" t="s">
        <v>423</v>
      </c>
      <c r="E67" s="32" t="s">
        <v>238</v>
      </c>
      <c r="F67" s="32" t="s">
        <v>766</v>
      </c>
      <c r="G67" s="32" t="s">
        <v>191</v>
      </c>
      <c r="H67" s="94" t="s">
        <v>572</v>
      </c>
      <c r="I67" s="94" t="s">
        <v>243</v>
      </c>
      <c r="J67" s="94" t="s">
        <v>1050</v>
      </c>
      <c r="K67" s="94">
        <v>1.07</v>
      </c>
      <c r="L67" s="94" t="s">
        <v>244</v>
      </c>
      <c r="M67" s="32">
        <v>0.04</v>
      </c>
      <c r="N67" s="32">
        <v>-3.4999999999999996E-3</v>
      </c>
      <c r="O67" s="103">
        <v>3262300.2855036594</v>
      </c>
      <c r="P67" s="94">
        <v>114.85000000000001</v>
      </c>
      <c r="Q67" s="124">
        <v>0</v>
      </c>
      <c r="R67" s="124">
        <v>3746.7518776866168</v>
      </c>
      <c r="S67" s="32">
        <v>2.4165223100357626E-3</v>
      </c>
      <c r="T67" s="32">
        <v>1.4630035926505227E-3</v>
      </c>
      <c r="U67" s="32">
        <v>3.1729194131096844E-4</v>
      </c>
    </row>
    <row r="68" spans="2:21" x14ac:dyDescent="0.2">
      <c r="B68" s="23" t="s">
        <v>695</v>
      </c>
      <c r="C68" s="32" t="s">
        <v>696</v>
      </c>
      <c r="D68" s="32" t="s">
        <v>423</v>
      </c>
      <c r="E68" s="32" t="s">
        <v>238</v>
      </c>
      <c r="F68" s="32" t="s">
        <v>665</v>
      </c>
      <c r="G68" s="32" t="s">
        <v>581</v>
      </c>
      <c r="H68" s="94" t="s">
        <v>572</v>
      </c>
      <c r="I68" s="94" t="s">
        <v>243</v>
      </c>
      <c r="J68" s="94" t="s">
        <v>697</v>
      </c>
      <c r="K68" s="94">
        <v>1.94</v>
      </c>
      <c r="L68" s="94" t="s">
        <v>244</v>
      </c>
      <c r="M68" s="32">
        <v>2.5499999999999998E-2</v>
      </c>
      <c r="N68" s="32">
        <v>-1E-3</v>
      </c>
      <c r="O68" s="103">
        <v>1114856.9107765621</v>
      </c>
      <c r="P68" s="94">
        <v>107.1</v>
      </c>
      <c r="Q68" s="124">
        <v>27.363332249999999</v>
      </c>
      <c r="R68" s="124">
        <v>1207.8067688081092</v>
      </c>
      <c r="S68" s="32">
        <v>1.0117518073940429E-3</v>
      </c>
      <c r="T68" s="32">
        <v>4.7161533500982993E-4</v>
      </c>
      <c r="U68" s="32">
        <v>1.022825548406135E-4</v>
      </c>
    </row>
    <row r="69" spans="2:21" x14ac:dyDescent="0.2">
      <c r="B69" s="23" t="s">
        <v>850</v>
      </c>
      <c r="C69" s="32" t="s">
        <v>851</v>
      </c>
      <c r="D69" s="32" t="s">
        <v>423</v>
      </c>
      <c r="E69" s="32" t="s">
        <v>238</v>
      </c>
      <c r="F69" s="32" t="s">
        <v>665</v>
      </c>
      <c r="G69" s="32" t="s">
        <v>581</v>
      </c>
      <c r="H69" s="94" t="s">
        <v>572</v>
      </c>
      <c r="I69" s="94" t="s">
        <v>243</v>
      </c>
      <c r="J69" s="94" t="s">
        <v>852</v>
      </c>
      <c r="K69" s="94">
        <v>6.25</v>
      </c>
      <c r="L69" s="94" t="s">
        <v>244</v>
      </c>
      <c r="M69" s="32">
        <v>2.35E-2</v>
      </c>
      <c r="N69" s="32">
        <v>4.4000000000000003E-3</v>
      </c>
      <c r="O69" s="103">
        <v>7853286.8922068849</v>
      </c>
      <c r="P69" s="94">
        <v>115.23</v>
      </c>
      <c r="Q69" s="124">
        <v>0</v>
      </c>
      <c r="R69" s="124">
        <v>9049.342485802008</v>
      </c>
      <c r="S69" s="32">
        <v>9.8995322451003332E-3</v>
      </c>
      <c r="T69" s="32">
        <v>3.5335194323109897E-3</v>
      </c>
      <c r="U69" s="32">
        <v>7.663393623707958E-4</v>
      </c>
    </row>
    <row r="70" spans="2:21" x14ac:dyDescent="0.2">
      <c r="B70" s="23" t="s">
        <v>747</v>
      </c>
      <c r="C70" s="32" t="s">
        <v>748</v>
      </c>
      <c r="D70" s="32" t="s">
        <v>423</v>
      </c>
      <c r="E70" s="32" t="s">
        <v>238</v>
      </c>
      <c r="F70" s="32" t="s">
        <v>665</v>
      </c>
      <c r="G70" s="32" t="s">
        <v>581</v>
      </c>
      <c r="H70" s="94" t="s">
        <v>572</v>
      </c>
      <c r="I70" s="94" t="s">
        <v>243</v>
      </c>
      <c r="J70" s="94" t="s">
        <v>749</v>
      </c>
      <c r="K70" s="94">
        <v>5.03</v>
      </c>
      <c r="L70" s="94" t="s">
        <v>244</v>
      </c>
      <c r="M70" s="32">
        <v>1.7600000000000001E-2</v>
      </c>
      <c r="N70" s="32">
        <v>1.9E-3</v>
      </c>
      <c r="O70" s="103">
        <v>26937401.406951454</v>
      </c>
      <c r="P70" s="94">
        <v>110.5</v>
      </c>
      <c r="Q70" s="124">
        <v>541.61681849999991</v>
      </c>
      <c r="R70" s="124">
        <v>29983.903763190909</v>
      </c>
      <c r="S70" s="32">
        <v>2.1079585521214996E-2</v>
      </c>
      <c r="T70" s="32">
        <v>1.170789002294987E-2</v>
      </c>
      <c r="U70" s="32">
        <v>2.539172953982257E-3</v>
      </c>
    </row>
    <row r="71" spans="2:21" x14ac:dyDescent="0.2">
      <c r="B71" s="23" t="s">
        <v>800</v>
      </c>
      <c r="C71" s="32" t="s">
        <v>801</v>
      </c>
      <c r="D71" s="32" t="s">
        <v>423</v>
      </c>
      <c r="E71" s="32" t="s">
        <v>238</v>
      </c>
      <c r="F71" s="32" t="s">
        <v>665</v>
      </c>
      <c r="G71" s="32" t="s">
        <v>581</v>
      </c>
      <c r="H71" s="94" t="s">
        <v>572</v>
      </c>
      <c r="I71" s="94" t="s">
        <v>243</v>
      </c>
      <c r="J71" s="94" t="s">
        <v>802</v>
      </c>
      <c r="K71" s="94">
        <v>5.59</v>
      </c>
      <c r="L71" s="94" t="s">
        <v>244</v>
      </c>
      <c r="M71" s="32">
        <v>2.1499999999999998E-2</v>
      </c>
      <c r="N71" s="32">
        <v>2.8999999999999998E-3</v>
      </c>
      <c r="O71" s="103">
        <v>1452638.1620793138</v>
      </c>
      <c r="P71" s="94">
        <v>113.99</v>
      </c>
      <c r="Q71" s="124">
        <v>0</v>
      </c>
      <c r="R71" s="124">
        <v>1655.8622399116823</v>
      </c>
      <c r="S71" s="32">
        <v>1.1522463770353326E-3</v>
      </c>
      <c r="T71" s="32">
        <v>6.4656867735284724E-4</v>
      </c>
      <c r="U71" s="32">
        <v>1.402259241595423E-4</v>
      </c>
    </row>
    <row r="72" spans="2:21" x14ac:dyDescent="0.2">
      <c r="B72" s="23" t="s">
        <v>1042</v>
      </c>
      <c r="C72" s="32" t="s">
        <v>1043</v>
      </c>
      <c r="D72" s="32" t="s">
        <v>423</v>
      </c>
      <c r="E72" s="32" t="s">
        <v>238</v>
      </c>
      <c r="F72" s="32" t="s">
        <v>657</v>
      </c>
      <c r="G72" s="32" t="s">
        <v>191</v>
      </c>
      <c r="H72" s="94" t="s">
        <v>572</v>
      </c>
      <c r="I72" s="94" t="s">
        <v>243</v>
      </c>
      <c r="J72" s="94" t="s">
        <v>1044</v>
      </c>
      <c r="K72" s="94">
        <v>0.49</v>
      </c>
      <c r="L72" s="94" t="s">
        <v>244</v>
      </c>
      <c r="M72" s="32">
        <v>6.5000000000000002E-2</v>
      </c>
      <c r="N72" s="32">
        <v>-5.1000000000000004E-3</v>
      </c>
      <c r="O72" s="103">
        <v>25442159.5707771</v>
      </c>
      <c r="P72" s="94">
        <v>115.76000000000002</v>
      </c>
      <c r="Q72" s="124">
        <v>462.37352970000001</v>
      </c>
      <c r="R72" s="124">
        <v>29914.217448396113</v>
      </c>
      <c r="S72" s="32">
        <v>1.6153752108429904E-2</v>
      </c>
      <c r="T72" s="32">
        <v>1.168067943302249E-2</v>
      </c>
      <c r="U72" s="32">
        <v>2.5332716008033269E-3</v>
      </c>
    </row>
    <row r="73" spans="2:21" x14ac:dyDescent="0.2">
      <c r="B73" s="23" t="s">
        <v>706</v>
      </c>
      <c r="C73" s="32" t="s">
        <v>707</v>
      </c>
      <c r="D73" s="32" t="s">
        <v>423</v>
      </c>
      <c r="E73" s="32" t="s">
        <v>238</v>
      </c>
      <c r="F73" s="32" t="s">
        <v>708</v>
      </c>
      <c r="G73" s="32" t="s">
        <v>581</v>
      </c>
      <c r="H73" s="94" t="s">
        <v>572</v>
      </c>
      <c r="I73" s="94" t="s">
        <v>243</v>
      </c>
      <c r="J73" s="94" t="s">
        <v>709</v>
      </c>
      <c r="K73" s="94">
        <v>3.08</v>
      </c>
      <c r="L73" s="94" t="s">
        <v>244</v>
      </c>
      <c r="M73" s="32">
        <v>0.04</v>
      </c>
      <c r="N73" s="32">
        <v>-2.3E-3</v>
      </c>
      <c r="O73" s="103">
        <v>10362887.640307171</v>
      </c>
      <c r="P73" s="94">
        <v>115.32</v>
      </c>
      <c r="Q73" s="124">
        <v>0</v>
      </c>
      <c r="R73" s="124">
        <v>11950.482026651338</v>
      </c>
      <c r="S73" s="32">
        <v>1.5642865101233035E-2</v>
      </c>
      <c r="T73" s="32">
        <v>4.6663346572315394E-3</v>
      </c>
      <c r="U73" s="32">
        <v>1.0120210159684318E-3</v>
      </c>
    </row>
    <row r="74" spans="2:21" x14ac:dyDescent="0.2">
      <c r="B74" s="23" t="s">
        <v>780</v>
      </c>
      <c r="C74" s="32" t="s">
        <v>781</v>
      </c>
      <c r="D74" s="32" t="s">
        <v>423</v>
      </c>
      <c r="E74" s="32" t="s">
        <v>238</v>
      </c>
      <c r="F74" s="32" t="s">
        <v>708</v>
      </c>
      <c r="G74" s="32" t="s">
        <v>581</v>
      </c>
      <c r="H74" s="94" t="s">
        <v>572</v>
      </c>
      <c r="I74" s="94" t="s">
        <v>243</v>
      </c>
      <c r="J74" s="94" t="s">
        <v>782</v>
      </c>
      <c r="K74" s="94">
        <v>5.82</v>
      </c>
      <c r="L74" s="94" t="s">
        <v>244</v>
      </c>
      <c r="M74" s="32">
        <v>0.04</v>
      </c>
      <c r="N74" s="32">
        <v>2.3999999999999998E-3</v>
      </c>
      <c r="O74" s="103">
        <v>20046213.155449543</v>
      </c>
      <c r="P74" s="94">
        <v>126.6</v>
      </c>
      <c r="Q74" s="124">
        <v>0</v>
      </c>
      <c r="R74" s="124">
        <v>25378.505854479765</v>
      </c>
      <c r="S74" s="32">
        <v>1.992265329799376E-2</v>
      </c>
      <c r="T74" s="32">
        <v>9.9096087633459579E-3</v>
      </c>
      <c r="U74" s="32">
        <v>2.1491669726236341E-3</v>
      </c>
    </row>
    <row r="75" spans="2:21" x14ac:dyDescent="0.2">
      <c r="B75" s="23" t="s">
        <v>806</v>
      </c>
      <c r="C75" s="32" t="s">
        <v>807</v>
      </c>
      <c r="D75" s="32" t="s">
        <v>423</v>
      </c>
      <c r="E75" s="32" t="s">
        <v>238</v>
      </c>
      <c r="F75" s="32" t="s">
        <v>708</v>
      </c>
      <c r="G75" s="32" t="s">
        <v>581</v>
      </c>
      <c r="H75" s="94" t="s">
        <v>572</v>
      </c>
      <c r="I75" s="94" t="s">
        <v>243</v>
      </c>
      <c r="J75" s="94" t="s">
        <v>808</v>
      </c>
      <c r="K75" s="94">
        <v>7.27</v>
      </c>
      <c r="L75" s="94" t="s">
        <v>244</v>
      </c>
      <c r="M75" s="32">
        <v>3.5000000000000003E-2</v>
      </c>
      <c r="N75" s="32">
        <v>5.3E-3</v>
      </c>
      <c r="O75" s="103">
        <v>5093819.8473756071</v>
      </c>
      <c r="P75" s="94">
        <v>127.3</v>
      </c>
      <c r="Q75" s="124">
        <v>0</v>
      </c>
      <c r="R75" s="124">
        <v>6484.4326648700235</v>
      </c>
      <c r="S75" s="32">
        <v>1.1524158597793788E-2</v>
      </c>
      <c r="T75" s="32">
        <v>2.53199266850377E-3</v>
      </c>
      <c r="U75" s="32">
        <v>5.4913116632831767E-4</v>
      </c>
    </row>
    <row r="76" spans="2:21" x14ac:dyDescent="0.2">
      <c r="B76" s="23" t="s">
        <v>691</v>
      </c>
      <c r="C76" s="32" t="s">
        <v>692</v>
      </c>
      <c r="D76" s="32" t="s">
        <v>423</v>
      </c>
      <c r="E76" s="32" t="s">
        <v>238</v>
      </c>
      <c r="F76" s="32" t="s">
        <v>693</v>
      </c>
      <c r="G76" s="32" t="s">
        <v>194</v>
      </c>
      <c r="H76" s="94" t="s">
        <v>572</v>
      </c>
      <c r="I76" s="94" t="s">
        <v>243</v>
      </c>
      <c r="J76" s="94" t="s">
        <v>694</v>
      </c>
      <c r="K76" s="94">
        <v>5.04</v>
      </c>
      <c r="L76" s="94" t="s">
        <v>244</v>
      </c>
      <c r="M76" s="32">
        <v>2.9900000000000003E-2</v>
      </c>
      <c r="N76" s="32">
        <v>2.5000000000000001E-3</v>
      </c>
      <c r="O76" s="103">
        <v>516322.24442046951</v>
      </c>
      <c r="P76" s="94">
        <v>115.43</v>
      </c>
      <c r="Q76" s="124">
        <v>0</v>
      </c>
      <c r="R76" s="124">
        <v>595.99076616870241</v>
      </c>
      <c r="S76" s="32">
        <v>1.7487925093412912E-3</v>
      </c>
      <c r="T76" s="32">
        <v>2.3271800763858297E-4</v>
      </c>
      <c r="U76" s="32">
        <v>5.0471201022747803E-5</v>
      </c>
    </row>
    <row r="77" spans="2:21" x14ac:dyDescent="0.2">
      <c r="B77" s="23" t="s">
        <v>794</v>
      </c>
      <c r="C77" s="32" t="s">
        <v>795</v>
      </c>
      <c r="D77" s="32" t="s">
        <v>423</v>
      </c>
      <c r="E77" s="32" t="s">
        <v>238</v>
      </c>
      <c r="F77" s="32" t="s">
        <v>693</v>
      </c>
      <c r="G77" s="32" t="s">
        <v>194</v>
      </c>
      <c r="H77" s="94" t="s">
        <v>572</v>
      </c>
      <c r="I77" s="94" t="s">
        <v>243</v>
      </c>
      <c r="J77" s="94" t="s">
        <v>796</v>
      </c>
      <c r="K77" s="94">
        <v>4.53</v>
      </c>
      <c r="L77" s="94" t="s">
        <v>244</v>
      </c>
      <c r="M77" s="32">
        <v>4.2999999999999997E-2</v>
      </c>
      <c r="N77" s="32">
        <v>1E-3</v>
      </c>
      <c r="O77" s="103">
        <v>1396295.0847146725</v>
      </c>
      <c r="P77" s="94">
        <v>121.68</v>
      </c>
      <c r="Q77" s="124">
        <v>0</v>
      </c>
      <c r="R77" s="124">
        <v>1699.0118585235414</v>
      </c>
      <c r="S77" s="32">
        <v>1.5212930169282938E-3</v>
      </c>
      <c r="T77" s="32">
        <v>6.634174170376399E-4</v>
      </c>
      <c r="U77" s="32">
        <v>1.4388002955619802E-4</v>
      </c>
    </row>
    <row r="78" spans="2:21" x14ac:dyDescent="0.2">
      <c r="B78" s="23" t="s">
        <v>921</v>
      </c>
      <c r="C78" s="32" t="s">
        <v>922</v>
      </c>
      <c r="D78" s="32" t="s">
        <v>423</v>
      </c>
      <c r="E78" s="32" t="s">
        <v>238</v>
      </c>
      <c r="F78" s="32" t="s">
        <v>923</v>
      </c>
      <c r="G78" s="32" t="s">
        <v>191</v>
      </c>
      <c r="H78" s="94" t="s">
        <v>345</v>
      </c>
      <c r="I78" s="94" t="s">
        <v>346</v>
      </c>
      <c r="J78" s="94" t="s">
        <v>793</v>
      </c>
      <c r="K78" s="94">
        <v>2.65</v>
      </c>
      <c r="L78" s="94" t="s">
        <v>244</v>
      </c>
      <c r="M78" s="32">
        <v>9.4999999999999998E-3</v>
      </c>
      <c r="N78" s="32">
        <v>-3.0000000000000001E-3</v>
      </c>
      <c r="O78" s="103">
        <v>28475.995745235417</v>
      </c>
      <c r="P78" s="94">
        <v>105.60000000000001</v>
      </c>
      <c r="Q78" s="124">
        <v>0</v>
      </c>
      <c r="R78" s="124">
        <v>30.070651421234423</v>
      </c>
      <c r="S78" s="32">
        <v>4.5200262295585758E-5</v>
      </c>
      <c r="T78" s="32">
        <v>1.1741762598320416E-5</v>
      </c>
      <c r="U78" s="32">
        <v>2.5465191390842719E-6</v>
      </c>
    </row>
    <row r="79" spans="2:21" x14ac:dyDescent="0.2">
      <c r="B79" s="23" t="s">
        <v>617</v>
      </c>
      <c r="C79" s="32" t="s">
        <v>618</v>
      </c>
      <c r="D79" s="32" t="s">
        <v>423</v>
      </c>
      <c r="E79" s="32" t="s">
        <v>238</v>
      </c>
      <c r="F79" s="32" t="s">
        <v>619</v>
      </c>
      <c r="G79" s="32" t="s">
        <v>203</v>
      </c>
      <c r="H79" s="94" t="s">
        <v>567</v>
      </c>
      <c r="I79" s="94" t="s">
        <v>243</v>
      </c>
      <c r="J79" s="94" t="s">
        <v>620</v>
      </c>
      <c r="K79" s="94">
        <v>7.72</v>
      </c>
      <c r="L79" s="94" t="s">
        <v>244</v>
      </c>
      <c r="M79" s="32">
        <v>5.1500000000000004E-2</v>
      </c>
      <c r="N79" s="32">
        <v>1.1699999999999999E-2</v>
      </c>
      <c r="O79" s="103">
        <v>20831653.035788111</v>
      </c>
      <c r="P79" s="94">
        <v>162.05000000000001</v>
      </c>
      <c r="Q79" s="124">
        <v>0</v>
      </c>
      <c r="R79" s="124">
        <v>33757.693743744465</v>
      </c>
      <c r="S79" s="32">
        <v>5.8663824205505092E-3</v>
      </c>
      <c r="T79" s="32">
        <v>1.3181451251367084E-2</v>
      </c>
      <c r="U79" s="32">
        <v>2.8587546044674859E-3</v>
      </c>
    </row>
    <row r="80" spans="2:21" x14ac:dyDescent="0.2">
      <c r="B80" s="23" t="s">
        <v>777</v>
      </c>
      <c r="C80" s="32" t="s">
        <v>778</v>
      </c>
      <c r="D80" s="32" t="s">
        <v>423</v>
      </c>
      <c r="E80" s="32" t="s">
        <v>238</v>
      </c>
      <c r="F80" s="32" t="s">
        <v>653</v>
      </c>
      <c r="G80" s="32" t="s">
        <v>197</v>
      </c>
      <c r="H80" s="94" t="s">
        <v>567</v>
      </c>
      <c r="I80" s="94" t="s">
        <v>243</v>
      </c>
      <c r="J80" s="94" t="s">
        <v>779</v>
      </c>
      <c r="K80" s="94">
        <v>4.5199999999999996</v>
      </c>
      <c r="L80" s="94" t="s">
        <v>244</v>
      </c>
      <c r="M80" s="32">
        <v>2.2000000000000002E-2</v>
      </c>
      <c r="N80" s="32">
        <v>5.1999999999999998E-3</v>
      </c>
      <c r="O80" s="103">
        <v>7525000.2422325751</v>
      </c>
      <c r="P80" s="94">
        <v>108.87</v>
      </c>
      <c r="Q80" s="124">
        <v>0</v>
      </c>
      <c r="R80" s="124">
        <v>8192.4677635800363</v>
      </c>
      <c r="S80" s="32">
        <v>8.5348059859488481E-3</v>
      </c>
      <c r="T80" s="32">
        <v>3.1989334127435053E-3</v>
      </c>
      <c r="U80" s="32">
        <v>6.9377532478579981E-4</v>
      </c>
    </row>
    <row r="81" spans="2:21" x14ac:dyDescent="0.2">
      <c r="B81" s="23" t="s">
        <v>651</v>
      </c>
      <c r="C81" s="32" t="s">
        <v>652</v>
      </c>
      <c r="D81" s="32" t="s">
        <v>423</v>
      </c>
      <c r="E81" s="32" t="s">
        <v>238</v>
      </c>
      <c r="F81" s="32" t="s">
        <v>653</v>
      </c>
      <c r="G81" s="32" t="s">
        <v>197</v>
      </c>
      <c r="H81" s="94" t="s">
        <v>567</v>
      </c>
      <c r="I81" s="94" t="s">
        <v>243</v>
      </c>
      <c r="J81" s="94" t="s">
        <v>654</v>
      </c>
      <c r="K81" s="94">
        <v>1.88</v>
      </c>
      <c r="L81" s="94" t="s">
        <v>244</v>
      </c>
      <c r="M81" s="32">
        <v>3.7000000000000005E-2</v>
      </c>
      <c r="N81" s="32">
        <v>-2.0999999999999999E-3</v>
      </c>
      <c r="O81" s="103">
        <v>10853689.586492902</v>
      </c>
      <c r="P81" s="94">
        <v>112.45</v>
      </c>
      <c r="Q81" s="124">
        <v>0</v>
      </c>
      <c r="R81" s="124">
        <v>12204.973939387017</v>
      </c>
      <c r="S81" s="32">
        <v>7.2358462893711362E-3</v>
      </c>
      <c r="T81" s="32">
        <v>4.7657067519918384E-3</v>
      </c>
      <c r="U81" s="32">
        <v>1.0335725453132845E-3</v>
      </c>
    </row>
    <row r="82" spans="2:21" x14ac:dyDescent="0.2">
      <c r="B82" s="23" t="s">
        <v>628</v>
      </c>
      <c r="C82" s="32" t="s">
        <v>629</v>
      </c>
      <c r="D82" s="32" t="s">
        <v>423</v>
      </c>
      <c r="E82" s="32" t="s">
        <v>238</v>
      </c>
      <c r="F82" s="32" t="s">
        <v>630</v>
      </c>
      <c r="G82" s="32" t="s">
        <v>581</v>
      </c>
      <c r="H82" s="94" t="s">
        <v>345</v>
      </c>
      <c r="I82" s="94" t="s">
        <v>346</v>
      </c>
      <c r="J82" s="94" t="s">
        <v>631</v>
      </c>
      <c r="K82" s="94">
        <v>0.02</v>
      </c>
      <c r="L82" s="94" t="s">
        <v>244</v>
      </c>
      <c r="M82" s="32">
        <v>3.7699999999999997E-2</v>
      </c>
      <c r="N82" s="32">
        <v>1.6000000000000001E-3</v>
      </c>
      <c r="O82" s="103">
        <v>3444034.8284567073</v>
      </c>
      <c r="P82" s="94">
        <v>111.76000000000002</v>
      </c>
      <c r="Q82" s="124">
        <v>0</v>
      </c>
      <c r="R82" s="124">
        <v>3849.0533238674052</v>
      </c>
      <c r="S82" s="32">
        <v>1.0088626452281268E-2</v>
      </c>
      <c r="T82" s="32">
        <v>1.5029494946429034E-3</v>
      </c>
      <c r="U82" s="32">
        <v>3.259552917321507E-4</v>
      </c>
    </row>
    <row r="83" spans="2:21" x14ac:dyDescent="0.2">
      <c r="B83" s="23" t="s">
        <v>741</v>
      </c>
      <c r="C83" s="32" t="s">
        <v>742</v>
      </c>
      <c r="D83" s="32" t="s">
        <v>423</v>
      </c>
      <c r="E83" s="32" t="s">
        <v>238</v>
      </c>
      <c r="F83" s="32" t="s">
        <v>630</v>
      </c>
      <c r="G83" s="32" t="s">
        <v>581</v>
      </c>
      <c r="H83" s="94" t="s">
        <v>345</v>
      </c>
      <c r="I83" s="94" t="s">
        <v>346</v>
      </c>
      <c r="J83" s="94" t="s">
        <v>743</v>
      </c>
      <c r="K83" s="94">
        <v>1.95</v>
      </c>
      <c r="L83" s="94" t="s">
        <v>244</v>
      </c>
      <c r="M83" s="32">
        <v>2.8500000000000001E-2</v>
      </c>
      <c r="N83" s="32">
        <v>1.2999999999999999E-3</v>
      </c>
      <c r="O83" s="103">
        <v>493354.52267174434</v>
      </c>
      <c r="P83" s="94">
        <v>108.35</v>
      </c>
      <c r="Q83" s="124">
        <v>0</v>
      </c>
      <c r="R83" s="124">
        <v>534.54962497672091</v>
      </c>
      <c r="S83" s="32">
        <v>1.1524224981758718E-3</v>
      </c>
      <c r="T83" s="32">
        <v>2.0872693130504218E-4</v>
      </c>
      <c r="U83" s="32">
        <v>4.5268086538101996E-5</v>
      </c>
    </row>
    <row r="84" spans="2:21" x14ac:dyDescent="0.2">
      <c r="B84" s="23" t="s">
        <v>774</v>
      </c>
      <c r="C84" s="32" t="s">
        <v>775</v>
      </c>
      <c r="D84" s="32" t="s">
        <v>423</v>
      </c>
      <c r="E84" s="32" t="s">
        <v>238</v>
      </c>
      <c r="F84" s="32" t="s">
        <v>630</v>
      </c>
      <c r="G84" s="32" t="s">
        <v>581</v>
      </c>
      <c r="H84" s="94" t="s">
        <v>345</v>
      </c>
      <c r="I84" s="94" t="s">
        <v>346</v>
      </c>
      <c r="J84" s="94" t="s">
        <v>776</v>
      </c>
      <c r="K84" s="94">
        <v>3.89</v>
      </c>
      <c r="L84" s="94" t="s">
        <v>244</v>
      </c>
      <c r="M84" s="32">
        <v>2.5000000000000001E-2</v>
      </c>
      <c r="N84" s="32">
        <v>4.0999999999999995E-3</v>
      </c>
      <c r="O84" s="103">
        <v>89240.881831069579</v>
      </c>
      <c r="P84" s="94">
        <v>109.61000000000001</v>
      </c>
      <c r="Q84" s="124">
        <v>0</v>
      </c>
      <c r="R84" s="124">
        <v>97.816930411497438</v>
      </c>
      <c r="S84" s="32">
        <v>1.9716621837476123E-4</v>
      </c>
      <c r="T84" s="32">
        <v>3.8194821884609605E-5</v>
      </c>
      <c r="U84" s="32">
        <v>8.283581287615722E-6</v>
      </c>
    </row>
    <row r="85" spans="2:21" x14ac:dyDescent="0.2">
      <c r="B85" s="23" t="s">
        <v>813</v>
      </c>
      <c r="C85" s="32" t="s">
        <v>814</v>
      </c>
      <c r="D85" s="32" t="s">
        <v>423</v>
      </c>
      <c r="E85" s="32" t="s">
        <v>238</v>
      </c>
      <c r="F85" s="32" t="s">
        <v>630</v>
      </c>
      <c r="G85" s="32" t="s">
        <v>581</v>
      </c>
      <c r="H85" s="94" t="s">
        <v>345</v>
      </c>
      <c r="I85" s="94" t="s">
        <v>346</v>
      </c>
      <c r="J85" s="94" t="s">
        <v>815</v>
      </c>
      <c r="K85" s="94">
        <v>4.91</v>
      </c>
      <c r="L85" s="94" t="s">
        <v>244</v>
      </c>
      <c r="M85" s="32">
        <v>1.34E-2</v>
      </c>
      <c r="N85" s="32">
        <v>1.6000000000000001E-3</v>
      </c>
      <c r="O85" s="103">
        <v>5933412.6794674816</v>
      </c>
      <c r="P85" s="94">
        <v>107.91999999999999</v>
      </c>
      <c r="Q85" s="124">
        <v>0</v>
      </c>
      <c r="R85" s="124">
        <v>6403.3389635501326</v>
      </c>
      <c r="S85" s="32">
        <v>1.5072133443323928E-2</v>
      </c>
      <c r="T85" s="32">
        <v>2.5003278077803046E-3</v>
      </c>
      <c r="U85" s="32">
        <v>5.4226378392354334E-4</v>
      </c>
    </row>
    <row r="86" spans="2:21" x14ac:dyDescent="0.2">
      <c r="B86" s="23" t="s">
        <v>860</v>
      </c>
      <c r="C86" s="32" t="s">
        <v>861</v>
      </c>
      <c r="D86" s="32" t="s">
        <v>423</v>
      </c>
      <c r="E86" s="32" t="s">
        <v>238</v>
      </c>
      <c r="F86" s="32" t="s">
        <v>630</v>
      </c>
      <c r="G86" s="32" t="s">
        <v>581</v>
      </c>
      <c r="H86" s="94" t="s">
        <v>345</v>
      </c>
      <c r="I86" s="94" t="s">
        <v>346</v>
      </c>
      <c r="J86" s="94" t="s">
        <v>862</v>
      </c>
      <c r="K86" s="94">
        <v>5.04</v>
      </c>
      <c r="L86" s="94" t="s">
        <v>244</v>
      </c>
      <c r="M86" s="32">
        <v>1.95E-2</v>
      </c>
      <c r="N86" s="32">
        <v>5.6000000000000008E-3</v>
      </c>
      <c r="O86" s="103">
        <v>2960163.1958249458</v>
      </c>
      <c r="P86" s="94">
        <v>108.87</v>
      </c>
      <c r="Q86" s="124">
        <v>0</v>
      </c>
      <c r="R86" s="124">
        <v>3222.729671152943</v>
      </c>
      <c r="S86" s="32">
        <v>4.5232055397915107E-3</v>
      </c>
      <c r="T86" s="32">
        <v>1.2583873287999325E-3</v>
      </c>
      <c r="U86" s="32">
        <v>2.7291536431068235E-4</v>
      </c>
    </row>
    <row r="87" spans="2:21" x14ac:dyDescent="0.2">
      <c r="B87" s="23" t="s">
        <v>942</v>
      </c>
      <c r="C87" s="32" t="s">
        <v>943</v>
      </c>
      <c r="D87" s="32" t="s">
        <v>423</v>
      </c>
      <c r="E87" s="32" t="s">
        <v>238</v>
      </c>
      <c r="F87" s="32" t="s">
        <v>630</v>
      </c>
      <c r="G87" s="32" t="s">
        <v>581</v>
      </c>
      <c r="H87" s="94" t="s">
        <v>567</v>
      </c>
      <c r="I87" s="94" t="s">
        <v>243</v>
      </c>
      <c r="J87" s="94" t="s">
        <v>944</v>
      </c>
      <c r="K87" s="94">
        <v>5.96</v>
      </c>
      <c r="L87" s="94" t="s">
        <v>244</v>
      </c>
      <c r="M87" s="32">
        <v>3.3500000000000002E-2</v>
      </c>
      <c r="N87" s="32">
        <v>8.3999999999999995E-3</v>
      </c>
      <c r="O87" s="103">
        <v>4530680.729607936</v>
      </c>
      <c r="P87" s="94">
        <v>117.36999999999999</v>
      </c>
      <c r="Q87" s="124">
        <v>0</v>
      </c>
      <c r="R87" s="124">
        <v>5317.6599713656096</v>
      </c>
      <c r="S87" s="32">
        <v>9.149729547182562E-3</v>
      </c>
      <c r="T87" s="32">
        <v>2.0764000116829918E-3</v>
      </c>
      <c r="U87" s="32">
        <v>4.5032356308259035E-4</v>
      </c>
    </row>
    <row r="88" spans="2:21" x14ac:dyDescent="0.2">
      <c r="B88" s="23" t="s">
        <v>1085</v>
      </c>
      <c r="C88" s="32" t="s">
        <v>1086</v>
      </c>
      <c r="D88" s="32" t="s">
        <v>423</v>
      </c>
      <c r="E88" s="32" t="s">
        <v>238</v>
      </c>
      <c r="F88" s="32" t="s">
        <v>999</v>
      </c>
      <c r="G88" s="32" t="s">
        <v>191</v>
      </c>
      <c r="H88" s="94" t="s">
        <v>567</v>
      </c>
      <c r="I88" s="94" t="s">
        <v>243</v>
      </c>
      <c r="J88" s="94" t="s">
        <v>1087</v>
      </c>
      <c r="K88" s="94">
        <v>1.46</v>
      </c>
      <c r="L88" s="94" t="s">
        <v>244</v>
      </c>
      <c r="M88" s="32">
        <v>2.7999999999999997E-2</v>
      </c>
      <c r="N88" s="32">
        <v>5.5000000000000005E-3</v>
      </c>
      <c r="O88" s="103">
        <v>45.224777908036359</v>
      </c>
      <c r="P88" s="94">
        <v>5338000</v>
      </c>
      <c r="Q88" s="124">
        <v>0</v>
      </c>
      <c r="R88" s="124">
        <v>2414.0986447309811</v>
      </c>
      <c r="S88" s="32">
        <v>2.5569501842051426E-3</v>
      </c>
      <c r="T88" s="32">
        <v>9.4263914599940592E-4</v>
      </c>
      <c r="U88" s="32">
        <v>2.0443682168134699E-4</v>
      </c>
    </row>
    <row r="89" spans="2:21" x14ac:dyDescent="0.2">
      <c r="B89" s="23" t="s">
        <v>1068</v>
      </c>
      <c r="C89" s="32" t="s">
        <v>1069</v>
      </c>
      <c r="D89" s="32" t="s">
        <v>423</v>
      </c>
      <c r="E89" s="32" t="s">
        <v>238</v>
      </c>
      <c r="F89" s="32" t="s">
        <v>999</v>
      </c>
      <c r="G89" s="32" t="s">
        <v>191</v>
      </c>
      <c r="H89" s="94" t="s">
        <v>567</v>
      </c>
      <c r="I89" s="94" t="s">
        <v>243</v>
      </c>
      <c r="J89" s="94" t="s">
        <v>1070</v>
      </c>
      <c r="K89" s="94">
        <v>2.71</v>
      </c>
      <c r="L89" s="94" t="s">
        <v>244</v>
      </c>
      <c r="M89" s="32">
        <v>1.49E-2</v>
      </c>
      <c r="N89" s="32">
        <v>1.1200000000000002E-2</v>
      </c>
      <c r="O89" s="103">
        <v>146.81977662087633</v>
      </c>
      <c r="P89" s="94">
        <v>5150000</v>
      </c>
      <c r="Q89" s="124">
        <v>0</v>
      </c>
      <c r="R89" s="124">
        <v>7561.2184959751312</v>
      </c>
      <c r="S89" s="32">
        <v>2.4275756716414736E-2</v>
      </c>
      <c r="T89" s="32">
        <v>2.9524479297138146E-3</v>
      </c>
      <c r="U89" s="32">
        <v>6.403182739567083E-4</v>
      </c>
    </row>
    <row r="90" spans="2:21" x14ac:dyDescent="0.2">
      <c r="B90" s="23" t="s">
        <v>1079</v>
      </c>
      <c r="C90" s="32" t="s">
        <v>1080</v>
      </c>
      <c r="D90" s="32" t="s">
        <v>423</v>
      </c>
      <c r="E90" s="32" t="s">
        <v>238</v>
      </c>
      <c r="F90" s="32" t="s">
        <v>999</v>
      </c>
      <c r="G90" s="32" t="s">
        <v>191</v>
      </c>
      <c r="H90" s="94" t="s">
        <v>567</v>
      </c>
      <c r="I90" s="94" t="s">
        <v>243</v>
      </c>
      <c r="J90" s="94" t="s">
        <v>1081</v>
      </c>
      <c r="K90" s="94">
        <v>4.33</v>
      </c>
      <c r="L90" s="94" t="s">
        <v>244</v>
      </c>
      <c r="M90" s="32">
        <v>2.2000000000000002E-2</v>
      </c>
      <c r="N90" s="32">
        <v>8.6E-3</v>
      </c>
      <c r="O90" s="103">
        <v>86.162847009623775</v>
      </c>
      <c r="P90" s="94">
        <v>5380000</v>
      </c>
      <c r="Q90" s="124">
        <v>0</v>
      </c>
      <c r="R90" s="124">
        <v>4635.5611691177592</v>
      </c>
      <c r="S90" s="32">
        <v>1.7116179382126295E-2</v>
      </c>
      <c r="T90" s="32">
        <v>1.810059183464772E-3</v>
      </c>
      <c r="U90" s="32">
        <v>3.9256034304659072E-4</v>
      </c>
    </row>
    <row r="91" spans="2:21" x14ac:dyDescent="0.2">
      <c r="B91" s="23" t="s">
        <v>644</v>
      </c>
      <c r="C91" s="32" t="s">
        <v>645</v>
      </c>
      <c r="D91" s="32" t="s">
        <v>423</v>
      </c>
      <c r="E91" s="32" t="s">
        <v>238</v>
      </c>
      <c r="F91" s="32" t="s">
        <v>646</v>
      </c>
      <c r="G91" s="32" t="s">
        <v>566</v>
      </c>
      <c r="H91" s="94" t="s">
        <v>567</v>
      </c>
      <c r="I91" s="94" t="s">
        <v>243</v>
      </c>
      <c r="J91" s="94" t="s">
        <v>647</v>
      </c>
      <c r="K91" s="94">
        <v>0.52</v>
      </c>
      <c r="L91" s="94" t="s">
        <v>244</v>
      </c>
      <c r="M91" s="32">
        <v>4.8000000000000001E-2</v>
      </c>
      <c r="N91" s="32">
        <v>2.2000000000000001E-3</v>
      </c>
      <c r="O91" s="103">
        <v>924715.59708714392</v>
      </c>
      <c r="P91" s="94">
        <v>110.88</v>
      </c>
      <c r="Q91" s="124">
        <v>0</v>
      </c>
      <c r="R91" s="124">
        <v>1025.3246538461779</v>
      </c>
      <c r="S91" s="32">
        <v>1.6143777882107961E-2</v>
      </c>
      <c r="T91" s="32">
        <v>4.0036108639686607E-4</v>
      </c>
      <c r="U91" s="32">
        <v>8.6829141750832878E-5</v>
      </c>
    </row>
    <row r="92" spans="2:21" x14ac:dyDescent="0.2">
      <c r="B92" s="23" t="s">
        <v>684</v>
      </c>
      <c r="C92" s="32" t="s">
        <v>685</v>
      </c>
      <c r="D92" s="32" t="s">
        <v>423</v>
      </c>
      <c r="E92" s="32" t="s">
        <v>238</v>
      </c>
      <c r="F92" s="32" t="s">
        <v>646</v>
      </c>
      <c r="G92" s="32" t="s">
        <v>566</v>
      </c>
      <c r="H92" s="94" t="s">
        <v>567</v>
      </c>
      <c r="I92" s="94" t="s">
        <v>243</v>
      </c>
      <c r="J92" s="94" t="s">
        <v>686</v>
      </c>
      <c r="K92" s="94">
        <v>2.91</v>
      </c>
      <c r="L92" s="94" t="s">
        <v>244</v>
      </c>
      <c r="M92" s="32">
        <v>3.2899999999999999E-2</v>
      </c>
      <c r="N92" s="32">
        <v>2.5999999999999999E-3</v>
      </c>
      <c r="O92" s="103">
        <v>2992255.4430441437</v>
      </c>
      <c r="P92" s="94">
        <v>111.00000000000001</v>
      </c>
      <c r="Q92" s="124">
        <v>0</v>
      </c>
      <c r="R92" s="124">
        <v>3321.4035414467794</v>
      </c>
      <c r="S92" s="32">
        <v>1.6623641350245244E-2</v>
      </c>
      <c r="T92" s="32">
        <v>1.2969167621473437E-3</v>
      </c>
      <c r="U92" s="32">
        <v>2.8127151515393729E-4</v>
      </c>
    </row>
    <row r="93" spans="2:21" x14ac:dyDescent="0.2">
      <c r="B93" s="23" t="s">
        <v>750</v>
      </c>
      <c r="C93" s="32" t="s">
        <v>751</v>
      </c>
      <c r="D93" s="32" t="s">
        <v>423</v>
      </c>
      <c r="E93" s="32" t="s">
        <v>238</v>
      </c>
      <c r="F93" s="32" t="s">
        <v>646</v>
      </c>
      <c r="G93" s="32" t="s">
        <v>566</v>
      </c>
      <c r="H93" s="94" t="s">
        <v>567</v>
      </c>
      <c r="I93" s="94" t="s">
        <v>243</v>
      </c>
      <c r="J93" s="94" t="s">
        <v>752</v>
      </c>
      <c r="K93" s="94">
        <v>4.9800000000000004</v>
      </c>
      <c r="L93" s="94" t="s">
        <v>244</v>
      </c>
      <c r="M93" s="32">
        <v>3.3000000000000002E-2</v>
      </c>
      <c r="N93" s="32">
        <v>8.6E-3</v>
      </c>
      <c r="O93" s="103">
        <v>1294037.394042349</v>
      </c>
      <c r="P93" s="94">
        <v>114.77</v>
      </c>
      <c r="Q93" s="124">
        <v>0</v>
      </c>
      <c r="R93" s="124">
        <v>1485.1667169508951</v>
      </c>
      <c r="S93" s="32">
        <v>8.7967635782252463E-3</v>
      </c>
      <c r="T93" s="32">
        <v>5.7991676884825132E-4</v>
      </c>
      <c r="U93" s="32">
        <v>1.2577065313509439E-4</v>
      </c>
    </row>
    <row r="94" spans="2:21" x14ac:dyDescent="0.2">
      <c r="B94" s="23" t="s">
        <v>563</v>
      </c>
      <c r="C94" s="32" t="s">
        <v>564</v>
      </c>
      <c r="D94" s="32" t="s">
        <v>423</v>
      </c>
      <c r="E94" s="32" t="s">
        <v>238</v>
      </c>
      <c r="F94" s="32" t="s">
        <v>565</v>
      </c>
      <c r="G94" s="32" t="s">
        <v>566</v>
      </c>
      <c r="H94" s="94" t="s">
        <v>567</v>
      </c>
      <c r="I94" s="94" t="s">
        <v>243</v>
      </c>
      <c r="J94" s="94" t="s">
        <v>568</v>
      </c>
      <c r="K94" s="94">
        <v>0.8</v>
      </c>
      <c r="L94" s="94" t="s">
        <v>244</v>
      </c>
      <c r="M94" s="32">
        <v>5.0999999999999997E-2</v>
      </c>
      <c r="N94" s="32">
        <v>3.0999999999999999E-3</v>
      </c>
      <c r="O94" s="103">
        <v>10052943.617983697</v>
      </c>
      <c r="P94" s="94">
        <v>128.69999999999999</v>
      </c>
      <c r="Q94" s="124">
        <v>0</v>
      </c>
      <c r="R94" s="124">
        <v>12938.138435712728</v>
      </c>
      <c r="S94" s="32">
        <v>2.0264769431981269E-2</v>
      </c>
      <c r="T94" s="32">
        <v>5.0519873297146965E-3</v>
      </c>
      <c r="U94" s="32">
        <v>1.0956602399174694E-3</v>
      </c>
    </row>
    <row r="95" spans="2:21" x14ac:dyDescent="0.2">
      <c r="B95" s="23" t="s">
        <v>660</v>
      </c>
      <c r="C95" s="32" t="s">
        <v>661</v>
      </c>
      <c r="D95" s="32" t="s">
        <v>423</v>
      </c>
      <c r="E95" s="32" t="s">
        <v>238</v>
      </c>
      <c r="F95" s="32" t="s">
        <v>565</v>
      </c>
      <c r="G95" s="32" t="s">
        <v>566</v>
      </c>
      <c r="H95" s="94" t="s">
        <v>567</v>
      </c>
      <c r="I95" s="94" t="s">
        <v>243</v>
      </c>
      <c r="J95" s="94" t="s">
        <v>662</v>
      </c>
      <c r="K95" s="94">
        <v>3.05</v>
      </c>
      <c r="L95" s="94" t="s">
        <v>244</v>
      </c>
      <c r="M95" s="32">
        <v>5.3499999999999999E-2</v>
      </c>
      <c r="N95" s="32">
        <v>3.0999999999999999E-3</v>
      </c>
      <c r="O95" s="103">
        <v>6092960.6729759891</v>
      </c>
      <c r="P95" s="94">
        <v>122.55</v>
      </c>
      <c r="Q95" s="124">
        <v>0</v>
      </c>
      <c r="R95" s="124">
        <v>7466.9233036818314</v>
      </c>
      <c r="S95" s="32">
        <v>4.8187555046914033E-3</v>
      </c>
      <c r="T95" s="32">
        <v>2.9156282497354471E-3</v>
      </c>
      <c r="U95" s="32">
        <v>6.3233292942476522E-4</v>
      </c>
    </row>
    <row r="96" spans="2:21" x14ac:dyDescent="0.2">
      <c r="B96" s="23" t="s">
        <v>731</v>
      </c>
      <c r="C96" s="32" t="s">
        <v>732</v>
      </c>
      <c r="D96" s="32" t="s">
        <v>423</v>
      </c>
      <c r="E96" s="32" t="s">
        <v>238</v>
      </c>
      <c r="F96" s="32" t="s">
        <v>565</v>
      </c>
      <c r="G96" s="32" t="s">
        <v>566</v>
      </c>
      <c r="H96" s="94" t="s">
        <v>345</v>
      </c>
      <c r="I96" s="94" t="s">
        <v>346</v>
      </c>
      <c r="J96" s="94" t="s">
        <v>733</v>
      </c>
      <c r="K96" s="94">
        <v>5.5</v>
      </c>
      <c r="L96" s="94" t="s">
        <v>244</v>
      </c>
      <c r="M96" s="32">
        <v>0.04</v>
      </c>
      <c r="N96" s="32">
        <v>1.1299999999999999E-2</v>
      </c>
      <c r="O96" s="103">
        <v>23295053.654340662</v>
      </c>
      <c r="P96" s="94">
        <v>117.19</v>
      </c>
      <c r="Q96" s="124">
        <v>0</v>
      </c>
      <c r="R96" s="124">
        <v>27299.47337729677</v>
      </c>
      <c r="S96" s="32">
        <v>7.8758015344307011E-3</v>
      </c>
      <c r="T96" s="32">
        <v>1.0659693764699581E-2</v>
      </c>
      <c r="U96" s="32">
        <v>2.3118432144478623E-3</v>
      </c>
    </row>
    <row r="97" spans="2:21" x14ac:dyDescent="0.2">
      <c r="B97" s="23" t="s">
        <v>914</v>
      </c>
      <c r="C97" s="32" t="s">
        <v>915</v>
      </c>
      <c r="D97" s="32" t="s">
        <v>423</v>
      </c>
      <c r="E97" s="32" t="s">
        <v>238</v>
      </c>
      <c r="F97" s="32" t="s">
        <v>565</v>
      </c>
      <c r="G97" s="32" t="s">
        <v>566</v>
      </c>
      <c r="H97" s="94" t="s">
        <v>345</v>
      </c>
      <c r="I97" s="94" t="s">
        <v>346</v>
      </c>
      <c r="J97" s="94" t="s">
        <v>916</v>
      </c>
      <c r="K97" s="94">
        <v>5.77</v>
      </c>
      <c r="L97" s="94" t="s">
        <v>244</v>
      </c>
      <c r="M97" s="32">
        <v>2.7799999999999998E-2</v>
      </c>
      <c r="N97" s="32">
        <v>1.2699999999999999E-2</v>
      </c>
      <c r="O97" s="103">
        <v>1009554.6462600585</v>
      </c>
      <c r="P97" s="94">
        <v>111.05000000000001</v>
      </c>
      <c r="Q97" s="124">
        <v>0</v>
      </c>
      <c r="R97" s="124">
        <v>1121.1104344574594</v>
      </c>
      <c r="S97" s="32">
        <v>5.6051803957562758E-4</v>
      </c>
      <c r="T97" s="32">
        <v>4.3776280013021964E-4</v>
      </c>
      <c r="U97" s="32">
        <v>9.4940716061674415E-5</v>
      </c>
    </row>
    <row r="98" spans="2:21" x14ac:dyDescent="0.2">
      <c r="B98" s="23" t="s">
        <v>1097</v>
      </c>
      <c r="C98" s="32" t="s">
        <v>1098</v>
      </c>
      <c r="D98" s="32" t="s">
        <v>423</v>
      </c>
      <c r="E98" s="32" t="s">
        <v>238</v>
      </c>
      <c r="F98" s="32" t="s">
        <v>992</v>
      </c>
      <c r="G98" s="32" t="s">
        <v>191</v>
      </c>
      <c r="H98" s="94" t="s">
        <v>345</v>
      </c>
      <c r="I98" s="94" t="s">
        <v>346</v>
      </c>
      <c r="J98" s="94" t="s">
        <v>1099</v>
      </c>
      <c r="K98" s="94">
        <v>5.62</v>
      </c>
      <c r="L98" s="94" t="s">
        <v>244</v>
      </c>
      <c r="M98" s="32">
        <v>1.46E-2</v>
      </c>
      <c r="N98" s="32">
        <v>1.3300000000000001E-2</v>
      </c>
      <c r="O98" s="103">
        <v>402.52195692555586</v>
      </c>
      <c r="P98" s="94">
        <v>5050000</v>
      </c>
      <c r="Q98" s="124">
        <v>0</v>
      </c>
      <c r="R98" s="124">
        <v>20327.358824740571</v>
      </c>
      <c r="S98" s="32">
        <v>1.6340760643265371E-2</v>
      </c>
      <c r="T98" s="32">
        <v>7.9372747276912608E-3</v>
      </c>
      <c r="U98" s="32">
        <v>1.7214129341302604E-3</v>
      </c>
    </row>
    <row r="99" spans="2:21" x14ac:dyDescent="0.2">
      <c r="B99" s="23" t="s">
        <v>1045</v>
      </c>
      <c r="C99" s="32" t="s">
        <v>1046</v>
      </c>
      <c r="D99" s="32" t="s">
        <v>423</v>
      </c>
      <c r="E99" s="32" t="s">
        <v>238</v>
      </c>
      <c r="F99" s="32" t="s">
        <v>992</v>
      </c>
      <c r="G99" s="32" t="s">
        <v>191</v>
      </c>
      <c r="H99" s="94" t="s">
        <v>567</v>
      </c>
      <c r="I99" s="94" t="s">
        <v>243</v>
      </c>
      <c r="J99" s="94" t="s">
        <v>1047</v>
      </c>
      <c r="K99" s="94">
        <v>0.3</v>
      </c>
      <c r="L99" s="94" t="s">
        <v>244</v>
      </c>
      <c r="M99" s="32">
        <v>6.4000000000000001E-2</v>
      </c>
      <c r="N99" s="32">
        <v>1.23E-2</v>
      </c>
      <c r="O99" s="103">
        <v>10682729.010968225</v>
      </c>
      <c r="P99" s="94">
        <v>117.17</v>
      </c>
      <c r="Q99" s="124">
        <v>0</v>
      </c>
      <c r="R99" s="124">
        <v>12516.953581476315</v>
      </c>
      <c r="S99" s="32">
        <v>8.5326640558444997E-3</v>
      </c>
      <c r="T99" s="32">
        <v>4.8875262244604239E-3</v>
      </c>
      <c r="U99" s="32">
        <v>1.0599923962987556E-3</v>
      </c>
    </row>
    <row r="100" spans="2:21" x14ac:dyDescent="0.2">
      <c r="B100" s="23" t="s">
        <v>677</v>
      </c>
      <c r="C100" s="32" t="s">
        <v>678</v>
      </c>
      <c r="D100" s="32" t="s">
        <v>423</v>
      </c>
      <c r="E100" s="32" t="s">
        <v>238</v>
      </c>
      <c r="F100" s="32" t="s">
        <v>679</v>
      </c>
      <c r="G100" s="32" t="s">
        <v>192</v>
      </c>
      <c r="H100" s="94" t="s">
        <v>345</v>
      </c>
      <c r="I100" s="94" t="s">
        <v>346</v>
      </c>
      <c r="J100" s="94" t="s">
        <v>680</v>
      </c>
      <c r="K100" s="94">
        <v>2.2000000000000002</v>
      </c>
      <c r="L100" s="94" t="s">
        <v>244</v>
      </c>
      <c r="M100" s="32">
        <v>2.5499999999999998E-2</v>
      </c>
      <c r="N100" s="32">
        <v>-1.5E-3</v>
      </c>
      <c r="O100" s="103">
        <v>1133673.6548514541</v>
      </c>
      <c r="P100" s="94">
        <v>109.08</v>
      </c>
      <c r="Q100" s="124">
        <v>0</v>
      </c>
      <c r="R100" s="124">
        <v>1236.6112218271894</v>
      </c>
      <c r="S100" s="32">
        <v>2.6119385499067524E-3</v>
      </c>
      <c r="T100" s="32">
        <v>4.8286268194577565E-4</v>
      </c>
      <c r="U100" s="32">
        <v>1.0472184655652707E-4</v>
      </c>
    </row>
    <row r="101" spans="2:21" x14ac:dyDescent="0.2">
      <c r="B101" s="23" t="s">
        <v>1056</v>
      </c>
      <c r="C101" s="32" t="s">
        <v>1057</v>
      </c>
      <c r="D101" s="32" t="s">
        <v>423</v>
      </c>
      <c r="E101" s="32" t="s">
        <v>238</v>
      </c>
      <c r="F101" s="32" t="s">
        <v>571</v>
      </c>
      <c r="G101" s="32" t="s">
        <v>192</v>
      </c>
      <c r="H101" s="94" t="s">
        <v>567</v>
      </c>
      <c r="I101" s="94" t="s">
        <v>243</v>
      </c>
      <c r="J101" s="94" t="s">
        <v>1058</v>
      </c>
      <c r="K101" s="94">
        <v>0.41</v>
      </c>
      <c r="L101" s="94" t="s">
        <v>244</v>
      </c>
      <c r="M101" s="32">
        <v>3.9E-2</v>
      </c>
      <c r="N101" s="32">
        <v>1.1000000000000001E-3</v>
      </c>
      <c r="O101" s="103">
        <v>2034507.4720560422</v>
      </c>
      <c r="P101" s="94">
        <v>111.04</v>
      </c>
      <c r="Q101" s="124">
        <v>0</v>
      </c>
      <c r="R101" s="124">
        <v>2259.1170967138264</v>
      </c>
      <c r="S101" s="32">
        <v>1.022198621861275E-2</v>
      </c>
      <c r="T101" s="32">
        <v>8.8212311266024784E-4</v>
      </c>
      <c r="U101" s="32">
        <v>1.9131228132131007E-4</v>
      </c>
    </row>
    <row r="102" spans="2:21" x14ac:dyDescent="0.2">
      <c r="B102" s="23" t="s">
        <v>1059</v>
      </c>
      <c r="C102" s="32" t="s">
        <v>1060</v>
      </c>
      <c r="D102" s="32" t="s">
        <v>423</v>
      </c>
      <c r="E102" s="32" t="s">
        <v>238</v>
      </c>
      <c r="F102" s="32" t="s">
        <v>571</v>
      </c>
      <c r="G102" s="32" t="s">
        <v>192</v>
      </c>
      <c r="H102" s="94" t="s">
        <v>567</v>
      </c>
      <c r="I102" s="94" t="s">
        <v>243</v>
      </c>
      <c r="J102" s="94" t="s">
        <v>1058</v>
      </c>
      <c r="K102" s="94">
        <v>1.39</v>
      </c>
      <c r="L102" s="94" t="s">
        <v>244</v>
      </c>
      <c r="M102" s="32">
        <v>3.9E-2</v>
      </c>
      <c r="N102" s="32">
        <v>-2.0999999999999999E-3</v>
      </c>
      <c r="O102" s="103">
        <v>3256004.1819441873</v>
      </c>
      <c r="P102" s="94">
        <v>115.67</v>
      </c>
      <c r="Q102" s="124">
        <v>0</v>
      </c>
      <c r="R102" s="124">
        <v>3766.2200364618002</v>
      </c>
      <c r="S102" s="32">
        <v>8.1597468425358526E-3</v>
      </c>
      <c r="T102" s="32">
        <v>1.4706053733822561E-3</v>
      </c>
      <c r="U102" s="32">
        <v>3.1894059328824907E-4</v>
      </c>
    </row>
    <row r="103" spans="2:21" x14ac:dyDescent="0.2">
      <c r="B103" s="23" t="s">
        <v>1051</v>
      </c>
      <c r="C103" s="32" t="s">
        <v>1052</v>
      </c>
      <c r="D103" s="32" t="s">
        <v>423</v>
      </c>
      <c r="E103" s="32" t="s">
        <v>238</v>
      </c>
      <c r="F103" s="32" t="s">
        <v>571</v>
      </c>
      <c r="G103" s="32" t="s">
        <v>192</v>
      </c>
      <c r="H103" s="94" t="s">
        <v>567</v>
      </c>
      <c r="I103" s="94" t="s">
        <v>243</v>
      </c>
      <c r="J103" s="94" t="s">
        <v>1053</v>
      </c>
      <c r="K103" s="94">
        <v>3.24</v>
      </c>
      <c r="L103" s="94" t="s">
        <v>244</v>
      </c>
      <c r="M103" s="32">
        <v>3.85E-2</v>
      </c>
      <c r="N103" s="32">
        <v>-5.1000000000000004E-3</v>
      </c>
      <c r="O103" s="103">
        <v>5732021.9776944797</v>
      </c>
      <c r="P103" s="94">
        <v>119.85</v>
      </c>
      <c r="Q103" s="124">
        <v>0</v>
      </c>
      <c r="R103" s="124">
        <v>6869.8283402668339</v>
      </c>
      <c r="S103" s="32">
        <v>2.3928602107839935E-2</v>
      </c>
      <c r="T103" s="32">
        <v>2.6824790834316888E-3</v>
      </c>
      <c r="U103" s="32">
        <v>5.8176821997143427E-4</v>
      </c>
    </row>
    <row r="104" spans="2:21" x14ac:dyDescent="0.2">
      <c r="B104" s="23" t="s">
        <v>1054</v>
      </c>
      <c r="C104" s="32" t="s">
        <v>1055</v>
      </c>
      <c r="D104" s="32" t="s">
        <v>423</v>
      </c>
      <c r="E104" s="32" t="s">
        <v>238</v>
      </c>
      <c r="F104" s="32" t="s">
        <v>571</v>
      </c>
      <c r="G104" s="32" t="s">
        <v>192</v>
      </c>
      <c r="H104" s="94" t="s">
        <v>567</v>
      </c>
      <c r="I104" s="94" t="s">
        <v>243</v>
      </c>
      <c r="J104" s="94" t="s">
        <v>1053</v>
      </c>
      <c r="K104" s="94">
        <v>4.12</v>
      </c>
      <c r="L104" s="94" t="s">
        <v>244</v>
      </c>
      <c r="M104" s="32">
        <v>3.85E-2</v>
      </c>
      <c r="N104" s="32">
        <v>-1.7000000000000001E-3</v>
      </c>
      <c r="O104" s="103">
        <v>4615065.2354692053</v>
      </c>
      <c r="P104" s="94">
        <v>122.75</v>
      </c>
      <c r="Q104" s="124">
        <v>0</v>
      </c>
      <c r="R104" s="124">
        <v>5664.9925757346909</v>
      </c>
      <c r="S104" s="32">
        <v>1.8460260941876822E-2</v>
      </c>
      <c r="T104" s="32">
        <v>2.2120238439049373E-3</v>
      </c>
      <c r="U104" s="32">
        <v>4.7973726324703934E-4</v>
      </c>
    </row>
    <row r="105" spans="2:21" x14ac:dyDescent="0.2">
      <c r="B105" s="23" t="s">
        <v>1030</v>
      </c>
      <c r="C105" s="32" t="s">
        <v>1031</v>
      </c>
      <c r="D105" s="32" t="s">
        <v>423</v>
      </c>
      <c r="E105" s="32" t="s">
        <v>238</v>
      </c>
      <c r="F105" s="32" t="s">
        <v>571</v>
      </c>
      <c r="G105" s="32" t="s">
        <v>192</v>
      </c>
      <c r="H105" s="94" t="s">
        <v>567</v>
      </c>
      <c r="I105" s="94" t="s">
        <v>243</v>
      </c>
      <c r="J105" s="94" t="s">
        <v>1032</v>
      </c>
      <c r="K105" s="94">
        <v>5.65</v>
      </c>
      <c r="L105" s="94" t="s">
        <v>244</v>
      </c>
      <c r="M105" s="32">
        <v>2.4E-2</v>
      </c>
      <c r="N105" s="32">
        <v>1.5E-3</v>
      </c>
      <c r="O105" s="103">
        <v>5046619.8665756648</v>
      </c>
      <c r="P105" s="94">
        <v>114.11</v>
      </c>
      <c r="Q105" s="124">
        <v>0</v>
      </c>
      <c r="R105" s="124">
        <v>5758.6979286846727</v>
      </c>
      <c r="S105" s="32">
        <v>1.7096079158361789E-2</v>
      </c>
      <c r="T105" s="32">
        <v>2.2486132078371581E-3</v>
      </c>
      <c r="U105" s="32">
        <v>4.8767265750834462E-4</v>
      </c>
    </row>
    <row r="106" spans="2:21" x14ac:dyDescent="0.2">
      <c r="B106" s="23" t="s">
        <v>1033</v>
      </c>
      <c r="C106" s="32" t="s">
        <v>1034</v>
      </c>
      <c r="D106" s="32" t="s">
        <v>423</v>
      </c>
      <c r="E106" s="32" t="s">
        <v>238</v>
      </c>
      <c r="F106" s="32" t="s">
        <v>571</v>
      </c>
      <c r="G106" s="32" t="s">
        <v>192</v>
      </c>
      <c r="H106" s="94" t="s">
        <v>567</v>
      </c>
      <c r="I106" s="94" t="s">
        <v>243</v>
      </c>
      <c r="J106" s="94" t="s">
        <v>1032</v>
      </c>
      <c r="K106" s="94">
        <v>6.53</v>
      </c>
      <c r="L106" s="94" t="s">
        <v>244</v>
      </c>
      <c r="M106" s="32">
        <v>2.4E-2</v>
      </c>
      <c r="N106" s="32">
        <v>3.0000000000000001E-3</v>
      </c>
      <c r="O106" s="103">
        <v>3917554.3079500054</v>
      </c>
      <c r="P106" s="94">
        <v>115.22000000000001</v>
      </c>
      <c r="Q106" s="124">
        <v>0</v>
      </c>
      <c r="R106" s="124">
        <v>4513.8060735994204</v>
      </c>
      <c r="S106" s="32">
        <v>1.3271223180385813E-2</v>
      </c>
      <c r="T106" s="32">
        <v>1.762517166277122E-3</v>
      </c>
      <c r="U106" s="32">
        <v>3.8224956937310989E-4</v>
      </c>
    </row>
    <row r="107" spans="2:21" x14ac:dyDescent="0.2">
      <c r="B107" s="23" t="s">
        <v>1014</v>
      </c>
      <c r="C107" s="32" t="s">
        <v>1015</v>
      </c>
      <c r="D107" s="32" t="s">
        <v>423</v>
      </c>
      <c r="E107" s="32" t="s">
        <v>238</v>
      </c>
      <c r="F107" s="32" t="s">
        <v>1016</v>
      </c>
      <c r="G107" s="32" t="s">
        <v>191</v>
      </c>
      <c r="H107" s="94" t="s">
        <v>567</v>
      </c>
      <c r="I107" s="94" t="s">
        <v>243</v>
      </c>
      <c r="J107" s="94" t="s">
        <v>1017</v>
      </c>
      <c r="K107" s="94">
        <v>1.5</v>
      </c>
      <c r="L107" s="94" t="s">
        <v>244</v>
      </c>
      <c r="M107" s="32">
        <v>0.02</v>
      </c>
      <c r="N107" s="32">
        <v>-1.9E-3</v>
      </c>
      <c r="O107" s="103">
        <v>3292039.8422534554</v>
      </c>
      <c r="P107" s="94">
        <v>105.78</v>
      </c>
      <c r="Q107" s="124">
        <v>1191.2182495899999</v>
      </c>
      <c r="R107" s="124">
        <v>3512.7647463664703</v>
      </c>
      <c r="S107" s="32">
        <v>1.1571691746283027E-2</v>
      </c>
      <c r="T107" s="32">
        <v>1.3716380512614496E-3</v>
      </c>
      <c r="U107" s="32">
        <v>2.9747684984988304E-4</v>
      </c>
    </row>
    <row r="108" spans="2:21" x14ac:dyDescent="0.2">
      <c r="B108" s="23" t="s">
        <v>853</v>
      </c>
      <c r="C108" s="32" t="s">
        <v>854</v>
      </c>
      <c r="D108" s="32" t="s">
        <v>423</v>
      </c>
      <c r="E108" s="32" t="s">
        <v>238</v>
      </c>
      <c r="F108" s="32" t="s">
        <v>855</v>
      </c>
      <c r="G108" s="32" t="s">
        <v>581</v>
      </c>
      <c r="H108" s="94" t="s">
        <v>345</v>
      </c>
      <c r="I108" s="94" t="s">
        <v>346</v>
      </c>
      <c r="J108" s="94" t="s">
        <v>856</v>
      </c>
      <c r="K108" s="94">
        <v>6.54</v>
      </c>
      <c r="L108" s="94" t="s">
        <v>244</v>
      </c>
      <c r="M108" s="32">
        <v>2.4E-2</v>
      </c>
      <c r="N108" s="32">
        <v>7.1999999999999998E-3</v>
      </c>
      <c r="O108" s="103">
        <v>4777928.1655463157</v>
      </c>
      <c r="P108" s="94">
        <v>114.16</v>
      </c>
      <c r="Q108" s="124">
        <v>0</v>
      </c>
      <c r="R108" s="124">
        <v>5454.4827936830779</v>
      </c>
      <c r="S108" s="32">
        <v>8.7784381794970261E-3</v>
      </c>
      <c r="T108" s="32">
        <v>2.12982556190401E-3</v>
      </c>
      <c r="U108" s="32">
        <v>4.6191034019673434E-4</v>
      </c>
    </row>
    <row r="109" spans="2:21" x14ac:dyDescent="0.2">
      <c r="B109" s="23" t="s">
        <v>816</v>
      </c>
      <c r="C109" s="32" t="s">
        <v>817</v>
      </c>
      <c r="D109" s="32" t="s">
        <v>423</v>
      </c>
      <c r="E109" s="32" t="s">
        <v>238</v>
      </c>
      <c r="F109" s="32" t="s">
        <v>818</v>
      </c>
      <c r="G109" s="32" t="s">
        <v>581</v>
      </c>
      <c r="H109" s="94" t="s">
        <v>567</v>
      </c>
      <c r="I109" s="94" t="s">
        <v>243</v>
      </c>
      <c r="J109" s="94" t="s">
        <v>819</v>
      </c>
      <c r="K109" s="94">
        <v>3.83</v>
      </c>
      <c r="L109" s="94" t="s">
        <v>244</v>
      </c>
      <c r="M109" s="32">
        <v>2.8500000000000001E-2</v>
      </c>
      <c r="N109" s="32">
        <v>-1.1000000000000001E-3</v>
      </c>
      <c r="O109" s="103">
        <v>13302671.55454696</v>
      </c>
      <c r="P109" s="94">
        <v>115.33</v>
      </c>
      <c r="Q109" s="124">
        <v>0</v>
      </c>
      <c r="R109" s="124">
        <v>15341.971103012384</v>
      </c>
      <c r="S109" s="32">
        <v>1.9476825116466999E-2</v>
      </c>
      <c r="T109" s="32">
        <v>5.9906178937865016E-3</v>
      </c>
      <c r="U109" s="32">
        <v>1.2992276920715631E-3</v>
      </c>
    </row>
    <row r="110" spans="2:21" x14ac:dyDescent="0.2">
      <c r="B110" s="23" t="s">
        <v>901</v>
      </c>
      <c r="C110" s="32" t="s">
        <v>902</v>
      </c>
      <c r="D110" s="32" t="s">
        <v>423</v>
      </c>
      <c r="E110" s="32" t="s">
        <v>238</v>
      </c>
      <c r="F110" s="32" t="s">
        <v>818</v>
      </c>
      <c r="G110" s="32" t="s">
        <v>581</v>
      </c>
      <c r="H110" s="94" t="s">
        <v>567</v>
      </c>
      <c r="I110" s="94" t="s">
        <v>243</v>
      </c>
      <c r="J110" s="94" t="s">
        <v>903</v>
      </c>
      <c r="K110" s="94">
        <v>5.78</v>
      </c>
      <c r="L110" s="94" t="s">
        <v>244</v>
      </c>
      <c r="M110" s="32">
        <v>2.6000000000000002E-2</v>
      </c>
      <c r="N110" s="32">
        <v>2.2000000000000001E-3</v>
      </c>
      <c r="O110" s="103">
        <v>1636588.9259835558</v>
      </c>
      <c r="P110" s="94">
        <v>116.97</v>
      </c>
      <c r="Q110" s="124">
        <v>0</v>
      </c>
      <c r="R110" s="124">
        <v>1914.3180658506199</v>
      </c>
      <c r="S110" s="32">
        <v>4.3879761571740793E-3</v>
      </c>
      <c r="T110" s="32">
        <v>7.4748857123266039E-4</v>
      </c>
      <c r="U110" s="32">
        <v>1.6211313565162773E-4</v>
      </c>
    </row>
    <row r="111" spans="2:21" x14ac:dyDescent="0.2">
      <c r="B111" s="23" t="s">
        <v>904</v>
      </c>
      <c r="C111" s="32" t="s">
        <v>905</v>
      </c>
      <c r="D111" s="32" t="s">
        <v>423</v>
      </c>
      <c r="E111" s="32" t="s">
        <v>238</v>
      </c>
      <c r="F111" s="32" t="s">
        <v>829</v>
      </c>
      <c r="G111" s="32" t="s">
        <v>581</v>
      </c>
      <c r="H111" s="94" t="s">
        <v>567</v>
      </c>
      <c r="I111" s="94" t="s">
        <v>243</v>
      </c>
      <c r="J111" s="94" t="s">
        <v>906</v>
      </c>
      <c r="K111" s="94">
        <v>5.82</v>
      </c>
      <c r="L111" s="94" t="s">
        <v>244</v>
      </c>
      <c r="M111" s="32">
        <v>1.3999999999999999E-2</v>
      </c>
      <c r="N111" s="32">
        <v>2.0999999999999999E-3</v>
      </c>
      <c r="O111" s="103">
        <v>4822440.2395349005</v>
      </c>
      <c r="P111" s="94">
        <v>108.67999999999999</v>
      </c>
      <c r="Q111" s="124">
        <v>0</v>
      </c>
      <c r="R111" s="124">
        <v>5241.0280523265301</v>
      </c>
      <c r="S111" s="32">
        <v>1.0631482009556659E-2</v>
      </c>
      <c r="T111" s="32">
        <v>2.0464773542650952E-3</v>
      </c>
      <c r="U111" s="32">
        <v>4.4383402463647704E-4</v>
      </c>
    </row>
    <row r="112" spans="2:21" x14ac:dyDescent="0.2">
      <c r="B112" s="23" t="s">
        <v>1071</v>
      </c>
      <c r="C112" s="32" t="s">
        <v>1072</v>
      </c>
      <c r="D112" s="32" t="s">
        <v>423</v>
      </c>
      <c r="E112" s="32" t="s">
        <v>238</v>
      </c>
      <c r="F112" s="32" t="s">
        <v>739</v>
      </c>
      <c r="G112" s="32" t="s">
        <v>191</v>
      </c>
      <c r="H112" s="94" t="s">
        <v>345</v>
      </c>
      <c r="I112" s="94" t="s">
        <v>346</v>
      </c>
      <c r="J112" s="94" t="s">
        <v>879</v>
      </c>
      <c r="K112" s="94">
        <v>2.93</v>
      </c>
      <c r="L112" s="94" t="s">
        <v>244</v>
      </c>
      <c r="M112" s="32">
        <v>1.06E-2</v>
      </c>
      <c r="N112" s="32">
        <v>7.4000000000000003E-3</v>
      </c>
      <c r="O112" s="103">
        <v>182.5066274345638</v>
      </c>
      <c r="P112" s="94">
        <v>5125000</v>
      </c>
      <c r="Q112" s="124">
        <v>0</v>
      </c>
      <c r="R112" s="124">
        <v>9353.4646560213932</v>
      </c>
      <c r="S112" s="32">
        <v>1.3440358453094027E-2</v>
      </c>
      <c r="T112" s="32">
        <v>3.6522707780527186E-3</v>
      </c>
      <c r="U112" s="32">
        <v>7.9209380700303374E-4</v>
      </c>
    </row>
    <row r="113" spans="2:21" x14ac:dyDescent="0.2">
      <c r="B113" s="23" t="s">
        <v>1038</v>
      </c>
      <c r="C113" s="32" t="s">
        <v>1039</v>
      </c>
      <c r="D113" s="32" t="s">
        <v>423</v>
      </c>
      <c r="E113" s="32" t="s">
        <v>238</v>
      </c>
      <c r="F113" s="32" t="s">
        <v>1040</v>
      </c>
      <c r="G113" s="32" t="s">
        <v>191</v>
      </c>
      <c r="H113" s="94" t="s">
        <v>567</v>
      </c>
      <c r="I113" s="94" t="s">
        <v>243</v>
      </c>
      <c r="J113" s="94" t="s">
        <v>1041</v>
      </c>
      <c r="K113" s="94">
        <v>1.93</v>
      </c>
      <c r="L113" s="94" t="s">
        <v>244</v>
      </c>
      <c r="M113" s="32">
        <v>4.4999999999999998E-2</v>
      </c>
      <c r="N113" s="32">
        <v>1E-4</v>
      </c>
      <c r="O113" s="103">
        <v>13583620</v>
      </c>
      <c r="P113" s="94">
        <v>132.18</v>
      </c>
      <c r="Q113" s="124">
        <v>185.36099999999999</v>
      </c>
      <c r="R113" s="124">
        <v>18140.189999999999</v>
      </c>
      <c r="S113" s="32">
        <v>7.9810489344924636E-3</v>
      </c>
      <c r="T113" s="32">
        <v>7.0832454370448857E-3</v>
      </c>
      <c r="U113" s="32">
        <v>1.5361935587802041E-3</v>
      </c>
    </row>
    <row r="114" spans="2:21" x14ac:dyDescent="0.2">
      <c r="B114" s="23" t="s">
        <v>663</v>
      </c>
      <c r="C114" s="32" t="s">
        <v>664</v>
      </c>
      <c r="D114" s="32" t="s">
        <v>423</v>
      </c>
      <c r="E114" s="32" t="s">
        <v>238</v>
      </c>
      <c r="F114" s="32" t="s">
        <v>665</v>
      </c>
      <c r="G114" s="32" t="s">
        <v>581</v>
      </c>
      <c r="H114" s="94" t="s">
        <v>567</v>
      </c>
      <c r="I114" s="94" t="s">
        <v>243</v>
      </c>
      <c r="J114" s="94" t="s">
        <v>666</v>
      </c>
      <c r="K114" s="94">
        <v>2.2000000000000002</v>
      </c>
      <c r="L114" s="94" t="s">
        <v>244</v>
      </c>
      <c r="M114" s="32">
        <v>4.9000000000000002E-2</v>
      </c>
      <c r="N114" s="32">
        <v>-1.2999999999999999E-3</v>
      </c>
      <c r="O114" s="103">
        <v>691405.89114464854</v>
      </c>
      <c r="P114" s="94">
        <v>116.71000000000001</v>
      </c>
      <c r="Q114" s="124">
        <v>0</v>
      </c>
      <c r="R114" s="124">
        <v>806.93981477345221</v>
      </c>
      <c r="S114" s="32">
        <v>1.2996091830757457E-3</v>
      </c>
      <c r="T114" s="32">
        <v>3.1508781115103537E-4</v>
      </c>
      <c r="U114" s="32">
        <v>6.8335323156938724E-5</v>
      </c>
    </row>
    <row r="115" spans="2:21" x14ac:dyDescent="0.2">
      <c r="B115" s="23" t="s">
        <v>803</v>
      </c>
      <c r="C115" s="32" t="s">
        <v>804</v>
      </c>
      <c r="D115" s="32" t="s">
        <v>423</v>
      </c>
      <c r="E115" s="32" t="s">
        <v>238</v>
      </c>
      <c r="F115" s="32" t="s">
        <v>665</v>
      </c>
      <c r="G115" s="32" t="s">
        <v>581</v>
      </c>
      <c r="H115" s="94" t="s">
        <v>567</v>
      </c>
      <c r="I115" s="94" t="s">
        <v>243</v>
      </c>
      <c r="J115" s="94" t="s">
        <v>805</v>
      </c>
      <c r="K115" s="94">
        <v>1.86</v>
      </c>
      <c r="L115" s="94" t="s">
        <v>244</v>
      </c>
      <c r="M115" s="32">
        <v>5.8499999999999996E-2</v>
      </c>
      <c r="N115" s="32">
        <v>-1.1999999999999999E-3</v>
      </c>
      <c r="O115" s="103">
        <v>2721405.8610271025</v>
      </c>
      <c r="P115" s="94">
        <v>122</v>
      </c>
      <c r="Q115" s="124">
        <v>0</v>
      </c>
      <c r="R115" s="124">
        <v>3320.1151496814573</v>
      </c>
      <c r="S115" s="32">
        <v>3.2987753092452187E-3</v>
      </c>
      <c r="T115" s="32">
        <v>1.2964136805868505E-3</v>
      </c>
      <c r="U115" s="32">
        <v>2.8116240829612196E-4</v>
      </c>
    </row>
    <row r="116" spans="2:21" x14ac:dyDescent="0.2">
      <c r="B116" s="23" t="s">
        <v>574</v>
      </c>
      <c r="C116" s="32" t="s">
        <v>575</v>
      </c>
      <c r="D116" s="32" t="s">
        <v>423</v>
      </c>
      <c r="E116" s="32" t="s">
        <v>238</v>
      </c>
      <c r="F116" s="32" t="s">
        <v>576</v>
      </c>
      <c r="G116" s="32" t="s">
        <v>192</v>
      </c>
      <c r="H116" s="94" t="s">
        <v>345</v>
      </c>
      <c r="I116" s="94" t="s">
        <v>346</v>
      </c>
      <c r="J116" s="94" t="s">
        <v>577</v>
      </c>
      <c r="K116" s="94">
        <v>1.47</v>
      </c>
      <c r="L116" s="94" t="s">
        <v>244</v>
      </c>
      <c r="M116" s="32">
        <v>4.0500000000000001E-2</v>
      </c>
      <c r="N116" s="32">
        <v>-1.1999999999999999E-3</v>
      </c>
      <c r="O116" s="103">
        <v>1438259.3115287337</v>
      </c>
      <c r="P116" s="94">
        <v>131.25</v>
      </c>
      <c r="Q116" s="124">
        <v>0</v>
      </c>
      <c r="R116" s="124">
        <v>1887.7153457786446</v>
      </c>
      <c r="S116" s="32">
        <v>1.3184008531657307E-2</v>
      </c>
      <c r="T116" s="32">
        <v>7.3710094047670907E-4</v>
      </c>
      <c r="U116" s="32">
        <v>1.5986029666699742E-4</v>
      </c>
    </row>
    <row r="117" spans="2:21" x14ac:dyDescent="0.2">
      <c r="B117" s="23" t="s">
        <v>790</v>
      </c>
      <c r="C117" s="32" t="s">
        <v>791</v>
      </c>
      <c r="D117" s="32" t="s">
        <v>423</v>
      </c>
      <c r="E117" s="32" t="s">
        <v>238</v>
      </c>
      <c r="F117" s="32" t="s">
        <v>792</v>
      </c>
      <c r="G117" s="32" t="s">
        <v>581</v>
      </c>
      <c r="H117" s="94" t="s">
        <v>345</v>
      </c>
      <c r="I117" s="94" t="s">
        <v>346</v>
      </c>
      <c r="J117" s="94" t="s">
        <v>793</v>
      </c>
      <c r="K117" s="94">
        <v>3.13</v>
      </c>
      <c r="L117" s="94" t="s">
        <v>244</v>
      </c>
      <c r="M117" s="32">
        <v>2.75E-2</v>
      </c>
      <c r="N117" s="32">
        <v>5.9999999999999995E-4</v>
      </c>
      <c r="O117" s="103">
        <v>43972.304475803336</v>
      </c>
      <c r="P117" s="94">
        <v>111.71</v>
      </c>
      <c r="Q117" s="124">
        <v>1.228035977</v>
      </c>
      <c r="R117" s="124">
        <v>49.121460513730547</v>
      </c>
      <c r="S117" s="32">
        <v>9.9254732801027048E-5</v>
      </c>
      <c r="T117" s="32">
        <v>1.9180579753842843E-5</v>
      </c>
      <c r="U117" s="32">
        <v>4.1598280524663197E-6</v>
      </c>
    </row>
    <row r="118" spans="2:21" x14ac:dyDescent="0.2">
      <c r="B118" s="23" t="s">
        <v>857</v>
      </c>
      <c r="C118" s="32" t="s">
        <v>858</v>
      </c>
      <c r="D118" s="32" t="s">
        <v>423</v>
      </c>
      <c r="E118" s="32" t="s">
        <v>238</v>
      </c>
      <c r="F118" s="32" t="s">
        <v>792</v>
      </c>
      <c r="G118" s="32" t="s">
        <v>581</v>
      </c>
      <c r="H118" s="94" t="s">
        <v>345</v>
      </c>
      <c r="I118" s="94" t="s">
        <v>346</v>
      </c>
      <c r="J118" s="94" t="s">
        <v>859</v>
      </c>
      <c r="K118" s="94">
        <v>7.27</v>
      </c>
      <c r="L118" s="94" t="s">
        <v>244</v>
      </c>
      <c r="M118" s="32">
        <v>1.9599999999999999E-2</v>
      </c>
      <c r="N118" s="32">
        <v>5.6000000000000008E-3</v>
      </c>
      <c r="O118" s="103">
        <v>13987668.369136574</v>
      </c>
      <c r="P118" s="94">
        <v>112.38</v>
      </c>
      <c r="Q118" s="124">
        <v>0</v>
      </c>
      <c r="R118" s="124">
        <v>15719.341712300107</v>
      </c>
      <c r="S118" s="32">
        <v>1.4181795120001573E-2</v>
      </c>
      <c r="T118" s="32">
        <v>6.1379707410451085E-3</v>
      </c>
      <c r="U118" s="32">
        <v>1.331185146721198E-3</v>
      </c>
    </row>
    <row r="119" spans="2:21" x14ac:dyDescent="0.2">
      <c r="B119" s="23" t="s">
        <v>1082</v>
      </c>
      <c r="C119" s="32" t="s">
        <v>1083</v>
      </c>
      <c r="D119" s="32" t="s">
        <v>423</v>
      </c>
      <c r="E119" s="32" t="s">
        <v>238</v>
      </c>
      <c r="F119" s="32" t="s">
        <v>657</v>
      </c>
      <c r="G119" s="32" t="s">
        <v>191</v>
      </c>
      <c r="H119" s="94" t="s">
        <v>345</v>
      </c>
      <c r="I119" s="94" t="s">
        <v>346</v>
      </c>
      <c r="J119" s="94" t="s">
        <v>1084</v>
      </c>
      <c r="K119" s="94">
        <v>3.25</v>
      </c>
      <c r="L119" s="94" t="s">
        <v>244</v>
      </c>
      <c r="M119" s="32">
        <v>1.4199999999999999E-2</v>
      </c>
      <c r="N119" s="32">
        <v>8.1000000000000013E-3</v>
      </c>
      <c r="O119" s="103">
        <v>126.56507751040508</v>
      </c>
      <c r="P119" s="94">
        <v>5225000</v>
      </c>
      <c r="Q119" s="124">
        <v>0</v>
      </c>
      <c r="R119" s="124">
        <v>6613.025299918665</v>
      </c>
      <c r="S119" s="32">
        <v>5.9720227202569283E-3</v>
      </c>
      <c r="T119" s="32">
        <v>2.5822045568823296E-3</v>
      </c>
      <c r="U119" s="32">
        <v>5.6002097385890568E-4</v>
      </c>
    </row>
    <row r="120" spans="2:21" x14ac:dyDescent="0.2">
      <c r="B120" s="23" t="s">
        <v>1073</v>
      </c>
      <c r="C120" s="32" t="s">
        <v>1074</v>
      </c>
      <c r="D120" s="32" t="s">
        <v>423</v>
      </c>
      <c r="E120" s="32" t="s">
        <v>238</v>
      </c>
      <c r="F120" s="32" t="s">
        <v>657</v>
      </c>
      <c r="G120" s="32" t="s">
        <v>191</v>
      </c>
      <c r="H120" s="94" t="s">
        <v>345</v>
      </c>
      <c r="I120" s="94" t="s">
        <v>346</v>
      </c>
      <c r="J120" s="94" t="s">
        <v>1075</v>
      </c>
      <c r="K120" s="94">
        <v>3.91</v>
      </c>
      <c r="L120" s="94" t="s">
        <v>244</v>
      </c>
      <c r="M120" s="32">
        <v>1.5900000000000001E-2</v>
      </c>
      <c r="N120" s="32">
        <v>7.8000000000000005E-3</v>
      </c>
      <c r="O120" s="103">
        <v>162.03759288377009</v>
      </c>
      <c r="P120" s="94">
        <v>5190000</v>
      </c>
      <c r="Q120" s="124">
        <v>0</v>
      </c>
      <c r="R120" s="124">
        <v>8409.7510706676676</v>
      </c>
      <c r="S120" s="32">
        <v>1.0824154501253846E-2</v>
      </c>
      <c r="T120" s="32">
        <v>3.2837765700353795E-3</v>
      </c>
      <c r="U120" s="32">
        <v>7.1217586065551669E-4</v>
      </c>
    </row>
    <row r="121" spans="2:21" x14ac:dyDescent="0.2">
      <c r="B121" s="23" t="s">
        <v>1091</v>
      </c>
      <c r="C121" s="32" t="s">
        <v>1092</v>
      </c>
      <c r="D121" s="32" t="s">
        <v>423</v>
      </c>
      <c r="E121" s="32" t="s">
        <v>238</v>
      </c>
      <c r="F121" s="32" t="s">
        <v>657</v>
      </c>
      <c r="G121" s="32" t="s">
        <v>191</v>
      </c>
      <c r="H121" s="94" t="s">
        <v>345</v>
      </c>
      <c r="I121" s="94" t="s">
        <v>346</v>
      </c>
      <c r="J121" s="94" t="s">
        <v>1093</v>
      </c>
      <c r="K121" s="94">
        <v>4.9800000000000004</v>
      </c>
      <c r="L121" s="94" t="s">
        <v>244</v>
      </c>
      <c r="M121" s="32">
        <v>2.0199999999999999E-2</v>
      </c>
      <c r="N121" s="32">
        <v>9.8999999999999991E-3</v>
      </c>
      <c r="O121" s="103">
        <v>295.13990132400977</v>
      </c>
      <c r="P121" s="94">
        <v>5370000</v>
      </c>
      <c r="Q121" s="124">
        <v>0</v>
      </c>
      <c r="R121" s="124">
        <v>15849.012701099327</v>
      </c>
      <c r="S121" s="32">
        <v>1.4024229095937741E-2</v>
      </c>
      <c r="T121" s="32">
        <v>6.188603696914324E-3</v>
      </c>
      <c r="U121" s="32">
        <v>1.3421662741379464E-3</v>
      </c>
    </row>
    <row r="122" spans="2:21" x14ac:dyDescent="0.2">
      <c r="B122" s="23" t="s">
        <v>823</v>
      </c>
      <c r="C122" s="32" t="s">
        <v>824</v>
      </c>
      <c r="D122" s="32" t="s">
        <v>423</v>
      </c>
      <c r="E122" s="32" t="s">
        <v>238</v>
      </c>
      <c r="F122" s="32" t="s">
        <v>825</v>
      </c>
      <c r="G122" s="32" t="s">
        <v>607</v>
      </c>
      <c r="H122" s="94" t="s">
        <v>567</v>
      </c>
      <c r="I122" s="94" t="s">
        <v>243</v>
      </c>
      <c r="J122" s="94" t="s">
        <v>826</v>
      </c>
      <c r="K122" s="94">
        <v>4.7699999999999996</v>
      </c>
      <c r="L122" s="94" t="s">
        <v>244</v>
      </c>
      <c r="M122" s="32">
        <v>1.9400000000000001E-2</v>
      </c>
      <c r="N122" s="32">
        <v>1.1000000000000001E-3</v>
      </c>
      <c r="O122" s="103">
        <v>5553623.6012353981</v>
      </c>
      <c r="P122" s="94">
        <v>110.68</v>
      </c>
      <c r="Q122" s="124">
        <v>0</v>
      </c>
      <c r="R122" s="124">
        <v>6146.7506015789904</v>
      </c>
      <c r="S122" s="32">
        <v>1.0246060471405589E-2</v>
      </c>
      <c r="T122" s="32">
        <v>2.40013710723467E-3</v>
      </c>
      <c r="U122" s="32">
        <v>5.2053471774959306E-4</v>
      </c>
    </row>
    <row r="123" spans="2:21" x14ac:dyDescent="0.2">
      <c r="B123" s="23" t="s">
        <v>880</v>
      </c>
      <c r="C123" s="32" t="s">
        <v>881</v>
      </c>
      <c r="D123" s="32" t="s">
        <v>423</v>
      </c>
      <c r="E123" s="32" t="s">
        <v>238</v>
      </c>
      <c r="F123" s="32" t="s">
        <v>825</v>
      </c>
      <c r="G123" s="32" t="s">
        <v>607</v>
      </c>
      <c r="H123" s="94" t="s">
        <v>567</v>
      </c>
      <c r="I123" s="94" t="s">
        <v>243</v>
      </c>
      <c r="J123" s="94" t="s">
        <v>882</v>
      </c>
      <c r="K123" s="94">
        <v>5.8</v>
      </c>
      <c r="L123" s="94" t="s">
        <v>244</v>
      </c>
      <c r="M123" s="32">
        <v>1.23E-2</v>
      </c>
      <c r="N123" s="32">
        <v>3.0000000000000001E-3</v>
      </c>
      <c r="O123" s="103">
        <v>19529291.100801073</v>
      </c>
      <c r="P123" s="94">
        <v>106.86</v>
      </c>
      <c r="Q123" s="124">
        <v>0</v>
      </c>
      <c r="R123" s="124">
        <v>20869.000469715891</v>
      </c>
      <c r="S123" s="32">
        <v>1.3380066677218375E-2</v>
      </c>
      <c r="T123" s="32">
        <v>8.1487708978132331E-3</v>
      </c>
      <c r="U123" s="32">
        <v>1.7672816050856473E-3</v>
      </c>
    </row>
    <row r="124" spans="2:21" x14ac:dyDescent="0.2">
      <c r="B124" s="23" t="s">
        <v>753</v>
      </c>
      <c r="C124" s="32" t="s">
        <v>754</v>
      </c>
      <c r="D124" s="32" t="s">
        <v>423</v>
      </c>
      <c r="E124" s="32" t="s">
        <v>238</v>
      </c>
      <c r="F124" s="32" t="s">
        <v>755</v>
      </c>
      <c r="G124" s="32" t="s">
        <v>192</v>
      </c>
      <c r="H124" s="94" t="s">
        <v>345</v>
      </c>
      <c r="I124" s="94" t="s">
        <v>346</v>
      </c>
      <c r="J124" s="94" t="s">
        <v>756</v>
      </c>
      <c r="K124" s="94">
        <v>6.39</v>
      </c>
      <c r="L124" s="94" t="s">
        <v>244</v>
      </c>
      <c r="M124" s="32">
        <v>2.2499999999999999E-2</v>
      </c>
      <c r="N124" s="32">
        <v>3.3E-3</v>
      </c>
      <c r="O124" s="103">
        <v>3742387.3522552047</v>
      </c>
      <c r="P124" s="94">
        <v>115.5</v>
      </c>
      <c r="Q124" s="124">
        <v>0</v>
      </c>
      <c r="R124" s="124">
        <v>4322.4573912278302</v>
      </c>
      <c r="S124" s="32">
        <v>9.1474939072134238E-3</v>
      </c>
      <c r="T124" s="32">
        <v>1.6878007668737465E-3</v>
      </c>
      <c r="U124" s="32">
        <v>3.6604529514332971E-4</v>
      </c>
    </row>
    <row r="125" spans="2:21" x14ac:dyDescent="0.2">
      <c r="B125" s="23" t="s">
        <v>957</v>
      </c>
      <c r="C125" s="32" t="s">
        <v>958</v>
      </c>
      <c r="D125" s="32" t="s">
        <v>423</v>
      </c>
      <c r="E125" s="32" t="s">
        <v>238</v>
      </c>
      <c r="F125" s="32" t="s">
        <v>641</v>
      </c>
      <c r="G125" s="32" t="s">
        <v>581</v>
      </c>
      <c r="H125" s="94" t="s">
        <v>567</v>
      </c>
      <c r="I125" s="94" t="s">
        <v>243</v>
      </c>
      <c r="J125" s="94" t="s">
        <v>959</v>
      </c>
      <c r="K125" s="94">
        <v>6.15</v>
      </c>
      <c r="L125" s="94" t="s">
        <v>244</v>
      </c>
      <c r="M125" s="32">
        <v>1.4199999999999999E-2</v>
      </c>
      <c r="N125" s="32">
        <v>5.5000000000000005E-3</v>
      </c>
      <c r="O125" s="103">
        <v>7047031.449422705</v>
      </c>
      <c r="P125" s="94">
        <v>106.35</v>
      </c>
      <c r="Q125" s="124">
        <v>0</v>
      </c>
      <c r="R125" s="124">
        <v>7494.5179456663982</v>
      </c>
      <c r="S125" s="32">
        <v>1.4979342011739196E-2</v>
      </c>
      <c r="T125" s="32">
        <v>2.9264031987257313E-3</v>
      </c>
      <c r="U125" s="32">
        <v>6.3466976885552854E-4</v>
      </c>
    </row>
    <row r="126" spans="2:21" x14ac:dyDescent="0.2">
      <c r="B126" s="23" t="s">
        <v>831</v>
      </c>
      <c r="C126" s="32" t="s">
        <v>832</v>
      </c>
      <c r="D126" s="32" t="s">
        <v>423</v>
      </c>
      <c r="E126" s="32" t="s">
        <v>238</v>
      </c>
      <c r="F126" s="32" t="s">
        <v>833</v>
      </c>
      <c r="G126" s="32" t="s">
        <v>834</v>
      </c>
      <c r="H126" s="94" t="s">
        <v>567</v>
      </c>
      <c r="I126" s="94" t="s">
        <v>243</v>
      </c>
      <c r="J126" s="94" t="s">
        <v>835</v>
      </c>
      <c r="K126" s="94">
        <v>1.76</v>
      </c>
      <c r="L126" s="94" t="s">
        <v>244</v>
      </c>
      <c r="M126" s="32">
        <v>2.1499999999999998E-2</v>
      </c>
      <c r="N126" s="32">
        <v>1.6000000000000001E-3</v>
      </c>
      <c r="O126" s="103">
        <v>7932018.8602451477</v>
      </c>
      <c r="P126" s="94">
        <v>104.71</v>
      </c>
      <c r="Q126" s="124">
        <v>616.48102101000006</v>
      </c>
      <c r="R126" s="124">
        <v>8328.8396187726812</v>
      </c>
      <c r="S126" s="32">
        <v>1.0464546252054029E-2</v>
      </c>
      <c r="T126" s="32">
        <v>3.2521828727014577E-3</v>
      </c>
      <c r="U126" s="32">
        <v>7.0532391195858286E-4</v>
      </c>
    </row>
    <row r="127" spans="2:21" x14ac:dyDescent="0.2">
      <c r="B127" s="23" t="s">
        <v>863</v>
      </c>
      <c r="C127" s="32" t="s">
        <v>864</v>
      </c>
      <c r="D127" s="32" t="s">
        <v>423</v>
      </c>
      <c r="E127" s="32" t="s">
        <v>238</v>
      </c>
      <c r="F127" s="32" t="s">
        <v>833</v>
      </c>
      <c r="G127" s="32" t="s">
        <v>834</v>
      </c>
      <c r="H127" s="94" t="s">
        <v>567</v>
      </c>
      <c r="I127" s="94" t="s">
        <v>243</v>
      </c>
      <c r="J127" s="94" t="s">
        <v>517</v>
      </c>
      <c r="K127" s="94">
        <v>3.27</v>
      </c>
      <c r="L127" s="94" t="s">
        <v>244</v>
      </c>
      <c r="M127" s="32">
        <v>1.8000000000000002E-2</v>
      </c>
      <c r="N127" s="32">
        <v>3.2000000000000002E-3</v>
      </c>
      <c r="O127" s="103">
        <v>9793461.8893914595</v>
      </c>
      <c r="P127" s="94">
        <v>106.11</v>
      </c>
      <c r="Q127" s="124">
        <v>0</v>
      </c>
      <c r="R127" s="124">
        <v>10391.842409985582</v>
      </c>
      <c r="S127" s="32">
        <v>1.3533138662644602E-2</v>
      </c>
      <c r="T127" s="32">
        <v>4.057728741155407E-3</v>
      </c>
      <c r="U127" s="32">
        <v>8.8002834447041653E-4</v>
      </c>
    </row>
    <row r="128" spans="2:21" x14ac:dyDescent="0.2">
      <c r="B128" s="23" t="s">
        <v>846</v>
      </c>
      <c r="C128" s="32" t="s">
        <v>847</v>
      </c>
      <c r="D128" s="32" t="s">
        <v>423</v>
      </c>
      <c r="E128" s="32" t="s">
        <v>238</v>
      </c>
      <c r="F128" s="32" t="s">
        <v>848</v>
      </c>
      <c r="G128" s="32" t="s">
        <v>834</v>
      </c>
      <c r="H128" s="94" t="s">
        <v>838</v>
      </c>
      <c r="I128" s="94" t="s">
        <v>243</v>
      </c>
      <c r="J128" s="94" t="s">
        <v>849</v>
      </c>
      <c r="K128" s="94">
        <v>1.79</v>
      </c>
      <c r="L128" s="94" t="s">
        <v>244</v>
      </c>
      <c r="M128" s="32">
        <v>2.8500000000000001E-2</v>
      </c>
      <c r="N128" s="32">
        <v>1.5700000000000002E-2</v>
      </c>
      <c r="O128" s="103">
        <v>2212215.0218140665</v>
      </c>
      <c r="P128" s="94">
        <v>104.54</v>
      </c>
      <c r="Q128" s="124">
        <v>0</v>
      </c>
      <c r="R128" s="124">
        <v>2312.6495838044248</v>
      </c>
      <c r="S128" s="32">
        <v>1.011413793362125E-2</v>
      </c>
      <c r="T128" s="32">
        <v>9.030260770127791E-4</v>
      </c>
      <c r="U128" s="32">
        <v>1.9584565510923961E-4</v>
      </c>
    </row>
    <row r="129" spans="2:21" x14ac:dyDescent="0.2">
      <c r="B129" s="23" t="s">
        <v>930</v>
      </c>
      <c r="C129" s="32" t="s">
        <v>931</v>
      </c>
      <c r="D129" s="32" t="s">
        <v>423</v>
      </c>
      <c r="E129" s="32" t="s">
        <v>238</v>
      </c>
      <c r="F129" s="32" t="s">
        <v>848</v>
      </c>
      <c r="G129" s="32" t="s">
        <v>834</v>
      </c>
      <c r="H129" s="94" t="s">
        <v>838</v>
      </c>
      <c r="I129" s="94" t="s">
        <v>243</v>
      </c>
      <c r="J129" s="94" t="s">
        <v>932</v>
      </c>
      <c r="K129" s="94">
        <v>2.17</v>
      </c>
      <c r="L129" s="94" t="s">
        <v>244</v>
      </c>
      <c r="M129" s="32">
        <v>3.15E-2</v>
      </c>
      <c r="N129" s="32">
        <v>1.7899999999999999E-2</v>
      </c>
      <c r="O129" s="103">
        <v>6514949.6248352872</v>
      </c>
      <c r="P129" s="94">
        <v>104.2</v>
      </c>
      <c r="Q129" s="124">
        <v>0</v>
      </c>
      <c r="R129" s="124">
        <v>6788.5775085639643</v>
      </c>
      <c r="S129" s="32">
        <v>1.3725710413365738E-2</v>
      </c>
      <c r="T129" s="32">
        <v>2.6507528676139136E-3</v>
      </c>
      <c r="U129" s="32">
        <v>5.7488753105320992E-4</v>
      </c>
    </row>
    <row r="130" spans="2:21" x14ac:dyDescent="0.2">
      <c r="B130" s="23" t="s">
        <v>710</v>
      </c>
      <c r="C130" s="32" t="s">
        <v>711</v>
      </c>
      <c r="D130" s="32" t="s">
        <v>423</v>
      </c>
      <c r="E130" s="32" t="s">
        <v>238</v>
      </c>
      <c r="F130" s="32" t="s">
        <v>712</v>
      </c>
      <c r="G130" s="32" t="s">
        <v>598</v>
      </c>
      <c r="H130" s="94" t="s">
        <v>642</v>
      </c>
      <c r="I130" s="94" t="s">
        <v>346</v>
      </c>
      <c r="J130" s="94" t="s">
        <v>713</v>
      </c>
      <c r="K130" s="94">
        <v>0.8</v>
      </c>
      <c r="L130" s="94" t="s">
        <v>244</v>
      </c>
      <c r="M130" s="32">
        <v>4.7E-2</v>
      </c>
      <c r="N130" s="32">
        <v>2.5999999999999999E-3</v>
      </c>
      <c r="O130" s="103">
        <v>2433717.7053012457</v>
      </c>
      <c r="P130" s="94">
        <v>127.27999999999999</v>
      </c>
      <c r="Q130" s="124">
        <v>0</v>
      </c>
      <c r="R130" s="124">
        <v>3097.6358949859227</v>
      </c>
      <c r="S130" s="32">
        <v>2.4705754044706599E-2</v>
      </c>
      <c r="T130" s="32">
        <v>1.2095416486147877E-3</v>
      </c>
      <c r="U130" s="32">
        <v>2.623218560182516E-4</v>
      </c>
    </row>
    <row r="131" spans="2:21" x14ac:dyDescent="0.2">
      <c r="B131" s="23" t="s">
        <v>917</v>
      </c>
      <c r="C131" s="32" t="s">
        <v>918</v>
      </c>
      <c r="D131" s="32" t="s">
        <v>423</v>
      </c>
      <c r="E131" s="32" t="s">
        <v>238</v>
      </c>
      <c r="F131" s="32" t="s">
        <v>919</v>
      </c>
      <c r="G131" s="32" t="s">
        <v>581</v>
      </c>
      <c r="H131" s="94" t="s">
        <v>838</v>
      </c>
      <c r="I131" s="94" t="s">
        <v>243</v>
      </c>
      <c r="J131" s="94" t="s">
        <v>920</v>
      </c>
      <c r="K131" s="94">
        <v>6.51</v>
      </c>
      <c r="L131" s="94" t="s">
        <v>244</v>
      </c>
      <c r="M131" s="32">
        <v>1.83E-2</v>
      </c>
      <c r="N131" s="32">
        <v>2.5000000000000001E-3</v>
      </c>
      <c r="O131" s="103">
        <v>2500636.6859288891</v>
      </c>
      <c r="P131" s="94">
        <v>111.55</v>
      </c>
      <c r="Q131" s="124">
        <v>0</v>
      </c>
      <c r="R131" s="124">
        <v>2789.4602225642534</v>
      </c>
      <c r="S131" s="32">
        <v>9.6178334074188045E-3</v>
      </c>
      <c r="T131" s="32">
        <v>1.0892075217126425E-3</v>
      </c>
      <c r="U131" s="32">
        <v>2.3622414243603849E-4</v>
      </c>
    </row>
    <row r="132" spans="2:21" x14ac:dyDescent="0.2">
      <c r="B132" s="23" t="s">
        <v>876</v>
      </c>
      <c r="C132" s="32" t="s">
        <v>877</v>
      </c>
      <c r="D132" s="32" t="s">
        <v>423</v>
      </c>
      <c r="E132" s="32" t="s">
        <v>238</v>
      </c>
      <c r="F132" s="32" t="s">
        <v>878</v>
      </c>
      <c r="G132" s="32" t="s">
        <v>581</v>
      </c>
      <c r="H132" s="94" t="s">
        <v>642</v>
      </c>
      <c r="I132" s="94" t="s">
        <v>346</v>
      </c>
      <c r="J132" s="94" t="s">
        <v>879</v>
      </c>
      <c r="K132" s="94">
        <v>7.26</v>
      </c>
      <c r="L132" s="94" t="s">
        <v>244</v>
      </c>
      <c r="M132" s="32">
        <v>1.9E-2</v>
      </c>
      <c r="N132" s="32">
        <v>1.2199999999999999E-2</v>
      </c>
      <c r="O132" s="103">
        <v>4993295.9225101145</v>
      </c>
      <c r="P132" s="94">
        <v>106.26</v>
      </c>
      <c r="Q132" s="124">
        <v>0</v>
      </c>
      <c r="R132" s="124">
        <v>5305.8762471726568</v>
      </c>
      <c r="S132" s="32">
        <v>2.1529063256728303E-2</v>
      </c>
      <c r="T132" s="32">
        <v>2.0717987913748733E-3</v>
      </c>
      <c r="U132" s="32">
        <v>4.493256638762614E-4</v>
      </c>
    </row>
    <row r="133" spans="2:21" x14ac:dyDescent="0.2">
      <c r="B133" s="23" t="s">
        <v>836</v>
      </c>
      <c r="C133" s="32" t="s">
        <v>837</v>
      </c>
      <c r="D133" s="32" t="s">
        <v>423</v>
      </c>
      <c r="E133" s="32" t="s">
        <v>238</v>
      </c>
      <c r="F133" s="32" t="s">
        <v>818</v>
      </c>
      <c r="G133" s="32" t="s">
        <v>581</v>
      </c>
      <c r="H133" s="94" t="s">
        <v>838</v>
      </c>
      <c r="I133" s="94" t="s">
        <v>243</v>
      </c>
      <c r="J133" s="94" t="s">
        <v>839</v>
      </c>
      <c r="K133" s="94">
        <v>4.49</v>
      </c>
      <c r="L133" s="94" t="s">
        <v>244</v>
      </c>
      <c r="M133" s="32">
        <v>3.7000000000000005E-2</v>
      </c>
      <c r="N133" s="32">
        <v>4.0999999999999995E-3</v>
      </c>
      <c r="O133" s="103">
        <v>2458534.1045164224</v>
      </c>
      <c r="P133" s="94">
        <v>116.19</v>
      </c>
      <c r="Q133" s="124">
        <v>0</v>
      </c>
      <c r="R133" s="124">
        <v>2856.5707751367795</v>
      </c>
      <c r="S133" s="32">
        <v>3.8469738748116186E-3</v>
      </c>
      <c r="T133" s="32">
        <v>1.1154123473118729E-3</v>
      </c>
      <c r="U133" s="32">
        <v>2.4190736838836284E-4</v>
      </c>
    </row>
    <row r="134" spans="2:21" x14ac:dyDescent="0.2">
      <c r="B134" s="23" t="s">
        <v>865</v>
      </c>
      <c r="C134" s="32" t="s">
        <v>866</v>
      </c>
      <c r="D134" s="32" t="s">
        <v>423</v>
      </c>
      <c r="E134" s="32" t="s">
        <v>238</v>
      </c>
      <c r="F134" s="32" t="s">
        <v>818</v>
      </c>
      <c r="G134" s="32" t="s">
        <v>581</v>
      </c>
      <c r="H134" s="94" t="s">
        <v>838</v>
      </c>
      <c r="I134" s="94" t="s">
        <v>243</v>
      </c>
      <c r="J134" s="94" t="s">
        <v>867</v>
      </c>
      <c r="K134" s="94">
        <v>6.56</v>
      </c>
      <c r="L134" s="94" t="s">
        <v>244</v>
      </c>
      <c r="M134" s="32">
        <v>2.81E-2</v>
      </c>
      <c r="N134" s="32">
        <v>6.5000000000000006E-3</v>
      </c>
      <c r="O134" s="103">
        <v>1238485.0976396825</v>
      </c>
      <c r="P134" s="94">
        <v>116.91</v>
      </c>
      <c r="Q134" s="124">
        <v>0</v>
      </c>
      <c r="R134" s="124">
        <v>1447.9129272486739</v>
      </c>
      <c r="S134" s="32">
        <v>2.4901933710992389E-3</v>
      </c>
      <c r="T134" s="32">
        <v>5.6537018824899153E-4</v>
      </c>
      <c r="U134" s="32">
        <v>1.2261583326933197E-4</v>
      </c>
    </row>
    <row r="135" spans="2:21" x14ac:dyDescent="0.2">
      <c r="B135" s="23" t="s">
        <v>975</v>
      </c>
      <c r="C135" s="32" t="s">
        <v>976</v>
      </c>
      <c r="D135" s="32" t="s">
        <v>423</v>
      </c>
      <c r="E135" s="32" t="s">
        <v>238</v>
      </c>
      <c r="F135" s="32" t="s">
        <v>818</v>
      </c>
      <c r="G135" s="32" t="s">
        <v>581</v>
      </c>
      <c r="H135" s="94" t="s">
        <v>642</v>
      </c>
      <c r="I135" s="94" t="s">
        <v>346</v>
      </c>
      <c r="J135" s="94" t="s">
        <v>977</v>
      </c>
      <c r="K135" s="94">
        <v>3.29</v>
      </c>
      <c r="L135" s="94" t="s">
        <v>244</v>
      </c>
      <c r="M135" s="32">
        <v>4.4000000000000004E-2</v>
      </c>
      <c r="N135" s="32">
        <v>7.000000000000001E-4</v>
      </c>
      <c r="O135" s="103">
        <v>435152.51831989543</v>
      </c>
      <c r="P135" s="94">
        <v>115.59000000000002</v>
      </c>
      <c r="Q135" s="124">
        <v>0</v>
      </c>
      <c r="R135" s="124">
        <v>502.99279518918905</v>
      </c>
      <c r="S135" s="32">
        <v>1.6775218322136892E-3</v>
      </c>
      <c r="T135" s="32">
        <v>1.9640485691661862E-4</v>
      </c>
      <c r="U135" s="32">
        <v>4.259571107482792E-5</v>
      </c>
    </row>
    <row r="136" spans="2:21" x14ac:dyDescent="0.2">
      <c r="B136" s="23" t="s">
        <v>978</v>
      </c>
      <c r="C136" s="32" t="s">
        <v>979</v>
      </c>
      <c r="D136" s="32" t="s">
        <v>423</v>
      </c>
      <c r="E136" s="32" t="s">
        <v>238</v>
      </c>
      <c r="F136" s="32" t="s">
        <v>818</v>
      </c>
      <c r="G136" s="32" t="s">
        <v>581</v>
      </c>
      <c r="H136" s="94" t="s">
        <v>642</v>
      </c>
      <c r="I136" s="94" t="s">
        <v>346</v>
      </c>
      <c r="J136" s="94" t="s">
        <v>977</v>
      </c>
      <c r="K136" s="94">
        <v>5.31</v>
      </c>
      <c r="L136" s="94" t="s">
        <v>244</v>
      </c>
      <c r="M136" s="32">
        <v>2.4E-2</v>
      </c>
      <c r="N136" s="32">
        <v>4.0000000000000001E-3</v>
      </c>
      <c r="O136" s="103">
        <v>1548336.4252436031</v>
      </c>
      <c r="P136" s="94">
        <v>113.04</v>
      </c>
      <c r="Q136" s="124">
        <v>0</v>
      </c>
      <c r="R136" s="124">
        <v>1750.2394948150184</v>
      </c>
      <c r="S136" s="32">
        <v>3.1531121067667621E-3</v>
      </c>
      <c r="T136" s="32">
        <v>6.8342040052415238E-4</v>
      </c>
      <c r="U136" s="32">
        <v>1.4821821812547443E-4</v>
      </c>
    </row>
    <row r="137" spans="2:21" x14ac:dyDescent="0.2">
      <c r="B137" s="23" t="s">
        <v>980</v>
      </c>
      <c r="C137" s="32" t="s">
        <v>981</v>
      </c>
      <c r="D137" s="32" t="s">
        <v>423</v>
      </c>
      <c r="E137" s="32" t="s">
        <v>238</v>
      </c>
      <c r="F137" s="32" t="s">
        <v>818</v>
      </c>
      <c r="G137" s="32" t="s">
        <v>581</v>
      </c>
      <c r="H137" s="94" t="s">
        <v>642</v>
      </c>
      <c r="I137" s="94" t="s">
        <v>346</v>
      </c>
      <c r="J137" s="94" t="s">
        <v>977</v>
      </c>
      <c r="K137" s="94">
        <v>6.41</v>
      </c>
      <c r="L137" s="94" t="s">
        <v>244</v>
      </c>
      <c r="M137" s="32">
        <v>2.6000000000000002E-2</v>
      </c>
      <c r="N137" s="32">
        <v>7.4000000000000003E-3</v>
      </c>
      <c r="O137" s="103">
        <v>4840139.7515536947</v>
      </c>
      <c r="P137" s="94">
        <v>113.62</v>
      </c>
      <c r="Q137" s="124">
        <v>0</v>
      </c>
      <c r="R137" s="124">
        <v>5499.366784671065</v>
      </c>
      <c r="S137" s="32">
        <v>8.2273661350202604E-3</v>
      </c>
      <c r="T137" s="32">
        <v>2.1473515263157402E-3</v>
      </c>
      <c r="U137" s="32">
        <v>4.6571132011194438E-4</v>
      </c>
    </row>
    <row r="138" spans="2:21" x14ac:dyDescent="0.2">
      <c r="B138" s="23" t="s">
        <v>639</v>
      </c>
      <c r="C138" s="32" t="s">
        <v>640</v>
      </c>
      <c r="D138" s="32" t="s">
        <v>423</v>
      </c>
      <c r="E138" s="32" t="s">
        <v>238</v>
      </c>
      <c r="F138" s="32" t="s">
        <v>641</v>
      </c>
      <c r="G138" s="32" t="s">
        <v>581</v>
      </c>
      <c r="H138" s="94" t="s">
        <v>642</v>
      </c>
      <c r="I138" s="94" t="s">
        <v>346</v>
      </c>
      <c r="J138" s="94" t="s">
        <v>643</v>
      </c>
      <c r="K138" s="94">
        <v>0.5</v>
      </c>
      <c r="L138" s="94" t="s">
        <v>244</v>
      </c>
      <c r="M138" s="32">
        <v>4.4999999999999998E-2</v>
      </c>
      <c r="N138" s="32">
        <v>-6.8999999999999999E-3</v>
      </c>
      <c r="O138" s="103">
        <v>2966129.199229423</v>
      </c>
      <c r="P138" s="94">
        <v>111.38</v>
      </c>
      <c r="Q138" s="124">
        <v>0</v>
      </c>
      <c r="R138" s="124">
        <v>3303.674701909687</v>
      </c>
      <c r="S138" s="32">
        <v>1.7071247189809628E-2</v>
      </c>
      <c r="T138" s="32">
        <v>1.2899941377561323E-3</v>
      </c>
      <c r="U138" s="32">
        <v>2.7977015661791703E-4</v>
      </c>
    </row>
    <row r="139" spans="2:21" x14ac:dyDescent="0.2">
      <c r="B139" s="23" t="s">
        <v>698</v>
      </c>
      <c r="C139" s="32" t="s">
        <v>699</v>
      </c>
      <c r="D139" s="32" t="s">
        <v>423</v>
      </c>
      <c r="E139" s="32" t="s">
        <v>238</v>
      </c>
      <c r="F139" s="32" t="s">
        <v>641</v>
      </c>
      <c r="G139" s="32" t="s">
        <v>581</v>
      </c>
      <c r="H139" s="94" t="s">
        <v>642</v>
      </c>
      <c r="I139" s="94" t="s">
        <v>346</v>
      </c>
      <c r="J139" s="94" t="s">
        <v>700</v>
      </c>
      <c r="K139" s="94">
        <v>2.4900000000000002</v>
      </c>
      <c r="L139" s="94" t="s">
        <v>244</v>
      </c>
      <c r="M139" s="32">
        <v>3.3000000000000002E-2</v>
      </c>
      <c r="N139" s="32">
        <v>4.0000000000000002E-4</v>
      </c>
      <c r="O139" s="103">
        <v>5391452.964985434</v>
      </c>
      <c r="P139" s="94">
        <v>109.06</v>
      </c>
      <c r="Q139" s="124">
        <v>0</v>
      </c>
      <c r="R139" s="124">
        <v>5879.9186034311433</v>
      </c>
      <c r="S139" s="32">
        <v>9.7782787285994512E-3</v>
      </c>
      <c r="T139" s="32">
        <v>2.2959465484070993E-3</v>
      </c>
      <c r="U139" s="32">
        <v>4.9793817400715294E-4</v>
      </c>
    </row>
    <row r="140" spans="2:21" x14ac:dyDescent="0.2">
      <c r="B140" s="23" t="s">
        <v>927</v>
      </c>
      <c r="C140" s="32" t="s">
        <v>928</v>
      </c>
      <c r="D140" s="32" t="s">
        <v>423</v>
      </c>
      <c r="E140" s="32" t="s">
        <v>238</v>
      </c>
      <c r="F140" s="32" t="s">
        <v>641</v>
      </c>
      <c r="G140" s="32" t="s">
        <v>581</v>
      </c>
      <c r="H140" s="94" t="s">
        <v>642</v>
      </c>
      <c r="I140" s="94" t="s">
        <v>346</v>
      </c>
      <c r="J140" s="94" t="s">
        <v>929</v>
      </c>
      <c r="K140" s="94">
        <v>4.47</v>
      </c>
      <c r="L140" s="94" t="s">
        <v>244</v>
      </c>
      <c r="M140" s="32">
        <v>1.6E-2</v>
      </c>
      <c r="N140" s="32">
        <v>1.2999999999999999E-3</v>
      </c>
      <c r="O140" s="103">
        <v>3647269.8202496972</v>
      </c>
      <c r="P140" s="94">
        <v>109.02000000000001</v>
      </c>
      <c r="Q140" s="124">
        <v>0</v>
      </c>
      <c r="R140" s="124">
        <v>3976.2535576632763</v>
      </c>
      <c r="S140" s="32">
        <v>2.3008215200322431E-2</v>
      </c>
      <c r="T140" s="32">
        <v>1.5526176886158246E-3</v>
      </c>
      <c r="U140" s="32">
        <v>3.3672718440982133E-4</v>
      </c>
    </row>
    <row r="141" spans="2:21" x14ac:dyDescent="0.2">
      <c r="B141" s="23" t="s">
        <v>1061</v>
      </c>
      <c r="C141" s="32" t="s">
        <v>1062</v>
      </c>
      <c r="D141" s="32" t="s">
        <v>423</v>
      </c>
      <c r="E141" s="32" t="s">
        <v>238</v>
      </c>
      <c r="F141" s="32" t="s">
        <v>1063</v>
      </c>
      <c r="G141" s="32" t="s">
        <v>192</v>
      </c>
      <c r="H141" s="94" t="s">
        <v>582</v>
      </c>
      <c r="I141" s="94" t="s">
        <v>346</v>
      </c>
      <c r="J141" s="94" t="s">
        <v>1064</v>
      </c>
      <c r="K141" s="94">
        <v>0.95</v>
      </c>
      <c r="L141" s="94" t="s">
        <v>244</v>
      </c>
      <c r="M141" s="32">
        <v>4.2999999999999997E-2</v>
      </c>
      <c r="N141" s="32">
        <v>2.8000000000000004E-3</v>
      </c>
      <c r="O141" s="103">
        <v>2315894.432684042</v>
      </c>
      <c r="P141" s="94">
        <v>106.03</v>
      </c>
      <c r="Q141" s="124">
        <v>0</v>
      </c>
      <c r="R141" s="124">
        <v>2455.5428669748899</v>
      </c>
      <c r="S141" s="32">
        <v>1.9299120272367017E-2</v>
      </c>
      <c r="T141" s="32">
        <v>9.5882197529176955E-4</v>
      </c>
      <c r="U141" s="32">
        <v>2.0794650637923317E-4</v>
      </c>
    </row>
    <row r="142" spans="2:21" x14ac:dyDescent="0.2">
      <c r="B142" s="23" t="s">
        <v>670</v>
      </c>
      <c r="C142" s="32" t="s">
        <v>671</v>
      </c>
      <c r="D142" s="32" t="s">
        <v>423</v>
      </c>
      <c r="E142" s="32" t="s">
        <v>238</v>
      </c>
      <c r="F142" s="32" t="s">
        <v>672</v>
      </c>
      <c r="G142" s="32" t="s">
        <v>566</v>
      </c>
      <c r="H142" s="94" t="s">
        <v>582</v>
      </c>
      <c r="I142" s="94" t="s">
        <v>346</v>
      </c>
      <c r="J142" s="94" t="s">
        <v>673</v>
      </c>
      <c r="K142" s="94">
        <v>0.56999999999999995</v>
      </c>
      <c r="L142" s="94" t="s">
        <v>244</v>
      </c>
      <c r="M142" s="32">
        <v>4.8000000000000001E-2</v>
      </c>
      <c r="N142" s="32">
        <v>1.6000000000000001E-3</v>
      </c>
      <c r="O142" s="103">
        <v>406881.95344911423</v>
      </c>
      <c r="P142" s="94">
        <v>107.74</v>
      </c>
      <c r="Q142" s="124">
        <v>0</v>
      </c>
      <c r="R142" s="124">
        <v>438.37461656419958</v>
      </c>
      <c r="S142" s="32">
        <v>3.8055023649511831E-3</v>
      </c>
      <c r="T142" s="32">
        <v>1.7117323481698196E-4</v>
      </c>
      <c r="U142" s="32">
        <v>3.7123550651821467E-5</v>
      </c>
    </row>
    <row r="143" spans="2:21" x14ac:dyDescent="0.2">
      <c r="B143" s="23" t="s">
        <v>714</v>
      </c>
      <c r="C143" s="32" t="s">
        <v>715</v>
      </c>
      <c r="D143" s="32" t="s">
        <v>423</v>
      </c>
      <c r="E143" s="32" t="s">
        <v>238</v>
      </c>
      <c r="F143" s="32" t="s">
        <v>672</v>
      </c>
      <c r="G143" s="32" t="s">
        <v>566</v>
      </c>
      <c r="H143" s="94" t="s">
        <v>582</v>
      </c>
      <c r="I143" s="94" t="s">
        <v>346</v>
      </c>
      <c r="J143" s="94" t="s">
        <v>716</v>
      </c>
      <c r="K143" s="94">
        <v>1.4</v>
      </c>
      <c r="L143" s="94" t="s">
        <v>244</v>
      </c>
      <c r="M143" s="32">
        <v>1.8500000000000003E-2</v>
      </c>
      <c r="N143" s="32">
        <v>6.8000000000000005E-3</v>
      </c>
      <c r="O143" s="103">
        <v>713414.25174919923</v>
      </c>
      <c r="P143" s="94">
        <v>102.60000000000001</v>
      </c>
      <c r="Q143" s="124">
        <v>0</v>
      </c>
      <c r="R143" s="124">
        <v>731.96302186815092</v>
      </c>
      <c r="S143" s="32">
        <v>6.3245944304007023E-3</v>
      </c>
      <c r="T143" s="32">
        <v>2.8581143498128549E-4</v>
      </c>
      <c r="U143" s="32">
        <v>6.1985948298179196E-5</v>
      </c>
    </row>
    <row r="144" spans="2:21" x14ac:dyDescent="0.2">
      <c r="B144" s="23" t="s">
        <v>589</v>
      </c>
      <c r="C144" s="32" t="s">
        <v>590</v>
      </c>
      <c r="D144" s="32" t="s">
        <v>423</v>
      </c>
      <c r="E144" s="32" t="s">
        <v>238</v>
      </c>
      <c r="F144" s="32" t="s">
        <v>591</v>
      </c>
      <c r="G144" s="32" t="s">
        <v>592</v>
      </c>
      <c r="H144" s="94" t="s">
        <v>593</v>
      </c>
      <c r="I144" s="94" t="s">
        <v>243</v>
      </c>
      <c r="J144" s="94" t="s">
        <v>594</v>
      </c>
      <c r="K144" s="94">
        <v>0.41</v>
      </c>
      <c r="L144" s="94" t="s">
        <v>244</v>
      </c>
      <c r="M144" s="32">
        <v>4.8499999999999995E-2</v>
      </c>
      <c r="N144" s="32">
        <v>3.4000000000000002E-3</v>
      </c>
      <c r="O144" s="103">
        <v>291480.74418160372</v>
      </c>
      <c r="P144" s="94">
        <v>124.6</v>
      </c>
      <c r="Q144" s="124">
        <v>0</v>
      </c>
      <c r="R144" s="124">
        <v>363.18500678517034</v>
      </c>
      <c r="S144" s="32">
        <v>4.2861064347383907E-3</v>
      </c>
      <c r="T144" s="32">
        <v>1.4181375950936422E-4</v>
      </c>
      <c r="U144" s="32">
        <v>3.0756153495025326E-5</v>
      </c>
    </row>
    <row r="145" spans="2:21" x14ac:dyDescent="0.2">
      <c r="B145" s="23" t="s">
        <v>648</v>
      </c>
      <c r="C145" s="32" t="s">
        <v>649</v>
      </c>
      <c r="D145" s="32" t="s">
        <v>423</v>
      </c>
      <c r="E145" s="32" t="s">
        <v>238</v>
      </c>
      <c r="F145" s="32" t="s">
        <v>591</v>
      </c>
      <c r="G145" s="32" t="s">
        <v>592</v>
      </c>
      <c r="H145" s="94" t="s">
        <v>593</v>
      </c>
      <c r="I145" s="94" t="s">
        <v>243</v>
      </c>
      <c r="J145" s="94" t="s">
        <v>650</v>
      </c>
      <c r="K145" s="94">
        <v>0.99</v>
      </c>
      <c r="L145" s="94" t="s">
        <v>244</v>
      </c>
      <c r="M145" s="32">
        <v>5.5E-2</v>
      </c>
      <c r="N145" s="32">
        <v>1.8E-3</v>
      </c>
      <c r="O145" s="103">
        <v>403601.15944447782</v>
      </c>
      <c r="P145" s="94">
        <v>110.08</v>
      </c>
      <c r="Q145" s="124">
        <v>223.10550751</v>
      </c>
      <c r="R145" s="124">
        <v>445.24758467110968</v>
      </c>
      <c r="S145" s="32">
        <v>3.6327737123715377E-2</v>
      </c>
      <c r="T145" s="32">
        <v>1.7385693989296111E-4</v>
      </c>
      <c r="U145" s="32">
        <v>3.7705584761471754E-5</v>
      </c>
    </row>
    <row r="146" spans="2:21" x14ac:dyDescent="0.2">
      <c r="B146" s="23" t="s">
        <v>717</v>
      </c>
      <c r="C146" s="32" t="s">
        <v>718</v>
      </c>
      <c r="D146" s="32" t="s">
        <v>423</v>
      </c>
      <c r="E146" s="32" t="s">
        <v>238</v>
      </c>
      <c r="F146" s="32" t="s">
        <v>719</v>
      </c>
      <c r="G146" s="32" t="s">
        <v>592</v>
      </c>
      <c r="H146" s="94" t="s">
        <v>593</v>
      </c>
      <c r="I146" s="94" t="s">
        <v>243</v>
      </c>
      <c r="J146" s="94" t="s">
        <v>720</v>
      </c>
      <c r="K146" s="94">
        <v>3.02</v>
      </c>
      <c r="L146" s="94" t="s">
        <v>244</v>
      </c>
      <c r="M146" s="32">
        <v>2.4E-2</v>
      </c>
      <c r="N146" s="32">
        <v>7.9000000000000008E-3</v>
      </c>
      <c r="O146" s="103">
        <v>408979.36933741439</v>
      </c>
      <c r="P146" s="94">
        <v>106.1</v>
      </c>
      <c r="Q146" s="124">
        <v>0</v>
      </c>
      <c r="R146" s="124">
        <v>433.92711009538908</v>
      </c>
      <c r="S146" s="32">
        <v>1.0171859204374202E-3</v>
      </c>
      <c r="T146" s="32">
        <v>1.6943660582349128E-4</v>
      </c>
      <c r="U146" s="32">
        <v>3.6746915633664548E-5</v>
      </c>
    </row>
    <row r="147" spans="2:21" x14ac:dyDescent="0.2">
      <c r="B147" s="23" t="s">
        <v>613</v>
      </c>
      <c r="C147" s="32" t="s">
        <v>614</v>
      </c>
      <c r="D147" s="32" t="s">
        <v>423</v>
      </c>
      <c r="E147" s="32" t="s">
        <v>238</v>
      </c>
      <c r="F147" s="32" t="s">
        <v>615</v>
      </c>
      <c r="G147" s="32" t="s">
        <v>607</v>
      </c>
      <c r="H147" s="94" t="s">
        <v>593</v>
      </c>
      <c r="I147" s="94" t="s">
        <v>243</v>
      </c>
      <c r="J147" s="94" t="s">
        <v>616</v>
      </c>
      <c r="K147" s="94">
        <v>0.5</v>
      </c>
      <c r="L147" s="94" t="s">
        <v>244</v>
      </c>
      <c r="M147" s="32">
        <v>4.8000000000000001E-2</v>
      </c>
      <c r="N147" s="32">
        <v>-7.4000000000000003E-3</v>
      </c>
      <c r="O147" s="103">
        <v>1488013.9028580189</v>
      </c>
      <c r="P147" s="94">
        <v>122</v>
      </c>
      <c r="Q147" s="124">
        <v>0</v>
      </c>
      <c r="R147" s="124">
        <v>1815.3769610581121</v>
      </c>
      <c r="S147" s="32">
        <v>1.4546463804874961E-2</v>
      </c>
      <c r="T147" s="32">
        <v>7.088547901610338E-4</v>
      </c>
      <c r="U147" s="32">
        <v>1.5373435417906061E-4</v>
      </c>
    </row>
    <row r="148" spans="2:21" x14ac:dyDescent="0.2">
      <c r="B148" s="23" t="s">
        <v>783</v>
      </c>
      <c r="C148" s="32" t="s">
        <v>784</v>
      </c>
      <c r="D148" s="32" t="s">
        <v>423</v>
      </c>
      <c r="E148" s="32" t="s">
        <v>238</v>
      </c>
      <c r="F148" s="32" t="s">
        <v>615</v>
      </c>
      <c r="G148" s="32" t="s">
        <v>607</v>
      </c>
      <c r="H148" s="94" t="s">
        <v>593</v>
      </c>
      <c r="I148" s="94" t="s">
        <v>243</v>
      </c>
      <c r="J148" s="94" t="s">
        <v>785</v>
      </c>
      <c r="K148" s="94">
        <v>0.25</v>
      </c>
      <c r="L148" s="94" t="s">
        <v>244</v>
      </c>
      <c r="M148" s="32">
        <v>5.6900000000000006E-2</v>
      </c>
      <c r="N148" s="32">
        <v>1.84E-2</v>
      </c>
      <c r="O148" s="103">
        <v>808669.58322432172</v>
      </c>
      <c r="P148" s="94">
        <v>124.98</v>
      </c>
      <c r="Q148" s="124">
        <v>0</v>
      </c>
      <c r="R148" s="124">
        <v>1010.6752444542471</v>
      </c>
      <c r="S148" s="32">
        <v>7.611007842111263E-3</v>
      </c>
      <c r="T148" s="32">
        <v>3.9464089480952354E-4</v>
      </c>
      <c r="U148" s="32">
        <v>8.558856332536885E-5</v>
      </c>
    </row>
    <row r="149" spans="2:21" x14ac:dyDescent="0.2">
      <c r="B149" s="23" t="s">
        <v>1035</v>
      </c>
      <c r="C149" s="32" t="s">
        <v>1036</v>
      </c>
      <c r="D149" s="32" t="s">
        <v>423</v>
      </c>
      <c r="E149" s="32" t="s">
        <v>238</v>
      </c>
      <c r="F149" s="32" t="s">
        <v>1003</v>
      </c>
      <c r="G149" s="32" t="s">
        <v>191</v>
      </c>
      <c r="H149" s="94" t="s">
        <v>593</v>
      </c>
      <c r="I149" s="94" t="s">
        <v>243</v>
      </c>
      <c r="J149" s="94" t="s">
        <v>1037</v>
      </c>
      <c r="K149" s="94">
        <v>1.92</v>
      </c>
      <c r="L149" s="94" t="s">
        <v>244</v>
      </c>
      <c r="M149" s="32">
        <v>5.0999999999999997E-2</v>
      </c>
      <c r="N149" s="32">
        <v>1.7000000000000001E-3</v>
      </c>
      <c r="O149" s="103">
        <v>9748416.9282010831</v>
      </c>
      <c r="P149" s="94">
        <v>133.5</v>
      </c>
      <c r="Q149" s="124">
        <v>151.05616800000001</v>
      </c>
      <c r="R149" s="124">
        <v>13165.1927671878</v>
      </c>
      <c r="S149" s="32">
        <v>8.4972600573958428E-3</v>
      </c>
      <c r="T149" s="32">
        <v>5.1406458033790891E-3</v>
      </c>
      <c r="U149" s="32">
        <v>1.1148882304459673E-3</v>
      </c>
    </row>
    <row r="150" spans="2:21" x14ac:dyDescent="0.2">
      <c r="B150" s="23" t="s">
        <v>609</v>
      </c>
      <c r="C150" s="32" t="s">
        <v>610</v>
      </c>
      <c r="D150" s="32" t="s">
        <v>423</v>
      </c>
      <c r="E150" s="32" t="s">
        <v>238</v>
      </c>
      <c r="F150" s="32" t="s">
        <v>611</v>
      </c>
      <c r="G150" s="32" t="s">
        <v>598</v>
      </c>
      <c r="H150" s="94" t="s">
        <v>593</v>
      </c>
      <c r="I150" s="94" t="s">
        <v>243</v>
      </c>
      <c r="J150" s="94" t="s">
        <v>612</v>
      </c>
      <c r="K150" s="94">
        <v>0.69</v>
      </c>
      <c r="L150" s="94" t="s">
        <v>244</v>
      </c>
      <c r="M150" s="32">
        <v>4.9500000000000002E-2</v>
      </c>
      <c r="N150" s="32">
        <v>1.03E-2</v>
      </c>
      <c r="O150" s="103">
        <v>8125305.575456582</v>
      </c>
      <c r="P150" s="94">
        <v>127.07</v>
      </c>
      <c r="Q150" s="124">
        <v>0</v>
      </c>
      <c r="R150" s="124">
        <v>10324.825794206485</v>
      </c>
      <c r="S150" s="32">
        <v>8.2434873007072584E-3</v>
      </c>
      <c r="T150" s="32">
        <v>4.0315605952912521E-3</v>
      </c>
      <c r="U150" s="32">
        <v>8.7435307351178284E-4</v>
      </c>
    </row>
    <row r="151" spans="2:21" x14ac:dyDescent="0.2">
      <c r="B151" s="23" t="s">
        <v>827</v>
      </c>
      <c r="C151" s="32" t="s">
        <v>828</v>
      </c>
      <c r="D151" s="32" t="s">
        <v>423</v>
      </c>
      <c r="E151" s="32" t="s">
        <v>238</v>
      </c>
      <c r="F151" s="32" t="s">
        <v>829</v>
      </c>
      <c r="G151" s="32" t="s">
        <v>581</v>
      </c>
      <c r="H151" s="94" t="s">
        <v>593</v>
      </c>
      <c r="I151" s="94" t="s">
        <v>243</v>
      </c>
      <c r="J151" s="94" t="s">
        <v>830</v>
      </c>
      <c r="K151" s="94">
        <v>4.1399999999999997</v>
      </c>
      <c r="L151" s="94" t="s">
        <v>244</v>
      </c>
      <c r="M151" s="32">
        <v>2.0499999999999997E-2</v>
      </c>
      <c r="N151" s="32">
        <v>5.1999999999999998E-3</v>
      </c>
      <c r="O151" s="103">
        <v>4620621.9889272843</v>
      </c>
      <c r="P151" s="94">
        <v>108.49</v>
      </c>
      <c r="Q151" s="124">
        <v>0</v>
      </c>
      <c r="R151" s="124">
        <v>5012.9127957872106</v>
      </c>
      <c r="S151" s="32">
        <v>8.144531931410846E-3</v>
      </c>
      <c r="T151" s="32">
        <v>1.9574046185328641E-3</v>
      </c>
      <c r="U151" s="32">
        <v>4.2451619016202024E-4</v>
      </c>
    </row>
    <row r="152" spans="2:21" x14ac:dyDescent="0.2">
      <c r="B152" s="23" t="s">
        <v>868</v>
      </c>
      <c r="C152" s="32" t="s">
        <v>869</v>
      </c>
      <c r="D152" s="32" t="s">
        <v>423</v>
      </c>
      <c r="E152" s="32" t="s">
        <v>238</v>
      </c>
      <c r="F152" s="32" t="s">
        <v>829</v>
      </c>
      <c r="G152" s="32" t="s">
        <v>581</v>
      </c>
      <c r="H152" s="94" t="s">
        <v>593</v>
      </c>
      <c r="I152" s="94" t="s">
        <v>243</v>
      </c>
      <c r="J152" s="94" t="s">
        <v>870</v>
      </c>
      <c r="K152" s="94">
        <v>5.01</v>
      </c>
      <c r="L152" s="94" t="s">
        <v>244</v>
      </c>
      <c r="M152" s="32">
        <v>2.0499999999999997E-2</v>
      </c>
      <c r="N152" s="32">
        <v>6.6E-3</v>
      </c>
      <c r="O152" s="103">
        <v>7182380.6052052053</v>
      </c>
      <c r="P152" s="94">
        <v>109.94</v>
      </c>
      <c r="Q152" s="124">
        <v>0</v>
      </c>
      <c r="R152" s="124">
        <v>7896.3092373626023</v>
      </c>
      <c r="S152" s="32">
        <v>1.2561682436797388E-2</v>
      </c>
      <c r="T152" s="32">
        <v>3.0832916510270311E-3</v>
      </c>
      <c r="U152" s="32">
        <v>6.6869527764444896E-4</v>
      </c>
    </row>
    <row r="153" spans="2:21" x14ac:dyDescent="0.2">
      <c r="B153" s="23" t="s">
        <v>982</v>
      </c>
      <c r="C153" s="32" t="s">
        <v>983</v>
      </c>
      <c r="D153" s="32" t="s">
        <v>423</v>
      </c>
      <c r="E153" s="32" t="s">
        <v>238</v>
      </c>
      <c r="F153" s="32" t="s">
        <v>829</v>
      </c>
      <c r="G153" s="32" t="s">
        <v>581</v>
      </c>
      <c r="H153" s="94" t="s">
        <v>593</v>
      </c>
      <c r="I153" s="94" t="s">
        <v>243</v>
      </c>
      <c r="J153" s="94" t="s">
        <v>984</v>
      </c>
      <c r="K153" s="94">
        <v>5</v>
      </c>
      <c r="L153" s="94" t="s">
        <v>244</v>
      </c>
      <c r="M153" s="32">
        <v>2.0499999999999997E-2</v>
      </c>
      <c r="N153" s="32">
        <v>2.0499999999999997E-2</v>
      </c>
      <c r="O153" s="103">
        <v>1517494.9174829263</v>
      </c>
      <c r="P153" s="94">
        <v>108.95000000000002</v>
      </c>
      <c r="Q153" s="124">
        <v>0</v>
      </c>
      <c r="R153" s="124">
        <v>1653.310712597648</v>
      </c>
      <c r="S153" s="32">
        <v>3.0242898973091726E-3</v>
      </c>
      <c r="T153" s="32">
        <v>6.4557237609003647E-4</v>
      </c>
      <c r="U153" s="32">
        <v>1.400098492548764E-4</v>
      </c>
    </row>
    <row r="154" spans="2:21" x14ac:dyDescent="0.2">
      <c r="B154" s="23" t="s">
        <v>578</v>
      </c>
      <c r="C154" s="32" t="s">
        <v>579</v>
      </c>
      <c r="D154" s="32" t="s">
        <v>423</v>
      </c>
      <c r="E154" s="32" t="s">
        <v>238</v>
      </c>
      <c r="F154" s="32" t="s">
        <v>580</v>
      </c>
      <c r="G154" s="32" t="s">
        <v>581</v>
      </c>
      <c r="H154" s="94" t="s">
        <v>582</v>
      </c>
      <c r="I154" s="94" t="s">
        <v>346</v>
      </c>
      <c r="J154" s="94" t="s">
        <v>583</v>
      </c>
      <c r="K154" s="94">
        <v>3.3</v>
      </c>
      <c r="L154" s="94" t="s">
        <v>244</v>
      </c>
      <c r="M154" s="32">
        <v>4.9500000000000002E-2</v>
      </c>
      <c r="N154" s="32">
        <v>1.32E-2</v>
      </c>
      <c r="O154" s="103">
        <v>813864.78172986186</v>
      </c>
      <c r="P154" s="94">
        <v>136.52000000000001</v>
      </c>
      <c r="Q154" s="124">
        <v>0</v>
      </c>
      <c r="R154" s="124">
        <v>1111.0881992888669</v>
      </c>
      <c r="S154" s="32">
        <v>5.037356849672581E-4</v>
      </c>
      <c r="T154" s="32">
        <v>4.3384939285461097E-4</v>
      </c>
      <c r="U154" s="32">
        <v>9.4091987734651805E-5</v>
      </c>
    </row>
    <row r="155" spans="2:21" x14ac:dyDescent="0.2">
      <c r="B155" s="23" t="s">
        <v>681</v>
      </c>
      <c r="C155" s="32" t="s">
        <v>682</v>
      </c>
      <c r="D155" s="32" t="s">
        <v>423</v>
      </c>
      <c r="E155" s="32" t="s">
        <v>238</v>
      </c>
      <c r="F155" s="32" t="s">
        <v>580</v>
      </c>
      <c r="G155" s="32" t="s">
        <v>581</v>
      </c>
      <c r="H155" s="94" t="s">
        <v>582</v>
      </c>
      <c r="I155" s="94" t="s">
        <v>346</v>
      </c>
      <c r="J155" s="94" t="s">
        <v>683</v>
      </c>
      <c r="K155" s="94">
        <v>2.41</v>
      </c>
      <c r="L155" s="94" t="s">
        <v>244</v>
      </c>
      <c r="M155" s="32">
        <v>4.9500000000000002E-2</v>
      </c>
      <c r="N155" s="32">
        <v>5.3E-3</v>
      </c>
      <c r="O155" s="103">
        <v>9259.2931652841216</v>
      </c>
      <c r="P155" s="94">
        <v>113.63000000000001</v>
      </c>
      <c r="Q155" s="124">
        <v>0</v>
      </c>
      <c r="R155" s="124">
        <v>10.521334531573142</v>
      </c>
      <c r="S155" s="32">
        <v>1.8718491925124986E-5</v>
      </c>
      <c r="T155" s="32">
        <v>4.1082918542963578E-6</v>
      </c>
      <c r="U155" s="32">
        <v>8.9099432460048101E-7</v>
      </c>
    </row>
    <row r="156" spans="2:21" x14ac:dyDescent="0.2">
      <c r="B156" s="23" t="s">
        <v>601</v>
      </c>
      <c r="C156" s="32" t="s">
        <v>602</v>
      </c>
      <c r="D156" s="32" t="s">
        <v>423</v>
      </c>
      <c r="E156" s="32" t="s">
        <v>238</v>
      </c>
      <c r="F156" s="32" t="s">
        <v>603</v>
      </c>
      <c r="G156" s="32" t="s">
        <v>206</v>
      </c>
      <c r="H156" s="94" t="s">
        <v>582</v>
      </c>
      <c r="I156" s="94" t="s">
        <v>346</v>
      </c>
      <c r="J156" s="94" t="s">
        <v>600</v>
      </c>
      <c r="K156" s="94">
        <v>0.97</v>
      </c>
      <c r="L156" s="94" t="s">
        <v>244</v>
      </c>
      <c r="M156" s="32">
        <v>4.5999999999999999E-2</v>
      </c>
      <c r="N156" s="32">
        <v>3.3399999999999999E-2</v>
      </c>
      <c r="O156" s="103">
        <v>803615.04663820204</v>
      </c>
      <c r="P156" s="94">
        <v>125.02</v>
      </c>
      <c r="Q156" s="124">
        <v>0</v>
      </c>
      <c r="R156" s="124">
        <v>1004.67953094271</v>
      </c>
      <c r="S156" s="32">
        <v>2.1998539129396083E-3</v>
      </c>
      <c r="T156" s="32">
        <v>3.922997335332401E-4</v>
      </c>
      <c r="U156" s="32">
        <v>8.5080819113389006E-5</v>
      </c>
    </row>
    <row r="157" spans="2:21" x14ac:dyDescent="0.2">
      <c r="B157" s="23" t="s">
        <v>687</v>
      </c>
      <c r="C157" s="32" t="s">
        <v>688</v>
      </c>
      <c r="D157" s="32" t="s">
        <v>423</v>
      </c>
      <c r="E157" s="32" t="s">
        <v>238</v>
      </c>
      <c r="F157" s="32" t="s">
        <v>689</v>
      </c>
      <c r="G157" s="32" t="s">
        <v>592</v>
      </c>
      <c r="H157" s="94" t="s">
        <v>582</v>
      </c>
      <c r="I157" s="94" t="s">
        <v>346</v>
      </c>
      <c r="J157" s="94" t="s">
        <v>690</v>
      </c>
      <c r="K157" s="94">
        <v>3.21</v>
      </c>
      <c r="L157" s="94" t="s">
        <v>244</v>
      </c>
      <c r="M157" s="32">
        <v>4.3400000000000001E-2</v>
      </c>
      <c r="N157" s="32">
        <v>8.1000000000000013E-3</v>
      </c>
      <c r="O157" s="103">
        <v>3956224.7038062727</v>
      </c>
      <c r="P157" s="94">
        <v>113.51</v>
      </c>
      <c r="Q157" s="124">
        <v>0</v>
      </c>
      <c r="R157" s="124">
        <v>4490.7106604404462</v>
      </c>
      <c r="S157" s="32">
        <v>2.5723191610526699E-3</v>
      </c>
      <c r="T157" s="32">
        <v>1.7534990424385639E-3</v>
      </c>
      <c r="U157" s="32">
        <v>3.8029374504424762E-4</v>
      </c>
    </row>
    <row r="158" spans="2:21" x14ac:dyDescent="0.2">
      <c r="B158" s="23" t="s">
        <v>757</v>
      </c>
      <c r="C158" s="32" t="s">
        <v>758</v>
      </c>
      <c r="D158" s="32" t="s">
        <v>423</v>
      </c>
      <c r="E158" s="32" t="s">
        <v>238</v>
      </c>
      <c r="F158" s="32" t="s">
        <v>689</v>
      </c>
      <c r="G158" s="32" t="s">
        <v>592</v>
      </c>
      <c r="H158" s="94" t="s">
        <v>582</v>
      </c>
      <c r="I158" s="94" t="s">
        <v>346</v>
      </c>
      <c r="J158" s="94" t="s">
        <v>759</v>
      </c>
      <c r="K158" s="94">
        <v>6.25</v>
      </c>
      <c r="L158" s="94" t="s">
        <v>244</v>
      </c>
      <c r="M158" s="32">
        <v>3.9E-2</v>
      </c>
      <c r="N158" s="32">
        <v>1.47E-2</v>
      </c>
      <c r="O158" s="103">
        <v>5383188.4025986856</v>
      </c>
      <c r="P158" s="94">
        <v>118</v>
      </c>
      <c r="Q158" s="124">
        <v>0</v>
      </c>
      <c r="R158" s="124">
        <v>6352.1623144448768</v>
      </c>
      <c r="S158" s="32">
        <v>3.2499901115726725E-3</v>
      </c>
      <c r="T158" s="32">
        <v>2.4803447333881373E-3</v>
      </c>
      <c r="U158" s="32">
        <v>5.3792991318043386E-4</v>
      </c>
    </row>
    <row r="159" spans="2:21" x14ac:dyDescent="0.2">
      <c r="B159" s="23" t="s">
        <v>924</v>
      </c>
      <c r="C159" s="32" t="s">
        <v>925</v>
      </c>
      <c r="D159" s="32" t="s">
        <v>423</v>
      </c>
      <c r="E159" s="32" t="s">
        <v>238</v>
      </c>
      <c r="F159" s="32" t="s">
        <v>893</v>
      </c>
      <c r="G159" s="32" t="s">
        <v>566</v>
      </c>
      <c r="H159" s="94" t="s">
        <v>704</v>
      </c>
      <c r="I159" s="94" t="s">
        <v>346</v>
      </c>
      <c r="J159" s="94" t="s">
        <v>926</v>
      </c>
      <c r="K159" s="94">
        <v>3.31</v>
      </c>
      <c r="L159" s="94" t="s">
        <v>244</v>
      </c>
      <c r="M159" s="32">
        <v>4.6500000000000007E-2</v>
      </c>
      <c r="N159" s="32">
        <v>8.8000000000000005E-3</v>
      </c>
      <c r="O159" s="103">
        <v>374669.81662969495</v>
      </c>
      <c r="P159" s="94">
        <v>114.19</v>
      </c>
      <c r="Q159" s="124">
        <v>8.8062405569999989</v>
      </c>
      <c r="R159" s="124">
        <v>436.64170381242053</v>
      </c>
      <c r="S159" s="32">
        <v>5.2282767851070011E-4</v>
      </c>
      <c r="T159" s="32">
        <v>1.7049658003322082E-4</v>
      </c>
      <c r="U159" s="32">
        <v>3.6976799740876705E-5</v>
      </c>
    </row>
    <row r="160" spans="2:21" x14ac:dyDescent="0.2">
      <c r="B160" s="23" t="s">
        <v>891</v>
      </c>
      <c r="C160" s="32" t="s">
        <v>892</v>
      </c>
      <c r="D160" s="32" t="s">
        <v>423</v>
      </c>
      <c r="E160" s="32" t="s">
        <v>238</v>
      </c>
      <c r="F160" s="32" t="s">
        <v>893</v>
      </c>
      <c r="G160" s="32" t="s">
        <v>566</v>
      </c>
      <c r="H160" s="94" t="s">
        <v>704</v>
      </c>
      <c r="I160" s="94" t="s">
        <v>346</v>
      </c>
      <c r="J160" s="94" t="s">
        <v>894</v>
      </c>
      <c r="K160" s="94">
        <v>5.25</v>
      </c>
      <c r="L160" s="94" t="s">
        <v>244</v>
      </c>
      <c r="M160" s="32">
        <v>2.8500000000000001E-2</v>
      </c>
      <c r="N160" s="32">
        <v>1.46E-2</v>
      </c>
      <c r="O160" s="103">
        <v>7805132.2270620763</v>
      </c>
      <c r="P160" s="94">
        <v>110.44</v>
      </c>
      <c r="Q160" s="124">
        <v>0</v>
      </c>
      <c r="R160" s="124">
        <v>8619.9880315673581</v>
      </c>
      <c r="S160" s="32">
        <v>1.1499680617895993E-2</v>
      </c>
      <c r="T160" s="32">
        <v>3.3658683228775998E-3</v>
      </c>
      <c r="U160" s="32">
        <v>7.2997967997337552E-4</v>
      </c>
    </row>
    <row r="161" spans="2:21" x14ac:dyDescent="0.2">
      <c r="B161" s="23" t="s">
        <v>701</v>
      </c>
      <c r="C161" s="32" t="s">
        <v>702</v>
      </c>
      <c r="D161" s="32" t="s">
        <v>423</v>
      </c>
      <c r="E161" s="32" t="s">
        <v>238</v>
      </c>
      <c r="F161" s="32" t="s">
        <v>703</v>
      </c>
      <c r="G161" s="32" t="s">
        <v>566</v>
      </c>
      <c r="H161" s="94" t="s">
        <v>704</v>
      </c>
      <c r="I161" s="94" t="s">
        <v>346</v>
      </c>
      <c r="J161" s="94" t="s">
        <v>705</v>
      </c>
      <c r="K161" s="94">
        <v>1</v>
      </c>
      <c r="L161" s="94" t="s">
        <v>244</v>
      </c>
      <c r="M161" s="32">
        <v>4.8000000000000001E-2</v>
      </c>
      <c r="N161" s="32">
        <v>2.7000000000000001E-3</v>
      </c>
      <c r="O161" s="103">
        <v>911.46145997120675</v>
      </c>
      <c r="P161" s="94">
        <v>105.13</v>
      </c>
      <c r="Q161" s="124">
        <v>0.42948428359999996</v>
      </c>
      <c r="R161" s="124">
        <v>0.96182814509257852</v>
      </c>
      <c r="S161" s="32">
        <v>1.1708820974914018E-5</v>
      </c>
      <c r="T161" s="32">
        <v>3.7556744554210036E-7</v>
      </c>
      <c r="U161" s="32">
        <v>8.145196941954471E-8</v>
      </c>
    </row>
    <row r="162" spans="2:21" x14ac:dyDescent="0.2">
      <c r="B162" s="23" t="s">
        <v>771</v>
      </c>
      <c r="C162" s="32" t="s">
        <v>772</v>
      </c>
      <c r="D162" s="32" t="s">
        <v>423</v>
      </c>
      <c r="E162" s="32" t="s">
        <v>238</v>
      </c>
      <c r="F162" s="32" t="s">
        <v>703</v>
      </c>
      <c r="G162" s="32" t="s">
        <v>566</v>
      </c>
      <c r="H162" s="94" t="s">
        <v>704</v>
      </c>
      <c r="I162" s="94" t="s">
        <v>346</v>
      </c>
      <c r="J162" s="94" t="s">
        <v>773</v>
      </c>
      <c r="K162" s="94">
        <v>2.2599999999999998</v>
      </c>
      <c r="L162" s="94" t="s">
        <v>244</v>
      </c>
      <c r="M162" s="32">
        <v>3.7000000000000005E-2</v>
      </c>
      <c r="N162" s="32">
        <v>6.8000000000000005E-3</v>
      </c>
      <c r="O162" s="103">
        <v>541046.20183191239</v>
      </c>
      <c r="P162" s="94">
        <v>108.57</v>
      </c>
      <c r="Q162" s="124">
        <v>0</v>
      </c>
      <c r="R162" s="124">
        <v>587.41386131819047</v>
      </c>
      <c r="S162" s="32">
        <v>7.1149659514423657E-4</v>
      </c>
      <c r="T162" s="32">
        <v>2.2936896211335107E-4</v>
      </c>
      <c r="U162" s="32">
        <v>4.9744869821937496E-5</v>
      </c>
    </row>
    <row r="163" spans="2:21" x14ac:dyDescent="0.2">
      <c r="B163" s="23" t="s">
        <v>985</v>
      </c>
      <c r="C163" s="32" t="s">
        <v>986</v>
      </c>
      <c r="D163" s="32" t="s">
        <v>423</v>
      </c>
      <c r="E163" s="32" t="s">
        <v>238</v>
      </c>
      <c r="F163" s="32" t="s">
        <v>987</v>
      </c>
      <c r="G163" s="32" t="s">
        <v>581</v>
      </c>
      <c r="H163" s="94" t="s">
        <v>988</v>
      </c>
      <c r="I163" s="94" t="s">
        <v>243</v>
      </c>
      <c r="J163" s="94" t="s">
        <v>989</v>
      </c>
      <c r="K163" s="94">
        <v>0</v>
      </c>
      <c r="L163" s="94" t="s">
        <v>244</v>
      </c>
      <c r="M163" s="32">
        <v>1.8000000000000002E-2</v>
      </c>
      <c r="N163" s="32">
        <v>6.0999999999999995E-3</v>
      </c>
      <c r="O163" s="103">
        <v>6523299.126213681</v>
      </c>
      <c r="P163" s="94">
        <v>106.79</v>
      </c>
      <c r="Q163" s="124">
        <v>0</v>
      </c>
      <c r="R163" s="124">
        <v>6966.231136883589</v>
      </c>
      <c r="S163" s="32">
        <v>1.7018257872939601E-2</v>
      </c>
      <c r="T163" s="32">
        <v>2.7201217249505486E-3</v>
      </c>
      <c r="U163" s="32">
        <v>5.8993204599591675E-4</v>
      </c>
    </row>
    <row r="164" spans="2:21" x14ac:dyDescent="0.2">
      <c r="B164" s="23" t="s">
        <v>632</v>
      </c>
      <c r="C164" s="32" t="s">
        <v>633</v>
      </c>
      <c r="D164" s="32" t="s">
        <v>423</v>
      </c>
      <c r="E164" s="32" t="s">
        <v>238</v>
      </c>
      <c r="F164" s="32" t="s">
        <v>634</v>
      </c>
      <c r="G164" s="32" t="s">
        <v>592</v>
      </c>
      <c r="H164" s="94" t="s">
        <v>599</v>
      </c>
      <c r="I164" s="94" t="s">
        <v>238</v>
      </c>
      <c r="J164" s="94" t="s">
        <v>635</v>
      </c>
      <c r="K164" s="94">
        <v>1.73</v>
      </c>
      <c r="L164" s="94" t="s">
        <v>244</v>
      </c>
      <c r="M164" s="32">
        <v>7.4999999999999997E-2</v>
      </c>
      <c r="N164" s="32">
        <v>0.45</v>
      </c>
      <c r="O164" s="103">
        <v>1958730.1287793959</v>
      </c>
      <c r="P164" s="94">
        <v>56.93</v>
      </c>
      <c r="Q164" s="124">
        <v>0</v>
      </c>
      <c r="R164" s="124">
        <v>1115.1050619193043</v>
      </c>
      <c r="S164" s="32">
        <v>2.1424990536176901E-3</v>
      </c>
      <c r="T164" s="32">
        <v>4.3541786726961334E-4</v>
      </c>
      <c r="U164" s="32">
        <v>9.4432153879514823E-5</v>
      </c>
    </row>
    <row r="165" spans="2:21" x14ac:dyDescent="0.2">
      <c r="B165" s="23" t="s">
        <v>674</v>
      </c>
      <c r="C165" s="32" t="s">
        <v>675</v>
      </c>
      <c r="D165" s="32" t="s">
        <v>423</v>
      </c>
      <c r="E165" s="32" t="s">
        <v>238</v>
      </c>
      <c r="F165" s="32" t="s">
        <v>634</v>
      </c>
      <c r="G165" s="32" t="s">
        <v>592</v>
      </c>
      <c r="H165" s="94" t="s">
        <v>599</v>
      </c>
      <c r="I165" s="94" t="s">
        <v>238</v>
      </c>
      <c r="J165" s="94" t="s">
        <v>676</v>
      </c>
      <c r="K165" s="94">
        <v>1.89</v>
      </c>
      <c r="L165" s="94" t="s">
        <v>244</v>
      </c>
      <c r="M165" s="32">
        <v>6.8000000000000005E-2</v>
      </c>
      <c r="N165" s="32">
        <v>0.41389999999999999</v>
      </c>
      <c r="O165" s="103">
        <v>2026010.9419239741</v>
      </c>
      <c r="P165" s="94">
        <v>55.46</v>
      </c>
      <c r="Q165" s="124">
        <v>0</v>
      </c>
      <c r="R165" s="124">
        <v>1123.6256683513839</v>
      </c>
      <c r="S165" s="32">
        <v>2.962958724644468E-3</v>
      </c>
      <c r="T165" s="32">
        <v>4.38744929810352E-4</v>
      </c>
      <c r="U165" s="32">
        <v>9.5153717474927101E-5</v>
      </c>
    </row>
    <row r="166" spans="2:21" x14ac:dyDescent="0.2">
      <c r="B166" s="23" t="s">
        <v>768</v>
      </c>
      <c r="C166" s="32" t="s">
        <v>769</v>
      </c>
      <c r="D166" s="32" t="s">
        <v>423</v>
      </c>
      <c r="E166" s="32" t="s">
        <v>238</v>
      </c>
      <c r="F166" s="32" t="s">
        <v>634</v>
      </c>
      <c r="G166" s="32" t="s">
        <v>592</v>
      </c>
      <c r="H166" s="94" t="s">
        <v>599</v>
      </c>
      <c r="I166" s="94" t="s">
        <v>238</v>
      </c>
      <c r="J166" s="94" t="s">
        <v>770</v>
      </c>
      <c r="K166" s="94">
        <v>1.78</v>
      </c>
      <c r="L166" s="94" t="s">
        <v>244</v>
      </c>
      <c r="M166" s="32">
        <v>6.7000000000000004E-2</v>
      </c>
      <c r="N166" s="32">
        <v>0.30640000000000001</v>
      </c>
      <c r="O166" s="103">
        <v>1857951.2529793174</v>
      </c>
      <c r="P166" s="94">
        <v>70.5</v>
      </c>
      <c r="Q166" s="124">
        <v>0</v>
      </c>
      <c r="R166" s="124">
        <v>1309.8556324609267</v>
      </c>
      <c r="S166" s="32">
        <v>5.6125627850321528E-3</v>
      </c>
      <c r="T166" s="32">
        <v>5.1146261046970296E-4</v>
      </c>
      <c r="U166" s="32">
        <v>1.1092451542781229E-4</v>
      </c>
    </row>
    <row r="167" spans="2:21" x14ac:dyDescent="0.2">
      <c r="B167" s="23" t="s">
        <v>887</v>
      </c>
      <c r="C167" s="32" t="s">
        <v>888</v>
      </c>
      <c r="D167" s="32" t="s">
        <v>423</v>
      </c>
      <c r="E167" s="32" t="s">
        <v>238</v>
      </c>
      <c r="F167" s="32" t="s">
        <v>889</v>
      </c>
      <c r="G167" s="32" t="s">
        <v>581</v>
      </c>
      <c r="H167" s="94" t="s">
        <v>599</v>
      </c>
      <c r="I167" s="94" t="s">
        <v>238</v>
      </c>
      <c r="J167" s="94" t="s">
        <v>890</v>
      </c>
      <c r="K167" s="94">
        <v>2.83</v>
      </c>
      <c r="L167" s="94" t="s">
        <v>244</v>
      </c>
      <c r="M167" s="32">
        <v>2.1000000000000001E-2</v>
      </c>
      <c r="N167" s="32">
        <v>4.5999999999999999E-3</v>
      </c>
      <c r="O167" s="103">
        <v>3027601.8370143599</v>
      </c>
      <c r="P167" s="94">
        <v>107.38000000000001</v>
      </c>
      <c r="Q167" s="124">
        <v>0</v>
      </c>
      <c r="R167" s="124">
        <v>3251.0388517683296</v>
      </c>
      <c r="S167" s="32">
        <v>1.1913156920193308E-2</v>
      </c>
      <c r="T167" s="32">
        <v>1.2694412854795715E-3</v>
      </c>
      <c r="U167" s="32">
        <v>2.7531271411328651E-4</v>
      </c>
    </row>
    <row r="168" spans="2:21" x14ac:dyDescent="0.2">
      <c r="B168" s="23" t="s">
        <v>936</v>
      </c>
      <c r="C168" s="32" t="s">
        <v>937</v>
      </c>
      <c r="D168" s="32" t="s">
        <v>423</v>
      </c>
      <c r="E168" s="32" t="s">
        <v>238</v>
      </c>
      <c r="F168" s="32" t="s">
        <v>889</v>
      </c>
      <c r="G168" s="32" t="s">
        <v>581</v>
      </c>
      <c r="H168" s="94" t="s">
        <v>599</v>
      </c>
      <c r="I168" s="94" t="s">
        <v>238</v>
      </c>
      <c r="J168" s="94" t="s">
        <v>938</v>
      </c>
      <c r="K168" s="94">
        <v>6.4</v>
      </c>
      <c r="L168" s="94" t="s">
        <v>244</v>
      </c>
      <c r="M168" s="32">
        <v>2.75E-2</v>
      </c>
      <c r="N168" s="32">
        <v>8.8999999999999999E-3</v>
      </c>
      <c r="O168" s="103">
        <v>2769321.0566861792</v>
      </c>
      <c r="P168" s="94">
        <v>112.43</v>
      </c>
      <c r="Q168" s="124">
        <v>0</v>
      </c>
      <c r="R168" s="124">
        <v>3113.5476640322713</v>
      </c>
      <c r="S168" s="32">
        <v>2.3349699471224592E-2</v>
      </c>
      <c r="T168" s="32">
        <v>1.2157547569390588E-3</v>
      </c>
      <c r="U168" s="32">
        <v>2.6366933678431849E-4</v>
      </c>
    </row>
    <row r="169" spans="2:21" x14ac:dyDescent="0.2">
      <c r="B169" s="23" t="s">
        <v>604</v>
      </c>
      <c r="C169" s="32" t="s">
        <v>605</v>
      </c>
      <c r="D169" s="32" t="s">
        <v>423</v>
      </c>
      <c r="E169" s="32" t="s">
        <v>238</v>
      </c>
      <c r="F169" s="32" t="s">
        <v>606</v>
      </c>
      <c r="G169" s="32" t="s">
        <v>607</v>
      </c>
      <c r="H169" s="94" t="s">
        <v>599</v>
      </c>
      <c r="I169" s="94" t="s">
        <v>238</v>
      </c>
      <c r="J169" s="94" t="s">
        <v>608</v>
      </c>
      <c r="K169" s="94">
        <v>3.8</v>
      </c>
      <c r="L169" s="94" t="s">
        <v>244</v>
      </c>
      <c r="M169" s="32">
        <v>2.5099999999999997E-2</v>
      </c>
      <c r="N169" s="32">
        <v>0.25679999999999997</v>
      </c>
      <c r="O169" s="103">
        <v>2882657.3851135531</v>
      </c>
      <c r="P169" s="94">
        <v>69.64</v>
      </c>
      <c r="Q169" s="124">
        <v>0</v>
      </c>
      <c r="R169" s="124">
        <v>2007.4826022591938</v>
      </c>
      <c r="S169" s="32">
        <v>1.3615328661419561E-2</v>
      </c>
      <c r="T169" s="32">
        <v>7.8386676117501671E-4</v>
      </c>
      <c r="U169" s="32">
        <v>1.7000273111548975E-4</v>
      </c>
    </row>
    <row r="170" spans="2:21" x14ac:dyDescent="0.2">
      <c r="B170" s="23" t="s">
        <v>595</v>
      </c>
      <c r="C170" s="32" t="s">
        <v>596</v>
      </c>
      <c r="D170" s="32" t="s">
        <v>423</v>
      </c>
      <c r="E170" s="32" t="s">
        <v>238</v>
      </c>
      <c r="F170" s="32" t="s">
        <v>597</v>
      </c>
      <c r="G170" s="32" t="s">
        <v>598</v>
      </c>
      <c r="H170" s="94" t="s">
        <v>599</v>
      </c>
      <c r="I170" s="94" t="s">
        <v>238</v>
      </c>
      <c r="J170" s="94" t="s">
        <v>600</v>
      </c>
      <c r="K170" s="94">
        <v>0.73</v>
      </c>
      <c r="L170" s="94" t="s">
        <v>244</v>
      </c>
      <c r="M170" s="32">
        <v>6.3200000000000006E-2</v>
      </c>
      <c r="N170" s="32">
        <v>0.45</v>
      </c>
      <c r="O170" s="103">
        <v>18548.521489840878</v>
      </c>
      <c r="P170" s="94">
        <v>6.22</v>
      </c>
      <c r="Q170" s="124">
        <v>0</v>
      </c>
      <c r="R170" s="124">
        <v>1.1537173064272574</v>
      </c>
      <c r="S170" s="32">
        <v>6.2347971394423115E-5</v>
      </c>
      <c r="T170" s="32">
        <v>4.5049488712028852E-7</v>
      </c>
      <c r="U170" s="32">
        <v>9.7702013859105117E-8</v>
      </c>
    </row>
    <row r="171" spans="2:21" x14ac:dyDescent="0.2">
      <c r="B171" s="23" t="s">
        <v>621</v>
      </c>
      <c r="C171" s="32" t="s">
        <v>622</v>
      </c>
      <c r="D171" s="32" t="s">
        <v>423</v>
      </c>
      <c r="E171" s="32" t="s">
        <v>238</v>
      </c>
      <c r="F171" s="32" t="s">
        <v>597</v>
      </c>
      <c r="G171" s="32" t="s">
        <v>598</v>
      </c>
      <c r="H171" s="94" t="s">
        <v>599</v>
      </c>
      <c r="I171" s="94" t="s">
        <v>238</v>
      </c>
      <c r="J171" s="94" t="s">
        <v>623</v>
      </c>
      <c r="K171" s="94">
        <v>0.38</v>
      </c>
      <c r="L171" s="94" t="s">
        <v>244</v>
      </c>
      <c r="M171" s="32">
        <v>6.7799999999999999E-2</v>
      </c>
      <c r="N171" s="32">
        <v>0.45</v>
      </c>
      <c r="O171" s="103">
        <v>5915158.1908364147</v>
      </c>
      <c r="P171" s="94">
        <v>24.38</v>
      </c>
      <c r="Q171" s="124">
        <v>0</v>
      </c>
      <c r="R171" s="124">
        <v>1442.1155661836744</v>
      </c>
      <c r="S171" s="32">
        <v>8.1545793478257304E-3</v>
      </c>
      <c r="T171" s="32">
        <v>5.6310647814945228E-4</v>
      </c>
      <c r="U171" s="32">
        <v>1.2212488644209503E-4</v>
      </c>
    </row>
    <row r="172" spans="2:21" x14ac:dyDescent="0.2">
      <c r="B172" s="23" t="s">
        <v>883</v>
      </c>
      <c r="C172" s="32" t="s">
        <v>884</v>
      </c>
      <c r="D172" s="32" t="s">
        <v>423</v>
      </c>
      <c r="E172" s="32" t="s">
        <v>238</v>
      </c>
      <c r="F172" s="32" t="s">
        <v>885</v>
      </c>
      <c r="G172" s="32" t="s">
        <v>566</v>
      </c>
      <c r="H172" s="94" t="s">
        <v>886</v>
      </c>
      <c r="I172" s="94" t="s">
        <v>243</v>
      </c>
      <c r="J172" s="94" t="s">
        <v>608</v>
      </c>
      <c r="K172" s="94">
        <v>4.7300000000000004</v>
      </c>
      <c r="L172" s="94" t="s">
        <v>244</v>
      </c>
      <c r="M172" s="32">
        <v>6.2E-2</v>
      </c>
      <c r="N172" s="32">
        <v>0.15429999999999999</v>
      </c>
      <c r="O172" s="103">
        <v>850650.6</v>
      </c>
      <c r="P172" s="94">
        <v>81.849999999999994</v>
      </c>
      <c r="Q172" s="124">
        <v>0</v>
      </c>
      <c r="R172" s="124">
        <v>696.25751000000002</v>
      </c>
      <c r="S172" s="32">
        <v>6.0083274024112241E-3</v>
      </c>
      <c r="T172" s="32">
        <v>2.7186941430689169E-4</v>
      </c>
      <c r="U172" s="32">
        <v>5.8962243621171755E-5</v>
      </c>
    </row>
    <row r="173" spans="2:21" s="160" customFormat="1" x14ac:dyDescent="0.2">
      <c r="B173" s="132" t="s">
        <v>142</v>
      </c>
      <c r="C173" s="167" t="s">
        <v>238</v>
      </c>
      <c r="D173" s="167" t="s">
        <v>238</v>
      </c>
      <c r="E173" s="167" t="s">
        <v>238</v>
      </c>
      <c r="F173" s="167" t="s">
        <v>238</v>
      </c>
      <c r="G173" s="167" t="s">
        <v>238</v>
      </c>
      <c r="H173" s="168" t="s">
        <v>238</v>
      </c>
      <c r="I173" s="168" t="s">
        <v>238</v>
      </c>
      <c r="J173" s="168" t="s">
        <v>238</v>
      </c>
      <c r="K173" s="168" t="s">
        <v>238</v>
      </c>
      <c r="L173" s="168" t="s">
        <v>238</v>
      </c>
      <c r="M173" s="167" t="s">
        <v>238</v>
      </c>
      <c r="N173" s="167" t="s">
        <v>238</v>
      </c>
      <c r="O173" s="178" t="s">
        <v>238</v>
      </c>
      <c r="P173" s="168" t="s">
        <v>238</v>
      </c>
      <c r="Q173" s="169" t="s">
        <v>238</v>
      </c>
      <c r="R173" s="169">
        <v>508471.16797618876</v>
      </c>
      <c r="S173" s="167" t="s">
        <v>238</v>
      </c>
      <c r="T173" s="167">
        <v>0.19854401086406606</v>
      </c>
      <c r="U173" s="167">
        <v>4.3059644528004856E-2</v>
      </c>
    </row>
    <row r="174" spans="2:21" x14ac:dyDescent="0.2">
      <c r="B174" s="23" t="s">
        <v>1302</v>
      </c>
      <c r="C174" s="32" t="s">
        <v>1303</v>
      </c>
      <c r="D174" s="32" t="s">
        <v>423</v>
      </c>
      <c r="E174" s="32" t="s">
        <v>238</v>
      </c>
      <c r="F174" s="32" t="s">
        <v>992</v>
      </c>
      <c r="G174" s="32" t="s">
        <v>191</v>
      </c>
      <c r="H174" s="94" t="s">
        <v>658</v>
      </c>
      <c r="I174" s="94" t="s">
        <v>346</v>
      </c>
      <c r="J174" s="94" t="s">
        <v>1301</v>
      </c>
      <c r="K174" s="94">
        <v>2.88</v>
      </c>
      <c r="L174" s="94" t="s">
        <v>244</v>
      </c>
      <c r="M174" s="32">
        <v>1.8700000000000001E-2</v>
      </c>
      <c r="N174" s="32">
        <v>6.8000000000000005E-3</v>
      </c>
      <c r="O174" s="103">
        <v>28140466.02343262</v>
      </c>
      <c r="P174" s="94">
        <v>103.56</v>
      </c>
      <c r="Q174" s="124">
        <v>0</v>
      </c>
      <c r="R174" s="124">
        <v>29142.266613601045</v>
      </c>
      <c r="S174" s="32">
        <v>2.0348950979004878E-2</v>
      </c>
      <c r="T174" s="32">
        <v>1.137925385654368E-2</v>
      </c>
      <c r="U174" s="32">
        <v>2.4678993031533474E-3</v>
      </c>
    </row>
    <row r="175" spans="2:21" x14ac:dyDescent="0.2">
      <c r="B175" s="23" t="s">
        <v>1304</v>
      </c>
      <c r="C175" s="32" t="s">
        <v>1305</v>
      </c>
      <c r="D175" s="32" t="s">
        <v>423</v>
      </c>
      <c r="E175" s="32" t="s">
        <v>238</v>
      </c>
      <c r="F175" s="32" t="s">
        <v>992</v>
      </c>
      <c r="G175" s="32" t="s">
        <v>191</v>
      </c>
      <c r="H175" s="94" t="s">
        <v>658</v>
      </c>
      <c r="I175" s="94" t="s">
        <v>346</v>
      </c>
      <c r="J175" s="94" t="s">
        <v>1301</v>
      </c>
      <c r="K175" s="94">
        <v>5.6</v>
      </c>
      <c r="L175" s="94" t="s">
        <v>244</v>
      </c>
      <c r="M175" s="32">
        <v>2.6800000000000001E-2</v>
      </c>
      <c r="N175" s="32">
        <v>1.09E-2</v>
      </c>
      <c r="O175" s="103">
        <v>31120543.097154316</v>
      </c>
      <c r="P175" s="94">
        <v>109.2</v>
      </c>
      <c r="Q175" s="124">
        <v>0</v>
      </c>
      <c r="R175" s="124">
        <v>33983.633061535242</v>
      </c>
      <c r="S175" s="32">
        <v>1.2921700472697415E-2</v>
      </c>
      <c r="T175" s="32">
        <v>1.3269674342844656E-2</v>
      </c>
      <c r="U175" s="32">
        <v>2.8778881705803761E-3</v>
      </c>
    </row>
    <row r="176" spans="2:21" x14ac:dyDescent="0.2">
      <c r="B176" s="23" t="s">
        <v>1362</v>
      </c>
      <c r="C176" s="32" t="s">
        <v>1363</v>
      </c>
      <c r="D176" s="32" t="s">
        <v>423</v>
      </c>
      <c r="E176" s="32" t="s">
        <v>238</v>
      </c>
      <c r="F176" s="32" t="s">
        <v>561</v>
      </c>
      <c r="G176" s="32" t="s">
        <v>191</v>
      </c>
      <c r="H176" s="94" t="s">
        <v>242</v>
      </c>
      <c r="I176" s="94" t="s">
        <v>243</v>
      </c>
      <c r="J176" s="94" t="s">
        <v>1364</v>
      </c>
      <c r="K176" s="94">
        <v>0.25</v>
      </c>
      <c r="L176" s="94" t="s">
        <v>244</v>
      </c>
      <c r="M176" s="32">
        <v>1.0500000000000001E-2</v>
      </c>
      <c r="N176" s="32">
        <v>4.0000000000000001E-3</v>
      </c>
      <c r="O176" s="103">
        <v>33453.582693247721</v>
      </c>
      <c r="P176" s="94">
        <v>100.2</v>
      </c>
      <c r="Q176" s="124">
        <v>0.1011866897</v>
      </c>
      <c r="R176" s="124">
        <v>33.621676333997797</v>
      </c>
      <c r="S176" s="32">
        <v>1.1151194231082573E-4</v>
      </c>
      <c r="T176" s="32">
        <v>1.3128340192610437E-5</v>
      </c>
      <c r="U176" s="32">
        <v>2.847236033342553E-6</v>
      </c>
    </row>
    <row r="177" spans="2:21" x14ac:dyDescent="0.2">
      <c r="B177" s="23" t="s">
        <v>1365</v>
      </c>
      <c r="C177" s="32" t="s">
        <v>1366</v>
      </c>
      <c r="D177" s="32" t="s">
        <v>423</v>
      </c>
      <c r="E177" s="32" t="s">
        <v>238</v>
      </c>
      <c r="F177" s="32" t="s">
        <v>1367</v>
      </c>
      <c r="G177" s="32" t="s">
        <v>208</v>
      </c>
      <c r="H177" s="94" t="s">
        <v>658</v>
      </c>
      <c r="I177" s="94" t="s">
        <v>346</v>
      </c>
      <c r="J177" s="94" t="s">
        <v>1368</v>
      </c>
      <c r="K177" s="94">
        <v>4.5999999999999996</v>
      </c>
      <c r="L177" s="94" t="s">
        <v>244</v>
      </c>
      <c r="M177" s="32">
        <v>4.5000000298023226E-3</v>
      </c>
      <c r="N177" s="32">
        <v>3.8E-3</v>
      </c>
      <c r="O177" s="103">
        <v>3578330.1761832559</v>
      </c>
      <c r="P177" s="94">
        <v>100.70000000000002</v>
      </c>
      <c r="Q177" s="124">
        <v>0</v>
      </c>
      <c r="R177" s="124">
        <v>3603.378487416539</v>
      </c>
      <c r="S177" s="32">
        <v>2.6512846401818948E-3</v>
      </c>
      <c r="T177" s="32">
        <v>1.4070202257495043E-3</v>
      </c>
      <c r="U177" s="32">
        <v>3.0515043239439293E-4</v>
      </c>
    </row>
    <row r="178" spans="2:21" x14ac:dyDescent="0.2">
      <c r="B178" s="23" t="s">
        <v>1146</v>
      </c>
      <c r="C178" s="32" t="s">
        <v>1147</v>
      </c>
      <c r="D178" s="32" t="s">
        <v>423</v>
      </c>
      <c r="E178" s="32" t="s">
        <v>238</v>
      </c>
      <c r="F178" s="32" t="s">
        <v>766</v>
      </c>
      <c r="G178" s="32" t="s">
        <v>191</v>
      </c>
      <c r="H178" s="94" t="s">
        <v>658</v>
      </c>
      <c r="I178" s="94" t="s">
        <v>346</v>
      </c>
      <c r="J178" s="94" t="s">
        <v>1148</v>
      </c>
      <c r="K178" s="94">
        <v>4</v>
      </c>
      <c r="L178" s="94" t="s">
        <v>244</v>
      </c>
      <c r="M178" s="32">
        <v>3.0099999999999998E-2</v>
      </c>
      <c r="N178" s="32">
        <v>9.300000000000001E-3</v>
      </c>
      <c r="O178" s="103">
        <v>5606.8007833948959</v>
      </c>
      <c r="P178" s="94">
        <v>109.42</v>
      </c>
      <c r="Q178" s="124">
        <v>0</v>
      </c>
      <c r="R178" s="124">
        <v>6.1349608170514633</v>
      </c>
      <c r="S178" s="32">
        <v>4.8754789420825182E-6</v>
      </c>
      <c r="T178" s="32">
        <v>2.3955335205325269E-6</v>
      </c>
      <c r="U178" s="32">
        <v>5.195363053266475E-7</v>
      </c>
    </row>
    <row r="179" spans="2:21" x14ac:dyDescent="0.2">
      <c r="B179" s="23" t="s">
        <v>1312</v>
      </c>
      <c r="C179" s="32" t="s">
        <v>1313</v>
      </c>
      <c r="D179" s="32" t="s">
        <v>423</v>
      </c>
      <c r="E179" s="32" t="s">
        <v>238</v>
      </c>
      <c r="F179" s="32" t="s">
        <v>766</v>
      </c>
      <c r="G179" s="32" t="s">
        <v>191</v>
      </c>
      <c r="H179" s="94" t="s">
        <v>242</v>
      </c>
      <c r="I179" s="94" t="s">
        <v>243</v>
      </c>
      <c r="J179" s="94" t="s">
        <v>1090</v>
      </c>
      <c r="K179" s="94">
        <v>3.97</v>
      </c>
      <c r="L179" s="94" t="s">
        <v>244</v>
      </c>
      <c r="M179" s="32">
        <v>2.0199999999999999E-2</v>
      </c>
      <c r="N179" s="32">
        <v>8.8999999999999999E-3</v>
      </c>
      <c r="O179" s="103">
        <v>23872311.507311892</v>
      </c>
      <c r="P179" s="94">
        <v>106.45</v>
      </c>
      <c r="Q179" s="124">
        <v>0</v>
      </c>
      <c r="R179" s="124">
        <v>25412.075599479926</v>
      </c>
      <c r="S179" s="32">
        <v>1.4128328377146573E-2</v>
      </c>
      <c r="T179" s="32">
        <v>9.9227168257805375E-3</v>
      </c>
      <c r="U179" s="32">
        <v>2.1520098108761074E-3</v>
      </c>
    </row>
    <row r="180" spans="2:21" x14ac:dyDescent="0.2">
      <c r="B180" s="23" t="s">
        <v>1343</v>
      </c>
      <c r="C180" s="32" t="s">
        <v>1344</v>
      </c>
      <c r="D180" s="32" t="s">
        <v>423</v>
      </c>
      <c r="E180" s="32" t="s">
        <v>238</v>
      </c>
      <c r="F180" s="32" t="s">
        <v>739</v>
      </c>
      <c r="G180" s="32" t="s">
        <v>191</v>
      </c>
      <c r="H180" s="94" t="s">
        <v>658</v>
      </c>
      <c r="I180" s="94" t="s">
        <v>346</v>
      </c>
      <c r="J180" s="94" t="s">
        <v>716</v>
      </c>
      <c r="K180" s="94">
        <v>0.42</v>
      </c>
      <c r="L180" s="94" t="s">
        <v>244</v>
      </c>
      <c r="M180" s="32">
        <v>2.7400000000000001E-2</v>
      </c>
      <c r="N180" s="32">
        <v>2.8000000000000004E-3</v>
      </c>
      <c r="O180" s="103">
        <v>17258448.155821566</v>
      </c>
      <c r="P180" s="94">
        <v>102.62</v>
      </c>
      <c r="Q180" s="124">
        <v>0</v>
      </c>
      <c r="R180" s="124">
        <v>17710.619496453848</v>
      </c>
      <c r="S180" s="32">
        <v>8.3676269563736725E-3</v>
      </c>
      <c r="T180" s="32">
        <v>6.9155099662955516E-3</v>
      </c>
      <c r="U180" s="32">
        <v>1.4998155803472568E-3</v>
      </c>
    </row>
    <row r="181" spans="2:21" x14ac:dyDescent="0.2">
      <c r="B181" s="23" t="s">
        <v>1132</v>
      </c>
      <c r="C181" s="32" t="s">
        <v>1133</v>
      </c>
      <c r="D181" s="32" t="s">
        <v>423</v>
      </c>
      <c r="E181" s="32" t="s">
        <v>238</v>
      </c>
      <c r="F181" s="32" t="s">
        <v>739</v>
      </c>
      <c r="G181" s="32" t="s">
        <v>191</v>
      </c>
      <c r="H181" s="94" t="s">
        <v>658</v>
      </c>
      <c r="I181" s="94" t="s">
        <v>346</v>
      </c>
      <c r="J181" s="94" t="s">
        <v>1029</v>
      </c>
      <c r="K181" s="94">
        <v>5.05</v>
      </c>
      <c r="L181" s="94" t="s">
        <v>244</v>
      </c>
      <c r="M181" s="32">
        <v>2.98E-2</v>
      </c>
      <c r="N181" s="32">
        <v>1.0200000000000001E-2</v>
      </c>
      <c r="O181" s="103">
        <v>29303263.136384081</v>
      </c>
      <c r="P181" s="94">
        <v>111.99</v>
      </c>
      <c r="Q181" s="124">
        <v>0</v>
      </c>
      <c r="R181" s="124">
        <v>32816.724386125745</v>
      </c>
      <c r="S181" s="32">
        <v>1.1527137538991839E-2</v>
      </c>
      <c r="T181" s="32">
        <v>1.2814028588828717E-2</v>
      </c>
      <c r="U181" s="32">
        <v>2.7790690517702195E-3</v>
      </c>
    </row>
    <row r="182" spans="2:21" x14ac:dyDescent="0.2">
      <c r="B182" s="23" t="s">
        <v>1134</v>
      </c>
      <c r="C182" s="32" t="s">
        <v>1135</v>
      </c>
      <c r="D182" s="32" t="s">
        <v>423</v>
      </c>
      <c r="E182" s="32" t="s">
        <v>238</v>
      </c>
      <c r="F182" s="32" t="s">
        <v>739</v>
      </c>
      <c r="G182" s="32" t="s">
        <v>191</v>
      </c>
      <c r="H182" s="94" t="s">
        <v>658</v>
      </c>
      <c r="I182" s="94" t="s">
        <v>346</v>
      </c>
      <c r="J182" s="94" t="s">
        <v>1029</v>
      </c>
      <c r="K182" s="94">
        <v>2.36</v>
      </c>
      <c r="L182" s="94" t="s">
        <v>244</v>
      </c>
      <c r="M182" s="32">
        <v>2.4700000000000003E-2</v>
      </c>
      <c r="N182" s="32">
        <v>6.9999999999999993E-3</v>
      </c>
      <c r="O182" s="103">
        <v>35672294.436593398</v>
      </c>
      <c r="P182" s="94">
        <v>105.65</v>
      </c>
      <c r="Q182" s="124">
        <v>0</v>
      </c>
      <c r="R182" s="124">
        <v>37687.779071403587</v>
      </c>
      <c r="S182" s="32">
        <v>1.0708445360000179E-2</v>
      </c>
      <c r="T182" s="32">
        <v>1.471604151554505E-2</v>
      </c>
      <c r="U182" s="32">
        <v>3.1915720537779141E-3</v>
      </c>
    </row>
    <row r="183" spans="2:21" x14ac:dyDescent="0.2">
      <c r="B183" s="23" t="s">
        <v>1277</v>
      </c>
      <c r="C183" s="32" t="s">
        <v>1278</v>
      </c>
      <c r="D183" s="32" t="s">
        <v>423</v>
      </c>
      <c r="E183" s="32" t="s">
        <v>238</v>
      </c>
      <c r="F183" s="32" t="s">
        <v>1279</v>
      </c>
      <c r="G183" s="32" t="s">
        <v>581</v>
      </c>
      <c r="H183" s="94" t="s">
        <v>658</v>
      </c>
      <c r="I183" s="94" t="s">
        <v>346</v>
      </c>
      <c r="J183" s="94" t="s">
        <v>1280</v>
      </c>
      <c r="K183" s="94">
        <v>4.12</v>
      </c>
      <c r="L183" s="94" t="s">
        <v>244</v>
      </c>
      <c r="M183" s="32">
        <v>1.44E-2</v>
      </c>
      <c r="N183" s="32">
        <v>8.8000000000000005E-3</v>
      </c>
      <c r="O183" s="103">
        <v>11721629.091827061</v>
      </c>
      <c r="P183" s="94">
        <v>102.70000000000002</v>
      </c>
      <c r="Q183" s="124">
        <v>0</v>
      </c>
      <c r="R183" s="124">
        <v>12038.113076785557</v>
      </c>
      <c r="S183" s="32">
        <v>1.3790151872737719E-2</v>
      </c>
      <c r="T183" s="32">
        <v>4.7005521729249619E-3</v>
      </c>
      <c r="U183" s="32">
        <v>1.0194420107190565E-3</v>
      </c>
    </row>
    <row r="184" spans="2:21" x14ac:dyDescent="0.2">
      <c r="B184" s="23" t="s">
        <v>1103</v>
      </c>
      <c r="C184" s="32" t="s">
        <v>1104</v>
      </c>
      <c r="D184" s="32" t="s">
        <v>423</v>
      </c>
      <c r="E184" s="32" t="s">
        <v>238</v>
      </c>
      <c r="F184" s="32" t="s">
        <v>1105</v>
      </c>
      <c r="G184" s="32" t="s">
        <v>186</v>
      </c>
      <c r="H184" s="94" t="s">
        <v>811</v>
      </c>
      <c r="I184" s="94" t="s">
        <v>346</v>
      </c>
      <c r="J184" s="94" t="s">
        <v>1106</v>
      </c>
      <c r="K184" s="94">
        <v>0.5</v>
      </c>
      <c r="L184" s="94" t="s">
        <v>244</v>
      </c>
      <c r="M184" s="32">
        <v>4.8399999999999999E-2</v>
      </c>
      <c r="N184" s="32">
        <v>2.8000000000000004E-3</v>
      </c>
      <c r="O184" s="103">
        <v>474515.51878969767</v>
      </c>
      <c r="P184" s="94">
        <v>102.27999999999999</v>
      </c>
      <c r="Q184" s="124">
        <v>0</v>
      </c>
      <c r="R184" s="124">
        <v>485.33447201196213</v>
      </c>
      <c r="S184" s="32">
        <v>2.25959770852237E-3</v>
      </c>
      <c r="T184" s="32">
        <v>1.8950976722511285E-4</v>
      </c>
      <c r="U184" s="32">
        <v>4.1100324183967617E-5</v>
      </c>
    </row>
    <row r="185" spans="2:21" x14ac:dyDescent="0.2">
      <c r="B185" s="23" t="s">
        <v>1129</v>
      </c>
      <c r="C185" s="32" t="s">
        <v>1130</v>
      </c>
      <c r="D185" s="32" t="s">
        <v>423</v>
      </c>
      <c r="E185" s="32" t="s">
        <v>238</v>
      </c>
      <c r="F185" s="32" t="s">
        <v>999</v>
      </c>
      <c r="G185" s="32" t="s">
        <v>191</v>
      </c>
      <c r="H185" s="94" t="s">
        <v>253</v>
      </c>
      <c r="I185" s="94" t="s">
        <v>243</v>
      </c>
      <c r="J185" s="94" t="s">
        <v>1131</v>
      </c>
      <c r="K185" s="94">
        <v>0.53</v>
      </c>
      <c r="L185" s="94" t="s">
        <v>244</v>
      </c>
      <c r="M185" s="32">
        <v>1.95E-2</v>
      </c>
      <c r="N185" s="32">
        <v>4.0999999999999995E-3</v>
      </c>
      <c r="O185" s="103">
        <v>1373962.3049159728</v>
      </c>
      <c r="P185" s="94">
        <v>102.70000000000002</v>
      </c>
      <c r="Q185" s="124">
        <v>705.52858409999999</v>
      </c>
      <c r="R185" s="124">
        <v>1411.0592857383767</v>
      </c>
      <c r="S185" s="32">
        <v>3.0086750757704317E-3</v>
      </c>
      <c r="T185" s="32">
        <v>5.5097985451674832E-4</v>
      </c>
      <c r="U185" s="32">
        <v>1.1949489976721799E-4</v>
      </c>
    </row>
    <row r="186" spans="2:21" x14ac:dyDescent="0.2">
      <c r="B186" s="23" t="s">
        <v>1339</v>
      </c>
      <c r="C186" s="32" t="s">
        <v>1340</v>
      </c>
      <c r="D186" s="32" t="s">
        <v>423</v>
      </c>
      <c r="E186" s="32" t="s">
        <v>238</v>
      </c>
      <c r="F186" s="32" t="s">
        <v>1003</v>
      </c>
      <c r="G186" s="32" t="s">
        <v>191</v>
      </c>
      <c r="H186" s="94" t="s">
        <v>811</v>
      </c>
      <c r="I186" s="94" t="s">
        <v>346</v>
      </c>
      <c r="J186" s="94" t="s">
        <v>1004</v>
      </c>
      <c r="K186" s="94">
        <v>1.41</v>
      </c>
      <c r="L186" s="94" t="s">
        <v>244</v>
      </c>
      <c r="M186" s="32">
        <v>6.4000000000000001E-2</v>
      </c>
      <c r="N186" s="32">
        <v>5.8999999999999999E-3</v>
      </c>
      <c r="O186" s="103">
        <v>692319.19910443807</v>
      </c>
      <c r="P186" s="94">
        <v>108.69</v>
      </c>
      <c r="Q186" s="124">
        <v>0</v>
      </c>
      <c r="R186" s="124">
        <v>752.4817372306569</v>
      </c>
      <c r="S186" s="32">
        <v>2.8366529779500211E-3</v>
      </c>
      <c r="T186" s="32">
        <v>2.9382342917569544E-4</v>
      </c>
      <c r="U186" s="32">
        <v>6.3723566171769609E-5</v>
      </c>
    </row>
    <row r="187" spans="2:21" x14ac:dyDescent="0.2">
      <c r="B187" s="23" t="s">
        <v>1284</v>
      </c>
      <c r="C187" s="32" t="s">
        <v>1285</v>
      </c>
      <c r="D187" s="32" t="s">
        <v>423</v>
      </c>
      <c r="E187" s="32" t="s">
        <v>238</v>
      </c>
      <c r="F187" s="32" t="s">
        <v>897</v>
      </c>
      <c r="G187" s="32" t="s">
        <v>581</v>
      </c>
      <c r="H187" s="94" t="s">
        <v>811</v>
      </c>
      <c r="I187" s="94" t="s">
        <v>346</v>
      </c>
      <c r="J187" s="94" t="s">
        <v>1286</v>
      </c>
      <c r="K187" s="94">
        <v>3.42</v>
      </c>
      <c r="L187" s="94" t="s">
        <v>244</v>
      </c>
      <c r="M187" s="32">
        <v>1.6299999999999999E-2</v>
      </c>
      <c r="N187" s="32">
        <v>6.9999999999999993E-3</v>
      </c>
      <c r="O187" s="103">
        <v>8545910.1239900663</v>
      </c>
      <c r="P187" s="94">
        <v>103.2</v>
      </c>
      <c r="Q187" s="124">
        <v>0</v>
      </c>
      <c r="R187" s="124">
        <v>8819.3792473147423</v>
      </c>
      <c r="S187" s="32">
        <v>1.0256253156645412E-2</v>
      </c>
      <c r="T187" s="32">
        <v>3.4437251104376802E-3</v>
      </c>
      <c r="U187" s="32">
        <v>7.4686503240399982E-4</v>
      </c>
    </row>
    <row r="188" spans="2:21" x14ac:dyDescent="0.2">
      <c r="B188" s="23" t="s">
        <v>1341</v>
      </c>
      <c r="C188" s="32" t="s">
        <v>1342</v>
      </c>
      <c r="D188" s="32" t="s">
        <v>423</v>
      </c>
      <c r="E188" s="32" t="s">
        <v>238</v>
      </c>
      <c r="F188" s="32" t="s">
        <v>657</v>
      </c>
      <c r="G188" s="32" t="s">
        <v>191</v>
      </c>
      <c r="H188" s="94" t="s">
        <v>253</v>
      </c>
      <c r="I188" s="94" t="s">
        <v>243</v>
      </c>
      <c r="J188" s="94" t="s">
        <v>996</v>
      </c>
      <c r="K188" s="94">
        <v>0.73</v>
      </c>
      <c r="L188" s="94" t="s">
        <v>244</v>
      </c>
      <c r="M188" s="32">
        <v>6.0999999999999999E-2</v>
      </c>
      <c r="N188" s="32">
        <v>4.3E-3</v>
      </c>
      <c r="O188" s="103">
        <v>1072195.0789031431</v>
      </c>
      <c r="P188" s="94">
        <v>108.81</v>
      </c>
      <c r="Q188" s="124">
        <v>0</v>
      </c>
      <c r="R188" s="124">
        <v>1166.6554648786853</v>
      </c>
      <c r="S188" s="32">
        <v>1.5647825562563117E-3</v>
      </c>
      <c r="T188" s="32">
        <v>4.5554688226558967E-4</v>
      </c>
      <c r="U188" s="32">
        <v>9.8797675794044121E-5</v>
      </c>
    </row>
    <row r="189" spans="2:21" x14ac:dyDescent="0.2">
      <c r="B189" s="23" t="s">
        <v>1161</v>
      </c>
      <c r="C189" s="32" t="s">
        <v>1162</v>
      </c>
      <c r="D189" s="32" t="s">
        <v>423</v>
      </c>
      <c r="E189" s="32" t="s">
        <v>238</v>
      </c>
      <c r="F189" s="32" t="s">
        <v>626</v>
      </c>
      <c r="G189" s="32" t="s">
        <v>581</v>
      </c>
      <c r="H189" s="94" t="s">
        <v>587</v>
      </c>
      <c r="I189" s="94" t="s">
        <v>346</v>
      </c>
      <c r="J189" s="94" t="s">
        <v>1163</v>
      </c>
      <c r="K189" s="94">
        <v>3.75</v>
      </c>
      <c r="L189" s="94" t="s">
        <v>244</v>
      </c>
      <c r="M189" s="32">
        <v>3.39E-2</v>
      </c>
      <c r="N189" s="32">
        <v>1.1299999999999999E-2</v>
      </c>
      <c r="O189" s="103">
        <v>5240559.2792850006</v>
      </c>
      <c r="P189" s="94">
        <v>108.55</v>
      </c>
      <c r="Q189" s="124">
        <v>177.6549593</v>
      </c>
      <c r="R189" s="124">
        <v>5866.2820565243237</v>
      </c>
      <c r="S189" s="32">
        <v>4.8290609882033295E-3</v>
      </c>
      <c r="T189" s="32">
        <v>2.2906218517719052E-3</v>
      </c>
      <c r="U189" s="32">
        <v>4.9678336937047278E-4</v>
      </c>
    </row>
    <row r="190" spans="2:21" x14ac:dyDescent="0.2">
      <c r="B190" s="23" t="s">
        <v>1281</v>
      </c>
      <c r="C190" s="32" t="s">
        <v>1282</v>
      </c>
      <c r="D190" s="32" t="s">
        <v>423</v>
      </c>
      <c r="E190" s="32" t="s">
        <v>238</v>
      </c>
      <c r="F190" s="32" t="s">
        <v>586</v>
      </c>
      <c r="G190" s="32" t="s">
        <v>581</v>
      </c>
      <c r="H190" s="94" t="s">
        <v>572</v>
      </c>
      <c r="I190" s="94" t="s">
        <v>243</v>
      </c>
      <c r="J190" s="94" t="s">
        <v>1283</v>
      </c>
      <c r="K190" s="94">
        <v>6.68</v>
      </c>
      <c r="L190" s="94" t="s">
        <v>244</v>
      </c>
      <c r="M190" s="32">
        <v>2.5499999999999998E-2</v>
      </c>
      <c r="N190" s="32">
        <v>1.6299999999999999E-2</v>
      </c>
      <c r="O190" s="103">
        <v>10020961.630273387</v>
      </c>
      <c r="P190" s="94">
        <v>106.19000000000001</v>
      </c>
      <c r="Q190" s="124">
        <v>0</v>
      </c>
      <c r="R190" s="124">
        <v>10641.259154205654</v>
      </c>
      <c r="S190" s="32">
        <v>7.6942532900705334E-3</v>
      </c>
      <c r="T190" s="32">
        <v>4.1551191221502817E-3</v>
      </c>
      <c r="U190" s="32">
        <v>9.0115008552841018E-4</v>
      </c>
    </row>
    <row r="191" spans="2:21" x14ac:dyDescent="0.2">
      <c r="B191" s="23" t="s">
        <v>1230</v>
      </c>
      <c r="C191" s="32" t="s">
        <v>1231</v>
      </c>
      <c r="D191" s="32" t="s">
        <v>423</v>
      </c>
      <c r="E191" s="32" t="s">
        <v>238</v>
      </c>
      <c r="F191" s="32" t="s">
        <v>788</v>
      </c>
      <c r="G191" s="32" t="s">
        <v>607</v>
      </c>
      <c r="H191" s="94" t="s">
        <v>587</v>
      </c>
      <c r="I191" s="94" t="s">
        <v>346</v>
      </c>
      <c r="J191" s="94" t="s">
        <v>1232</v>
      </c>
      <c r="K191" s="94">
        <v>2.62</v>
      </c>
      <c r="L191" s="94" t="s">
        <v>244</v>
      </c>
      <c r="M191" s="32">
        <v>4.8000000000000001E-2</v>
      </c>
      <c r="N191" s="32">
        <v>7.9000000000000008E-3</v>
      </c>
      <c r="O191" s="103">
        <v>1128320.291794437</v>
      </c>
      <c r="P191" s="94">
        <v>112.00000000000001</v>
      </c>
      <c r="Q191" s="124">
        <v>0</v>
      </c>
      <c r="R191" s="124">
        <v>1263.7187265096998</v>
      </c>
      <c r="S191" s="32">
        <v>5.6748839667763681E-4</v>
      </c>
      <c r="T191" s="32">
        <v>4.9344741721327092E-4</v>
      </c>
      <c r="U191" s="32">
        <v>1.0701743299128197E-4</v>
      </c>
    </row>
    <row r="192" spans="2:21" x14ac:dyDescent="0.2">
      <c r="B192" s="23" t="s">
        <v>1237</v>
      </c>
      <c r="C192" s="32" t="s">
        <v>1238</v>
      </c>
      <c r="D192" s="32" t="s">
        <v>423</v>
      </c>
      <c r="E192" s="32" t="s">
        <v>238</v>
      </c>
      <c r="F192" s="32" t="s">
        <v>788</v>
      </c>
      <c r="G192" s="32" t="s">
        <v>607</v>
      </c>
      <c r="H192" s="94" t="s">
        <v>587</v>
      </c>
      <c r="I192" s="94" t="s">
        <v>346</v>
      </c>
      <c r="J192" s="94" t="s">
        <v>1239</v>
      </c>
      <c r="K192" s="94">
        <v>1.1299999999999999</v>
      </c>
      <c r="L192" s="94" t="s">
        <v>244</v>
      </c>
      <c r="M192" s="32">
        <v>4.4999999999999998E-2</v>
      </c>
      <c r="N192" s="32">
        <v>5.1000000000000004E-3</v>
      </c>
      <c r="O192" s="103">
        <v>321503.16048367083</v>
      </c>
      <c r="P192" s="94">
        <v>106.14000000000001</v>
      </c>
      <c r="Q192" s="124">
        <v>0</v>
      </c>
      <c r="R192" s="124">
        <v>341.24345453736822</v>
      </c>
      <c r="S192" s="32">
        <v>5.3538530791208579E-4</v>
      </c>
      <c r="T192" s="32">
        <v>1.3324618663163105E-4</v>
      </c>
      <c r="U192" s="32">
        <v>2.8898043341123249E-5</v>
      </c>
    </row>
    <row r="193" spans="2:21" x14ac:dyDescent="0.2">
      <c r="B193" s="23" t="s">
        <v>1181</v>
      </c>
      <c r="C193" s="32" t="s">
        <v>1182</v>
      </c>
      <c r="D193" s="32" t="s">
        <v>423</v>
      </c>
      <c r="E193" s="32" t="s">
        <v>238</v>
      </c>
      <c r="F193" s="32" t="s">
        <v>1183</v>
      </c>
      <c r="G193" s="32" t="s">
        <v>203</v>
      </c>
      <c r="H193" s="94" t="s">
        <v>572</v>
      </c>
      <c r="I193" s="94" t="s">
        <v>243</v>
      </c>
      <c r="J193" s="94" t="s">
        <v>1184</v>
      </c>
      <c r="K193" s="94">
        <v>2.66</v>
      </c>
      <c r="L193" s="94" t="s">
        <v>244</v>
      </c>
      <c r="M193" s="32">
        <v>2.4500000000000001E-2</v>
      </c>
      <c r="N193" s="32">
        <v>8.3999999999999995E-3</v>
      </c>
      <c r="O193" s="103">
        <v>4687365.5092050936</v>
      </c>
      <c r="P193" s="94">
        <v>104.97000000000001</v>
      </c>
      <c r="Q193" s="124">
        <v>0</v>
      </c>
      <c r="R193" s="124">
        <v>4920.3275748518354</v>
      </c>
      <c r="S193" s="32">
        <v>2.9881296985616364E-3</v>
      </c>
      <c r="T193" s="32">
        <v>1.9212526353547229E-3</v>
      </c>
      <c r="U193" s="32">
        <v>4.1667565375974635E-4</v>
      </c>
    </row>
    <row r="194" spans="2:21" x14ac:dyDescent="0.2">
      <c r="B194" s="23" t="s">
        <v>1375</v>
      </c>
      <c r="C194" s="32" t="s">
        <v>1376</v>
      </c>
      <c r="D194" s="32" t="s">
        <v>423</v>
      </c>
      <c r="E194" s="32" t="s">
        <v>238</v>
      </c>
      <c r="F194" s="32" t="s">
        <v>766</v>
      </c>
      <c r="G194" s="32" t="s">
        <v>191</v>
      </c>
      <c r="H194" s="94" t="s">
        <v>572</v>
      </c>
      <c r="I194" s="94" t="s">
        <v>243</v>
      </c>
      <c r="J194" s="94" t="s">
        <v>1171</v>
      </c>
      <c r="K194" s="94">
        <v>1.04</v>
      </c>
      <c r="L194" s="94" t="s">
        <v>244</v>
      </c>
      <c r="M194" s="32">
        <v>3.2500000000000001E-2</v>
      </c>
      <c r="N194" s="32">
        <v>9.7999999999999997E-3</v>
      </c>
      <c r="O194" s="103">
        <v>4.286708806448944</v>
      </c>
      <c r="P194" s="94">
        <v>5119000</v>
      </c>
      <c r="Q194" s="124">
        <v>0</v>
      </c>
      <c r="R194" s="124">
        <v>219.43662380212143</v>
      </c>
      <c r="S194" s="32">
        <v>2.3152626553869533E-4</v>
      </c>
      <c r="T194" s="32">
        <v>8.5683968264219494E-5</v>
      </c>
      <c r="U194" s="32">
        <v>1.858288849484453E-5</v>
      </c>
    </row>
    <row r="195" spans="2:21" x14ac:dyDescent="0.2">
      <c r="B195" s="23" t="s">
        <v>1372</v>
      </c>
      <c r="C195" s="32" t="s">
        <v>1373</v>
      </c>
      <c r="D195" s="32" t="s">
        <v>423</v>
      </c>
      <c r="E195" s="32" t="s">
        <v>238</v>
      </c>
      <c r="F195" s="32" t="s">
        <v>766</v>
      </c>
      <c r="G195" s="32" t="s">
        <v>191</v>
      </c>
      <c r="H195" s="94" t="s">
        <v>572</v>
      </c>
      <c r="I195" s="94" t="s">
        <v>243</v>
      </c>
      <c r="J195" s="94" t="s">
        <v>1374</v>
      </c>
      <c r="K195" s="94">
        <v>0.6</v>
      </c>
      <c r="L195" s="94" t="s">
        <v>244</v>
      </c>
      <c r="M195" s="32">
        <v>2.18E-2</v>
      </c>
      <c r="N195" s="32">
        <v>3.8E-3</v>
      </c>
      <c r="O195" s="103">
        <v>177288.9526430743</v>
      </c>
      <c r="P195" s="94">
        <v>101.38000000000001</v>
      </c>
      <c r="Q195" s="124">
        <v>0</v>
      </c>
      <c r="R195" s="124">
        <v>179.73553918217215</v>
      </c>
      <c r="S195" s="32">
        <v>1.7728912993220423E-4</v>
      </c>
      <c r="T195" s="32">
        <v>7.0181786287074348E-5</v>
      </c>
      <c r="U195" s="32">
        <v>1.5220820596451297E-5</v>
      </c>
    </row>
    <row r="196" spans="2:21" x14ac:dyDescent="0.2">
      <c r="B196" s="23" t="s">
        <v>1351</v>
      </c>
      <c r="C196" s="32" t="s">
        <v>1352</v>
      </c>
      <c r="D196" s="32" t="s">
        <v>423</v>
      </c>
      <c r="E196" s="32" t="s">
        <v>238</v>
      </c>
      <c r="F196" s="32" t="s">
        <v>766</v>
      </c>
      <c r="G196" s="32" t="s">
        <v>191</v>
      </c>
      <c r="H196" s="94" t="s">
        <v>572</v>
      </c>
      <c r="I196" s="94" t="s">
        <v>243</v>
      </c>
      <c r="J196" s="94" t="s">
        <v>1050</v>
      </c>
      <c r="K196" s="94">
        <v>1.0900000000000001</v>
      </c>
      <c r="L196" s="94" t="s">
        <v>244</v>
      </c>
      <c r="M196" s="32">
        <v>1.5600000000000001E-2</v>
      </c>
      <c r="N196" s="32">
        <v>5.6000000000000008E-3</v>
      </c>
      <c r="O196" s="103">
        <v>305497.01847127109</v>
      </c>
      <c r="P196" s="94">
        <v>101.32</v>
      </c>
      <c r="Q196" s="124">
        <v>0</v>
      </c>
      <c r="R196" s="124">
        <v>309.52957902935771</v>
      </c>
      <c r="S196" s="32">
        <v>3.7708922457218425E-4</v>
      </c>
      <c r="T196" s="32">
        <v>1.2086279020727579E-4</v>
      </c>
      <c r="U196" s="32">
        <v>2.621236853400364E-5</v>
      </c>
    </row>
    <row r="197" spans="2:21" x14ac:dyDescent="0.2">
      <c r="B197" s="23" t="s">
        <v>1188</v>
      </c>
      <c r="C197" s="32" t="s">
        <v>1189</v>
      </c>
      <c r="D197" s="32" t="s">
        <v>423</v>
      </c>
      <c r="E197" s="32" t="s">
        <v>238</v>
      </c>
      <c r="F197" s="32" t="s">
        <v>1190</v>
      </c>
      <c r="G197" s="32" t="s">
        <v>192</v>
      </c>
      <c r="H197" s="94" t="s">
        <v>587</v>
      </c>
      <c r="I197" s="94" t="s">
        <v>346</v>
      </c>
      <c r="J197" s="94" t="s">
        <v>1191</v>
      </c>
      <c r="K197" s="94">
        <v>3.61</v>
      </c>
      <c r="L197" s="94" t="s">
        <v>244</v>
      </c>
      <c r="M197" s="32">
        <v>2.9399999999999999E-2</v>
      </c>
      <c r="N197" s="32">
        <v>1.1299999999999999E-2</v>
      </c>
      <c r="O197" s="103">
        <v>1539957.0572932784</v>
      </c>
      <c r="P197" s="94">
        <v>107.33</v>
      </c>
      <c r="Q197" s="124">
        <v>0</v>
      </c>
      <c r="R197" s="124">
        <v>1652.8359092285054</v>
      </c>
      <c r="S197" s="32">
        <v>6.6889219558834987E-3</v>
      </c>
      <c r="T197" s="32">
        <v>6.4538697842893289E-4</v>
      </c>
      <c r="U197" s="32">
        <v>1.3996964075224419E-4</v>
      </c>
    </row>
    <row r="198" spans="2:21" x14ac:dyDescent="0.2">
      <c r="B198" s="23" t="s">
        <v>1126</v>
      </c>
      <c r="C198" s="32" t="s">
        <v>1127</v>
      </c>
      <c r="D198" s="32" t="s">
        <v>423</v>
      </c>
      <c r="E198" s="32" t="s">
        <v>238</v>
      </c>
      <c r="F198" s="32" t="s">
        <v>755</v>
      </c>
      <c r="G198" s="32" t="s">
        <v>192</v>
      </c>
      <c r="H198" s="94" t="s">
        <v>587</v>
      </c>
      <c r="I198" s="94" t="s">
        <v>346</v>
      </c>
      <c r="J198" s="94" t="s">
        <v>1128</v>
      </c>
      <c r="K198" s="94">
        <v>3.78</v>
      </c>
      <c r="L198" s="94" t="s">
        <v>244</v>
      </c>
      <c r="M198" s="32">
        <v>3.85E-2</v>
      </c>
      <c r="N198" s="32">
        <v>1.1200000000000002E-2</v>
      </c>
      <c r="O198" s="103">
        <v>5513457.2704635896</v>
      </c>
      <c r="P198" s="94">
        <v>112.5</v>
      </c>
      <c r="Q198" s="124">
        <v>0</v>
      </c>
      <c r="R198" s="124">
        <v>6202.6394292715386</v>
      </c>
      <c r="S198" s="32">
        <v>1.382404394458703E-2</v>
      </c>
      <c r="T198" s="32">
        <v>2.4219601578055311E-3</v>
      </c>
      <c r="U198" s="32">
        <v>5.2526763714619631E-4</v>
      </c>
    </row>
    <row r="199" spans="2:21" x14ac:dyDescent="0.2">
      <c r="B199" s="23" t="s">
        <v>1198</v>
      </c>
      <c r="C199" s="32" t="s">
        <v>1199</v>
      </c>
      <c r="D199" s="32" t="s">
        <v>423</v>
      </c>
      <c r="E199" s="32" t="s">
        <v>238</v>
      </c>
      <c r="F199" s="32" t="s">
        <v>693</v>
      </c>
      <c r="G199" s="32" t="s">
        <v>194</v>
      </c>
      <c r="H199" s="94" t="s">
        <v>572</v>
      </c>
      <c r="I199" s="94" t="s">
        <v>243</v>
      </c>
      <c r="J199" s="94" t="s">
        <v>1200</v>
      </c>
      <c r="K199" s="94">
        <v>4.83</v>
      </c>
      <c r="L199" s="94" t="s">
        <v>244</v>
      </c>
      <c r="M199" s="32">
        <v>5.0900000000000001E-2</v>
      </c>
      <c r="N199" s="32">
        <v>1.37E-2</v>
      </c>
      <c r="O199" s="103">
        <v>9895759.6822246686</v>
      </c>
      <c r="P199" s="94">
        <v>119.75</v>
      </c>
      <c r="Q199" s="124">
        <v>0</v>
      </c>
      <c r="R199" s="124">
        <v>11850.172218604019</v>
      </c>
      <c r="S199" s="32">
        <v>9.584909600333957E-3</v>
      </c>
      <c r="T199" s="32">
        <v>4.62716643517091E-3</v>
      </c>
      <c r="U199" s="32">
        <v>1.0035263264968899E-3</v>
      </c>
    </row>
    <row r="200" spans="2:21" x14ac:dyDescent="0.2">
      <c r="B200" s="23" t="s">
        <v>1314</v>
      </c>
      <c r="C200" s="32" t="s">
        <v>1315</v>
      </c>
      <c r="D200" s="32" t="s">
        <v>423</v>
      </c>
      <c r="E200" s="32" t="s">
        <v>238</v>
      </c>
      <c r="F200" s="32" t="s">
        <v>693</v>
      </c>
      <c r="G200" s="32" t="s">
        <v>194</v>
      </c>
      <c r="H200" s="94" t="s">
        <v>572</v>
      </c>
      <c r="I200" s="94" t="s">
        <v>243</v>
      </c>
      <c r="J200" s="94" t="s">
        <v>1316</v>
      </c>
      <c r="K200" s="94">
        <v>6.89</v>
      </c>
      <c r="L200" s="94" t="s">
        <v>244</v>
      </c>
      <c r="M200" s="32">
        <v>3.5200000000000002E-2</v>
      </c>
      <c r="N200" s="32">
        <v>1.77E-2</v>
      </c>
      <c r="O200" s="103">
        <v>25720.252838693665</v>
      </c>
      <c r="P200" s="94">
        <v>114.00000000000001</v>
      </c>
      <c r="Q200" s="124">
        <v>0</v>
      </c>
      <c r="R200" s="124">
        <v>29.321088236110775</v>
      </c>
      <c r="S200" s="32">
        <v>4.6347808481446038E-5</v>
      </c>
      <c r="T200" s="32">
        <v>1.1449078783497975E-5</v>
      </c>
      <c r="U200" s="32">
        <v>2.4830427291411717E-6</v>
      </c>
    </row>
    <row r="201" spans="2:21" x14ac:dyDescent="0.2">
      <c r="B201" s="23" t="s">
        <v>1111</v>
      </c>
      <c r="C201" s="32" t="s">
        <v>1112</v>
      </c>
      <c r="D201" s="32" t="s">
        <v>423</v>
      </c>
      <c r="E201" s="32" t="s">
        <v>238</v>
      </c>
      <c r="F201" s="32" t="s">
        <v>1113</v>
      </c>
      <c r="G201" s="32" t="s">
        <v>186</v>
      </c>
      <c r="H201" s="94" t="s">
        <v>572</v>
      </c>
      <c r="I201" s="94" t="s">
        <v>243</v>
      </c>
      <c r="J201" s="94" t="s">
        <v>1114</v>
      </c>
      <c r="K201" s="94">
        <v>0.99</v>
      </c>
      <c r="L201" s="94" t="s">
        <v>244</v>
      </c>
      <c r="M201" s="32">
        <v>4.0999999999999995E-2</v>
      </c>
      <c r="N201" s="32">
        <v>4.0000000000000001E-3</v>
      </c>
      <c r="O201" s="103">
        <v>45924.368785248829</v>
      </c>
      <c r="P201" s="94">
        <v>103.69</v>
      </c>
      <c r="Q201" s="124">
        <v>23.9036324514</v>
      </c>
      <c r="R201" s="124">
        <v>47.713121277617837</v>
      </c>
      <c r="S201" s="32">
        <v>1.5308122928416276E-4</v>
      </c>
      <c r="T201" s="32">
        <v>1.8630662003918138E-5</v>
      </c>
      <c r="U201" s="32">
        <v>4.0405634988374008E-6</v>
      </c>
    </row>
    <row r="202" spans="2:21" x14ac:dyDescent="0.2">
      <c r="B202" s="23" t="s">
        <v>1175</v>
      </c>
      <c r="C202" s="32" t="s">
        <v>1176</v>
      </c>
      <c r="D202" s="32" t="s">
        <v>423</v>
      </c>
      <c r="E202" s="32" t="s">
        <v>238</v>
      </c>
      <c r="F202" s="32" t="s">
        <v>1177</v>
      </c>
      <c r="G202" s="32" t="s">
        <v>581</v>
      </c>
      <c r="H202" s="94" t="s">
        <v>345</v>
      </c>
      <c r="I202" s="94" t="s">
        <v>346</v>
      </c>
      <c r="J202" s="94" t="s">
        <v>1171</v>
      </c>
      <c r="K202" s="94">
        <v>3.77</v>
      </c>
      <c r="L202" s="94" t="s">
        <v>244</v>
      </c>
      <c r="M202" s="32">
        <v>3.85E-2</v>
      </c>
      <c r="N202" s="32">
        <v>1.26E-2</v>
      </c>
      <c r="O202" s="103">
        <v>69873.353545117789</v>
      </c>
      <c r="P202" s="94">
        <v>113.34</v>
      </c>
      <c r="Q202" s="124">
        <v>0</v>
      </c>
      <c r="R202" s="124">
        <v>79.194458908036495</v>
      </c>
      <c r="S202" s="32">
        <v>5.2916587592301604E-5</v>
      </c>
      <c r="T202" s="32">
        <v>3.0923258780618518E-5</v>
      </c>
      <c r="U202" s="32">
        <v>6.7065459438743053E-6</v>
      </c>
    </row>
    <row r="203" spans="2:21" x14ac:dyDescent="0.2">
      <c r="B203" s="23" t="s">
        <v>1178</v>
      </c>
      <c r="C203" s="32" t="s">
        <v>1179</v>
      </c>
      <c r="D203" s="32" t="s">
        <v>423</v>
      </c>
      <c r="E203" s="32" t="s">
        <v>238</v>
      </c>
      <c r="F203" s="32" t="s">
        <v>653</v>
      </c>
      <c r="G203" s="32" t="s">
        <v>197</v>
      </c>
      <c r="H203" s="94" t="s">
        <v>567</v>
      </c>
      <c r="I203" s="94" t="s">
        <v>243</v>
      </c>
      <c r="J203" s="94" t="s">
        <v>1180</v>
      </c>
      <c r="K203" s="94">
        <v>4.38</v>
      </c>
      <c r="L203" s="94" t="s">
        <v>244</v>
      </c>
      <c r="M203" s="32">
        <v>3.6499999999999998E-2</v>
      </c>
      <c r="N203" s="32">
        <v>1.7600000000000001E-2</v>
      </c>
      <c r="O203" s="103">
        <v>18515497.113866877</v>
      </c>
      <c r="P203" s="94">
        <v>108.86</v>
      </c>
      <c r="Q203" s="124">
        <v>0</v>
      </c>
      <c r="R203" s="124">
        <v>20155.970158112614</v>
      </c>
      <c r="S203" s="32">
        <v>8.6320621631030756E-3</v>
      </c>
      <c r="T203" s="32">
        <v>7.8703521656423702E-3</v>
      </c>
      <c r="U203" s="32">
        <v>1.7068989645565242E-3</v>
      </c>
    </row>
    <row r="204" spans="2:21" x14ac:dyDescent="0.2">
      <c r="B204" s="23" t="s">
        <v>1377</v>
      </c>
      <c r="C204" s="32" t="s">
        <v>1378</v>
      </c>
      <c r="D204" s="32" t="s">
        <v>423</v>
      </c>
      <c r="E204" s="32" t="s">
        <v>238</v>
      </c>
      <c r="F204" s="32" t="s">
        <v>1003</v>
      </c>
      <c r="G204" s="32" t="s">
        <v>191</v>
      </c>
      <c r="H204" s="94" t="s">
        <v>345</v>
      </c>
      <c r="I204" s="94" t="s">
        <v>346</v>
      </c>
      <c r="J204" s="94" t="s">
        <v>1217</v>
      </c>
      <c r="K204" s="94">
        <v>1.93</v>
      </c>
      <c r="L204" s="94" t="s">
        <v>244</v>
      </c>
      <c r="M204" s="32">
        <v>3.6000000000000004E-2</v>
      </c>
      <c r="N204" s="32">
        <v>1.3000000000000001E-2</v>
      </c>
      <c r="O204" s="103">
        <v>57.227562566093404</v>
      </c>
      <c r="P204" s="94">
        <v>5404000</v>
      </c>
      <c r="Q204" s="124">
        <v>0</v>
      </c>
      <c r="R204" s="124">
        <v>3092.5774810716871</v>
      </c>
      <c r="S204" s="32">
        <v>3.6494842526684141E-3</v>
      </c>
      <c r="T204" s="32">
        <v>1.2075664770605378E-3</v>
      </c>
      <c r="U204" s="32">
        <v>2.6189348658702222E-4</v>
      </c>
    </row>
    <row r="205" spans="2:21" x14ac:dyDescent="0.2">
      <c r="B205" s="23" t="s">
        <v>1258</v>
      </c>
      <c r="C205" s="32" t="s">
        <v>1259</v>
      </c>
      <c r="D205" s="32" t="s">
        <v>423</v>
      </c>
      <c r="E205" s="32" t="s">
        <v>238</v>
      </c>
      <c r="F205" s="32" t="s">
        <v>679</v>
      </c>
      <c r="G205" s="32" t="s">
        <v>192</v>
      </c>
      <c r="H205" s="94" t="s">
        <v>345</v>
      </c>
      <c r="I205" s="94" t="s">
        <v>346</v>
      </c>
      <c r="J205" s="94" t="s">
        <v>1260</v>
      </c>
      <c r="K205" s="94">
        <v>4.8</v>
      </c>
      <c r="L205" s="94" t="s">
        <v>244</v>
      </c>
      <c r="M205" s="32">
        <v>2.2200000000000001E-2</v>
      </c>
      <c r="N205" s="32">
        <v>1.3000000000000001E-2</v>
      </c>
      <c r="O205" s="103">
        <v>2583652.981506859</v>
      </c>
      <c r="P205" s="94">
        <v>105.45</v>
      </c>
      <c r="Q205" s="124">
        <v>0</v>
      </c>
      <c r="R205" s="124">
        <v>2724.4620689989833</v>
      </c>
      <c r="S205" s="32">
        <v>9.4920588171793305E-3</v>
      </c>
      <c r="T205" s="32">
        <v>1.0638275298460995E-3</v>
      </c>
      <c r="U205" s="32">
        <v>2.3071980401182272E-4</v>
      </c>
    </row>
    <row r="206" spans="2:21" x14ac:dyDescent="0.2">
      <c r="B206" s="23" t="s">
        <v>1264</v>
      </c>
      <c r="C206" s="32" t="s">
        <v>1265</v>
      </c>
      <c r="D206" s="32" t="s">
        <v>423</v>
      </c>
      <c r="E206" s="32" t="s">
        <v>238</v>
      </c>
      <c r="F206" s="32" t="s">
        <v>571</v>
      </c>
      <c r="G206" s="32" t="s">
        <v>192</v>
      </c>
      <c r="H206" s="94" t="s">
        <v>567</v>
      </c>
      <c r="I206" s="94" t="s">
        <v>243</v>
      </c>
      <c r="J206" s="94" t="s">
        <v>1263</v>
      </c>
      <c r="K206" s="94">
        <v>10.23</v>
      </c>
      <c r="L206" s="94" t="s">
        <v>244</v>
      </c>
      <c r="M206" s="32">
        <v>3.0499999999999999E-2</v>
      </c>
      <c r="N206" s="32">
        <v>2.2700000000000001E-2</v>
      </c>
      <c r="O206" s="103">
        <v>1865071.1269400613</v>
      </c>
      <c r="P206" s="94">
        <v>108.25</v>
      </c>
      <c r="Q206" s="124">
        <v>0</v>
      </c>
      <c r="R206" s="124">
        <v>2018.9394949126165</v>
      </c>
      <c r="S206" s="32">
        <v>5.9016102299327159E-3</v>
      </c>
      <c r="T206" s="32">
        <v>7.8834036275306359E-4</v>
      </c>
      <c r="U206" s="32">
        <v>1.7097295274480148E-4</v>
      </c>
    </row>
    <row r="207" spans="2:21" x14ac:dyDescent="0.2">
      <c r="B207" s="23" t="s">
        <v>1317</v>
      </c>
      <c r="C207" s="32" t="s">
        <v>1318</v>
      </c>
      <c r="D207" s="32" t="s">
        <v>423</v>
      </c>
      <c r="E207" s="32" t="s">
        <v>238</v>
      </c>
      <c r="F207" s="32" t="s">
        <v>571</v>
      </c>
      <c r="G207" s="32" t="s">
        <v>192</v>
      </c>
      <c r="H207" s="94" t="s">
        <v>567</v>
      </c>
      <c r="I207" s="94" t="s">
        <v>243</v>
      </c>
      <c r="J207" s="94" t="s">
        <v>1319</v>
      </c>
      <c r="K207" s="94">
        <v>5.99</v>
      </c>
      <c r="L207" s="94" t="s">
        <v>244</v>
      </c>
      <c r="M207" s="32">
        <v>2.9100000000000001E-2</v>
      </c>
      <c r="N207" s="32">
        <v>1.6E-2</v>
      </c>
      <c r="O207" s="103">
        <v>7259631.813277103</v>
      </c>
      <c r="P207" s="94">
        <v>108.11</v>
      </c>
      <c r="Q207" s="124">
        <v>0</v>
      </c>
      <c r="R207" s="124">
        <v>7848.3879524336671</v>
      </c>
      <c r="S207" s="32">
        <v>1.2099386355461839E-2</v>
      </c>
      <c r="T207" s="32">
        <v>3.0645797068406572E-3</v>
      </c>
      <c r="U207" s="32">
        <v>6.64637085903552E-4</v>
      </c>
    </row>
    <row r="208" spans="2:21" x14ac:dyDescent="0.2">
      <c r="B208" s="23" t="s">
        <v>1152</v>
      </c>
      <c r="C208" s="32" t="s">
        <v>1153</v>
      </c>
      <c r="D208" s="32" t="s">
        <v>423</v>
      </c>
      <c r="E208" s="32" t="s">
        <v>238</v>
      </c>
      <c r="F208" s="32" t="s">
        <v>571</v>
      </c>
      <c r="G208" s="32" t="s">
        <v>192</v>
      </c>
      <c r="H208" s="94" t="s">
        <v>567</v>
      </c>
      <c r="I208" s="94" t="s">
        <v>243</v>
      </c>
      <c r="J208" s="94" t="s">
        <v>1154</v>
      </c>
      <c r="K208" s="94">
        <v>6.96</v>
      </c>
      <c r="L208" s="94" t="s">
        <v>244</v>
      </c>
      <c r="M208" s="32">
        <v>4.36E-2</v>
      </c>
      <c r="N208" s="32">
        <v>1.7299999999999999E-2</v>
      </c>
      <c r="O208" s="103">
        <v>5315584.5066414289</v>
      </c>
      <c r="P208" s="94">
        <v>119.63</v>
      </c>
      <c r="Q208" s="124">
        <v>0</v>
      </c>
      <c r="R208" s="124">
        <v>6359.0337446950025</v>
      </c>
      <c r="S208" s="32">
        <v>1.7718615022138097E-2</v>
      </c>
      <c r="T208" s="32">
        <v>2.4830278379733249E-3</v>
      </c>
      <c r="U208" s="32">
        <v>5.3851181705739709E-4</v>
      </c>
    </row>
    <row r="209" spans="2:21" x14ac:dyDescent="0.2">
      <c r="B209" s="23" t="s">
        <v>1164</v>
      </c>
      <c r="C209" s="32" t="s">
        <v>1165</v>
      </c>
      <c r="D209" s="32" t="s">
        <v>423</v>
      </c>
      <c r="E209" s="32" t="s">
        <v>238</v>
      </c>
      <c r="F209" s="32" t="s">
        <v>571</v>
      </c>
      <c r="G209" s="32" t="s">
        <v>192</v>
      </c>
      <c r="H209" s="94" t="s">
        <v>567</v>
      </c>
      <c r="I209" s="94" t="s">
        <v>243</v>
      </c>
      <c r="J209" s="94" t="s">
        <v>1166</v>
      </c>
      <c r="K209" s="94">
        <v>7.79</v>
      </c>
      <c r="L209" s="94" t="s">
        <v>244</v>
      </c>
      <c r="M209" s="32">
        <v>3.95E-2</v>
      </c>
      <c r="N209" s="32">
        <v>1.8700000000000001E-2</v>
      </c>
      <c r="O209" s="103">
        <v>3224529.2368682763</v>
      </c>
      <c r="P209" s="94">
        <v>117.25000000000001</v>
      </c>
      <c r="Q209" s="124">
        <v>0</v>
      </c>
      <c r="R209" s="124">
        <v>3780.760530228054</v>
      </c>
      <c r="S209" s="32">
        <v>1.3434980207544443E-2</v>
      </c>
      <c r="T209" s="32">
        <v>1.4762830364123676E-3</v>
      </c>
      <c r="U209" s="32">
        <v>3.2017194824457553E-4</v>
      </c>
    </row>
    <row r="210" spans="2:21" x14ac:dyDescent="0.2">
      <c r="B210" s="23" t="s">
        <v>1167</v>
      </c>
      <c r="C210" s="32" t="s">
        <v>1168</v>
      </c>
      <c r="D210" s="32" t="s">
        <v>423</v>
      </c>
      <c r="E210" s="32" t="s">
        <v>238</v>
      </c>
      <c r="F210" s="32" t="s">
        <v>571</v>
      </c>
      <c r="G210" s="32" t="s">
        <v>192</v>
      </c>
      <c r="H210" s="94" t="s">
        <v>567</v>
      </c>
      <c r="I210" s="94" t="s">
        <v>243</v>
      </c>
      <c r="J210" s="94" t="s">
        <v>1166</v>
      </c>
      <c r="K210" s="94">
        <v>8.51</v>
      </c>
      <c r="L210" s="94" t="s">
        <v>244</v>
      </c>
      <c r="M210" s="32">
        <v>3.95E-2</v>
      </c>
      <c r="N210" s="32">
        <v>2.0400000000000001E-2</v>
      </c>
      <c r="O210" s="103">
        <v>2841427.2496808558</v>
      </c>
      <c r="P210" s="94">
        <v>117.32000000000001</v>
      </c>
      <c r="Q210" s="124">
        <v>0</v>
      </c>
      <c r="R210" s="124">
        <v>3333.5624491112449</v>
      </c>
      <c r="S210" s="32">
        <v>1.1838788256023244E-2</v>
      </c>
      <c r="T210" s="32">
        <v>1.3016644812855543E-3</v>
      </c>
      <c r="U210" s="32">
        <v>2.8230118659816996E-4</v>
      </c>
    </row>
    <row r="211" spans="2:21" x14ac:dyDescent="0.2">
      <c r="B211" s="23" t="s">
        <v>1261</v>
      </c>
      <c r="C211" s="32" t="s">
        <v>1262</v>
      </c>
      <c r="D211" s="32" t="s">
        <v>423</v>
      </c>
      <c r="E211" s="32" t="s">
        <v>238</v>
      </c>
      <c r="F211" s="32" t="s">
        <v>571</v>
      </c>
      <c r="G211" s="32" t="s">
        <v>192</v>
      </c>
      <c r="H211" s="94" t="s">
        <v>567</v>
      </c>
      <c r="I211" s="94" t="s">
        <v>243</v>
      </c>
      <c r="J211" s="94" t="s">
        <v>1263</v>
      </c>
      <c r="K211" s="94">
        <v>9.51</v>
      </c>
      <c r="L211" s="94" t="s">
        <v>244</v>
      </c>
      <c r="M211" s="32">
        <v>3.0499999999999999E-2</v>
      </c>
      <c r="N211" s="32">
        <v>2.2200000000000001E-2</v>
      </c>
      <c r="O211" s="103">
        <v>6344291.0961715002</v>
      </c>
      <c r="P211" s="94">
        <v>108.2</v>
      </c>
      <c r="Q211" s="124">
        <v>0</v>
      </c>
      <c r="R211" s="124">
        <v>6864.5229658432281</v>
      </c>
      <c r="S211" s="32">
        <v>8.70426556144876E-3</v>
      </c>
      <c r="T211" s="32">
        <v>2.6804074805886193E-3</v>
      </c>
      <c r="U211" s="32">
        <v>5.8131893680425347E-4</v>
      </c>
    </row>
    <row r="212" spans="2:21" x14ac:dyDescent="0.2">
      <c r="B212" s="23" t="s">
        <v>1369</v>
      </c>
      <c r="C212" s="32" t="s">
        <v>1370</v>
      </c>
      <c r="D212" s="32" t="s">
        <v>423</v>
      </c>
      <c r="E212" s="32" t="s">
        <v>238</v>
      </c>
      <c r="F212" s="32" t="s">
        <v>571</v>
      </c>
      <c r="G212" s="32" t="s">
        <v>192</v>
      </c>
      <c r="H212" s="94" t="s">
        <v>567</v>
      </c>
      <c r="I212" s="94" t="s">
        <v>243</v>
      </c>
      <c r="J212" s="94" t="s">
        <v>1371</v>
      </c>
      <c r="K212" s="94">
        <v>7.48</v>
      </c>
      <c r="L212" s="94" t="s">
        <v>244</v>
      </c>
      <c r="M212" s="32">
        <v>1.7899999999999999E-2</v>
      </c>
      <c r="N212" s="32">
        <v>1.84E-2</v>
      </c>
      <c r="O212" s="103">
        <v>7615766.8655371936</v>
      </c>
      <c r="P212" s="94">
        <v>99.84</v>
      </c>
      <c r="Q212" s="124">
        <v>0</v>
      </c>
      <c r="R212" s="124">
        <v>7603.581638552334</v>
      </c>
      <c r="S212" s="32">
        <v>2.1759333901534839E-2</v>
      </c>
      <c r="T212" s="32">
        <v>2.9689895721309477E-3</v>
      </c>
      <c r="U212" s="32">
        <v>6.4390577699591494E-4</v>
      </c>
    </row>
    <row r="213" spans="2:21" x14ac:dyDescent="0.2">
      <c r="B213" s="23" t="s">
        <v>1136</v>
      </c>
      <c r="C213" s="32" t="s">
        <v>1137</v>
      </c>
      <c r="D213" s="32" t="s">
        <v>423</v>
      </c>
      <c r="E213" s="32" t="s">
        <v>238</v>
      </c>
      <c r="F213" s="32" t="s">
        <v>1138</v>
      </c>
      <c r="G213" s="32" t="s">
        <v>192</v>
      </c>
      <c r="H213" s="94" t="s">
        <v>345</v>
      </c>
      <c r="I213" s="94" t="s">
        <v>346</v>
      </c>
      <c r="J213" s="94" t="s">
        <v>1139</v>
      </c>
      <c r="K213" s="94">
        <v>3.05</v>
      </c>
      <c r="L213" s="94" t="s">
        <v>244</v>
      </c>
      <c r="M213" s="32">
        <v>3.5799999999999998E-2</v>
      </c>
      <c r="N213" s="32">
        <v>1.1599999999999999E-2</v>
      </c>
      <c r="O213" s="103">
        <v>4787690.4632663028</v>
      </c>
      <c r="P213" s="94">
        <v>110.35999999999999</v>
      </c>
      <c r="Q213" s="124">
        <v>0</v>
      </c>
      <c r="R213" s="124">
        <v>5283.6951943604836</v>
      </c>
      <c r="S213" s="32">
        <v>4.0178873536341258E-3</v>
      </c>
      <c r="T213" s="32">
        <v>2.0631377001117343E-3</v>
      </c>
      <c r="U213" s="32">
        <v>4.4744727172838292E-4</v>
      </c>
    </row>
    <row r="214" spans="2:21" x14ac:dyDescent="0.2">
      <c r="B214" s="23" t="s">
        <v>1195</v>
      </c>
      <c r="C214" s="32" t="s">
        <v>1196</v>
      </c>
      <c r="D214" s="32" t="s">
        <v>423</v>
      </c>
      <c r="E214" s="32" t="s">
        <v>238</v>
      </c>
      <c r="F214" s="32" t="s">
        <v>665</v>
      </c>
      <c r="G214" s="32" t="s">
        <v>581</v>
      </c>
      <c r="H214" s="94" t="s">
        <v>567</v>
      </c>
      <c r="I214" s="94" t="s">
        <v>243</v>
      </c>
      <c r="J214" s="94" t="s">
        <v>1197</v>
      </c>
      <c r="K214" s="94">
        <v>4.25</v>
      </c>
      <c r="L214" s="94" t="s">
        <v>244</v>
      </c>
      <c r="M214" s="32">
        <v>3.5000000000000003E-2</v>
      </c>
      <c r="N214" s="32">
        <v>1.6E-2</v>
      </c>
      <c r="O214" s="103">
        <v>10235040.290308265</v>
      </c>
      <c r="P214" s="94">
        <v>108.32</v>
      </c>
      <c r="Q214" s="124">
        <v>0</v>
      </c>
      <c r="R214" s="124">
        <v>11086.595642002378</v>
      </c>
      <c r="S214" s="32">
        <v>1.0291801903754703E-2</v>
      </c>
      <c r="T214" s="32">
        <v>4.3290107762694353E-3</v>
      </c>
      <c r="U214" s="32">
        <v>9.388631990097533E-4</v>
      </c>
    </row>
    <row r="215" spans="2:21" x14ac:dyDescent="0.2">
      <c r="B215" s="23" t="s">
        <v>1140</v>
      </c>
      <c r="C215" s="32" t="s">
        <v>1141</v>
      </c>
      <c r="D215" s="32" t="s">
        <v>423</v>
      </c>
      <c r="E215" s="32" t="s">
        <v>238</v>
      </c>
      <c r="F215" s="32" t="s">
        <v>576</v>
      </c>
      <c r="G215" s="32" t="s">
        <v>192</v>
      </c>
      <c r="H215" s="94" t="s">
        <v>345</v>
      </c>
      <c r="I215" s="94" t="s">
        <v>346</v>
      </c>
      <c r="J215" s="94" t="s">
        <v>1142</v>
      </c>
      <c r="K215" s="94">
        <v>4.18</v>
      </c>
      <c r="L215" s="94" t="s">
        <v>244</v>
      </c>
      <c r="M215" s="32">
        <v>4.0999999999999995E-2</v>
      </c>
      <c r="N215" s="32">
        <v>1.26E-2</v>
      </c>
      <c r="O215" s="103">
        <v>4997042.7117689736</v>
      </c>
      <c r="P215" s="94">
        <v>112.39000000000001</v>
      </c>
      <c r="Q215" s="124">
        <v>102.43937529999999</v>
      </c>
      <c r="R215" s="124">
        <v>5718.6156784910718</v>
      </c>
      <c r="S215" s="32">
        <v>1.6656809039229913E-2</v>
      </c>
      <c r="T215" s="32">
        <v>2.2329621911835115E-3</v>
      </c>
      <c r="U215" s="32">
        <v>4.8427831078050847E-4</v>
      </c>
    </row>
    <row r="216" spans="2:21" x14ac:dyDescent="0.2">
      <c r="B216" s="23" t="s">
        <v>1359</v>
      </c>
      <c r="C216" s="32" t="s">
        <v>1360</v>
      </c>
      <c r="D216" s="32" t="s">
        <v>423</v>
      </c>
      <c r="E216" s="32" t="s">
        <v>238</v>
      </c>
      <c r="F216" s="32" t="s">
        <v>825</v>
      </c>
      <c r="G216" s="32" t="s">
        <v>607</v>
      </c>
      <c r="H216" s="94" t="s">
        <v>567</v>
      </c>
      <c r="I216" s="94" t="s">
        <v>243</v>
      </c>
      <c r="J216" s="94" t="s">
        <v>1361</v>
      </c>
      <c r="K216" s="94">
        <v>4.24</v>
      </c>
      <c r="L216" s="94" t="s">
        <v>244</v>
      </c>
      <c r="M216" s="32">
        <v>1.899999976158142E-2</v>
      </c>
      <c r="N216" s="32">
        <v>1.3300000000000001E-2</v>
      </c>
      <c r="O216" s="103">
        <v>10005618.492078537</v>
      </c>
      <c r="P216" s="94">
        <v>102.62</v>
      </c>
      <c r="Q216" s="124">
        <v>0</v>
      </c>
      <c r="R216" s="124">
        <v>10267.765696206625</v>
      </c>
      <c r="S216" s="32">
        <v>6.9262303367985676E-3</v>
      </c>
      <c r="T216" s="32">
        <v>4.0092801958690394E-3</v>
      </c>
      <c r="U216" s="32">
        <v>8.6952096563359905E-4</v>
      </c>
    </row>
    <row r="217" spans="2:21" x14ac:dyDescent="0.2">
      <c r="B217" s="23" t="s">
        <v>1227</v>
      </c>
      <c r="C217" s="32" t="s">
        <v>1228</v>
      </c>
      <c r="D217" s="32" t="s">
        <v>423</v>
      </c>
      <c r="E217" s="32" t="s">
        <v>238</v>
      </c>
      <c r="F217" s="32" t="s">
        <v>825</v>
      </c>
      <c r="G217" s="32" t="s">
        <v>607</v>
      </c>
      <c r="H217" s="94" t="s">
        <v>567</v>
      </c>
      <c r="I217" s="94" t="s">
        <v>243</v>
      </c>
      <c r="J217" s="94" t="s">
        <v>1229</v>
      </c>
      <c r="K217" s="94">
        <v>2.81</v>
      </c>
      <c r="L217" s="94" t="s">
        <v>244</v>
      </c>
      <c r="M217" s="32">
        <v>2.9600000000000001E-2</v>
      </c>
      <c r="N217" s="32">
        <v>9.5999999999999992E-3</v>
      </c>
      <c r="O217" s="103">
        <v>1928786.3017815547</v>
      </c>
      <c r="P217" s="94">
        <v>106</v>
      </c>
      <c r="Q217" s="124">
        <v>0</v>
      </c>
      <c r="R217" s="124">
        <v>2044.513479888448</v>
      </c>
      <c r="S217" s="32">
        <v>4.7228566085240108E-3</v>
      </c>
      <c r="T217" s="32">
        <v>7.9832630073866978E-4</v>
      </c>
      <c r="U217" s="32">
        <v>1.7313867377596014E-4</v>
      </c>
    </row>
    <row r="218" spans="2:21" x14ac:dyDescent="0.2">
      <c r="B218" s="23" t="s">
        <v>1158</v>
      </c>
      <c r="C218" s="32" t="s">
        <v>1159</v>
      </c>
      <c r="D218" s="32" t="s">
        <v>423</v>
      </c>
      <c r="E218" s="32" t="s">
        <v>238</v>
      </c>
      <c r="F218" s="32" t="s">
        <v>755</v>
      </c>
      <c r="G218" s="32" t="s">
        <v>192</v>
      </c>
      <c r="H218" s="94" t="s">
        <v>345</v>
      </c>
      <c r="I218" s="94" t="s">
        <v>346</v>
      </c>
      <c r="J218" s="94" t="s">
        <v>1160</v>
      </c>
      <c r="K218" s="94">
        <v>2.94</v>
      </c>
      <c r="L218" s="94" t="s">
        <v>244</v>
      </c>
      <c r="M218" s="32">
        <v>3.0499999999999999E-2</v>
      </c>
      <c r="N218" s="32">
        <v>8.0000000000000002E-3</v>
      </c>
      <c r="O218" s="103">
        <v>7799308.197309914</v>
      </c>
      <c r="P218" s="94">
        <v>108.1</v>
      </c>
      <c r="Q218" s="124">
        <v>0</v>
      </c>
      <c r="R218" s="124">
        <v>8431.0521607561786</v>
      </c>
      <c r="S218" s="32">
        <v>1.8991557183375189E-2</v>
      </c>
      <c r="T218" s="32">
        <v>3.292094060049185E-3</v>
      </c>
      <c r="U218" s="32">
        <v>7.1397973356913925E-4</v>
      </c>
    </row>
    <row r="219" spans="2:21" x14ac:dyDescent="0.2">
      <c r="B219" s="23" t="s">
        <v>1208</v>
      </c>
      <c r="C219" s="32" t="s">
        <v>1209</v>
      </c>
      <c r="D219" s="32" t="s">
        <v>423</v>
      </c>
      <c r="E219" s="32" t="s">
        <v>238</v>
      </c>
      <c r="F219" s="32" t="s">
        <v>755</v>
      </c>
      <c r="G219" s="32" t="s">
        <v>192</v>
      </c>
      <c r="H219" s="94" t="s">
        <v>345</v>
      </c>
      <c r="I219" s="94" t="s">
        <v>346</v>
      </c>
      <c r="J219" s="94" t="s">
        <v>1210</v>
      </c>
      <c r="K219" s="94">
        <v>5.07</v>
      </c>
      <c r="L219" s="94" t="s">
        <v>244</v>
      </c>
      <c r="M219" s="32">
        <v>3.61E-2</v>
      </c>
      <c r="N219" s="32">
        <v>1.34E-2</v>
      </c>
      <c r="O219" s="103">
        <v>2983421.6925337529</v>
      </c>
      <c r="P219" s="94">
        <v>113.7</v>
      </c>
      <c r="Q219" s="124">
        <v>0</v>
      </c>
      <c r="R219" s="124">
        <v>3392.1504640893741</v>
      </c>
      <c r="S219" s="32">
        <v>3.8871943876661276E-3</v>
      </c>
      <c r="T219" s="32">
        <v>1.3245414902782579E-3</v>
      </c>
      <c r="U219" s="32">
        <v>2.8726268541549876E-4</v>
      </c>
    </row>
    <row r="220" spans="2:21" x14ac:dyDescent="0.2">
      <c r="B220" s="23" t="s">
        <v>1293</v>
      </c>
      <c r="C220" s="32" t="s">
        <v>1294</v>
      </c>
      <c r="D220" s="32" t="s">
        <v>423</v>
      </c>
      <c r="E220" s="32" t="s">
        <v>238</v>
      </c>
      <c r="F220" s="32" t="s">
        <v>755</v>
      </c>
      <c r="G220" s="32" t="s">
        <v>192</v>
      </c>
      <c r="H220" s="94" t="s">
        <v>345</v>
      </c>
      <c r="I220" s="94" t="s">
        <v>346</v>
      </c>
      <c r="J220" s="94" t="s">
        <v>1295</v>
      </c>
      <c r="K220" s="94">
        <v>6.02</v>
      </c>
      <c r="L220" s="94" t="s">
        <v>244</v>
      </c>
      <c r="M220" s="32">
        <v>3.3000000000000002E-2</v>
      </c>
      <c r="N220" s="32">
        <v>1.6399999999999998E-2</v>
      </c>
      <c r="O220" s="103">
        <v>5644418.0463518482</v>
      </c>
      <c r="P220" s="94">
        <v>111.61000000000001</v>
      </c>
      <c r="Q220" s="124">
        <v>0</v>
      </c>
      <c r="R220" s="124">
        <v>6299.7349805366375</v>
      </c>
      <c r="S220" s="32">
        <v>1.8305528049268993E-2</v>
      </c>
      <c r="T220" s="32">
        <v>2.4598733009675309E-3</v>
      </c>
      <c r="U220" s="32">
        <v>5.3349012877608882E-4</v>
      </c>
    </row>
    <row r="221" spans="2:21" x14ac:dyDescent="0.2">
      <c r="B221" s="23" t="s">
        <v>1320</v>
      </c>
      <c r="C221" s="32" t="s">
        <v>1321</v>
      </c>
      <c r="D221" s="32" t="s">
        <v>423</v>
      </c>
      <c r="E221" s="32" t="s">
        <v>238</v>
      </c>
      <c r="F221" s="32" t="s">
        <v>755</v>
      </c>
      <c r="G221" s="32" t="s">
        <v>192</v>
      </c>
      <c r="H221" s="94" t="s">
        <v>345</v>
      </c>
      <c r="I221" s="94" t="s">
        <v>346</v>
      </c>
      <c r="J221" s="94" t="s">
        <v>1322</v>
      </c>
      <c r="K221" s="94">
        <v>8.33</v>
      </c>
      <c r="L221" s="94" t="s">
        <v>244</v>
      </c>
      <c r="M221" s="32">
        <v>2.6200000000000001E-2</v>
      </c>
      <c r="N221" s="32">
        <v>2.1299999999999999E-2</v>
      </c>
      <c r="O221" s="103">
        <v>5006447.2150517218</v>
      </c>
      <c r="P221" s="94">
        <v>104.69</v>
      </c>
      <c r="Q221" s="124">
        <v>0</v>
      </c>
      <c r="R221" s="124">
        <v>5241.249589437648</v>
      </c>
      <c r="S221" s="32">
        <v>6.2580590188146519E-3</v>
      </c>
      <c r="T221" s="32">
        <v>2.0465638584159038E-3</v>
      </c>
      <c r="U221" s="32">
        <v>4.4385278540376395E-4</v>
      </c>
    </row>
    <row r="222" spans="2:21" x14ac:dyDescent="0.2">
      <c r="B222" s="23" t="s">
        <v>1290</v>
      </c>
      <c r="C222" s="32" t="s">
        <v>1291</v>
      </c>
      <c r="D222" s="32" t="s">
        <v>423</v>
      </c>
      <c r="E222" s="32" t="s">
        <v>238</v>
      </c>
      <c r="F222" s="32" t="s">
        <v>1292</v>
      </c>
      <c r="G222" s="32" t="s">
        <v>194</v>
      </c>
      <c r="H222" s="94" t="s">
        <v>345</v>
      </c>
      <c r="I222" s="94" t="s">
        <v>346</v>
      </c>
      <c r="J222" s="94" t="s">
        <v>474</v>
      </c>
      <c r="K222" s="94">
        <v>3.26</v>
      </c>
      <c r="L222" s="94" t="s">
        <v>244</v>
      </c>
      <c r="M222" s="32">
        <v>2.75E-2</v>
      </c>
      <c r="N222" s="32">
        <v>1.66E-2</v>
      </c>
      <c r="O222" s="103">
        <v>280789.71063683252</v>
      </c>
      <c r="P222" s="94">
        <v>104.53000000000002</v>
      </c>
      <c r="Q222" s="124">
        <v>0</v>
      </c>
      <c r="R222" s="124">
        <v>293.50948377979296</v>
      </c>
      <c r="S222" s="32">
        <v>6.4584351905178127E-4</v>
      </c>
      <c r="T222" s="32">
        <v>1.1460738347903844E-4</v>
      </c>
      <c r="U222" s="32">
        <v>2.4855714213766272E-5</v>
      </c>
    </row>
    <row r="223" spans="2:21" x14ac:dyDescent="0.2">
      <c r="B223" s="23" t="s">
        <v>1299</v>
      </c>
      <c r="C223" s="32" t="s">
        <v>1300</v>
      </c>
      <c r="D223" s="32" t="s">
        <v>423</v>
      </c>
      <c r="E223" s="32" t="s">
        <v>238</v>
      </c>
      <c r="F223" s="32" t="s">
        <v>1292</v>
      </c>
      <c r="G223" s="32" t="s">
        <v>194</v>
      </c>
      <c r="H223" s="94" t="s">
        <v>345</v>
      </c>
      <c r="I223" s="94" t="s">
        <v>346</v>
      </c>
      <c r="J223" s="94" t="s">
        <v>1301</v>
      </c>
      <c r="K223" s="94">
        <v>4.3099999999999996</v>
      </c>
      <c r="L223" s="94" t="s">
        <v>244</v>
      </c>
      <c r="M223" s="32">
        <v>2.3E-2</v>
      </c>
      <c r="N223" s="32">
        <v>1.61E-2</v>
      </c>
      <c r="O223" s="103">
        <v>114040.94868569371</v>
      </c>
      <c r="P223" s="94">
        <v>103.78</v>
      </c>
      <c r="Q223" s="124">
        <v>0</v>
      </c>
      <c r="R223" s="124">
        <v>118.35169628345203</v>
      </c>
      <c r="S223" s="32">
        <v>3.7771640366794456E-4</v>
      </c>
      <c r="T223" s="32">
        <v>4.6213083361656282E-5</v>
      </c>
      <c r="U223" s="32">
        <v>1.0022558391138685E-5</v>
      </c>
    </row>
    <row r="224" spans="2:21" x14ac:dyDescent="0.2">
      <c r="B224" s="23" t="s">
        <v>1240</v>
      </c>
      <c r="C224" s="32" t="s">
        <v>1241</v>
      </c>
      <c r="D224" s="32" t="s">
        <v>423</v>
      </c>
      <c r="E224" s="32" t="s">
        <v>238</v>
      </c>
      <c r="F224" s="32" t="s">
        <v>833</v>
      </c>
      <c r="G224" s="32" t="s">
        <v>834</v>
      </c>
      <c r="H224" s="94" t="s">
        <v>567</v>
      </c>
      <c r="I224" s="94" t="s">
        <v>243</v>
      </c>
      <c r="J224" s="94" t="s">
        <v>517</v>
      </c>
      <c r="K224" s="94">
        <v>3.21</v>
      </c>
      <c r="L224" s="94" t="s">
        <v>244</v>
      </c>
      <c r="M224" s="32">
        <v>2.7000000000000003E-2</v>
      </c>
      <c r="N224" s="32">
        <v>1.47E-2</v>
      </c>
      <c r="O224" s="103">
        <v>2522801.2306254483</v>
      </c>
      <c r="P224" s="94">
        <v>104.1</v>
      </c>
      <c r="Q224" s="124">
        <v>0</v>
      </c>
      <c r="R224" s="124">
        <v>2626.2360804713076</v>
      </c>
      <c r="S224" s="32">
        <v>1.3688422107983791E-2</v>
      </c>
      <c r="T224" s="32">
        <v>1.0254729820140271E-3</v>
      </c>
      <c r="U224" s="32">
        <v>2.2240158182776435E-4</v>
      </c>
    </row>
    <row r="225" spans="2:21" x14ac:dyDescent="0.2">
      <c r="B225" s="23" t="s">
        <v>1118</v>
      </c>
      <c r="C225" s="32" t="s">
        <v>1119</v>
      </c>
      <c r="D225" s="32" t="s">
        <v>423</v>
      </c>
      <c r="E225" s="32" t="s">
        <v>238</v>
      </c>
      <c r="F225" s="32" t="s">
        <v>1120</v>
      </c>
      <c r="G225" s="32" t="s">
        <v>204</v>
      </c>
      <c r="H225" s="94" t="s">
        <v>838</v>
      </c>
      <c r="I225" s="94" t="s">
        <v>243</v>
      </c>
      <c r="J225" s="94" t="s">
        <v>1121</v>
      </c>
      <c r="K225" s="94">
        <v>2.86</v>
      </c>
      <c r="L225" s="94" t="s">
        <v>244</v>
      </c>
      <c r="M225" s="32">
        <v>4.7500000000000001E-2</v>
      </c>
      <c r="N225" s="32">
        <v>1.49E-2</v>
      </c>
      <c r="O225" s="103">
        <v>7869588.1591171278</v>
      </c>
      <c r="P225" s="94">
        <v>109.51000000000002</v>
      </c>
      <c r="Q225" s="124">
        <v>0</v>
      </c>
      <c r="R225" s="124">
        <v>8617.9859928066453</v>
      </c>
      <c r="S225" s="32">
        <v>1.8811009145605163E-2</v>
      </c>
      <c r="T225" s="32">
        <v>3.3650865817868724E-3</v>
      </c>
      <c r="U225" s="32">
        <v>7.298101382514512E-4</v>
      </c>
    </row>
    <row r="226" spans="2:21" x14ac:dyDescent="0.2">
      <c r="B226" s="23" t="s">
        <v>1218</v>
      </c>
      <c r="C226" s="32" t="s">
        <v>1219</v>
      </c>
      <c r="D226" s="32" t="s">
        <v>423</v>
      </c>
      <c r="E226" s="32" t="s">
        <v>238</v>
      </c>
      <c r="F226" s="32" t="s">
        <v>848</v>
      </c>
      <c r="G226" s="32" t="s">
        <v>834</v>
      </c>
      <c r="H226" s="94" t="s">
        <v>838</v>
      </c>
      <c r="I226" s="94" t="s">
        <v>243</v>
      </c>
      <c r="J226" s="94" t="s">
        <v>1220</v>
      </c>
      <c r="K226" s="94">
        <v>0.66</v>
      </c>
      <c r="L226" s="94" t="s">
        <v>244</v>
      </c>
      <c r="M226" s="32">
        <v>4.2999999999999997E-2</v>
      </c>
      <c r="N226" s="32">
        <v>2.2400000000000003E-2</v>
      </c>
      <c r="O226" s="103">
        <v>3066332.9605309335</v>
      </c>
      <c r="P226" s="94">
        <v>101.73</v>
      </c>
      <c r="Q226" s="124">
        <v>0</v>
      </c>
      <c r="R226" s="124">
        <v>3119.3805201178652</v>
      </c>
      <c r="S226" s="32">
        <v>1.4159731639932047E-2</v>
      </c>
      <c r="T226" s="32">
        <v>1.2180323268682176E-3</v>
      </c>
      <c r="U226" s="32">
        <v>2.6416328949087678E-4</v>
      </c>
    </row>
    <row r="227" spans="2:21" x14ac:dyDescent="0.2">
      <c r="B227" s="23" t="s">
        <v>1192</v>
      </c>
      <c r="C227" s="32" t="s">
        <v>1193</v>
      </c>
      <c r="D227" s="32" t="s">
        <v>423</v>
      </c>
      <c r="E227" s="32" t="s">
        <v>238</v>
      </c>
      <c r="F227" s="32" t="s">
        <v>848</v>
      </c>
      <c r="G227" s="32" t="s">
        <v>834</v>
      </c>
      <c r="H227" s="94" t="s">
        <v>838</v>
      </c>
      <c r="I227" s="94" t="s">
        <v>243</v>
      </c>
      <c r="J227" s="94" t="s">
        <v>1194</v>
      </c>
      <c r="K227" s="94">
        <v>1.38</v>
      </c>
      <c r="L227" s="94" t="s">
        <v>244</v>
      </c>
      <c r="M227" s="32">
        <v>4.2500000000000003E-2</v>
      </c>
      <c r="N227" s="32">
        <v>2.5099999999999997E-2</v>
      </c>
      <c r="O227" s="103">
        <v>8437773.382586373</v>
      </c>
      <c r="P227" s="94">
        <v>103.08</v>
      </c>
      <c r="Q227" s="124">
        <v>0</v>
      </c>
      <c r="R227" s="124">
        <v>8697.656802585705</v>
      </c>
      <c r="S227" s="32">
        <v>2.2460515712897956E-2</v>
      </c>
      <c r="T227" s="32">
        <v>3.3961958424855308E-3</v>
      </c>
      <c r="U227" s="32">
        <v>7.3655702374743521E-4</v>
      </c>
    </row>
    <row r="228" spans="2:21" x14ac:dyDescent="0.2">
      <c r="B228" s="23" t="s">
        <v>1309</v>
      </c>
      <c r="C228" s="32" t="s">
        <v>1310</v>
      </c>
      <c r="D228" s="32" t="s">
        <v>423</v>
      </c>
      <c r="E228" s="32" t="s">
        <v>238</v>
      </c>
      <c r="F228" s="32" t="s">
        <v>848</v>
      </c>
      <c r="G228" s="32" t="s">
        <v>834</v>
      </c>
      <c r="H228" s="94" t="s">
        <v>838</v>
      </c>
      <c r="I228" s="94" t="s">
        <v>243</v>
      </c>
      <c r="J228" s="94" t="s">
        <v>1311</v>
      </c>
      <c r="K228" s="94">
        <v>1.78</v>
      </c>
      <c r="L228" s="94" t="s">
        <v>244</v>
      </c>
      <c r="M228" s="32">
        <v>3.7000000000000005E-2</v>
      </c>
      <c r="N228" s="32">
        <v>2.69E-2</v>
      </c>
      <c r="O228" s="103">
        <v>308211.81795032526</v>
      </c>
      <c r="P228" s="94">
        <v>102.42999999999999</v>
      </c>
      <c r="Q228" s="124">
        <v>0</v>
      </c>
      <c r="R228" s="124">
        <v>315.70136481841092</v>
      </c>
      <c r="S228" s="32">
        <v>1.5579559792220784E-3</v>
      </c>
      <c r="T228" s="32">
        <v>1.2327270286688574E-4</v>
      </c>
      <c r="U228" s="32">
        <v>2.6735023344968395E-5</v>
      </c>
    </row>
    <row r="229" spans="2:21" x14ac:dyDescent="0.2">
      <c r="B229" s="23" t="s">
        <v>1115</v>
      </c>
      <c r="C229" s="32" t="s">
        <v>1116</v>
      </c>
      <c r="D229" s="32" t="s">
        <v>423</v>
      </c>
      <c r="E229" s="32" t="s">
        <v>238</v>
      </c>
      <c r="F229" s="32" t="s">
        <v>712</v>
      </c>
      <c r="G229" s="32" t="s">
        <v>598</v>
      </c>
      <c r="H229" s="94" t="s">
        <v>838</v>
      </c>
      <c r="I229" s="94" t="s">
        <v>243</v>
      </c>
      <c r="J229" s="94" t="s">
        <v>1117</v>
      </c>
      <c r="K229" s="94">
        <v>3.34</v>
      </c>
      <c r="L229" s="94" t="s">
        <v>244</v>
      </c>
      <c r="M229" s="32">
        <v>3.7499999999999999E-2</v>
      </c>
      <c r="N229" s="32">
        <v>1.2800000000000001E-2</v>
      </c>
      <c r="O229" s="103">
        <v>16185.470045254295</v>
      </c>
      <c r="P229" s="94">
        <v>108.4</v>
      </c>
      <c r="Q229" s="124">
        <v>0</v>
      </c>
      <c r="R229" s="124">
        <v>17.545049040370849</v>
      </c>
      <c r="S229" s="32">
        <v>3.5097955712754134E-5</v>
      </c>
      <c r="T229" s="32">
        <v>6.8508592554948748E-6</v>
      </c>
      <c r="U229" s="32">
        <v>1.4857943232292771E-6</v>
      </c>
    </row>
    <row r="230" spans="2:21" x14ac:dyDescent="0.2">
      <c r="B230" s="23" t="s">
        <v>1296</v>
      </c>
      <c r="C230" s="32" t="s">
        <v>1297</v>
      </c>
      <c r="D230" s="32" t="s">
        <v>423</v>
      </c>
      <c r="E230" s="32" t="s">
        <v>238</v>
      </c>
      <c r="F230" s="32" t="s">
        <v>712</v>
      </c>
      <c r="G230" s="32" t="s">
        <v>598</v>
      </c>
      <c r="H230" s="94" t="s">
        <v>838</v>
      </c>
      <c r="I230" s="94" t="s">
        <v>243</v>
      </c>
      <c r="J230" s="94" t="s">
        <v>1298</v>
      </c>
      <c r="K230" s="94">
        <v>6.19</v>
      </c>
      <c r="L230" s="94" t="s">
        <v>244</v>
      </c>
      <c r="M230" s="32">
        <v>3.7499999999999999E-2</v>
      </c>
      <c r="N230" s="32">
        <v>1.9699999999999999E-2</v>
      </c>
      <c r="O230" s="103">
        <v>40187.895060458854</v>
      </c>
      <c r="P230" s="94">
        <v>113.35</v>
      </c>
      <c r="Q230" s="124">
        <v>0</v>
      </c>
      <c r="R230" s="124">
        <v>45.552979051030107</v>
      </c>
      <c r="S230" s="32">
        <v>1.0861593259583473E-4</v>
      </c>
      <c r="T230" s="32">
        <v>1.778718585676392E-5</v>
      </c>
      <c r="U230" s="32">
        <v>3.8576328583902388E-6</v>
      </c>
    </row>
    <row r="231" spans="2:21" x14ac:dyDescent="0.2">
      <c r="B231" s="23" t="s">
        <v>1107</v>
      </c>
      <c r="C231" s="32" t="s">
        <v>1108</v>
      </c>
      <c r="D231" s="32" t="s">
        <v>423</v>
      </c>
      <c r="E231" s="32" t="s">
        <v>238</v>
      </c>
      <c r="F231" s="32" t="s">
        <v>1109</v>
      </c>
      <c r="G231" s="32" t="s">
        <v>200</v>
      </c>
      <c r="H231" s="94" t="s">
        <v>642</v>
      </c>
      <c r="I231" s="94" t="s">
        <v>346</v>
      </c>
      <c r="J231" s="94" t="s">
        <v>1110</v>
      </c>
      <c r="K231" s="94">
        <v>1.45</v>
      </c>
      <c r="L231" s="94" t="s">
        <v>244</v>
      </c>
      <c r="M231" s="32">
        <v>7.5999999999999998E-2</v>
      </c>
      <c r="N231" s="32">
        <v>0.01</v>
      </c>
      <c r="O231" s="103">
        <v>188999.58202081383</v>
      </c>
      <c r="P231" s="94">
        <v>109.80000000000001</v>
      </c>
      <c r="Q231" s="124">
        <v>0</v>
      </c>
      <c r="R231" s="124">
        <v>207.52154091953554</v>
      </c>
      <c r="S231" s="32">
        <v>3.9189375720326955E-3</v>
      </c>
      <c r="T231" s="32">
        <v>8.1031455999458859E-5</v>
      </c>
      <c r="U231" s="32">
        <v>1.757386523893813E-5</v>
      </c>
    </row>
    <row r="232" spans="2:21" x14ac:dyDescent="0.2">
      <c r="B232" s="23" t="s">
        <v>1334</v>
      </c>
      <c r="C232" s="32" t="s">
        <v>1335</v>
      </c>
      <c r="D232" s="32" t="s">
        <v>423</v>
      </c>
      <c r="E232" s="32" t="s">
        <v>238</v>
      </c>
      <c r="F232" s="32" t="s">
        <v>818</v>
      </c>
      <c r="G232" s="32" t="s">
        <v>581</v>
      </c>
      <c r="H232" s="94" t="s">
        <v>642</v>
      </c>
      <c r="I232" s="94" t="s">
        <v>346</v>
      </c>
      <c r="J232" s="94" t="s">
        <v>977</v>
      </c>
      <c r="K232" s="94">
        <v>1.76</v>
      </c>
      <c r="L232" s="94" t="s">
        <v>244</v>
      </c>
      <c r="M232" s="32">
        <v>4.4999999999999998E-2</v>
      </c>
      <c r="N232" s="32">
        <v>1.1299999999999999E-2</v>
      </c>
      <c r="O232" s="103">
        <v>5707672.5864684815</v>
      </c>
      <c r="P232" s="94">
        <v>106.76</v>
      </c>
      <c r="Q232" s="124">
        <v>0</v>
      </c>
      <c r="R232" s="124">
        <v>6093.5112524967035</v>
      </c>
      <c r="S232" s="32">
        <v>1.4968624892091427E-2</v>
      </c>
      <c r="T232" s="32">
        <v>2.3793486052146608E-3</v>
      </c>
      <c r="U232" s="32">
        <v>5.1602616821764993E-4</v>
      </c>
    </row>
    <row r="233" spans="2:21" x14ac:dyDescent="0.2">
      <c r="B233" s="23" t="s">
        <v>1328</v>
      </c>
      <c r="C233" s="32" t="s">
        <v>1329</v>
      </c>
      <c r="D233" s="32" t="s">
        <v>423</v>
      </c>
      <c r="E233" s="32" t="s">
        <v>238</v>
      </c>
      <c r="F233" s="32" t="s">
        <v>576</v>
      </c>
      <c r="G233" s="32" t="s">
        <v>192</v>
      </c>
      <c r="H233" s="94" t="s">
        <v>642</v>
      </c>
      <c r="I233" s="94" t="s">
        <v>346</v>
      </c>
      <c r="J233" s="94" t="s">
        <v>1330</v>
      </c>
      <c r="K233" s="94">
        <v>6.35</v>
      </c>
      <c r="L233" s="94" t="s">
        <v>244</v>
      </c>
      <c r="M233" s="32">
        <v>1.84E-2</v>
      </c>
      <c r="N233" s="32">
        <v>1.67E-2</v>
      </c>
      <c r="O233" s="103">
        <v>4961758.2757444913</v>
      </c>
      <c r="P233" s="94">
        <v>101.70000000000002</v>
      </c>
      <c r="Q233" s="124">
        <v>0</v>
      </c>
      <c r="R233" s="124">
        <v>5046.1081664321482</v>
      </c>
      <c r="S233" s="32">
        <v>1.6539194252481636E-2</v>
      </c>
      <c r="T233" s="32">
        <v>1.9703664980750173E-3</v>
      </c>
      <c r="U233" s="32">
        <v>4.2732732469622718E-4</v>
      </c>
    </row>
    <row r="234" spans="2:21" x14ac:dyDescent="0.2">
      <c r="B234" s="23" t="s">
        <v>1122</v>
      </c>
      <c r="C234" s="32" t="s">
        <v>1123</v>
      </c>
      <c r="D234" s="32" t="s">
        <v>423</v>
      </c>
      <c r="E234" s="32" t="s">
        <v>238</v>
      </c>
      <c r="F234" s="32" t="s">
        <v>1124</v>
      </c>
      <c r="G234" s="32" t="s">
        <v>204</v>
      </c>
      <c r="H234" s="94" t="s">
        <v>838</v>
      </c>
      <c r="I234" s="94" t="s">
        <v>243</v>
      </c>
      <c r="J234" s="94" t="s">
        <v>1125</v>
      </c>
      <c r="K234" s="94">
        <v>3.2</v>
      </c>
      <c r="L234" s="94" t="s">
        <v>244</v>
      </c>
      <c r="M234" s="32">
        <v>5.8899999999999994E-2</v>
      </c>
      <c r="N234" s="32">
        <v>1.37E-2</v>
      </c>
      <c r="O234" s="103">
        <v>1129525.2599196769</v>
      </c>
      <c r="P234" s="94">
        <v>115.06</v>
      </c>
      <c r="Q234" s="124">
        <v>0</v>
      </c>
      <c r="R234" s="124">
        <v>1299.6317633702051</v>
      </c>
      <c r="S234" s="32">
        <v>2.8074432988539869E-3</v>
      </c>
      <c r="T234" s="32">
        <v>5.0747047069135459E-4</v>
      </c>
      <c r="U234" s="32">
        <v>1.1005871182581151E-4</v>
      </c>
    </row>
    <row r="235" spans="2:21" x14ac:dyDescent="0.2">
      <c r="B235" s="23" t="s">
        <v>1274</v>
      </c>
      <c r="C235" s="32" t="s">
        <v>1275</v>
      </c>
      <c r="D235" s="32" t="s">
        <v>423</v>
      </c>
      <c r="E235" s="32" t="s">
        <v>238</v>
      </c>
      <c r="F235" s="32" t="s">
        <v>1213</v>
      </c>
      <c r="G235" s="32" t="s">
        <v>566</v>
      </c>
      <c r="H235" s="94" t="s">
        <v>838</v>
      </c>
      <c r="I235" s="94" t="s">
        <v>243</v>
      </c>
      <c r="J235" s="94" t="s">
        <v>1276</v>
      </c>
      <c r="K235" s="94">
        <v>4.37</v>
      </c>
      <c r="L235" s="94" t="s">
        <v>244</v>
      </c>
      <c r="M235" s="32">
        <v>3.9E-2</v>
      </c>
      <c r="N235" s="32">
        <v>3.7100000000000001E-2</v>
      </c>
      <c r="O235" s="103">
        <v>2534674.8685356164</v>
      </c>
      <c r="P235" s="94">
        <v>101.29000000000002</v>
      </c>
      <c r="Q235" s="124">
        <v>0</v>
      </c>
      <c r="R235" s="124">
        <v>2567.3721739860721</v>
      </c>
      <c r="S235" s="32">
        <v>6.0221788793642433E-3</v>
      </c>
      <c r="T235" s="32">
        <v>1.0024882449733356E-3</v>
      </c>
      <c r="U235" s="32">
        <v>2.1741671926638772E-4</v>
      </c>
    </row>
    <row r="236" spans="2:21" x14ac:dyDescent="0.2">
      <c r="B236" s="23" t="s">
        <v>1356</v>
      </c>
      <c r="C236" s="32" t="s">
        <v>1357</v>
      </c>
      <c r="D236" s="32" t="s">
        <v>423</v>
      </c>
      <c r="E236" s="32" t="s">
        <v>238</v>
      </c>
      <c r="F236" s="32" t="s">
        <v>1256</v>
      </c>
      <c r="G236" s="32" t="s">
        <v>197</v>
      </c>
      <c r="H236" s="94" t="s">
        <v>838</v>
      </c>
      <c r="I236" s="94" t="s">
        <v>243</v>
      </c>
      <c r="J236" s="94" t="s">
        <v>1358</v>
      </c>
      <c r="K236" s="94">
        <v>1.48</v>
      </c>
      <c r="L236" s="94" t="s">
        <v>244</v>
      </c>
      <c r="M236" s="32">
        <v>1.3300000000000001E-2</v>
      </c>
      <c r="N236" s="32">
        <v>1.34E-2</v>
      </c>
      <c r="O236" s="103">
        <v>238372.68841664094</v>
      </c>
      <c r="P236" s="94">
        <v>100.02</v>
      </c>
      <c r="Q236" s="124">
        <v>0</v>
      </c>
      <c r="R236" s="124">
        <v>238.42036197695467</v>
      </c>
      <c r="S236" s="32">
        <v>1.0911662553724165E-3</v>
      </c>
      <c r="T236" s="32">
        <v>9.3096596070485157E-5</v>
      </c>
      <c r="U236" s="32">
        <v>2.0190517538738154E-5</v>
      </c>
    </row>
    <row r="237" spans="2:21" x14ac:dyDescent="0.2">
      <c r="B237" s="23" t="s">
        <v>1254</v>
      </c>
      <c r="C237" s="32" t="s">
        <v>1255</v>
      </c>
      <c r="D237" s="32" t="s">
        <v>423</v>
      </c>
      <c r="E237" s="32" t="s">
        <v>238</v>
      </c>
      <c r="F237" s="32" t="s">
        <v>1256</v>
      </c>
      <c r="G237" s="32" t="s">
        <v>197</v>
      </c>
      <c r="H237" s="94" t="s">
        <v>838</v>
      </c>
      <c r="I237" s="94" t="s">
        <v>243</v>
      </c>
      <c r="J237" s="94" t="s">
        <v>1257</v>
      </c>
      <c r="K237" s="94">
        <v>2.4300000000000002</v>
      </c>
      <c r="L237" s="94" t="s">
        <v>244</v>
      </c>
      <c r="M237" s="32">
        <v>2.1600000000000001E-2</v>
      </c>
      <c r="N237" s="32">
        <v>1.3899999999999999E-2</v>
      </c>
      <c r="O237" s="103">
        <v>10321316.377161074</v>
      </c>
      <c r="P237" s="94">
        <v>101.91</v>
      </c>
      <c r="Q237" s="124">
        <v>0</v>
      </c>
      <c r="R237" s="124">
        <v>10518.453519246828</v>
      </c>
      <c r="S237" s="32">
        <v>1.0111175810295699E-2</v>
      </c>
      <c r="T237" s="32">
        <v>4.1071668981953226E-3</v>
      </c>
      <c r="U237" s="32">
        <v>8.907503474106913E-4</v>
      </c>
    </row>
    <row r="238" spans="2:21" x14ac:dyDescent="0.2">
      <c r="B238" s="23" t="s">
        <v>1306</v>
      </c>
      <c r="C238" s="32" t="s">
        <v>1307</v>
      </c>
      <c r="D238" s="32" t="s">
        <v>423</v>
      </c>
      <c r="E238" s="32" t="s">
        <v>238</v>
      </c>
      <c r="F238" s="32" t="s">
        <v>1256</v>
      </c>
      <c r="G238" s="32" t="s">
        <v>197</v>
      </c>
      <c r="H238" s="94" t="s">
        <v>838</v>
      </c>
      <c r="I238" s="94" t="s">
        <v>243</v>
      </c>
      <c r="J238" s="94" t="s">
        <v>1308</v>
      </c>
      <c r="K238" s="94">
        <v>5.27</v>
      </c>
      <c r="L238" s="94" t="s">
        <v>244</v>
      </c>
      <c r="M238" s="32">
        <v>0.04</v>
      </c>
      <c r="N238" s="32">
        <v>2.6099999999999998E-2</v>
      </c>
      <c r="O238" s="103">
        <v>2521515.1011706986</v>
      </c>
      <c r="P238" s="94">
        <v>109.5</v>
      </c>
      <c r="Q238" s="124">
        <v>0</v>
      </c>
      <c r="R238" s="124">
        <v>2761.0590352460767</v>
      </c>
      <c r="S238" s="32">
        <v>7.20432886048771E-3</v>
      </c>
      <c r="T238" s="32">
        <v>1.078117638945255E-3</v>
      </c>
      <c r="U238" s="32">
        <v>2.3381900108857229E-4</v>
      </c>
    </row>
    <row r="239" spans="2:21" x14ac:dyDescent="0.2">
      <c r="B239" s="23" t="s">
        <v>1224</v>
      </c>
      <c r="C239" s="32" t="s">
        <v>1225</v>
      </c>
      <c r="D239" s="32" t="s">
        <v>423</v>
      </c>
      <c r="E239" s="32" t="s">
        <v>238</v>
      </c>
      <c r="F239" s="32" t="s">
        <v>1226</v>
      </c>
      <c r="G239" s="32" t="s">
        <v>201</v>
      </c>
      <c r="H239" s="94" t="s">
        <v>838</v>
      </c>
      <c r="I239" s="94" t="s">
        <v>243</v>
      </c>
      <c r="J239" s="94" t="s">
        <v>842</v>
      </c>
      <c r="K239" s="94">
        <v>3.1</v>
      </c>
      <c r="L239" s="94" t="s">
        <v>244</v>
      </c>
      <c r="M239" s="32">
        <v>3.3500000000000002E-2</v>
      </c>
      <c r="N239" s="32">
        <v>1.3000000000000001E-2</v>
      </c>
      <c r="O239" s="103">
        <v>9013286.8837233726</v>
      </c>
      <c r="P239" s="94">
        <v>107.3</v>
      </c>
      <c r="Q239" s="124">
        <v>0</v>
      </c>
      <c r="R239" s="124">
        <v>9671.2568255514489</v>
      </c>
      <c r="S239" s="32">
        <v>2.1860822044852849E-2</v>
      </c>
      <c r="T239" s="32">
        <v>3.7763598826735831E-3</v>
      </c>
      <c r="U239" s="32">
        <v>8.1900588917322369E-4</v>
      </c>
    </row>
    <row r="240" spans="2:21" x14ac:dyDescent="0.2">
      <c r="B240" s="23" t="s">
        <v>1287</v>
      </c>
      <c r="C240" s="32" t="s">
        <v>1288</v>
      </c>
      <c r="D240" s="32" t="s">
        <v>423</v>
      </c>
      <c r="E240" s="32" t="s">
        <v>238</v>
      </c>
      <c r="F240" s="32" t="s">
        <v>1226</v>
      </c>
      <c r="G240" s="32" t="s">
        <v>201</v>
      </c>
      <c r="H240" s="94" t="s">
        <v>838</v>
      </c>
      <c r="I240" s="94" t="s">
        <v>243</v>
      </c>
      <c r="J240" s="94" t="s">
        <v>1289</v>
      </c>
      <c r="K240" s="94">
        <v>5.18</v>
      </c>
      <c r="L240" s="94" t="s">
        <v>244</v>
      </c>
      <c r="M240" s="32">
        <v>2.6200000000000001E-2</v>
      </c>
      <c r="N240" s="32">
        <v>1.5600000000000001E-2</v>
      </c>
      <c r="O240" s="103">
        <v>7847636.7174321087</v>
      </c>
      <c r="P240" s="94">
        <v>105.52</v>
      </c>
      <c r="Q240" s="124">
        <v>102.8040414</v>
      </c>
      <c r="R240" s="124">
        <v>8383.6303052668009</v>
      </c>
      <c r="S240" s="32">
        <v>1.6278335207935903E-2</v>
      </c>
      <c r="T240" s="32">
        <v>3.2735771293273272E-3</v>
      </c>
      <c r="U240" s="32">
        <v>7.0996383577820172E-4</v>
      </c>
    </row>
    <row r="241" spans="2:21" x14ac:dyDescent="0.2">
      <c r="B241" s="23" t="s">
        <v>1345</v>
      </c>
      <c r="C241" s="32" t="s">
        <v>1346</v>
      </c>
      <c r="D241" s="32" t="s">
        <v>423</v>
      </c>
      <c r="E241" s="32" t="s">
        <v>238</v>
      </c>
      <c r="F241" s="32" t="s">
        <v>1063</v>
      </c>
      <c r="G241" s="32" t="s">
        <v>192</v>
      </c>
      <c r="H241" s="94" t="s">
        <v>582</v>
      </c>
      <c r="I241" s="94" t="s">
        <v>346</v>
      </c>
      <c r="J241" s="94" t="s">
        <v>1347</v>
      </c>
      <c r="K241" s="94">
        <v>2.39</v>
      </c>
      <c r="L241" s="94" t="s">
        <v>244</v>
      </c>
      <c r="M241" s="32">
        <v>4.3499999999999997E-2</v>
      </c>
      <c r="N241" s="32">
        <v>7.3000000000000001E-3</v>
      </c>
      <c r="O241" s="103">
        <v>2486183.9400202264</v>
      </c>
      <c r="P241" s="94">
        <v>111.1</v>
      </c>
      <c r="Q241" s="124">
        <v>0</v>
      </c>
      <c r="R241" s="124">
        <v>2762.1503573624714</v>
      </c>
      <c r="S241" s="32">
        <v>1.4389720387904653E-2</v>
      </c>
      <c r="T241" s="32">
        <v>1.0785437702262009E-3</v>
      </c>
      <c r="U241" s="32">
        <v>2.3391141919476411E-4</v>
      </c>
    </row>
    <row r="242" spans="2:21" x14ac:dyDescent="0.2">
      <c r="B242" s="23" t="s">
        <v>1348</v>
      </c>
      <c r="C242" s="32" t="s">
        <v>1349</v>
      </c>
      <c r="D242" s="32" t="s">
        <v>423</v>
      </c>
      <c r="E242" s="32" t="s">
        <v>238</v>
      </c>
      <c r="F242" s="32" t="s">
        <v>1063</v>
      </c>
      <c r="G242" s="32" t="s">
        <v>192</v>
      </c>
      <c r="H242" s="94" t="s">
        <v>582</v>
      </c>
      <c r="I242" s="94" t="s">
        <v>346</v>
      </c>
      <c r="J242" s="94" t="s">
        <v>1350</v>
      </c>
      <c r="K242" s="94">
        <v>5.4</v>
      </c>
      <c r="L242" s="94" t="s">
        <v>244</v>
      </c>
      <c r="M242" s="32">
        <v>3.27E-2</v>
      </c>
      <c r="N242" s="32">
        <v>1.6399999999999998E-2</v>
      </c>
      <c r="O242" s="103">
        <v>2869630.0427570841</v>
      </c>
      <c r="P242" s="94">
        <v>109.55</v>
      </c>
      <c r="Q242" s="124">
        <v>0</v>
      </c>
      <c r="R242" s="124">
        <v>3143.6797118403861</v>
      </c>
      <c r="S242" s="32">
        <v>1.2868296155861363E-2</v>
      </c>
      <c r="T242" s="32">
        <v>1.2275204931383847E-3</v>
      </c>
      <c r="U242" s="32">
        <v>2.6622105524788935E-4</v>
      </c>
    </row>
    <row r="243" spans="2:21" x14ac:dyDescent="0.2">
      <c r="B243" s="23" t="s">
        <v>1172</v>
      </c>
      <c r="C243" s="32" t="s">
        <v>1173</v>
      </c>
      <c r="D243" s="32" t="s">
        <v>423</v>
      </c>
      <c r="E243" s="32" t="s">
        <v>238</v>
      </c>
      <c r="F243" s="32" t="s">
        <v>1174</v>
      </c>
      <c r="G243" s="32" t="s">
        <v>592</v>
      </c>
      <c r="H243" s="94" t="s">
        <v>582</v>
      </c>
      <c r="I243" s="94" t="s">
        <v>346</v>
      </c>
      <c r="J243" s="94" t="s">
        <v>1171</v>
      </c>
      <c r="K243" s="94">
        <v>1.38</v>
      </c>
      <c r="L243" s="94" t="s">
        <v>244</v>
      </c>
      <c r="M243" s="32">
        <v>3.9E-2</v>
      </c>
      <c r="N243" s="32">
        <v>1.0700000000000001E-2</v>
      </c>
      <c r="O243" s="103">
        <v>916841.71998262999</v>
      </c>
      <c r="P243" s="94">
        <v>104.93</v>
      </c>
      <c r="Q243" s="124">
        <v>0</v>
      </c>
      <c r="R243" s="124">
        <v>962.04201649667277</v>
      </c>
      <c r="S243" s="32">
        <v>3.0110008121865196E-3</v>
      </c>
      <c r="T243" s="32">
        <v>3.7565095644508231E-4</v>
      </c>
      <c r="U243" s="32">
        <v>8.1470081019995255E-5</v>
      </c>
    </row>
    <row r="244" spans="2:21" x14ac:dyDescent="0.2">
      <c r="B244" s="23" t="s">
        <v>1185</v>
      </c>
      <c r="C244" s="32" t="s">
        <v>1186</v>
      </c>
      <c r="D244" s="32" t="s">
        <v>423</v>
      </c>
      <c r="E244" s="32" t="s">
        <v>238</v>
      </c>
      <c r="F244" s="32" t="s">
        <v>615</v>
      </c>
      <c r="G244" s="32" t="s">
        <v>607</v>
      </c>
      <c r="H244" s="94" t="s">
        <v>593</v>
      </c>
      <c r="I244" s="94" t="s">
        <v>243</v>
      </c>
      <c r="J244" s="94" t="s">
        <v>1187</v>
      </c>
      <c r="K244" s="94">
        <v>1.46</v>
      </c>
      <c r="L244" s="94" t="s">
        <v>244</v>
      </c>
      <c r="M244" s="32">
        <v>0.06</v>
      </c>
      <c r="N244" s="32">
        <v>1.3999999999999999E-2</v>
      </c>
      <c r="O244" s="103">
        <v>927211.21392989275</v>
      </c>
      <c r="P244" s="94">
        <v>106.80000000000001</v>
      </c>
      <c r="Q244" s="124">
        <v>0</v>
      </c>
      <c r="R244" s="124">
        <v>990.26157596272037</v>
      </c>
      <c r="S244" s="32">
        <v>3.389561206026871E-3</v>
      </c>
      <c r="T244" s="32">
        <v>3.8666991853000528E-4</v>
      </c>
      <c r="U244" s="32">
        <v>8.3859841297222626E-5</v>
      </c>
    </row>
    <row r="245" spans="2:21" x14ac:dyDescent="0.2">
      <c r="B245" s="23" t="s">
        <v>1149</v>
      </c>
      <c r="C245" s="32" t="s">
        <v>1150</v>
      </c>
      <c r="D245" s="32" t="s">
        <v>423</v>
      </c>
      <c r="E245" s="32" t="s">
        <v>238</v>
      </c>
      <c r="F245" s="32" t="s">
        <v>615</v>
      </c>
      <c r="G245" s="32" t="s">
        <v>607</v>
      </c>
      <c r="H245" s="94" t="s">
        <v>593</v>
      </c>
      <c r="I245" s="94" t="s">
        <v>243</v>
      </c>
      <c r="J245" s="94" t="s">
        <v>1151</v>
      </c>
      <c r="K245" s="94">
        <v>2.8</v>
      </c>
      <c r="L245" s="94" t="s">
        <v>244</v>
      </c>
      <c r="M245" s="32">
        <v>5.9000000000000004E-2</v>
      </c>
      <c r="N245" s="32">
        <v>1.7000000000000001E-2</v>
      </c>
      <c r="O245" s="103">
        <v>2156453.7387119909</v>
      </c>
      <c r="P245" s="94">
        <v>112.11</v>
      </c>
      <c r="Q245" s="124">
        <v>0</v>
      </c>
      <c r="R245" s="124">
        <v>2417.6002856866166</v>
      </c>
      <c r="S245" s="32">
        <v>2.5523740442811075E-3</v>
      </c>
      <c r="T245" s="32">
        <v>9.4400644051623162E-4</v>
      </c>
      <c r="U245" s="32">
        <v>2.0473335651814903E-4</v>
      </c>
    </row>
    <row r="246" spans="2:21" x14ac:dyDescent="0.2">
      <c r="B246" s="23" t="s">
        <v>1353</v>
      </c>
      <c r="C246" s="32" t="s">
        <v>1354</v>
      </c>
      <c r="D246" s="32" t="s">
        <v>423</v>
      </c>
      <c r="E246" s="32" t="s">
        <v>238</v>
      </c>
      <c r="F246" s="32" t="s">
        <v>1016</v>
      </c>
      <c r="G246" s="32" t="s">
        <v>191</v>
      </c>
      <c r="H246" s="94" t="s">
        <v>593</v>
      </c>
      <c r="I246" s="94" t="s">
        <v>243</v>
      </c>
      <c r="J246" s="94" t="s">
        <v>1355</v>
      </c>
      <c r="K246" s="94">
        <v>0.67</v>
      </c>
      <c r="L246" s="94" t="s">
        <v>244</v>
      </c>
      <c r="M246" s="32">
        <v>1.5800000000000002E-2</v>
      </c>
      <c r="N246" s="32">
        <v>7.8000000000000005E-3</v>
      </c>
      <c r="O246" s="103">
        <v>72329.924900703059</v>
      </c>
      <c r="P246" s="94">
        <v>100.66999999999999</v>
      </c>
      <c r="Q246" s="124">
        <v>0</v>
      </c>
      <c r="R246" s="124">
        <v>72.814535187917713</v>
      </c>
      <c r="S246" s="32">
        <v>2.1698934072342771E-3</v>
      </c>
      <c r="T246" s="32">
        <v>2.8432073981604515E-5</v>
      </c>
      <c r="U246" s="32">
        <v>6.1662650689575865E-6</v>
      </c>
    </row>
    <row r="247" spans="2:21" x14ac:dyDescent="0.2">
      <c r="B247" s="23" t="s">
        <v>1155</v>
      </c>
      <c r="C247" s="32" t="s">
        <v>1156</v>
      </c>
      <c r="D247" s="32" t="s">
        <v>423</v>
      </c>
      <c r="E247" s="32" t="s">
        <v>238</v>
      </c>
      <c r="F247" s="32" t="s">
        <v>580</v>
      </c>
      <c r="G247" s="32" t="s">
        <v>581</v>
      </c>
      <c r="H247" s="94" t="s">
        <v>582</v>
      </c>
      <c r="I247" s="94" t="s">
        <v>346</v>
      </c>
      <c r="J247" s="94" t="s">
        <v>1157</v>
      </c>
      <c r="K247" s="94">
        <v>3.23</v>
      </c>
      <c r="L247" s="94" t="s">
        <v>244</v>
      </c>
      <c r="M247" s="32">
        <v>7.0499999999999993E-2</v>
      </c>
      <c r="N247" s="32">
        <v>2.0799999999999999E-2</v>
      </c>
      <c r="O247" s="103">
        <v>42515.156773220391</v>
      </c>
      <c r="P247" s="94">
        <v>116.60999999999999</v>
      </c>
      <c r="Q247" s="124">
        <v>0</v>
      </c>
      <c r="R247" s="124">
        <v>49.576923324415745</v>
      </c>
      <c r="S247" s="32">
        <v>1.0726823889463925E-4</v>
      </c>
      <c r="T247" s="32">
        <v>1.9358425458630366E-5</v>
      </c>
      <c r="U247" s="32">
        <v>4.1983987088948652E-6</v>
      </c>
    </row>
    <row r="248" spans="2:21" x14ac:dyDescent="0.2">
      <c r="B248" s="23" t="s">
        <v>1215</v>
      </c>
      <c r="C248" s="32" t="s">
        <v>1216</v>
      </c>
      <c r="D248" s="32" t="s">
        <v>423</v>
      </c>
      <c r="E248" s="32" t="s">
        <v>238</v>
      </c>
      <c r="F248" s="32" t="s">
        <v>1213</v>
      </c>
      <c r="G248" s="32" t="s">
        <v>566</v>
      </c>
      <c r="H248" s="94" t="s">
        <v>582</v>
      </c>
      <c r="I248" s="94" t="s">
        <v>346</v>
      </c>
      <c r="J248" s="94" t="s">
        <v>1217</v>
      </c>
      <c r="K248" s="94">
        <v>2.21</v>
      </c>
      <c r="L248" s="94" t="s">
        <v>244</v>
      </c>
      <c r="M248" s="32">
        <v>6.9000000000000006E-2</v>
      </c>
      <c r="N248" s="32">
        <v>7.2999999999999995E-2</v>
      </c>
      <c r="O248" s="103">
        <v>3645446.1685892576</v>
      </c>
      <c r="P248" s="94">
        <v>101.11000000000001</v>
      </c>
      <c r="Q248" s="124">
        <v>0</v>
      </c>
      <c r="R248" s="124">
        <v>3685.9106206683646</v>
      </c>
      <c r="S248" s="32">
        <v>1.0586826231460525E-2</v>
      </c>
      <c r="T248" s="32">
        <v>1.4392467545932251E-3</v>
      </c>
      <c r="U248" s="32">
        <v>3.1213962773875503E-4</v>
      </c>
    </row>
    <row r="249" spans="2:21" x14ac:dyDescent="0.2">
      <c r="B249" s="23" t="s">
        <v>1211</v>
      </c>
      <c r="C249" s="32" t="s">
        <v>1212</v>
      </c>
      <c r="D249" s="32" t="s">
        <v>423</v>
      </c>
      <c r="E249" s="32" t="s">
        <v>238</v>
      </c>
      <c r="F249" s="32" t="s">
        <v>1213</v>
      </c>
      <c r="G249" s="32" t="s">
        <v>566</v>
      </c>
      <c r="H249" s="94" t="s">
        <v>582</v>
      </c>
      <c r="I249" s="94" t="s">
        <v>346</v>
      </c>
      <c r="J249" s="94" t="s">
        <v>1214</v>
      </c>
      <c r="K249" s="94">
        <v>3.49</v>
      </c>
      <c r="L249" s="94" t="s">
        <v>244</v>
      </c>
      <c r="M249" s="32">
        <v>5.1500000000000004E-2</v>
      </c>
      <c r="N249" s="32">
        <v>8.5199999999999998E-2</v>
      </c>
      <c r="O249" s="103">
        <v>5000223.7058342099</v>
      </c>
      <c r="P249" s="94">
        <v>90.66</v>
      </c>
      <c r="Q249" s="124">
        <v>0</v>
      </c>
      <c r="R249" s="124">
        <v>4533.2028115191797</v>
      </c>
      <c r="S249" s="32">
        <v>1.3557060295565965E-2</v>
      </c>
      <c r="T249" s="32">
        <v>1.7700910591285028E-3</v>
      </c>
      <c r="U249" s="32">
        <v>3.8389217310844462E-4</v>
      </c>
    </row>
    <row r="250" spans="2:21" x14ac:dyDescent="0.2">
      <c r="B250" s="23" t="s">
        <v>1169</v>
      </c>
      <c r="C250" s="32" t="s">
        <v>1170</v>
      </c>
      <c r="D250" s="32" t="s">
        <v>423</v>
      </c>
      <c r="E250" s="32" t="s">
        <v>238</v>
      </c>
      <c r="F250" s="32" t="s">
        <v>603</v>
      </c>
      <c r="G250" s="32" t="s">
        <v>206</v>
      </c>
      <c r="H250" s="94" t="s">
        <v>582</v>
      </c>
      <c r="I250" s="94" t="s">
        <v>346</v>
      </c>
      <c r="J250" s="94" t="s">
        <v>1171</v>
      </c>
      <c r="K250" s="94">
        <v>3.02</v>
      </c>
      <c r="L250" s="94" t="s">
        <v>244</v>
      </c>
      <c r="M250" s="32">
        <v>4.2999999999999997E-2</v>
      </c>
      <c r="N250" s="32">
        <v>6.3399999999999998E-2</v>
      </c>
      <c r="O250" s="103">
        <v>21433.544032244721</v>
      </c>
      <c r="P250" s="94">
        <v>95.85</v>
      </c>
      <c r="Q250" s="124">
        <v>0</v>
      </c>
      <c r="R250" s="124">
        <v>20.544051954906564</v>
      </c>
      <c r="S250" s="32">
        <v>6.5432608103277455E-6</v>
      </c>
      <c r="T250" s="32">
        <v>8.0218874371219366E-6</v>
      </c>
      <c r="U250" s="32">
        <v>1.7397634911416765E-6</v>
      </c>
    </row>
    <row r="251" spans="2:21" x14ac:dyDescent="0.2">
      <c r="B251" s="23" t="s">
        <v>1245</v>
      </c>
      <c r="C251" s="32" t="s">
        <v>1246</v>
      </c>
      <c r="D251" s="32" t="s">
        <v>423</v>
      </c>
      <c r="E251" s="32" t="s">
        <v>238</v>
      </c>
      <c r="F251" s="32" t="s">
        <v>1247</v>
      </c>
      <c r="G251" s="32" t="s">
        <v>607</v>
      </c>
      <c r="H251" s="94" t="s">
        <v>988</v>
      </c>
      <c r="I251" s="94" t="s">
        <v>243</v>
      </c>
      <c r="J251" s="94" t="s">
        <v>1248</v>
      </c>
      <c r="K251" s="94">
        <v>5.46</v>
      </c>
      <c r="L251" s="94" t="s">
        <v>244</v>
      </c>
      <c r="M251" s="32">
        <v>4.4500000000000005E-2</v>
      </c>
      <c r="N251" s="32">
        <v>2.0499999999999997E-2</v>
      </c>
      <c r="O251" s="103">
        <v>6198023.134715151</v>
      </c>
      <c r="P251" s="94">
        <v>113.46000000000001</v>
      </c>
      <c r="Q251" s="124">
        <v>0</v>
      </c>
      <c r="R251" s="124">
        <v>7032.2770478153325</v>
      </c>
      <c r="S251" s="32">
        <v>2.1662926178262886E-2</v>
      </c>
      <c r="T251" s="32">
        <v>2.7459108372609895E-3</v>
      </c>
      <c r="U251" s="32">
        <v>5.9552511326572564E-4</v>
      </c>
    </row>
    <row r="252" spans="2:21" x14ac:dyDescent="0.2">
      <c r="B252" s="23" t="s">
        <v>1205</v>
      </c>
      <c r="C252" s="32" t="s">
        <v>1206</v>
      </c>
      <c r="D252" s="32" t="s">
        <v>423</v>
      </c>
      <c r="E252" s="32" t="s">
        <v>238</v>
      </c>
      <c r="F252" s="32" t="s">
        <v>1207</v>
      </c>
      <c r="G252" s="32" t="s">
        <v>566</v>
      </c>
      <c r="H252" s="94" t="s">
        <v>704</v>
      </c>
      <c r="I252" s="94" t="s">
        <v>346</v>
      </c>
      <c r="J252" s="94" t="s">
        <v>514</v>
      </c>
      <c r="K252" s="94">
        <v>2.11</v>
      </c>
      <c r="L252" s="94" t="s">
        <v>244</v>
      </c>
      <c r="M252" s="32">
        <v>6.8499999999999991E-2</v>
      </c>
      <c r="N252" s="32">
        <v>0.16109999999999999</v>
      </c>
      <c r="O252" s="103">
        <v>6606132.4243360581</v>
      </c>
      <c r="P252" s="94">
        <v>84.2</v>
      </c>
      <c r="Q252" s="124">
        <v>0</v>
      </c>
      <c r="R252" s="124">
        <v>5562.3635006865343</v>
      </c>
      <c r="S252" s="32">
        <v>1.7326505051565234E-2</v>
      </c>
      <c r="T252" s="32">
        <v>2.1719500118478866E-3</v>
      </c>
      <c r="U252" s="32">
        <v>4.7104616772750244E-4</v>
      </c>
    </row>
    <row r="253" spans="2:21" x14ac:dyDescent="0.2">
      <c r="B253" s="23" t="s">
        <v>1221</v>
      </c>
      <c r="C253" s="32" t="s">
        <v>1222</v>
      </c>
      <c r="D253" s="32" t="s">
        <v>423</v>
      </c>
      <c r="E253" s="32" t="s">
        <v>238</v>
      </c>
      <c r="F253" s="32" t="s">
        <v>1207</v>
      </c>
      <c r="G253" s="32" t="s">
        <v>566</v>
      </c>
      <c r="H253" s="94" t="s">
        <v>704</v>
      </c>
      <c r="I253" s="94" t="s">
        <v>346</v>
      </c>
      <c r="J253" s="94" t="s">
        <v>1223</v>
      </c>
      <c r="K253" s="94">
        <v>3.56</v>
      </c>
      <c r="L253" s="94" t="s">
        <v>244</v>
      </c>
      <c r="M253" s="32">
        <v>4.2000000000000003E-2</v>
      </c>
      <c r="N253" s="32">
        <v>7.1199999999999999E-2</v>
      </c>
      <c r="O253" s="103">
        <v>5188894.7491337117</v>
      </c>
      <c r="P253" s="94">
        <v>92</v>
      </c>
      <c r="Q253" s="124">
        <v>0</v>
      </c>
      <c r="R253" s="124">
        <v>4773.7831689029445</v>
      </c>
      <c r="S253" s="32">
        <v>8.7238207026545632E-3</v>
      </c>
      <c r="T253" s="32">
        <v>1.8640310740170559E-3</v>
      </c>
      <c r="U253" s="32">
        <v>4.042656088542653E-4</v>
      </c>
    </row>
    <row r="254" spans="2:21" x14ac:dyDescent="0.2">
      <c r="B254" s="23" t="s">
        <v>1242</v>
      </c>
      <c r="C254" s="32" t="s">
        <v>1243</v>
      </c>
      <c r="D254" s="32" t="s">
        <v>423</v>
      </c>
      <c r="E254" s="32" t="s">
        <v>238</v>
      </c>
      <c r="F254" s="32" t="s">
        <v>1207</v>
      </c>
      <c r="G254" s="32" t="s">
        <v>566</v>
      </c>
      <c r="H254" s="94" t="s">
        <v>704</v>
      </c>
      <c r="I254" s="94" t="s">
        <v>346</v>
      </c>
      <c r="J254" s="94" t="s">
        <v>1244</v>
      </c>
      <c r="K254" s="94">
        <v>3.32</v>
      </c>
      <c r="L254" s="94" t="s">
        <v>244</v>
      </c>
      <c r="M254" s="32">
        <v>6.3500000000000001E-2</v>
      </c>
      <c r="N254" s="32">
        <v>0.2109</v>
      </c>
      <c r="O254" s="103">
        <v>2083401.1904476581</v>
      </c>
      <c r="P254" s="94">
        <v>64.069999999999993</v>
      </c>
      <c r="Q254" s="124">
        <v>0</v>
      </c>
      <c r="R254" s="124">
        <v>1334.835142017866</v>
      </c>
      <c r="S254" s="32">
        <v>4.0668710704120509E-3</v>
      </c>
      <c r="T254" s="32">
        <v>5.2121642214911809E-4</v>
      </c>
      <c r="U254" s="32">
        <v>1.13039893584428E-4</v>
      </c>
    </row>
    <row r="255" spans="2:21" x14ac:dyDescent="0.2">
      <c r="B255" s="23" t="s">
        <v>1266</v>
      </c>
      <c r="C255" s="32" t="s">
        <v>1267</v>
      </c>
      <c r="D255" s="32" t="s">
        <v>423</v>
      </c>
      <c r="E255" s="32" t="s">
        <v>238</v>
      </c>
      <c r="F255" s="32" t="s">
        <v>1207</v>
      </c>
      <c r="G255" s="32" t="s">
        <v>566</v>
      </c>
      <c r="H255" s="94" t="s">
        <v>704</v>
      </c>
      <c r="I255" s="94" t="s">
        <v>346</v>
      </c>
      <c r="J255" s="94" t="s">
        <v>1268</v>
      </c>
      <c r="K255" s="94">
        <v>4.07</v>
      </c>
      <c r="L255" s="94" t="s">
        <v>244</v>
      </c>
      <c r="M255" s="32">
        <v>3.2500000000000001E-2</v>
      </c>
      <c r="N255" s="32">
        <v>4.9599999999999998E-2</v>
      </c>
      <c r="O255" s="103">
        <v>9900000.0956476852</v>
      </c>
      <c r="P255" s="94">
        <v>94.88</v>
      </c>
      <c r="Q255" s="124">
        <v>0</v>
      </c>
      <c r="R255" s="124">
        <v>9393.1200904075849</v>
      </c>
      <c r="S255" s="32">
        <v>1.2069652986078065E-2</v>
      </c>
      <c r="T255" s="32">
        <v>3.6677551348687182E-3</v>
      </c>
      <c r="U255" s="32">
        <v>7.9545200903259898E-4</v>
      </c>
    </row>
    <row r="256" spans="2:21" x14ac:dyDescent="0.2">
      <c r="B256" s="23" t="s">
        <v>1331</v>
      </c>
      <c r="C256" s="32" t="s">
        <v>1332</v>
      </c>
      <c r="D256" s="32" t="s">
        <v>423</v>
      </c>
      <c r="E256" s="32" t="s">
        <v>238</v>
      </c>
      <c r="F256" s="32" t="s">
        <v>703</v>
      </c>
      <c r="G256" s="32" t="s">
        <v>566</v>
      </c>
      <c r="H256" s="94" t="s">
        <v>704</v>
      </c>
      <c r="I256" s="94" t="s">
        <v>346</v>
      </c>
      <c r="J256" s="94" t="s">
        <v>1333</v>
      </c>
      <c r="K256" s="94">
        <v>6.5</v>
      </c>
      <c r="L256" s="94" t="s">
        <v>244</v>
      </c>
      <c r="M256" s="32">
        <v>3.2500000000000001E-2</v>
      </c>
      <c r="N256" s="32">
        <v>2.7000000000000003E-2</v>
      </c>
      <c r="O256" s="103">
        <v>2314839.7951499354</v>
      </c>
      <c r="P256" s="94">
        <v>104.46</v>
      </c>
      <c r="Q256" s="124">
        <v>0</v>
      </c>
      <c r="R256" s="124">
        <v>2418.0816498635877</v>
      </c>
      <c r="S256" s="32">
        <v>9.3682936997403227E-3</v>
      </c>
      <c r="T256" s="32">
        <v>9.4419439999240506E-4</v>
      </c>
      <c r="U256" s="32">
        <v>2.0477412061974283E-4</v>
      </c>
    </row>
    <row r="257" spans="2:21" x14ac:dyDescent="0.2">
      <c r="B257" s="23" t="s">
        <v>1233</v>
      </c>
      <c r="C257" s="32" t="s">
        <v>1234</v>
      </c>
      <c r="D257" s="32" t="s">
        <v>423</v>
      </c>
      <c r="E257" s="32" t="s">
        <v>238</v>
      </c>
      <c r="F257" s="32" t="s">
        <v>1235</v>
      </c>
      <c r="G257" s="32" t="s">
        <v>607</v>
      </c>
      <c r="H257" s="94" t="s">
        <v>704</v>
      </c>
      <c r="I257" s="94" t="s">
        <v>346</v>
      </c>
      <c r="J257" s="94" t="s">
        <v>1236</v>
      </c>
      <c r="K257" s="94">
        <v>2.81</v>
      </c>
      <c r="L257" s="94" t="s">
        <v>244</v>
      </c>
      <c r="M257" s="32">
        <v>2.9500000000000002E-2</v>
      </c>
      <c r="N257" s="32">
        <v>1.41E-2</v>
      </c>
      <c r="O257" s="103">
        <v>2674906.4291837914</v>
      </c>
      <c r="P257" s="94">
        <v>104.62</v>
      </c>
      <c r="Q257" s="124">
        <v>0</v>
      </c>
      <c r="R257" s="124">
        <v>2798.4871053815327</v>
      </c>
      <c r="S257" s="32">
        <v>9.6972608966559536E-3</v>
      </c>
      <c r="T257" s="32">
        <v>1.0927322712619156E-3</v>
      </c>
      <c r="U257" s="32">
        <v>2.3698857981181945E-4</v>
      </c>
    </row>
    <row r="258" spans="2:21" x14ac:dyDescent="0.2">
      <c r="B258" s="23" t="s">
        <v>1336</v>
      </c>
      <c r="C258" s="32" t="s">
        <v>1337</v>
      </c>
      <c r="D258" s="32" t="s">
        <v>423</v>
      </c>
      <c r="E258" s="32" t="s">
        <v>238</v>
      </c>
      <c r="F258" s="32" t="s">
        <v>1235</v>
      </c>
      <c r="G258" s="32" t="s">
        <v>607</v>
      </c>
      <c r="H258" s="94" t="s">
        <v>704</v>
      </c>
      <c r="I258" s="94" t="s">
        <v>346</v>
      </c>
      <c r="J258" s="94" t="s">
        <v>1338</v>
      </c>
      <c r="K258" s="94">
        <v>0</v>
      </c>
      <c r="L258" s="94" t="s">
        <v>244</v>
      </c>
      <c r="M258" s="32">
        <v>2.9500000000000002E-2</v>
      </c>
      <c r="N258" s="32">
        <v>1.55E-2</v>
      </c>
      <c r="O258" s="103">
        <v>3420334.50817296</v>
      </c>
      <c r="P258" s="94">
        <v>103.61</v>
      </c>
      <c r="Q258" s="124">
        <v>0</v>
      </c>
      <c r="R258" s="124">
        <v>3543.8085835677798</v>
      </c>
      <c r="S258" s="32">
        <v>1.2399639747289894E-2</v>
      </c>
      <c r="T258" s="32">
        <v>1.3837598161494987E-3</v>
      </c>
      <c r="U258" s="32">
        <v>3.0010578277442644E-4</v>
      </c>
    </row>
    <row r="259" spans="2:21" x14ac:dyDescent="0.2">
      <c r="B259" s="23" t="s">
        <v>1323</v>
      </c>
      <c r="C259" s="32" t="s">
        <v>1324</v>
      </c>
      <c r="D259" s="32" t="s">
        <v>423</v>
      </c>
      <c r="E259" s="32" t="s">
        <v>238</v>
      </c>
      <c r="F259" s="32" t="s">
        <v>1325</v>
      </c>
      <c r="G259" s="32" t="s">
        <v>192</v>
      </c>
      <c r="H259" s="94" t="s">
        <v>1326</v>
      </c>
      <c r="I259" s="94" t="s">
        <v>346</v>
      </c>
      <c r="J259" s="94" t="s">
        <v>1327</v>
      </c>
      <c r="K259" s="94">
        <v>4.68</v>
      </c>
      <c r="L259" s="94" t="s">
        <v>244</v>
      </c>
      <c r="M259" s="32">
        <v>3.1800000000000002E-2</v>
      </c>
      <c r="N259" s="32">
        <v>2.8900000000000002E-2</v>
      </c>
      <c r="O259" s="103">
        <v>2019147.0155576139</v>
      </c>
      <c r="P259" s="94">
        <v>102.78</v>
      </c>
      <c r="Q259" s="124">
        <v>0</v>
      </c>
      <c r="R259" s="124">
        <v>2075.2793025901155</v>
      </c>
      <c r="S259" s="32">
        <v>1.8355881959614673E-2</v>
      </c>
      <c r="T259" s="32">
        <v>8.1033950860851661E-4</v>
      </c>
      <c r="U259" s="32">
        <v>1.7574406317181959E-4</v>
      </c>
    </row>
    <row r="260" spans="2:21" x14ac:dyDescent="0.2">
      <c r="B260" s="23" t="s">
        <v>1269</v>
      </c>
      <c r="C260" s="32" t="s">
        <v>1270</v>
      </c>
      <c r="D260" s="32" t="s">
        <v>423</v>
      </c>
      <c r="E260" s="32" t="s">
        <v>238</v>
      </c>
      <c r="F260" s="32" t="s">
        <v>1271</v>
      </c>
      <c r="G260" s="32" t="s">
        <v>566</v>
      </c>
      <c r="H260" s="94" t="s">
        <v>1272</v>
      </c>
      <c r="I260" s="94" t="s">
        <v>243</v>
      </c>
      <c r="J260" s="94" t="s">
        <v>1273</v>
      </c>
      <c r="K260" s="94">
        <v>2.9</v>
      </c>
      <c r="L260" s="94" t="s">
        <v>244</v>
      </c>
      <c r="M260" s="32">
        <v>6.8000000000000005E-2</v>
      </c>
      <c r="N260" s="32">
        <v>7.0099999999999996E-2</v>
      </c>
      <c r="O260" s="103">
        <v>2849589.6790869357</v>
      </c>
      <c r="P260" s="94">
        <v>102.55000000000001</v>
      </c>
      <c r="Q260" s="124">
        <v>0</v>
      </c>
      <c r="R260" s="124">
        <v>2922.2542159036525</v>
      </c>
      <c r="S260" s="32">
        <v>1.3569474662318741E-2</v>
      </c>
      <c r="T260" s="32">
        <v>1.1410599249889182E-3</v>
      </c>
      <c r="U260" s="32">
        <v>2.4746974004073204E-4</v>
      </c>
    </row>
    <row r="261" spans="2:21" x14ac:dyDescent="0.2">
      <c r="B261" s="23" t="s">
        <v>1249</v>
      </c>
      <c r="C261" s="32" t="s">
        <v>1250</v>
      </c>
      <c r="D261" s="32" t="s">
        <v>423</v>
      </c>
      <c r="E261" s="32" t="s">
        <v>238</v>
      </c>
      <c r="F261" s="32" t="s">
        <v>1251</v>
      </c>
      <c r="G261" s="32" t="s">
        <v>566</v>
      </c>
      <c r="H261" s="94" t="s">
        <v>1252</v>
      </c>
      <c r="I261" s="94" t="s">
        <v>243</v>
      </c>
      <c r="J261" s="94" t="s">
        <v>1253</v>
      </c>
      <c r="K261" s="94">
        <v>3.11</v>
      </c>
      <c r="L261" s="94" t="s">
        <v>244</v>
      </c>
      <c r="M261" s="32">
        <v>4.07E-2</v>
      </c>
      <c r="N261" s="32">
        <v>0.10679999999999999</v>
      </c>
      <c r="O261" s="103">
        <v>6525029.6705588438</v>
      </c>
      <c r="P261" s="94">
        <v>91.44</v>
      </c>
      <c r="Q261" s="124">
        <v>0</v>
      </c>
      <c r="R261" s="124">
        <v>5966.4871306304058</v>
      </c>
      <c r="S261" s="32">
        <v>1.8125082418219009E-2</v>
      </c>
      <c r="T261" s="32">
        <v>2.3297491781081041E-3</v>
      </c>
      <c r="U261" s="32">
        <v>5.0526918949688024E-4</v>
      </c>
    </row>
    <row r="262" spans="2:21" x14ac:dyDescent="0.2">
      <c r="B262" s="23" t="s">
        <v>1201</v>
      </c>
      <c r="C262" s="32" t="s">
        <v>1202</v>
      </c>
      <c r="D262" s="32" t="s">
        <v>423</v>
      </c>
      <c r="E262" s="32" t="s">
        <v>238</v>
      </c>
      <c r="F262" s="32" t="s">
        <v>1203</v>
      </c>
      <c r="G262" s="32" t="s">
        <v>592</v>
      </c>
      <c r="H262" s="94" t="s">
        <v>599</v>
      </c>
      <c r="I262" s="94" t="s">
        <v>238</v>
      </c>
      <c r="J262" s="94" t="s">
        <v>1204</v>
      </c>
      <c r="K262" s="94">
        <v>2.79</v>
      </c>
      <c r="L262" s="94" t="s">
        <v>244</v>
      </c>
      <c r="M262" s="32">
        <v>0.01</v>
      </c>
      <c r="N262" s="32">
        <v>0.28839999999999999</v>
      </c>
      <c r="O262" s="103">
        <v>122939.00197153559</v>
      </c>
      <c r="P262" s="94">
        <v>49.68</v>
      </c>
      <c r="Q262" s="124">
        <v>0</v>
      </c>
      <c r="R262" s="124">
        <v>61.076095786796351</v>
      </c>
      <c r="S262" s="32">
        <v>4.3779201317423362E-4</v>
      </c>
      <c r="T262" s="32">
        <v>2.3848536139607227E-5</v>
      </c>
      <c r="U262" s="32">
        <v>5.1722007841769753E-6</v>
      </c>
    </row>
    <row r="263" spans="2:21" x14ac:dyDescent="0.2">
      <c r="B263" s="23" t="s">
        <v>1143</v>
      </c>
      <c r="C263" s="32" t="s">
        <v>1144</v>
      </c>
      <c r="D263" s="32" t="s">
        <v>423</v>
      </c>
      <c r="E263" s="32" t="s">
        <v>238</v>
      </c>
      <c r="F263" s="32" t="s">
        <v>606</v>
      </c>
      <c r="G263" s="32" t="s">
        <v>607</v>
      </c>
      <c r="H263" s="94" t="s">
        <v>599</v>
      </c>
      <c r="I263" s="94" t="s">
        <v>238</v>
      </c>
      <c r="J263" s="94" t="s">
        <v>1145</v>
      </c>
      <c r="K263" s="94">
        <v>3.82</v>
      </c>
      <c r="L263" s="94" t="s">
        <v>244</v>
      </c>
      <c r="M263" s="32">
        <v>7.2000000000000008E-2</v>
      </c>
      <c r="N263" s="32">
        <v>0.44630000000000003</v>
      </c>
      <c r="O263" s="103">
        <v>645072.46852993034</v>
      </c>
      <c r="P263" s="94">
        <v>35.270000000000003</v>
      </c>
      <c r="Q263" s="124">
        <v>0</v>
      </c>
      <c r="R263" s="124">
        <v>227.5170591855057</v>
      </c>
      <c r="S263" s="32">
        <v>1.1049220080354234E-3</v>
      </c>
      <c r="T263" s="32">
        <v>8.8839156112786267E-5</v>
      </c>
      <c r="U263" s="32">
        <v>1.9267176409584925E-5</v>
      </c>
    </row>
    <row r="264" spans="2:21" x14ac:dyDescent="0.2">
      <c r="B264" s="23" t="s">
        <v>1100</v>
      </c>
      <c r="C264" s="32" t="s">
        <v>1101</v>
      </c>
      <c r="D264" s="32" t="s">
        <v>423</v>
      </c>
      <c r="E264" s="32" t="s">
        <v>238</v>
      </c>
      <c r="F264" s="32" t="s">
        <v>606</v>
      </c>
      <c r="G264" s="32" t="s">
        <v>607</v>
      </c>
      <c r="H264" s="94" t="s">
        <v>599</v>
      </c>
      <c r="I264" s="94" t="s">
        <v>238</v>
      </c>
      <c r="J264" s="94" t="s">
        <v>1102</v>
      </c>
      <c r="K264" s="94">
        <v>3.75</v>
      </c>
      <c r="L264" s="94" t="s">
        <v>244</v>
      </c>
      <c r="M264" s="32">
        <v>3.6900000000000002E-2</v>
      </c>
      <c r="N264" s="32">
        <v>0.26739999999999997</v>
      </c>
      <c r="O264" s="103">
        <v>1402419.998557959</v>
      </c>
      <c r="P264" s="94">
        <v>61.7</v>
      </c>
      <c r="Q264" s="124">
        <v>0</v>
      </c>
      <c r="R264" s="124">
        <v>865.29313887449166</v>
      </c>
      <c r="S264" s="32">
        <v>1.3298300169380786E-2</v>
      </c>
      <c r="T264" s="32">
        <v>3.3787317980897607E-4</v>
      </c>
      <c r="U264" s="32">
        <v>7.3276947286423071E-5</v>
      </c>
    </row>
    <row r="265" spans="2:21" s="160" customFormat="1" x14ac:dyDescent="0.2">
      <c r="B265" s="132" t="s">
        <v>557</v>
      </c>
      <c r="C265" s="167" t="s">
        <v>238</v>
      </c>
      <c r="D265" s="167" t="s">
        <v>238</v>
      </c>
      <c r="E265" s="167" t="s">
        <v>238</v>
      </c>
      <c r="F265" s="167" t="s">
        <v>238</v>
      </c>
      <c r="G265" s="167" t="s">
        <v>238</v>
      </c>
      <c r="H265" s="168" t="s">
        <v>238</v>
      </c>
      <c r="I265" s="168" t="s">
        <v>238</v>
      </c>
      <c r="J265" s="168" t="s">
        <v>238</v>
      </c>
      <c r="K265" s="168" t="s">
        <v>238</v>
      </c>
      <c r="L265" s="168" t="s">
        <v>238</v>
      </c>
      <c r="M265" s="167" t="s">
        <v>238</v>
      </c>
      <c r="N265" s="167" t="s">
        <v>238</v>
      </c>
      <c r="O265" s="178" t="s">
        <v>238</v>
      </c>
      <c r="P265" s="168" t="s">
        <v>238</v>
      </c>
      <c r="Q265" s="169" t="s">
        <v>238</v>
      </c>
      <c r="R265" s="169">
        <v>28724.861100775131</v>
      </c>
      <c r="S265" s="167" t="s">
        <v>238</v>
      </c>
      <c r="T265" s="167">
        <v>1.1216268480198585E-2</v>
      </c>
      <c r="U265" s="167">
        <v>2.4325515113053837E-3</v>
      </c>
    </row>
    <row r="266" spans="2:21" x14ac:dyDescent="0.2">
      <c r="B266" s="23" t="s">
        <v>1384</v>
      </c>
      <c r="C266" s="32" t="s">
        <v>1385</v>
      </c>
      <c r="D266" s="32" t="s">
        <v>423</v>
      </c>
      <c r="E266" s="32" t="s">
        <v>238</v>
      </c>
      <c r="F266" s="32" t="s">
        <v>1386</v>
      </c>
      <c r="G266" s="32" t="s">
        <v>206</v>
      </c>
      <c r="H266" s="94" t="s">
        <v>572</v>
      </c>
      <c r="I266" s="94" t="s">
        <v>243</v>
      </c>
      <c r="J266" s="94" t="s">
        <v>1387</v>
      </c>
      <c r="K266" s="94">
        <v>2.82</v>
      </c>
      <c r="L266" s="94" t="s">
        <v>244</v>
      </c>
      <c r="M266" s="32">
        <v>3.49E-2</v>
      </c>
      <c r="N266" s="32">
        <v>3.9E-2</v>
      </c>
      <c r="O266" s="103">
        <v>8164896.1572969193</v>
      </c>
      <c r="P266" s="94">
        <v>95.52</v>
      </c>
      <c r="Q266" s="124">
        <v>0</v>
      </c>
      <c r="R266" s="124">
        <v>7799.108808551523</v>
      </c>
      <c r="S266" s="32">
        <v>4.0521046869130299E-3</v>
      </c>
      <c r="T266" s="32">
        <v>3.045337556066896E-3</v>
      </c>
      <c r="U266" s="32">
        <v>6.6046390450832113E-4</v>
      </c>
    </row>
    <row r="267" spans="2:21" x14ac:dyDescent="0.2">
      <c r="B267" s="23" t="s">
        <v>1388</v>
      </c>
      <c r="C267" s="32" t="s">
        <v>1389</v>
      </c>
      <c r="D267" s="32" t="s">
        <v>423</v>
      </c>
      <c r="E267" s="32" t="s">
        <v>238</v>
      </c>
      <c r="F267" s="32" t="s">
        <v>1390</v>
      </c>
      <c r="G267" s="32" t="s">
        <v>566</v>
      </c>
      <c r="H267" s="94" t="s">
        <v>345</v>
      </c>
      <c r="I267" s="94" t="s">
        <v>346</v>
      </c>
      <c r="J267" s="94" t="s">
        <v>1391</v>
      </c>
      <c r="K267" s="94">
        <v>5.64</v>
      </c>
      <c r="L267" s="94" t="s">
        <v>244</v>
      </c>
      <c r="M267" s="32">
        <v>4.2999999999999997E-2</v>
      </c>
      <c r="N267" s="32">
        <v>4.3499999999999997E-2</v>
      </c>
      <c r="O267" s="103">
        <v>11971838.699277911</v>
      </c>
      <c r="P267" s="94">
        <v>96.49</v>
      </c>
      <c r="Q267" s="124">
        <v>0</v>
      </c>
      <c r="R267" s="124">
        <v>11551.627160494512</v>
      </c>
      <c r="S267" s="32">
        <v>8.2183744849607648E-3</v>
      </c>
      <c r="T267" s="32">
        <v>4.5105927983674103E-3</v>
      </c>
      <c r="U267" s="32">
        <v>9.7824417701149386E-4</v>
      </c>
    </row>
    <row r="268" spans="2:21" x14ac:dyDescent="0.2">
      <c r="B268" s="23" t="s">
        <v>1379</v>
      </c>
      <c r="C268" s="32" t="s">
        <v>1380</v>
      </c>
      <c r="D268" s="32" t="s">
        <v>423</v>
      </c>
      <c r="E268" s="32" t="s">
        <v>238</v>
      </c>
      <c r="F268" s="32" t="s">
        <v>615</v>
      </c>
      <c r="G268" s="32" t="s">
        <v>607</v>
      </c>
      <c r="H268" s="94" t="s">
        <v>593</v>
      </c>
      <c r="I268" s="94" t="s">
        <v>243</v>
      </c>
      <c r="J268" s="94" t="s">
        <v>446</v>
      </c>
      <c r="K268" s="94">
        <v>2.34</v>
      </c>
      <c r="L268" s="94" t="s">
        <v>244</v>
      </c>
      <c r="M268" s="32">
        <v>6.7000000000000004E-2</v>
      </c>
      <c r="N268" s="32">
        <v>3.8100000000000002E-2</v>
      </c>
      <c r="O268" s="103">
        <v>6116668.9429612178</v>
      </c>
      <c r="P268" s="94">
        <v>95.34</v>
      </c>
      <c r="Q268" s="124">
        <v>0</v>
      </c>
      <c r="R268" s="124">
        <v>5831.6321702160112</v>
      </c>
      <c r="S268" s="32">
        <v>5.346354667766836E-3</v>
      </c>
      <c r="T268" s="32">
        <v>2.2770920238545859E-3</v>
      </c>
      <c r="U268" s="32">
        <v>4.9384905985335652E-4</v>
      </c>
    </row>
    <row r="269" spans="2:21" x14ac:dyDescent="0.2">
      <c r="B269" s="23" t="s">
        <v>1381</v>
      </c>
      <c r="C269" s="32" t="s">
        <v>1382</v>
      </c>
      <c r="D269" s="32" t="s">
        <v>423</v>
      </c>
      <c r="E269" s="32" t="s">
        <v>238</v>
      </c>
      <c r="F269" s="32" t="s">
        <v>611</v>
      </c>
      <c r="G269" s="32" t="s">
        <v>598</v>
      </c>
      <c r="H269" s="94" t="s">
        <v>593</v>
      </c>
      <c r="I269" s="94" t="s">
        <v>243</v>
      </c>
      <c r="J269" s="94" t="s">
        <v>1383</v>
      </c>
      <c r="K269" s="94">
        <v>2.61</v>
      </c>
      <c r="L269" s="94" t="s">
        <v>244</v>
      </c>
      <c r="M269" s="32">
        <v>5.45E-2</v>
      </c>
      <c r="N269" s="32">
        <v>3.6000000000000004E-2</v>
      </c>
      <c r="O269" s="103">
        <v>2604.1755999177335</v>
      </c>
      <c r="P269" s="94">
        <v>95.11</v>
      </c>
      <c r="Q269" s="124">
        <v>0</v>
      </c>
      <c r="R269" s="124">
        <v>2.4768314130817561</v>
      </c>
      <c r="S269" s="32">
        <v>2.2244376263004872E-6</v>
      </c>
      <c r="T269" s="32">
        <v>9.671345672256347E-7</v>
      </c>
      <c r="U269" s="32">
        <v>2.0974931701160048E-7</v>
      </c>
    </row>
    <row r="270" spans="2:21" x14ac:dyDescent="0.2">
      <c r="B270" s="23" t="s">
        <v>1392</v>
      </c>
      <c r="C270" s="32" t="s">
        <v>1393</v>
      </c>
      <c r="D270" s="32" t="s">
        <v>423</v>
      </c>
      <c r="E270" s="32" t="s">
        <v>238</v>
      </c>
      <c r="F270" s="32" t="s">
        <v>1394</v>
      </c>
      <c r="G270" s="32" t="s">
        <v>566</v>
      </c>
      <c r="H270" s="94" t="s">
        <v>1272</v>
      </c>
      <c r="I270" s="94" t="s">
        <v>243</v>
      </c>
      <c r="J270" s="94" t="s">
        <v>1395</v>
      </c>
      <c r="K270" s="94">
        <v>2.76</v>
      </c>
      <c r="L270" s="94" t="s">
        <v>244</v>
      </c>
      <c r="M270" s="32">
        <v>5.5E-2</v>
      </c>
      <c r="N270" s="32">
        <v>0.1007</v>
      </c>
      <c r="O270" s="103">
        <v>36491.35</v>
      </c>
      <c r="P270" s="94">
        <v>9160</v>
      </c>
      <c r="Q270" s="124">
        <v>197.40846999999999</v>
      </c>
      <c r="R270" s="124">
        <v>3540.01613</v>
      </c>
      <c r="S270" s="32">
        <v>4.515842608473976E-3</v>
      </c>
      <c r="T270" s="32">
        <v>1.3822789673034182E-3</v>
      </c>
      <c r="U270" s="32">
        <v>2.9978462060673157E-4</v>
      </c>
    </row>
    <row r="271" spans="2:21" s="160" customFormat="1" x14ac:dyDescent="0.2">
      <c r="B271" s="132" t="s">
        <v>1396</v>
      </c>
      <c r="C271" s="167" t="s">
        <v>238</v>
      </c>
      <c r="D271" s="167" t="s">
        <v>238</v>
      </c>
      <c r="E271" s="167" t="s">
        <v>238</v>
      </c>
      <c r="F271" s="167" t="s">
        <v>238</v>
      </c>
      <c r="G271" s="167" t="s">
        <v>238</v>
      </c>
      <c r="H271" s="168" t="s">
        <v>238</v>
      </c>
      <c r="I271" s="168" t="s">
        <v>238</v>
      </c>
      <c r="J271" s="168" t="s">
        <v>238</v>
      </c>
      <c r="K271" s="168" t="s">
        <v>238</v>
      </c>
      <c r="L271" s="168" t="s">
        <v>238</v>
      </c>
      <c r="M271" s="167" t="s">
        <v>238</v>
      </c>
      <c r="N271" s="167" t="s">
        <v>238</v>
      </c>
      <c r="O271" s="178" t="s">
        <v>238</v>
      </c>
      <c r="P271" s="168" t="s">
        <v>238</v>
      </c>
      <c r="Q271" s="169" t="s">
        <v>238</v>
      </c>
      <c r="R271" s="169">
        <v>0</v>
      </c>
      <c r="S271" s="167" t="s">
        <v>238</v>
      </c>
      <c r="T271" s="167">
        <v>0</v>
      </c>
      <c r="U271" s="167">
        <v>0</v>
      </c>
    </row>
    <row r="272" spans="2:21" s="160" customFormat="1" x14ac:dyDescent="0.2">
      <c r="B272" s="132" t="s">
        <v>544</v>
      </c>
      <c r="C272" s="167" t="s">
        <v>238</v>
      </c>
      <c r="D272" s="167" t="s">
        <v>238</v>
      </c>
      <c r="E272" s="167" t="s">
        <v>238</v>
      </c>
      <c r="F272" s="167" t="s">
        <v>238</v>
      </c>
      <c r="G272" s="167" t="s">
        <v>238</v>
      </c>
      <c r="H272" s="168" t="s">
        <v>238</v>
      </c>
      <c r="I272" s="168" t="s">
        <v>238</v>
      </c>
      <c r="J272" s="168" t="s">
        <v>238</v>
      </c>
      <c r="K272" s="168" t="s">
        <v>238</v>
      </c>
      <c r="L272" s="168" t="s">
        <v>238</v>
      </c>
      <c r="M272" s="167" t="s">
        <v>238</v>
      </c>
      <c r="N272" s="167" t="s">
        <v>238</v>
      </c>
      <c r="O272" s="178" t="s">
        <v>238</v>
      </c>
      <c r="P272" s="168" t="s">
        <v>238</v>
      </c>
      <c r="Q272" s="169" t="s">
        <v>238</v>
      </c>
      <c r="R272" s="169">
        <v>631056.02002839767</v>
      </c>
      <c r="S272" s="167" t="s">
        <v>238</v>
      </c>
      <c r="T272" s="167">
        <v>0.24641002516433697</v>
      </c>
      <c r="U272" s="167">
        <v>5.3440685747894373E-2</v>
      </c>
    </row>
    <row r="273" spans="2:21" s="160" customFormat="1" x14ac:dyDescent="0.2">
      <c r="B273" s="132" t="s">
        <v>146</v>
      </c>
      <c r="C273" s="167" t="s">
        <v>238</v>
      </c>
      <c r="D273" s="167" t="s">
        <v>238</v>
      </c>
      <c r="E273" s="167" t="s">
        <v>238</v>
      </c>
      <c r="F273" s="167" t="s">
        <v>238</v>
      </c>
      <c r="G273" s="167" t="s">
        <v>238</v>
      </c>
      <c r="H273" s="168" t="s">
        <v>238</v>
      </c>
      <c r="I273" s="168" t="s">
        <v>238</v>
      </c>
      <c r="J273" s="168" t="s">
        <v>238</v>
      </c>
      <c r="K273" s="168" t="s">
        <v>238</v>
      </c>
      <c r="L273" s="168" t="s">
        <v>238</v>
      </c>
      <c r="M273" s="167" t="s">
        <v>238</v>
      </c>
      <c r="N273" s="167" t="s">
        <v>238</v>
      </c>
      <c r="O273" s="178" t="s">
        <v>238</v>
      </c>
      <c r="P273" s="168" t="s">
        <v>238</v>
      </c>
      <c r="Q273" s="169" t="s">
        <v>238</v>
      </c>
      <c r="R273" s="169">
        <v>23954.259506534043</v>
      </c>
      <c r="S273" s="167" t="s">
        <v>238</v>
      </c>
      <c r="T273" s="167">
        <v>9.3534797236107421E-3</v>
      </c>
      <c r="U273" s="167">
        <v>2.0285553326225949E-3</v>
      </c>
    </row>
    <row r="274" spans="2:21" x14ac:dyDescent="0.2">
      <c r="B274" s="23" t="s">
        <v>1397</v>
      </c>
      <c r="C274" s="32" t="s">
        <v>1398</v>
      </c>
      <c r="D274" s="32" t="s">
        <v>209</v>
      </c>
      <c r="E274" s="32" t="s">
        <v>1399</v>
      </c>
      <c r="F274" s="32" t="s">
        <v>788</v>
      </c>
      <c r="G274" s="32" t="s">
        <v>177</v>
      </c>
      <c r="H274" s="94" t="s">
        <v>555</v>
      </c>
      <c r="I274" s="94" t="s">
        <v>412</v>
      </c>
      <c r="J274" s="94" t="s">
        <v>1400</v>
      </c>
      <c r="K274" s="94">
        <v>6.7000000000000004E-2</v>
      </c>
      <c r="L274" s="94" t="s">
        <v>127</v>
      </c>
      <c r="M274" s="32">
        <v>9.3800000000000008E-2</v>
      </c>
      <c r="N274" s="32">
        <v>2.3050000000000001E-2</v>
      </c>
      <c r="O274" s="103">
        <v>26791.930040305899</v>
      </c>
      <c r="P274" s="94">
        <v>104.50650000000002</v>
      </c>
      <c r="Q274" s="124">
        <v>0</v>
      </c>
      <c r="R274" s="124">
        <v>96.765609718329813</v>
      </c>
      <c r="S274" s="32">
        <v>5.3583860080611798E-5</v>
      </c>
      <c r="T274" s="32">
        <v>3.7784310059609399E-5</v>
      </c>
      <c r="U274" s="32">
        <v>8.1945506833576379E-6</v>
      </c>
    </row>
    <row r="275" spans="2:21" x14ac:dyDescent="0.2">
      <c r="B275" s="23" t="s">
        <v>1408</v>
      </c>
      <c r="C275" s="32" t="s">
        <v>1409</v>
      </c>
      <c r="D275" s="32" t="s">
        <v>209</v>
      </c>
      <c r="E275" s="32" t="s">
        <v>1399</v>
      </c>
      <c r="F275" s="32" t="s">
        <v>238</v>
      </c>
      <c r="G275" s="32" t="s">
        <v>172</v>
      </c>
      <c r="H275" s="94" t="s">
        <v>1410</v>
      </c>
      <c r="I275" s="94" t="s">
        <v>412</v>
      </c>
      <c r="J275" s="94" t="s">
        <v>1411</v>
      </c>
      <c r="K275" s="94">
        <v>0.29699999999999999</v>
      </c>
      <c r="L275" s="94" t="s">
        <v>128</v>
      </c>
      <c r="M275" s="32">
        <v>0.04</v>
      </c>
      <c r="N275" s="32">
        <v>-6.1999999999999998E-3</v>
      </c>
      <c r="O275" s="103">
        <v>3936000</v>
      </c>
      <c r="P275" s="94">
        <v>103.42870000000002</v>
      </c>
      <c r="Q275" s="124">
        <v>0</v>
      </c>
      <c r="R275" s="124">
        <v>15787.97237</v>
      </c>
      <c r="S275" s="32">
        <v>2.9556872198067088E-2</v>
      </c>
      <c r="T275" s="32">
        <v>6.1647691259018355E-3</v>
      </c>
      <c r="U275" s="32">
        <v>1.3369971020697046E-3</v>
      </c>
    </row>
    <row r="276" spans="2:21" x14ac:dyDescent="0.2">
      <c r="B276" s="23" t="s">
        <v>1401</v>
      </c>
      <c r="C276" s="32" t="s">
        <v>1402</v>
      </c>
      <c r="D276" s="32" t="s">
        <v>209</v>
      </c>
      <c r="E276" s="32" t="s">
        <v>1399</v>
      </c>
      <c r="F276" s="32" t="s">
        <v>238</v>
      </c>
      <c r="G276" s="32" t="s">
        <v>154</v>
      </c>
      <c r="H276" s="94" t="s">
        <v>1403</v>
      </c>
      <c r="I276" s="94" t="s">
        <v>358</v>
      </c>
      <c r="J276" s="94" t="s">
        <v>1404</v>
      </c>
      <c r="K276" s="94">
        <v>0.96599999999999997</v>
      </c>
      <c r="L276" s="94" t="s">
        <v>127</v>
      </c>
      <c r="M276" s="32">
        <v>4.4299999999999999E-2</v>
      </c>
      <c r="N276" s="32">
        <v>2.6280000000000001E-2</v>
      </c>
      <c r="O276" s="103">
        <v>1502920.1075409998</v>
      </c>
      <c r="P276" s="94">
        <v>101.34699999999998</v>
      </c>
      <c r="Q276" s="124">
        <v>0</v>
      </c>
      <c r="R276" s="124">
        <v>5264.0563088336648</v>
      </c>
      <c r="S276" s="32">
        <v>4.6966253360656244E-3</v>
      </c>
      <c r="T276" s="32">
        <v>2.0554692552775576E-3</v>
      </c>
      <c r="U276" s="32">
        <v>4.4578416183549201E-4</v>
      </c>
    </row>
    <row r="277" spans="2:21" x14ac:dyDescent="0.2">
      <c r="B277" s="23" t="s">
        <v>1405</v>
      </c>
      <c r="C277" s="32" t="s">
        <v>1406</v>
      </c>
      <c r="D277" s="32" t="s">
        <v>209</v>
      </c>
      <c r="E277" s="32" t="s">
        <v>1399</v>
      </c>
      <c r="F277" s="32" t="s">
        <v>238</v>
      </c>
      <c r="G277" s="32" t="s">
        <v>154</v>
      </c>
      <c r="H277" s="94" t="s">
        <v>1403</v>
      </c>
      <c r="I277" s="94" t="s">
        <v>358</v>
      </c>
      <c r="J277" s="94" t="s">
        <v>1407</v>
      </c>
      <c r="K277" s="94">
        <v>3.5950000000000002</v>
      </c>
      <c r="L277" s="94" t="s">
        <v>127</v>
      </c>
      <c r="M277" s="32">
        <v>5.0799999999999998E-2</v>
      </c>
      <c r="N277" s="32">
        <v>3.9559999999999998E-2</v>
      </c>
      <c r="O277" s="103">
        <v>782580.98099963029</v>
      </c>
      <c r="P277" s="94">
        <v>103.7294</v>
      </c>
      <c r="Q277" s="124">
        <v>0</v>
      </c>
      <c r="R277" s="124">
        <v>2805.4652178820475</v>
      </c>
      <c r="S277" s="32">
        <v>2.4455655656238449E-3</v>
      </c>
      <c r="T277" s="32">
        <v>1.0954570323326905E-3</v>
      </c>
      <c r="U277" s="32">
        <v>2.3757951802557214E-4</v>
      </c>
    </row>
    <row r="278" spans="2:21" s="160" customFormat="1" x14ac:dyDescent="0.2">
      <c r="B278" s="132" t="s">
        <v>147</v>
      </c>
      <c r="C278" s="167" t="s">
        <v>238</v>
      </c>
      <c r="D278" s="167" t="s">
        <v>238</v>
      </c>
      <c r="E278" s="167" t="s">
        <v>238</v>
      </c>
      <c r="F278" s="167" t="s">
        <v>238</v>
      </c>
      <c r="G278" s="167" t="s">
        <v>238</v>
      </c>
      <c r="H278" s="168" t="s">
        <v>238</v>
      </c>
      <c r="I278" s="168" t="s">
        <v>238</v>
      </c>
      <c r="J278" s="168" t="s">
        <v>238</v>
      </c>
      <c r="K278" s="168" t="s">
        <v>238</v>
      </c>
      <c r="L278" s="168" t="s">
        <v>238</v>
      </c>
      <c r="M278" s="167" t="s">
        <v>238</v>
      </c>
      <c r="N278" s="167" t="s">
        <v>238</v>
      </c>
      <c r="O278" s="178" t="s">
        <v>238</v>
      </c>
      <c r="P278" s="168" t="s">
        <v>238</v>
      </c>
      <c r="Q278" s="169" t="s">
        <v>238</v>
      </c>
      <c r="R278" s="169">
        <v>607101.7605218637</v>
      </c>
      <c r="S278" s="167" t="s">
        <v>238</v>
      </c>
      <c r="T278" s="167">
        <v>0.23705654544072624</v>
      </c>
      <c r="U278" s="167">
        <v>5.141213041527179E-2</v>
      </c>
    </row>
    <row r="279" spans="2:21" x14ac:dyDescent="0.2">
      <c r="B279" s="23" t="s">
        <v>1412</v>
      </c>
      <c r="C279" s="32" t="s">
        <v>1413</v>
      </c>
      <c r="D279" s="32" t="s">
        <v>209</v>
      </c>
      <c r="E279" s="32" t="s">
        <v>1399</v>
      </c>
      <c r="F279" s="32" t="s">
        <v>238</v>
      </c>
      <c r="G279" s="32" t="s">
        <v>1414</v>
      </c>
      <c r="H279" s="94" t="s">
        <v>1403</v>
      </c>
      <c r="I279" s="94" t="s">
        <v>358</v>
      </c>
      <c r="J279" s="94" t="s">
        <v>1415</v>
      </c>
      <c r="K279" s="94">
        <v>4.6130000000000004</v>
      </c>
      <c r="L279" s="94" t="s">
        <v>127</v>
      </c>
      <c r="M279" s="32">
        <v>4.7500000000000001E-2</v>
      </c>
      <c r="N279" s="32">
        <v>2.947E-2</v>
      </c>
      <c r="O279" s="103">
        <v>2899347.3262939127</v>
      </c>
      <c r="P279" s="94">
        <v>108.76649999999999</v>
      </c>
      <c r="Q279" s="124">
        <v>0</v>
      </c>
      <c r="R279" s="124">
        <v>10898.560314467071</v>
      </c>
      <c r="S279" s="32">
        <v>4.8322455438231876E-3</v>
      </c>
      <c r="T279" s="32">
        <v>4.2555881508301377E-3</v>
      </c>
      <c r="U279" s="32">
        <v>9.2293951469427126E-4</v>
      </c>
    </row>
    <row r="280" spans="2:21" x14ac:dyDescent="0.2">
      <c r="B280" s="23" t="s">
        <v>1416</v>
      </c>
      <c r="C280" s="32" t="s">
        <v>1417</v>
      </c>
      <c r="D280" s="32" t="s">
        <v>209</v>
      </c>
      <c r="E280" s="32" t="s">
        <v>1399</v>
      </c>
      <c r="F280" s="32" t="s">
        <v>238</v>
      </c>
      <c r="G280" s="32" t="s">
        <v>164</v>
      </c>
      <c r="H280" s="94" t="s">
        <v>1403</v>
      </c>
      <c r="I280" s="94" t="s">
        <v>358</v>
      </c>
      <c r="J280" s="94" t="s">
        <v>1418</v>
      </c>
      <c r="K280" s="94">
        <v>4.2009999999999996</v>
      </c>
      <c r="L280" s="94" t="s">
        <v>127</v>
      </c>
      <c r="M280" s="32">
        <v>5.1500000000000004E-2</v>
      </c>
      <c r="N280" s="32">
        <v>4.2130000000000001E-2</v>
      </c>
      <c r="O280" s="103">
        <v>3539924.8032470932</v>
      </c>
      <c r="P280" s="94">
        <v>106.03210000000001</v>
      </c>
      <c r="Q280" s="124">
        <v>0</v>
      </c>
      <c r="R280" s="124">
        <v>12971.946033881646</v>
      </c>
      <c r="S280" s="32">
        <v>6.7511238824117916E-3</v>
      </c>
      <c r="T280" s="32">
        <v>5.0651882672719892E-3</v>
      </c>
      <c r="U280" s="32">
        <v>1.0985232206549877E-3</v>
      </c>
    </row>
    <row r="281" spans="2:21" x14ac:dyDescent="0.2">
      <c r="B281" s="23" t="s">
        <v>1419</v>
      </c>
      <c r="C281" s="32" t="s">
        <v>1420</v>
      </c>
      <c r="D281" s="32" t="s">
        <v>209</v>
      </c>
      <c r="E281" s="32" t="s">
        <v>1399</v>
      </c>
      <c r="F281" s="32" t="s">
        <v>238</v>
      </c>
      <c r="G281" s="32" t="s">
        <v>171</v>
      </c>
      <c r="H281" s="94" t="s">
        <v>555</v>
      </c>
      <c r="I281" s="94" t="s">
        <v>412</v>
      </c>
      <c r="J281" s="94" t="s">
        <v>1421</v>
      </c>
      <c r="K281" s="94">
        <v>5.827</v>
      </c>
      <c r="L281" s="94" t="s">
        <v>127</v>
      </c>
      <c r="M281" s="32">
        <v>5.1299999999999998E-2</v>
      </c>
      <c r="N281" s="32">
        <v>3.4889999999999997E-2</v>
      </c>
      <c r="O281" s="103">
        <v>4406728.5267079026</v>
      </c>
      <c r="P281" s="94">
        <v>112.1562</v>
      </c>
      <c r="Q281" s="124">
        <v>0</v>
      </c>
      <c r="R281" s="124">
        <v>17081.000961453177</v>
      </c>
      <c r="S281" s="32">
        <v>4.4067285267079025E-3</v>
      </c>
      <c r="T281" s="32">
        <v>6.6696612395114119E-3</v>
      </c>
      <c r="U281" s="32">
        <v>1.4464966273508076E-3</v>
      </c>
    </row>
    <row r="282" spans="2:21" x14ac:dyDescent="0.2">
      <c r="B282" s="23" t="s">
        <v>1422</v>
      </c>
      <c r="C282" s="32" t="s">
        <v>1423</v>
      </c>
      <c r="D282" s="32" t="s">
        <v>209</v>
      </c>
      <c r="E282" s="32" t="s">
        <v>1399</v>
      </c>
      <c r="F282" s="32" t="s">
        <v>238</v>
      </c>
      <c r="G282" s="32" t="s">
        <v>160</v>
      </c>
      <c r="H282" s="94" t="s">
        <v>1424</v>
      </c>
      <c r="I282" s="94" t="s">
        <v>412</v>
      </c>
      <c r="J282" s="94" t="s">
        <v>1425</v>
      </c>
      <c r="K282" s="94">
        <v>5.7519999999999998</v>
      </c>
      <c r="L282" s="94" t="s">
        <v>127</v>
      </c>
      <c r="M282" s="32">
        <v>3.2500000000000001E-2</v>
      </c>
      <c r="N282" s="32">
        <v>3.5369999999999999E-2</v>
      </c>
      <c r="O282" s="103">
        <v>3484360.4619996054</v>
      </c>
      <c r="P282" s="94">
        <v>98.115499999999997</v>
      </c>
      <c r="Q282" s="124">
        <v>0</v>
      </c>
      <c r="R282" s="124">
        <v>11815.019213087064</v>
      </c>
      <c r="S282" s="32">
        <v>5.8072674366660094E-3</v>
      </c>
      <c r="T282" s="32">
        <v>4.613440153035696E-3</v>
      </c>
      <c r="U282" s="32">
        <v>1.0005494105634343E-3</v>
      </c>
    </row>
    <row r="283" spans="2:21" x14ac:dyDescent="0.2">
      <c r="B283" s="23" t="s">
        <v>1426</v>
      </c>
      <c r="C283" s="32" t="s">
        <v>1427</v>
      </c>
      <c r="D283" s="32" t="s">
        <v>209</v>
      </c>
      <c r="E283" s="32" t="s">
        <v>1399</v>
      </c>
      <c r="F283" s="32" t="s">
        <v>238</v>
      </c>
      <c r="G283" s="32" t="s">
        <v>165</v>
      </c>
      <c r="H283" s="94" t="s">
        <v>1403</v>
      </c>
      <c r="I283" s="94" t="s">
        <v>358</v>
      </c>
      <c r="J283" s="94" t="s">
        <v>1428</v>
      </c>
      <c r="K283" s="94">
        <v>5.3380000000000001</v>
      </c>
      <c r="L283" s="94" t="s">
        <v>127</v>
      </c>
      <c r="M283" s="32">
        <v>4.1299999999999996E-2</v>
      </c>
      <c r="N283" s="32">
        <v>3.2559999999999999E-2</v>
      </c>
      <c r="O283" s="103">
        <v>3487059.3014316261</v>
      </c>
      <c r="P283" s="94">
        <v>105.41800000000001</v>
      </c>
      <c r="Q283" s="124">
        <v>0</v>
      </c>
      <c r="R283" s="124">
        <v>12704.215129525272</v>
      </c>
      <c r="S283" s="32">
        <v>3.487059301431626E-3</v>
      </c>
      <c r="T283" s="32">
        <v>4.9606467102850894E-3</v>
      </c>
      <c r="U283" s="32">
        <v>1.0758505534580807E-3</v>
      </c>
    </row>
    <row r="284" spans="2:21" x14ac:dyDescent="0.2">
      <c r="B284" s="23" t="s">
        <v>1429</v>
      </c>
      <c r="C284" s="32" t="s">
        <v>1430</v>
      </c>
      <c r="D284" s="32" t="s">
        <v>209</v>
      </c>
      <c r="E284" s="32" t="s">
        <v>1399</v>
      </c>
      <c r="F284" s="32" t="s">
        <v>238</v>
      </c>
      <c r="G284" s="32" t="s">
        <v>169</v>
      </c>
      <c r="H284" s="94" t="s">
        <v>555</v>
      </c>
      <c r="I284" s="94" t="s">
        <v>412</v>
      </c>
      <c r="J284" s="94" t="s">
        <v>1431</v>
      </c>
      <c r="K284" s="94">
        <v>2.976</v>
      </c>
      <c r="L284" s="94" t="s">
        <v>127</v>
      </c>
      <c r="M284" s="32">
        <v>4.4000000000000004E-2</v>
      </c>
      <c r="N284" s="32">
        <v>3.5270000000000003E-2</v>
      </c>
      <c r="O284" s="103">
        <v>4095885.7262433851</v>
      </c>
      <c r="P284" s="94">
        <v>105.28930000000001</v>
      </c>
      <c r="Q284" s="124">
        <v>0</v>
      </c>
      <c r="R284" s="124">
        <v>14904.101639811175</v>
      </c>
      <c r="S284" s="32">
        <v>2.7305904841622569E-3</v>
      </c>
      <c r="T284" s="32">
        <v>5.8196419074687585E-3</v>
      </c>
      <c r="U284" s="32">
        <v>1.2621469200974967E-3</v>
      </c>
    </row>
    <row r="285" spans="2:21" x14ac:dyDescent="0.2">
      <c r="B285" s="23" t="s">
        <v>1432</v>
      </c>
      <c r="C285" s="32" t="s">
        <v>1433</v>
      </c>
      <c r="D285" s="32" t="s">
        <v>209</v>
      </c>
      <c r="E285" s="32" t="s">
        <v>1399</v>
      </c>
      <c r="F285" s="32" t="s">
        <v>238</v>
      </c>
      <c r="G285" s="32" t="s">
        <v>172</v>
      </c>
      <c r="H285" s="94" t="s">
        <v>1403</v>
      </c>
      <c r="I285" s="94" t="s">
        <v>358</v>
      </c>
      <c r="J285" s="94" t="s">
        <v>1434</v>
      </c>
      <c r="K285" s="94">
        <v>5.5190000000000001</v>
      </c>
      <c r="L285" s="94" t="s">
        <v>127</v>
      </c>
      <c r="M285" s="32">
        <v>4.9500000000000002E-2</v>
      </c>
      <c r="N285" s="32">
        <v>4.3540000000000002E-2</v>
      </c>
      <c r="O285" s="103">
        <v>2827113.6826721784</v>
      </c>
      <c r="P285" s="94">
        <v>104.97150000000002</v>
      </c>
      <c r="Q285" s="124">
        <v>0</v>
      </c>
      <c r="R285" s="124">
        <v>10256.245537419603</v>
      </c>
      <c r="S285" s="32">
        <v>7.0677842066804459E-3</v>
      </c>
      <c r="T285" s="32">
        <v>4.0047818906053011E-3</v>
      </c>
      <c r="U285" s="32">
        <v>8.6854538634116888E-4</v>
      </c>
    </row>
    <row r="286" spans="2:21" x14ac:dyDescent="0.2">
      <c r="B286" s="23" t="s">
        <v>1435</v>
      </c>
      <c r="C286" s="32" t="s">
        <v>1436</v>
      </c>
      <c r="D286" s="32" t="s">
        <v>209</v>
      </c>
      <c r="E286" s="32" t="s">
        <v>1399</v>
      </c>
      <c r="F286" s="32" t="s">
        <v>238</v>
      </c>
      <c r="G286" s="32" t="s">
        <v>171</v>
      </c>
      <c r="H286" s="94" t="s">
        <v>1410</v>
      </c>
      <c r="I286" s="94" t="s">
        <v>412</v>
      </c>
      <c r="J286" s="94" t="s">
        <v>1437</v>
      </c>
      <c r="K286" s="94">
        <v>6.0449999999999999</v>
      </c>
      <c r="L286" s="94" t="s">
        <v>127</v>
      </c>
      <c r="M286" s="32">
        <v>0.05</v>
      </c>
      <c r="N286" s="32">
        <v>3.8079999999999996E-2</v>
      </c>
      <c r="O286" s="103">
        <v>3504681.1353701153</v>
      </c>
      <c r="P286" s="94">
        <v>107.47899999999998</v>
      </c>
      <c r="Q286" s="124">
        <v>0</v>
      </c>
      <c r="R286" s="124">
        <v>13018.047796390634</v>
      </c>
      <c r="S286" s="32">
        <v>7.0093622707402305E-3</v>
      </c>
      <c r="T286" s="32">
        <v>5.0831897379804833E-3</v>
      </c>
      <c r="U286" s="32">
        <v>1.1024273269854463E-3</v>
      </c>
    </row>
    <row r="287" spans="2:21" x14ac:dyDescent="0.2">
      <c r="B287" s="23" t="s">
        <v>1438</v>
      </c>
      <c r="C287" s="32" t="s">
        <v>1439</v>
      </c>
      <c r="D287" s="32" t="s">
        <v>209</v>
      </c>
      <c r="E287" s="32" t="s">
        <v>1399</v>
      </c>
      <c r="F287" s="32" t="s">
        <v>238</v>
      </c>
      <c r="G287" s="32" t="s">
        <v>1440</v>
      </c>
      <c r="H287" s="94" t="s">
        <v>1403</v>
      </c>
      <c r="I287" s="94" t="s">
        <v>358</v>
      </c>
      <c r="J287" s="94" t="s">
        <v>1441</v>
      </c>
      <c r="K287" s="94">
        <v>6.0190000000000001</v>
      </c>
      <c r="L287" s="94" t="s">
        <v>127</v>
      </c>
      <c r="M287" s="32">
        <v>4.8499999999999995E-2</v>
      </c>
      <c r="N287" s="32">
        <v>3.422E-2</v>
      </c>
      <c r="O287" s="103">
        <v>3572945.8974741716</v>
      </c>
      <c r="P287" s="94">
        <v>111.3056</v>
      </c>
      <c r="Q287" s="124">
        <v>0</v>
      </c>
      <c r="R287" s="124">
        <v>13744.127929313656</v>
      </c>
      <c r="S287" s="32">
        <v>3.5729458974741715E-3</v>
      </c>
      <c r="T287" s="32">
        <v>5.3667040665765975E-3</v>
      </c>
      <c r="U287" s="32">
        <v>1.1639150855676122E-3</v>
      </c>
    </row>
    <row r="288" spans="2:21" x14ac:dyDescent="0.2">
      <c r="B288" s="23" t="s">
        <v>1442</v>
      </c>
      <c r="C288" s="32" t="s">
        <v>1443</v>
      </c>
      <c r="D288" s="32" t="s">
        <v>209</v>
      </c>
      <c r="E288" s="32" t="s">
        <v>1399</v>
      </c>
      <c r="F288" s="32" t="s">
        <v>238</v>
      </c>
      <c r="G288" s="32" t="s">
        <v>173</v>
      </c>
      <c r="H288" s="94" t="s">
        <v>1410</v>
      </c>
      <c r="I288" s="94" t="s">
        <v>412</v>
      </c>
      <c r="J288" s="94" t="s">
        <v>1444</v>
      </c>
      <c r="K288" s="94">
        <v>6.319</v>
      </c>
      <c r="L288" s="94" t="s">
        <v>127</v>
      </c>
      <c r="M288" s="32">
        <v>3.9E-2</v>
      </c>
      <c r="N288" s="32">
        <v>3.1789999999999999E-2</v>
      </c>
      <c r="O288" s="103">
        <v>3807903.6833206913</v>
      </c>
      <c r="P288" s="94">
        <v>105.989</v>
      </c>
      <c r="Q288" s="124">
        <v>0</v>
      </c>
      <c r="R288" s="124">
        <v>13948.274424309826</v>
      </c>
      <c r="S288" s="32">
        <v>3.0463229466565532E-3</v>
      </c>
      <c r="T288" s="32">
        <v>5.4464176599386474E-3</v>
      </c>
      <c r="U288" s="32">
        <v>1.1812031366112161E-3</v>
      </c>
    </row>
    <row r="289" spans="2:21" x14ac:dyDescent="0.2">
      <c r="B289" s="23" t="s">
        <v>1445</v>
      </c>
      <c r="C289" s="32" t="s">
        <v>1446</v>
      </c>
      <c r="D289" s="32" t="s">
        <v>209</v>
      </c>
      <c r="E289" s="32" t="s">
        <v>1399</v>
      </c>
      <c r="F289" s="32" t="s">
        <v>238</v>
      </c>
      <c r="G289" s="32" t="s">
        <v>173</v>
      </c>
      <c r="H289" s="94" t="s">
        <v>1447</v>
      </c>
      <c r="I289" s="94" t="s">
        <v>358</v>
      </c>
      <c r="J289" s="94" t="s">
        <v>1448</v>
      </c>
      <c r="K289" s="94">
        <v>6.4880000000000004</v>
      </c>
      <c r="L289" s="94" t="s">
        <v>127</v>
      </c>
      <c r="M289" s="32">
        <v>4.4999999999999998E-2</v>
      </c>
      <c r="N289" s="32">
        <v>3.227E-2</v>
      </c>
      <c r="O289" s="103">
        <v>2958245.5280162496</v>
      </c>
      <c r="P289" s="94">
        <v>108.72600000000001</v>
      </c>
      <c r="Q289" s="124">
        <v>0</v>
      </c>
      <c r="R289" s="124">
        <v>11115.816304525388</v>
      </c>
      <c r="S289" s="32">
        <v>3.9443273706883325E-3</v>
      </c>
      <c r="T289" s="32">
        <v>4.3404206415731368E-3</v>
      </c>
      <c r="U289" s="32">
        <v>9.4133773723405732E-4</v>
      </c>
    </row>
    <row r="290" spans="2:21" x14ac:dyDescent="0.2">
      <c r="B290" s="23" t="s">
        <v>1449</v>
      </c>
      <c r="C290" s="32" t="s">
        <v>1450</v>
      </c>
      <c r="D290" s="32" t="s">
        <v>209</v>
      </c>
      <c r="E290" s="32" t="s">
        <v>1399</v>
      </c>
      <c r="F290" s="32" t="s">
        <v>238</v>
      </c>
      <c r="G290" s="32" t="s">
        <v>169</v>
      </c>
      <c r="H290" s="94" t="s">
        <v>1451</v>
      </c>
      <c r="I290" s="94" t="s">
        <v>358</v>
      </c>
      <c r="J290" s="94" t="s">
        <v>1452</v>
      </c>
      <c r="K290" s="94">
        <v>0.11799999999999999</v>
      </c>
      <c r="L290" s="94" t="s">
        <v>127</v>
      </c>
      <c r="M290" s="32">
        <v>2.7099999999999999E-2</v>
      </c>
      <c r="N290" s="32">
        <v>4.0129999999999999E-2</v>
      </c>
      <c r="O290" s="103">
        <v>2739163.2682404406</v>
      </c>
      <c r="P290" s="94">
        <v>80.199399999999997</v>
      </c>
      <c r="Q290" s="124">
        <v>0</v>
      </c>
      <c r="R290" s="124">
        <v>7592.1148998140297</v>
      </c>
      <c r="S290" s="32">
        <v>5.2174538442675061E-3</v>
      </c>
      <c r="T290" s="32">
        <v>2.9645121259274693E-3</v>
      </c>
      <c r="U290" s="32">
        <v>6.4293472155548144E-4</v>
      </c>
    </row>
    <row r="291" spans="2:21" x14ac:dyDescent="0.2">
      <c r="B291" s="23" t="s">
        <v>1453</v>
      </c>
      <c r="C291" s="32" t="s">
        <v>1454</v>
      </c>
      <c r="D291" s="32" t="s">
        <v>209</v>
      </c>
      <c r="E291" s="32" t="s">
        <v>1399</v>
      </c>
      <c r="F291" s="32" t="s">
        <v>238</v>
      </c>
      <c r="G291" s="32" t="s">
        <v>170</v>
      </c>
      <c r="H291" s="94" t="s">
        <v>1403</v>
      </c>
      <c r="I291" s="94" t="s">
        <v>358</v>
      </c>
      <c r="J291" s="94" t="s">
        <v>1455</v>
      </c>
      <c r="K291" s="94">
        <v>5.8849999999999998</v>
      </c>
      <c r="L291" s="94" t="s">
        <v>127</v>
      </c>
      <c r="M291" s="32">
        <v>4.8499999999999995E-2</v>
      </c>
      <c r="N291" s="32">
        <v>3.1320000000000001E-2</v>
      </c>
      <c r="O291" s="103">
        <v>4128589.3099490493</v>
      </c>
      <c r="P291" s="94">
        <v>112.53930000000001</v>
      </c>
      <c r="Q291" s="124">
        <v>0</v>
      </c>
      <c r="R291" s="124">
        <v>16057.562718960733</v>
      </c>
      <c r="S291" s="32">
        <v>5.5047857465987324E-3</v>
      </c>
      <c r="T291" s="32">
        <v>6.2700367448819813E-3</v>
      </c>
      <c r="U291" s="32">
        <v>1.3598272354686815E-3</v>
      </c>
    </row>
    <row r="292" spans="2:21" x14ac:dyDescent="0.2">
      <c r="B292" s="23" t="s">
        <v>1456</v>
      </c>
      <c r="C292" s="32" t="s">
        <v>1457</v>
      </c>
      <c r="D292" s="32" t="s">
        <v>209</v>
      </c>
      <c r="E292" s="32" t="s">
        <v>1399</v>
      </c>
      <c r="F292" s="32" t="s">
        <v>1458</v>
      </c>
      <c r="G292" s="32" t="s">
        <v>1459</v>
      </c>
      <c r="H292" s="94" t="s">
        <v>1403</v>
      </c>
      <c r="I292" s="94" t="s">
        <v>358</v>
      </c>
      <c r="J292" s="94" t="s">
        <v>1460</v>
      </c>
      <c r="K292" s="94">
        <v>5.1509999999999998</v>
      </c>
      <c r="L292" s="94" t="s">
        <v>127</v>
      </c>
      <c r="M292" s="32">
        <v>4.3799999999999999E-2</v>
      </c>
      <c r="N292" s="32">
        <v>3.7539999999999997E-2</v>
      </c>
      <c r="O292" s="103">
        <v>3375295.597893822</v>
      </c>
      <c r="P292" s="94">
        <v>104.4455</v>
      </c>
      <c r="Q292" s="124">
        <v>0</v>
      </c>
      <c r="R292" s="124">
        <v>12183.590120737745</v>
      </c>
      <c r="S292" s="32">
        <v>4.8218508541340317E-3</v>
      </c>
      <c r="T292" s="32">
        <v>4.7573569587496482E-3</v>
      </c>
      <c r="U292" s="32">
        <v>1.0317616665699453E-3</v>
      </c>
    </row>
    <row r="293" spans="2:21" x14ac:dyDescent="0.2">
      <c r="B293" s="23" t="s">
        <v>1461</v>
      </c>
      <c r="C293" s="32" t="s">
        <v>1462</v>
      </c>
      <c r="D293" s="32" t="s">
        <v>209</v>
      </c>
      <c r="E293" s="32" t="s">
        <v>1399</v>
      </c>
      <c r="F293" s="32" t="s">
        <v>238</v>
      </c>
      <c r="G293" s="32" t="s">
        <v>169</v>
      </c>
      <c r="H293" s="94" t="s">
        <v>555</v>
      </c>
      <c r="I293" s="94" t="s">
        <v>412</v>
      </c>
      <c r="J293" s="94" t="s">
        <v>1463</v>
      </c>
      <c r="K293" s="94">
        <v>2.9510000000000001</v>
      </c>
      <c r="L293" s="94" t="s">
        <v>127</v>
      </c>
      <c r="M293" s="32">
        <v>4.7E-2</v>
      </c>
      <c r="N293" s="32">
        <v>3.3500000000000002E-2</v>
      </c>
      <c r="O293" s="103">
        <v>3972691.6439346694</v>
      </c>
      <c r="P293" s="94">
        <v>106.4546</v>
      </c>
      <c r="Q293" s="124">
        <v>0</v>
      </c>
      <c r="R293" s="124">
        <v>14615.81452325419</v>
      </c>
      <c r="S293" s="32">
        <v>3.1781533151477356E-3</v>
      </c>
      <c r="T293" s="32">
        <v>5.7070737148031308E-3</v>
      </c>
      <c r="U293" s="32">
        <v>1.2377334596246924E-3</v>
      </c>
    </row>
    <row r="294" spans="2:21" x14ac:dyDescent="0.2">
      <c r="B294" s="23" t="s">
        <v>1464</v>
      </c>
      <c r="C294" s="32" t="s">
        <v>1465</v>
      </c>
      <c r="D294" s="32" t="s">
        <v>209</v>
      </c>
      <c r="E294" s="32" t="s">
        <v>1399</v>
      </c>
      <c r="F294" s="32" t="s">
        <v>238</v>
      </c>
      <c r="G294" s="32" t="s">
        <v>157</v>
      </c>
      <c r="H294" s="94" t="s">
        <v>1403</v>
      </c>
      <c r="I294" s="94" t="s">
        <v>358</v>
      </c>
      <c r="J294" s="94" t="s">
        <v>1466</v>
      </c>
      <c r="K294" s="94">
        <v>1.4870000000000001</v>
      </c>
      <c r="L294" s="94" t="s">
        <v>127</v>
      </c>
      <c r="M294" s="32">
        <v>5.2499999999999998E-2</v>
      </c>
      <c r="N294" s="32">
        <v>3.9469999999999998E-2</v>
      </c>
      <c r="O294" s="103">
        <v>3303696.9753149166</v>
      </c>
      <c r="P294" s="94">
        <v>109.6347</v>
      </c>
      <c r="Q294" s="124">
        <v>0</v>
      </c>
      <c r="R294" s="124">
        <v>12517.626012244193</v>
      </c>
      <c r="S294" s="32">
        <v>5.5061616255248609E-3</v>
      </c>
      <c r="T294" s="32">
        <v>4.8877887901870405E-3</v>
      </c>
      <c r="U294" s="32">
        <v>1.0600493407857945E-3</v>
      </c>
    </row>
    <row r="295" spans="2:21" x14ac:dyDescent="0.2">
      <c r="B295" s="23" t="s">
        <v>1467</v>
      </c>
      <c r="C295" s="32" t="s">
        <v>1468</v>
      </c>
      <c r="D295" s="32" t="s">
        <v>209</v>
      </c>
      <c r="E295" s="32" t="s">
        <v>1399</v>
      </c>
      <c r="F295" s="32" t="s">
        <v>238</v>
      </c>
      <c r="G295" s="32" t="s">
        <v>156</v>
      </c>
      <c r="H295" s="94" t="s">
        <v>1469</v>
      </c>
      <c r="I295" s="94" t="s">
        <v>358</v>
      </c>
      <c r="J295" s="94" t="s">
        <v>1470</v>
      </c>
      <c r="K295" s="94">
        <v>4.2880000000000003</v>
      </c>
      <c r="L295" s="94" t="s">
        <v>127</v>
      </c>
      <c r="M295" s="32">
        <v>4.4500000000000005E-2</v>
      </c>
      <c r="N295" s="32">
        <v>3.6819999999999999E-2</v>
      </c>
      <c r="O295" s="103">
        <v>3031590.4584629335</v>
      </c>
      <c r="P295" s="94">
        <v>105.06579999999998</v>
      </c>
      <c r="Q295" s="124">
        <v>0</v>
      </c>
      <c r="R295" s="124">
        <v>11007.929437792656</v>
      </c>
      <c r="S295" s="32">
        <v>5.0526507641048893E-3</v>
      </c>
      <c r="T295" s="32">
        <v>4.2982937864243379E-3</v>
      </c>
      <c r="U295" s="32">
        <v>9.3220138806947848E-4</v>
      </c>
    </row>
    <row r="296" spans="2:21" x14ac:dyDescent="0.2">
      <c r="B296" s="23" t="s">
        <v>1471</v>
      </c>
      <c r="C296" s="32" t="s">
        <v>1472</v>
      </c>
      <c r="D296" s="32" t="s">
        <v>209</v>
      </c>
      <c r="E296" s="32" t="s">
        <v>1399</v>
      </c>
      <c r="F296" s="32" t="s">
        <v>238</v>
      </c>
      <c r="G296" s="32" t="s">
        <v>160</v>
      </c>
      <c r="H296" s="94" t="s">
        <v>555</v>
      </c>
      <c r="I296" s="94" t="s">
        <v>412</v>
      </c>
      <c r="J296" s="94" t="s">
        <v>1473</v>
      </c>
      <c r="K296" s="94">
        <v>7.23</v>
      </c>
      <c r="L296" s="94" t="s">
        <v>127</v>
      </c>
      <c r="M296" s="32">
        <v>4.7500000000000001E-2</v>
      </c>
      <c r="N296" s="32">
        <v>3.2539999999999999E-2</v>
      </c>
      <c r="O296" s="103">
        <v>3490234.4066457683</v>
      </c>
      <c r="P296" s="94">
        <v>113.2007</v>
      </c>
      <c r="Q296" s="124">
        <v>0</v>
      </c>
      <c r="R296" s="124">
        <v>13654.551559377282</v>
      </c>
      <c r="S296" s="32">
        <v>4.9860491523510972E-3</v>
      </c>
      <c r="T296" s="32">
        <v>5.3317269569862968E-3</v>
      </c>
      <c r="U296" s="32">
        <v>1.1563293523137064E-3</v>
      </c>
    </row>
    <row r="297" spans="2:21" x14ac:dyDescent="0.2">
      <c r="B297" s="23" t="s">
        <v>1474</v>
      </c>
      <c r="C297" s="32" t="s">
        <v>1475</v>
      </c>
      <c r="D297" s="32" t="s">
        <v>209</v>
      </c>
      <c r="E297" s="32" t="s">
        <v>1399</v>
      </c>
      <c r="F297" s="32" t="s">
        <v>238</v>
      </c>
      <c r="G297" s="32" t="s">
        <v>172</v>
      </c>
      <c r="H297" s="94" t="s">
        <v>1476</v>
      </c>
      <c r="I297" s="94" t="s">
        <v>412</v>
      </c>
      <c r="J297" s="94" t="s">
        <v>1477</v>
      </c>
      <c r="K297" s="94">
        <v>7.1180000000000003</v>
      </c>
      <c r="L297" s="94" t="s">
        <v>127</v>
      </c>
      <c r="M297" s="32">
        <v>5.3800000000000001E-2</v>
      </c>
      <c r="N297" s="32">
        <v>3.7000000000000005E-2</v>
      </c>
      <c r="O297" s="103">
        <v>4154942.6832264294</v>
      </c>
      <c r="P297" s="94">
        <v>113.8509</v>
      </c>
      <c r="Q297" s="124">
        <v>0</v>
      </c>
      <c r="R297" s="124">
        <v>16348.399392615438</v>
      </c>
      <c r="S297" s="32">
        <v>6.9249044720440488E-3</v>
      </c>
      <c r="T297" s="32">
        <v>6.3836004694951196E-3</v>
      </c>
      <c r="U297" s="32">
        <v>1.3844566039992988E-3</v>
      </c>
    </row>
    <row r="298" spans="2:21" x14ac:dyDescent="0.2">
      <c r="B298" s="23" t="s">
        <v>1478</v>
      </c>
      <c r="C298" s="32" t="s">
        <v>1479</v>
      </c>
      <c r="D298" s="32" t="s">
        <v>209</v>
      </c>
      <c r="E298" s="32" t="s">
        <v>1399</v>
      </c>
      <c r="F298" s="32" t="s">
        <v>238</v>
      </c>
      <c r="G298" s="32" t="s">
        <v>163</v>
      </c>
      <c r="H298" s="94" t="s">
        <v>555</v>
      </c>
      <c r="I298" s="94" t="s">
        <v>412</v>
      </c>
      <c r="J298" s="94" t="s">
        <v>1480</v>
      </c>
      <c r="K298" s="94">
        <v>7.0510000000000002</v>
      </c>
      <c r="L298" s="94" t="s">
        <v>127</v>
      </c>
      <c r="M298" s="32">
        <v>4.4500000000000005E-2</v>
      </c>
      <c r="N298" s="32">
        <v>3.1329999999999997E-2</v>
      </c>
      <c r="O298" s="103">
        <v>3323065.1171211838</v>
      </c>
      <c r="P298" s="94">
        <v>110.7432</v>
      </c>
      <c r="Q298" s="124">
        <v>0</v>
      </c>
      <c r="R298" s="124">
        <v>12718.317249792755</v>
      </c>
      <c r="S298" s="32">
        <v>6.6461302342423678E-3</v>
      </c>
      <c r="T298" s="32">
        <v>4.9661532005168514E-3</v>
      </c>
      <c r="U298" s="32">
        <v>1.0770447849584152E-3</v>
      </c>
    </row>
    <row r="299" spans="2:21" x14ac:dyDescent="0.2">
      <c r="B299" s="23" t="s">
        <v>1481</v>
      </c>
      <c r="C299" s="32" t="s">
        <v>1482</v>
      </c>
      <c r="D299" s="32" t="s">
        <v>209</v>
      </c>
      <c r="E299" s="32" t="s">
        <v>1399</v>
      </c>
      <c r="F299" s="32" t="s">
        <v>238</v>
      </c>
      <c r="G299" s="32" t="s">
        <v>155</v>
      </c>
      <c r="H299" s="94" t="s">
        <v>1483</v>
      </c>
      <c r="I299" s="94" t="s">
        <v>358</v>
      </c>
      <c r="J299" s="94" t="s">
        <v>1484</v>
      </c>
      <c r="K299" s="94">
        <v>7.5170000000000003</v>
      </c>
      <c r="L299" s="94" t="s">
        <v>127</v>
      </c>
      <c r="M299" s="32">
        <v>4.2500000000000003E-2</v>
      </c>
      <c r="N299" s="32">
        <v>3.4270000000000002E-2</v>
      </c>
      <c r="O299" s="103">
        <v>2952689.093891501</v>
      </c>
      <c r="P299" s="94">
        <v>106.73010000000001</v>
      </c>
      <c r="Q299" s="124">
        <v>0</v>
      </c>
      <c r="R299" s="124">
        <v>10891.266124620437</v>
      </c>
      <c r="S299" s="32">
        <v>6.561531319758891E-3</v>
      </c>
      <c r="T299" s="32">
        <v>4.2527399702461353E-3</v>
      </c>
      <c r="U299" s="32">
        <v>9.2232180961737188E-4</v>
      </c>
    </row>
    <row r="300" spans="2:21" x14ac:dyDescent="0.2">
      <c r="B300" s="23" t="s">
        <v>1485</v>
      </c>
      <c r="C300" s="32" t="s">
        <v>1486</v>
      </c>
      <c r="D300" s="32" t="s">
        <v>209</v>
      </c>
      <c r="E300" s="32" t="s">
        <v>1399</v>
      </c>
      <c r="F300" s="32" t="s">
        <v>238</v>
      </c>
      <c r="G300" s="32" t="s">
        <v>1487</v>
      </c>
      <c r="H300" s="94" t="s">
        <v>1488</v>
      </c>
      <c r="I300" s="94" t="s">
        <v>358</v>
      </c>
      <c r="J300" s="94" t="s">
        <v>965</v>
      </c>
      <c r="K300" s="94">
        <v>2.3239999999999998</v>
      </c>
      <c r="L300" s="94" t="s">
        <v>127</v>
      </c>
      <c r="M300" s="32">
        <v>4.8799999999999996E-2</v>
      </c>
      <c r="N300" s="32">
        <v>3.9759999999999997E-2</v>
      </c>
      <c r="O300" s="103">
        <v>2499601.5798334149</v>
      </c>
      <c r="P300" s="94">
        <v>108.036</v>
      </c>
      <c r="Q300" s="124">
        <v>0</v>
      </c>
      <c r="R300" s="124">
        <v>9332.822807537641</v>
      </c>
      <c r="S300" s="32">
        <v>4.5864249171255322E-3</v>
      </c>
      <c r="T300" s="32">
        <v>3.6442107037599628E-3</v>
      </c>
      <c r="U300" s="32">
        <v>7.9034576165830156E-4</v>
      </c>
    </row>
    <row r="301" spans="2:21" x14ac:dyDescent="0.2">
      <c r="B301" s="23" t="s">
        <v>1489</v>
      </c>
      <c r="C301" s="32" t="s">
        <v>1490</v>
      </c>
      <c r="D301" s="32" t="s">
        <v>209</v>
      </c>
      <c r="E301" s="32" t="s">
        <v>1399</v>
      </c>
      <c r="F301" s="32" t="s">
        <v>238</v>
      </c>
      <c r="G301" s="32" t="s">
        <v>1459</v>
      </c>
      <c r="H301" s="94" t="s">
        <v>1491</v>
      </c>
      <c r="I301" s="94" t="s">
        <v>412</v>
      </c>
      <c r="J301" s="94" t="s">
        <v>1492</v>
      </c>
      <c r="K301" s="94">
        <v>6.8209999999999997</v>
      </c>
      <c r="L301" s="94" t="s">
        <v>127</v>
      </c>
      <c r="M301" s="32">
        <v>4.9000000000000002E-2</v>
      </c>
      <c r="N301" s="32">
        <v>3.7000000000000005E-2</v>
      </c>
      <c r="O301" s="103">
        <v>3071120.5183790033</v>
      </c>
      <c r="P301" s="94">
        <v>110.38240000000002</v>
      </c>
      <c r="Q301" s="124">
        <v>0</v>
      </c>
      <c r="R301" s="124">
        <v>11715.758904014423</v>
      </c>
      <c r="S301" s="32">
        <v>4.1980719404269033E-3</v>
      </c>
      <c r="T301" s="32">
        <v>4.5746817314690838E-3</v>
      </c>
      <c r="U301" s="32">
        <v>9.9214359742476679E-4</v>
      </c>
    </row>
    <row r="302" spans="2:21" x14ac:dyDescent="0.2">
      <c r="B302" s="23" t="s">
        <v>1493</v>
      </c>
      <c r="C302" s="32" t="s">
        <v>1494</v>
      </c>
      <c r="D302" s="32" t="s">
        <v>209</v>
      </c>
      <c r="E302" s="32" t="s">
        <v>1399</v>
      </c>
      <c r="F302" s="32" t="s">
        <v>238</v>
      </c>
      <c r="G302" s="32" t="s">
        <v>1414</v>
      </c>
      <c r="H302" s="94" t="s">
        <v>1451</v>
      </c>
      <c r="I302" s="94" t="s">
        <v>358</v>
      </c>
      <c r="J302" s="94" t="s">
        <v>1495</v>
      </c>
      <c r="K302" s="94">
        <v>7.7889999999999997</v>
      </c>
      <c r="L302" s="94" t="s">
        <v>127</v>
      </c>
      <c r="M302" s="32">
        <v>3.7499999999999999E-2</v>
      </c>
      <c r="N302" s="32">
        <v>3.2029999999999996E-2</v>
      </c>
      <c r="O302" s="103">
        <v>3402283.9922140306</v>
      </c>
      <c r="P302" s="94">
        <v>105.3359</v>
      </c>
      <c r="Q302" s="124">
        <v>0</v>
      </c>
      <c r="R302" s="124">
        <v>12385.704257874737</v>
      </c>
      <c r="S302" s="32">
        <v>6.8045679844280609E-3</v>
      </c>
      <c r="T302" s="32">
        <v>4.8362769722466326E-3</v>
      </c>
      <c r="U302" s="32">
        <v>1.0488776083328632E-3</v>
      </c>
    </row>
    <row r="303" spans="2:21" x14ac:dyDescent="0.2">
      <c r="B303" s="23" t="s">
        <v>1496</v>
      </c>
      <c r="C303" s="32" t="s">
        <v>1497</v>
      </c>
      <c r="D303" s="32" t="s">
        <v>209</v>
      </c>
      <c r="E303" s="32" t="s">
        <v>1399</v>
      </c>
      <c r="F303" s="32" t="s">
        <v>238</v>
      </c>
      <c r="G303" s="32" t="s">
        <v>156</v>
      </c>
      <c r="H303" s="94" t="s">
        <v>1447</v>
      </c>
      <c r="I303" s="94" t="s">
        <v>358</v>
      </c>
      <c r="J303" s="94" t="s">
        <v>1498</v>
      </c>
      <c r="K303" s="94">
        <v>7.7050000000000001</v>
      </c>
      <c r="L303" s="94" t="s">
        <v>127</v>
      </c>
      <c r="M303" s="32">
        <v>3.95E-2</v>
      </c>
      <c r="N303" s="32">
        <v>3.3950000000000001E-2</v>
      </c>
      <c r="O303" s="103">
        <v>3234797.1921680318</v>
      </c>
      <c r="P303" s="94">
        <v>105.6301</v>
      </c>
      <c r="Q303" s="124">
        <v>0</v>
      </c>
      <c r="R303" s="124">
        <v>11808.873822345933</v>
      </c>
      <c r="S303" s="32">
        <v>7.1884382048178486E-3</v>
      </c>
      <c r="T303" s="32">
        <v>4.6110405469165774E-3</v>
      </c>
      <c r="U303" s="32">
        <v>1.0000289910048346E-3</v>
      </c>
    </row>
    <row r="304" spans="2:21" x14ac:dyDescent="0.2">
      <c r="B304" s="23" t="s">
        <v>1499</v>
      </c>
      <c r="C304" s="32" t="s">
        <v>1500</v>
      </c>
      <c r="D304" s="32" t="s">
        <v>209</v>
      </c>
      <c r="E304" s="32" t="s">
        <v>1399</v>
      </c>
      <c r="F304" s="32" t="s">
        <v>238</v>
      </c>
      <c r="G304" s="32" t="s">
        <v>169</v>
      </c>
      <c r="H304" s="94" t="s">
        <v>1476</v>
      </c>
      <c r="I304" s="94" t="s">
        <v>412</v>
      </c>
      <c r="J304" s="94" t="s">
        <v>1501</v>
      </c>
      <c r="K304" s="94">
        <v>8.0429999999999993</v>
      </c>
      <c r="L304" s="94" t="s">
        <v>127</v>
      </c>
      <c r="M304" s="32">
        <v>6.3099999999999989E-2</v>
      </c>
      <c r="N304" s="32">
        <v>3.5520000000000003E-2</v>
      </c>
      <c r="O304" s="103">
        <v>3403395.2790389801</v>
      </c>
      <c r="P304" s="94">
        <v>102.1671</v>
      </c>
      <c r="Q304" s="124">
        <v>0</v>
      </c>
      <c r="R304" s="124">
        <v>12017.031291229603</v>
      </c>
      <c r="S304" s="32">
        <v>2.722716223231184E-3</v>
      </c>
      <c r="T304" s="32">
        <v>4.6923203153014219E-3</v>
      </c>
      <c r="U304" s="32">
        <v>1.0176567095078429E-3</v>
      </c>
    </row>
    <row r="305" spans="2:21" x14ac:dyDescent="0.2">
      <c r="B305" s="23" t="s">
        <v>1502</v>
      </c>
      <c r="C305" s="32" t="s">
        <v>1503</v>
      </c>
      <c r="D305" s="32" t="s">
        <v>209</v>
      </c>
      <c r="E305" s="32" t="s">
        <v>1399</v>
      </c>
      <c r="F305" s="32" t="s">
        <v>238</v>
      </c>
      <c r="G305" s="32" t="s">
        <v>162</v>
      </c>
      <c r="H305" s="94" t="s">
        <v>1504</v>
      </c>
      <c r="I305" s="94" t="s">
        <v>358</v>
      </c>
      <c r="J305" s="94" t="s">
        <v>1505</v>
      </c>
      <c r="K305" s="94">
        <v>6.3070000000000004</v>
      </c>
      <c r="L305" s="94" t="s">
        <v>127</v>
      </c>
      <c r="M305" s="32">
        <v>4.7500000000000001E-2</v>
      </c>
      <c r="N305" s="32">
        <v>4.4560000000000002E-2</v>
      </c>
      <c r="O305" s="103">
        <v>3152879.4776431639</v>
      </c>
      <c r="P305" s="94">
        <v>103.20390000000002</v>
      </c>
      <c r="Q305" s="124">
        <v>0</v>
      </c>
      <c r="R305" s="124">
        <v>11245.459679595702</v>
      </c>
      <c r="S305" s="32">
        <v>1.0337309762764471E-3</v>
      </c>
      <c r="T305" s="32">
        <v>4.3910428150404426E-3</v>
      </c>
      <c r="U305" s="32">
        <v>9.5231652619500774E-4</v>
      </c>
    </row>
    <row r="306" spans="2:21" x14ac:dyDescent="0.2">
      <c r="B306" s="23" t="s">
        <v>1506</v>
      </c>
      <c r="C306" s="32" t="s">
        <v>1507</v>
      </c>
      <c r="D306" s="32" t="s">
        <v>209</v>
      </c>
      <c r="E306" s="32" t="s">
        <v>1399</v>
      </c>
      <c r="F306" s="32" t="s">
        <v>238</v>
      </c>
      <c r="G306" s="32" t="s">
        <v>167</v>
      </c>
      <c r="H306" s="94" t="s">
        <v>1410</v>
      </c>
      <c r="I306" s="94" t="s">
        <v>412</v>
      </c>
      <c r="J306" s="94" t="s">
        <v>1508</v>
      </c>
      <c r="K306" s="94">
        <v>7.7359999999999998</v>
      </c>
      <c r="L306" s="94" t="s">
        <v>127</v>
      </c>
      <c r="M306" s="32">
        <v>3.6499999999999998E-2</v>
      </c>
      <c r="N306" s="32">
        <v>3.3889999999999997E-2</v>
      </c>
      <c r="O306" s="103">
        <v>2549609.4869561535</v>
      </c>
      <c r="P306" s="94">
        <v>102.65949999999999</v>
      </c>
      <c r="Q306" s="124">
        <v>0</v>
      </c>
      <c r="R306" s="124">
        <v>9045.7909085000683</v>
      </c>
      <c r="S306" s="32">
        <v>5.0992189739123067E-3</v>
      </c>
      <c r="T306" s="32">
        <v>3.532132639023914E-3</v>
      </c>
      <c r="U306" s="32">
        <v>7.6603859869771686E-4</v>
      </c>
    </row>
    <row r="307" spans="2:21" x14ac:dyDescent="0.2">
      <c r="B307" s="23" t="s">
        <v>1509</v>
      </c>
      <c r="C307" s="32" t="s">
        <v>1510</v>
      </c>
      <c r="D307" s="32" t="s">
        <v>209</v>
      </c>
      <c r="E307" s="32" t="s">
        <v>1399</v>
      </c>
      <c r="F307" s="32" t="s">
        <v>238</v>
      </c>
      <c r="G307" s="32" t="s">
        <v>169</v>
      </c>
      <c r="H307" s="94" t="s">
        <v>1491</v>
      </c>
      <c r="I307" s="94" t="s">
        <v>412</v>
      </c>
      <c r="J307" s="94" t="s">
        <v>1511</v>
      </c>
      <c r="K307" s="94">
        <v>4.3659999999999997</v>
      </c>
      <c r="L307" s="94" t="s">
        <v>127</v>
      </c>
      <c r="M307" s="32">
        <v>3.7499999999999999E-2</v>
      </c>
      <c r="N307" s="32">
        <v>3.4970000000000001E-2</v>
      </c>
      <c r="O307" s="103">
        <v>3413396.860463528</v>
      </c>
      <c r="P307" s="94">
        <v>102.7375</v>
      </c>
      <c r="Q307" s="124">
        <v>0</v>
      </c>
      <c r="R307" s="124">
        <v>12119.634198666643</v>
      </c>
      <c r="S307" s="32">
        <v>4.5511958139513708E-3</v>
      </c>
      <c r="T307" s="32">
        <v>4.7323839296258005E-3</v>
      </c>
      <c r="U307" s="32">
        <v>1.0263455890353948E-3</v>
      </c>
    </row>
    <row r="308" spans="2:21" x14ac:dyDescent="0.2">
      <c r="B308" s="23" t="s">
        <v>1512</v>
      </c>
      <c r="C308" s="32" t="s">
        <v>1513</v>
      </c>
      <c r="D308" s="32" t="s">
        <v>209</v>
      </c>
      <c r="E308" s="32" t="s">
        <v>1399</v>
      </c>
      <c r="F308" s="32" t="s">
        <v>238</v>
      </c>
      <c r="G308" s="32" t="s">
        <v>1514</v>
      </c>
      <c r="H308" s="94" t="s">
        <v>1447</v>
      </c>
      <c r="I308" s="94" t="s">
        <v>358</v>
      </c>
      <c r="J308" s="94" t="s">
        <v>1515</v>
      </c>
      <c r="K308" s="94">
        <v>5.9189999999999996</v>
      </c>
      <c r="L308" s="94" t="s">
        <v>127</v>
      </c>
      <c r="M308" s="32">
        <v>4.6300000000000001E-2</v>
      </c>
      <c r="N308" s="32">
        <v>3.9449999999999999E-2</v>
      </c>
      <c r="O308" s="103">
        <v>3420699.6024560551</v>
      </c>
      <c r="P308" s="94">
        <v>105.6559</v>
      </c>
      <c r="Q308" s="124">
        <v>0</v>
      </c>
      <c r="R308" s="124">
        <v>12490.574806405084</v>
      </c>
      <c r="S308" s="32">
        <v>9.7734274355887286E-4</v>
      </c>
      <c r="T308" s="32">
        <v>4.877226038069977E-3</v>
      </c>
      <c r="U308" s="32">
        <v>1.0577585219924261E-3</v>
      </c>
    </row>
    <row r="309" spans="2:21" x14ac:dyDescent="0.2">
      <c r="B309" s="23" t="s">
        <v>1516</v>
      </c>
      <c r="C309" s="32" t="s">
        <v>1517</v>
      </c>
      <c r="D309" s="32" t="s">
        <v>209</v>
      </c>
      <c r="E309" s="32" t="s">
        <v>1399</v>
      </c>
      <c r="F309" s="32" t="s">
        <v>238</v>
      </c>
      <c r="G309" s="32" t="s">
        <v>176</v>
      </c>
      <c r="H309" s="94" t="s">
        <v>1488</v>
      </c>
      <c r="I309" s="94" t="s">
        <v>358</v>
      </c>
      <c r="J309" s="94" t="s">
        <v>1518</v>
      </c>
      <c r="K309" s="94">
        <v>0.98599999999999999</v>
      </c>
      <c r="L309" s="94" t="s">
        <v>2</v>
      </c>
      <c r="M309" s="32">
        <v>4.8799999999999996E-2</v>
      </c>
      <c r="N309" s="32">
        <v>4.0970000000000006E-2</v>
      </c>
      <c r="O309" s="103">
        <v>2499442.8245727075</v>
      </c>
      <c r="P309" s="94">
        <v>106.788</v>
      </c>
      <c r="Q309" s="124">
        <v>0</v>
      </c>
      <c r="R309" s="124">
        <v>12170.31808410192</v>
      </c>
      <c r="S309" s="32">
        <v>4.760843475376586E-3</v>
      </c>
      <c r="T309" s="32">
        <v>4.7521745933532004E-3</v>
      </c>
      <c r="U309" s="32">
        <v>1.0306377303161435E-3</v>
      </c>
    </row>
    <row r="310" spans="2:21" x14ac:dyDescent="0.2">
      <c r="B310" s="23" t="s">
        <v>1519</v>
      </c>
      <c r="C310" s="32" t="s">
        <v>1520</v>
      </c>
      <c r="D310" s="32" t="s">
        <v>209</v>
      </c>
      <c r="E310" s="32" t="s">
        <v>1399</v>
      </c>
      <c r="F310" s="32" t="s">
        <v>238</v>
      </c>
      <c r="G310" s="32" t="s">
        <v>172</v>
      </c>
      <c r="H310" s="94" t="s">
        <v>1491</v>
      </c>
      <c r="I310" s="94" t="s">
        <v>412</v>
      </c>
      <c r="J310" s="94" t="s">
        <v>1521</v>
      </c>
      <c r="K310" s="94">
        <v>5.2770000000000001</v>
      </c>
      <c r="L310" s="94" t="s">
        <v>128</v>
      </c>
      <c r="M310" s="32">
        <v>3.5000000000000003E-2</v>
      </c>
      <c r="N310" s="32">
        <v>2.8459999999999999E-2</v>
      </c>
      <c r="O310" s="103">
        <v>2222573.6498995111</v>
      </c>
      <c r="P310" s="94">
        <v>103.4915</v>
      </c>
      <c r="Q310" s="124">
        <v>0</v>
      </c>
      <c r="R310" s="124">
        <v>8920.5379435032155</v>
      </c>
      <c r="S310" s="32">
        <v>7.4085788329983707E-3</v>
      </c>
      <c r="T310" s="32">
        <v>3.4832247999775591E-3</v>
      </c>
      <c r="U310" s="32">
        <v>7.5543160957322109E-4</v>
      </c>
    </row>
    <row r="311" spans="2:21" x14ac:dyDescent="0.2">
      <c r="B311" s="23" t="s">
        <v>1522</v>
      </c>
      <c r="C311" s="32" t="s">
        <v>1523</v>
      </c>
      <c r="D311" s="32" t="s">
        <v>209</v>
      </c>
      <c r="E311" s="32" t="s">
        <v>1399</v>
      </c>
      <c r="F311" s="32" t="s">
        <v>238</v>
      </c>
      <c r="G311" s="32" t="s">
        <v>171</v>
      </c>
      <c r="H311" s="94" t="s">
        <v>555</v>
      </c>
      <c r="I311" s="94" t="s">
        <v>412</v>
      </c>
      <c r="J311" s="94" t="s">
        <v>1524</v>
      </c>
      <c r="K311" s="94">
        <v>4.8129999999999997</v>
      </c>
      <c r="L311" s="94" t="s">
        <v>127</v>
      </c>
      <c r="M311" s="32">
        <v>5.7500000000000002E-2</v>
      </c>
      <c r="N311" s="32">
        <v>3.6680000000000004E-2</v>
      </c>
      <c r="O311" s="103">
        <v>3200982.3216374177</v>
      </c>
      <c r="P311" s="94">
        <v>112.26720000000002</v>
      </c>
      <c r="Q311" s="124">
        <v>0</v>
      </c>
      <c r="R311" s="124">
        <v>12419.665545207195</v>
      </c>
      <c r="S311" s="32">
        <v>4.572831888053454E-3</v>
      </c>
      <c r="T311" s="32">
        <v>4.8495379211966599E-3</v>
      </c>
      <c r="U311" s="32">
        <v>1.0517536041657627E-3</v>
      </c>
    </row>
    <row r="312" spans="2:21" x14ac:dyDescent="0.2">
      <c r="B312" s="23" t="s">
        <v>1525</v>
      </c>
      <c r="C312" s="32" t="s">
        <v>1526</v>
      </c>
      <c r="D312" s="32" t="s">
        <v>209</v>
      </c>
      <c r="E312" s="32" t="s">
        <v>1399</v>
      </c>
      <c r="F312" s="32" t="s">
        <v>238</v>
      </c>
      <c r="G312" s="32" t="s">
        <v>154</v>
      </c>
      <c r="H312" s="94" t="s">
        <v>1403</v>
      </c>
      <c r="I312" s="94" t="s">
        <v>358</v>
      </c>
      <c r="J312" s="94" t="s">
        <v>1527</v>
      </c>
      <c r="K312" s="94">
        <v>4.5990000000000002</v>
      </c>
      <c r="L312" s="94" t="s">
        <v>127</v>
      </c>
      <c r="M312" s="32">
        <v>5.6299999999999996E-2</v>
      </c>
      <c r="N312" s="32">
        <v>4.6010000000000002E-2</v>
      </c>
      <c r="O312" s="103">
        <v>4169230.656690069</v>
      </c>
      <c r="P312" s="94">
        <v>105.2589</v>
      </c>
      <c r="Q312" s="124">
        <v>0</v>
      </c>
      <c r="R312" s="124">
        <v>15166.608748353006</v>
      </c>
      <c r="S312" s="32">
        <v>5.5589742089200917E-3</v>
      </c>
      <c r="T312" s="32">
        <v>5.9221437158164534E-3</v>
      </c>
      <c r="U312" s="32">
        <v>1.2843772125738144E-3</v>
      </c>
    </row>
    <row r="313" spans="2:21" x14ac:dyDescent="0.2">
      <c r="B313" s="23" t="s">
        <v>1528</v>
      </c>
      <c r="C313" s="32" t="s">
        <v>1529</v>
      </c>
      <c r="D313" s="32" t="s">
        <v>209</v>
      </c>
      <c r="E313" s="32" t="s">
        <v>1399</v>
      </c>
      <c r="F313" s="32" t="s">
        <v>238</v>
      </c>
      <c r="G313" s="32" t="s">
        <v>177</v>
      </c>
      <c r="H313" s="94" t="s">
        <v>1403</v>
      </c>
      <c r="I313" s="94" t="s">
        <v>358</v>
      </c>
      <c r="J313" s="94" t="s">
        <v>1530</v>
      </c>
      <c r="K313" s="94">
        <v>2.4929999999999999</v>
      </c>
      <c r="L313" s="94" t="s">
        <v>127</v>
      </c>
      <c r="M313" s="32">
        <v>4.7500000000000001E-2</v>
      </c>
      <c r="N313" s="32">
        <v>4.2199999999999994E-2</v>
      </c>
      <c r="O313" s="103">
        <v>3255752.8865813697</v>
      </c>
      <c r="P313" s="94">
        <v>104.04180000000001</v>
      </c>
      <c r="Q313" s="124">
        <v>0</v>
      </c>
      <c r="R313" s="124">
        <v>11706.660541595036</v>
      </c>
      <c r="S313" s="32">
        <v>3.617503207312633E-3</v>
      </c>
      <c r="T313" s="32">
        <v>4.5711290711004928E-3</v>
      </c>
      <c r="U313" s="32">
        <v>9.913731068321044E-4</v>
      </c>
    </row>
    <row r="314" spans="2:21" x14ac:dyDescent="0.2">
      <c r="B314" s="23" t="s">
        <v>1531</v>
      </c>
      <c r="C314" s="32" t="s">
        <v>1532</v>
      </c>
      <c r="D314" s="32" t="s">
        <v>209</v>
      </c>
      <c r="E314" s="32" t="s">
        <v>1399</v>
      </c>
      <c r="F314" s="32" t="s">
        <v>238</v>
      </c>
      <c r="G314" s="32" t="s">
        <v>154</v>
      </c>
      <c r="H314" s="94" t="s">
        <v>1447</v>
      </c>
      <c r="I314" s="94" t="s">
        <v>358</v>
      </c>
      <c r="J314" s="94" t="s">
        <v>1533</v>
      </c>
      <c r="K314" s="94">
        <v>5.9889999999999999</v>
      </c>
      <c r="L314" s="94" t="s">
        <v>127</v>
      </c>
      <c r="M314" s="32">
        <v>5.5E-2</v>
      </c>
      <c r="N314" s="32">
        <v>5.0250000000000003E-2</v>
      </c>
      <c r="O314" s="103">
        <v>4119381.5048280372</v>
      </c>
      <c r="P314" s="94">
        <v>105.5947</v>
      </c>
      <c r="Q314" s="124">
        <v>0</v>
      </c>
      <c r="R314" s="124">
        <v>15033.076559980755</v>
      </c>
      <c r="S314" s="32">
        <v>4.1193815048280371E-3</v>
      </c>
      <c r="T314" s="32">
        <v>5.8700030676762539E-3</v>
      </c>
      <c r="U314" s="32">
        <v>1.2730691012658691E-3</v>
      </c>
    </row>
    <row r="315" spans="2:21" x14ac:dyDescent="0.2">
      <c r="B315" s="23" t="s">
        <v>1534</v>
      </c>
      <c r="C315" s="32" t="s">
        <v>1535</v>
      </c>
      <c r="D315" s="32" t="s">
        <v>209</v>
      </c>
      <c r="E315" s="32" t="s">
        <v>1399</v>
      </c>
      <c r="F315" s="32" t="s">
        <v>238</v>
      </c>
      <c r="G315" s="32" t="s">
        <v>165</v>
      </c>
      <c r="H315" s="94" t="s">
        <v>1447</v>
      </c>
      <c r="I315" s="94" t="s">
        <v>358</v>
      </c>
      <c r="J315" s="94" t="s">
        <v>1536</v>
      </c>
      <c r="K315" s="94">
        <v>2.91</v>
      </c>
      <c r="L315" s="94" t="s">
        <v>127</v>
      </c>
      <c r="M315" s="32">
        <v>5.9500000000000004E-2</v>
      </c>
      <c r="N315" s="32">
        <v>4.8170000000000004E-2</v>
      </c>
      <c r="O315" s="103">
        <v>3332749.1880243174</v>
      </c>
      <c r="P315" s="94">
        <v>108.71660000000001</v>
      </c>
      <c r="Q315" s="124">
        <v>0</v>
      </c>
      <c r="R315" s="124">
        <v>12521.957541579008</v>
      </c>
      <c r="S315" s="32">
        <v>6.6654983760486347E-3</v>
      </c>
      <c r="T315" s="32">
        <v>4.8894801332984555E-3</v>
      </c>
      <c r="U315" s="32">
        <v>1.0604161543342641E-3</v>
      </c>
    </row>
    <row r="316" spans="2:21" x14ac:dyDescent="0.2">
      <c r="B316" s="23" t="s">
        <v>1537</v>
      </c>
      <c r="C316" s="32" t="s">
        <v>1538</v>
      </c>
      <c r="D316" s="32" t="s">
        <v>209</v>
      </c>
      <c r="E316" s="32" t="s">
        <v>1399</v>
      </c>
      <c r="F316" s="32" t="s">
        <v>238</v>
      </c>
      <c r="G316" s="32" t="s">
        <v>1539</v>
      </c>
      <c r="H316" s="94" t="s">
        <v>1410</v>
      </c>
      <c r="I316" s="94" t="s">
        <v>412</v>
      </c>
      <c r="J316" s="94" t="s">
        <v>1540</v>
      </c>
      <c r="K316" s="94">
        <v>6.1070000000000002</v>
      </c>
      <c r="L316" s="94" t="s">
        <v>127</v>
      </c>
      <c r="M316" s="32">
        <v>5.2499999999999998E-2</v>
      </c>
      <c r="N316" s="32">
        <v>5.0780000000000006E-2</v>
      </c>
      <c r="O316" s="103">
        <v>3408475.4473816077</v>
      </c>
      <c r="P316" s="94">
        <v>102.8169</v>
      </c>
      <c r="Q316" s="124">
        <v>0</v>
      </c>
      <c r="R316" s="124">
        <v>12111.513265399037</v>
      </c>
      <c r="S316" s="32">
        <v>3.4084754473816077E-3</v>
      </c>
      <c r="T316" s="32">
        <v>4.7292129284669197E-3</v>
      </c>
      <c r="U316" s="32">
        <v>1.0256578715761521E-3</v>
      </c>
    </row>
    <row r="317" spans="2:21" x14ac:dyDescent="0.2">
      <c r="B317" s="23" t="s">
        <v>1541</v>
      </c>
      <c r="C317" s="32" t="s">
        <v>1542</v>
      </c>
      <c r="D317" s="32" t="s">
        <v>209</v>
      </c>
      <c r="E317" s="32" t="s">
        <v>1399</v>
      </c>
      <c r="F317" s="32" t="s">
        <v>238</v>
      </c>
      <c r="G317" s="32" t="s">
        <v>177</v>
      </c>
      <c r="H317" s="94" t="s">
        <v>1469</v>
      </c>
      <c r="I317" s="94" t="s">
        <v>358</v>
      </c>
      <c r="J317" s="94" t="s">
        <v>1515</v>
      </c>
      <c r="K317" s="94">
        <v>3.6509999999999998</v>
      </c>
      <c r="L317" s="94" t="s">
        <v>127</v>
      </c>
      <c r="M317" s="32">
        <v>7.1300000000000002E-2</v>
      </c>
      <c r="N317" s="32">
        <v>6.2179999999999999E-2</v>
      </c>
      <c r="O317" s="103">
        <v>2404983.4444519784</v>
      </c>
      <c r="P317" s="94">
        <v>110.58429999999998</v>
      </c>
      <c r="Q317" s="124">
        <v>0</v>
      </c>
      <c r="R317" s="124">
        <v>9191.3498731186828</v>
      </c>
      <c r="S317" s="32">
        <v>4.37269717173087E-3</v>
      </c>
      <c r="T317" s="32">
        <v>3.5889694126164614E-3</v>
      </c>
      <c r="U317" s="32">
        <v>7.7836519196216626E-4</v>
      </c>
    </row>
    <row r="318" spans="2:21" x14ac:dyDescent="0.2">
      <c r="B318" s="23" t="s">
        <v>1543</v>
      </c>
      <c r="C318" s="32" t="s">
        <v>1544</v>
      </c>
      <c r="D318" s="32" t="s">
        <v>209</v>
      </c>
      <c r="E318" s="32" t="s">
        <v>1399</v>
      </c>
      <c r="F318" s="32" t="s">
        <v>238</v>
      </c>
      <c r="G318" s="32" t="s">
        <v>172</v>
      </c>
      <c r="H318" s="94" t="s">
        <v>1410</v>
      </c>
      <c r="I318" s="94" t="s">
        <v>412</v>
      </c>
      <c r="J318" s="94" t="s">
        <v>1545</v>
      </c>
      <c r="K318" s="94">
        <v>4.649</v>
      </c>
      <c r="L318" s="94" t="s">
        <v>128</v>
      </c>
      <c r="M318" s="32">
        <v>0</v>
      </c>
      <c r="N318" s="32">
        <v>3.1309999999999998E-2</v>
      </c>
      <c r="O318" s="103">
        <v>2268930.1860259869</v>
      </c>
      <c r="P318" s="94">
        <v>105.36539999999999</v>
      </c>
      <c r="Q318" s="124">
        <v>0</v>
      </c>
      <c r="R318" s="124">
        <v>9271.4861789876322</v>
      </c>
      <c r="S318" s="32">
        <v>4.5378603720519738E-3</v>
      </c>
      <c r="T318" s="32">
        <v>3.6202604367395743E-3</v>
      </c>
      <c r="U318" s="32">
        <v>7.8515149777816482E-4</v>
      </c>
    </row>
    <row r="319" spans="2:21" x14ac:dyDescent="0.2">
      <c r="B319" s="23" t="s">
        <v>1546</v>
      </c>
      <c r="C319" s="32" t="s">
        <v>1547</v>
      </c>
      <c r="D319" s="32" t="s">
        <v>209</v>
      </c>
      <c r="E319" s="32" t="s">
        <v>1399</v>
      </c>
      <c r="F319" s="32" t="s">
        <v>238</v>
      </c>
      <c r="G319" s="32" t="s">
        <v>171</v>
      </c>
      <c r="H319" s="94" t="s">
        <v>1476</v>
      </c>
      <c r="I319" s="94" t="s">
        <v>412</v>
      </c>
      <c r="J319" s="94" t="s">
        <v>1548</v>
      </c>
      <c r="K319" s="94">
        <v>7.875</v>
      </c>
      <c r="L319" s="94" t="s">
        <v>2</v>
      </c>
      <c r="M319" s="32">
        <v>4.3799999999999999E-2</v>
      </c>
      <c r="N319" s="32">
        <v>3.1820000000000001E-2</v>
      </c>
      <c r="O319" s="103">
        <v>2942687.5124669531</v>
      </c>
      <c r="P319" s="94">
        <v>111.2542</v>
      </c>
      <c r="Q319" s="124">
        <v>0</v>
      </c>
      <c r="R319" s="124">
        <v>14927.83517503692</v>
      </c>
      <c r="S319" s="32">
        <v>7.3567187811673825E-3</v>
      </c>
      <c r="T319" s="32">
        <v>5.8289092004294553E-3</v>
      </c>
      <c r="U319" s="32">
        <v>1.2641567834969908E-3</v>
      </c>
    </row>
    <row r="320" spans="2:21" x14ac:dyDescent="0.2">
      <c r="B320" s="23" t="s">
        <v>1549</v>
      </c>
      <c r="C320" s="32" t="s">
        <v>1550</v>
      </c>
      <c r="D320" s="32" t="s">
        <v>209</v>
      </c>
      <c r="E320" s="32" t="s">
        <v>1399</v>
      </c>
      <c r="F320" s="32" t="s">
        <v>238</v>
      </c>
      <c r="G320" s="32" t="s">
        <v>177</v>
      </c>
      <c r="H320" s="94" t="s">
        <v>1491</v>
      </c>
      <c r="I320" s="94" t="s">
        <v>412</v>
      </c>
      <c r="J320" s="94" t="s">
        <v>1551</v>
      </c>
      <c r="K320" s="94">
        <v>4.5579999999999998</v>
      </c>
      <c r="L320" s="94" t="s">
        <v>2</v>
      </c>
      <c r="M320" s="32">
        <v>5.2499999999999998E-2</v>
      </c>
      <c r="N320" s="32">
        <v>4.3179999999999996E-2</v>
      </c>
      <c r="O320" s="103">
        <v>3418635.7840668624</v>
      </c>
      <c r="P320" s="94">
        <v>108.0033</v>
      </c>
      <c r="Q320" s="124">
        <v>0</v>
      </c>
      <c r="R320" s="124">
        <v>16835.504272714275</v>
      </c>
      <c r="S320" s="32">
        <v>7.5969684090374722E-3</v>
      </c>
      <c r="T320" s="32">
        <v>6.5738015324014283E-3</v>
      </c>
      <c r="U320" s="32">
        <v>1.4257068543692363E-3</v>
      </c>
    </row>
    <row r="321" spans="2:21" x14ac:dyDescent="0.2">
      <c r="B321" s="23" t="s">
        <v>1552</v>
      </c>
      <c r="C321" s="32" t="s">
        <v>1553</v>
      </c>
      <c r="D321" s="32" t="s">
        <v>209</v>
      </c>
      <c r="E321" s="32" t="s">
        <v>1399</v>
      </c>
      <c r="F321" s="32" t="s">
        <v>238</v>
      </c>
      <c r="G321" s="32" t="s">
        <v>169</v>
      </c>
      <c r="H321" s="94" t="s">
        <v>1469</v>
      </c>
      <c r="I321" s="94" t="s">
        <v>358</v>
      </c>
      <c r="J321" s="94" t="s">
        <v>1554</v>
      </c>
      <c r="K321" s="94">
        <v>3.24</v>
      </c>
      <c r="L321" s="94" t="s">
        <v>127</v>
      </c>
      <c r="M321" s="32">
        <v>7.3800000000000004E-2</v>
      </c>
      <c r="N321" s="32">
        <v>5.747E-2</v>
      </c>
      <c r="O321" s="103">
        <v>4147322.430712488</v>
      </c>
      <c r="P321" s="94">
        <v>111.14329999999998</v>
      </c>
      <c r="Q321" s="124">
        <v>0</v>
      </c>
      <c r="R321" s="124">
        <v>15930.331814232968</v>
      </c>
      <c r="S321" s="32">
        <v>3.3178579445699904E-3</v>
      </c>
      <c r="T321" s="32">
        <v>6.2203565747534417E-3</v>
      </c>
      <c r="U321" s="32">
        <v>1.349052745437399E-3</v>
      </c>
    </row>
    <row r="322" spans="2:21" x14ac:dyDescent="0.2">
      <c r="B322" s="23" t="s">
        <v>1555</v>
      </c>
      <c r="C322" s="32" t="s">
        <v>1556</v>
      </c>
      <c r="D322" s="32" t="s">
        <v>209</v>
      </c>
      <c r="E322" s="32" t="s">
        <v>1399</v>
      </c>
      <c r="F322" s="32" t="s">
        <v>238</v>
      </c>
      <c r="G322" s="32" t="s">
        <v>169</v>
      </c>
      <c r="H322" s="94" t="s">
        <v>1447</v>
      </c>
      <c r="I322" s="94" t="s">
        <v>358</v>
      </c>
      <c r="J322" s="94" t="s">
        <v>1557</v>
      </c>
      <c r="K322" s="94">
        <v>4.6020000000000003</v>
      </c>
      <c r="L322" s="94" t="s">
        <v>127</v>
      </c>
      <c r="M322" s="32">
        <v>5.1299999999999998E-2</v>
      </c>
      <c r="N322" s="32">
        <v>5.1299999999999998E-2</v>
      </c>
      <c r="O322" s="103">
        <v>3429113.6312735318</v>
      </c>
      <c r="P322" s="94">
        <v>100.8747</v>
      </c>
      <c r="Q322" s="124">
        <v>0</v>
      </c>
      <c r="R322" s="124">
        <v>11954.677552650401</v>
      </c>
      <c r="S322" s="32">
        <v>3.8101262569705911E-3</v>
      </c>
      <c r="T322" s="32">
        <v>4.6679728947797063E-3</v>
      </c>
      <c r="U322" s="32">
        <v>1.012376312137626E-3</v>
      </c>
    </row>
    <row r="323" spans="2:21" x14ac:dyDescent="0.2">
      <c r="B323" s="23" t="s">
        <v>1558</v>
      </c>
      <c r="C323" s="32" t="s">
        <v>1559</v>
      </c>
      <c r="D323" s="32" t="s">
        <v>209</v>
      </c>
      <c r="E323" s="32" t="s">
        <v>1399</v>
      </c>
      <c r="F323" s="32" t="s">
        <v>238</v>
      </c>
      <c r="G323" s="32" t="s">
        <v>1560</v>
      </c>
      <c r="H323" s="94" t="s">
        <v>1410</v>
      </c>
      <c r="I323" s="94" t="s">
        <v>412</v>
      </c>
      <c r="J323" s="94" t="s">
        <v>1561</v>
      </c>
      <c r="K323" s="94">
        <v>6.2039999999999997</v>
      </c>
      <c r="L323" s="94" t="s">
        <v>128</v>
      </c>
      <c r="M323" s="32">
        <v>3.9399999999999998E-2</v>
      </c>
      <c r="N323" s="32">
        <v>3.4970000000000001E-2</v>
      </c>
      <c r="O323" s="103">
        <v>3429113.6312735318</v>
      </c>
      <c r="P323" s="94">
        <v>99.957400000000007</v>
      </c>
      <c r="Q323" s="124">
        <v>0</v>
      </c>
      <c r="R323" s="124">
        <v>13293.123200135758</v>
      </c>
      <c r="S323" s="32">
        <v>2.7432909050188253E-3</v>
      </c>
      <c r="T323" s="32">
        <v>5.1905991200443388E-3</v>
      </c>
      <c r="U323" s="32">
        <v>1.1257219596994435E-3</v>
      </c>
    </row>
    <row r="324" spans="2:21" x14ac:dyDescent="0.2">
      <c r="B324" s="23" t="s">
        <v>1562</v>
      </c>
      <c r="C324" s="32" t="s">
        <v>1563</v>
      </c>
      <c r="D324" s="32" t="s">
        <v>209</v>
      </c>
      <c r="E324" s="32" t="s">
        <v>1399</v>
      </c>
      <c r="F324" s="32" t="s">
        <v>238</v>
      </c>
      <c r="G324" s="32" t="s">
        <v>169</v>
      </c>
      <c r="H324" s="94" t="s">
        <v>1469</v>
      </c>
      <c r="I324" s="94" t="s">
        <v>358</v>
      </c>
      <c r="J324" s="94" t="s">
        <v>1564</v>
      </c>
      <c r="K324" s="94">
        <v>3.742</v>
      </c>
      <c r="L324" s="94" t="s">
        <v>128</v>
      </c>
      <c r="M324" s="32">
        <v>0.06</v>
      </c>
      <c r="N324" s="32">
        <v>5.3089999999999998E-2</v>
      </c>
      <c r="O324" s="103">
        <v>3429113.6312735318</v>
      </c>
      <c r="P324" s="94">
        <v>111.3954</v>
      </c>
      <c r="Q324" s="124">
        <v>0</v>
      </c>
      <c r="R324" s="124">
        <v>14814.238627726279</v>
      </c>
      <c r="S324" s="32">
        <v>3.4291136312735318E-3</v>
      </c>
      <c r="T324" s="32">
        <v>5.7845528720005829E-3</v>
      </c>
      <c r="U324" s="32">
        <v>1.2545369126864714E-3</v>
      </c>
    </row>
    <row r="325" spans="2:21" x14ac:dyDescent="0.2">
      <c r="B325" s="23" t="s">
        <v>1565</v>
      </c>
      <c r="C325" s="32" t="s">
        <v>1566</v>
      </c>
      <c r="D325" s="32" t="s">
        <v>209</v>
      </c>
      <c r="E325" s="32" t="s">
        <v>1399</v>
      </c>
      <c r="F325" s="32" t="s">
        <v>238</v>
      </c>
      <c r="G325" s="32" t="s">
        <v>169</v>
      </c>
      <c r="H325" s="94" t="s">
        <v>599</v>
      </c>
      <c r="I325" s="94" t="s">
        <v>238</v>
      </c>
      <c r="J325" s="94" t="s">
        <v>974</v>
      </c>
      <c r="K325" s="94">
        <v>4.74</v>
      </c>
      <c r="L325" s="94" t="s">
        <v>128</v>
      </c>
      <c r="M325" s="32">
        <v>0.04</v>
      </c>
      <c r="N325" s="32">
        <v>4.0500000000000001E-2</v>
      </c>
      <c r="O325" s="103">
        <v>3492615.7355563748</v>
      </c>
      <c r="P325" s="94">
        <v>100.62990000000001</v>
      </c>
      <c r="Q325" s="124">
        <v>0</v>
      </c>
      <c r="R325" s="124">
        <v>13630.382691825835</v>
      </c>
      <c r="S325" s="32">
        <v>4.6568209807418331E-3</v>
      </c>
      <c r="T325" s="32">
        <v>5.3222896787217186E-3</v>
      </c>
      <c r="U325" s="32">
        <v>1.1542826229985479E-3</v>
      </c>
    </row>
    <row r="326" spans="2:21" x14ac:dyDescent="0.2">
      <c r="B326" s="23" t="s">
        <v>1567</v>
      </c>
      <c r="C326" s="32" t="s">
        <v>1568</v>
      </c>
      <c r="D326" s="32" t="s">
        <v>209</v>
      </c>
      <c r="E326" s="32" t="s">
        <v>1399</v>
      </c>
      <c r="F326" s="32" t="s">
        <v>238</v>
      </c>
      <c r="G326" s="32" t="s">
        <v>169</v>
      </c>
      <c r="H326" s="94" t="s">
        <v>1569</v>
      </c>
      <c r="I326" s="94" t="s">
        <v>412</v>
      </c>
      <c r="J326" s="94" t="s">
        <v>1570</v>
      </c>
      <c r="K326" s="94">
        <v>4.0449999999999999</v>
      </c>
      <c r="L326" s="94" t="s">
        <v>2</v>
      </c>
      <c r="M326" s="32">
        <v>5.8799999999999998E-2</v>
      </c>
      <c r="N326" s="32">
        <v>5.5620000000000003E-2</v>
      </c>
      <c r="O326" s="103">
        <v>3142242.8751757876</v>
      </c>
      <c r="P326" s="94">
        <v>104.66670000000001</v>
      </c>
      <c r="Q326" s="124">
        <v>0</v>
      </c>
      <c r="R326" s="124">
        <v>14996.314906051946</v>
      </c>
      <c r="S326" s="32">
        <v>2.51379430014063E-3</v>
      </c>
      <c r="T326" s="32">
        <v>5.8556486525654173E-3</v>
      </c>
      <c r="U326" s="32">
        <v>1.2699559576893386E-3</v>
      </c>
    </row>
    <row r="327" spans="2:21" s="160" customFormat="1" x14ac:dyDescent="0.2">
      <c r="B327" s="114" t="s">
        <v>227</v>
      </c>
      <c r="C327" s="170"/>
      <c r="D327" s="170"/>
      <c r="E327" s="170"/>
      <c r="F327" s="170"/>
      <c r="G327" s="170"/>
      <c r="H327" s="171"/>
      <c r="I327" s="171"/>
      <c r="J327" s="171"/>
      <c r="K327" s="172"/>
      <c r="L327" s="173"/>
      <c r="M327" s="174"/>
      <c r="N327" s="174"/>
      <c r="O327" s="174"/>
      <c r="P327" s="173"/>
      <c r="Q327" s="173"/>
      <c r="R327" s="173"/>
      <c r="S327" s="179"/>
      <c r="T327" s="179"/>
      <c r="U327" s="179"/>
    </row>
    <row r="328" spans="2:21" s="160" customFormat="1" x14ac:dyDescent="0.2">
      <c r="B328" s="114" t="s">
        <v>228</v>
      </c>
      <c r="C328" s="170"/>
      <c r="D328" s="170"/>
      <c r="E328" s="170"/>
      <c r="F328" s="170"/>
      <c r="G328" s="170"/>
      <c r="H328" s="171"/>
      <c r="I328" s="171"/>
      <c r="J328" s="171"/>
      <c r="K328" s="172"/>
      <c r="L328" s="173"/>
      <c r="M328" s="174"/>
      <c r="N328" s="174"/>
      <c r="O328" s="174"/>
      <c r="P328" s="173"/>
      <c r="Q328" s="173"/>
      <c r="R328" s="173"/>
      <c r="S328" s="179"/>
      <c r="T328" s="179"/>
      <c r="U328" s="179"/>
    </row>
    <row r="329" spans="2:21" s="160" customFormat="1" x14ac:dyDescent="0.2">
      <c r="B329" s="114" t="s">
        <v>229</v>
      </c>
      <c r="C329" s="170"/>
      <c r="D329" s="170"/>
      <c r="E329" s="170"/>
      <c r="F329" s="170"/>
      <c r="G329" s="170"/>
      <c r="H329" s="171"/>
      <c r="I329" s="171"/>
      <c r="J329" s="171"/>
      <c r="K329" s="172"/>
      <c r="L329" s="173"/>
      <c r="M329" s="174"/>
      <c r="N329" s="174"/>
      <c r="O329" s="174"/>
      <c r="P329" s="173"/>
      <c r="Q329" s="173"/>
      <c r="R329" s="173"/>
      <c r="S329" s="179"/>
      <c r="T329" s="179"/>
      <c r="U329" s="179"/>
    </row>
    <row r="330" spans="2:21" s="160" customFormat="1" x14ac:dyDescent="0.2">
      <c r="B330" s="114" t="s">
        <v>230</v>
      </c>
      <c r="C330" s="170"/>
      <c r="D330" s="170"/>
      <c r="E330" s="170"/>
      <c r="F330" s="170"/>
      <c r="G330" s="170"/>
      <c r="H330" s="171"/>
      <c r="I330" s="171"/>
      <c r="J330" s="171"/>
      <c r="K330" s="172"/>
      <c r="L330" s="173"/>
      <c r="M330" s="174"/>
      <c r="N330" s="174"/>
      <c r="O330" s="174"/>
      <c r="P330" s="173"/>
      <c r="Q330" s="173"/>
      <c r="R330" s="173"/>
      <c r="S330" s="179"/>
      <c r="T330" s="179"/>
      <c r="U330" s="179"/>
    </row>
    <row r="331" spans="2:21" s="160" customFormat="1" x14ac:dyDescent="0.2">
      <c r="B331" s="114" t="s">
        <v>231</v>
      </c>
      <c r="C331" s="170"/>
      <c r="D331" s="170"/>
      <c r="E331" s="170"/>
      <c r="F331" s="170"/>
      <c r="G331" s="170"/>
      <c r="H331" s="171"/>
      <c r="I331" s="171"/>
      <c r="J331" s="171"/>
      <c r="K331" s="172"/>
      <c r="L331" s="173"/>
      <c r="M331" s="174"/>
      <c r="N331" s="174"/>
      <c r="O331" s="174"/>
      <c r="P331" s="173"/>
      <c r="Q331" s="173"/>
      <c r="R331" s="173"/>
      <c r="S331" s="179"/>
      <c r="T331" s="179"/>
      <c r="U331" s="179"/>
    </row>
  </sheetData>
  <sortState ref="B274:AA277">
    <sortCondition ref="B274:B277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26 T12:U326 C12:J326">
    <cfRule type="expression" dxfId="125" priority="101" stopIfTrue="1">
      <formula>OR(LEFT(#REF!,3)="TIR",LEFT(#REF!,2)="IR")</formula>
    </cfRule>
  </conditionalFormatting>
  <conditionalFormatting sqref="B12:B326 Q12:R326">
    <cfRule type="expression" dxfId="124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69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1.7109375" style="12" bestFit="1" customWidth="1"/>
    <col min="8" max="8" width="12.85546875" style="93" bestFit="1" customWidth="1"/>
    <col min="9" max="9" width="12.42578125" style="93" bestFit="1" customWidth="1"/>
    <col min="10" max="10" width="11.42578125" style="93" bestFit="1" customWidth="1"/>
    <col min="11" max="11" width="16.5703125" style="93" bestFit="1" customWidth="1"/>
    <col min="12" max="12" width="13.85546875" style="45" bestFit="1" customWidth="1"/>
    <col min="13" max="13" width="22.85546875" style="95" bestFit="1" customWidth="1"/>
    <col min="14" max="14" width="26.42578125" style="95" bestFit="1" customWidth="1"/>
    <col min="15" max="15" width="20.5703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34" t="s">
        <v>11</v>
      </c>
      <c r="C6" s="235"/>
      <c r="D6" s="235"/>
      <c r="E6" s="235"/>
      <c r="F6" s="235"/>
      <c r="G6" s="235"/>
      <c r="H6" s="235"/>
      <c r="I6" s="235"/>
      <c r="J6" s="235"/>
      <c r="K6" s="235"/>
      <c r="L6" s="235"/>
      <c r="M6" s="235"/>
      <c r="N6" s="236"/>
      <c r="O6" s="237"/>
      <c r="P6" s="17"/>
      <c r="Q6" s="17"/>
      <c r="R6" s="16"/>
      <c r="S6" s="16"/>
      <c r="T6" s="18"/>
    </row>
    <row r="7" spans="1:20" s="10" customFormat="1" x14ac:dyDescent="0.2">
      <c r="B7" s="231" t="s">
        <v>21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3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77</v>
      </c>
      <c r="F8" s="4" t="s">
        <v>74</v>
      </c>
      <c r="G8" s="4" t="s">
        <v>19</v>
      </c>
      <c r="H8" s="4" t="s">
        <v>6</v>
      </c>
      <c r="I8" s="5" t="s">
        <v>67</v>
      </c>
      <c r="J8" s="5" t="s">
        <v>68</v>
      </c>
      <c r="K8" s="5" t="s">
        <v>137</v>
      </c>
      <c r="L8" s="5" t="s">
        <v>7</v>
      </c>
      <c r="M8" s="5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136</v>
      </c>
      <c r="J9" s="82"/>
      <c r="K9" s="2" t="s">
        <v>138</v>
      </c>
      <c r="L9" s="2" t="s">
        <v>138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60" customFormat="1" ht="12.75" customHeight="1" thickBot="1" x14ac:dyDescent="0.25">
      <c r="B11" s="192" t="s">
        <v>59</v>
      </c>
      <c r="C11" s="104" t="s">
        <v>238</v>
      </c>
      <c r="D11" s="104" t="s">
        <v>238</v>
      </c>
      <c r="E11" s="104" t="s">
        <v>238</v>
      </c>
      <c r="F11" s="104" t="s">
        <v>238</v>
      </c>
      <c r="G11" s="104" t="s">
        <v>238</v>
      </c>
      <c r="H11" s="193" t="s">
        <v>238</v>
      </c>
      <c r="I11" s="194" t="s">
        <v>238</v>
      </c>
      <c r="J11" s="193" t="s">
        <v>238</v>
      </c>
      <c r="K11" s="193" t="s">
        <v>238</v>
      </c>
      <c r="L11" s="149">
        <v>1153192.466710516</v>
      </c>
      <c r="M11" s="104" t="s">
        <v>238</v>
      </c>
      <c r="N11" s="104">
        <v>1</v>
      </c>
      <c r="O11" s="121">
        <v>9.7657568051632851E-2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3" t="s">
        <v>238</v>
      </c>
      <c r="H12" s="164" t="s">
        <v>238</v>
      </c>
      <c r="I12" s="176" t="s">
        <v>238</v>
      </c>
      <c r="J12" s="164" t="s">
        <v>238</v>
      </c>
      <c r="K12" s="164" t="s">
        <v>238</v>
      </c>
      <c r="L12" s="177">
        <v>726568.92472255568</v>
      </c>
      <c r="M12" s="163" t="s">
        <v>238</v>
      </c>
      <c r="N12" s="163">
        <v>0.63005000960082147</v>
      </c>
      <c r="O12" s="163">
        <v>6.1529151688524165E-2</v>
      </c>
    </row>
    <row r="13" spans="1:20" s="160" customFormat="1" x14ac:dyDescent="0.2">
      <c r="B13" s="132" t="s">
        <v>1571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7" t="s">
        <v>238</v>
      </c>
      <c r="H13" s="168" t="s">
        <v>238</v>
      </c>
      <c r="I13" s="178" t="s">
        <v>238</v>
      </c>
      <c r="J13" s="164" t="s">
        <v>238</v>
      </c>
      <c r="K13" s="164" t="s">
        <v>238</v>
      </c>
      <c r="L13" s="195">
        <v>473235.47028028703</v>
      </c>
      <c r="M13" s="167" t="s">
        <v>238</v>
      </c>
      <c r="N13" s="163">
        <v>0.41036989396071261</v>
      </c>
      <c r="O13" s="163">
        <v>4.0075725845809651E-2</v>
      </c>
    </row>
    <row r="14" spans="1:20" x14ac:dyDescent="0.2">
      <c r="B14" s="23" t="s">
        <v>1581</v>
      </c>
      <c r="C14" s="32" t="s">
        <v>1582</v>
      </c>
      <c r="D14" s="32" t="s">
        <v>423</v>
      </c>
      <c r="E14" s="32" t="s">
        <v>238</v>
      </c>
      <c r="F14" s="32" t="s">
        <v>1583</v>
      </c>
      <c r="G14" s="32" t="s">
        <v>1584</v>
      </c>
      <c r="H14" s="94" t="s">
        <v>244</v>
      </c>
      <c r="I14" s="103">
        <v>49385.307495348396</v>
      </c>
      <c r="J14" s="100">
        <v>3421</v>
      </c>
      <c r="K14" s="94">
        <v>0</v>
      </c>
      <c r="L14" s="98">
        <v>1689.4713691394511</v>
      </c>
      <c r="M14" s="32">
        <v>4.52209375401947E-5</v>
      </c>
      <c r="N14" s="41">
        <v>1.4650385065024503E-3</v>
      </c>
      <c r="O14" s="41">
        <v>1.4307209764702561E-4</v>
      </c>
      <c r="P14" s="18"/>
      <c r="Q14" s="18"/>
      <c r="R14" s="18"/>
      <c r="S14" s="18"/>
    </row>
    <row r="15" spans="1:20" x14ac:dyDescent="0.2">
      <c r="B15" s="23" t="s">
        <v>1612</v>
      </c>
      <c r="C15" s="32" t="s">
        <v>1613</v>
      </c>
      <c r="D15" s="32" t="s">
        <v>423</v>
      </c>
      <c r="E15" s="32" t="s">
        <v>238</v>
      </c>
      <c r="F15" s="32" t="s">
        <v>1614</v>
      </c>
      <c r="G15" s="32" t="s">
        <v>189</v>
      </c>
      <c r="H15" s="94" t="s">
        <v>244</v>
      </c>
      <c r="I15" s="103">
        <v>26782.341298398744</v>
      </c>
      <c r="J15" s="100">
        <v>26039.999999999996</v>
      </c>
      <c r="K15" s="100">
        <v>0</v>
      </c>
      <c r="L15" s="98">
        <v>6974.1216741030339</v>
      </c>
      <c r="M15" s="32">
        <v>5.2520716755294805E-4</v>
      </c>
      <c r="N15" s="41">
        <v>6.0476649609034743E-3</v>
      </c>
      <c r="O15" s="41">
        <v>5.9060025247290656E-4</v>
      </c>
      <c r="P15" s="18"/>
      <c r="Q15" s="18"/>
      <c r="R15" s="18"/>
      <c r="S15" s="18"/>
    </row>
    <row r="16" spans="1:20" x14ac:dyDescent="0.2">
      <c r="B16" s="23" t="s">
        <v>1621</v>
      </c>
      <c r="C16" s="32" t="s">
        <v>1622</v>
      </c>
      <c r="D16" s="32" t="s">
        <v>423</v>
      </c>
      <c r="E16" s="32" t="s">
        <v>238</v>
      </c>
      <c r="F16" s="32" t="s">
        <v>729</v>
      </c>
      <c r="G16" s="32" t="s">
        <v>581</v>
      </c>
      <c r="H16" s="94" t="s">
        <v>244</v>
      </c>
      <c r="I16" s="103">
        <v>280264.26262329216</v>
      </c>
      <c r="J16" s="100">
        <v>6482.0000000000009</v>
      </c>
      <c r="K16" s="100">
        <v>0</v>
      </c>
      <c r="L16" s="98">
        <v>18166.729503125414</v>
      </c>
      <c r="M16" s="32">
        <v>2.1314591437627947E-3</v>
      </c>
      <c r="N16" s="41">
        <v>1.5753423671718954E-2</v>
      </c>
      <c r="O16" s="41">
        <v>1.5384410442670976E-3</v>
      </c>
      <c r="P16" s="18"/>
      <c r="Q16" s="18"/>
      <c r="R16" s="18"/>
      <c r="S16" s="18"/>
    </row>
    <row r="17" spans="2:19" x14ac:dyDescent="0.2">
      <c r="B17" s="23" t="s">
        <v>1635</v>
      </c>
      <c r="C17" s="32" t="s">
        <v>1636</v>
      </c>
      <c r="D17" s="32" t="s">
        <v>423</v>
      </c>
      <c r="E17" s="32" t="s">
        <v>238</v>
      </c>
      <c r="F17" s="32" t="s">
        <v>1637</v>
      </c>
      <c r="G17" s="32" t="s">
        <v>199</v>
      </c>
      <c r="H17" s="94" t="s">
        <v>244</v>
      </c>
      <c r="I17" s="103">
        <v>2540.5367772618129</v>
      </c>
      <c r="J17" s="100">
        <v>44270</v>
      </c>
      <c r="K17" s="100">
        <v>4.609549758</v>
      </c>
      <c r="L17" s="98">
        <v>1129.3051809786391</v>
      </c>
      <c r="M17" s="32">
        <v>2.3793161694841772E-5</v>
      </c>
      <c r="N17" s="41">
        <v>9.792859505924319E-4</v>
      </c>
      <c r="O17" s="41">
        <v>9.5634684361988397E-5</v>
      </c>
      <c r="P17" s="18"/>
      <c r="Q17" s="18"/>
      <c r="R17" s="18"/>
      <c r="S17" s="18"/>
    </row>
    <row r="18" spans="2:19" x14ac:dyDescent="0.2">
      <c r="B18" s="23" t="s">
        <v>1589</v>
      </c>
      <c r="C18" s="32" t="s">
        <v>1590</v>
      </c>
      <c r="D18" s="32" t="s">
        <v>423</v>
      </c>
      <c r="E18" s="32" t="s">
        <v>238</v>
      </c>
      <c r="F18" s="32" t="s">
        <v>1105</v>
      </c>
      <c r="G18" s="32" t="s">
        <v>186</v>
      </c>
      <c r="H18" s="94" t="s">
        <v>244</v>
      </c>
      <c r="I18" s="103">
        <v>57126.73897227276</v>
      </c>
      <c r="J18" s="100">
        <v>53760</v>
      </c>
      <c r="K18" s="100">
        <v>94.362923440000003</v>
      </c>
      <c r="L18" s="98">
        <v>30805.697794643136</v>
      </c>
      <c r="M18" s="32">
        <v>1.2935692616873966E-3</v>
      </c>
      <c r="N18" s="41">
        <v>2.6713405336852795E-2</v>
      </c>
      <c r="O18" s="41">
        <v>2.6087661995745541E-3</v>
      </c>
      <c r="P18" s="18"/>
      <c r="Q18" s="18"/>
      <c r="R18" s="18"/>
      <c r="S18" s="18"/>
    </row>
    <row r="19" spans="2:19" x14ac:dyDescent="0.2">
      <c r="B19" s="23" t="s">
        <v>1646</v>
      </c>
      <c r="C19" s="32" t="s">
        <v>1647</v>
      </c>
      <c r="D19" s="32" t="s">
        <v>423</v>
      </c>
      <c r="E19" s="32" t="s">
        <v>238</v>
      </c>
      <c r="F19" s="32" t="s">
        <v>1105</v>
      </c>
      <c r="G19" s="32" t="s">
        <v>186</v>
      </c>
      <c r="H19" s="94" t="s">
        <v>244</v>
      </c>
      <c r="I19" s="103">
        <v>5370.8274187783663</v>
      </c>
      <c r="J19" s="100">
        <v>51219.39</v>
      </c>
      <c r="K19" s="100">
        <v>0</v>
      </c>
      <c r="L19" s="98">
        <v>2750.9050415200513</v>
      </c>
      <c r="M19" s="32">
        <v>1.2161620606650835E-4</v>
      </c>
      <c r="N19" s="41">
        <v>2.3854691397412731E-3</v>
      </c>
      <c r="O19" s="41">
        <v>2.3295911484935347E-4</v>
      </c>
      <c r="P19" s="18"/>
      <c r="Q19" s="18"/>
      <c r="R19" s="18"/>
      <c r="S19" s="18"/>
    </row>
    <row r="20" spans="2:19" x14ac:dyDescent="0.2">
      <c r="B20" s="23" t="s">
        <v>1625</v>
      </c>
      <c r="C20" s="32" t="s">
        <v>1626</v>
      </c>
      <c r="D20" s="32" t="s">
        <v>423</v>
      </c>
      <c r="E20" s="32" t="s">
        <v>238</v>
      </c>
      <c r="F20" s="32" t="s">
        <v>1177</v>
      </c>
      <c r="G20" s="32" t="s">
        <v>581</v>
      </c>
      <c r="H20" s="94" t="s">
        <v>244</v>
      </c>
      <c r="I20" s="103">
        <v>285520.71286586241</v>
      </c>
      <c r="J20" s="100">
        <v>5460</v>
      </c>
      <c r="K20" s="100">
        <v>0</v>
      </c>
      <c r="L20" s="98">
        <v>15589.430922476089</v>
      </c>
      <c r="M20" s="32">
        <v>1.6528644906949606E-3</v>
      </c>
      <c r="N20" s="41">
        <v>1.35184987523765E-2</v>
      </c>
      <c r="O20" s="41">
        <v>1.320183711866122E-3</v>
      </c>
      <c r="P20" s="18"/>
      <c r="Q20" s="18"/>
      <c r="R20" s="18"/>
      <c r="S20" s="18"/>
    </row>
    <row r="21" spans="2:19" x14ac:dyDescent="0.2">
      <c r="B21" s="23" t="s">
        <v>1652</v>
      </c>
      <c r="C21" s="32" t="s">
        <v>1653</v>
      </c>
      <c r="D21" s="32" t="s">
        <v>423</v>
      </c>
      <c r="E21" s="32" t="s">
        <v>238</v>
      </c>
      <c r="F21" s="32" t="s">
        <v>712</v>
      </c>
      <c r="G21" s="32" t="s">
        <v>598</v>
      </c>
      <c r="H21" s="94" t="s">
        <v>244</v>
      </c>
      <c r="I21" s="103">
        <v>8525.8358222818861</v>
      </c>
      <c r="J21" s="100">
        <v>153300</v>
      </c>
      <c r="K21" s="100">
        <v>0</v>
      </c>
      <c r="L21" s="98">
        <v>13070.106315558131</v>
      </c>
      <c r="M21" s="32">
        <v>2.3379265056160639E-3</v>
      </c>
      <c r="N21" s="41">
        <v>1.133384642447469E-2</v>
      </c>
      <c r="O21" s="41">
        <v>1.1068358784848927E-3</v>
      </c>
      <c r="P21" s="18"/>
      <c r="Q21" s="18"/>
      <c r="R21" s="18"/>
      <c r="S21" s="18"/>
    </row>
    <row r="22" spans="2:19" x14ac:dyDescent="0.2">
      <c r="B22" s="23" t="s">
        <v>1627</v>
      </c>
      <c r="C22" s="32" t="s">
        <v>1628</v>
      </c>
      <c r="D22" s="32" t="s">
        <v>423</v>
      </c>
      <c r="E22" s="32" t="s">
        <v>238</v>
      </c>
      <c r="F22" s="32" t="s">
        <v>626</v>
      </c>
      <c r="G22" s="32" t="s">
        <v>581</v>
      </c>
      <c r="H22" s="94" t="s">
        <v>244</v>
      </c>
      <c r="I22" s="103">
        <v>287792.75519041036</v>
      </c>
      <c r="J22" s="100">
        <v>2507</v>
      </c>
      <c r="K22" s="100">
        <v>0</v>
      </c>
      <c r="L22" s="98">
        <v>7214.9643726235872</v>
      </c>
      <c r="M22" s="32">
        <v>7.6037738863004103E-4</v>
      </c>
      <c r="N22" s="41">
        <v>6.2565136184112346E-3</v>
      </c>
      <c r="O22" s="41">
        <v>6.1099590445596284E-4</v>
      </c>
      <c r="P22" s="18"/>
      <c r="Q22" s="18"/>
      <c r="R22" s="18"/>
      <c r="S22" s="18"/>
    </row>
    <row r="23" spans="2:19" x14ac:dyDescent="0.2">
      <c r="B23" s="23" t="s">
        <v>1648</v>
      </c>
      <c r="C23" s="32" t="s">
        <v>1649</v>
      </c>
      <c r="D23" s="32" t="s">
        <v>423</v>
      </c>
      <c r="E23" s="32" t="s">
        <v>238</v>
      </c>
      <c r="F23" s="32" t="s">
        <v>626</v>
      </c>
      <c r="G23" s="32" t="s">
        <v>581</v>
      </c>
      <c r="H23" s="94" t="s">
        <v>244</v>
      </c>
      <c r="I23" s="103">
        <v>257903.40901572368</v>
      </c>
      <c r="J23" s="100">
        <v>2481.88</v>
      </c>
      <c r="K23" s="100">
        <v>0</v>
      </c>
      <c r="L23" s="98">
        <v>6400.8531275194118</v>
      </c>
      <c r="M23" s="32">
        <v>6.8143568048700635E-4</v>
      </c>
      <c r="N23" s="41">
        <v>5.5505505908982041E-3</v>
      </c>
      <c r="O23" s="41">
        <v>5.4205327205467232E-4</v>
      </c>
      <c r="P23" s="18"/>
      <c r="Q23" s="18"/>
      <c r="R23" s="18"/>
      <c r="S23" s="18"/>
    </row>
    <row r="24" spans="2:19" x14ac:dyDescent="0.2">
      <c r="B24" s="23" t="s">
        <v>1638</v>
      </c>
      <c r="C24" s="32" t="s">
        <v>1639</v>
      </c>
      <c r="D24" s="32" t="s">
        <v>423</v>
      </c>
      <c r="E24" s="32" t="s">
        <v>238</v>
      </c>
      <c r="F24" s="32" t="s">
        <v>1640</v>
      </c>
      <c r="G24" s="32" t="s">
        <v>206</v>
      </c>
      <c r="H24" s="94" t="s">
        <v>244</v>
      </c>
      <c r="I24" s="103">
        <v>79985.317113950674</v>
      </c>
      <c r="J24" s="100">
        <v>4225</v>
      </c>
      <c r="K24" s="100">
        <v>0</v>
      </c>
      <c r="L24" s="98">
        <v>3379.379648064416</v>
      </c>
      <c r="M24" s="32">
        <v>4.5247897311338385E-4</v>
      </c>
      <c r="N24" s="41">
        <v>2.9304558827930116E-3</v>
      </c>
      <c r="O24" s="41">
        <v>2.8618119479616638E-4</v>
      </c>
      <c r="P24" s="18"/>
      <c r="Q24" s="18"/>
      <c r="R24" s="18"/>
      <c r="S24" s="18"/>
    </row>
    <row r="25" spans="2:19" x14ac:dyDescent="0.2">
      <c r="B25" s="23" t="s">
        <v>1572</v>
      </c>
      <c r="C25" s="32" t="s">
        <v>1573</v>
      </c>
      <c r="D25" s="32" t="s">
        <v>423</v>
      </c>
      <c r="E25" s="32" t="s">
        <v>238</v>
      </c>
      <c r="F25" s="32" t="s">
        <v>653</v>
      </c>
      <c r="G25" s="32" t="s">
        <v>197</v>
      </c>
      <c r="H25" s="94" t="s">
        <v>244</v>
      </c>
      <c r="I25" s="103">
        <v>3839867.7991217114</v>
      </c>
      <c r="J25" s="100">
        <v>277.5</v>
      </c>
      <c r="K25" s="140">
        <v>0</v>
      </c>
      <c r="L25" s="98">
        <v>10655.633142362711</v>
      </c>
      <c r="M25" s="32">
        <v>1.3884966845178E-3</v>
      </c>
      <c r="N25" s="41">
        <v>9.2401168494951474E-3</v>
      </c>
      <c r="O25" s="41">
        <v>9.0236734003461174E-4</v>
      </c>
      <c r="P25" s="18"/>
      <c r="Q25" s="18"/>
      <c r="R25" s="18"/>
      <c r="S25" s="18"/>
    </row>
    <row r="26" spans="2:19" x14ac:dyDescent="0.2">
      <c r="B26" s="23" t="s">
        <v>246</v>
      </c>
      <c r="C26" s="32" t="s">
        <v>1585</v>
      </c>
      <c r="D26" s="32" t="s">
        <v>423</v>
      </c>
      <c r="E26" s="32" t="s">
        <v>238</v>
      </c>
      <c r="F26" s="32" t="s">
        <v>1003</v>
      </c>
      <c r="G26" s="32" t="s">
        <v>191</v>
      </c>
      <c r="H26" s="94" t="s">
        <v>244</v>
      </c>
      <c r="I26" s="103">
        <v>1832995.124010097</v>
      </c>
      <c r="J26" s="100">
        <v>1601.0000000000002</v>
      </c>
      <c r="K26" s="100">
        <v>0</v>
      </c>
      <c r="L26" s="98">
        <v>29346.251935208889</v>
      </c>
      <c r="M26" s="32">
        <v>1.5747150901001469E-3</v>
      </c>
      <c r="N26" s="41">
        <v>2.5447835276724569E-2</v>
      </c>
      <c r="O26" s="41">
        <v>2.4851737053034726E-3</v>
      </c>
      <c r="P26" s="18"/>
      <c r="Q26" s="18"/>
      <c r="R26" s="18"/>
      <c r="S26" s="18"/>
    </row>
    <row r="27" spans="2:19" x14ac:dyDescent="0.2">
      <c r="B27" s="23" t="s">
        <v>1593</v>
      </c>
      <c r="C27" s="32" t="s">
        <v>1594</v>
      </c>
      <c r="D27" s="32" t="s">
        <v>423</v>
      </c>
      <c r="E27" s="32" t="s">
        <v>238</v>
      </c>
      <c r="F27" s="32" t="s">
        <v>1595</v>
      </c>
      <c r="G27" s="32" t="s">
        <v>191</v>
      </c>
      <c r="H27" s="94" t="s">
        <v>244</v>
      </c>
      <c r="I27" s="103">
        <v>2676080.6924236869</v>
      </c>
      <c r="J27" s="100">
        <v>2865</v>
      </c>
      <c r="K27" s="100">
        <v>0</v>
      </c>
      <c r="L27" s="98">
        <v>76669.711837938623</v>
      </c>
      <c r="M27" s="32">
        <v>2.0043023602569951E-3</v>
      </c>
      <c r="N27" s="41">
        <v>6.6484749121401343E-2</v>
      </c>
      <c r="O27" s="41">
        <v>6.492738911718989E-3</v>
      </c>
      <c r="P27" s="18"/>
      <c r="Q27" s="18"/>
      <c r="R27" s="18"/>
      <c r="S27" s="18"/>
    </row>
    <row r="28" spans="2:19" x14ac:dyDescent="0.2">
      <c r="B28" s="23" t="s">
        <v>1591</v>
      </c>
      <c r="C28" s="32" t="s">
        <v>1592</v>
      </c>
      <c r="D28" s="32" t="s">
        <v>423</v>
      </c>
      <c r="E28" s="32" t="s">
        <v>238</v>
      </c>
      <c r="F28" s="32" t="s">
        <v>766</v>
      </c>
      <c r="G28" s="32" t="s">
        <v>191</v>
      </c>
      <c r="H28" s="94" t="s">
        <v>244</v>
      </c>
      <c r="I28" s="103">
        <v>1964878.7793144607</v>
      </c>
      <c r="J28" s="100">
        <v>2514</v>
      </c>
      <c r="K28" s="100">
        <v>0</v>
      </c>
      <c r="L28" s="98">
        <v>49397.052511703667</v>
      </c>
      <c r="M28" s="32">
        <v>1.3401246761920653E-3</v>
      </c>
      <c r="N28" s="41">
        <v>4.2835046132939862E-2</v>
      </c>
      <c r="O28" s="41">
        <v>4.1831664327224068E-3</v>
      </c>
      <c r="P28" s="18"/>
      <c r="Q28" s="18"/>
      <c r="R28" s="18"/>
      <c r="S28" s="18"/>
    </row>
    <row r="29" spans="2:19" x14ac:dyDescent="0.2">
      <c r="B29" s="23" t="s">
        <v>1596</v>
      </c>
      <c r="C29" s="32" t="s">
        <v>1597</v>
      </c>
      <c r="D29" s="32" t="s">
        <v>423</v>
      </c>
      <c r="E29" s="32" t="s">
        <v>238</v>
      </c>
      <c r="F29" s="32" t="s">
        <v>1040</v>
      </c>
      <c r="G29" s="32" t="s">
        <v>191</v>
      </c>
      <c r="H29" s="94" t="s">
        <v>244</v>
      </c>
      <c r="I29" s="103">
        <v>255418.33067155498</v>
      </c>
      <c r="J29" s="100">
        <v>9200</v>
      </c>
      <c r="K29" s="100">
        <v>0</v>
      </c>
      <c r="L29" s="98">
        <v>23498.486421783058</v>
      </c>
      <c r="M29" s="32">
        <v>1.0874711935400698E-3</v>
      </c>
      <c r="N29" s="41">
        <v>2.0376899000053777E-2</v>
      </c>
      <c r="O29" s="41">
        <v>1.9899584007790007E-3</v>
      </c>
      <c r="P29" s="18"/>
      <c r="Q29" s="18"/>
      <c r="R29" s="18"/>
      <c r="S29" s="18"/>
    </row>
    <row r="30" spans="2:19" x14ac:dyDescent="0.2">
      <c r="B30" s="23" t="s">
        <v>1623</v>
      </c>
      <c r="C30" s="32" t="s">
        <v>1624</v>
      </c>
      <c r="D30" s="32" t="s">
        <v>423</v>
      </c>
      <c r="E30" s="32" t="s">
        <v>238</v>
      </c>
      <c r="F30" s="32" t="s">
        <v>615</v>
      </c>
      <c r="G30" s="32" t="s">
        <v>607</v>
      </c>
      <c r="H30" s="94" t="s">
        <v>244</v>
      </c>
      <c r="I30" s="103">
        <v>3558217.704884497</v>
      </c>
      <c r="J30" s="100">
        <v>173.4</v>
      </c>
      <c r="K30" s="100">
        <v>0</v>
      </c>
      <c r="L30" s="98">
        <v>6169.9494999518374</v>
      </c>
      <c r="M30" s="32">
        <v>1.1099613514841936E-3</v>
      </c>
      <c r="N30" s="41">
        <v>5.3503206776503078E-3</v>
      </c>
      <c r="O30" s="41">
        <v>5.2249930567569325E-4</v>
      </c>
      <c r="P30" s="18"/>
      <c r="Q30" s="18"/>
      <c r="R30" s="18"/>
      <c r="S30" s="18"/>
    </row>
    <row r="31" spans="2:19" x14ac:dyDescent="0.2">
      <c r="B31" s="23" t="s">
        <v>1600</v>
      </c>
      <c r="C31" s="32" t="s">
        <v>1601</v>
      </c>
      <c r="D31" s="32" t="s">
        <v>423</v>
      </c>
      <c r="E31" s="32" t="s">
        <v>238</v>
      </c>
      <c r="F31" s="32" t="s">
        <v>1602</v>
      </c>
      <c r="G31" s="32" t="s">
        <v>206</v>
      </c>
      <c r="H31" s="94" t="s">
        <v>244</v>
      </c>
      <c r="I31" s="103">
        <v>207677.07560639281</v>
      </c>
      <c r="J31" s="100">
        <v>876.10000000000014</v>
      </c>
      <c r="K31" s="100">
        <v>20.579655200000001</v>
      </c>
      <c r="L31" s="98">
        <v>1840.0385145004643</v>
      </c>
      <c r="M31" s="32">
        <v>1.7692492452063953E-4</v>
      </c>
      <c r="N31" s="41">
        <v>1.5956040016018992E-3</v>
      </c>
      <c r="O31" s="41">
        <v>1.5582280636989519E-4</v>
      </c>
      <c r="P31" s="18"/>
      <c r="Q31" s="18"/>
      <c r="R31" s="18"/>
      <c r="S31" s="18"/>
    </row>
    <row r="32" spans="2:19" x14ac:dyDescent="0.2">
      <c r="B32" s="23" t="s">
        <v>1605</v>
      </c>
      <c r="C32" s="32" t="s">
        <v>1606</v>
      </c>
      <c r="D32" s="32" t="s">
        <v>423</v>
      </c>
      <c r="E32" s="32" t="s">
        <v>238</v>
      </c>
      <c r="F32" s="32" t="s">
        <v>1607</v>
      </c>
      <c r="G32" s="32" t="s">
        <v>191</v>
      </c>
      <c r="H32" s="94" t="s">
        <v>244</v>
      </c>
      <c r="I32" s="103">
        <v>143584.4535966542</v>
      </c>
      <c r="J32" s="100">
        <v>9989</v>
      </c>
      <c r="K32" s="100">
        <v>0</v>
      </c>
      <c r="L32" s="98">
        <v>14342.651069537016</v>
      </c>
      <c r="M32" s="32">
        <v>1.431121263348985E-3</v>
      </c>
      <c r="N32" s="41">
        <v>1.2437343707637511E-2</v>
      </c>
      <c r="O32" s="41">
        <v>1.2146007395101579E-3</v>
      </c>
      <c r="P32" s="18"/>
      <c r="Q32" s="18"/>
      <c r="R32" s="18"/>
      <c r="S32" s="18"/>
    </row>
    <row r="33" spans="2:19" x14ac:dyDescent="0.2">
      <c r="B33" s="23" t="s">
        <v>1579</v>
      </c>
      <c r="C33" s="32" t="s">
        <v>1580</v>
      </c>
      <c r="D33" s="32" t="s">
        <v>423</v>
      </c>
      <c r="E33" s="32" t="s">
        <v>238</v>
      </c>
      <c r="F33" s="32" t="s">
        <v>611</v>
      </c>
      <c r="G33" s="32" t="s">
        <v>598</v>
      </c>
      <c r="H33" s="94" t="s">
        <v>244</v>
      </c>
      <c r="I33" s="103">
        <v>1772.926974217813</v>
      </c>
      <c r="J33" s="100">
        <v>71670</v>
      </c>
      <c r="K33" s="100">
        <v>0</v>
      </c>
      <c r="L33" s="98">
        <v>1270.6567624219067</v>
      </c>
      <c r="M33" s="32">
        <v>2.3029610625307779E-4</v>
      </c>
      <c r="N33" s="41">
        <v>1.1018600962998464E-3</v>
      </c>
      <c r="O33" s="41">
        <v>1.0760497733778099E-4</v>
      </c>
      <c r="P33" s="18"/>
      <c r="Q33" s="18"/>
      <c r="R33" s="18"/>
      <c r="S33" s="18"/>
    </row>
    <row r="34" spans="2:19" x14ac:dyDescent="0.2">
      <c r="B34" s="23" t="s">
        <v>1631</v>
      </c>
      <c r="C34" s="32" t="s">
        <v>1632</v>
      </c>
      <c r="D34" s="32" t="s">
        <v>423</v>
      </c>
      <c r="E34" s="32" t="s">
        <v>238</v>
      </c>
      <c r="F34" s="32" t="s">
        <v>679</v>
      </c>
      <c r="G34" s="32" t="s">
        <v>192</v>
      </c>
      <c r="H34" s="94" t="s">
        <v>244</v>
      </c>
      <c r="I34" s="103">
        <v>355048.96545580891</v>
      </c>
      <c r="J34" s="100">
        <v>2088</v>
      </c>
      <c r="K34" s="100">
        <v>0</v>
      </c>
      <c r="L34" s="98">
        <v>7413.4223985427107</v>
      </c>
      <c r="M34" s="32">
        <v>1.3860802519490506E-3</v>
      </c>
      <c r="N34" s="41">
        <v>6.428608070680096E-3</v>
      </c>
      <c r="O34" s="41">
        <v>6.2780223013971762E-4</v>
      </c>
      <c r="P34" s="18"/>
      <c r="Q34" s="18"/>
      <c r="R34" s="18"/>
      <c r="S34" s="18"/>
    </row>
    <row r="35" spans="2:19" x14ac:dyDescent="0.2">
      <c r="B35" s="23" t="s">
        <v>1615</v>
      </c>
      <c r="C35" s="32" t="s">
        <v>1616</v>
      </c>
      <c r="D35" s="32" t="s">
        <v>423</v>
      </c>
      <c r="E35" s="32" t="s">
        <v>238</v>
      </c>
      <c r="F35" s="32" t="s">
        <v>1617</v>
      </c>
      <c r="G35" s="32" t="s">
        <v>192</v>
      </c>
      <c r="H35" s="94" t="s">
        <v>244</v>
      </c>
      <c r="I35" s="103">
        <v>314085.29204204853</v>
      </c>
      <c r="J35" s="100">
        <v>2695</v>
      </c>
      <c r="K35" s="100">
        <v>0</v>
      </c>
      <c r="L35" s="98">
        <v>8464.5986205332083</v>
      </c>
      <c r="M35" s="32">
        <v>1.4650951101490284E-3</v>
      </c>
      <c r="N35" s="41">
        <v>7.3401438744032845E-3</v>
      </c>
      <c r="O35" s="41">
        <v>7.1682059992331487E-4</v>
      </c>
      <c r="P35" s="18"/>
      <c r="Q35" s="18"/>
      <c r="R35" s="18"/>
      <c r="S35" s="18"/>
    </row>
    <row r="36" spans="2:19" x14ac:dyDescent="0.2">
      <c r="B36" s="23" t="s">
        <v>1618</v>
      </c>
      <c r="C36" s="32" t="s">
        <v>1619</v>
      </c>
      <c r="D36" s="32" t="s">
        <v>423</v>
      </c>
      <c r="E36" s="32" t="s">
        <v>238</v>
      </c>
      <c r="F36" s="32" t="s">
        <v>1620</v>
      </c>
      <c r="G36" s="32" t="s">
        <v>188</v>
      </c>
      <c r="H36" s="94" t="s">
        <v>244</v>
      </c>
      <c r="I36" s="103">
        <v>90508.960417791663</v>
      </c>
      <c r="J36" s="100">
        <v>8257</v>
      </c>
      <c r="K36" s="100">
        <v>0</v>
      </c>
      <c r="L36" s="98">
        <v>7473.3248615333896</v>
      </c>
      <c r="M36" s="32">
        <v>8.4838883446159276E-4</v>
      </c>
      <c r="N36" s="41">
        <v>6.4805529668877085E-3</v>
      </c>
      <c r="O36" s="41">
        <v>6.3287504237604763E-4</v>
      </c>
      <c r="P36" s="18"/>
      <c r="Q36" s="18"/>
      <c r="R36" s="18"/>
      <c r="S36" s="18"/>
    </row>
    <row r="37" spans="2:19" x14ac:dyDescent="0.2">
      <c r="B37" s="23" t="s">
        <v>1577</v>
      </c>
      <c r="C37" s="32" t="s">
        <v>1578</v>
      </c>
      <c r="D37" s="32" t="s">
        <v>423</v>
      </c>
      <c r="E37" s="32" t="s">
        <v>238</v>
      </c>
      <c r="F37" s="32" t="s">
        <v>1183</v>
      </c>
      <c r="G37" s="32" t="s">
        <v>203</v>
      </c>
      <c r="H37" s="94" t="s">
        <v>244</v>
      </c>
      <c r="I37" s="103">
        <v>1320925.4306184908</v>
      </c>
      <c r="J37" s="100">
        <v>1625</v>
      </c>
      <c r="K37" s="100">
        <v>0</v>
      </c>
      <c r="L37" s="98">
        <v>21465.03824745955</v>
      </c>
      <c r="M37" s="32">
        <v>1.0316899654548369E-3</v>
      </c>
      <c r="N37" s="41">
        <v>1.8613578276910375E-2</v>
      </c>
      <c r="O37" s="41">
        <v>1.8177567872617699E-3</v>
      </c>
      <c r="P37" s="18"/>
      <c r="Q37" s="18"/>
      <c r="R37" s="18"/>
      <c r="S37" s="18"/>
    </row>
    <row r="38" spans="2:19" x14ac:dyDescent="0.2">
      <c r="B38" s="23" t="s">
        <v>1650</v>
      </c>
      <c r="C38" s="32" t="s">
        <v>1651</v>
      </c>
      <c r="D38" s="32" t="s">
        <v>423</v>
      </c>
      <c r="E38" s="32" t="s">
        <v>238</v>
      </c>
      <c r="F38" s="32" t="s">
        <v>818</v>
      </c>
      <c r="G38" s="32" t="s">
        <v>581</v>
      </c>
      <c r="H38" s="94" t="s">
        <v>244</v>
      </c>
      <c r="I38" s="103">
        <v>1133235.7443683303</v>
      </c>
      <c r="J38" s="100">
        <v>943</v>
      </c>
      <c r="K38" s="100">
        <v>0</v>
      </c>
      <c r="L38" s="98">
        <v>10686.413069189679</v>
      </c>
      <c r="M38" s="32">
        <v>1.3940127813954052E-3</v>
      </c>
      <c r="N38" s="41">
        <v>9.2668079073328462E-3</v>
      </c>
      <c r="O38" s="41">
        <v>9.0497392383176683E-4</v>
      </c>
      <c r="P38" s="18"/>
      <c r="Q38" s="18"/>
      <c r="R38" s="18"/>
      <c r="S38" s="18"/>
    </row>
    <row r="39" spans="2:19" x14ac:dyDescent="0.2">
      <c r="B39" s="23" t="s">
        <v>1610</v>
      </c>
      <c r="C39" s="32" t="s">
        <v>1611</v>
      </c>
      <c r="D39" s="32" t="s">
        <v>423</v>
      </c>
      <c r="E39" s="32" t="s">
        <v>238</v>
      </c>
      <c r="F39" s="32" t="s">
        <v>665</v>
      </c>
      <c r="G39" s="32" t="s">
        <v>581</v>
      </c>
      <c r="H39" s="94" t="s">
        <v>244</v>
      </c>
      <c r="I39" s="103">
        <v>18439.080656485661</v>
      </c>
      <c r="J39" s="100">
        <v>22050</v>
      </c>
      <c r="K39" s="100">
        <v>0</v>
      </c>
      <c r="L39" s="98">
        <v>4065.8172847550877</v>
      </c>
      <c r="M39" s="32">
        <v>4.1003203293667932E-4</v>
      </c>
      <c r="N39" s="41">
        <v>3.525705727468755E-3</v>
      </c>
      <c r="O39" s="41">
        <v>3.4431184701031164E-4</v>
      </c>
      <c r="P39" s="18"/>
      <c r="Q39" s="18"/>
      <c r="R39" s="18"/>
      <c r="S39" s="18"/>
    </row>
    <row r="40" spans="2:19" x14ac:dyDescent="0.2">
      <c r="B40" s="23" t="s">
        <v>1574</v>
      </c>
      <c r="C40" s="32" t="s">
        <v>1575</v>
      </c>
      <c r="D40" s="32" t="s">
        <v>423</v>
      </c>
      <c r="E40" s="32" t="s">
        <v>238</v>
      </c>
      <c r="F40" s="32" t="s">
        <v>1576</v>
      </c>
      <c r="G40" s="32" t="s">
        <v>184</v>
      </c>
      <c r="H40" s="94" t="s">
        <v>244</v>
      </c>
      <c r="I40" s="103">
        <v>53868.741791489585</v>
      </c>
      <c r="J40" s="100">
        <v>53560</v>
      </c>
      <c r="K40" s="100">
        <v>0</v>
      </c>
      <c r="L40" s="98">
        <v>28852.098103521825</v>
      </c>
      <c r="M40" s="32">
        <v>8.6698012249135739E-4</v>
      </c>
      <c r="N40" s="41">
        <v>2.5019325859648125E-2</v>
      </c>
      <c r="O40" s="41">
        <v>2.4433265177445647E-3</v>
      </c>
      <c r="P40" s="18"/>
      <c r="Q40" s="18"/>
      <c r="R40" s="18"/>
      <c r="S40" s="18"/>
    </row>
    <row r="41" spans="2:19" x14ac:dyDescent="0.2">
      <c r="B41" s="23" t="s">
        <v>1608</v>
      </c>
      <c r="C41" s="32" t="s">
        <v>1609</v>
      </c>
      <c r="D41" s="32" t="s">
        <v>423</v>
      </c>
      <c r="E41" s="32" t="s">
        <v>238</v>
      </c>
      <c r="F41" s="32" t="s">
        <v>1458</v>
      </c>
      <c r="G41" s="32" t="s">
        <v>168</v>
      </c>
      <c r="H41" s="94" t="s">
        <v>244</v>
      </c>
      <c r="I41" s="103">
        <v>967.13373756668989</v>
      </c>
      <c r="J41" s="100">
        <v>17810</v>
      </c>
      <c r="K41" s="100">
        <v>0</v>
      </c>
      <c r="L41" s="98">
        <v>172.24651866062749</v>
      </c>
      <c r="M41" s="32">
        <v>7.1152322432881787E-6</v>
      </c>
      <c r="N41" s="41">
        <v>1.4936493571793879E-4</v>
      </c>
      <c r="O41" s="41">
        <v>1.4586616374402373E-5</v>
      </c>
      <c r="P41" s="18"/>
      <c r="Q41" s="18"/>
      <c r="R41" s="18"/>
      <c r="S41" s="18"/>
    </row>
    <row r="42" spans="2:19" x14ac:dyDescent="0.2">
      <c r="B42" s="23" t="s">
        <v>1641</v>
      </c>
      <c r="C42" s="32" t="s">
        <v>1642</v>
      </c>
      <c r="D42" s="32" t="s">
        <v>423</v>
      </c>
      <c r="E42" s="32" t="s">
        <v>238</v>
      </c>
      <c r="F42" s="32" t="s">
        <v>1643</v>
      </c>
      <c r="G42" s="32" t="s">
        <v>196</v>
      </c>
      <c r="H42" s="94" t="s">
        <v>244</v>
      </c>
      <c r="I42" s="103">
        <v>4293.1994427577783</v>
      </c>
      <c r="J42" s="100">
        <v>56250</v>
      </c>
      <c r="K42" s="100">
        <v>0</v>
      </c>
      <c r="L42" s="98">
        <v>2414.92468655125</v>
      </c>
      <c r="M42" s="32">
        <v>2.9727592424474639E-4</v>
      </c>
      <c r="N42" s="41">
        <v>2.0941211083695577E-3</v>
      </c>
      <c r="O42" s="41">
        <v>2.0450677464896089E-4</v>
      </c>
      <c r="P42" s="18"/>
      <c r="Q42" s="18"/>
      <c r="R42" s="18"/>
      <c r="S42" s="18"/>
    </row>
    <row r="43" spans="2:19" x14ac:dyDescent="0.2">
      <c r="B43" s="23" t="s">
        <v>1598</v>
      </c>
      <c r="C43" s="32" t="s">
        <v>1599</v>
      </c>
      <c r="D43" s="32" t="s">
        <v>423</v>
      </c>
      <c r="E43" s="32" t="s">
        <v>238</v>
      </c>
      <c r="F43" s="32" t="s">
        <v>603</v>
      </c>
      <c r="G43" s="32" t="s">
        <v>206</v>
      </c>
      <c r="H43" s="94" t="s">
        <v>244</v>
      </c>
      <c r="I43" s="103">
        <v>2.7641744972008737E-2</v>
      </c>
      <c r="J43" s="100">
        <v>52490</v>
      </c>
      <c r="K43" s="100">
        <v>0</v>
      </c>
      <c r="L43" s="98">
        <v>1.4509006452939113E-2</v>
      </c>
      <c r="M43" s="32">
        <v>2.3066321059756054E-9</v>
      </c>
      <c r="N43" s="41">
        <v>1.2581600098660101E-8</v>
      </c>
      <c r="O43" s="41">
        <v>1.2286884678333295E-9</v>
      </c>
      <c r="P43" s="18"/>
      <c r="Q43" s="18"/>
      <c r="R43" s="18"/>
      <c r="S43" s="18"/>
    </row>
    <row r="44" spans="2:19" x14ac:dyDescent="0.2">
      <c r="B44" s="23" t="s">
        <v>1603</v>
      </c>
      <c r="C44" s="32" t="s">
        <v>1604</v>
      </c>
      <c r="D44" s="32" t="s">
        <v>423</v>
      </c>
      <c r="E44" s="32" t="s">
        <v>238</v>
      </c>
      <c r="F44" s="32" t="s">
        <v>762</v>
      </c>
      <c r="G44" s="32" t="s">
        <v>581</v>
      </c>
      <c r="H44" s="94" t="s">
        <v>244</v>
      </c>
      <c r="I44" s="103">
        <v>79565.126219659069</v>
      </c>
      <c r="J44" s="100">
        <v>25250</v>
      </c>
      <c r="K44" s="100">
        <v>0</v>
      </c>
      <c r="L44" s="98">
        <v>20090.194370463916</v>
      </c>
      <c r="M44" s="32">
        <v>6.5608407213342112E-4</v>
      </c>
      <c r="N44" s="41">
        <v>1.7421371497310625E-2</v>
      </c>
      <c r="O44" s="41">
        <v>1.7013287725513894E-3</v>
      </c>
      <c r="P44" s="18"/>
      <c r="Q44" s="18"/>
      <c r="R44" s="18"/>
      <c r="S44" s="18"/>
    </row>
    <row r="45" spans="2:19" x14ac:dyDescent="0.2">
      <c r="B45" s="23" t="s">
        <v>1629</v>
      </c>
      <c r="C45" s="32" t="s">
        <v>1630</v>
      </c>
      <c r="D45" s="32" t="s">
        <v>423</v>
      </c>
      <c r="E45" s="32" t="s">
        <v>238</v>
      </c>
      <c r="F45" s="32" t="s">
        <v>693</v>
      </c>
      <c r="G45" s="32" t="s">
        <v>194</v>
      </c>
      <c r="H45" s="94" t="s">
        <v>244</v>
      </c>
      <c r="I45" s="103">
        <v>463960.10843762028</v>
      </c>
      <c r="J45" s="100">
        <v>2198</v>
      </c>
      <c r="K45" s="100">
        <v>0</v>
      </c>
      <c r="L45" s="98">
        <v>10197.843183138832</v>
      </c>
      <c r="M45" s="32">
        <v>1.948131888404049E-3</v>
      </c>
      <c r="N45" s="41">
        <v>8.8431406530327088E-3</v>
      </c>
      <c r="O45" s="41">
        <v>8.6359961011370267E-4</v>
      </c>
      <c r="P45" s="18"/>
      <c r="Q45" s="18"/>
      <c r="R45" s="18"/>
      <c r="S45" s="18"/>
    </row>
    <row r="46" spans="2:19" x14ac:dyDescent="0.2">
      <c r="B46" s="23" t="s">
        <v>1586</v>
      </c>
      <c r="C46" s="32" t="s">
        <v>1587</v>
      </c>
      <c r="D46" s="32" t="s">
        <v>423</v>
      </c>
      <c r="E46" s="32" t="s">
        <v>238</v>
      </c>
      <c r="F46" s="32" t="s">
        <v>1588</v>
      </c>
      <c r="G46" s="32" t="s">
        <v>199</v>
      </c>
      <c r="H46" s="94" t="s">
        <v>244</v>
      </c>
      <c r="I46" s="103">
        <v>32466.255123845593</v>
      </c>
      <c r="J46" s="100">
        <v>10590</v>
      </c>
      <c r="K46" s="100">
        <v>0</v>
      </c>
      <c r="L46" s="98">
        <v>3438.1764176152483</v>
      </c>
      <c r="M46" s="32">
        <v>2.8036767690793336E-4</v>
      </c>
      <c r="N46" s="41">
        <v>2.9814419681587533E-3</v>
      </c>
      <c r="O46" s="41">
        <v>2.9116037189745765E-4</v>
      </c>
      <c r="P46" s="18"/>
      <c r="Q46" s="18"/>
      <c r="R46" s="18"/>
      <c r="S46" s="18"/>
    </row>
    <row r="47" spans="2:19" x14ac:dyDescent="0.2">
      <c r="B47" s="23" t="s">
        <v>1644</v>
      </c>
      <c r="C47" s="32" t="s">
        <v>1645</v>
      </c>
      <c r="D47" s="32" t="s">
        <v>423</v>
      </c>
      <c r="E47" s="32" t="s">
        <v>238</v>
      </c>
      <c r="F47" s="32" t="s">
        <v>689</v>
      </c>
      <c r="G47" s="32" t="s">
        <v>592</v>
      </c>
      <c r="H47" s="94" t="s">
        <v>244</v>
      </c>
      <c r="I47" s="103">
        <v>946917.07448420173</v>
      </c>
      <c r="J47" s="100">
        <v>1589</v>
      </c>
      <c r="K47" s="100">
        <v>0</v>
      </c>
      <c r="L47" s="98">
        <v>15046.512313553965</v>
      </c>
      <c r="M47" s="32">
        <v>2.3531070041669538E-3</v>
      </c>
      <c r="N47" s="41">
        <v>1.3047702571691414E-2</v>
      </c>
      <c r="O47" s="41">
        <v>1.2742069018124192E-3</v>
      </c>
      <c r="P47" s="18"/>
      <c r="Q47" s="18"/>
      <c r="R47" s="18"/>
      <c r="S47" s="18"/>
    </row>
    <row r="48" spans="2:19" x14ac:dyDescent="0.2">
      <c r="B48" s="23" t="s">
        <v>1633</v>
      </c>
      <c r="C48" s="32" t="s">
        <v>1634</v>
      </c>
      <c r="D48" s="32" t="s">
        <v>423</v>
      </c>
      <c r="E48" s="32" t="s">
        <v>238</v>
      </c>
      <c r="F48" s="32" t="s">
        <v>1226</v>
      </c>
      <c r="G48" s="32" t="s">
        <v>201</v>
      </c>
      <c r="H48" s="94" t="s">
        <v>244</v>
      </c>
      <c r="I48" s="103">
        <v>621131.35913195554</v>
      </c>
      <c r="J48" s="100">
        <v>2108</v>
      </c>
      <c r="K48" s="100">
        <v>0</v>
      </c>
      <c r="L48" s="98">
        <v>13093.449050501622</v>
      </c>
      <c r="M48" s="32">
        <v>1.7482691500077302E-3</v>
      </c>
      <c r="N48" s="41">
        <v>1.1354088262344198E-2</v>
      </c>
      <c r="O48" s="41">
        <v>1.1088126471441243E-3</v>
      </c>
      <c r="P48" s="18"/>
      <c r="Q48" s="18"/>
      <c r="R48" s="18"/>
      <c r="S48" s="18"/>
    </row>
    <row r="49" spans="2:19" s="160" customFormat="1" x14ac:dyDescent="0.2">
      <c r="B49" s="132" t="s">
        <v>1654</v>
      </c>
      <c r="C49" s="167" t="s">
        <v>238</v>
      </c>
      <c r="D49" s="167" t="s">
        <v>238</v>
      </c>
      <c r="E49" s="167" t="s">
        <v>238</v>
      </c>
      <c r="F49" s="167" t="s">
        <v>238</v>
      </c>
      <c r="G49" s="167" t="s">
        <v>238</v>
      </c>
      <c r="H49" s="168" t="s">
        <v>238</v>
      </c>
      <c r="I49" s="178" t="s">
        <v>238</v>
      </c>
      <c r="J49" s="164" t="s">
        <v>238</v>
      </c>
      <c r="K49" s="164" t="s">
        <v>238</v>
      </c>
      <c r="L49" s="195">
        <v>198933.35680424946</v>
      </c>
      <c r="M49" s="167" t="s">
        <v>238</v>
      </c>
      <c r="N49" s="163">
        <v>0.1725066392184362</v>
      </c>
      <c r="O49" s="163">
        <v>1.6846578858832909E-2</v>
      </c>
    </row>
    <row r="50" spans="2:19" x14ac:dyDescent="0.2">
      <c r="B50" s="23" t="s">
        <v>1773</v>
      </c>
      <c r="C50" s="32" t="s">
        <v>1774</v>
      </c>
      <c r="D50" s="32" t="s">
        <v>423</v>
      </c>
      <c r="E50" s="32" t="s">
        <v>238</v>
      </c>
      <c r="F50" s="32" t="s">
        <v>1775</v>
      </c>
      <c r="G50" s="32" t="s">
        <v>184</v>
      </c>
      <c r="H50" s="94" t="s">
        <v>244</v>
      </c>
      <c r="I50" s="103">
        <v>14003.926305009791</v>
      </c>
      <c r="J50" s="100">
        <v>2949</v>
      </c>
      <c r="K50" s="100">
        <v>0</v>
      </c>
      <c r="L50" s="98">
        <v>412.97578673473873</v>
      </c>
      <c r="M50" s="32">
        <v>4.0814735377418327E-4</v>
      </c>
      <c r="N50" s="41">
        <v>3.5811523111380799E-4</v>
      </c>
      <c r="O50" s="41">
        <v>3.4972662552822932E-5</v>
      </c>
      <c r="P50" s="18"/>
      <c r="Q50" s="18"/>
      <c r="R50" s="18"/>
      <c r="S50" s="18"/>
    </row>
    <row r="51" spans="2:19" x14ac:dyDescent="0.2">
      <c r="B51" s="23" t="s">
        <v>1731</v>
      </c>
      <c r="C51" s="32" t="s">
        <v>1732</v>
      </c>
      <c r="D51" s="32" t="s">
        <v>423</v>
      </c>
      <c r="E51" s="32" t="s">
        <v>238</v>
      </c>
      <c r="F51" s="32" t="s">
        <v>1733</v>
      </c>
      <c r="G51" s="32" t="s">
        <v>607</v>
      </c>
      <c r="H51" s="94" t="s">
        <v>244</v>
      </c>
      <c r="I51" s="103">
        <v>412019.26706353412</v>
      </c>
      <c r="J51" s="100">
        <v>168</v>
      </c>
      <c r="K51" s="100">
        <v>0</v>
      </c>
      <c r="L51" s="98">
        <v>692.19236866673737</v>
      </c>
      <c r="M51" s="32">
        <v>5.4188844104792184E-4</v>
      </c>
      <c r="N51" s="41">
        <v>6.0024010618211685E-4</v>
      </c>
      <c r="O51" s="41">
        <v>5.8617989016799404E-5</v>
      </c>
      <c r="P51" s="18"/>
      <c r="Q51" s="18"/>
      <c r="R51" s="18"/>
      <c r="S51" s="18"/>
    </row>
    <row r="52" spans="2:19" x14ac:dyDescent="0.2">
      <c r="B52" s="23" t="s">
        <v>1754</v>
      </c>
      <c r="C52" s="32" t="s">
        <v>1755</v>
      </c>
      <c r="D52" s="32" t="s">
        <v>423</v>
      </c>
      <c r="E52" s="32" t="s">
        <v>238</v>
      </c>
      <c r="F52" s="32" t="s">
        <v>1756</v>
      </c>
      <c r="G52" s="32" t="s">
        <v>184</v>
      </c>
      <c r="H52" s="94" t="s">
        <v>127</v>
      </c>
      <c r="I52" s="103">
        <v>55924.269237329121</v>
      </c>
      <c r="J52" s="100">
        <v>3360</v>
      </c>
      <c r="K52" s="100">
        <v>0</v>
      </c>
      <c r="L52" s="98">
        <v>1879.0554463742585</v>
      </c>
      <c r="M52" s="32">
        <v>1.1435920797270083E-3</v>
      </c>
      <c r="N52" s="41">
        <v>1.6294378437402286E-3</v>
      </c>
      <c r="O52" s="41">
        <v>1.5912693711096727E-4</v>
      </c>
      <c r="P52" s="18"/>
      <c r="Q52" s="18"/>
      <c r="R52" s="18"/>
      <c r="S52" s="18"/>
    </row>
    <row r="53" spans="2:19" x14ac:dyDescent="0.2">
      <c r="B53" s="23" t="s">
        <v>1763</v>
      </c>
      <c r="C53" s="32" t="s">
        <v>1764</v>
      </c>
      <c r="D53" s="32" t="s">
        <v>423</v>
      </c>
      <c r="E53" s="32" t="s">
        <v>238</v>
      </c>
      <c r="F53" s="32" t="s">
        <v>893</v>
      </c>
      <c r="G53" s="32" t="s">
        <v>566</v>
      </c>
      <c r="H53" s="94" t="s">
        <v>244</v>
      </c>
      <c r="I53" s="103">
        <v>621518.88912231964</v>
      </c>
      <c r="J53" s="100">
        <v>849</v>
      </c>
      <c r="K53" s="100">
        <v>0</v>
      </c>
      <c r="L53" s="98">
        <v>5276.695368648494</v>
      </c>
      <c r="M53" s="32">
        <v>4.0841830078568592E-3</v>
      </c>
      <c r="N53" s="41">
        <v>4.5757282682398013E-3</v>
      </c>
      <c r="O53" s="41">
        <v>4.4685449474140854E-4</v>
      </c>
      <c r="P53" s="18"/>
      <c r="Q53" s="18"/>
      <c r="R53" s="18"/>
      <c r="S53" s="18"/>
    </row>
    <row r="54" spans="2:19" x14ac:dyDescent="0.2">
      <c r="B54" s="23" t="s">
        <v>1761</v>
      </c>
      <c r="C54" s="32" t="s">
        <v>1762</v>
      </c>
      <c r="D54" s="32" t="s">
        <v>423</v>
      </c>
      <c r="E54" s="32" t="s">
        <v>238</v>
      </c>
      <c r="F54" s="32" t="s">
        <v>1247</v>
      </c>
      <c r="G54" s="32" t="s">
        <v>607</v>
      </c>
      <c r="H54" s="94" t="s">
        <v>244</v>
      </c>
      <c r="I54" s="103">
        <v>91452.495015588502</v>
      </c>
      <c r="J54" s="100">
        <v>2933</v>
      </c>
      <c r="K54" s="100">
        <v>0</v>
      </c>
      <c r="L54" s="98">
        <v>2682.3016788072105</v>
      </c>
      <c r="M54" s="32">
        <v>6.3792388870631111E-4</v>
      </c>
      <c r="N54" s="41">
        <v>2.3259791892835391E-3</v>
      </c>
      <c r="O54" s="41">
        <v>2.2714947096413903E-4</v>
      </c>
      <c r="P54" s="18"/>
      <c r="Q54" s="18"/>
      <c r="R54" s="18"/>
      <c r="S54" s="18"/>
    </row>
    <row r="55" spans="2:19" x14ac:dyDescent="0.2">
      <c r="B55" s="23" t="s">
        <v>1793</v>
      </c>
      <c r="C55" s="32" t="s">
        <v>1794</v>
      </c>
      <c r="D55" s="32" t="s">
        <v>423</v>
      </c>
      <c r="E55" s="32" t="s">
        <v>238</v>
      </c>
      <c r="F55" s="32" t="s">
        <v>1247</v>
      </c>
      <c r="G55" s="32" t="s">
        <v>607</v>
      </c>
      <c r="H55" s="94" t="s">
        <v>244</v>
      </c>
      <c r="I55" s="103">
        <v>166869.03176355388</v>
      </c>
      <c r="J55" s="100">
        <v>2830.11</v>
      </c>
      <c r="K55" s="100">
        <v>0</v>
      </c>
      <c r="L55" s="98">
        <v>4722.5771546434762</v>
      </c>
      <c r="M55" s="32">
        <v>1.1639894748537848E-3</v>
      </c>
      <c r="N55" s="41">
        <v>4.0952202611196703E-3</v>
      </c>
      <c r="O55" s="41">
        <v>3.9992925133671987E-4</v>
      </c>
      <c r="P55" s="18"/>
      <c r="Q55" s="18"/>
      <c r="R55" s="18"/>
      <c r="S55" s="18"/>
    </row>
    <row r="56" spans="2:19" x14ac:dyDescent="0.2">
      <c r="B56" s="23" t="s">
        <v>1708</v>
      </c>
      <c r="C56" s="32" t="s">
        <v>1709</v>
      </c>
      <c r="D56" s="32" t="s">
        <v>423</v>
      </c>
      <c r="E56" s="32" t="s">
        <v>238</v>
      </c>
      <c r="F56" s="32" t="s">
        <v>1710</v>
      </c>
      <c r="G56" s="32" t="s">
        <v>192</v>
      </c>
      <c r="H56" s="94" t="s">
        <v>244</v>
      </c>
      <c r="I56" s="103">
        <v>17900.960258049861</v>
      </c>
      <c r="J56" s="100">
        <v>12600</v>
      </c>
      <c r="K56" s="100">
        <v>0</v>
      </c>
      <c r="L56" s="98">
        <v>2255.5209925142826</v>
      </c>
      <c r="M56" s="32">
        <v>1.2198341658345682E-3</v>
      </c>
      <c r="N56" s="41">
        <v>1.9558929299531074E-3</v>
      </c>
      <c r="O56" s="41">
        <v>1.9100774690860317E-4</v>
      </c>
      <c r="P56" s="18"/>
      <c r="Q56" s="18"/>
      <c r="R56" s="18"/>
      <c r="S56" s="18"/>
    </row>
    <row r="57" spans="2:19" x14ac:dyDescent="0.2">
      <c r="B57" s="23" t="s">
        <v>1720</v>
      </c>
      <c r="C57" s="32" t="s">
        <v>1721</v>
      </c>
      <c r="D57" s="32" t="s">
        <v>423</v>
      </c>
      <c r="E57" s="32" t="s">
        <v>238</v>
      </c>
      <c r="F57" s="32" t="s">
        <v>1722</v>
      </c>
      <c r="G57" s="32" t="s">
        <v>201</v>
      </c>
      <c r="H57" s="94" t="s">
        <v>244</v>
      </c>
      <c r="I57" s="103">
        <v>320549.42321590398</v>
      </c>
      <c r="J57" s="100">
        <v>1499</v>
      </c>
      <c r="K57" s="100">
        <v>0</v>
      </c>
      <c r="L57" s="98">
        <v>4805.0358540064008</v>
      </c>
      <c r="M57" s="32">
        <v>2.9458239730851465E-3</v>
      </c>
      <c r="N57" s="41">
        <v>4.1667249767185664E-3</v>
      </c>
      <c r="O57" s="41">
        <v>4.0691222796633168E-4</v>
      </c>
      <c r="P57" s="18"/>
      <c r="Q57" s="18"/>
      <c r="R57" s="18"/>
      <c r="S57" s="18"/>
    </row>
    <row r="58" spans="2:19" x14ac:dyDescent="0.2">
      <c r="B58" s="23" t="s">
        <v>1672</v>
      </c>
      <c r="C58" s="32" t="s">
        <v>1673</v>
      </c>
      <c r="D58" s="32" t="s">
        <v>423</v>
      </c>
      <c r="E58" s="32" t="s">
        <v>238</v>
      </c>
      <c r="F58" s="32" t="s">
        <v>1674</v>
      </c>
      <c r="G58" s="32" t="s">
        <v>598</v>
      </c>
      <c r="H58" s="94" t="s">
        <v>244</v>
      </c>
      <c r="I58" s="103">
        <v>28877.220768984811</v>
      </c>
      <c r="J58" s="100">
        <v>12330</v>
      </c>
      <c r="K58" s="100">
        <v>0</v>
      </c>
      <c r="L58" s="98">
        <v>3560.5613207794563</v>
      </c>
      <c r="M58" s="32">
        <v>1.0539098203952715E-3</v>
      </c>
      <c r="N58" s="41">
        <v>3.087569008264479E-3</v>
      </c>
      <c r="O58" s="41">
        <v>3.0152448053870096E-4</v>
      </c>
      <c r="P58" s="18"/>
      <c r="Q58" s="18"/>
      <c r="R58" s="18"/>
      <c r="S58" s="18"/>
    </row>
    <row r="59" spans="2:19" x14ac:dyDescent="0.2">
      <c r="B59" s="23" t="s">
        <v>1723</v>
      </c>
      <c r="C59" s="32" t="s">
        <v>1724</v>
      </c>
      <c r="D59" s="32" t="s">
        <v>423</v>
      </c>
      <c r="E59" s="32" t="s">
        <v>238</v>
      </c>
      <c r="F59" s="32" t="s">
        <v>1725</v>
      </c>
      <c r="G59" s="32" t="s">
        <v>194</v>
      </c>
      <c r="H59" s="94" t="s">
        <v>244</v>
      </c>
      <c r="I59" s="103">
        <v>9676.865724661302</v>
      </c>
      <c r="J59" s="100">
        <v>6385</v>
      </c>
      <c r="K59" s="100">
        <v>0</v>
      </c>
      <c r="L59" s="98">
        <v>617.86787651962402</v>
      </c>
      <c r="M59" s="32">
        <v>4.3740957027908322E-4</v>
      </c>
      <c r="N59" s="41">
        <v>5.3578903292881674E-4</v>
      </c>
      <c r="O59" s="41">
        <v>5.2323853944564475E-5</v>
      </c>
      <c r="P59" s="18"/>
      <c r="Q59" s="18"/>
      <c r="R59" s="18"/>
      <c r="S59" s="18"/>
    </row>
    <row r="60" spans="2:19" x14ac:dyDescent="0.2">
      <c r="B60" s="23" t="s">
        <v>1782</v>
      </c>
      <c r="C60" s="32" t="s">
        <v>1783</v>
      </c>
      <c r="D60" s="32" t="s">
        <v>423</v>
      </c>
      <c r="E60" s="32" t="s">
        <v>238</v>
      </c>
      <c r="F60" s="32" t="s">
        <v>1784</v>
      </c>
      <c r="G60" s="32" t="s">
        <v>566</v>
      </c>
      <c r="H60" s="94" t="s">
        <v>244</v>
      </c>
      <c r="I60" s="103">
        <v>201428.81336731059</v>
      </c>
      <c r="J60" s="100">
        <v>2037</v>
      </c>
      <c r="K60" s="100">
        <v>0</v>
      </c>
      <c r="L60" s="98">
        <v>4103.1049279684175</v>
      </c>
      <c r="M60" s="32">
        <v>3.5514052026340568E-3</v>
      </c>
      <c r="N60" s="41">
        <v>3.5580400032203933E-3</v>
      </c>
      <c r="O60" s="41">
        <v>3.4746953374492753E-4</v>
      </c>
      <c r="P60" s="18"/>
      <c r="Q60" s="18"/>
      <c r="R60" s="18"/>
      <c r="S60" s="18"/>
    </row>
    <row r="61" spans="2:19" x14ac:dyDescent="0.2">
      <c r="B61" s="23" t="s">
        <v>1765</v>
      </c>
      <c r="C61" s="32" t="s">
        <v>1766</v>
      </c>
      <c r="D61" s="32" t="s">
        <v>423</v>
      </c>
      <c r="E61" s="32" t="s">
        <v>238</v>
      </c>
      <c r="F61" s="32" t="s">
        <v>1767</v>
      </c>
      <c r="G61" s="32" t="s">
        <v>189</v>
      </c>
      <c r="H61" s="94" t="s">
        <v>244</v>
      </c>
      <c r="I61" s="103">
        <v>1137253.5476511032</v>
      </c>
      <c r="J61" s="100">
        <v>434</v>
      </c>
      <c r="K61" s="100">
        <v>0</v>
      </c>
      <c r="L61" s="98">
        <v>4935.6803968057884</v>
      </c>
      <c r="M61" s="32">
        <v>1.5120150250882141E-3</v>
      </c>
      <c r="N61" s="41">
        <v>4.280014428887857E-3</v>
      </c>
      <c r="O61" s="41">
        <v>4.1797580035108641E-4</v>
      </c>
      <c r="P61" s="18"/>
      <c r="Q61" s="18"/>
      <c r="R61" s="18"/>
      <c r="S61" s="18"/>
    </row>
    <row r="62" spans="2:19" x14ac:dyDescent="0.2">
      <c r="B62" s="23" t="s">
        <v>1675</v>
      </c>
      <c r="C62" s="32" t="s">
        <v>1676</v>
      </c>
      <c r="D62" s="32" t="s">
        <v>423</v>
      </c>
      <c r="E62" s="32" t="s">
        <v>238</v>
      </c>
      <c r="F62" s="32" t="s">
        <v>703</v>
      </c>
      <c r="G62" s="32" t="s">
        <v>566</v>
      </c>
      <c r="H62" s="94" t="s">
        <v>244</v>
      </c>
      <c r="I62" s="103">
        <v>144114.40476832926</v>
      </c>
      <c r="J62" s="100">
        <v>14350</v>
      </c>
      <c r="K62" s="100">
        <v>0</v>
      </c>
      <c r="L62" s="98">
        <v>20680.417084255248</v>
      </c>
      <c r="M62" s="32">
        <v>4.3184054327580386E-3</v>
      </c>
      <c r="N62" s="41">
        <v>1.7933187807969455E-2</v>
      </c>
      <c r="O62" s="41">
        <v>1.7513115087394897E-3</v>
      </c>
      <c r="P62" s="18"/>
      <c r="Q62" s="18"/>
      <c r="R62" s="18"/>
      <c r="S62" s="18"/>
    </row>
    <row r="63" spans="2:19" x14ac:dyDescent="0.2">
      <c r="B63" s="23" t="s">
        <v>1726</v>
      </c>
      <c r="C63" s="32" t="s">
        <v>1727</v>
      </c>
      <c r="D63" s="32" t="s">
        <v>423</v>
      </c>
      <c r="E63" s="32" t="s">
        <v>238</v>
      </c>
      <c r="F63" s="32" t="s">
        <v>919</v>
      </c>
      <c r="G63" s="32" t="s">
        <v>581</v>
      </c>
      <c r="H63" s="94" t="s">
        <v>244</v>
      </c>
      <c r="I63" s="103">
        <v>118651.09917083546</v>
      </c>
      <c r="J63" s="100">
        <v>2208</v>
      </c>
      <c r="K63" s="100">
        <v>0</v>
      </c>
      <c r="L63" s="98">
        <v>2619.8162696920472</v>
      </c>
      <c r="M63" s="32">
        <v>1.3680779304720003E-3</v>
      </c>
      <c r="N63" s="41">
        <v>2.2717944708441243E-3</v>
      </c>
      <c r="O63" s="41">
        <v>2.2185792313578331E-4</v>
      </c>
      <c r="P63" s="18"/>
      <c r="Q63" s="18"/>
      <c r="R63" s="18"/>
      <c r="S63" s="18"/>
    </row>
    <row r="64" spans="2:19" x14ac:dyDescent="0.2">
      <c r="B64" s="23" t="s">
        <v>1703</v>
      </c>
      <c r="C64" s="32" t="s">
        <v>1704</v>
      </c>
      <c r="D64" s="32" t="s">
        <v>423</v>
      </c>
      <c r="E64" s="32" t="s">
        <v>238</v>
      </c>
      <c r="F64" s="32" t="s">
        <v>646</v>
      </c>
      <c r="G64" s="32" t="s">
        <v>566</v>
      </c>
      <c r="H64" s="94" t="s">
        <v>244</v>
      </c>
      <c r="I64" s="103">
        <v>4606.717206130691</v>
      </c>
      <c r="J64" s="100">
        <v>35400</v>
      </c>
      <c r="K64" s="100">
        <v>0</v>
      </c>
      <c r="L64" s="98">
        <v>1630.7778909702645</v>
      </c>
      <c r="M64" s="32">
        <v>5.9588561529331304E-4</v>
      </c>
      <c r="N64" s="41">
        <v>1.4141419910780912E-3</v>
      </c>
      <c r="O64" s="41">
        <v>1.3810166772838028E-4</v>
      </c>
      <c r="P64" s="18"/>
      <c r="Q64" s="18"/>
      <c r="R64" s="18"/>
      <c r="S64" s="18"/>
    </row>
    <row r="65" spans="2:19" x14ac:dyDescent="0.2">
      <c r="B65" s="23" t="s">
        <v>1655</v>
      </c>
      <c r="C65" s="32" t="s">
        <v>1656</v>
      </c>
      <c r="D65" s="32" t="s">
        <v>423</v>
      </c>
      <c r="E65" s="32" t="s">
        <v>238</v>
      </c>
      <c r="F65" s="32" t="s">
        <v>1657</v>
      </c>
      <c r="G65" s="32" t="s">
        <v>187</v>
      </c>
      <c r="H65" s="94" t="s">
        <v>244</v>
      </c>
      <c r="I65" s="103">
        <v>60135.161747361039</v>
      </c>
      <c r="J65" s="100">
        <v>2732</v>
      </c>
      <c r="K65" s="100">
        <v>0</v>
      </c>
      <c r="L65" s="98">
        <v>1642.8926189379035</v>
      </c>
      <c r="M65" s="32">
        <v>1.0898768509956863E-3</v>
      </c>
      <c r="N65" s="41">
        <v>1.4246473735856585E-3</v>
      </c>
      <c r="O65" s="41">
        <v>1.3912759783552147E-4</v>
      </c>
      <c r="P65" s="18"/>
      <c r="Q65" s="18"/>
      <c r="R65" s="18"/>
      <c r="S65" s="18"/>
    </row>
    <row r="66" spans="2:19" x14ac:dyDescent="0.2">
      <c r="B66" s="23" t="s">
        <v>1745</v>
      </c>
      <c r="C66" s="32" t="s">
        <v>1746</v>
      </c>
      <c r="D66" s="32" t="s">
        <v>423</v>
      </c>
      <c r="E66" s="32" t="s">
        <v>238</v>
      </c>
      <c r="F66" s="32" t="s">
        <v>1235</v>
      </c>
      <c r="G66" s="32" t="s">
        <v>607</v>
      </c>
      <c r="H66" s="94" t="s">
        <v>244</v>
      </c>
      <c r="I66" s="103">
        <v>31611.426522735637</v>
      </c>
      <c r="J66" s="100">
        <v>8257</v>
      </c>
      <c r="K66" s="100">
        <v>0</v>
      </c>
      <c r="L66" s="98">
        <v>2610.1554878258876</v>
      </c>
      <c r="M66" s="32">
        <v>1.9909170491227094E-3</v>
      </c>
      <c r="N66" s="41">
        <v>2.2634170471745813E-3</v>
      </c>
      <c r="O66" s="41">
        <v>2.2103980431367756E-4</v>
      </c>
      <c r="P66" s="18"/>
      <c r="Q66" s="18"/>
      <c r="R66" s="18"/>
      <c r="S66" s="18"/>
    </row>
    <row r="67" spans="2:19" x14ac:dyDescent="0.2">
      <c r="B67" s="23" t="s">
        <v>1677</v>
      </c>
      <c r="C67" s="32" t="s">
        <v>1678</v>
      </c>
      <c r="D67" s="32" t="s">
        <v>423</v>
      </c>
      <c r="E67" s="32" t="s">
        <v>238</v>
      </c>
      <c r="F67" s="32" t="s">
        <v>1679</v>
      </c>
      <c r="G67" s="32" t="s">
        <v>194</v>
      </c>
      <c r="H67" s="94" t="s">
        <v>244</v>
      </c>
      <c r="I67" s="103">
        <v>68868.170993379448</v>
      </c>
      <c r="J67" s="100">
        <v>2219</v>
      </c>
      <c r="K67" s="100">
        <v>0</v>
      </c>
      <c r="L67" s="98">
        <v>1528.1847143430898</v>
      </c>
      <c r="M67" s="32">
        <v>7.3892127004164673E-4</v>
      </c>
      <c r="N67" s="41">
        <v>1.32517750371908E-3</v>
      </c>
      <c r="O67" s="41">
        <v>1.29413612249939E-4</v>
      </c>
      <c r="P67" s="18"/>
      <c r="Q67" s="18"/>
      <c r="R67" s="18"/>
      <c r="S67" s="18"/>
    </row>
    <row r="68" spans="2:19" x14ac:dyDescent="0.2">
      <c r="B68" s="23" t="s">
        <v>1701</v>
      </c>
      <c r="C68" s="32" t="s">
        <v>1702</v>
      </c>
      <c r="D68" s="32" t="s">
        <v>423</v>
      </c>
      <c r="E68" s="32" t="s">
        <v>238</v>
      </c>
      <c r="F68" s="32" t="s">
        <v>1109</v>
      </c>
      <c r="G68" s="32" t="s">
        <v>200</v>
      </c>
      <c r="H68" s="94" t="s">
        <v>244</v>
      </c>
      <c r="I68" s="103">
        <v>57172.323483096137</v>
      </c>
      <c r="J68" s="100">
        <v>9419</v>
      </c>
      <c r="K68" s="100">
        <v>0</v>
      </c>
      <c r="L68" s="98">
        <v>5385.0611487309789</v>
      </c>
      <c r="M68" s="32">
        <v>2.2406710328554827E-3</v>
      </c>
      <c r="N68" s="41">
        <v>4.6696985145002531E-3</v>
      </c>
      <c r="O68" s="41">
        <v>4.5603140046041729E-4</v>
      </c>
      <c r="P68" s="18"/>
      <c r="Q68" s="18"/>
      <c r="R68" s="18"/>
      <c r="S68" s="18"/>
    </row>
    <row r="69" spans="2:19" x14ac:dyDescent="0.2">
      <c r="B69" s="23" t="s">
        <v>1742</v>
      </c>
      <c r="C69" s="32" t="s">
        <v>1743</v>
      </c>
      <c r="D69" s="32" t="s">
        <v>423</v>
      </c>
      <c r="E69" s="32" t="s">
        <v>238</v>
      </c>
      <c r="F69" s="32" t="s">
        <v>1744</v>
      </c>
      <c r="G69" s="32" t="s">
        <v>201</v>
      </c>
      <c r="H69" s="94" t="s">
        <v>244</v>
      </c>
      <c r="I69" s="103">
        <v>67051.053597923485</v>
      </c>
      <c r="J69" s="100">
        <v>6647</v>
      </c>
      <c r="K69" s="100">
        <v>0</v>
      </c>
      <c r="L69" s="98">
        <v>4456.8835326539747</v>
      </c>
      <c r="M69" s="32">
        <v>4.7744180658238055E-3</v>
      </c>
      <c r="N69" s="41">
        <v>3.8648219280925798E-3</v>
      </c>
      <c r="O69" s="41">
        <v>3.7742911045014402E-4</v>
      </c>
      <c r="P69" s="18"/>
      <c r="Q69" s="18"/>
      <c r="R69" s="18"/>
      <c r="S69" s="18"/>
    </row>
    <row r="70" spans="2:19" x14ac:dyDescent="0.2">
      <c r="B70" s="23" t="s">
        <v>1779</v>
      </c>
      <c r="C70" s="32" t="s">
        <v>1780</v>
      </c>
      <c r="D70" s="32" t="s">
        <v>423</v>
      </c>
      <c r="E70" s="32" t="s">
        <v>238</v>
      </c>
      <c r="F70" s="32" t="s">
        <v>1781</v>
      </c>
      <c r="G70" s="32" t="s">
        <v>1671</v>
      </c>
      <c r="H70" s="94" t="s">
        <v>244</v>
      </c>
      <c r="I70" s="103">
        <v>16812.29122344881</v>
      </c>
      <c r="J70" s="100">
        <v>26410.000000000004</v>
      </c>
      <c r="K70" s="100">
        <v>0</v>
      </c>
      <c r="L70" s="98">
        <v>4440.12611211283</v>
      </c>
      <c r="M70" s="32">
        <v>2.4747919490649196E-3</v>
      </c>
      <c r="N70" s="41">
        <v>3.8502905978724435E-3</v>
      </c>
      <c r="O70" s="41">
        <v>3.7601001608029023E-4</v>
      </c>
      <c r="P70" s="18"/>
      <c r="Q70" s="18"/>
      <c r="R70" s="18"/>
      <c r="S70" s="18"/>
    </row>
    <row r="71" spans="2:19" x14ac:dyDescent="0.2">
      <c r="B71" s="23" t="s">
        <v>1776</v>
      </c>
      <c r="C71" s="32" t="s">
        <v>1777</v>
      </c>
      <c r="D71" s="32" t="s">
        <v>423</v>
      </c>
      <c r="E71" s="32" t="s">
        <v>238</v>
      </c>
      <c r="F71" s="32" t="s">
        <v>1778</v>
      </c>
      <c r="G71" s="32" t="s">
        <v>194</v>
      </c>
      <c r="H71" s="94" t="s">
        <v>244</v>
      </c>
      <c r="I71" s="103">
        <v>46454.134668484789</v>
      </c>
      <c r="J71" s="100">
        <v>5745</v>
      </c>
      <c r="K71" s="100">
        <v>0</v>
      </c>
      <c r="L71" s="98">
        <v>2668.7900367044513</v>
      </c>
      <c r="M71" s="32">
        <v>3.211028217171492E-3</v>
      </c>
      <c r="N71" s="41">
        <v>2.3142624615968754E-3</v>
      </c>
      <c r="O71" s="41">
        <v>2.2600524383273619E-4</v>
      </c>
      <c r="P71" s="18"/>
      <c r="Q71" s="18"/>
      <c r="R71" s="18"/>
      <c r="S71" s="18"/>
    </row>
    <row r="72" spans="2:19" x14ac:dyDescent="0.2">
      <c r="B72" s="23" t="s">
        <v>1691</v>
      </c>
      <c r="C72" s="32" t="s">
        <v>1692</v>
      </c>
      <c r="D72" s="32" t="s">
        <v>423</v>
      </c>
      <c r="E72" s="32" t="s">
        <v>238</v>
      </c>
      <c r="F72" s="32" t="s">
        <v>580</v>
      </c>
      <c r="G72" s="32" t="s">
        <v>581</v>
      </c>
      <c r="H72" s="94" t="s">
        <v>244</v>
      </c>
      <c r="I72" s="103">
        <v>3394.2713472023493</v>
      </c>
      <c r="J72" s="100">
        <v>36790</v>
      </c>
      <c r="K72" s="100">
        <v>0</v>
      </c>
      <c r="L72" s="98">
        <v>1248.7524285993734</v>
      </c>
      <c r="M72" s="32">
        <v>5.3895014223753908E-4</v>
      </c>
      <c r="N72" s="41">
        <v>1.0828655793784731E-3</v>
      </c>
      <c r="O72" s="41">
        <v>1.0575001900892407E-4</v>
      </c>
      <c r="P72" s="18"/>
      <c r="Q72" s="18"/>
      <c r="R72" s="18"/>
      <c r="S72" s="18"/>
    </row>
    <row r="73" spans="2:19" x14ac:dyDescent="0.2">
      <c r="B73" s="23" t="s">
        <v>1661</v>
      </c>
      <c r="C73" s="32" t="s">
        <v>1662</v>
      </c>
      <c r="D73" s="32" t="s">
        <v>423</v>
      </c>
      <c r="E73" s="32" t="s">
        <v>238</v>
      </c>
      <c r="F73" s="32" t="s">
        <v>586</v>
      </c>
      <c r="G73" s="32" t="s">
        <v>581</v>
      </c>
      <c r="H73" s="94" t="s">
        <v>244</v>
      </c>
      <c r="I73" s="103">
        <v>6140.7638565932339</v>
      </c>
      <c r="J73" s="100">
        <v>265400</v>
      </c>
      <c r="K73" s="100">
        <v>0</v>
      </c>
      <c r="L73" s="98">
        <v>16297.587275398442</v>
      </c>
      <c r="M73" s="32">
        <v>2.8738736338949642E-3</v>
      </c>
      <c r="N73" s="41">
        <v>1.4132582154206527E-2</v>
      </c>
      <c r="O73" s="41">
        <v>1.3801536034697159E-3</v>
      </c>
      <c r="P73" s="18"/>
      <c r="Q73" s="18"/>
      <c r="R73" s="18"/>
      <c r="S73" s="18"/>
    </row>
    <row r="74" spans="2:19" x14ac:dyDescent="0.2">
      <c r="B74" s="23" t="s">
        <v>1768</v>
      </c>
      <c r="C74" s="32" t="s">
        <v>1769</v>
      </c>
      <c r="D74" s="32" t="s">
        <v>423</v>
      </c>
      <c r="E74" s="32" t="s">
        <v>238</v>
      </c>
      <c r="F74" s="32" t="s">
        <v>1256</v>
      </c>
      <c r="G74" s="32" t="s">
        <v>197</v>
      </c>
      <c r="H74" s="94" t="s">
        <v>244</v>
      </c>
      <c r="I74" s="103">
        <v>251003.33842708601</v>
      </c>
      <c r="J74" s="100">
        <v>1537</v>
      </c>
      <c r="K74" s="100">
        <v>0</v>
      </c>
      <c r="L74" s="98">
        <v>3857.9213116243118</v>
      </c>
      <c r="M74" s="32">
        <v>1.5291808135460638E-3</v>
      </c>
      <c r="N74" s="41">
        <v>3.3454270843695684E-3</v>
      </c>
      <c r="O74" s="41">
        <v>3.2670627315359676E-4</v>
      </c>
      <c r="P74" s="18"/>
      <c r="Q74" s="18"/>
      <c r="R74" s="18"/>
      <c r="S74" s="18"/>
    </row>
    <row r="75" spans="2:19" x14ac:dyDescent="0.2">
      <c r="B75" s="23" t="s">
        <v>1728</v>
      </c>
      <c r="C75" s="32" t="s">
        <v>1729</v>
      </c>
      <c r="D75" s="32" t="s">
        <v>423</v>
      </c>
      <c r="E75" s="32" t="s">
        <v>238</v>
      </c>
      <c r="F75" s="32" t="s">
        <v>1730</v>
      </c>
      <c r="G75" s="32" t="s">
        <v>1671</v>
      </c>
      <c r="H75" s="94" t="s">
        <v>244</v>
      </c>
      <c r="I75" s="103">
        <v>1336.8784472843752</v>
      </c>
      <c r="J75" s="100">
        <v>13900</v>
      </c>
      <c r="K75" s="100">
        <v>0</v>
      </c>
      <c r="L75" s="98">
        <v>185.82610417252818</v>
      </c>
      <c r="M75" s="32">
        <v>5.9462600796354243E-5</v>
      </c>
      <c r="N75" s="41">
        <v>1.6114058107108306E-4</v>
      </c>
      <c r="O75" s="41">
        <v>1.5736597261828956E-5</v>
      </c>
      <c r="P75" s="18"/>
      <c r="Q75" s="18"/>
      <c r="R75" s="18"/>
      <c r="S75" s="18"/>
    </row>
    <row r="76" spans="2:19" x14ac:dyDescent="0.2">
      <c r="B76" s="23" t="s">
        <v>1788</v>
      </c>
      <c r="C76" s="32" t="s">
        <v>1789</v>
      </c>
      <c r="D76" s="32" t="s">
        <v>423</v>
      </c>
      <c r="E76" s="32" t="s">
        <v>238</v>
      </c>
      <c r="F76" s="32" t="s">
        <v>1790</v>
      </c>
      <c r="G76" s="32" t="s">
        <v>592</v>
      </c>
      <c r="H76" s="94" t="s">
        <v>244</v>
      </c>
      <c r="I76" s="103">
        <v>16747.005786310972</v>
      </c>
      <c r="J76" s="100">
        <v>9853.67</v>
      </c>
      <c r="K76" s="100">
        <v>0</v>
      </c>
      <c r="L76" s="98">
        <v>1650.1946848784978</v>
      </c>
      <c r="M76" s="32">
        <v>8.9518362757503363E-4</v>
      </c>
      <c r="N76" s="41">
        <v>1.4309794180200307E-3</v>
      </c>
      <c r="O76" s="41">
        <v>1.3974596989577712E-4</v>
      </c>
      <c r="P76" s="18"/>
      <c r="Q76" s="18"/>
      <c r="R76" s="18"/>
      <c r="S76" s="18"/>
    </row>
    <row r="77" spans="2:19" x14ac:dyDescent="0.2">
      <c r="B77" s="23" t="s">
        <v>1757</v>
      </c>
      <c r="C77" s="32" t="s">
        <v>1758</v>
      </c>
      <c r="D77" s="32" t="s">
        <v>423</v>
      </c>
      <c r="E77" s="32" t="s">
        <v>238</v>
      </c>
      <c r="F77" s="32" t="s">
        <v>855</v>
      </c>
      <c r="G77" s="32" t="s">
        <v>581</v>
      </c>
      <c r="H77" s="94" t="s">
        <v>244</v>
      </c>
      <c r="I77" s="103">
        <v>4323.9690693976718</v>
      </c>
      <c r="J77" s="100">
        <v>76010</v>
      </c>
      <c r="K77" s="100">
        <v>0</v>
      </c>
      <c r="L77" s="98">
        <v>3286.6488896491705</v>
      </c>
      <c r="M77" s="32">
        <v>8.0015771387859276E-4</v>
      </c>
      <c r="N77" s="41">
        <v>2.8500436696610961E-3</v>
      </c>
      <c r="O77" s="41">
        <v>2.7832833362005394E-4</v>
      </c>
      <c r="P77" s="18"/>
      <c r="Q77" s="18"/>
      <c r="R77" s="18"/>
      <c r="S77" s="18"/>
    </row>
    <row r="78" spans="2:19" x14ac:dyDescent="0.2">
      <c r="B78" s="23" t="s">
        <v>1800</v>
      </c>
      <c r="C78" s="32" t="s">
        <v>1801</v>
      </c>
      <c r="D78" s="32" t="s">
        <v>423</v>
      </c>
      <c r="E78" s="32" t="s">
        <v>238</v>
      </c>
      <c r="F78" s="32" t="s">
        <v>1802</v>
      </c>
      <c r="G78" s="32" t="s">
        <v>194</v>
      </c>
      <c r="H78" s="94" t="s">
        <v>244</v>
      </c>
      <c r="I78" s="103">
        <v>8399.8171069544969</v>
      </c>
      <c r="J78" s="100">
        <v>17520</v>
      </c>
      <c r="K78" s="100">
        <v>0</v>
      </c>
      <c r="L78" s="98">
        <v>1471.647957138428</v>
      </c>
      <c r="M78" s="32">
        <v>6.612618179077139E-4</v>
      </c>
      <c r="N78" s="41">
        <v>1.276151205996261E-3</v>
      </c>
      <c r="O78" s="41">
        <v>1.2462582324375318E-4</v>
      </c>
      <c r="P78" s="18"/>
      <c r="Q78" s="18"/>
      <c r="R78" s="18"/>
      <c r="S78" s="18"/>
    </row>
    <row r="79" spans="2:19" x14ac:dyDescent="0.2">
      <c r="B79" s="23" t="s">
        <v>1714</v>
      </c>
      <c r="C79" s="32" t="s">
        <v>1715</v>
      </c>
      <c r="D79" s="32" t="s">
        <v>423</v>
      </c>
      <c r="E79" s="32" t="s">
        <v>238</v>
      </c>
      <c r="F79" s="32" t="s">
        <v>1716</v>
      </c>
      <c r="G79" s="32" t="s">
        <v>192</v>
      </c>
      <c r="H79" s="94" t="s">
        <v>244</v>
      </c>
      <c r="I79" s="103">
        <v>545703.49581528071</v>
      </c>
      <c r="J79" s="100">
        <v>326</v>
      </c>
      <c r="K79" s="100">
        <v>0</v>
      </c>
      <c r="L79" s="98">
        <v>1778.9933963287183</v>
      </c>
      <c r="M79" s="32">
        <v>5.1779033336149147E-4</v>
      </c>
      <c r="N79" s="41">
        <v>1.542668242885163E-3</v>
      </c>
      <c r="O79" s="41">
        <v>1.5065322891065066E-4</v>
      </c>
      <c r="P79" s="18"/>
      <c r="Q79" s="18"/>
      <c r="R79" s="18"/>
      <c r="S79" s="18"/>
    </row>
    <row r="80" spans="2:19" x14ac:dyDescent="0.2">
      <c r="B80" s="23" t="s">
        <v>1749</v>
      </c>
      <c r="C80" s="32" t="s">
        <v>1750</v>
      </c>
      <c r="D80" s="32" t="s">
        <v>423</v>
      </c>
      <c r="E80" s="32" t="s">
        <v>238</v>
      </c>
      <c r="F80" s="32" t="s">
        <v>1751</v>
      </c>
      <c r="G80" s="32" t="s">
        <v>581</v>
      </c>
      <c r="H80" s="94" t="s">
        <v>244</v>
      </c>
      <c r="I80" s="103">
        <v>136021.38993554816</v>
      </c>
      <c r="J80" s="100">
        <v>1002.9999999999999</v>
      </c>
      <c r="K80" s="100">
        <v>0</v>
      </c>
      <c r="L80" s="98">
        <v>1364.2945410535481</v>
      </c>
      <c r="M80" s="32">
        <v>9.0660384793712207E-4</v>
      </c>
      <c r="N80" s="41">
        <v>1.1830588392111173E-3</v>
      </c>
      <c r="O80" s="41">
        <v>1.1553464909934546E-4</v>
      </c>
      <c r="P80" s="18"/>
      <c r="Q80" s="18"/>
      <c r="R80" s="18"/>
      <c r="S80" s="18"/>
    </row>
    <row r="81" spans="2:19" x14ac:dyDescent="0.2">
      <c r="B81" s="23" t="s">
        <v>1747</v>
      </c>
      <c r="C81" s="32" t="s">
        <v>1748</v>
      </c>
      <c r="D81" s="32" t="s">
        <v>423</v>
      </c>
      <c r="E81" s="32" t="s">
        <v>238</v>
      </c>
      <c r="F81" s="32" t="s">
        <v>829</v>
      </c>
      <c r="G81" s="32" t="s">
        <v>581</v>
      </c>
      <c r="H81" s="94" t="s">
        <v>244</v>
      </c>
      <c r="I81" s="103">
        <v>96154.35583532718</v>
      </c>
      <c r="J81" s="100">
        <v>8529</v>
      </c>
      <c r="K81" s="100">
        <v>0</v>
      </c>
      <c r="L81" s="98">
        <v>8201.0050091950561</v>
      </c>
      <c r="M81" s="32">
        <v>2.7993153803498178E-3</v>
      </c>
      <c r="N81" s="41">
        <v>7.1115665822795741E-3</v>
      </c>
      <c r="O81" s="41">
        <v>6.9449829746268566E-4</v>
      </c>
      <c r="P81" s="18"/>
      <c r="Q81" s="18"/>
      <c r="R81" s="18"/>
      <c r="S81" s="18"/>
    </row>
    <row r="82" spans="2:19" x14ac:dyDescent="0.2">
      <c r="B82" s="23" t="s">
        <v>1791</v>
      </c>
      <c r="C82" s="32" t="s">
        <v>1792</v>
      </c>
      <c r="D82" s="32" t="s">
        <v>423</v>
      </c>
      <c r="E82" s="32" t="s">
        <v>238</v>
      </c>
      <c r="F82" s="32" t="s">
        <v>829</v>
      </c>
      <c r="G82" s="32" t="s">
        <v>581</v>
      </c>
      <c r="H82" s="94" t="s">
        <v>244</v>
      </c>
      <c r="I82" s="103">
        <v>35324.295167656674</v>
      </c>
      <c r="J82" s="100">
        <v>8410.77</v>
      </c>
      <c r="K82" s="100">
        <v>0</v>
      </c>
      <c r="L82" s="98">
        <v>2971.045220552694</v>
      </c>
      <c r="M82" s="32">
        <v>1.0283865135780783E-3</v>
      </c>
      <c r="N82" s="41">
        <v>2.5763654431663146E-3</v>
      </c>
      <c r="O82" s="41">
        <v>2.5160158359188961E-4</v>
      </c>
      <c r="P82" s="18"/>
      <c r="Q82" s="18"/>
      <c r="R82" s="18"/>
      <c r="S82" s="18"/>
    </row>
    <row r="83" spans="2:19" x14ac:dyDescent="0.2">
      <c r="B83" s="23" t="s">
        <v>1668</v>
      </c>
      <c r="C83" s="32" t="s">
        <v>1669</v>
      </c>
      <c r="D83" s="32" t="s">
        <v>423</v>
      </c>
      <c r="E83" s="32" t="s">
        <v>238</v>
      </c>
      <c r="F83" s="32" t="s">
        <v>1670</v>
      </c>
      <c r="G83" s="32" t="s">
        <v>1671</v>
      </c>
      <c r="H83" s="94" t="s">
        <v>244</v>
      </c>
      <c r="I83" s="103">
        <v>26767.211080098277</v>
      </c>
      <c r="J83" s="100">
        <v>6951.0000000000009</v>
      </c>
      <c r="K83" s="100">
        <v>0</v>
      </c>
      <c r="L83" s="98">
        <v>1860.5888421776312</v>
      </c>
      <c r="M83" s="32">
        <v>4.3113441931519602E-4</v>
      </c>
      <c r="N83" s="41">
        <v>1.6134243813480374E-3</v>
      </c>
      <c r="O83" s="41">
        <v>1.5756310131765958E-4</v>
      </c>
      <c r="P83" s="18"/>
      <c r="Q83" s="18"/>
      <c r="R83" s="18"/>
      <c r="S83" s="18"/>
    </row>
    <row r="84" spans="2:19" x14ac:dyDescent="0.2">
      <c r="B84" s="23" t="s">
        <v>1734</v>
      </c>
      <c r="C84" s="32" t="s">
        <v>1735</v>
      </c>
      <c r="D84" s="32" t="s">
        <v>423</v>
      </c>
      <c r="E84" s="32" t="s">
        <v>238</v>
      </c>
      <c r="F84" s="32" t="s">
        <v>1736</v>
      </c>
      <c r="G84" s="32" t="s">
        <v>1671</v>
      </c>
      <c r="H84" s="94" t="s">
        <v>244</v>
      </c>
      <c r="I84" s="103">
        <v>3578.9876716849681</v>
      </c>
      <c r="J84" s="100">
        <v>65540</v>
      </c>
      <c r="K84" s="100">
        <v>0</v>
      </c>
      <c r="L84" s="98">
        <v>2345.6685200223278</v>
      </c>
      <c r="M84" s="32">
        <v>1.6345969746309895E-3</v>
      </c>
      <c r="N84" s="41">
        <v>2.0340650739016294E-3</v>
      </c>
      <c r="O84" s="41">
        <v>1.9864184837599798E-4</v>
      </c>
      <c r="P84" s="18"/>
      <c r="Q84" s="18"/>
      <c r="R84" s="18"/>
      <c r="S84" s="18"/>
    </row>
    <row r="85" spans="2:19" x14ac:dyDescent="0.2">
      <c r="B85" s="23" t="s">
        <v>1666</v>
      </c>
      <c r="C85" s="32" t="s">
        <v>1667</v>
      </c>
      <c r="D85" s="32" t="s">
        <v>423</v>
      </c>
      <c r="E85" s="32" t="s">
        <v>238</v>
      </c>
      <c r="F85" s="32" t="s">
        <v>1190</v>
      </c>
      <c r="G85" s="32" t="s">
        <v>192</v>
      </c>
      <c r="H85" s="94" t="s">
        <v>244</v>
      </c>
      <c r="I85" s="103">
        <v>36741.043709623329</v>
      </c>
      <c r="J85" s="100">
        <v>5049</v>
      </c>
      <c r="K85" s="100">
        <v>0</v>
      </c>
      <c r="L85" s="98">
        <v>1855.0552968988818</v>
      </c>
      <c r="M85" s="32">
        <v>5.8068472273468833E-4</v>
      </c>
      <c r="N85" s="41">
        <v>1.6086259236417241E-3</v>
      </c>
      <c r="O85" s="41">
        <v>1.5709449560766242E-4</v>
      </c>
      <c r="P85" s="18"/>
      <c r="Q85" s="18"/>
      <c r="R85" s="18"/>
      <c r="S85" s="18"/>
    </row>
    <row r="86" spans="2:19" x14ac:dyDescent="0.2">
      <c r="B86" s="23" t="s">
        <v>1698</v>
      </c>
      <c r="C86" s="32" t="s">
        <v>1699</v>
      </c>
      <c r="D86" s="32" t="s">
        <v>423</v>
      </c>
      <c r="E86" s="32" t="s">
        <v>238</v>
      </c>
      <c r="F86" s="32" t="s">
        <v>1700</v>
      </c>
      <c r="G86" s="32" t="s">
        <v>188</v>
      </c>
      <c r="H86" s="94" t="s">
        <v>244</v>
      </c>
      <c r="I86" s="103">
        <v>2501.2869542302433</v>
      </c>
      <c r="J86" s="100">
        <v>13140</v>
      </c>
      <c r="K86" s="100">
        <v>0</v>
      </c>
      <c r="L86" s="98">
        <v>328.66910578585396</v>
      </c>
      <c r="M86" s="32">
        <v>8.9579642986399642E-5</v>
      </c>
      <c r="N86" s="41">
        <v>2.8500802361585255E-4</v>
      </c>
      <c r="O86" s="41">
        <v>2.78331904615265E-5</v>
      </c>
      <c r="P86" s="18"/>
      <c r="Q86" s="18"/>
      <c r="R86" s="18"/>
      <c r="S86" s="18"/>
    </row>
    <row r="87" spans="2:19" x14ac:dyDescent="0.2">
      <c r="B87" s="23" t="s">
        <v>1797</v>
      </c>
      <c r="C87" s="32" t="s">
        <v>1798</v>
      </c>
      <c r="D87" s="32" t="s">
        <v>423</v>
      </c>
      <c r="E87" s="32" t="s">
        <v>238</v>
      </c>
      <c r="F87" s="32" t="s">
        <v>1799</v>
      </c>
      <c r="G87" s="32" t="s">
        <v>194</v>
      </c>
      <c r="H87" s="94" t="s">
        <v>244</v>
      </c>
      <c r="I87" s="103">
        <v>46739.062865998894</v>
      </c>
      <c r="J87" s="100">
        <v>5324</v>
      </c>
      <c r="K87" s="100">
        <v>0</v>
      </c>
      <c r="L87" s="98">
        <v>2488.3877069857808</v>
      </c>
      <c r="M87" s="32">
        <v>2.2389161544056754E-3</v>
      </c>
      <c r="N87" s="41">
        <v>2.1578251495900872E-3</v>
      </c>
      <c r="O87" s="41">
        <v>2.1072795638961878E-4</v>
      </c>
      <c r="P87" s="18"/>
      <c r="Q87" s="18"/>
      <c r="R87" s="18"/>
      <c r="S87" s="18"/>
    </row>
    <row r="88" spans="2:19" x14ac:dyDescent="0.2">
      <c r="B88" s="23" t="s">
        <v>1737</v>
      </c>
      <c r="C88" s="32" t="s">
        <v>1738</v>
      </c>
      <c r="D88" s="32" t="s">
        <v>423</v>
      </c>
      <c r="E88" s="32" t="s">
        <v>238</v>
      </c>
      <c r="F88" s="32" t="s">
        <v>1124</v>
      </c>
      <c r="G88" s="32" t="s">
        <v>204</v>
      </c>
      <c r="H88" s="94" t="s">
        <v>244</v>
      </c>
      <c r="I88" s="103">
        <v>27318.081960816759</v>
      </c>
      <c r="J88" s="100">
        <v>13790</v>
      </c>
      <c r="K88" s="100">
        <v>0</v>
      </c>
      <c r="L88" s="98">
        <v>3767.1635023966305</v>
      </c>
      <c r="M88" s="32">
        <v>4.3105311936349807E-3</v>
      </c>
      <c r="N88" s="41">
        <v>3.266725729784268E-3</v>
      </c>
      <c r="O88" s="41">
        <v>3.1902049026242716E-4</v>
      </c>
      <c r="P88" s="18"/>
      <c r="Q88" s="18"/>
      <c r="R88" s="18"/>
      <c r="S88" s="18"/>
    </row>
    <row r="89" spans="2:19" x14ac:dyDescent="0.2">
      <c r="B89" s="23" t="s">
        <v>1680</v>
      </c>
      <c r="C89" s="32" t="s">
        <v>1681</v>
      </c>
      <c r="D89" s="32" t="s">
        <v>423</v>
      </c>
      <c r="E89" s="32" t="s">
        <v>238</v>
      </c>
      <c r="F89" s="32" t="s">
        <v>1682</v>
      </c>
      <c r="G89" s="32" t="s">
        <v>206</v>
      </c>
      <c r="H89" s="94" t="s">
        <v>244</v>
      </c>
      <c r="I89" s="103">
        <v>45143.706825188434</v>
      </c>
      <c r="J89" s="100">
        <v>2064</v>
      </c>
      <c r="K89" s="100">
        <v>0</v>
      </c>
      <c r="L89" s="98">
        <v>931.76610887188929</v>
      </c>
      <c r="M89" s="32">
        <v>4.5981630069953189E-4</v>
      </c>
      <c r="N89" s="41">
        <v>8.0798837641539065E-4</v>
      </c>
      <c r="O89" s="41">
        <v>7.8906179854714353E-5</v>
      </c>
      <c r="P89" s="18"/>
      <c r="Q89" s="18"/>
      <c r="R89" s="18"/>
      <c r="S89" s="18"/>
    </row>
    <row r="90" spans="2:19" x14ac:dyDescent="0.2">
      <c r="B90" s="23" t="s">
        <v>1711</v>
      </c>
      <c r="C90" s="32" t="s">
        <v>1712</v>
      </c>
      <c r="D90" s="32" t="s">
        <v>423</v>
      </c>
      <c r="E90" s="32" t="s">
        <v>238</v>
      </c>
      <c r="F90" s="32" t="s">
        <v>1713</v>
      </c>
      <c r="G90" s="32" t="s">
        <v>184</v>
      </c>
      <c r="H90" s="94" t="s">
        <v>244</v>
      </c>
      <c r="I90" s="103">
        <v>43655.226136483565</v>
      </c>
      <c r="J90" s="100">
        <v>7800</v>
      </c>
      <c r="K90" s="100">
        <v>0</v>
      </c>
      <c r="L90" s="98">
        <v>3405.107638645718</v>
      </c>
      <c r="M90" s="32">
        <v>8.7302441400944177E-4</v>
      </c>
      <c r="N90" s="41">
        <v>2.9527661140198E-3</v>
      </c>
      <c r="O90" s="41">
        <v>2.883599577204441E-4</v>
      </c>
      <c r="P90" s="18"/>
      <c r="Q90" s="18"/>
      <c r="R90" s="18"/>
      <c r="S90" s="18"/>
    </row>
    <row r="91" spans="2:19" x14ac:dyDescent="0.2">
      <c r="B91" s="23" t="s">
        <v>1752</v>
      </c>
      <c r="C91" s="32" t="s">
        <v>1753</v>
      </c>
      <c r="D91" s="32" t="s">
        <v>423</v>
      </c>
      <c r="E91" s="32" t="s">
        <v>238</v>
      </c>
      <c r="F91" s="32" t="s">
        <v>792</v>
      </c>
      <c r="G91" s="32" t="s">
        <v>581</v>
      </c>
      <c r="H91" s="94" t="s">
        <v>244</v>
      </c>
      <c r="I91" s="103">
        <v>184949.3880375936</v>
      </c>
      <c r="J91" s="100">
        <v>1013.0000000000001</v>
      </c>
      <c r="K91" s="100">
        <v>0</v>
      </c>
      <c r="L91" s="98">
        <v>1873.537300820823</v>
      </c>
      <c r="M91" s="32">
        <v>9.6446781914630514E-4</v>
      </c>
      <c r="N91" s="41">
        <v>1.6246527400279437E-3</v>
      </c>
      <c r="O91" s="41">
        <v>1.5865963551955068E-4</v>
      </c>
      <c r="P91" s="18"/>
      <c r="Q91" s="18"/>
      <c r="R91" s="18"/>
      <c r="S91" s="18"/>
    </row>
    <row r="92" spans="2:19" x14ac:dyDescent="0.2">
      <c r="B92" s="23" t="s">
        <v>1770</v>
      </c>
      <c r="C92" s="32" t="s">
        <v>1771</v>
      </c>
      <c r="D92" s="32" t="s">
        <v>423</v>
      </c>
      <c r="E92" s="32" t="s">
        <v>238</v>
      </c>
      <c r="F92" s="32" t="s">
        <v>1772</v>
      </c>
      <c r="G92" s="32" t="s">
        <v>197</v>
      </c>
      <c r="H92" s="94" t="s">
        <v>244</v>
      </c>
      <c r="I92" s="103">
        <v>181898.10309985452</v>
      </c>
      <c r="J92" s="100">
        <v>1099</v>
      </c>
      <c r="K92" s="100">
        <v>0</v>
      </c>
      <c r="L92" s="98">
        <v>1999.0601530674012</v>
      </c>
      <c r="M92" s="32">
        <v>1.2349787647284603E-3</v>
      </c>
      <c r="N92" s="41">
        <v>1.7335008775852694E-3</v>
      </c>
      <c r="O92" s="41">
        <v>1.6928947992034873E-4</v>
      </c>
      <c r="P92" s="18"/>
      <c r="Q92" s="18"/>
      <c r="R92" s="18"/>
      <c r="S92" s="18"/>
    </row>
    <row r="93" spans="2:19" x14ac:dyDescent="0.2">
      <c r="B93" s="23" t="s">
        <v>1663</v>
      </c>
      <c r="C93" s="32" t="s">
        <v>1664</v>
      </c>
      <c r="D93" s="32" t="s">
        <v>423</v>
      </c>
      <c r="E93" s="32" t="s">
        <v>238</v>
      </c>
      <c r="F93" s="32" t="s">
        <v>1665</v>
      </c>
      <c r="G93" s="32" t="s">
        <v>191</v>
      </c>
      <c r="H93" s="94" t="s">
        <v>244</v>
      </c>
      <c r="I93" s="103">
        <v>41684.973837589845</v>
      </c>
      <c r="J93" s="100">
        <v>11680</v>
      </c>
      <c r="K93" s="100">
        <v>0</v>
      </c>
      <c r="L93" s="98">
        <v>4868.8049439395281</v>
      </c>
      <c r="M93" s="32">
        <v>1.1757932226652188E-3</v>
      </c>
      <c r="N93" s="41">
        <v>4.2220228491674115E-3</v>
      </c>
      <c r="O93" s="41">
        <v>4.123124837081153E-4</v>
      </c>
      <c r="P93" s="18"/>
      <c r="Q93" s="18"/>
      <c r="R93" s="18"/>
      <c r="S93" s="18"/>
    </row>
    <row r="94" spans="2:19" x14ac:dyDescent="0.2">
      <c r="B94" s="23" t="s">
        <v>1705</v>
      </c>
      <c r="C94" s="32" t="s">
        <v>1706</v>
      </c>
      <c r="D94" s="32" t="s">
        <v>423</v>
      </c>
      <c r="E94" s="32" t="s">
        <v>238</v>
      </c>
      <c r="F94" s="32" t="s">
        <v>1707</v>
      </c>
      <c r="G94" s="32" t="s">
        <v>200</v>
      </c>
      <c r="H94" s="94" t="s">
        <v>244</v>
      </c>
      <c r="I94" s="103">
        <v>2452.0046326025172</v>
      </c>
      <c r="J94" s="100">
        <v>15730.000000000002</v>
      </c>
      <c r="K94" s="100">
        <v>0</v>
      </c>
      <c r="L94" s="98">
        <v>385.70032870837599</v>
      </c>
      <c r="M94" s="32">
        <v>1.8140907028859577E-4</v>
      </c>
      <c r="N94" s="41">
        <v>3.3446310121031835E-4</v>
      </c>
      <c r="O94" s="41">
        <v>3.2662853067206833E-5</v>
      </c>
      <c r="P94" s="18"/>
      <c r="Q94" s="18"/>
      <c r="R94" s="18"/>
      <c r="S94" s="18"/>
    </row>
    <row r="95" spans="2:19" x14ac:dyDescent="0.2">
      <c r="B95" s="23" t="s">
        <v>1693</v>
      </c>
      <c r="C95" s="32" t="s">
        <v>1694</v>
      </c>
      <c r="D95" s="32" t="s">
        <v>423</v>
      </c>
      <c r="E95" s="32" t="s">
        <v>238</v>
      </c>
      <c r="F95" s="32" t="s">
        <v>1695</v>
      </c>
      <c r="G95" s="32" t="s">
        <v>1671</v>
      </c>
      <c r="H95" s="94" t="s">
        <v>244</v>
      </c>
      <c r="I95" s="103">
        <v>28860.018510932954</v>
      </c>
      <c r="J95" s="100">
        <v>23500</v>
      </c>
      <c r="K95" s="100">
        <v>46.176029620000001</v>
      </c>
      <c r="L95" s="98">
        <v>6828.2803796867374</v>
      </c>
      <c r="M95" s="32">
        <v>1.886982783217591E-3</v>
      </c>
      <c r="N95" s="41">
        <v>5.9211975249581902E-3</v>
      </c>
      <c r="O95" s="41">
        <v>5.7824975024076445E-4</v>
      </c>
      <c r="P95" s="18"/>
      <c r="Q95" s="18"/>
      <c r="R95" s="18"/>
      <c r="S95" s="18"/>
    </row>
    <row r="96" spans="2:19" x14ac:dyDescent="0.2">
      <c r="B96" s="23" t="s">
        <v>1795</v>
      </c>
      <c r="C96" s="32" t="s">
        <v>1796</v>
      </c>
      <c r="D96" s="32" t="s">
        <v>423</v>
      </c>
      <c r="E96" s="32" t="s">
        <v>238</v>
      </c>
      <c r="F96" s="32" t="s">
        <v>825</v>
      </c>
      <c r="G96" s="32" t="s">
        <v>607</v>
      </c>
      <c r="H96" s="94" t="s">
        <v>244</v>
      </c>
      <c r="I96" s="103">
        <v>26228.924467485474</v>
      </c>
      <c r="J96" s="100">
        <v>48890</v>
      </c>
      <c r="K96" s="100">
        <v>0</v>
      </c>
      <c r="L96" s="98">
        <v>12823.32117215365</v>
      </c>
      <c r="M96" s="32">
        <v>2.5767561433530399E-3</v>
      </c>
      <c r="N96" s="41">
        <v>1.1119844728722692E-2</v>
      </c>
      <c r="O96" s="41">
        <v>1.0859369933188272E-3</v>
      </c>
      <c r="P96" s="18"/>
      <c r="Q96" s="18"/>
      <c r="R96" s="18"/>
      <c r="S96" s="18"/>
    </row>
    <row r="97" spans="2:19" x14ac:dyDescent="0.2">
      <c r="B97" s="23" t="s">
        <v>1658</v>
      </c>
      <c r="C97" s="32" t="s">
        <v>1659</v>
      </c>
      <c r="D97" s="32" t="s">
        <v>423</v>
      </c>
      <c r="E97" s="32" t="s">
        <v>238</v>
      </c>
      <c r="F97" s="32" t="s">
        <v>1660</v>
      </c>
      <c r="G97" s="32" t="s">
        <v>203</v>
      </c>
      <c r="H97" s="94" t="s">
        <v>244</v>
      </c>
      <c r="I97" s="103">
        <v>11675.945817610627</v>
      </c>
      <c r="J97" s="100">
        <v>15440</v>
      </c>
      <c r="K97" s="100">
        <v>0</v>
      </c>
      <c r="L97" s="98">
        <v>1802.7660342390809</v>
      </c>
      <c r="M97" s="32">
        <v>1.2228739889966623E-3</v>
      </c>
      <c r="N97" s="41">
        <v>1.5632828745243844E-3</v>
      </c>
      <c r="O97" s="41">
        <v>1.526664037028173E-4</v>
      </c>
      <c r="P97" s="18"/>
      <c r="Q97" s="18"/>
      <c r="R97" s="18"/>
      <c r="S97" s="18"/>
    </row>
    <row r="98" spans="2:19" x14ac:dyDescent="0.2">
      <c r="B98" s="23" t="s">
        <v>1785</v>
      </c>
      <c r="C98" s="32" t="s">
        <v>1786</v>
      </c>
      <c r="D98" s="32" t="s">
        <v>423</v>
      </c>
      <c r="E98" s="32" t="s">
        <v>238</v>
      </c>
      <c r="F98" s="32" t="s">
        <v>1787</v>
      </c>
      <c r="G98" s="32" t="s">
        <v>194</v>
      </c>
      <c r="H98" s="94" t="s">
        <v>244</v>
      </c>
      <c r="I98" s="103">
        <v>759.16597736939264</v>
      </c>
      <c r="J98" s="100">
        <v>895.1</v>
      </c>
      <c r="K98" s="100">
        <v>0</v>
      </c>
      <c r="L98" s="98">
        <v>6.7952945543212815</v>
      </c>
      <c r="M98" s="32">
        <v>4.9502215530085595E-6</v>
      </c>
      <c r="N98" s="41">
        <v>5.8925936046953846E-6</v>
      </c>
      <c r="O98" s="41">
        <v>5.7545636095115608E-7</v>
      </c>
      <c r="P98" s="18"/>
      <c r="Q98" s="18"/>
      <c r="R98" s="18"/>
      <c r="S98" s="18"/>
    </row>
    <row r="99" spans="2:19" x14ac:dyDescent="0.2">
      <c r="B99" s="23" t="s">
        <v>1739</v>
      </c>
      <c r="C99" s="32" t="s">
        <v>1740</v>
      </c>
      <c r="D99" s="32" t="s">
        <v>423</v>
      </c>
      <c r="E99" s="32" t="s">
        <v>238</v>
      </c>
      <c r="F99" s="32" t="s">
        <v>1741</v>
      </c>
      <c r="G99" s="32" t="s">
        <v>598</v>
      </c>
      <c r="H99" s="94" t="s">
        <v>244</v>
      </c>
      <c r="I99" s="103">
        <v>80672.2901275966</v>
      </c>
      <c r="J99" s="100">
        <v>1397</v>
      </c>
      <c r="K99" s="100">
        <v>0</v>
      </c>
      <c r="L99" s="98">
        <v>1126.991892806107</v>
      </c>
      <c r="M99" s="32">
        <v>1.2419909503905687E-3</v>
      </c>
      <c r="N99" s="41">
        <v>9.7727996439384815E-4</v>
      </c>
      <c r="O99" s="41">
        <v>9.5438784628289563E-5</v>
      </c>
      <c r="P99" s="18"/>
      <c r="Q99" s="18"/>
      <c r="R99" s="18"/>
      <c r="S99" s="18"/>
    </row>
    <row r="100" spans="2:19" x14ac:dyDescent="0.2">
      <c r="B100" s="23" t="s">
        <v>1717</v>
      </c>
      <c r="C100" s="32" t="s">
        <v>1718</v>
      </c>
      <c r="D100" s="32" t="s">
        <v>423</v>
      </c>
      <c r="E100" s="32" t="s">
        <v>238</v>
      </c>
      <c r="F100" s="32" t="s">
        <v>1719</v>
      </c>
      <c r="G100" s="32" t="s">
        <v>598</v>
      </c>
      <c r="H100" s="94" t="s">
        <v>244</v>
      </c>
      <c r="I100" s="103">
        <v>191314.84545604239</v>
      </c>
      <c r="J100" s="100">
        <v>7377</v>
      </c>
      <c r="K100" s="100">
        <v>0</v>
      </c>
      <c r="L100" s="98">
        <v>14113.296149292248</v>
      </c>
      <c r="M100" s="32">
        <v>3.5521756558462209E-3</v>
      </c>
      <c r="N100" s="41">
        <v>1.2238456768236143E-2</v>
      </c>
      <c r="O100" s="41">
        <v>1.1951779246909878E-3</v>
      </c>
      <c r="P100" s="18"/>
      <c r="Q100" s="18"/>
      <c r="R100" s="18"/>
      <c r="S100" s="18"/>
    </row>
    <row r="101" spans="2:19" x14ac:dyDescent="0.2">
      <c r="B101" s="23" t="s">
        <v>1759</v>
      </c>
      <c r="C101" s="32" t="s">
        <v>1760</v>
      </c>
      <c r="D101" s="32" t="s">
        <v>423</v>
      </c>
      <c r="E101" s="32" t="s">
        <v>238</v>
      </c>
      <c r="F101" s="32" t="s">
        <v>1292</v>
      </c>
      <c r="G101" s="32" t="s">
        <v>194</v>
      </c>
      <c r="H101" s="94" t="s">
        <v>244</v>
      </c>
      <c r="I101" s="103">
        <v>80975.437144704614</v>
      </c>
      <c r="J101" s="100">
        <v>1552</v>
      </c>
      <c r="K101" s="100">
        <v>0</v>
      </c>
      <c r="L101" s="98">
        <v>1256.7387844858156</v>
      </c>
      <c r="M101" s="32">
        <v>1.0128574874456021E-3</v>
      </c>
      <c r="N101" s="41">
        <v>1.0897910112703613E-3</v>
      </c>
      <c r="O101" s="41">
        <v>1.0642633984519308E-4</v>
      </c>
      <c r="P101" s="18"/>
      <c r="Q101" s="18"/>
      <c r="R101" s="18"/>
      <c r="S101" s="18"/>
    </row>
    <row r="102" spans="2:19" x14ac:dyDescent="0.2">
      <c r="B102" s="23" t="s">
        <v>1683</v>
      </c>
      <c r="C102" s="32" t="s">
        <v>1684</v>
      </c>
      <c r="D102" s="32" t="s">
        <v>423</v>
      </c>
      <c r="E102" s="32" t="s">
        <v>238</v>
      </c>
      <c r="F102" s="32" t="s">
        <v>641</v>
      </c>
      <c r="G102" s="32" t="s">
        <v>581</v>
      </c>
      <c r="H102" s="94" t="s">
        <v>244</v>
      </c>
      <c r="I102" s="103">
        <v>3401.5694952893009</v>
      </c>
      <c r="J102" s="100">
        <v>24420</v>
      </c>
      <c r="K102" s="100">
        <v>0</v>
      </c>
      <c r="L102" s="98">
        <v>830.66327074964727</v>
      </c>
      <c r="M102" s="32">
        <v>2.9361918893957439E-4</v>
      </c>
      <c r="N102" s="41">
        <v>7.2031624791923596E-4</v>
      </c>
      <c r="O102" s="41">
        <v>7.0344332999869625E-5</v>
      </c>
      <c r="P102" s="18"/>
      <c r="Q102" s="18"/>
      <c r="R102" s="18"/>
      <c r="S102" s="18"/>
    </row>
    <row r="103" spans="2:19" x14ac:dyDescent="0.2">
      <c r="B103" s="23" t="s">
        <v>1696</v>
      </c>
      <c r="C103" s="32" t="s">
        <v>1697</v>
      </c>
      <c r="D103" s="32" t="s">
        <v>423</v>
      </c>
      <c r="E103" s="32" t="s">
        <v>238</v>
      </c>
      <c r="F103" s="32" t="s">
        <v>708</v>
      </c>
      <c r="G103" s="32" t="s">
        <v>581</v>
      </c>
      <c r="H103" s="94" t="s">
        <v>244</v>
      </c>
      <c r="I103" s="103">
        <v>77686.396829489197</v>
      </c>
      <c r="J103" s="100">
        <v>2064</v>
      </c>
      <c r="K103" s="100">
        <v>0</v>
      </c>
      <c r="L103" s="98">
        <v>1603.4472305606569</v>
      </c>
      <c r="M103" s="32">
        <v>4.3577242188151552E-4</v>
      </c>
      <c r="N103" s="41">
        <v>1.3904419919898484E-3</v>
      </c>
      <c r="O103" s="41">
        <v>1.3578718345459657E-4</v>
      </c>
      <c r="P103" s="18"/>
      <c r="Q103" s="18"/>
      <c r="R103" s="18"/>
      <c r="S103" s="18"/>
    </row>
    <row r="104" spans="2:19" x14ac:dyDescent="0.2">
      <c r="B104" s="23" t="s">
        <v>1688</v>
      </c>
      <c r="C104" s="32" t="s">
        <v>1689</v>
      </c>
      <c r="D104" s="32" t="s">
        <v>423</v>
      </c>
      <c r="E104" s="32" t="s">
        <v>238</v>
      </c>
      <c r="F104" s="32" t="s">
        <v>1690</v>
      </c>
      <c r="G104" s="32" t="s">
        <v>206</v>
      </c>
      <c r="H104" s="94" t="s">
        <v>244</v>
      </c>
      <c r="I104" s="103">
        <v>1184586.7741897616</v>
      </c>
      <c r="J104" s="100">
        <v>264.3</v>
      </c>
      <c r="K104" s="100">
        <v>0</v>
      </c>
      <c r="L104" s="98">
        <v>3130.8628439013032</v>
      </c>
      <c r="M104" s="32">
        <v>1.0540741917182024E-3</v>
      </c>
      <c r="N104" s="41">
        <v>2.7149525636705695E-3</v>
      </c>
      <c r="O104" s="41">
        <v>2.6513566474361373E-4</v>
      </c>
      <c r="P104" s="18"/>
      <c r="Q104" s="18"/>
      <c r="R104" s="18"/>
      <c r="S104" s="18"/>
    </row>
    <row r="105" spans="2:19" x14ac:dyDescent="0.2">
      <c r="B105" s="23" t="s">
        <v>1685</v>
      </c>
      <c r="C105" s="32" t="s">
        <v>1686</v>
      </c>
      <c r="D105" s="32" t="s">
        <v>423</v>
      </c>
      <c r="E105" s="32" t="s">
        <v>238</v>
      </c>
      <c r="F105" s="32" t="s">
        <v>1687</v>
      </c>
      <c r="G105" s="32" t="s">
        <v>194</v>
      </c>
      <c r="H105" s="94" t="s">
        <v>244</v>
      </c>
      <c r="I105" s="103">
        <v>17019.604310738876</v>
      </c>
      <c r="J105" s="100">
        <v>19860</v>
      </c>
      <c r="K105" s="100">
        <v>0</v>
      </c>
      <c r="L105" s="98">
        <v>3380.0934161127407</v>
      </c>
      <c r="M105" s="32">
        <v>1.235490672934777E-3</v>
      </c>
      <c r="N105" s="41">
        <v>2.931074832421048E-3</v>
      </c>
      <c r="O105" s="41">
        <v>2.8624163991158684E-4</v>
      </c>
      <c r="P105" s="18"/>
      <c r="Q105" s="18"/>
      <c r="R105" s="18"/>
      <c r="S105" s="18"/>
    </row>
    <row r="106" spans="2:19" s="160" customFormat="1" x14ac:dyDescent="0.2">
      <c r="B106" s="132" t="s">
        <v>1803</v>
      </c>
      <c r="C106" s="167" t="s">
        <v>238</v>
      </c>
      <c r="D106" s="167" t="s">
        <v>238</v>
      </c>
      <c r="E106" s="167" t="s">
        <v>238</v>
      </c>
      <c r="F106" s="167" t="s">
        <v>238</v>
      </c>
      <c r="G106" s="167" t="s">
        <v>238</v>
      </c>
      <c r="H106" s="168" t="s">
        <v>238</v>
      </c>
      <c r="I106" s="178" t="s">
        <v>238</v>
      </c>
      <c r="J106" s="164" t="s">
        <v>238</v>
      </c>
      <c r="K106" s="164" t="s">
        <v>238</v>
      </c>
      <c r="L106" s="195">
        <v>54400.097637819672</v>
      </c>
      <c r="M106" s="167" t="s">
        <v>238</v>
      </c>
      <c r="N106" s="163">
        <v>4.7173476421499758E-2</v>
      </c>
      <c r="O106" s="163">
        <v>4.6068469838647106E-3</v>
      </c>
    </row>
    <row r="107" spans="2:19" x14ac:dyDescent="0.2">
      <c r="B107" s="23" t="s">
        <v>1857</v>
      </c>
      <c r="C107" s="32" t="s">
        <v>1858</v>
      </c>
      <c r="D107" s="32" t="s">
        <v>423</v>
      </c>
      <c r="E107" s="32" t="s">
        <v>238</v>
      </c>
      <c r="F107" s="32" t="s">
        <v>1859</v>
      </c>
      <c r="G107" s="32" t="s">
        <v>180</v>
      </c>
      <c r="H107" s="94" t="s">
        <v>244</v>
      </c>
      <c r="I107" s="103">
        <v>11979.623119773505</v>
      </c>
      <c r="J107" s="100">
        <v>525.6</v>
      </c>
      <c r="K107" s="100">
        <v>0</v>
      </c>
      <c r="L107" s="98">
        <v>62.964898826563811</v>
      </c>
      <c r="M107" s="32">
        <v>4.6515046090264103E-4</v>
      </c>
      <c r="N107" s="41">
        <v>5.4600511748200476E-5</v>
      </c>
      <c r="O107" s="41">
        <v>5.3321531917038671E-6</v>
      </c>
      <c r="P107" s="18"/>
      <c r="Q107" s="18"/>
      <c r="R107" s="18"/>
      <c r="S107" s="18"/>
    </row>
    <row r="108" spans="2:19" x14ac:dyDescent="0.2">
      <c r="B108" s="23" t="s">
        <v>1854</v>
      </c>
      <c r="C108" s="32" t="s">
        <v>1855</v>
      </c>
      <c r="D108" s="32" t="s">
        <v>423</v>
      </c>
      <c r="E108" s="32" t="s">
        <v>238</v>
      </c>
      <c r="F108" s="32" t="s">
        <v>1856</v>
      </c>
      <c r="G108" s="32" t="s">
        <v>834</v>
      </c>
      <c r="H108" s="94" t="s">
        <v>244</v>
      </c>
      <c r="I108" s="103">
        <v>793296.80382716574</v>
      </c>
      <c r="J108" s="100">
        <v>168.9</v>
      </c>
      <c r="K108" s="100">
        <v>0</v>
      </c>
      <c r="L108" s="98">
        <v>1339.8783014822293</v>
      </c>
      <c r="M108" s="32">
        <v>1.7115877677849848E-3</v>
      </c>
      <c r="N108" s="41">
        <v>1.1618861032835525E-3</v>
      </c>
      <c r="O108" s="41">
        <v>1.1346697119966006E-4</v>
      </c>
      <c r="P108" s="18"/>
      <c r="Q108" s="18"/>
      <c r="R108" s="18"/>
      <c r="S108" s="18"/>
    </row>
    <row r="109" spans="2:19" x14ac:dyDescent="0.2">
      <c r="B109" s="23" t="s">
        <v>1813</v>
      </c>
      <c r="C109" s="32" t="s">
        <v>1814</v>
      </c>
      <c r="D109" s="32" t="s">
        <v>423</v>
      </c>
      <c r="E109" s="32" t="s">
        <v>238</v>
      </c>
      <c r="F109" s="32" t="s">
        <v>1815</v>
      </c>
      <c r="G109" s="32" t="s">
        <v>1671</v>
      </c>
      <c r="H109" s="94" t="s">
        <v>244</v>
      </c>
      <c r="I109" s="103">
        <v>53358.533372453618</v>
      </c>
      <c r="J109" s="100">
        <v>1370</v>
      </c>
      <c r="K109" s="100">
        <v>5.3358533369999996</v>
      </c>
      <c r="L109" s="98">
        <v>736.34776053985991</v>
      </c>
      <c r="M109" s="32">
        <v>1.203957396075745E-3</v>
      </c>
      <c r="N109" s="41">
        <v>6.3852980469105347E-4</v>
      </c>
      <c r="O109" s="41">
        <v>6.2357267854612391E-5</v>
      </c>
      <c r="P109" s="18"/>
      <c r="Q109" s="18"/>
      <c r="R109" s="18"/>
      <c r="S109" s="18"/>
    </row>
    <row r="110" spans="2:19" x14ac:dyDescent="0.2">
      <c r="B110" s="23" t="s">
        <v>1898</v>
      </c>
      <c r="C110" s="32" t="s">
        <v>1899</v>
      </c>
      <c r="D110" s="32" t="s">
        <v>423</v>
      </c>
      <c r="E110" s="32" t="s">
        <v>238</v>
      </c>
      <c r="F110" s="32" t="s">
        <v>1120</v>
      </c>
      <c r="G110" s="32" t="s">
        <v>204</v>
      </c>
      <c r="H110" s="94" t="s">
        <v>244</v>
      </c>
      <c r="I110" s="103">
        <v>739360.12153619237</v>
      </c>
      <c r="J110" s="100">
        <v>260.39999999999998</v>
      </c>
      <c r="K110" s="100">
        <v>0</v>
      </c>
      <c r="L110" s="98">
        <v>1925.2937564802448</v>
      </c>
      <c r="M110" s="32">
        <v>2.4906599560798664E-3</v>
      </c>
      <c r="N110" s="41">
        <v>1.6695337613261987E-3</v>
      </c>
      <c r="O110" s="41">
        <v>1.6304260691121181E-4</v>
      </c>
      <c r="P110" s="18"/>
      <c r="Q110" s="18"/>
      <c r="R110" s="18"/>
      <c r="S110" s="18"/>
    </row>
    <row r="111" spans="2:19" x14ac:dyDescent="0.2">
      <c r="B111" s="23" t="s">
        <v>1849</v>
      </c>
      <c r="C111" s="32" t="s">
        <v>1850</v>
      </c>
      <c r="D111" s="32" t="s">
        <v>423</v>
      </c>
      <c r="E111" s="32" t="s">
        <v>238</v>
      </c>
      <c r="F111" s="32" t="s">
        <v>1851</v>
      </c>
      <c r="G111" s="32" t="s">
        <v>834</v>
      </c>
      <c r="H111" s="94" t="s">
        <v>244</v>
      </c>
      <c r="I111" s="103">
        <v>173371.60678535065</v>
      </c>
      <c r="J111" s="100">
        <v>333.5</v>
      </c>
      <c r="K111" s="100">
        <v>0</v>
      </c>
      <c r="L111" s="98">
        <v>578.19430844729095</v>
      </c>
      <c r="M111" s="32">
        <v>3.1529046714886483E-3</v>
      </c>
      <c r="N111" s="41">
        <v>5.0138578349942866E-4</v>
      </c>
      <c r="O111" s="41">
        <v>4.8964116272216716E-5</v>
      </c>
      <c r="P111" s="18"/>
      <c r="Q111" s="18"/>
      <c r="R111" s="18"/>
      <c r="S111" s="18"/>
    </row>
    <row r="112" spans="2:19" x14ac:dyDescent="0.2">
      <c r="B112" s="23" t="s">
        <v>1825</v>
      </c>
      <c r="C112" s="32" t="s">
        <v>1826</v>
      </c>
      <c r="D112" s="32" t="s">
        <v>423</v>
      </c>
      <c r="E112" s="32" t="s">
        <v>238</v>
      </c>
      <c r="F112" s="32" t="s">
        <v>1827</v>
      </c>
      <c r="G112" s="32" t="s">
        <v>834</v>
      </c>
      <c r="H112" s="94" t="s">
        <v>244</v>
      </c>
      <c r="I112" s="103">
        <v>31781.45998873773</v>
      </c>
      <c r="J112" s="100">
        <v>1838</v>
      </c>
      <c r="K112" s="100">
        <v>0</v>
      </c>
      <c r="L112" s="98">
        <v>584.14323459299942</v>
      </c>
      <c r="M112" s="32">
        <v>2.3941290628445625E-3</v>
      </c>
      <c r="N112" s="41">
        <v>5.0654444202126057E-4</v>
      </c>
      <c r="O112" s="41">
        <v>4.9467898317867649E-5</v>
      </c>
      <c r="P112" s="18"/>
      <c r="Q112" s="18"/>
      <c r="R112" s="18"/>
      <c r="S112" s="18"/>
    </row>
    <row r="113" spans="2:19" x14ac:dyDescent="0.2">
      <c r="B113" s="23" t="s">
        <v>1816</v>
      </c>
      <c r="C113" s="32" t="s">
        <v>1817</v>
      </c>
      <c r="D113" s="32" t="s">
        <v>423</v>
      </c>
      <c r="E113" s="32" t="s">
        <v>238</v>
      </c>
      <c r="F113" s="32" t="s">
        <v>1818</v>
      </c>
      <c r="G113" s="32" t="s">
        <v>192</v>
      </c>
      <c r="H113" s="94" t="s">
        <v>244</v>
      </c>
      <c r="I113" s="103">
        <v>21095.015899690879</v>
      </c>
      <c r="J113" s="100">
        <v>1830</v>
      </c>
      <c r="K113" s="100">
        <v>0</v>
      </c>
      <c r="L113" s="98">
        <v>386.03879096434304</v>
      </c>
      <c r="M113" s="32">
        <v>1.1592069315901306E-3</v>
      </c>
      <c r="N113" s="41">
        <v>3.3475660144183873E-4</v>
      </c>
      <c r="O113" s="41">
        <v>3.2691515586039699E-5</v>
      </c>
      <c r="P113" s="18"/>
      <c r="Q113" s="18"/>
      <c r="R113" s="18"/>
      <c r="S113" s="18"/>
    </row>
    <row r="114" spans="2:19" x14ac:dyDescent="0.2">
      <c r="B114" s="23" t="s">
        <v>1831</v>
      </c>
      <c r="C114" s="32" t="s">
        <v>1832</v>
      </c>
      <c r="D114" s="32" t="s">
        <v>423</v>
      </c>
      <c r="E114" s="32" t="s">
        <v>238</v>
      </c>
      <c r="F114" s="32" t="s">
        <v>1833</v>
      </c>
      <c r="G114" s="32" t="s">
        <v>206</v>
      </c>
      <c r="H114" s="94" t="s">
        <v>244</v>
      </c>
      <c r="I114" s="103">
        <v>3387.4234685927045</v>
      </c>
      <c r="J114" s="100">
        <v>2268</v>
      </c>
      <c r="K114" s="100">
        <v>0</v>
      </c>
      <c r="L114" s="98">
        <v>76.826764020361665</v>
      </c>
      <c r="M114" s="32">
        <v>2.4130493452084194E-4</v>
      </c>
      <c r="N114" s="41">
        <v>6.6620938167858635E-5</v>
      </c>
      <c r="O114" s="41">
        <v>6.5060388027912795E-6</v>
      </c>
      <c r="P114" s="18"/>
      <c r="Q114" s="18"/>
      <c r="R114" s="18"/>
      <c r="S114" s="18"/>
    </row>
    <row r="115" spans="2:19" x14ac:dyDescent="0.2">
      <c r="B115" s="23" t="s">
        <v>1889</v>
      </c>
      <c r="C115" s="32" t="s">
        <v>1890</v>
      </c>
      <c r="D115" s="32" t="s">
        <v>423</v>
      </c>
      <c r="E115" s="32" t="s">
        <v>238</v>
      </c>
      <c r="F115" s="32" t="s">
        <v>672</v>
      </c>
      <c r="G115" s="32" t="s">
        <v>566</v>
      </c>
      <c r="H115" s="94" t="s">
        <v>244</v>
      </c>
      <c r="I115" s="103">
        <v>105867.52899200922</v>
      </c>
      <c r="J115" s="100">
        <v>15800</v>
      </c>
      <c r="K115" s="100">
        <v>0</v>
      </c>
      <c r="L115" s="98">
        <v>16727.069580737458</v>
      </c>
      <c r="M115" s="32">
        <v>4.5105530527259283E-3</v>
      </c>
      <c r="N115" s="41">
        <v>1.4505011143934595E-2</v>
      </c>
      <c r="O115" s="41">
        <v>1.4165241128784856E-3</v>
      </c>
      <c r="P115" s="18"/>
      <c r="Q115" s="18"/>
      <c r="R115" s="18"/>
      <c r="S115" s="18"/>
    </row>
    <row r="116" spans="2:19" x14ac:dyDescent="0.2">
      <c r="B116" s="23" t="s">
        <v>1804</v>
      </c>
      <c r="C116" s="32" t="s">
        <v>1805</v>
      </c>
      <c r="D116" s="32" t="s">
        <v>423</v>
      </c>
      <c r="E116" s="32" t="s">
        <v>238</v>
      </c>
      <c r="F116" s="32" t="s">
        <v>1806</v>
      </c>
      <c r="G116" s="32" t="s">
        <v>566</v>
      </c>
      <c r="H116" s="94" t="s">
        <v>244</v>
      </c>
      <c r="I116" s="103">
        <v>220778.14505098943</v>
      </c>
      <c r="J116" s="100">
        <v>843.79999999999984</v>
      </c>
      <c r="K116" s="100">
        <v>0</v>
      </c>
      <c r="L116" s="98">
        <v>1862.9259877220245</v>
      </c>
      <c r="M116" s="32">
        <v>3.6076607542069429E-3</v>
      </c>
      <c r="N116" s="41">
        <v>1.6154510556559783E-3</v>
      </c>
      <c r="O116" s="41">
        <v>1.5776102140180581E-4</v>
      </c>
      <c r="P116" s="18"/>
      <c r="Q116" s="18"/>
      <c r="R116" s="18"/>
      <c r="S116" s="18"/>
    </row>
    <row r="117" spans="2:19" x14ac:dyDescent="0.2">
      <c r="B117" s="23" t="s">
        <v>1866</v>
      </c>
      <c r="C117" s="32" t="s">
        <v>1867</v>
      </c>
      <c r="D117" s="32" t="s">
        <v>423</v>
      </c>
      <c r="E117" s="32" t="s">
        <v>238</v>
      </c>
      <c r="F117" s="32" t="s">
        <v>1174</v>
      </c>
      <c r="G117" s="32" t="s">
        <v>592</v>
      </c>
      <c r="H117" s="94" t="s">
        <v>244</v>
      </c>
      <c r="I117" s="103">
        <v>16053.197987513553</v>
      </c>
      <c r="J117" s="100">
        <v>9553</v>
      </c>
      <c r="K117" s="100">
        <v>0</v>
      </c>
      <c r="L117" s="98">
        <v>1533.5620037471699</v>
      </c>
      <c r="M117" s="32">
        <v>1.2696762984273982E-3</v>
      </c>
      <c r="N117" s="41">
        <v>1.3298404629035244E-3</v>
      </c>
      <c r="O117" s="41">
        <v>1.2986898550381589E-4</v>
      </c>
      <c r="P117" s="18"/>
      <c r="Q117" s="18"/>
      <c r="R117" s="18"/>
      <c r="S117" s="18"/>
    </row>
    <row r="118" spans="2:19" x14ac:dyDescent="0.2">
      <c r="B118" s="23" t="s">
        <v>1886</v>
      </c>
      <c r="C118" s="32" t="s">
        <v>1887</v>
      </c>
      <c r="D118" s="32" t="s">
        <v>423</v>
      </c>
      <c r="E118" s="32" t="s">
        <v>238</v>
      </c>
      <c r="F118" s="32" t="s">
        <v>1888</v>
      </c>
      <c r="G118" s="32" t="s">
        <v>197</v>
      </c>
      <c r="H118" s="94" t="s">
        <v>244</v>
      </c>
      <c r="I118" s="103">
        <v>2060.2192683413618</v>
      </c>
      <c r="J118" s="100">
        <v>627</v>
      </c>
      <c r="K118" s="100">
        <v>0</v>
      </c>
      <c r="L118" s="98">
        <v>12.917574812500339</v>
      </c>
      <c r="M118" s="32">
        <v>1.7712174562287933E-5</v>
      </c>
      <c r="N118" s="41">
        <v>1.120157752100805E-5</v>
      </c>
      <c r="O118" s="41">
        <v>1.0939188190434843E-6</v>
      </c>
      <c r="P118" s="18"/>
      <c r="Q118" s="18"/>
      <c r="R118" s="18"/>
      <c r="S118" s="18"/>
    </row>
    <row r="119" spans="2:19" x14ac:dyDescent="0.2">
      <c r="B119" s="23" t="s">
        <v>1876</v>
      </c>
      <c r="C119" s="32" t="s">
        <v>1877</v>
      </c>
      <c r="D119" s="32" t="s">
        <v>423</v>
      </c>
      <c r="E119" s="32" t="s">
        <v>238</v>
      </c>
      <c r="F119" s="32" t="s">
        <v>1878</v>
      </c>
      <c r="G119" s="32" t="s">
        <v>607</v>
      </c>
      <c r="H119" s="94" t="s">
        <v>244</v>
      </c>
      <c r="I119" s="103">
        <v>2134719.4812435051</v>
      </c>
      <c r="J119" s="100">
        <v>88</v>
      </c>
      <c r="K119" s="100">
        <v>0</v>
      </c>
      <c r="L119" s="98">
        <v>1878.5531434942845</v>
      </c>
      <c r="M119" s="32">
        <v>2.2628833059320157E-3</v>
      </c>
      <c r="N119" s="41">
        <v>1.6290022678112539E-3</v>
      </c>
      <c r="O119" s="41">
        <v>1.5908439982504179E-4</v>
      </c>
      <c r="P119" s="18"/>
      <c r="Q119" s="18"/>
      <c r="R119" s="18"/>
      <c r="S119" s="18"/>
    </row>
    <row r="120" spans="2:19" x14ac:dyDescent="0.2">
      <c r="B120" s="23" t="s">
        <v>1819</v>
      </c>
      <c r="C120" s="32" t="s">
        <v>1820</v>
      </c>
      <c r="D120" s="32" t="s">
        <v>423</v>
      </c>
      <c r="E120" s="32" t="s">
        <v>238</v>
      </c>
      <c r="F120" s="32" t="s">
        <v>1821</v>
      </c>
      <c r="G120" s="32" t="s">
        <v>199</v>
      </c>
      <c r="H120" s="94" t="s">
        <v>244</v>
      </c>
      <c r="I120" s="103">
        <v>42589.054936339533</v>
      </c>
      <c r="J120" s="100">
        <v>2565</v>
      </c>
      <c r="K120" s="100">
        <v>0</v>
      </c>
      <c r="L120" s="98">
        <v>1092.4092591171091</v>
      </c>
      <c r="M120" s="32">
        <v>2.6883037907716942E-3</v>
      </c>
      <c r="N120" s="41">
        <v>9.4729135911996441E-4</v>
      </c>
      <c r="O120" s="41">
        <v>9.2510170367981706E-5</v>
      </c>
      <c r="P120" s="18"/>
      <c r="Q120" s="18"/>
      <c r="R120" s="18"/>
      <c r="S120" s="18"/>
    </row>
    <row r="121" spans="2:19" x14ac:dyDescent="0.2">
      <c r="B121" s="23" t="s">
        <v>1863</v>
      </c>
      <c r="C121" s="32" t="s">
        <v>1864</v>
      </c>
      <c r="D121" s="32" t="s">
        <v>423</v>
      </c>
      <c r="E121" s="32" t="s">
        <v>238</v>
      </c>
      <c r="F121" s="32" t="s">
        <v>1865</v>
      </c>
      <c r="G121" s="32" t="s">
        <v>834</v>
      </c>
      <c r="H121" s="94" t="s">
        <v>244</v>
      </c>
      <c r="I121" s="103">
        <v>82728.833043856677</v>
      </c>
      <c r="J121" s="100">
        <v>458.7</v>
      </c>
      <c r="K121" s="100">
        <v>0</v>
      </c>
      <c r="L121" s="98">
        <v>379.47715717217056</v>
      </c>
      <c r="M121" s="32">
        <v>1.1060515744679303E-3</v>
      </c>
      <c r="N121" s="41">
        <v>3.2906662862152575E-4</v>
      </c>
      <c r="O121" s="41">
        <v>3.2135846678128049E-5</v>
      </c>
      <c r="P121" s="18"/>
      <c r="Q121" s="18"/>
      <c r="R121" s="18"/>
      <c r="S121" s="18"/>
    </row>
    <row r="122" spans="2:19" x14ac:dyDescent="0.2">
      <c r="B122" s="23" t="s">
        <v>1828</v>
      </c>
      <c r="C122" s="32" t="s">
        <v>1829</v>
      </c>
      <c r="D122" s="32" t="s">
        <v>423</v>
      </c>
      <c r="E122" s="32" t="s">
        <v>238</v>
      </c>
      <c r="F122" s="32" t="s">
        <v>1830</v>
      </c>
      <c r="G122" s="32" t="s">
        <v>194</v>
      </c>
      <c r="H122" s="94" t="s">
        <v>244</v>
      </c>
      <c r="I122" s="103">
        <v>72737.83343587532</v>
      </c>
      <c r="J122" s="100">
        <v>47.4</v>
      </c>
      <c r="K122" s="100">
        <v>0</v>
      </c>
      <c r="L122" s="98">
        <v>34.477732903122039</v>
      </c>
      <c r="M122" s="32">
        <v>4.1601375718445285E-4</v>
      </c>
      <c r="N122" s="41">
        <v>2.9897639724849959E-5</v>
      </c>
      <c r="O122" s="41">
        <v>2.9197307860127367E-6</v>
      </c>
      <c r="P122" s="18"/>
      <c r="Q122" s="18"/>
      <c r="R122" s="18"/>
      <c r="S122" s="18"/>
    </row>
    <row r="123" spans="2:19" x14ac:dyDescent="0.2">
      <c r="B123" s="23" t="s">
        <v>1868</v>
      </c>
      <c r="C123" s="32" t="s">
        <v>1869</v>
      </c>
      <c r="D123" s="32" t="s">
        <v>423</v>
      </c>
      <c r="E123" s="32" t="s">
        <v>238</v>
      </c>
      <c r="F123" s="32" t="s">
        <v>1870</v>
      </c>
      <c r="G123" s="32" t="s">
        <v>581</v>
      </c>
      <c r="H123" s="94" t="s">
        <v>244</v>
      </c>
      <c r="I123" s="103">
        <v>27096.766147455346</v>
      </c>
      <c r="J123" s="100">
        <v>13650</v>
      </c>
      <c r="K123" s="100">
        <v>0</v>
      </c>
      <c r="L123" s="98">
        <v>3698.7085791276545</v>
      </c>
      <c r="M123" s="32">
        <v>1.5254929110979257E-3</v>
      </c>
      <c r="N123" s="41">
        <v>3.2073644997683941E-3</v>
      </c>
      <c r="O123" s="41">
        <v>3.1322341690252331E-4</v>
      </c>
      <c r="P123" s="18"/>
      <c r="Q123" s="18"/>
      <c r="R123" s="18"/>
      <c r="S123" s="18"/>
    </row>
    <row r="124" spans="2:19" x14ac:dyDescent="0.2">
      <c r="B124" s="23" t="s">
        <v>1879</v>
      </c>
      <c r="C124" s="32" t="s">
        <v>1880</v>
      </c>
      <c r="D124" s="32" t="s">
        <v>423</v>
      </c>
      <c r="E124" s="32" t="s">
        <v>238</v>
      </c>
      <c r="F124" s="32" t="s">
        <v>1881</v>
      </c>
      <c r="G124" s="32" t="s">
        <v>1882</v>
      </c>
      <c r="H124" s="94" t="s">
        <v>244</v>
      </c>
      <c r="I124" s="103">
        <v>202970.42367209468</v>
      </c>
      <c r="J124" s="100">
        <v>1291</v>
      </c>
      <c r="K124" s="100">
        <v>0</v>
      </c>
      <c r="L124" s="98">
        <v>2620.3481696067424</v>
      </c>
      <c r="M124" s="32">
        <v>1.0148521183604734E-3</v>
      </c>
      <c r="N124" s="41">
        <v>2.2722557120766593E-3</v>
      </c>
      <c r="O124" s="41">
        <v>2.2190296683283781E-4</v>
      </c>
      <c r="P124" s="18"/>
      <c r="Q124" s="18"/>
      <c r="R124" s="18"/>
      <c r="S124" s="18"/>
    </row>
    <row r="125" spans="2:19" x14ac:dyDescent="0.2">
      <c r="B125" s="23" t="s">
        <v>1837</v>
      </c>
      <c r="C125" s="32" t="s">
        <v>1838</v>
      </c>
      <c r="D125" s="32" t="s">
        <v>423</v>
      </c>
      <c r="E125" s="32" t="s">
        <v>238</v>
      </c>
      <c r="F125" s="32" t="s">
        <v>1839</v>
      </c>
      <c r="G125" s="32" t="s">
        <v>206</v>
      </c>
      <c r="H125" s="94" t="s">
        <v>244</v>
      </c>
      <c r="I125" s="103">
        <v>11286.924627846673</v>
      </c>
      <c r="J125" s="100">
        <v>7689</v>
      </c>
      <c r="K125" s="100">
        <v>0</v>
      </c>
      <c r="L125" s="98">
        <v>867.85163463513072</v>
      </c>
      <c r="M125" s="32">
        <v>1.7151816897922184E-3</v>
      </c>
      <c r="N125" s="41">
        <v>7.5256443281378649E-4</v>
      </c>
      <c r="O125" s="41">
        <v>7.3493612310750832E-5</v>
      </c>
      <c r="P125" s="18"/>
      <c r="Q125" s="18"/>
      <c r="R125" s="18"/>
      <c r="S125" s="18"/>
    </row>
    <row r="126" spans="2:19" x14ac:dyDescent="0.2">
      <c r="B126" s="23" t="s">
        <v>1871</v>
      </c>
      <c r="C126" s="32" t="s">
        <v>1872</v>
      </c>
      <c r="D126" s="32" t="s">
        <v>423</v>
      </c>
      <c r="E126" s="32" t="s">
        <v>238</v>
      </c>
      <c r="F126" s="32" t="s">
        <v>1873</v>
      </c>
      <c r="G126" s="32" t="s">
        <v>199</v>
      </c>
      <c r="H126" s="94" t="s">
        <v>244</v>
      </c>
      <c r="I126" s="103">
        <v>41694.662632909705</v>
      </c>
      <c r="J126" s="100">
        <v>4301</v>
      </c>
      <c r="K126" s="100">
        <v>0</v>
      </c>
      <c r="L126" s="98">
        <v>1793.2874398414465</v>
      </c>
      <c r="M126" s="32">
        <v>4.1694662632909708E-3</v>
      </c>
      <c r="N126" s="41">
        <v>1.5550634361641321E-3</v>
      </c>
      <c r="O126" s="41">
        <v>1.5186371334180475E-4</v>
      </c>
      <c r="P126" s="18"/>
      <c r="Q126" s="18"/>
      <c r="R126" s="18"/>
      <c r="S126" s="18"/>
    </row>
    <row r="127" spans="2:19" x14ac:dyDescent="0.2">
      <c r="B127" s="23" t="s">
        <v>1894</v>
      </c>
      <c r="C127" s="32" t="s">
        <v>1895</v>
      </c>
      <c r="D127" s="32" t="s">
        <v>423</v>
      </c>
      <c r="E127" s="32" t="s">
        <v>238</v>
      </c>
      <c r="F127" s="32" t="s">
        <v>1873</v>
      </c>
      <c r="G127" s="32" t="s">
        <v>199</v>
      </c>
      <c r="H127" s="94" t="s">
        <v>244</v>
      </c>
      <c r="I127" s="103">
        <v>16672.33670416948</v>
      </c>
      <c r="J127" s="100">
        <v>4301</v>
      </c>
      <c r="K127" s="100">
        <v>0</v>
      </c>
      <c r="L127" s="98">
        <v>717.0772016463294</v>
      </c>
      <c r="M127" s="32">
        <v>1.667233670416948E-3</v>
      </c>
      <c r="N127" s="41">
        <v>6.2181918660273046E-4</v>
      </c>
      <c r="O127" s="41">
        <v>6.0725349531467137E-5</v>
      </c>
      <c r="P127" s="18"/>
      <c r="Q127" s="18"/>
      <c r="R127" s="18"/>
      <c r="S127" s="18"/>
    </row>
    <row r="128" spans="2:19" x14ac:dyDescent="0.2">
      <c r="B128" s="23" t="s">
        <v>1900</v>
      </c>
      <c r="C128" s="32" t="s">
        <v>1901</v>
      </c>
      <c r="D128" s="32" t="s">
        <v>423</v>
      </c>
      <c r="E128" s="32" t="s">
        <v>238</v>
      </c>
      <c r="F128" s="32" t="s">
        <v>1902</v>
      </c>
      <c r="G128" s="32" t="s">
        <v>598</v>
      </c>
      <c r="H128" s="94" t="s">
        <v>244</v>
      </c>
      <c r="I128" s="103">
        <v>28207.821722119188</v>
      </c>
      <c r="J128" s="100">
        <v>6384</v>
      </c>
      <c r="K128" s="100">
        <v>0</v>
      </c>
      <c r="L128" s="98">
        <v>1800.7873384782197</v>
      </c>
      <c r="M128" s="32">
        <v>2.9631011034511176E-3</v>
      </c>
      <c r="N128" s="41">
        <v>1.561567032791126E-3</v>
      </c>
      <c r="O128" s="41">
        <v>1.5249883877198578E-4</v>
      </c>
      <c r="P128" s="18"/>
      <c r="Q128" s="18"/>
      <c r="R128" s="18"/>
      <c r="S128" s="18"/>
    </row>
    <row r="129" spans="2:19" x14ac:dyDescent="0.2">
      <c r="B129" s="23" t="s">
        <v>1891</v>
      </c>
      <c r="C129" s="32" t="s">
        <v>1892</v>
      </c>
      <c r="D129" s="32" t="s">
        <v>423</v>
      </c>
      <c r="E129" s="32" t="s">
        <v>238</v>
      </c>
      <c r="F129" s="32" t="s">
        <v>1893</v>
      </c>
      <c r="G129" s="32" t="s">
        <v>581</v>
      </c>
      <c r="H129" s="94" t="s">
        <v>244</v>
      </c>
      <c r="I129" s="103">
        <v>3273364.5361589296</v>
      </c>
      <c r="J129" s="100">
        <v>76.599999999999994</v>
      </c>
      <c r="K129" s="100">
        <v>0</v>
      </c>
      <c r="L129" s="98">
        <v>2507.3972346977403</v>
      </c>
      <c r="M129" s="32">
        <v>3.4593575339530594E-3</v>
      </c>
      <c r="N129" s="41">
        <v>2.1743094124175959E-3</v>
      </c>
      <c r="O129" s="41">
        <v>2.1233776940847722E-4</v>
      </c>
      <c r="P129" s="18"/>
      <c r="Q129" s="18"/>
      <c r="R129" s="18"/>
      <c r="S129" s="18"/>
    </row>
    <row r="130" spans="2:19" x14ac:dyDescent="0.2">
      <c r="B130" s="23" t="s">
        <v>1843</v>
      </c>
      <c r="C130" s="32" t="s">
        <v>1844</v>
      </c>
      <c r="D130" s="32" t="s">
        <v>423</v>
      </c>
      <c r="E130" s="32" t="s">
        <v>238</v>
      </c>
      <c r="F130" s="32" t="s">
        <v>1845</v>
      </c>
      <c r="G130" s="32" t="s">
        <v>199</v>
      </c>
      <c r="H130" s="94" t="s">
        <v>244</v>
      </c>
      <c r="I130" s="103">
        <v>2281.0899041258563</v>
      </c>
      <c r="J130" s="100">
        <v>13790</v>
      </c>
      <c r="K130" s="100">
        <v>0</v>
      </c>
      <c r="L130" s="98">
        <v>314.56229763347272</v>
      </c>
      <c r="M130" s="32">
        <v>6.860783921572559E-4</v>
      </c>
      <c r="N130" s="41">
        <v>2.7277519296563073E-4</v>
      </c>
      <c r="O130" s="41">
        <v>2.6638561969838368E-5</v>
      </c>
      <c r="P130" s="18"/>
      <c r="Q130" s="18"/>
      <c r="R130" s="18"/>
      <c r="S130" s="18"/>
    </row>
    <row r="131" spans="2:19" x14ac:dyDescent="0.2">
      <c r="B131" s="23" t="s">
        <v>1852</v>
      </c>
      <c r="C131" s="32" t="s">
        <v>1853</v>
      </c>
      <c r="D131" s="32" t="s">
        <v>423</v>
      </c>
      <c r="E131" s="32" t="s">
        <v>238</v>
      </c>
      <c r="F131" s="32" t="s">
        <v>1203</v>
      </c>
      <c r="G131" s="32" t="s">
        <v>592</v>
      </c>
      <c r="H131" s="94" t="s">
        <v>244</v>
      </c>
      <c r="I131" s="103">
        <v>58703.160781484563</v>
      </c>
      <c r="J131" s="100">
        <v>21.2</v>
      </c>
      <c r="K131" s="100">
        <v>0</v>
      </c>
      <c r="L131" s="98">
        <v>12.445069733606186</v>
      </c>
      <c r="M131" s="32">
        <v>6.2223146584078663E-4</v>
      </c>
      <c r="N131" s="41">
        <v>1.0791840991734687E-5</v>
      </c>
      <c r="O131" s="41">
        <v>1.0539049460527313E-6</v>
      </c>
      <c r="P131" s="18"/>
      <c r="Q131" s="18"/>
      <c r="R131" s="18"/>
      <c r="S131" s="18"/>
    </row>
    <row r="132" spans="2:19" x14ac:dyDescent="0.2">
      <c r="B132" s="23" t="s">
        <v>1874</v>
      </c>
      <c r="C132" s="32" t="s">
        <v>1875</v>
      </c>
      <c r="D132" s="32" t="s">
        <v>423</v>
      </c>
      <c r="E132" s="32" t="s">
        <v>238</v>
      </c>
      <c r="F132" s="32" t="s">
        <v>889</v>
      </c>
      <c r="G132" s="32" t="s">
        <v>581</v>
      </c>
      <c r="H132" s="94" t="s">
        <v>244</v>
      </c>
      <c r="I132" s="103">
        <v>896988.40884345246</v>
      </c>
      <c r="J132" s="100">
        <v>232.7</v>
      </c>
      <c r="K132" s="100">
        <v>0</v>
      </c>
      <c r="L132" s="98">
        <v>2087.2920272696019</v>
      </c>
      <c r="M132" s="32">
        <v>2.275240347545279E-3</v>
      </c>
      <c r="N132" s="41">
        <v>1.8100118475657466E-3</v>
      </c>
      <c r="O132" s="41">
        <v>1.7676135517791363E-4</v>
      </c>
      <c r="P132" s="18"/>
      <c r="Q132" s="18"/>
      <c r="R132" s="18"/>
      <c r="S132" s="18"/>
    </row>
    <row r="133" spans="2:19" x14ac:dyDescent="0.2">
      <c r="B133" s="23" t="s">
        <v>1896</v>
      </c>
      <c r="C133" s="32" t="s">
        <v>1897</v>
      </c>
      <c r="D133" s="32" t="s">
        <v>423</v>
      </c>
      <c r="E133" s="32" t="s">
        <v>238</v>
      </c>
      <c r="F133" s="32" t="s">
        <v>889</v>
      </c>
      <c r="G133" s="32" t="s">
        <v>581</v>
      </c>
      <c r="H133" s="94" t="s">
        <v>244</v>
      </c>
      <c r="I133" s="103">
        <v>1094517.7005006755</v>
      </c>
      <c r="J133" s="100">
        <v>227.93819999999999</v>
      </c>
      <c r="K133" s="100">
        <v>0</v>
      </c>
      <c r="L133" s="98">
        <v>2494.8248754559522</v>
      </c>
      <c r="M133" s="32">
        <v>2.7762798367623456E-3</v>
      </c>
      <c r="N133" s="41">
        <v>2.1634071913185886E-3</v>
      </c>
      <c r="O133" s="41">
        <v>2.1127308500958696E-4</v>
      </c>
      <c r="P133" s="18"/>
      <c r="Q133" s="18"/>
      <c r="R133" s="18"/>
      <c r="S133" s="18"/>
    </row>
    <row r="134" spans="2:19" x14ac:dyDescent="0.2">
      <c r="B134" s="23" t="s">
        <v>1903</v>
      </c>
      <c r="C134" s="32" t="s">
        <v>1904</v>
      </c>
      <c r="D134" s="32" t="s">
        <v>423</v>
      </c>
      <c r="E134" s="32" t="s">
        <v>238</v>
      </c>
      <c r="F134" s="32" t="s">
        <v>1905</v>
      </c>
      <c r="G134" s="32" t="s">
        <v>199</v>
      </c>
      <c r="H134" s="94" t="s">
        <v>244</v>
      </c>
      <c r="I134" s="103">
        <v>6001.2410577255077</v>
      </c>
      <c r="J134" s="100">
        <v>21320</v>
      </c>
      <c r="K134" s="100">
        <v>0</v>
      </c>
      <c r="L134" s="98">
        <v>1279.4645935070782</v>
      </c>
      <c r="M134" s="32">
        <v>1.6222832530988684E-3</v>
      </c>
      <c r="N134" s="41">
        <v>1.109497876930079E-3</v>
      </c>
      <c r="O134" s="41">
        <v>1.0835086441944136E-4</v>
      </c>
      <c r="P134" s="18"/>
      <c r="Q134" s="18"/>
      <c r="R134" s="18"/>
      <c r="S134" s="18"/>
    </row>
    <row r="135" spans="2:19" x14ac:dyDescent="0.2">
      <c r="B135" s="23" t="s">
        <v>1840</v>
      </c>
      <c r="C135" s="32" t="s">
        <v>1841</v>
      </c>
      <c r="D135" s="32" t="s">
        <v>423</v>
      </c>
      <c r="E135" s="32" t="s">
        <v>238</v>
      </c>
      <c r="F135" s="32" t="s">
        <v>1842</v>
      </c>
      <c r="G135" s="32" t="s">
        <v>194</v>
      </c>
      <c r="H135" s="94" t="s">
        <v>244</v>
      </c>
      <c r="I135" s="103">
        <v>291995.53703053598</v>
      </c>
      <c r="J135" s="100">
        <v>164.7</v>
      </c>
      <c r="K135" s="100">
        <v>0</v>
      </c>
      <c r="L135" s="98">
        <v>480.91664919832704</v>
      </c>
      <c r="M135" s="32">
        <v>1.3441574139488044E-3</v>
      </c>
      <c r="N135" s="41">
        <v>4.1703068922236617E-4</v>
      </c>
      <c r="O135" s="41">
        <v>4.0726202912352573E-5</v>
      </c>
      <c r="P135" s="18"/>
      <c r="Q135" s="18"/>
      <c r="R135" s="18"/>
      <c r="S135" s="18"/>
    </row>
    <row r="136" spans="2:19" x14ac:dyDescent="0.2">
      <c r="B136" s="23" t="s">
        <v>1822</v>
      </c>
      <c r="C136" s="32" t="s">
        <v>1823</v>
      </c>
      <c r="D136" s="32" t="s">
        <v>423</v>
      </c>
      <c r="E136" s="32" t="s">
        <v>238</v>
      </c>
      <c r="F136" s="32" t="s">
        <v>1824</v>
      </c>
      <c r="G136" s="32" t="s">
        <v>204</v>
      </c>
      <c r="H136" s="94" t="s">
        <v>244</v>
      </c>
      <c r="I136" s="103">
        <v>26059.043031080728</v>
      </c>
      <c r="J136" s="100">
        <v>1998</v>
      </c>
      <c r="K136" s="100">
        <v>0</v>
      </c>
      <c r="L136" s="98">
        <v>520.65967952094627</v>
      </c>
      <c r="M136" s="32">
        <v>2.474568086649977E-3</v>
      </c>
      <c r="N136" s="41">
        <v>4.5149417339338779E-4</v>
      </c>
      <c r="O136" s="41">
        <v>4.409182296308049E-5</v>
      </c>
      <c r="P136" s="18"/>
      <c r="Q136" s="18"/>
      <c r="R136" s="18"/>
      <c r="S136" s="18"/>
    </row>
    <row r="137" spans="2:19" x14ac:dyDescent="0.2">
      <c r="B137" s="23" t="s">
        <v>1860</v>
      </c>
      <c r="C137" s="32" t="s">
        <v>1861</v>
      </c>
      <c r="D137" s="32" t="s">
        <v>423</v>
      </c>
      <c r="E137" s="32" t="s">
        <v>238</v>
      </c>
      <c r="F137" s="32" t="s">
        <v>1862</v>
      </c>
      <c r="G137" s="32" t="s">
        <v>592</v>
      </c>
      <c r="H137" s="94" t="s">
        <v>244</v>
      </c>
      <c r="I137" s="103">
        <v>159443.62253757977</v>
      </c>
      <c r="J137" s="100">
        <v>42.9</v>
      </c>
      <c r="K137" s="100">
        <v>0</v>
      </c>
      <c r="L137" s="98">
        <v>68.401313923138844</v>
      </c>
      <c r="M137" s="32">
        <v>1.1970808119121231E-3</v>
      </c>
      <c r="N137" s="41">
        <v>5.9314742246152326E-5</v>
      </c>
      <c r="O137" s="41">
        <v>5.7925334773686823E-6</v>
      </c>
      <c r="P137" s="18"/>
      <c r="Q137" s="18"/>
      <c r="R137" s="18"/>
      <c r="S137" s="18"/>
    </row>
    <row r="138" spans="2:19" x14ac:dyDescent="0.2">
      <c r="B138" s="23" t="s">
        <v>1846</v>
      </c>
      <c r="C138" s="32" t="s">
        <v>1847</v>
      </c>
      <c r="D138" s="32" t="s">
        <v>423</v>
      </c>
      <c r="E138" s="32" t="s">
        <v>238</v>
      </c>
      <c r="F138" s="32" t="s">
        <v>1848</v>
      </c>
      <c r="G138" s="32" t="s">
        <v>194</v>
      </c>
      <c r="H138" s="94" t="s">
        <v>244</v>
      </c>
      <c r="I138" s="103">
        <v>205286.62004716368</v>
      </c>
      <c r="J138" s="100">
        <v>207.50000000000003</v>
      </c>
      <c r="K138" s="100">
        <v>0</v>
      </c>
      <c r="L138" s="98">
        <v>425.96973641601107</v>
      </c>
      <c r="M138" s="32">
        <v>4.4462313804831139E-3</v>
      </c>
      <c r="N138" s="41">
        <v>3.6938303770843271E-4</v>
      </c>
      <c r="O138" s="41">
        <v>3.6073049142130135E-5</v>
      </c>
      <c r="P138" s="18"/>
      <c r="Q138" s="18"/>
      <c r="R138" s="18"/>
      <c r="S138" s="18"/>
    </row>
    <row r="139" spans="2:19" x14ac:dyDescent="0.2">
      <c r="B139" s="23" t="s">
        <v>1807</v>
      </c>
      <c r="C139" s="32" t="s">
        <v>1808</v>
      </c>
      <c r="D139" s="32" t="s">
        <v>423</v>
      </c>
      <c r="E139" s="32" t="s">
        <v>238</v>
      </c>
      <c r="F139" s="32" t="s">
        <v>1809</v>
      </c>
      <c r="G139" s="32" t="s">
        <v>197</v>
      </c>
      <c r="H139" s="94" t="s">
        <v>244</v>
      </c>
      <c r="I139" s="103">
        <v>37628.161869639465</v>
      </c>
      <c r="J139" s="100">
        <v>1448</v>
      </c>
      <c r="K139" s="100">
        <v>0</v>
      </c>
      <c r="L139" s="98">
        <v>544.85578387237945</v>
      </c>
      <c r="M139" s="32">
        <v>4.2541592423992582E-3</v>
      </c>
      <c r="N139" s="41">
        <v>4.7247601731789126E-4</v>
      </c>
      <c r="O139" s="41">
        <v>4.6140858813986427E-5</v>
      </c>
      <c r="P139" s="18"/>
      <c r="Q139" s="18"/>
      <c r="R139" s="18"/>
      <c r="S139" s="18"/>
    </row>
    <row r="140" spans="2:19" x14ac:dyDescent="0.2">
      <c r="B140" s="23" t="s">
        <v>1834</v>
      </c>
      <c r="C140" s="32" t="s">
        <v>1835</v>
      </c>
      <c r="D140" s="32" t="s">
        <v>423</v>
      </c>
      <c r="E140" s="32" t="s">
        <v>238</v>
      </c>
      <c r="F140" s="32" t="s">
        <v>1836</v>
      </c>
      <c r="G140" s="32" t="s">
        <v>592</v>
      </c>
      <c r="H140" s="94" t="s">
        <v>244</v>
      </c>
      <c r="I140" s="103">
        <v>1044166.530424322</v>
      </c>
      <c r="J140" s="100">
        <v>264.10000000000002</v>
      </c>
      <c r="K140" s="100">
        <v>0</v>
      </c>
      <c r="L140" s="98">
        <v>2757.6438065236616</v>
      </c>
      <c r="M140" s="32">
        <v>5.7126757227223095E-3</v>
      </c>
      <c r="N140" s="41">
        <v>2.3913127132974138E-3</v>
      </c>
      <c r="O140" s="41">
        <v>2.33529784031577E-4</v>
      </c>
      <c r="P140" s="18"/>
      <c r="Q140" s="18"/>
      <c r="R140" s="18"/>
      <c r="S140" s="18"/>
    </row>
    <row r="141" spans="2:19" x14ac:dyDescent="0.2">
      <c r="B141" s="23" t="s">
        <v>1883</v>
      </c>
      <c r="C141" s="32" t="s">
        <v>1884</v>
      </c>
      <c r="D141" s="32" t="s">
        <v>423</v>
      </c>
      <c r="E141" s="32" t="s">
        <v>238</v>
      </c>
      <c r="F141" s="32" t="s">
        <v>1885</v>
      </c>
      <c r="G141" s="32" t="s">
        <v>1882</v>
      </c>
      <c r="H141" s="94" t="s">
        <v>244</v>
      </c>
      <c r="I141" s="103">
        <v>19658.372575487792</v>
      </c>
      <c r="J141" s="100">
        <v>850.10000000000014</v>
      </c>
      <c r="K141" s="100">
        <v>0</v>
      </c>
      <c r="L141" s="98">
        <v>167.11582526422174</v>
      </c>
      <c r="M141" s="32">
        <v>4.9145931438719485E-4</v>
      </c>
      <c r="N141" s="41">
        <v>1.4491581421869671E-4</v>
      </c>
      <c r="O141" s="41">
        <v>1.4152125988820159E-5</v>
      </c>
      <c r="P141" s="18"/>
      <c r="Q141" s="18"/>
      <c r="R141" s="18"/>
      <c r="S141" s="18"/>
    </row>
    <row r="142" spans="2:19" x14ac:dyDescent="0.2">
      <c r="B142" s="23" t="s">
        <v>1810</v>
      </c>
      <c r="C142" s="32" t="s">
        <v>1811</v>
      </c>
      <c r="D142" s="32" t="s">
        <v>423</v>
      </c>
      <c r="E142" s="32" t="s">
        <v>238</v>
      </c>
      <c r="F142" s="32" t="s">
        <v>1812</v>
      </c>
      <c r="G142" s="32" t="s">
        <v>201</v>
      </c>
      <c r="H142" s="94" t="s">
        <v>244</v>
      </c>
      <c r="I142" s="103">
        <v>288314.96594607888</v>
      </c>
      <c r="J142" s="100">
        <v>10.199999999999999</v>
      </c>
      <c r="K142" s="100">
        <v>0</v>
      </c>
      <c r="L142" s="98">
        <v>29.408126308275747</v>
      </c>
      <c r="M142" s="32">
        <v>7.0021100040313082E-4</v>
      </c>
      <c r="N142" s="41">
        <v>2.5501490130405109E-5</v>
      </c>
      <c r="O142" s="41">
        <v>2.4904135078280805E-6</v>
      </c>
      <c r="P142" s="18"/>
      <c r="Q142" s="18"/>
      <c r="R142" s="18"/>
      <c r="S142" s="18"/>
    </row>
    <row r="143" spans="2:19" s="160" customFormat="1" x14ac:dyDescent="0.2">
      <c r="B143" s="132" t="s">
        <v>1906</v>
      </c>
      <c r="C143" s="167" t="s">
        <v>238</v>
      </c>
      <c r="D143" s="167" t="s">
        <v>238</v>
      </c>
      <c r="E143" s="167" t="s">
        <v>238</v>
      </c>
      <c r="F143" s="167" t="s">
        <v>238</v>
      </c>
      <c r="G143" s="167" t="s">
        <v>238</v>
      </c>
      <c r="H143" s="168" t="s">
        <v>238</v>
      </c>
      <c r="I143" s="178" t="s">
        <v>238</v>
      </c>
      <c r="J143" s="164" t="s">
        <v>238</v>
      </c>
      <c r="K143" s="164" t="s">
        <v>238</v>
      </c>
      <c r="L143" s="195">
        <v>0</v>
      </c>
      <c r="M143" s="167" t="s">
        <v>238</v>
      </c>
      <c r="N143" s="163">
        <v>0</v>
      </c>
      <c r="O143" s="163">
        <v>0</v>
      </c>
    </row>
    <row r="144" spans="2:19" s="160" customFormat="1" x14ac:dyDescent="0.2">
      <c r="B144" s="132" t="s">
        <v>1907</v>
      </c>
      <c r="C144" s="167" t="s">
        <v>238</v>
      </c>
      <c r="D144" s="167" t="s">
        <v>238</v>
      </c>
      <c r="E144" s="167" t="s">
        <v>238</v>
      </c>
      <c r="F144" s="167" t="s">
        <v>238</v>
      </c>
      <c r="G144" s="167" t="s">
        <v>238</v>
      </c>
      <c r="H144" s="168" t="s">
        <v>238</v>
      </c>
      <c r="I144" s="178" t="s">
        <v>238</v>
      </c>
      <c r="J144" s="164" t="s">
        <v>238</v>
      </c>
      <c r="K144" s="164" t="s">
        <v>238</v>
      </c>
      <c r="L144" s="195">
        <v>0</v>
      </c>
      <c r="M144" s="167" t="s">
        <v>238</v>
      </c>
      <c r="N144" s="163">
        <v>0</v>
      </c>
      <c r="O144" s="163">
        <v>0</v>
      </c>
    </row>
    <row r="145" spans="2:19" s="160" customFormat="1" x14ac:dyDescent="0.2">
      <c r="B145" s="132" t="s">
        <v>1908</v>
      </c>
      <c r="C145" s="167" t="s">
        <v>238</v>
      </c>
      <c r="D145" s="167" t="s">
        <v>238</v>
      </c>
      <c r="E145" s="167" t="s">
        <v>238</v>
      </c>
      <c r="F145" s="167" t="s">
        <v>238</v>
      </c>
      <c r="G145" s="167" t="s">
        <v>238</v>
      </c>
      <c r="H145" s="168" t="s">
        <v>238</v>
      </c>
      <c r="I145" s="178" t="s">
        <v>238</v>
      </c>
      <c r="J145" s="164" t="s">
        <v>238</v>
      </c>
      <c r="K145" s="164" t="s">
        <v>238</v>
      </c>
      <c r="L145" s="195">
        <v>0</v>
      </c>
      <c r="M145" s="167" t="s">
        <v>238</v>
      </c>
      <c r="N145" s="163">
        <v>0</v>
      </c>
      <c r="O145" s="163">
        <v>0</v>
      </c>
    </row>
    <row r="146" spans="2:19" s="160" customFormat="1" x14ac:dyDescent="0.2">
      <c r="B146" s="132" t="s">
        <v>544</v>
      </c>
      <c r="C146" s="167" t="s">
        <v>238</v>
      </c>
      <c r="D146" s="167" t="s">
        <v>238</v>
      </c>
      <c r="E146" s="167" t="s">
        <v>238</v>
      </c>
      <c r="F146" s="167" t="s">
        <v>238</v>
      </c>
      <c r="G146" s="167" t="s">
        <v>238</v>
      </c>
      <c r="H146" s="168" t="s">
        <v>238</v>
      </c>
      <c r="I146" s="178" t="s">
        <v>238</v>
      </c>
      <c r="J146" s="164" t="s">
        <v>238</v>
      </c>
      <c r="K146" s="164" t="s">
        <v>238</v>
      </c>
      <c r="L146" s="195">
        <v>426623.54198795982</v>
      </c>
      <c r="M146" s="167" t="s">
        <v>238</v>
      </c>
      <c r="N146" s="163">
        <v>0.36994999039917803</v>
      </c>
      <c r="O146" s="163">
        <v>3.6128416363108651E-2</v>
      </c>
    </row>
    <row r="147" spans="2:19" s="160" customFormat="1" x14ac:dyDescent="0.2">
      <c r="B147" s="132" t="s">
        <v>146</v>
      </c>
      <c r="C147" s="167" t="s">
        <v>238</v>
      </c>
      <c r="D147" s="167" t="s">
        <v>238</v>
      </c>
      <c r="E147" s="167" t="s">
        <v>238</v>
      </c>
      <c r="F147" s="167" t="s">
        <v>238</v>
      </c>
      <c r="G147" s="167" t="s">
        <v>238</v>
      </c>
      <c r="H147" s="168" t="s">
        <v>238</v>
      </c>
      <c r="I147" s="178" t="s">
        <v>238</v>
      </c>
      <c r="J147" s="164" t="s">
        <v>238</v>
      </c>
      <c r="K147" s="164" t="s">
        <v>238</v>
      </c>
      <c r="L147" s="195">
        <v>112190.77734559389</v>
      </c>
      <c r="M147" s="167" t="s">
        <v>238</v>
      </c>
      <c r="N147" s="163">
        <v>9.7287122994844322E-2</v>
      </c>
      <c r="O147" s="163">
        <v>9.5008238344165847E-3</v>
      </c>
    </row>
    <row r="148" spans="2:19" x14ac:dyDescent="0.2">
      <c r="B148" s="23" t="s">
        <v>1912</v>
      </c>
      <c r="C148" s="32" t="s">
        <v>1913</v>
      </c>
      <c r="D148" s="32" t="s">
        <v>1914</v>
      </c>
      <c r="E148" s="32" t="s">
        <v>1399</v>
      </c>
      <c r="F148" s="32" t="s">
        <v>238</v>
      </c>
      <c r="G148" s="32" t="s">
        <v>172</v>
      </c>
      <c r="H148" s="94" t="s">
        <v>127</v>
      </c>
      <c r="I148" s="103">
        <v>675816.90175761702</v>
      </c>
      <c r="J148" s="100">
        <v>38.4</v>
      </c>
      <c r="K148" s="100">
        <v>0</v>
      </c>
      <c r="L148" s="98">
        <v>896.87931342277705</v>
      </c>
      <c r="M148" s="32">
        <v>1.2901035358125971E-3</v>
      </c>
      <c r="N148" s="41">
        <v>7.7773601485719654E-4</v>
      </c>
      <c r="O148" s="41">
        <v>7.5951807797122411E-5</v>
      </c>
      <c r="P148" s="18"/>
      <c r="Q148" s="18"/>
      <c r="R148" s="18"/>
      <c r="S148" s="18"/>
    </row>
    <row r="149" spans="2:19" x14ac:dyDescent="0.2">
      <c r="B149" s="23" t="s">
        <v>1915</v>
      </c>
      <c r="C149" s="32" t="s">
        <v>1916</v>
      </c>
      <c r="D149" s="32" t="s">
        <v>1914</v>
      </c>
      <c r="E149" s="32" t="s">
        <v>1399</v>
      </c>
      <c r="F149" s="32" t="s">
        <v>238</v>
      </c>
      <c r="G149" s="32" t="s">
        <v>172</v>
      </c>
      <c r="H149" s="94" t="s">
        <v>127</v>
      </c>
      <c r="I149" s="103">
        <v>1117.0174626057005</v>
      </c>
      <c r="J149" s="100">
        <v>38.700000000000003</v>
      </c>
      <c r="K149" s="100">
        <v>0</v>
      </c>
      <c r="L149" s="98">
        <v>1.4939795774184457</v>
      </c>
      <c r="M149" s="32">
        <v>2.1323352143519955E-6</v>
      </c>
      <c r="N149" s="41">
        <v>1.2955162477604675E-6</v>
      </c>
      <c r="O149" s="41">
        <v>1.2651696612766391E-7</v>
      </c>
      <c r="P149" s="18"/>
      <c r="Q149" s="18"/>
      <c r="R149" s="18"/>
      <c r="S149" s="18"/>
    </row>
    <row r="150" spans="2:19" x14ac:dyDescent="0.2">
      <c r="B150" s="23" t="s">
        <v>1958</v>
      </c>
      <c r="C150" s="32" t="s">
        <v>1959</v>
      </c>
      <c r="D150" s="32" t="s">
        <v>1911</v>
      </c>
      <c r="E150" s="32" t="s">
        <v>1399</v>
      </c>
      <c r="F150" s="32" t="s">
        <v>1775</v>
      </c>
      <c r="G150" s="32" t="s">
        <v>173</v>
      </c>
      <c r="H150" s="94" t="s">
        <v>127</v>
      </c>
      <c r="I150" s="103">
        <v>76725.737079560684</v>
      </c>
      <c r="J150" s="100">
        <v>850</v>
      </c>
      <c r="K150" s="100">
        <v>0</v>
      </c>
      <c r="L150" s="98">
        <v>2253.8952523764328</v>
      </c>
      <c r="M150" s="32">
        <v>2.2361876143402438E-3</v>
      </c>
      <c r="N150" s="41">
        <v>1.9544831564896311E-3</v>
      </c>
      <c r="O150" s="41">
        <v>1.9087007186065631E-4</v>
      </c>
      <c r="P150" s="18"/>
      <c r="Q150" s="18"/>
      <c r="R150" s="18"/>
      <c r="S150" s="18"/>
    </row>
    <row r="151" spans="2:19" x14ac:dyDescent="0.2">
      <c r="B151" s="23" t="s">
        <v>1933</v>
      </c>
      <c r="C151" s="32" t="s">
        <v>1934</v>
      </c>
      <c r="D151" s="32" t="s">
        <v>1911</v>
      </c>
      <c r="E151" s="32" t="s">
        <v>1399</v>
      </c>
      <c r="F151" s="32" t="s">
        <v>238</v>
      </c>
      <c r="G151" s="32" t="s">
        <v>156</v>
      </c>
      <c r="H151" s="94" t="s">
        <v>127</v>
      </c>
      <c r="I151" s="103">
        <v>28908.973496107064</v>
      </c>
      <c r="J151" s="100">
        <v>1507</v>
      </c>
      <c r="K151" s="100">
        <v>0</v>
      </c>
      <c r="L151" s="98">
        <v>1505.6348446648667</v>
      </c>
      <c r="M151" s="32">
        <v>8.4049514789742469E-4</v>
      </c>
      <c r="N151" s="41">
        <v>1.3056232052570491E-3</v>
      </c>
      <c r="O151" s="41">
        <v>1.2750398701718129E-4</v>
      </c>
      <c r="P151" s="18"/>
      <c r="Q151" s="18"/>
      <c r="R151" s="18"/>
      <c r="S151" s="18"/>
    </row>
    <row r="152" spans="2:19" x14ac:dyDescent="0.2">
      <c r="B152" s="23" t="s">
        <v>1931</v>
      </c>
      <c r="C152" s="32" t="s">
        <v>1932</v>
      </c>
      <c r="D152" s="32" t="s">
        <v>1911</v>
      </c>
      <c r="E152" s="32" t="s">
        <v>1399</v>
      </c>
      <c r="F152" s="32" t="s">
        <v>238</v>
      </c>
      <c r="G152" s="32" t="s">
        <v>173</v>
      </c>
      <c r="H152" s="94" t="s">
        <v>127</v>
      </c>
      <c r="I152" s="103">
        <v>5473.9747723844412</v>
      </c>
      <c r="J152" s="100">
        <v>11658</v>
      </c>
      <c r="K152" s="100">
        <v>0</v>
      </c>
      <c r="L152" s="98">
        <v>2205.4670632142925</v>
      </c>
      <c r="M152" s="32">
        <v>1.4451331504365835E-4</v>
      </c>
      <c r="N152" s="41">
        <v>1.9124882678997997E-3</v>
      </c>
      <c r="O152" s="41">
        <v>1.8676895317037417E-4</v>
      </c>
      <c r="P152" s="18"/>
      <c r="Q152" s="18"/>
      <c r="R152" s="18"/>
      <c r="S152" s="18"/>
    </row>
    <row r="153" spans="2:19" x14ac:dyDescent="0.2">
      <c r="B153" s="23" t="s">
        <v>1952</v>
      </c>
      <c r="C153" s="32" t="s">
        <v>1953</v>
      </c>
      <c r="D153" s="32" t="s">
        <v>1911</v>
      </c>
      <c r="E153" s="32" t="s">
        <v>1399</v>
      </c>
      <c r="F153" s="32" t="s">
        <v>1859</v>
      </c>
      <c r="G153" s="32" t="s">
        <v>1459</v>
      </c>
      <c r="H153" s="94" t="s">
        <v>127</v>
      </c>
      <c r="I153" s="103">
        <v>21074.430073830146</v>
      </c>
      <c r="J153" s="100">
        <v>152</v>
      </c>
      <c r="K153" s="100">
        <v>0</v>
      </c>
      <c r="L153" s="98">
        <v>110.70650996104609</v>
      </c>
      <c r="M153" s="32">
        <v>8.1828791808334536E-4</v>
      </c>
      <c r="N153" s="41">
        <v>9.6000028752213977E-5</v>
      </c>
      <c r="O153" s="41">
        <v>9.3751293408280471E-6</v>
      </c>
      <c r="P153" s="18"/>
      <c r="Q153" s="18"/>
      <c r="R153" s="18"/>
      <c r="S153" s="18"/>
    </row>
    <row r="154" spans="2:19" x14ac:dyDescent="0.2">
      <c r="B154" s="23" t="s">
        <v>1929</v>
      </c>
      <c r="C154" s="32" t="s">
        <v>1930</v>
      </c>
      <c r="D154" s="32" t="s">
        <v>1911</v>
      </c>
      <c r="E154" s="32" t="s">
        <v>1399</v>
      </c>
      <c r="F154" s="32" t="s">
        <v>238</v>
      </c>
      <c r="G154" s="32" t="s">
        <v>156</v>
      </c>
      <c r="H154" s="94" t="s">
        <v>127</v>
      </c>
      <c r="I154" s="103">
        <v>81505.649458128217</v>
      </c>
      <c r="J154" s="100">
        <v>3422.9999999999995</v>
      </c>
      <c r="K154" s="100">
        <v>0</v>
      </c>
      <c r="L154" s="98">
        <v>9642.0270443975041</v>
      </c>
      <c r="M154" s="32">
        <v>2.0187119261253226E-3</v>
      </c>
      <c r="N154" s="41">
        <v>8.3611602770016415E-3</v>
      </c>
      <c r="O154" s="41">
        <v>8.1653057874189717E-4</v>
      </c>
      <c r="P154" s="18"/>
      <c r="Q154" s="18"/>
      <c r="R154" s="18"/>
      <c r="S154" s="18"/>
    </row>
    <row r="155" spans="2:19" x14ac:dyDescent="0.2">
      <c r="B155" s="23" t="s">
        <v>1954</v>
      </c>
      <c r="C155" s="32" t="s">
        <v>1955</v>
      </c>
      <c r="D155" s="32" t="s">
        <v>1911</v>
      </c>
      <c r="E155" s="32" t="s">
        <v>1399</v>
      </c>
      <c r="F155" s="32" t="s">
        <v>1756</v>
      </c>
      <c r="G155" s="32" t="s">
        <v>173</v>
      </c>
      <c r="H155" s="94" t="s">
        <v>127</v>
      </c>
      <c r="I155" s="103">
        <v>85686.46338514454</v>
      </c>
      <c r="J155" s="100">
        <v>977.99999999999989</v>
      </c>
      <c r="K155" s="100">
        <v>0</v>
      </c>
      <c r="L155" s="98">
        <v>2896.1750425342875</v>
      </c>
      <c r="M155" s="32">
        <v>1.7512663305355083E-3</v>
      </c>
      <c r="N155" s="41">
        <v>2.5114411740788014E-3</v>
      </c>
      <c r="O155" s="41">
        <v>2.4526123736527325E-4</v>
      </c>
      <c r="P155" s="18"/>
      <c r="Q155" s="18"/>
      <c r="R155" s="18"/>
      <c r="S155" s="18"/>
    </row>
    <row r="156" spans="2:19" x14ac:dyDescent="0.2">
      <c r="B156" s="23" t="s">
        <v>1939</v>
      </c>
      <c r="C156" s="32" t="s">
        <v>1940</v>
      </c>
      <c r="D156" s="32" t="s">
        <v>1941</v>
      </c>
      <c r="E156" s="32" t="s">
        <v>1399</v>
      </c>
      <c r="F156" s="32" t="s">
        <v>238</v>
      </c>
      <c r="G156" s="32" t="s">
        <v>173</v>
      </c>
      <c r="H156" s="94" t="s">
        <v>127</v>
      </c>
      <c r="I156" s="103">
        <v>4715.2452436198691</v>
      </c>
      <c r="J156" s="100">
        <v>23125</v>
      </c>
      <c r="K156" s="100">
        <v>0</v>
      </c>
      <c r="L156" s="98">
        <v>3768.4239987009996</v>
      </c>
      <c r="M156" s="32">
        <v>4.8135654466859707E-5</v>
      </c>
      <c r="N156" s="41">
        <v>3.2678187791587271E-3</v>
      </c>
      <c r="O156" s="41">
        <v>3.191272348060972E-4</v>
      </c>
      <c r="P156" s="18"/>
      <c r="Q156" s="18"/>
      <c r="R156" s="18"/>
      <c r="S156" s="18"/>
    </row>
    <row r="157" spans="2:19" x14ac:dyDescent="0.2">
      <c r="B157" s="23" t="s">
        <v>1935</v>
      </c>
      <c r="C157" s="32" t="s">
        <v>1936</v>
      </c>
      <c r="D157" s="32" t="s">
        <v>1911</v>
      </c>
      <c r="E157" s="32" t="s">
        <v>1399</v>
      </c>
      <c r="F157" s="32" t="s">
        <v>238</v>
      </c>
      <c r="G157" s="32" t="s">
        <v>1926</v>
      </c>
      <c r="H157" s="94" t="s">
        <v>127</v>
      </c>
      <c r="I157" s="103">
        <v>54525.233234574793</v>
      </c>
      <c r="J157" s="100">
        <v>9509</v>
      </c>
      <c r="K157" s="100">
        <v>0</v>
      </c>
      <c r="L157" s="98">
        <v>17918.684103827003</v>
      </c>
      <c r="M157" s="32">
        <v>1.1216739651704452E-3</v>
      </c>
      <c r="N157" s="41">
        <v>1.5538329135066316E-2</v>
      </c>
      <c r="O157" s="41">
        <v>1.5174354349164081E-3</v>
      </c>
      <c r="P157" s="18"/>
      <c r="Q157" s="18"/>
      <c r="R157" s="18"/>
      <c r="S157" s="18"/>
    </row>
    <row r="158" spans="2:19" x14ac:dyDescent="0.2">
      <c r="B158" s="23" t="s">
        <v>1948</v>
      </c>
      <c r="C158" s="32" t="s">
        <v>1949</v>
      </c>
      <c r="D158" s="32" t="s">
        <v>1941</v>
      </c>
      <c r="E158" s="32" t="s">
        <v>1399</v>
      </c>
      <c r="F158" s="32" t="s">
        <v>1583</v>
      </c>
      <c r="G158" s="32" t="s">
        <v>1459</v>
      </c>
      <c r="H158" s="94" t="s">
        <v>127</v>
      </c>
      <c r="I158" s="103">
        <v>165887.34973915981</v>
      </c>
      <c r="J158" s="100">
        <v>980.00000000000011</v>
      </c>
      <c r="K158" s="100">
        <v>0</v>
      </c>
      <c r="L158" s="98">
        <v>5618.4054707292698</v>
      </c>
      <c r="M158" s="32">
        <v>1.5189905382222342E-4</v>
      </c>
      <c r="N158" s="41">
        <v>4.8720448952946976E-3</v>
      </c>
      <c r="O158" s="41">
        <v>4.7579205591285237E-4</v>
      </c>
      <c r="P158" s="18"/>
      <c r="Q158" s="18"/>
      <c r="R158" s="18"/>
      <c r="S158" s="18"/>
    </row>
    <row r="159" spans="2:19" x14ac:dyDescent="0.2">
      <c r="B159" s="23" t="s">
        <v>1944</v>
      </c>
      <c r="C159" s="32" t="s">
        <v>1945</v>
      </c>
      <c r="D159" s="32" t="s">
        <v>1941</v>
      </c>
      <c r="E159" s="32" t="s">
        <v>1399</v>
      </c>
      <c r="F159" s="32" t="s">
        <v>238</v>
      </c>
      <c r="G159" s="32" t="s">
        <v>173</v>
      </c>
      <c r="H159" s="94" t="s">
        <v>127</v>
      </c>
      <c r="I159" s="103">
        <v>22852.048870549788</v>
      </c>
      <c r="J159" s="100">
        <v>1759</v>
      </c>
      <c r="K159" s="100">
        <v>0</v>
      </c>
      <c r="L159" s="98">
        <v>1389.1998169220828</v>
      </c>
      <c r="M159" s="32">
        <v>6.5569276568734234E-4</v>
      </c>
      <c r="N159" s="41">
        <v>1.2046556468451259E-3</v>
      </c>
      <c r="O159" s="41">
        <v>1.1764374081056167E-4</v>
      </c>
      <c r="P159" s="18"/>
      <c r="Q159" s="18"/>
      <c r="R159" s="18"/>
      <c r="S159" s="18"/>
    </row>
    <row r="160" spans="2:19" x14ac:dyDescent="0.2">
      <c r="B160" s="23" t="s">
        <v>1937</v>
      </c>
      <c r="C160" s="32" t="s">
        <v>1938</v>
      </c>
      <c r="D160" s="32" t="s">
        <v>1911</v>
      </c>
      <c r="E160" s="32" t="s">
        <v>1399</v>
      </c>
      <c r="F160" s="32" t="s">
        <v>238</v>
      </c>
      <c r="G160" s="32" t="s">
        <v>1459</v>
      </c>
      <c r="H160" s="94" t="s">
        <v>127</v>
      </c>
      <c r="I160" s="103">
        <v>18719.280660780863</v>
      </c>
      <c r="J160" s="100">
        <v>3336.9999999999995</v>
      </c>
      <c r="K160" s="100">
        <v>0</v>
      </c>
      <c r="L160" s="98">
        <v>2158.8332390181308</v>
      </c>
      <c r="M160" s="32">
        <v>8.9226193569084142E-4</v>
      </c>
      <c r="N160" s="41">
        <v>1.8720493771314753E-3</v>
      </c>
      <c r="O160" s="41">
        <v>1.8281978944323393E-4</v>
      </c>
      <c r="P160" s="18"/>
      <c r="Q160" s="18"/>
      <c r="R160" s="18"/>
      <c r="S160" s="18"/>
    </row>
    <row r="161" spans="2:19" x14ac:dyDescent="0.2">
      <c r="B161" s="23" t="s">
        <v>1968</v>
      </c>
      <c r="C161" s="32" t="s">
        <v>1969</v>
      </c>
      <c r="D161" s="32" t="s">
        <v>1911</v>
      </c>
      <c r="E161" s="32" t="s">
        <v>1399</v>
      </c>
      <c r="F161" s="32" t="s">
        <v>1105</v>
      </c>
      <c r="G161" s="32" t="s">
        <v>156</v>
      </c>
      <c r="H161" s="94" t="s">
        <v>127</v>
      </c>
      <c r="I161" s="103">
        <v>3283.2573712015433</v>
      </c>
      <c r="J161" s="100">
        <v>15506</v>
      </c>
      <c r="K161" s="100">
        <v>0</v>
      </c>
      <c r="L161" s="98">
        <v>1759.4561247839031</v>
      </c>
      <c r="M161" s="32">
        <v>7.4345584747210594E-5</v>
      </c>
      <c r="N161" s="41">
        <v>1.5257263428044717E-3</v>
      </c>
      <c r="O161" s="41">
        <v>1.4899872415059662E-4</v>
      </c>
      <c r="P161" s="18"/>
      <c r="Q161" s="18"/>
      <c r="R161" s="18"/>
      <c r="S161" s="18"/>
    </row>
    <row r="162" spans="2:19" x14ac:dyDescent="0.2">
      <c r="B162" s="23" t="s">
        <v>1917</v>
      </c>
      <c r="C162" s="32" t="s">
        <v>1918</v>
      </c>
      <c r="D162" s="32" t="s">
        <v>1911</v>
      </c>
      <c r="E162" s="32" t="s">
        <v>1399</v>
      </c>
      <c r="F162" s="32" t="s">
        <v>1919</v>
      </c>
      <c r="G162" s="32" t="s">
        <v>173</v>
      </c>
      <c r="H162" s="94" t="s">
        <v>127</v>
      </c>
      <c r="I162" s="103">
        <v>10328.956310981228</v>
      </c>
      <c r="J162" s="100">
        <v>7219</v>
      </c>
      <c r="K162" s="100">
        <v>0</v>
      </c>
      <c r="L162" s="98">
        <v>2576.9572625646533</v>
      </c>
      <c r="M162" s="32">
        <v>7.6639423070327085E-5</v>
      </c>
      <c r="N162" s="41">
        <v>2.2346289426564063E-3</v>
      </c>
      <c r="O162" s="41">
        <v>2.1822842803761636E-4</v>
      </c>
      <c r="P162" s="18"/>
      <c r="Q162" s="18"/>
      <c r="R162" s="18"/>
      <c r="S162" s="18"/>
    </row>
    <row r="163" spans="2:19" x14ac:dyDescent="0.2">
      <c r="B163" s="23" t="s">
        <v>1920</v>
      </c>
      <c r="C163" s="32" t="s">
        <v>1921</v>
      </c>
      <c r="D163" s="32" t="s">
        <v>209</v>
      </c>
      <c r="E163" s="32" t="s">
        <v>1399</v>
      </c>
      <c r="F163" s="32" t="s">
        <v>1922</v>
      </c>
      <c r="G163" s="32" t="s">
        <v>598</v>
      </c>
      <c r="H163" s="94" t="s">
        <v>127</v>
      </c>
      <c r="I163" s="103">
        <v>4882</v>
      </c>
      <c r="J163" s="100">
        <v>0.05</v>
      </c>
      <c r="K163" s="100">
        <v>0</v>
      </c>
      <c r="L163" s="98">
        <v>8.43E-3</v>
      </c>
      <c r="M163" s="32">
        <v>1.739416707521463E-3</v>
      </c>
      <c r="N163" s="41">
        <v>7.3101414060105625E-9</v>
      </c>
      <c r="O163" s="41">
        <v>7.1389063182453556E-10</v>
      </c>
      <c r="P163" s="18"/>
      <c r="Q163" s="18"/>
      <c r="R163" s="18"/>
      <c r="S163" s="18"/>
    </row>
    <row r="164" spans="2:19" x14ac:dyDescent="0.2">
      <c r="B164" s="23" t="s">
        <v>1964</v>
      </c>
      <c r="C164" s="32" t="s">
        <v>1965</v>
      </c>
      <c r="D164" s="32" t="s">
        <v>1911</v>
      </c>
      <c r="E164" s="32" t="s">
        <v>1399</v>
      </c>
      <c r="F164" s="32" t="s">
        <v>1888</v>
      </c>
      <c r="G164" s="32" t="s">
        <v>176</v>
      </c>
      <c r="H164" s="94" t="s">
        <v>127</v>
      </c>
      <c r="I164" s="103">
        <v>5559.4823282123261</v>
      </c>
      <c r="J164" s="100">
        <v>179</v>
      </c>
      <c r="K164" s="100">
        <v>0</v>
      </c>
      <c r="L164" s="98">
        <v>34.392291905706387</v>
      </c>
      <c r="M164" s="32">
        <v>4.7796136550323675E-5</v>
      </c>
      <c r="N164" s="41">
        <v>2.9823548885825167E-5</v>
      </c>
      <c r="O164" s="41">
        <v>2.9124952548586703E-6</v>
      </c>
      <c r="P164" s="18"/>
      <c r="Q164" s="18"/>
      <c r="R164" s="18"/>
      <c r="S164" s="18"/>
    </row>
    <row r="165" spans="2:19" x14ac:dyDescent="0.2">
      <c r="B165" s="23" t="s">
        <v>1956</v>
      </c>
      <c r="C165" s="32" t="s">
        <v>1957</v>
      </c>
      <c r="D165" s="32" t="s">
        <v>209</v>
      </c>
      <c r="E165" s="32" t="s">
        <v>1399</v>
      </c>
      <c r="F165" s="32" t="s">
        <v>565</v>
      </c>
      <c r="G165" s="32" t="s">
        <v>172</v>
      </c>
      <c r="H165" s="94" t="s">
        <v>127</v>
      </c>
      <c r="I165" s="103">
        <v>7761.8019881400533</v>
      </c>
      <c r="J165" s="100">
        <v>1100</v>
      </c>
      <c r="K165" s="100">
        <v>0</v>
      </c>
      <c r="L165" s="98">
        <v>295.07266409016654</v>
      </c>
      <c r="M165" s="32">
        <v>4.2078621959583722E-5</v>
      </c>
      <c r="N165" s="41">
        <v>2.558746025560347E-4</v>
      </c>
      <c r="O165" s="41">
        <v>2.4988091411800467E-5</v>
      </c>
      <c r="P165" s="18"/>
      <c r="Q165" s="18"/>
      <c r="R165" s="18"/>
      <c r="S165" s="18"/>
    </row>
    <row r="166" spans="2:19" x14ac:dyDescent="0.2">
      <c r="B166" s="23" t="s">
        <v>1970</v>
      </c>
      <c r="C166" s="32" t="s">
        <v>1971</v>
      </c>
      <c r="D166" s="32" t="s">
        <v>1911</v>
      </c>
      <c r="E166" s="32" t="s">
        <v>1399</v>
      </c>
      <c r="F166" s="32" t="s">
        <v>1657</v>
      </c>
      <c r="G166" s="32" t="s">
        <v>1414</v>
      </c>
      <c r="H166" s="94" t="s">
        <v>127</v>
      </c>
      <c r="I166" s="103">
        <v>32640.645438045314</v>
      </c>
      <c r="J166" s="100">
        <v>788</v>
      </c>
      <c r="K166" s="100">
        <v>0</v>
      </c>
      <c r="L166" s="98">
        <v>888.9118364844436</v>
      </c>
      <c r="M166" s="32">
        <v>5.9157209909799029E-4</v>
      </c>
      <c r="N166" s="41">
        <v>7.7082695399499667E-4</v>
      </c>
      <c r="O166" s="41">
        <v>7.527708571579925E-5</v>
      </c>
      <c r="P166" s="18"/>
      <c r="Q166" s="18"/>
      <c r="R166" s="18"/>
      <c r="S166" s="18"/>
    </row>
    <row r="167" spans="2:19" x14ac:dyDescent="0.2">
      <c r="B167" s="23" t="s">
        <v>1942</v>
      </c>
      <c r="C167" s="32" t="s">
        <v>1943</v>
      </c>
      <c r="D167" s="32" t="s">
        <v>1941</v>
      </c>
      <c r="E167" s="32" t="s">
        <v>1399</v>
      </c>
      <c r="F167" s="32" t="s">
        <v>238</v>
      </c>
      <c r="G167" s="32" t="s">
        <v>154</v>
      </c>
      <c r="H167" s="94" t="s">
        <v>127</v>
      </c>
      <c r="I167" s="103">
        <v>20369.638318478061</v>
      </c>
      <c r="J167" s="100">
        <v>3353</v>
      </c>
      <c r="K167" s="100">
        <v>0</v>
      </c>
      <c r="L167" s="98">
        <v>2360.4271699853248</v>
      </c>
      <c r="M167" s="32">
        <v>2.7439322012395547E-4</v>
      </c>
      <c r="N167" s="41">
        <v>2.0468631543513706E-3</v>
      </c>
      <c r="O167" s="41">
        <v>1.9989167778844888E-4</v>
      </c>
      <c r="P167" s="18"/>
      <c r="Q167" s="18"/>
      <c r="R167" s="18"/>
      <c r="S167" s="18"/>
    </row>
    <row r="168" spans="2:19" x14ac:dyDescent="0.2">
      <c r="B168" s="23" t="s">
        <v>1927</v>
      </c>
      <c r="C168" s="32" t="s">
        <v>1928</v>
      </c>
      <c r="D168" s="32" t="s">
        <v>1911</v>
      </c>
      <c r="E168" s="32" t="s">
        <v>1399</v>
      </c>
      <c r="F168" s="32" t="s">
        <v>238</v>
      </c>
      <c r="G168" s="32" t="s">
        <v>173</v>
      </c>
      <c r="H168" s="94" t="s">
        <v>127</v>
      </c>
      <c r="I168" s="103">
        <v>101247.05638068325</v>
      </c>
      <c r="J168" s="100">
        <v>5536</v>
      </c>
      <c r="K168" s="100">
        <v>0</v>
      </c>
      <c r="L168" s="98">
        <v>19371.008014204261</v>
      </c>
      <c r="M168" s="32">
        <v>1.5151302519504147E-3</v>
      </c>
      <c r="N168" s="41">
        <v>1.6797723340545315E-2</v>
      </c>
      <c r="O168" s="41">
        <v>1.6404248102418056E-3</v>
      </c>
      <c r="P168" s="18"/>
      <c r="Q168" s="18"/>
      <c r="R168" s="18"/>
      <c r="S168" s="18"/>
    </row>
    <row r="169" spans="2:19" x14ac:dyDescent="0.2">
      <c r="B169" s="23" t="s">
        <v>1966</v>
      </c>
      <c r="C169" s="32" t="s">
        <v>1967</v>
      </c>
      <c r="D169" s="32" t="s">
        <v>1911</v>
      </c>
      <c r="E169" s="32" t="s">
        <v>1399</v>
      </c>
      <c r="F169" s="32" t="s">
        <v>1620</v>
      </c>
      <c r="G169" s="32" t="s">
        <v>1926</v>
      </c>
      <c r="H169" s="94" t="s">
        <v>127</v>
      </c>
      <c r="I169" s="103">
        <v>7483.6387440006811</v>
      </c>
      <c r="J169" s="100">
        <v>2406</v>
      </c>
      <c r="K169" s="100">
        <v>0</v>
      </c>
      <c r="L169" s="98">
        <v>622.27473918141391</v>
      </c>
      <c r="M169" s="32">
        <v>7.0148143589839569E-5</v>
      </c>
      <c r="N169" s="41">
        <v>5.39610478861741E-4</v>
      </c>
      <c r="O169" s="41">
        <v>5.2697047060814671E-5</v>
      </c>
      <c r="P169" s="18"/>
      <c r="Q169" s="18"/>
      <c r="R169" s="18"/>
      <c r="S169" s="18"/>
    </row>
    <row r="170" spans="2:19" x14ac:dyDescent="0.2">
      <c r="B170" s="23" t="s">
        <v>1962</v>
      </c>
      <c r="C170" s="32" t="s">
        <v>1963</v>
      </c>
      <c r="D170" s="32" t="s">
        <v>1941</v>
      </c>
      <c r="E170" s="32" t="s">
        <v>1399</v>
      </c>
      <c r="F170" s="32" t="s">
        <v>1183</v>
      </c>
      <c r="G170" s="32" t="s">
        <v>155</v>
      </c>
      <c r="H170" s="94" t="s">
        <v>127</v>
      </c>
      <c r="I170" s="103">
        <v>22541.07923961469</v>
      </c>
      <c r="J170" s="100">
        <v>479</v>
      </c>
      <c r="K170" s="100">
        <v>0</v>
      </c>
      <c r="L170" s="98">
        <v>373.15043529481397</v>
      </c>
      <c r="M170" s="32">
        <v>1.7605388406478063E-5</v>
      </c>
      <c r="N170" s="41">
        <v>3.2358036153256052E-4</v>
      </c>
      <c r="O170" s="41">
        <v>3.1600071176537987E-5</v>
      </c>
      <c r="P170" s="18"/>
      <c r="Q170" s="18"/>
      <c r="R170" s="18"/>
      <c r="S170" s="18"/>
    </row>
    <row r="171" spans="2:19" x14ac:dyDescent="0.2">
      <c r="B171" s="23" t="s">
        <v>1923</v>
      </c>
      <c r="C171" s="32" t="s">
        <v>1924</v>
      </c>
      <c r="D171" s="32" t="s">
        <v>1911</v>
      </c>
      <c r="E171" s="32" t="s">
        <v>1399</v>
      </c>
      <c r="F171" s="32" t="s">
        <v>1925</v>
      </c>
      <c r="G171" s="32" t="s">
        <v>1926</v>
      </c>
      <c r="H171" s="94" t="s">
        <v>127</v>
      </c>
      <c r="I171" s="103">
        <v>72060.428830475765</v>
      </c>
      <c r="J171" s="100">
        <v>11718</v>
      </c>
      <c r="K171" s="100">
        <v>0</v>
      </c>
      <c r="L171" s="98">
        <v>29182.605869806266</v>
      </c>
      <c r="M171" s="32">
        <v>1.2983883743089744E-3</v>
      </c>
      <c r="N171" s="41">
        <v>2.5305928292308148E-2</v>
      </c>
      <c r="O171" s="41">
        <v>2.4713154143158238E-3</v>
      </c>
      <c r="P171" s="18"/>
      <c r="Q171" s="18"/>
      <c r="R171" s="18"/>
      <c r="S171" s="18"/>
    </row>
    <row r="172" spans="2:19" x14ac:dyDescent="0.2">
      <c r="B172" s="23" t="s">
        <v>1950</v>
      </c>
      <c r="C172" s="32" t="s">
        <v>1951</v>
      </c>
      <c r="D172" s="32" t="s">
        <v>1911</v>
      </c>
      <c r="E172" s="32" t="s">
        <v>1399</v>
      </c>
      <c r="F172" s="32" t="s">
        <v>1700</v>
      </c>
      <c r="G172" s="32" t="s">
        <v>1926</v>
      </c>
      <c r="H172" s="94" t="s">
        <v>127</v>
      </c>
      <c r="I172" s="103">
        <v>13459.820377666039</v>
      </c>
      <c r="J172" s="100">
        <v>3783</v>
      </c>
      <c r="K172" s="100">
        <v>0</v>
      </c>
      <c r="L172" s="98">
        <v>1759.7433767065309</v>
      </c>
      <c r="M172" s="32">
        <v>4.8204221512978943E-4</v>
      </c>
      <c r="N172" s="41">
        <v>1.5259754355889982E-3</v>
      </c>
      <c r="O172" s="41">
        <v>1.4902304994615268E-4</v>
      </c>
      <c r="P172" s="18"/>
      <c r="Q172" s="18"/>
      <c r="R172" s="18"/>
      <c r="S172" s="18"/>
    </row>
    <row r="173" spans="2:19" x14ac:dyDescent="0.2">
      <c r="B173" s="23" t="s">
        <v>1946</v>
      </c>
      <c r="C173" s="32" t="s">
        <v>1947</v>
      </c>
      <c r="D173" s="32" t="s">
        <v>1911</v>
      </c>
      <c r="E173" s="32" t="s">
        <v>1399</v>
      </c>
      <c r="F173" s="32" t="s">
        <v>1576</v>
      </c>
      <c r="G173" s="32" t="s">
        <v>173</v>
      </c>
      <c r="H173" s="94" t="s">
        <v>127</v>
      </c>
      <c r="I173" s="103">
        <v>3441.8336976199089</v>
      </c>
      <c r="J173" s="100">
        <v>15515</v>
      </c>
      <c r="K173" s="100">
        <v>0</v>
      </c>
      <c r="L173" s="98">
        <v>1845.5057214098167</v>
      </c>
      <c r="M173" s="32">
        <v>5.5393931647923057E-5</v>
      </c>
      <c r="N173" s="41">
        <v>1.6003449334646852E-3</v>
      </c>
      <c r="O173" s="41">
        <v>1.5628579424591333E-4</v>
      </c>
      <c r="P173" s="18"/>
      <c r="Q173" s="18"/>
      <c r="R173" s="18"/>
      <c r="S173" s="18"/>
    </row>
    <row r="174" spans="2:19" x14ac:dyDescent="0.2">
      <c r="B174" s="23" t="s">
        <v>1960</v>
      </c>
      <c r="C174" s="32" t="s">
        <v>1961</v>
      </c>
      <c r="D174" s="32" t="s">
        <v>1941</v>
      </c>
      <c r="E174" s="32" t="s">
        <v>1399</v>
      </c>
      <c r="F174" s="32" t="s">
        <v>1772</v>
      </c>
      <c r="G174" s="32" t="s">
        <v>176</v>
      </c>
      <c r="H174" s="94" t="s">
        <v>127</v>
      </c>
      <c r="I174" s="103">
        <v>7184.1622596592078</v>
      </c>
      <c r="J174" s="100">
        <v>315</v>
      </c>
      <c r="K174" s="100">
        <v>0</v>
      </c>
      <c r="L174" s="98">
        <v>78.20966379078142</v>
      </c>
      <c r="M174" s="32">
        <v>4.8776142696618636E-5</v>
      </c>
      <c r="N174" s="41">
        <v>6.7820130679377961E-5</v>
      </c>
      <c r="O174" s="41">
        <v>6.6231490270919872E-6</v>
      </c>
      <c r="P174" s="18"/>
      <c r="Q174" s="18"/>
      <c r="R174" s="18"/>
      <c r="S174" s="18"/>
    </row>
    <row r="175" spans="2:19" x14ac:dyDescent="0.2">
      <c r="B175" s="23" t="s">
        <v>1909</v>
      </c>
      <c r="C175" s="32" t="s">
        <v>1910</v>
      </c>
      <c r="D175" s="32" t="s">
        <v>1911</v>
      </c>
      <c r="E175" s="32" t="s">
        <v>1399</v>
      </c>
      <c r="F175" s="32" t="s">
        <v>238</v>
      </c>
      <c r="G175" s="32" t="s">
        <v>173</v>
      </c>
      <c r="H175" s="94" t="s">
        <v>127</v>
      </c>
      <c r="I175" s="103">
        <v>1766.0165379748109</v>
      </c>
      <c r="J175" s="100">
        <v>11096</v>
      </c>
      <c r="K175" s="100">
        <v>0</v>
      </c>
      <c r="L175" s="98">
        <v>677.22806593968494</v>
      </c>
      <c r="M175" s="32">
        <v>1.1600251217146675E-5</v>
      </c>
      <c r="N175" s="41">
        <v>5.872636923058295E-4</v>
      </c>
      <c r="O175" s="41">
        <v>5.735074399560972E-5</v>
      </c>
      <c r="P175" s="18"/>
      <c r="Q175" s="18"/>
      <c r="R175" s="18"/>
      <c r="S175" s="18"/>
    </row>
    <row r="176" spans="2:19" s="160" customFormat="1" x14ac:dyDescent="0.2">
      <c r="B176" s="132" t="s">
        <v>147</v>
      </c>
      <c r="C176" s="167" t="s">
        <v>238</v>
      </c>
      <c r="D176" s="167" t="s">
        <v>238</v>
      </c>
      <c r="E176" s="167" t="s">
        <v>238</v>
      </c>
      <c r="F176" s="167" t="s">
        <v>238</v>
      </c>
      <c r="G176" s="167" t="s">
        <v>238</v>
      </c>
      <c r="H176" s="168" t="s">
        <v>238</v>
      </c>
      <c r="I176" s="178" t="s">
        <v>238</v>
      </c>
      <c r="J176" s="164" t="s">
        <v>238</v>
      </c>
      <c r="K176" s="164" t="s">
        <v>238</v>
      </c>
      <c r="L176" s="195">
        <v>314432.76464236598</v>
      </c>
      <c r="M176" s="167" t="s">
        <v>238</v>
      </c>
      <c r="N176" s="163">
        <v>0.27266286740433376</v>
      </c>
      <c r="O176" s="163">
        <v>2.6627592528692068E-2</v>
      </c>
    </row>
    <row r="177" spans="2:19" x14ac:dyDescent="0.2">
      <c r="B177" s="23" t="s">
        <v>1972</v>
      </c>
      <c r="C177" s="32" t="s">
        <v>1973</v>
      </c>
      <c r="D177" s="32" t="s">
        <v>1974</v>
      </c>
      <c r="E177" s="32" t="s">
        <v>1399</v>
      </c>
      <c r="F177" s="32" t="s">
        <v>238</v>
      </c>
      <c r="G177" s="32" t="s">
        <v>156</v>
      </c>
      <c r="H177" s="94" t="s">
        <v>128</v>
      </c>
      <c r="I177" s="103">
        <v>14809.434645581327</v>
      </c>
      <c r="J177" s="100">
        <v>13047.999999999998</v>
      </c>
      <c r="K177" s="100">
        <v>0</v>
      </c>
      <c r="L177" s="98">
        <v>7493.9817231666884</v>
      </c>
      <c r="M177" s="32">
        <v>1.8909528892065358E-5</v>
      </c>
      <c r="N177" s="41">
        <v>6.4984657283994295E-3</v>
      </c>
      <c r="O177" s="41">
        <v>6.3462435910237119E-4</v>
      </c>
      <c r="P177" s="18"/>
      <c r="Q177" s="18"/>
      <c r="R177" s="18"/>
      <c r="S177" s="18"/>
    </row>
    <row r="178" spans="2:19" x14ac:dyDescent="0.2">
      <c r="B178" s="23" t="s">
        <v>1975</v>
      </c>
      <c r="C178" s="32" t="s">
        <v>1976</v>
      </c>
      <c r="D178" s="32" t="s">
        <v>209</v>
      </c>
      <c r="E178" s="32" t="s">
        <v>1399</v>
      </c>
      <c r="F178" s="32" t="s">
        <v>238</v>
      </c>
      <c r="G178" s="32" t="s">
        <v>1414</v>
      </c>
      <c r="H178" s="94" t="s">
        <v>128</v>
      </c>
      <c r="I178" s="103">
        <v>368141.40686007211</v>
      </c>
      <c r="J178" s="100">
        <v>329.59999999999997</v>
      </c>
      <c r="K178" s="100">
        <v>0</v>
      </c>
      <c r="L178" s="98">
        <v>4705.7849089337387</v>
      </c>
      <c r="M178" s="32">
        <v>6.5267094560269456E-5</v>
      </c>
      <c r="N178" s="41">
        <v>4.0806587319781934E-3</v>
      </c>
      <c r="O178" s="41">
        <v>3.9850720781365022E-4</v>
      </c>
      <c r="P178" s="18"/>
      <c r="Q178" s="18"/>
      <c r="R178" s="18"/>
      <c r="S178" s="18"/>
    </row>
    <row r="179" spans="2:19" x14ac:dyDescent="0.2">
      <c r="B179" s="23" t="s">
        <v>1977</v>
      </c>
      <c r="C179" s="32" t="s">
        <v>1978</v>
      </c>
      <c r="D179" s="32" t="s">
        <v>1974</v>
      </c>
      <c r="E179" s="32" t="s">
        <v>1399</v>
      </c>
      <c r="F179" s="32" t="s">
        <v>238</v>
      </c>
      <c r="G179" s="32" t="s">
        <v>154</v>
      </c>
      <c r="H179" s="94" t="s">
        <v>128</v>
      </c>
      <c r="I179" s="103">
        <v>1381.815404405769</v>
      </c>
      <c r="J179" s="100">
        <v>4920</v>
      </c>
      <c r="K179" s="100">
        <v>0</v>
      </c>
      <c r="L179" s="98">
        <v>263.66065986722947</v>
      </c>
      <c r="M179" s="32">
        <v>5.3108322962292542E-7</v>
      </c>
      <c r="N179" s="41">
        <v>2.2863543378784121E-4</v>
      </c>
      <c r="O179" s="41">
        <v>2.23279804341507E-5</v>
      </c>
      <c r="P179" s="18"/>
      <c r="Q179" s="18"/>
      <c r="R179" s="18"/>
      <c r="S179" s="18"/>
    </row>
    <row r="180" spans="2:19" x14ac:dyDescent="0.2">
      <c r="B180" s="23" t="s">
        <v>1979</v>
      </c>
      <c r="C180" s="32" t="s">
        <v>1980</v>
      </c>
      <c r="D180" s="32" t="s">
        <v>209</v>
      </c>
      <c r="E180" s="32" t="s">
        <v>1399</v>
      </c>
      <c r="F180" s="32" t="s">
        <v>238</v>
      </c>
      <c r="G180" s="32" t="s">
        <v>154</v>
      </c>
      <c r="H180" s="94" t="s">
        <v>128</v>
      </c>
      <c r="I180" s="103">
        <v>8751.4975612365361</v>
      </c>
      <c r="J180" s="100">
        <v>1384.6</v>
      </c>
      <c r="K180" s="100">
        <v>0</v>
      </c>
      <c r="L180" s="98">
        <v>469.93404051167528</v>
      </c>
      <c r="M180" s="32">
        <v>2.4081043663330553E-6</v>
      </c>
      <c r="N180" s="41">
        <v>4.0750703293454836E-4</v>
      </c>
      <c r="O180" s="41">
        <v>3.9796145800324643E-5</v>
      </c>
      <c r="P180" s="18"/>
      <c r="Q180" s="18"/>
      <c r="R180" s="18"/>
      <c r="S180" s="18"/>
    </row>
    <row r="181" spans="2:19" x14ac:dyDescent="0.2">
      <c r="B181" s="23" t="s">
        <v>1981</v>
      </c>
      <c r="C181" s="32" t="s">
        <v>1982</v>
      </c>
      <c r="D181" s="32" t="s">
        <v>1974</v>
      </c>
      <c r="E181" s="32" t="s">
        <v>1399</v>
      </c>
      <c r="F181" s="32" t="s">
        <v>238</v>
      </c>
      <c r="G181" s="32" t="s">
        <v>154</v>
      </c>
      <c r="H181" s="94" t="s">
        <v>128</v>
      </c>
      <c r="I181" s="103">
        <v>1151.5128370048074</v>
      </c>
      <c r="J181" s="100">
        <v>1891</v>
      </c>
      <c r="K181" s="100">
        <v>0</v>
      </c>
      <c r="L181" s="98">
        <v>84.448222406761218</v>
      </c>
      <c r="M181" s="32">
        <v>2.5757181554072395E-6</v>
      </c>
      <c r="N181" s="41">
        <v>7.3229946296518873E-5</v>
      </c>
      <c r="O181" s="41">
        <v>7.1514584638697112E-6</v>
      </c>
      <c r="P181" s="18"/>
      <c r="Q181" s="18"/>
      <c r="R181" s="18"/>
      <c r="S181" s="18"/>
    </row>
    <row r="182" spans="2:19" x14ac:dyDescent="0.2">
      <c r="B182" s="23" t="s">
        <v>1983</v>
      </c>
      <c r="C182" s="32" t="s">
        <v>1984</v>
      </c>
      <c r="D182" s="32" t="s">
        <v>209</v>
      </c>
      <c r="E182" s="32" t="s">
        <v>1399</v>
      </c>
      <c r="F182" s="32" t="s">
        <v>238</v>
      </c>
      <c r="G182" s="32" t="s">
        <v>177</v>
      </c>
      <c r="H182" s="94" t="s">
        <v>128</v>
      </c>
      <c r="I182" s="103">
        <v>7369.6821568307669</v>
      </c>
      <c r="J182" s="100">
        <v>707.2</v>
      </c>
      <c r="K182" s="100">
        <v>0</v>
      </c>
      <c r="L182" s="98">
        <v>202.12554849663024</v>
      </c>
      <c r="M182" s="32">
        <v>7.248858188544114E-7</v>
      </c>
      <c r="N182" s="41">
        <v>1.752747735798117E-4</v>
      </c>
      <c r="O182" s="41">
        <v>1.7116908128605003E-5</v>
      </c>
      <c r="P182" s="18"/>
      <c r="Q182" s="18"/>
      <c r="R182" s="18"/>
      <c r="S182" s="18"/>
    </row>
    <row r="183" spans="2:19" x14ac:dyDescent="0.2">
      <c r="B183" s="23" t="s">
        <v>1977</v>
      </c>
      <c r="C183" s="32" t="s">
        <v>1978</v>
      </c>
      <c r="D183" s="32" t="s">
        <v>1974</v>
      </c>
      <c r="E183" s="32" t="s">
        <v>1399</v>
      </c>
      <c r="F183" s="32" t="s">
        <v>238</v>
      </c>
      <c r="G183" s="32" t="s">
        <v>154</v>
      </c>
      <c r="H183" s="94" t="s">
        <v>128</v>
      </c>
      <c r="I183" s="103">
        <v>19284.03912146057</v>
      </c>
      <c r="J183" s="100">
        <v>4920</v>
      </c>
      <c r="K183" s="100">
        <v>0</v>
      </c>
      <c r="L183" s="98">
        <v>3679.5381374723152</v>
      </c>
      <c r="M183" s="32">
        <v>7.4115759197259122E-6</v>
      </c>
      <c r="N183" s="41">
        <v>3.1907406991377647E-3</v>
      </c>
      <c r="O183" s="41">
        <v>3.1159997696116081E-4</v>
      </c>
      <c r="P183" s="18"/>
      <c r="Q183" s="18"/>
      <c r="R183" s="18"/>
      <c r="S183" s="18"/>
    </row>
    <row r="184" spans="2:19" x14ac:dyDescent="0.2">
      <c r="B184" s="23" t="s">
        <v>1985</v>
      </c>
      <c r="C184" s="32" t="s">
        <v>1986</v>
      </c>
      <c r="D184" s="32" t="s">
        <v>209</v>
      </c>
      <c r="E184" s="32" t="s">
        <v>1399</v>
      </c>
      <c r="F184" s="32" t="s">
        <v>238</v>
      </c>
      <c r="G184" s="32" t="s">
        <v>1414</v>
      </c>
      <c r="H184" s="94" t="s">
        <v>135</v>
      </c>
      <c r="I184" s="103">
        <v>78371.914173145211</v>
      </c>
      <c r="J184" s="100">
        <v>8156</v>
      </c>
      <c r="K184" s="100">
        <v>0</v>
      </c>
      <c r="L184" s="98">
        <v>2374.63294795208</v>
      </c>
      <c r="M184" s="32">
        <v>2.5508404678052428E-5</v>
      </c>
      <c r="N184" s="41">
        <v>2.0591818074616164E-3</v>
      </c>
      <c r="O184" s="41">
        <v>2.0109468749286713E-4</v>
      </c>
      <c r="P184" s="18"/>
      <c r="Q184" s="18"/>
      <c r="R184" s="18"/>
      <c r="S184" s="18"/>
    </row>
    <row r="185" spans="2:19" x14ac:dyDescent="0.2">
      <c r="B185" s="23" t="s">
        <v>1987</v>
      </c>
      <c r="C185" s="32" t="s">
        <v>1988</v>
      </c>
      <c r="D185" s="32" t="s">
        <v>209</v>
      </c>
      <c r="E185" s="32" t="s">
        <v>1399</v>
      </c>
      <c r="F185" s="32" t="s">
        <v>238</v>
      </c>
      <c r="G185" s="32" t="s">
        <v>173</v>
      </c>
      <c r="H185" s="94" t="s">
        <v>128</v>
      </c>
      <c r="I185" s="103">
        <v>28445.646066142592</v>
      </c>
      <c r="J185" s="100">
        <v>1238</v>
      </c>
      <c r="K185" s="100">
        <v>0</v>
      </c>
      <c r="L185" s="98">
        <v>1365.7356582540874</v>
      </c>
      <c r="M185" s="32">
        <v>4.5311648657073428E-5</v>
      </c>
      <c r="N185" s="41">
        <v>1.1843085154292167E-3</v>
      </c>
      <c r="O185" s="41">
        <v>1.1565668943965699E-4</v>
      </c>
      <c r="P185" s="18"/>
      <c r="Q185" s="18"/>
      <c r="R185" s="18"/>
      <c r="S185" s="18"/>
    </row>
    <row r="186" spans="2:19" x14ac:dyDescent="0.2">
      <c r="B186" s="23" t="s">
        <v>1989</v>
      </c>
      <c r="C186" s="32" t="s">
        <v>1990</v>
      </c>
      <c r="D186" s="32" t="s">
        <v>1991</v>
      </c>
      <c r="E186" s="32" t="s">
        <v>1399</v>
      </c>
      <c r="F186" s="32" t="s">
        <v>238</v>
      </c>
      <c r="G186" s="32" t="s">
        <v>1459</v>
      </c>
      <c r="H186" s="94" t="s">
        <v>128</v>
      </c>
      <c r="I186" s="103">
        <v>22269.802845266659</v>
      </c>
      <c r="J186" s="100">
        <v>7281</v>
      </c>
      <c r="K186" s="100">
        <v>0</v>
      </c>
      <c r="L186" s="98">
        <v>6288.3630233873801</v>
      </c>
      <c r="M186" s="32">
        <v>2.2668217578634906E-5</v>
      </c>
      <c r="N186" s="41">
        <v>5.453003904304846E-3</v>
      </c>
      <c r="O186" s="41">
        <v>5.3252709987047016E-4</v>
      </c>
      <c r="P186" s="18"/>
      <c r="Q186" s="18"/>
      <c r="R186" s="18"/>
      <c r="S186" s="18"/>
    </row>
    <row r="187" spans="2:19" x14ac:dyDescent="0.2">
      <c r="B187" s="23" t="s">
        <v>1992</v>
      </c>
      <c r="C187" s="32" t="s">
        <v>1993</v>
      </c>
      <c r="D187" s="32" t="s">
        <v>1974</v>
      </c>
      <c r="E187" s="32" t="s">
        <v>1399</v>
      </c>
      <c r="F187" s="32" t="s">
        <v>238</v>
      </c>
      <c r="G187" s="32" t="s">
        <v>177</v>
      </c>
      <c r="H187" s="94" t="s">
        <v>128</v>
      </c>
      <c r="I187" s="103">
        <v>1381.815404405769</v>
      </c>
      <c r="J187" s="100">
        <v>2371</v>
      </c>
      <c r="K187" s="100">
        <v>0</v>
      </c>
      <c r="L187" s="98">
        <v>127.06085864739859</v>
      </c>
      <c r="M187" s="32">
        <v>2.4359191128066326E-6</v>
      </c>
      <c r="N187" s="41">
        <v>1.1018183201442511E-4</v>
      </c>
      <c r="O187" s="41">
        <v>1.0760089758002299E-5</v>
      </c>
      <c r="P187" s="18"/>
      <c r="Q187" s="18"/>
      <c r="R187" s="18"/>
      <c r="S187" s="18"/>
    </row>
    <row r="188" spans="2:19" x14ac:dyDescent="0.2">
      <c r="B188" s="23" t="s">
        <v>1994</v>
      </c>
      <c r="C188" s="32" t="s">
        <v>1995</v>
      </c>
      <c r="D188" s="32" t="s">
        <v>1914</v>
      </c>
      <c r="E188" s="32" t="s">
        <v>1399</v>
      </c>
      <c r="F188" s="32" t="s">
        <v>238</v>
      </c>
      <c r="G188" s="32" t="s">
        <v>155</v>
      </c>
      <c r="H188" s="94" t="s">
        <v>2</v>
      </c>
      <c r="I188" s="103">
        <v>55272.616176230753</v>
      </c>
      <c r="J188" s="100">
        <v>235.35</v>
      </c>
      <c r="K188" s="100">
        <v>0</v>
      </c>
      <c r="L188" s="98">
        <v>593.14448066801015</v>
      </c>
      <c r="M188" s="32">
        <v>4.1482527527144379E-6</v>
      </c>
      <c r="N188" s="41">
        <v>5.1434994399500032E-4</v>
      </c>
      <c r="O188" s="41">
        <v>5.0230164658045288E-5</v>
      </c>
      <c r="P188" s="18"/>
      <c r="Q188" s="18"/>
      <c r="R188" s="18"/>
      <c r="S188" s="18"/>
    </row>
    <row r="189" spans="2:19" x14ac:dyDescent="0.2">
      <c r="B189" s="23" t="s">
        <v>1996</v>
      </c>
      <c r="C189" s="32" t="s">
        <v>1997</v>
      </c>
      <c r="D189" s="32" t="s">
        <v>1914</v>
      </c>
      <c r="E189" s="32" t="s">
        <v>1399</v>
      </c>
      <c r="F189" s="32" t="s">
        <v>238</v>
      </c>
      <c r="G189" s="32" t="s">
        <v>154</v>
      </c>
      <c r="H189" s="94" t="s">
        <v>2</v>
      </c>
      <c r="I189" s="103">
        <v>2763.6308088115379</v>
      </c>
      <c r="J189" s="100">
        <v>471.6</v>
      </c>
      <c r="K189" s="100">
        <v>0</v>
      </c>
      <c r="L189" s="98">
        <v>59.427859460665296</v>
      </c>
      <c r="M189" s="32">
        <v>1.362169687669035E-7</v>
      </c>
      <c r="N189" s="41">
        <v>5.1533339989796668E-5</v>
      </c>
      <c r="O189" s="41">
        <v>5.0326206569815006E-6</v>
      </c>
      <c r="P189" s="18"/>
      <c r="Q189" s="18"/>
      <c r="R189" s="18"/>
      <c r="S189" s="18"/>
    </row>
    <row r="190" spans="2:19" x14ac:dyDescent="0.2">
      <c r="B190" s="23" t="s">
        <v>1998</v>
      </c>
      <c r="C190" s="32" t="s">
        <v>1999</v>
      </c>
      <c r="D190" s="32" t="s">
        <v>1914</v>
      </c>
      <c r="E190" s="32" t="s">
        <v>1399</v>
      </c>
      <c r="F190" s="32" t="s">
        <v>238</v>
      </c>
      <c r="G190" s="32" t="s">
        <v>155</v>
      </c>
      <c r="H190" s="94" t="s">
        <v>2</v>
      </c>
      <c r="I190" s="103">
        <v>47442.328884598064</v>
      </c>
      <c r="J190" s="100">
        <v>12.740000000000002</v>
      </c>
      <c r="K190" s="100">
        <v>0</v>
      </c>
      <c r="L190" s="98">
        <v>27.559522448513089</v>
      </c>
      <c r="M190" s="32">
        <v>1.4332119369246217E-5</v>
      </c>
      <c r="N190" s="41">
        <v>2.38984586216789E-5</v>
      </c>
      <c r="O190" s="41">
        <v>2.3338653491757392E-6</v>
      </c>
      <c r="P190" s="18"/>
      <c r="Q190" s="18"/>
      <c r="R190" s="18"/>
      <c r="S190" s="18"/>
    </row>
    <row r="191" spans="2:19" x14ac:dyDescent="0.2">
      <c r="B191" s="23" t="s">
        <v>2000</v>
      </c>
      <c r="C191" s="32" t="s">
        <v>1997</v>
      </c>
      <c r="D191" s="32" t="s">
        <v>1914</v>
      </c>
      <c r="E191" s="32" t="s">
        <v>1399</v>
      </c>
      <c r="F191" s="32" t="s">
        <v>238</v>
      </c>
      <c r="G191" s="32" t="s">
        <v>154</v>
      </c>
      <c r="H191" s="94" t="s">
        <v>2</v>
      </c>
      <c r="I191" s="103">
        <v>175130.26163180682</v>
      </c>
      <c r="J191" s="100">
        <v>471.6</v>
      </c>
      <c r="K191" s="100">
        <v>0</v>
      </c>
      <c r="L191" s="98">
        <v>3765.9214964035737</v>
      </c>
      <c r="M191" s="32">
        <v>8.6320189016485515E-6</v>
      </c>
      <c r="N191" s="41">
        <v>3.2656487144300142E-3</v>
      </c>
      <c r="O191" s="41">
        <v>3.1891531156217647E-4</v>
      </c>
      <c r="P191" s="18"/>
      <c r="Q191" s="18"/>
      <c r="R191" s="18"/>
      <c r="S191" s="18"/>
    </row>
    <row r="192" spans="2:19" x14ac:dyDescent="0.2">
      <c r="B192" s="23" t="s">
        <v>2001</v>
      </c>
      <c r="C192" s="32" t="s">
        <v>2002</v>
      </c>
      <c r="D192" s="32" t="s">
        <v>1914</v>
      </c>
      <c r="E192" s="32" t="s">
        <v>1399</v>
      </c>
      <c r="F192" s="32" t="s">
        <v>238</v>
      </c>
      <c r="G192" s="32" t="s">
        <v>154</v>
      </c>
      <c r="H192" s="94" t="s">
        <v>2</v>
      </c>
      <c r="I192" s="103">
        <v>13818.154044057688</v>
      </c>
      <c r="J192" s="100">
        <v>64</v>
      </c>
      <c r="K192" s="100">
        <v>0</v>
      </c>
      <c r="L192" s="98">
        <v>40.324247676601502</v>
      </c>
      <c r="M192" s="32">
        <v>9.8239353529936387E-6</v>
      </c>
      <c r="N192" s="41">
        <v>3.496749141244957E-5</v>
      </c>
      <c r="O192" s="41">
        <v>3.4148401722061809E-6</v>
      </c>
      <c r="P192" s="18"/>
      <c r="Q192" s="18"/>
      <c r="R192" s="18"/>
      <c r="S192" s="18"/>
    </row>
    <row r="193" spans="2:19" x14ac:dyDescent="0.2">
      <c r="B193" s="23" t="s">
        <v>2003</v>
      </c>
      <c r="C193" s="32" t="s">
        <v>2004</v>
      </c>
      <c r="D193" s="32" t="s">
        <v>1914</v>
      </c>
      <c r="E193" s="32" t="s">
        <v>1399</v>
      </c>
      <c r="F193" s="32" t="s">
        <v>238</v>
      </c>
      <c r="G193" s="32" t="s">
        <v>155</v>
      </c>
      <c r="H193" s="94" t="s">
        <v>2</v>
      </c>
      <c r="I193" s="103">
        <v>10430.956003751307</v>
      </c>
      <c r="J193" s="100">
        <v>158.94999999999999</v>
      </c>
      <c r="K193" s="100">
        <v>0</v>
      </c>
      <c r="L193" s="98">
        <v>75.599846688732072</v>
      </c>
      <c r="M193" s="32">
        <v>1.7720910950593166E-5</v>
      </c>
      <c r="N193" s="41">
        <v>6.5557007066115159E-5</v>
      </c>
      <c r="O193" s="41">
        <v>6.4021378788205171E-6</v>
      </c>
      <c r="P193" s="18"/>
      <c r="Q193" s="18"/>
      <c r="R193" s="18"/>
      <c r="S193" s="18"/>
    </row>
    <row r="194" spans="2:19" x14ac:dyDescent="0.2">
      <c r="B194" s="23" t="s">
        <v>2005</v>
      </c>
      <c r="C194" s="32" t="s">
        <v>2006</v>
      </c>
      <c r="D194" s="32" t="s">
        <v>2007</v>
      </c>
      <c r="E194" s="32" t="s">
        <v>1399</v>
      </c>
      <c r="F194" s="32" t="s">
        <v>238</v>
      </c>
      <c r="G194" s="32" t="s">
        <v>155</v>
      </c>
      <c r="H194" s="94" t="s">
        <v>134</v>
      </c>
      <c r="I194" s="103">
        <v>73696.821568307671</v>
      </c>
      <c r="J194" s="100">
        <v>19</v>
      </c>
      <c r="K194" s="100">
        <v>0</v>
      </c>
      <c r="L194" s="98">
        <v>37.155358045985835</v>
      </c>
      <c r="M194" s="32">
        <v>1.855021771665935E-4</v>
      </c>
      <c r="N194" s="41">
        <v>3.2219563618874111E-5</v>
      </c>
      <c r="O194" s="41">
        <v>3.1464842267041127E-6</v>
      </c>
      <c r="P194" s="18"/>
      <c r="Q194" s="18"/>
      <c r="R194" s="18"/>
      <c r="S194" s="18"/>
    </row>
    <row r="195" spans="2:19" x14ac:dyDescent="0.2">
      <c r="B195" s="23" t="s">
        <v>2008</v>
      </c>
      <c r="C195" s="32" t="s">
        <v>2009</v>
      </c>
      <c r="D195" s="32" t="s">
        <v>2007</v>
      </c>
      <c r="E195" s="32" t="s">
        <v>1399</v>
      </c>
      <c r="F195" s="32" t="s">
        <v>238</v>
      </c>
      <c r="G195" s="32" t="s">
        <v>155</v>
      </c>
      <c r="H195" s="94" t="s">
        <v>134</v>
      </c>
      <c r="I195" s="103">
        <v>4606.0513480192294</v>
      </c>
      <c r="J195" s="100">
        <v>1317</v>
      </c>
      <c r="K195" s="100">
        <v>0</v>
      </c>
      <c r="L195" s="98">
        <v>160.96581100843207</v>
      </c>
      <c r="M195" s="32">
        <v>6.6813001387480378E-6</v>
      </c>
      <c r="N195" s="41">
        <v>1.3958278054624081E-4</v>
      </c>
      <c r="O195" s="41">
        <v>1.3631314890030646E-5</v>
      </c>
      <c r="P195" s="18"/>
      <c r="Q195" s="18"/>
      <c r="R195" s="18"/>
      <c r="S195" s="18"/>
    </row>
    <row r="196" spans="2:19" x14ac:dyDescent="0.2">
      <c r="B196" s="23" t="s">
        <v>2010</v>
      </c>
      <c r="C196" s="32" t="s">
        <v>2011</v>
      </c>
      <c r="D196" s="32" t="s">
        <v>2007</v>
      </c>
      <c r="E196" s="32" t="s">
        <v>1399</v>
      </c>
      <c r="F196" s="32" t="s">
        <v>238</v>
      </c>
      <c r="G196" s="32" t="s">
        <v>170</v>
      </c>
      <c r="H196" s="94" t="s">
        <v>134</v>
      </c>
      <c r="I196" s="103">
        <v>32242.359436134608</v>
      </c>
      <c r="J196" s="100">
        <v>408</v>
      </c>
      <c r="K196" s="100">
        <v>0</v>
      </c>
      <c r="L196" s="98">
        <v>349.06481111623538</v>
      </c>
      <c r="M196" s="32">
        <v>2.3478236074443229E-4</v>
      </c>
      <c r="N196" s="41">
        <v>3.0269432136679103E-4</v>
      </c>
      <c r="O196" s="41">
        <v>2.9560391287720217E-5</v>
      </c>
      <c r="P196" s="18"/>
      <c r="Q196" s="18"/>
      <c r="R196" s="18"/>
      <c r="S196" s="18"/>
    </row>
    <row r="197" spans="2:19" x14ac:dyDescent="0.2">
      <c r="B197" s="23" t="s">
        <v>2012</v>
      </c>
      <c r="C197" s="32" t="s">
        <v>2013</v>
      </c>
      <c r="D197" s="32" t="s">
        <v>2014</v>
      </c>
      <c r="E197" s="32" t="s">
        <v>1399</v>
      </c>
      <c r="F197" s="32" t="s">
        <v>238</v>
      </c>
      <c r="G197" s="32" t="s">
        <v>163</v>
      </c>
      <c r="H197" s="94" t="s">
        <v>318</v>
      </c>
      <c r="I197" s="103">
        <v>190000.99785870596</v>
      </c>
      <c r="J197" s="100">
        <v>93500</v>
      </c>
      <c r="K197" s="100">
        <v>27.229328860000003</v>
      </c>
      <c r="L197" s="98">
        <v>5684.8785917170308</v>
      </c>
      <c r="M197" s="32">
        <v>1.3244420371701031E-4</v>
      </c>
      <c r="N197" s="41">
        <v>4.9296875897335331E-3</v>
      </c>
      <c r="O197" s="41">
        <v>4.8142130126769243E-4</v>
      </c>
      <c r="P197" s="18"/>
      <c r="Q197" s="18"/>
      <c r="R197" s="18"/>
      <c r="S197" s="18"/>
    </row>
    <row r="198" spans="2:19" x14ac:dyDescent="0.2">
      <c r="B198" s="23" t="s">
        <v>2015</v>
      </c>
      <c r="C198" s="32" t="s">
        <v>2016</v>
      </c>
      <c r="D198" s="32" t="s">
        <v>2017</v>
      </c>
      <c r="E198" s="32" t="s">
        <v>1399</v>
      </c>
      <c r="F198" s="32" t="s">
        <v>238</v>
      </c>
      <c r="G198" s="32" t="s">
        <v>155</v>
      </c>
      <c r="H198" s="94" t="s">
        <v>65</v>
      </c>
      <c r="I198" s="103">
        <v>210404.42557751841</v>
      </c>
      <c r="J198" s="100">
        <v>382</v>
      </c>
      <c r="K198" s="100">
        <v>0</v>
      </c>
      <c r="L198" s="98">
        <v>356.70198878389209</v>
      </c>
      <c r="M198" s="32">
        <v>1.3848760597461885E-5</v>
      </c>
      <c r="N198" s="41">
        <v>3.0931696059495191E-4</v>
      </c>
      <c r="O198" s="41">
        <v>3.0207142128825755E-5</v>
      </c>
      <c r="P198" s="18"/>
      <c r="Q198" s="18"/>
      <c r="R198" s="18"/>
      <c r="S198" s="18"/>
    </row>
    <row r="199" spans="2:19" x14ac:dyDescent="0.2">
      <c r="B199" s="23" t="s">
        <v>2018</v>
      </c>
      <c r="C199" s="32" t="s">
        <v>2019</v>
      </c>
      <c r="D199" s="32" t="s">
        <v>209</v>
      </c>
      <c r="E199" s="32" t="s">
        <v>1399</v>
      </c>
      <c r="F199" s="32" t="s">
        <v>238</v>
      </c>
      <c r="G199" s="32" t="s">
        <v>165</v>
      </c>
      <c r="H199" s="94" t="s">
        <v>212</v>
      </c>
      <c r="I199" s="103">
        <v>227.99954172695186</v>
      </c>
      <c r="J199" s="100">
        <v>65000</v>
      </c>
      <c r="K199" s="100">
        <v>0</v>
      </c>
      <c r="L199" s="98">
        <v>58.272122874574357</v>
      </c>
      <c r="M199" s="32">
        <v>3.8550554034619792E-6</v>
      </c>
      <c r="N199" s="41">
        <v>5.0531133836484133E-5</v>
      </c>
      <c r="O199" s="41">
        <v>4.9347476413626164E-6</v>
      </c>
      <c r="P199" s="18"/>
      <c r="Q199" s="18"/>
      <c r="R199" s="18"/>
      <c r="S199" s="18"/>
    </row>
    <row r="200" spans="2:19" x14ac:dyDescent="0.2">
      <c r="B200" s="23" t="s">
        <v>2020</v>
      </c>
      <c r="C200" s="32" t="s">
        <v>2021</v>
      </c>
      <c r="D200" s="32" t="s">
        <v>209</v>
      </c>
      <c r="E200" s="32" t="s">
        <v>1399</v>
      </c>
      <c r="F200" s="32" t="s">
        <v>238</v>
      </c>
      <c r="G200" s="32" t="s">
        <v>165</v>
      </c>
      <c r="H200" s="94" t="s">
        <v>212</v>
      </c>
      <c r="I200" s="103">
        <v>62.642298333061518</v>
      </c>
      <c r="J200" s="100">
        <v>44930</v>
      </c>
      <c r="K200" s="100">
        <v>0</v>
      </c>
      <c r="L200" s="98">
        <v>11.06668597443573</v>
      </c>
      <c r="M200" s="32">
        <v>5.5288878098808732E-7</v>
      </c>
      <c r="N200" s="41">
        <v>9.5965645752122161E-6</v>
      </c>
      <c r="O200" s="41">
        <v>9.3717715806567612E-7</v>
      </c>
      <c r="P200" s="18"/>
      <c r="Q200" s="18"/>
      <c r="R200" s="18"/>
      <c r="S200" s="18"/>
    </row>
    <row r="201" spans="2:19" x14ac:dyDescent="0.2">
      <c r="B201" s="23" t="s">
        <v>2022</v>
      </c>
      <c r="C201" s="32" t="s">
        <v>2023</v>
      </c>
      <c r="D201" s="32" t="s">
        <v>209</v>
      </c>
      <c r="E201" s="32" t="s">
        <v>1399</v>
      </c>
      <c r="F201" s="32" t="s">
        <v>238</v>
      </c>
      <c r="G201" s="32" t="s">
        <v>165</v>
      </c>
      <c r="H201" s="94" t="s">
        <v>212</v>
      </c>
      <c r="I201" s="103">
        <v>1114.6644262206535</v>
      </c>
      <c r="J201" s="100">
        <v>22820</v>
      </c>
      <c r="K201" s="100">
        <v>0</v>
      </c>
      <c r="L201" s="98">
        <v>100.01687678690499</v>
      </c>
      <c r="M201" s="32">
        <v>2.1555608564981511E-6</v>
      </c>
      <c r="N201" s="41">
        <v>8.673042850531564E-5</v>
      </c>
      <c r="O201" s="41">
        <v>8.4698827239051387E-6</v>
      </c>
      <c r="P201" s="18"/>
      <c r="Q201" s="18"/>
      <c r="R201" s="18"/>
      <c r="S201" s="18"/>
    </row>
    <row r="202" spans="2:19" x14ac:dyDescent="0.2">
      <c r="B202" s="23" t="s">
        <v>2024</v>
      </c>
      <c r="C202" s="32" t="s">
        <v>2025</v>
      </c>
      <c r="D202" s="32" t="s">
        <v>2007</v>
      </c>
      <c r="E202" s="32" t="s">
        <v>1399</v>
      </c>
      <c r="F202" s="32" t="s">
        <v>238</v>
      </c>
      <c r="G202" s="32" t="s">
        <v>155</v>
      </c>
      <c r="H202" s="94" t="s">
        <v>134</v>
      </c>
      <c r="I202" s="103">
        <v>31321.149166530762</v>
      </c>
      <c r="J202" s="100">
        <v>50</v>
      </c>
      <c r="K202" s="100">
        <v>0</v>
      </c>
      <c r="L202" s="98">
        <v>41.555334656694683</v>
      </c>
      <c r="M202" s="32">
        <v>5.1657796815982286E-5</v>
      </c>
      <c r="N202" s="41">
        <v>3.6035038257951308E-5</v>
      </c>
      <c r="O202" s="41">
        <v>3.5190942009190731E-6</v>
      </c>
      <c r="P202" s="18"/>
      <c r="Q202" s="18"/>
      <c r="R202" s="18"/>
      <c r="S202" s="18"/>
    </row>
    <row r="203" spans="2:19" x14ac:dyDescent="0.2">
      <c r="B203" s="23" t="s">
        <v>2026</v>
      </c>
      <c r="C203" s="32" t="s">
        <v>2027</v>
      </c>
      <c r="D203" s="32" t="s">
        <v>2007</v>
      </c>
      <c r="E203" s="32" t="s">
        <v>1399</v>
      </c>
      <c r="F203" s="32" t="s">
        <v>238</v>
      </c>
      <c r="G203" s="32" t="s">
        <v>155</v>
      </c>
      <c r="H203" s="94" t="s">
        <v>134</v>
      </c>
      <c r="I203" s="103">
        <v>10133.312965642304</v>
      </c>
      <c r="J203" s="100">
        <v>97</v>
      </c>
      <c r="K203" s="100">
        <v>0</v>
      </c>
      <c r="L203" s="98">
        <v>26.082083575701901</v>
      </c>
      <c r="M203" s="32">
        <v>1.1489485144828128E-4</v>
      </c>
      <c r="N203" s="41">
        <v>2.26172857771965E-5</v>
      </c>
      <c r="O203" s="41">
        <v>2.2087491249297949E-6</v>
      </c>
      <c r="P203" s="18"/>
      <c r="Q203" s="18"/>
      <c r="R203" s="18"/>
      <c r="S203" s="18"/>
    </row>
    <row r="204" spans="2:19" x14ac:dyDescent="0.2">
      <c r="B204" s="23" t="s">
        <v>2028</v>
      </c>
      <c r="C204" s="32" t="s">
        <v>2029</v>
      </c>
      <c r="D204" s="32" t="s">
        <v>2014</v>
      </c>
      <c r="E204" s="32" t="s">
        <v>1399</v>
      </c>
      <c r="F204" s="32" t="s">
        <v>238</v>
      </c>
      <c r="G204" s="32" t="s">
        <v>2030</v>
      </c>
      <c r="H204" s="94" t="s">
        <v>318</v>
      </c>
      <c r="I204" s="103">
        <v>844.52346106003574</v>
      </c>
      <c r="J204" s="100">
        <v>4397000</v>
      </c>
      <c r="K204" s="100">
        <v>0</v>
      </c>
      <c r="L204" s="98">
        <v>1182.596834750824</v>
      </c>
      <c r="M204" s="32">
        <v>6.4139885702787727E-6</v>
      </c>
      <c r="N204" s="41">
        <v>1.0254982311185088E-3</v>
      </c>
      <c r="O204" s="41">
        <v>1.0014766329228488E-4</v>
      </c>
      <c r="P204" s="18"/>
      <c r="Q204" s="18"/>
      <c r="R204" s="18"/>
      <c r="S204" s="18"/>
    </row>
    <row r="205" spans="2:19" x14ac:dyDescent="0.2">
      <c r="B205" s="23" t="s">
        <v>2031</v>
      </c>
      <c r="C205" s="32" t="s">
        <v>2032</v>
      </c>
      <c r="D205" s="32" t="s">
        <v>209</v>
      </c>
      <c r="E205" s="32" t="s">
        <v>1399</v>
      </c>
      <c r="F205" s="32" t="s">
        <v>238</v>
      </c>
      <c r="G205" s="32" t="s">
        <v>165</v>
      </c>
      <c r="H205" s="94" t="s">
        <v>212</v>
      </c>
      <c r="I205" s="103">
        <v>235.82982901858455</v>
      </c>
      <c r="J205" s="100">
        <v>23920</v>
      </c>
      <c r="K205" s="100">
        <v>0</v>
      </c>
      <c r="L205" s="98">
        <v>22.18060608423513</v>
      </c>
      <c r="M205" s="32">
        <v>5.4123931711073368E-6</v>
      </c>
      <c r="N205" s="41">
        <v>1.9234088605786122E-5</v>
      </c>
      <c r="O205" s="41">
        <v>1.8783543169306946E-6</v>
      </c>
      <c r="P205" s="18"/>
      <c r="Q205" s="18"/>
      <c r="R205" s="18"/>
      <c r="S205" s="18"/>
    </row>
    <row r="206" spans="2:19" x14ac:dyDescent="0.2">
      <c r="B206" s="23" t="s">
        <v>2033</v>
      </c>
      <c r="C206" s="32" t="s">
        <v>2034</v>
      </c>
      <c r="D206" s="32" t="s">
        <v>1941</v>
      </c>
      <c r="E206" s="32" t="s">
        <v>1399</v>
      </c>
      <c r="F206" s="32" t="s">
        <v>238</v>
      </c>
      <c r="G206" s="32" t="s">
        <v>173</v>
      </c>
      <c r="H206" s="94" t="s">
        <v>127</v>
      </c>
      <c r="I206" s="103">
        <v>38002.73382705824</v>
      </c>
      <c r="J206" s="100">
        <v>3415.9999999999995</v>
      </c>
      <c r="K206" s="100">
        <v>0</v>
      </c>
      <c r="L206" s="98">
        <v>4486.487227141798</v>
      </c>
      <c r="M206" s="32">
        <v>2.1176848343575666E-4</v>
      </c>
      <c r="N206" s="41">
        <v>3.8904930067220375E-3</v>
      </c>
      <c r="O206" s="41">
        <v>3.7993608555835905E-4</v>
      </c>
      <c r="P206" s="18"/>
      <c r="Q206" s="18"/>
      <c r="R206" s="18"/>
      <c r="S206" s="18"/>
    </row>
    <row r="207" spans="2:19" x14ac:dyDescent="0.2">
      <c r="B207" s="23" t="s">
        <v>2035</v>
      </c>
      <c r="C207" s="32" t="s">
        <v>2036</v>
      </c>
      <c r="D207" s="32" t="s">
        <v>1941</v>
      </c>
      <c r="E207" s="32" t="s">
        <v>1399</v>
      </c>
      <c r="F207" s="32" t="s">
        <v>238</v>
      </c>
      <c r="G207" s="32" t="s">
        <v>169</v>
      </c>
      <c r="H207" s="94" t="s">
        <v>127</v>
      </c>
      <c r="I207" s="103">
        <v>32961.483560964101</v>
      </c>
      <c r="J207" s="100">
        <v>7989</v>
      </c>
      <c r="K207" s="100">
        <v>0</v>
      </c>
      <c r="L207" s="98">
        <v>9100.6603371913934</v>
      </c>
      <c r="M207" s="32">
        <v>1.509782660946929E-5</v>
      </c>
      <c r="N207" s="41">
        <v>7.891709840206507E-3</v>
      </c>
      <c r="O207" s="41">
        <v>7.7068519076370758E-4</v>
      </c>
      <c r="P207" s="18"/>
      <c r="Q207" s="18"/>
      <c r="R207" s="18"/>
      <c r="S207" s="18"/>
    </row>
    <row r="208" spans="2:19" x14ac:dyDescent="0.2">
      <c r="B208" s="23" t="s">
        <v>2037</v>
      </c>
      <c r="C208" s="32" t="s">
        <v>2038</v>
      </c>
      <c r="D208" s="32" t="s">
        <v>1941</v>
      </c>
      <c r="E208" s="32" t="s">
        <v>1399</v>
      </c>
      <c r="F208" s="32" t="s">
        <v>238</v>
      </c>
      <c r="G208" s="32" t="s">
        <v>169</v>
      </c>
      <c r="H208" s="94" t="s">
        <v>127</v>
      </c>
      <c r="I208" s="103">
        <v>7736.259562309001</v>
      </c>
      <c r="J208" s="100">
        <v>13940</v>
      </c>
      <c r="K208" s="100">
        <v>0</v>
      </c>
      <c r="L208" s="98">
        <v>3727.0699185526069</v>
      </c>
      <c r="M208" s="32">
        <v>2.4665380991032625E-6</v>
      </c>
      <c r="N208" s="41">
        <v>3.2319582603449379E-3</v>
      </c>
      <c r="O208" s="41">
        <v>3.1562518374967269E-4</v>
      </c>
      <c r="P208" s="18"/>
      <c r="Q208" s="18"/>
      <c r="R208" s="18"/>
      <c r="S208" s="18"/>
    </row>
    <row r="209" spans="2:19" x14ac:dyDescent="0.2">
      <c r="B209" s="23" t="s">
        <v>2039</v>
      </c>
      <c r="C209" s="32" t="s">
        <v>2040</v>
      </c>
      <c r="D209" s="32" t="s">
        <v>1911</v>
      </c>
      <c r="E209" s="32" t="s">
        <v>1399</v>
      </c>
      <c r="F209" s="32" t="s">
        <v>238</v>
      </c>
      <c r="G209" s="32" t="s">
        <v>162</v>
      </c>
      <c r="H209" s="94" t="s">
        <v>127</v>
      </c>
      <c r="I209" s="103">
        <v>2838.160474934688</v>
      </c>
      <c r="J209" s="100">
        <v>133939</v>
      </c>
      <c r="K209" s="100">
        <v>0</v>
      </c>
      <c r="L209" s="98">
        <v>13137.651389175246</v>
      </c>
      <c r="M209" s="32">
        <v>9.4722734945255413E-6</v>
      </c>
      <c r="N209" s="41">
        <v>1.1392418671143789E-2</v>
      </c>
      <c r="O209" s="41">
        <v>1.1125559016499174E-3</v>
      </c>
      <c r="P209" s="18"/>
      <c r="Q209" s="18"/>
      <c r="R209" s="18"/>
      <c r="S209" s="18"/>
    </row>
    <row r="210" spans="2:19" x14ac:dyDescent="0.2">
      <c r="B210" s="23" t="s">
        <v>2041</v>
      </c>
      <c r="C210" s="32" t="s">
        <v>2042</v>
      </c>
      <c r="D210" s="32" t="s">
        <v>1911</v>
      </c>
      <c r="E210" s="32" t="s">
        <v>1399</v>
      </c>
      <c r="F210" s="32" t="s">
        <v>238</v>
      </c>
      <c r="G210" s="32" t="s">
        <v>1414</v>
      </c>
      <c r="H210" s="94" t="s">
        <v>127</v>
      </c>
      <c r="I210" s="103">
        <v>63808.370786704647</v>
      </c>
      <c r="J210" s="100">
        <v>4796</v>
      </c>
      <c r="K210" s="100">
        <v>0</v>
      </c>
      <c r="L210" s="98">
        <v>10576.222143459907</v>
      </c>
      <c r="M210" s="32">
        <v>1.5041117737015662E-5</v>
      </c>
      <c r="N210" s="41">
        <v>9.1712549715387958E-3</v>
      </c>
      <c r="O210" s="41">
        <v>8.9564245650192609E-4</v>
      </c>
      <c r="P210" s="18"/>
      <c r="Q210" s="18"/>
      <c r="R210" s="18"/>
      <c r="S210" s="18"/>
    </row>
    <row r="211" spans="2:19" x14ac:dyDescent="0.2">
      <c r="B211" s="23" t="s">
        <v>2043</v>
      </c>
      <c r="C211" s="32" t="s">
        <v>2044</v>
      </c>
      <c r="D211" s="32" t="s">
        <v>1941</v>
      </c>
      <c r="E211" s="32" t="s">
        <v>1399</v>
      </c>
      <c r="F211" s="32" t="s">
        <v>238</v>
      </c>
      <c r="G211" s="32" t="s">
        <v>169</v>
      </c>
      <c r="H211" s="94" t="s">
        <v>127</v>
      </c>
      <c r="I211" s="103">
        <v>93981.077604723047</v>
      </c>
      <c r="J211" s="100">
        <v>3522</v>
      </c>
      <c r="K211" s="100">
        <v>0</v>
      </c>
      <c r="L211" s="98">
        <v>11439.406839438298</v>
      </c>
      <c r="M211" s="32">
        <v>1.0448021731711066E-5</v>
      </c>
      <c r="N211" s="41">
        <v>9.9197724314565028E-3</v>
      </c>
      <c r="O211" s="41">
        <v>9.6874085128167498E-4</v>
      </c>
      <c r="P211" s="18"/>
      <c r="Q211" s="18"/>
      <c r="R211" s="18"/>
      <c r="S211" s="18"/>
    </row>
    <row r="212" spans="2:19" x14ac:dyDescent="0.2">
      <c r="B212" s="23" t="s">
        <v>2045</v>
      </c>
      <c r="C212" s="32" t="s">
        <v>2046</v>
      </c>
      <c r="D212" s="32" t="s">
        <v>1911</v>
      </c>
      <c r="E212" s="32" t="s">
        <v>1399</v>
      </c>
      <c r="F212" s="32" t="s">
        <v>238</v>
      </c>
      <c r="G212" s="32" t="s">
        <v>173</v>
      </c>
      <c r="H212" s="94" t="s">
        <v>127</v>
      </c>
      <c r="I212" s="103">
        <v>19774.040811681454</v>
      </c>
      <c r="J212" s="100">
        <v>10817</v>
      </c>
      <c r="K212" s="100">
        <v>0</v>
      </c>
      <c r="L212" s="98">
        <v>7392.2388290621857</v>
      </c>
      <c r="M212" s="32">
        <v>1.6840545030350006E-5</v>
      </c>
      <c r="N212" s="41">
        <v>6.4102385702783527E-3</v>
      </c>
      <c r="O212" s="41">
        <v>6.2600830940416001E-4</v>
      </c>
      <c r="P212" s="18"/>
      <c r="Q212" s="18"/>
      <c r="R212" s="18"/>
      <c r="S212" s="18"/>
    </row>
    <row r="213" spans="2:19" x14ac:dyDescent="0.2">
      <c r="B213" s="23" t="s">
        <v>2047</v>
      </c>
      <c r="C213" s="32" t="s">
        <v>2048</v>
      </c>
      <c r="D213" s="32" t="s">
        <v>1941</v>
      </c>
      <c r="E213" s="32" t="s">
        <v>1399</v>
      </c>
      <c r="F213" s="32" t="s">
        <v>238</v>
      </c>
      <c r="G213" s="32" t="s">
        <v>2030</v>
      </c>
      <c r="H213" s="94" t="s">
        <v>127</v>
      </c>
      <c r="I213" s="103">
        <v>11536.067189983583</v>
      </c>
      <c r="J213" s="100">
        <v>14463</v>
      </c>
      <c r="K213" s="100">
        <v>35.084410060000003</v>
      </c>
      <c r="L213" s="98">
        <v>5801.2870001076608</v>
      </c>
      <c r="M213" s="32">
        <v>6.4003984360104901E-6</v>
      </c>
      <c r="N213" s="41">
        <v>5.0306320649629675E-3</v>
      </c>
      <c r="O213" s="41">
        <v>4.9127929322684727E-4</v>
      </c>
      <c r="P213" s="18"/>
      <c r="Q213" s="18"/>
      <c r="R213" s="18"/>
      <c r="S213" s="18"/>
    </row>
    <row r="214" spans="2:19" x14ac:dyDescent="0.2">
      <c r="B214" s="23" t="s">
        <v>2049</v>
      </c>
      <c r="C214" s="32" t="s">
        <v>2050</v>
      </c>
      <c r="D214" s="32" t="s">
        <v>1941</v>
      </c>
      <c r="E214" s="32" t="s">
        <v>1399</v>
      </c>
      <c r="F214" s="32" t="s">
        <v>238</v>
      </c>
      <c r="G214" s="32" t="s">
        <v>173</v>
      </c>
      <c r="H214" s="94" t="s">
        <v>127</v>
      </c>
      <c r="I214" s="103">
        <v>12255.384739703981</v>
      </c>
      <c r="J214" s="100">
        <v>18790</v>
      </c>
      <c r="K214" s="100">
        <v>0</v>
      </c>
      <c r="L214" s="98">
        <v>7958.431154699193</v>
      </c>
      <c r="M214" s="32">
        <v>7.1591955923704296E-6</v>
      </c>
      <c r="N214" s="41">
        <v>6.9012167391282351E-3</v>
      </c>
      <c r="O214" s="41">
        <v>6.7395604334048341E-4</v>
      </c>
      <c r="P214" s="18"/>
      <c r="Q214" s="18"/>
      <c r="R214" s="18"/>
      <c r="S214" s="18"/>
    </row>
    <row r="215" spans="2:19" x14ac:dyDescent="0.2">
      <c r="B215" s="23" t="s">
        <v>2051</v>
      </c>
      <c r="C215" s="32" t="s">
        <v>2052</v>
      </c>
      <c r="D215" s="32" t="s">
        <v>1941</v>
      </c>
      <c r="E215" s="32" t="s">
        <v>1399</v>
      </c>
      <c r="F215" s="32" t="s">
        <v>238</v>
      </c>
      <c r="G215" s="32" t="s">
        <v>173</v>
      </c>
      <c r="H215" s="94" t="s">
        <v>127</v>
      </c>
      <c r="I215" s="103">
        <v>7784.8213736546268</v>
      </c>
      <c r="J215" s="100">
        <v>29858.999999999996</v>
      </c>
      <c r="K215" s="100">
        <v>0</v>
      </c>
      <c r="L215" s="98">
        <v>8033.3676768852483</v>
      </c>
      <c r="M215" s="32">
        <v>7.8047298424360395E-6</v>
      </c>
      <c r="N215" s="41">
        <v>6.9661985390872755E-3</v>
      </c>
      <c r="O215" s="41">
        <v>6.8030200789210096E-4</v>
      </c>
      <c r="P215" s="18"/>
      <c r="Q215" s="18"/>
      <c r="R215" s="18"/>
      <c r="S215" s="18"/>
    </row>
    <row r="216" spans="2:19" x14ac:dyDescent="0.2">
      <c r="B216" s="23" t="s">
        <v>2053</v>
      </c>
      <c r="C216" s="32" t="s">
        <v>2054</v>
      </c>
      <c r="D216" s="32" t="s">
        <v>1911</v>
      </c>
      <c r="E216" s="32" t="s">
        <v>1399</v>
      </c>
      <c r="F216" s="32" t="s">
        <v>238</v>
      </c>
      <c r="G216" s="32" t="s">
        <v>162</v>
      </c>
      <c r="H216" s="94" t="s">
        <v>127</v>
      </c>
      <c r="I216" s="103">
        <v>10776.407035351234</v>
      </c>
      <c r="J216" s="100">
        <v>20525</v>
      </c>
      <c r="K216" s="100">
        <v>0</v>
      </c>
      <c r="L216" s="98">
        <v>7644.1796720841867</v>
      </c>
      <c r="M216" s="32">
        <v>4.4781006950021676E-6</v>
      </c>
      <c r="N216" s="41">
        <v>6.6287110718726994E-3</v>
      </c>
      <c r="O216" s="41">
        <v>6.4734380259602034E-4</v>
      </c>
      <c r="P216" s="18"/>
      <c r="Q216" s="18"/>
      <c r="R216" s="18"/>
      <c r="S216" s="18"/>
    </row>
    <row r="217" spans="2:19" x14ac:dyDescent="0.2">
      <c r="B217" s="23" t="s">
        <v>2055</v>
      </c>
      <c r="C217" s="32" t="s">
        <v>2056</v>
      </c>
      <c r="D217" s="32" t="s">
        <v>1941</v>
      </c>
      <c r="E217" s="32" t="s">
        <v>1399</v>
      </c>
      <c r="F217" s="32" t="s">
        <v>238</v>
      </c>
      <c r="G217" s="32" t="s">
        <v>156</v>
      </c>
      <c r="H217" s="94" t="s">
        <v>127</v>
      </c>
      <c r="I217" s="103">
        <v>27889.411270743683</v>
      </c>
      <c r="J217" s="100">
        <v>6147</v>
      </c>
      <c r="K217" s="100">
        <v>0</v>
      </c>
      <c r="L217" s="98">
        <v>5924.8354543601727</v>
      </c>
      <c r="M217" s="32">
        <v>2.1185545090471542E-4</v>
      </c>
      <c r="N217" s="41">
        <v>5.1377680876296215E-3</v>
      </c>
      <c r="O217" s="41">
        <v>5.0174193665119724E-4</v>
      </c>
      <c r="P217" s="18"/>
      <c r="Q217" s="18"/>
      <c r="R217" s="18"/>
      <c r="S217" s="18"/>
    </row>
    <row r="218" spans="2:19" x14ac:dyDescent="0.2">
      <c r="B218" s="23" t="s">
        <v>2057</v>
      </c>
      <c r="C218" s="32" t="s">
        <v>2058</v>
      </c>
      <c r="D218" s="32" t="s">
        <v>1941</v>
      </c>
      <c r="E218" s="32" t="s">
        <v>1399</v>
      </c>
      <c r="F218" s="32" t="s">
        <v>238</v>
      </c>
      <c r="G218" s="32" t="s">
        <v>162</v>
      </c>
      <c r="H218" s="94" t="s">
        <v>127</v>
      </c>
      <c r="I218" s="103">
        <v>23414.121860994965</v>
      </c>
      <c r="J218" s="100">
        <v>7147</v>
      </c>
      <c r="K218" s="100">
        <v>0</v>
      </c>
      <c r="L218" s="98">
        <v>5783.2955921573548</v>
      </c>
      <c r="M218" s="32">
        <v>1.0955741692129391E-4</v>
      </c>
      <c r="N218" s="41">
        <v>5.0150306727672423E-3</v>
      </c>
      <c r="O218" s="41">
        <v>4.8975569920679308E-4</v>
      </c>
      <c r="P218" s="18"/>
      <c r="Q218" s="18"/>
      <c r="R218" s="18"/>
      <c r="S218" s="18"/>
    </row>
    <row r="219" spans="2:19" x14ac:dyDescent="0.2">
      <c r="B219" s="23" t="s">
        <v>2059</v>
      </c>
      <c r="C219" s="32" t="s">
        <v>2060</v>
      </c>
      <c r="D219" s="32" t="s">
        <v>1941</v>
      </c>
      <c r="E219" s="32" t="s">
        <v>1399</v>
      </c>
      <c r="F219" s="32" t="s">
        <v>238</v>
      </c>
      <c r="G219" s="32" t="s">
        <v>154</v>
      </c>
      <c r="H219" s="94" t="s">
        <v>127</v>
      </c>
      <c r="I219" s="103">
        <v>1842.4205392076917</v>
      </c>
      <c r="J219" s="100">
        <v>2546</v>
      </c>
      <c r="K219" s="100">
        <v>0</v>
      </c>
      <c r="L219" s="98">
        <v>162.11414106395537</v>
      </c>
      <c r="M219" s="32">
        <v>1.7408336616676432E-6</v>
      </c>
      <c r="N219" s="41">
        <v>1.4057856406778855E-4</v>
      </c>
      <c r="O219" s="41">
        <v>1.3728560687050888E-5</v>
      </c>
      <c r="P219" s="18"/>
      <c r="Q219" s="18"/>
      <c r="R219" s="18"/>
      <c r="S219" s="18"/>
    </row>
    <row r="220" spans="2:19" x14ac:dyDescent="0.2">
      <c r="B220" s="23" t="s">
        <v>2061</v>
      </c>
      <c r="C220" s="32" t="s">
        <v>2062</v>
      </c>
      <c r="D220" s="32" t="s">
        <v>1941</v>
      </c>
      <c r="E220" s="32" t="s">
        <v>1399</v>
      </c>
      <c r="F220" s="32" t="s">
        <v>238</v>
      </c>
      <c r="G220" s="32" t="s">
        <v>154</v>
      </c>
      <c r="H220" s="94" t="s">
        <v>127</v>
      </c>
      <c r="I220" s="103">
        <v>644.84718872269218</v>
      </c>
      <c r="J220" s="100">
        <v>4083</v>
      </c>
      <c r="K220" s="100">
        <v>0</v>
      </c>
      <c r="L220" s="98">
        <v>90.993406632932221</v>
      </c>
      <c r="M220" s="32">
        <v>2.7701228727333945E-6</v>
      </c>
      <c r="N220" s="41">
        <v>7.8905654745119102E-5</v>
      </c>
      <c r="O220" s="41">
        <v>7.7057343479301141E-6</v>
      </c>
      <c r="P220" s="18"/>
      <c r="Q220" s="18"/>
      <c r="R220" s="18"/>
      <c r="S220" s="18"/>
    </row>
    <row r="221" spans="2:19" x14ac:dyDescent="0.2">
      <c r="B221" s="23" t="s">
        <v>2063</v>
      </c>
      <c r="C221" s="32" t="s">
        <v>2064</v>
      </c>
      <c r="D221" s="32" t="s">
        <v>1914</v>
      </c>
      <c r="E221" s="32" t="s">
        <v>1399</v>
      </c>
      <c r="F221" s="32" t="s">
        <v>238</v>
      </c>
      <c r="G221" s="32" t="s">
        <v>155</v>
      </c>
      <c r="H221" s="94" t="s">
        <v>127</v>
      </c>
      <c r="I221" s="103">
        <v>4974.5354558607678</v>
      </c>
      <c r="J221" s="100">
        <v>3055</v>
      </c>
      <c r="K221" s="100">
        <v>0</v>
      </c>
      <c r="L221" s="98">
        <v>525.21543305814453</v>
      </c>
      <c r="M221" s="32">
        <v>3.1435561897900751E-6</v>
      </c>
      <c r="N221" s="41">
        <v>4.5544473123061816E-4</v>
      </c>
      <c r="O221" s="41">
        <v>4.4477624833911724E-5</v>
      </c>
      <c r="P221" s="18"/>
      <c r="Q221" s="18"/>
      <c r="R221" s="18"/>
      <c r="S221" s="18"/>
    </row>
    <row r="222" spans="2:19" x14ac:dyDescent="0.2">
      <c r="B222" s="23" t="s">
        <v>2065</v>
      </c>
      <c r="C222" s="32" t="s">
        <v>2066</v>
      </c>
      <c r="D222" s="32" t="s">
        <v>1914</v>
      </c>
      <c r="E222" s="32" t="s">
        <v>1399</v>
      </c>
      <c r="F222" s="32" t="s">
        <v>238</v>
      </c>
      <c r="G222" s="32" t="s">
        <v>155</v>
      </c>
      <c r="H222" s="94" t="s">
        <v>127</v>
      </c>
      <c r="I222" s="103">
        <v>3684.8410784153834</v>
      </c>
      <c r="J222" s="100">
        <v>1514</v>
      </c>
      <c r="K222" s="100">
        <v>0</v>
      </c>
      <c r="L222" s="98">
        <v>192.80503501243396</v>
      </c>
      <c r="M222" s="32">
        <v>4.3986618113715929E-6</v>
      </c>
      <c r="N222" s="41">
        <v>1.6719241633828111E-4</v>
      </c>
      <c r="O222" s="41">
        <v>1.6327604776272618E-5</v>
      </c>
      <c r="P222" s="18"/>
      <c r="Q222" s="18"/>
      <c r="R222" s="18"/>
      <c r="S222" s="18"/>
    </row>
    <row r="223" spans="2:19" x14ac:dyDescent="0.2">
      <c r="B223" s="23" t="s">
        <v>2067</v>
      </c>
      <c r="C223" s="32" t="s">
        <v>2068</v>
      </c>
      <c r="D223" s="32" t="s">
        <v>1941</v>
      </c>
      <c r="E223" s="32" t="s">
        <v>1399</v>
      </c>
      <c r="F223" s="32" t="s">
        <v>238</v>
      </c>
      <c r="G223" s="32" t="s">
        <v>154</v>
      </c>
      <c r="H223" s="94" t="s">
        <v>127</v>
      </c>
      <c r="I223" s="103">
        <v>7369.6821568307669</v>
      </c>
      <c r="J223" s="100">
        <v>890</v>
      </c>
      <c r="K223" s="100">
        <v>0</v>
      </c>
      <c r="L223" s="98">
        <v>226.67963165266346</v>
      </c>
      <c r="M223" s="32">
        <v>1.861981906665086E-5</v>
      </c>
      <c r="N223" s="41">
        <v>1.9656704166587873E-4</v>
      </c>
      <c r="O223" s="41">
        <v>1.9196259248193704E-5</v>
      </c>
      <c r="P223" s="18"/>
      <c r="Q223" s="18"/>
      <c r="R223" s="18"/>
      <c r="S223" s="18"/>
    </row>
    <row r="224" spans="2:19" x14ac:dyDescent="0.2">
      <c r="B224" s="23" t="s">
        <v>2069</v>
      </c>
      <c r="C224" s="32" t="s">
        <v>2070</v>
      </c>
      <c r="D224" s="32" t="s">
        <v>1941</v>
      </c>
      <c r="E224" s="32" t="s">
        <v>1399</v>
      </c>
      <c r="F224" s="32" t="s">
        <v>238</v>
      </c>
      <c r="G224" s="32" t="s">
        <v>155</v>
      </c>
      <c r="H224" s="94" t="s">
        <v>127</v>
      </c>
      <c r="I224" s="103">
        <v>2072.7231066086533</v>
      </c>
      <c r="J224" s="100">
        <v>7304.0000000000009</v>
      </c>
      <c r="K224" s="100">
        <v>0</v>
      </c>
      <c r="L224" s="98">
        <v>523.20970036234144</v>
      </c>
      <c r="M224" s="32">
        <v>1.9547899819187983E-5</v>
      </c>
      <c r="N224" s="41">
        <v>4.5370544420464192E-4</v>
      </c>
      <c r="O224" s="41">
        <v>4.4307770292811132E-5</v>
      </c>
      <c r="P224" s="18"/>
      <c r="Q224" s="18"/>
      <c r="R224" s="18"/>
      <c r="S224" s="18"/>
    </row>
    <row r="225" spans="2:19" x14ac:dyDescent="0.2">
      <c r="B225" s="23" t="s">
        <v>2071</v>
      </c>
      <c r="C225" s="32" t="s">
        <v>2072</v>
      </c>
      <c r="D225" s="32" t="s">
        <v>1941</v>
      </c>
      <c r="E225" s="32" t="s">
        <v>1399</v>
      </c>
      <c r="F225" s="32" t="s">
        <v>238</v>
      </c>
      <c r="G225" s="32" t="s">
        <v>154</v>
      </c>
      <c r="H225" s="94" t="s">
        <v>127</v>
      </c>
      <c r="I225" s="103">
        <v>921.21026960384586</v>
      </c>
      <c r="J225" s="100">
        <v>4020.0000000000005</v>
      </c>
      <c r="K225" s="100">
        <v>0</v>
      </c>
      <c r="L225" s="98">
        <v>127.98484820838584</v>
      </c>
      <c r="M225" s="32">
        <v>6.6542719707739964E-7</v>
      </c>
      <c r="N225" s="41">
        <v>1.1098307689562255E-4</v>
      </c>
      <c r="O225" s="41">
        <v>1.0838337384513861E-5</v>
      </c>
      <c r="P225" s="18"/>
      <c r="Q225" s="18"/>
      <c r="R225" s="18"/>
      <c r="S225" s="18"/>
    </row>
    <row r="226" spans="2:19" x14ac:dyDescent="0.2">
      <c r="B226" s="23" t="s">
        <v>2073</v>
      </c>
      <c r="C226" s="32" t="s">
        <v>2074</v>
      </c>
      <c r="D226" s="32" t="s">
        <v>1941</v>
      </c>
      <c r="E226" s="32" t="s">
        <v>1399</v>
      </c>
      <c r="F226" s="32" t="s">
        <v>238</v>
      </c>
      <c r="G226" s="32" t="s">
        <v>155</v>
      </c>
      <c r="H226" s="94" t="s">
        <v>127</v>
      </c>
      <c r="I226" s="103">
        <v>2303.0256740096147</v>
      </c>
      <c r="J226" s="100">
        <v>2151</v>
      </c>
      <c r="K226" s="100">
        <v>0</v>
      </c>
      <c r="L226" s="98">
        <v>171.20361224890419</v>
      </c>
      <c r="M226" s="32">
        <v>1.2410354437709327E-5</v>
      </c>
      <c r="N226" s="41">
        <v>1.4846057114582345E-4</v>
      </c>
      <c r="O226" s="41">
        <v>1.4498298329657535E-5</v>
      </c>
      <c r="P226" s="18"/>
      <c r="Q226" s="18"/>
      <c r="R226" s="18"/>
      <c r="S226" s="18"/>
    </row>
    <row r="227" spans="2:19" x14ac:dyDescent="0.2">
      <c r="B227" s="23" t="s">
        <v>2075</v>
      </c>
      <c r="C227" s="32" t="s">
        <v>2076</v>
      </c>
      <c r="D227" s="32" t="s">
        <v>1941</v>
      </c>
      <c r="E227" s="32" t="s">
        <v>1399</v>
      </c>
      <c r="F227" s="32" t="s">
        <v>238</v>
      </c>
      <c r="G227" s="32" t="s">
        <v>156</v>
      </c>
      <c r="H227" s="94" t="s">
        <v>127</v>
      </c>
      <c r="I227" s="103">
        <v>19185.61412441732</v>
      </c>
      <c r="J227" s="100">
        <v>7288</v>
      </c>
      <c r="K227" s="100">
        <v>3.6587516620000002</v>
      </c>
      <c r="L227" s="98">
        <v>4836.0023094779099</v>
      </c>
      <c r="M227" s="32">
        <v>1.8533700297950072E-4</v>
      </c>
      <c r="N227" s="41">
        <v>4.1935777843507913E-3</v>
      </c>
      <c r="O227" s="41">
        <v>4.0953460785505316E-4</v>
      </c>
      <c r="P227" s="18"/>
      <c r="Q227" s="18"/>
      <c r="R227" s="18"/>
      <c r="S227" s="18"/>
    </row>
    <row r="228" spans="2:19" x14ac:dyDescent="0.2">
      <c r="B228" s="23" t="s">
        <v>2077</v>
      </c>
      <c r="C228" s="32" t="s">
        <v>2078</v>
      </c>
      <c r="D228" s="32" t="s">
        <v>1911</v>
      </c>
      <c r="E228" s="32" t="s">
        <v>1399</v>
      </c>
      <c r="F228" s="32" t="s">
        <v>238</v>
      </c>
      <c r="G228" s="32" t="s">
        <v>1514</v>
      </c>
      <c r="H228" s="94" t="s">
        <v>127</v>
      </c>
      <c r="I228" s="103">
        <v>1943.7053347900808</v>
      </c>
      <c r="J228" s="100">
        <v>59115</v>
      </c>
      <c r="K228" s="100">
        <v>0</v>
      </c>
      <c r="L228" s="98">
        <v>3971.0179881137769</v>
      </c>
      <c r="M228" s="32">
        <v>1.6817914579903766E-5</v>
      </c>
      <c r="N228" s="41">
        <v>3.4434997649968302E-3</v>
      </c>
      <c r="O228" s="41">
        <v>3.3628381263595971E-4</v>
      </c>
      <c r="P228" s="18"/>
      <c r="Q228" s="18"/>
      <c r="R228" s="18"/>
      <c r="S228" s="18"/>
    </row>
    <row r="229" spans="2:19" x14ac:dyDescent="0.2">
      <c r="B229" s="23" t="s">
        <v>2079</v>
      </c>
      <c r="C229" s="32" t="s">
        <v>2080</v>
      </c>
      <c r="D229" s="32" t="s">
        <v>1941</v>
      </c>
      <c r="E229" s="32" t="s">
        <v>1399</v>
      </c>
      <c r="F229" s="32" t="s">
        <v>238</v>
      </c>
      <c r="G229" s="32" t="s">
        <v>154</v>
      </c>
      <c r="H229" s="94" t="s">
        <v>127</v>
      </c>
      <c r="I229" s="103">
        <v>5527.2616176230758</v>
      </c>
      <c r="J229" s="100">
        <v>1283</v>
      </c>
      <c r="K229" s="100">
        <v>0</v>
      </c>
      <c r="L229" s="98">
        <v>245.08143321098362</v>
      </c>
      <c r="M229" s="32">
        <v>2.0588799316813635E-6</v>
      </c>
      <c r="N229" s="41">
        <v>2.1252430993594585E-4</v>
      </c>
      <c r="O229" s="41">
        <v>2.0754607260195943E-5</v>
      </c>
      <c r="P229" s="18"/>
      <c r="Q229" s="18"/>
      <c r="R229" s="18"/>
      <c r="S229" s="18"/>
    </row>
    <row r="230" spans="2:19" x14ac:dyDescent="0.2">
      <c r="B230" s="23" t="s">
        <v>2081</v>
      </c>
      <c r="C230" s="32" t="s">
        <v>2082</v>
      </c>
      <c r="D230" s="32" t="s">
        <v>1914</v>
      </c>
      <c r="E230" s="32" t="s">
        <v>1399</v>
      </c>
      <c r="F230" s="32" t="s">
        <v>238</v>
      </c>
      <c r="G230" s="32" t="s">
        <v>154</v>
      </c>
      <c r="H230" s="94" t="s">
        <v>127</v>
      </c>
      <c r="I230" s="103">
        <v>10133.312965642304</v>
      </c>
      <c r="J230" s="100">
        <v>1300</v>
      </c>
      <c r="K230" s="100">
        <v>0</v>
      </c>
      <c r="L230" s="98">
        <v>455.26948492037752</v>
      </c>
      <c r="M230" s="32">
        <v>3.9070965046097088E-5</v>
      </c>
      <c r="N230" s="41">
        <v>3.9479054716602051E-4</v>
      </c>
      <c r="O230" s="41">
        <v>3.8554284726007017E-5</v>
      </c>
      <c r="P230" s="18"/>
      <c r="Q230" s="18"/>
      <c r="R230" s="18"/>
      <c r="S230" s="18"/>
    </row>
    <row r="231" spans="2:19" x14ac:dyDescent="0.2">
      <c r="B231" s="23" t="s">
        <v>2083</v>
      </c>
      <c r="C231" s="32" t="s">
        <v>2084</v>
      </c>
      <c r="D231" s="32" t="s">
        <v>1911</v>
      </c>
      <c r="E231" s="32" t="s">
        <v>1399</v>
      </c>
      <c r="F231" s="32" t="s">
        <v>238</v>
      </c>
      <c r="G231" s="32" t="s">
        <v>173</v>
      </c>
      <c r="H231" s="94" t="s">
        <v>127</v>
      </c>
      <c r="I231" s="103">
        <v>20048.49381317923</v>
      </c>
      <c r="J231" s="100">
        <v>15769.999999999998</v>
      </c>
      <c r="K231" s="100">
        <v>0</v>
      </c>
      <c r="L231" s="98">
        <v>10926.653670738044</v>
      </c>
      <c r="M231" s="32">
        <v>2.6279990364252101E-6</v>
      </c>
      <c r="N231" s="41">
        <v>9.4751344516725358E-3</v>
      </c>
      <c r="O231" s="41">
        <v>9.2531858751258161E-4</v>
      </c>
      <c r="P231" s="18"/>
      <c r="Q231" s="18"/>
      <c r="R231" s="18"/>
      <c r="S231" s="18"/>
    </row>
    <row r="232" spans="2:19" x14ac:dyDescent="0.2">
      <c r="B232" s="23" t="s">
        <v>2085</v>
      </c>
      <c r="C232" s="32" t="s">
        <v>2086</v>
      </c>
      <c r="D232" s="32" t="s">
        <v>1911</v>
      </c>
      <c r="E232" s="32" t="s">
        <v>1399</v>
      </c>
      <c r="F232" s="32" t="s">
        <v>238</v>
      </c>
      <c r="G232" s="32" t="s">
        <v>2030</v>
      </c>
      <c r="H232" s="94" t="s">
        <v>127</v>
      </c>
      <c r="I232" s="103">
        <v>3263.298927716492</v>
      </c>
      <c r="J232" s="100">
        <v>10751</v>
      </c>
      <c r="K232" s="100">
        <v>0</v>
      </c>
      <c r="L232" s="98">
        <v>1212.4935967813767</v>
      </c>
      <c r="M232" s="32">
        <v>1.1176488377831902E-5</v>
      </c>
      <c r="N232" s="41">
        <v>1.0514234455936201E-3</v>
      </c>
      <c r="O232" s="41">
        <v>1.0267945668914124E-4</v>
      </c>
      <c r="P232" s="18"/>
      <c r="Q232" s="18"/>
      <c r="R232" s="18"/>
      <c r="S232" s="18"/>
    </row>
    <row r="233" spans="2:19" x14ac:dyDescent="0.2">
      <c r="B233" s="23" t="s">
        <v>2087</v>
      </c>
      <c r="C233" s="32" t="s">
        <v>2088</v>
      </c>
      <c r="D233" s="32" t="s">
        <v>1941</v>
      </c>
      <c r="E233" s="32" t="s">
        <v>1399</v>
      </c>
      <c r="F233" s="32" t="s">
        <v>238</v>
      </c>
      <c r="G233" s="32" t="s">
        <v>155</v>
      </c>
      <c r="H233" s="94" t="s">
        <v>127</v>
      </c>
      <c r="I233" s="103">
        <v>4520.6551560269527</v>
      </c>
      <c r="J233" s="100">
        <v>2669</v>
      </c>
      <c r="K233" s="100">
        <v>0</v>
      </c>
      <c r="L233" s="98">
        <v>416.98812419217273</v>
      </c>
      <c r="M233" s="32">
        <v>3.7554152433963469E-5</v>
      </c>
      <c r="N233" s="41">
        <v>3.6159456138456424E-4</v>
      </c>
      <c r="O233" s="41">
        <v>3.5312445485513418E-5</v>
      </c>
      <c r="P233" s="18"/>
      <c r="Q233" s="18"/>
      <c r="R233" s="18"/>
      <c r="S233" s="18"/>
    </row>
    <row r="234" spans="2:19" x14ac:dyDescent="0.2">
      <c r="B234" s="23" t="s">
        <v>2089</v>
      </c>
      <c r="C234" s="32" t="s">
        <v>2090</v>
      </c>
      <c r="D234" s="32" t="s">
        <v>1914</v>
      </c>
      <c r="E234" s="32" t="s">
        <v>1399</v>
      </c>
      <c r="F234" s="32" t="s">
        <v>238</v>
      </c>
      <c r="G234" s="32" t="s">
        <v>155</v>
      </c>
      <c r="H234" s="94" t="s">
        <v>127</v>
      </c>
      <c r="I234" s="103">
        <v>2303.0256740096147</v>
      </c>
      <c r="J234" s="100">
        <v>1000</v>
      </c>
      <c r="K234" s="100">
        <v>0</v>
      </c>
      <c r="L234" s="98">
        <v>79.592567293772291</v>
      </c>
      <c r="M234" s="32">
        <v>3.604961499392831E-6</v>
      </c>
      <c r="N234" s="41">
        <v>6.9019326427625962E-5</v>
      </c>
      <c r="O234" s="41">
        <v>6.7402595674837448E-6</v>
      </c>
      <c r="P234" s="18"/>
      <c r="Q234" s="18"/>
      <c r="R234" s="18"/>
      <c r="S234" s="18"/>
    </row>
    <row r="235" spans="2:19" x14ac:dyDescent="0.2">
      <c r="B235" s="23" t="s">
        <v>2091</v>
      </c>
      <c r="C235" s="32" t="s">
        <v>2092</v>
      </c>
      <c r="D235" s="32" t="s">
        <v>1911</v>
      </c>
      <c r="E235" s="32" t="s">
        <v>1399</v>
      </c>
      <c r="F235" s="32" t="s">
        <v>238</v>
      </c>
      <c r="G235" s="32" t="s">
        <v>1926</v>
      </c>
      <c r="H235" s="94" t="s">
        <v>127</v>
      </c>
      <c r="I235" s="103">
        <v>8743.5233107557888</v>
      </c>
      <c r="J235" s="100">
        <v>23530</v>
      </c>
      <c r="K235" s="100">
        <v>0</v>
      </c>
      <c r="L235" s="98">
        <v>7110.2051767580388</v>
      </c>
      <c r="M235" s="32">
        <v>1.4286802795352596E-5</v>
      </c>
      <c r="N235" s="41">
        <v>6.1656708502787179E-3</v>
      </c>
      <c r="O235" s="41">
        <v>6.0212442064506283E-4</v>
      </c>
      <c r="P235" s="18"/>
      <c r="Q235" s="18"/>
      <c r="R235" s="18"/>
      <c r="S235" s="18"/>
    </row>
    <row r="236" spans="2:19" x14ac:dyDescent="0.2">
      <c r="B236" s="23" t="s">
        <v>2093</v>
      </c>
      <c r="C236" s="32" t="s">
        <v>2094</v>
      </c>
      <c r="D236" s="32" t="s">
        <v>1941</v>
      </c>
      <c r="E236" s="32" t="s">
        <v>1399</v>
      </c>
      <c r="F236" s="32" t="s">
        <v>238</v>
      </c>
      <c r="G236" s="32" t="s">
        <v>163</v>
      </c>
      <c r="H236" s="94" t="s">
        <v>127</v>
      </c>
      <c r="I236" s="103">
        <v>13714.773335389802</v>
      </c>
      <c r="J236" s="100">
        <v>21210</v>
      </c>
      <c r="K236" s="100">
        <v>0</v>
      </c>
      <c r="L236" s="98">
        <v>10053.170234440468</v>
      </c>
      <c r="M236" s="32">
        <v>5.1122583907042488E-6</v>
      </c>
      <c r="N236" s="41">
        <v>8.7176863573494873E-3</v>
      </c>
      <c r="O236" s="41">
        <v>8.5134804869564879E-4</v>
      </c>
      <c r="P236" s="18"/>
      <c r="Q236" s="18"/>
      <c r="R236" s="18"/>
      <c r="S236" s="18"/>
    </row>
    <row r="237" spans="2:19" x14ac:dyDescent="0.2">
      <c r="B237" s="23" t="s">
        <v>2095</v>
      </c>
      <c r="C237" s="32" t="s">
        <v>2096</v>
      </c>
      <c r="D237" s="32" t="s">
        <v>1941</v>
      </c>
      <c r="E237" s="32" t="s">
        <v>1399</v>
      </c>
      <c r="F237" s="32" t="s">
        <v>238</v>
      </c>
      <c r="G237" s="32" t="s">
        <v>154</v>
      </c>
      <c r="H237" s="94" t="s">
        <v>127</v>
      </c>
      <c r="I237" s="103">
        <v>42674.941724280405</v>
      </c>
      <c r="J237" s="100">
        <v>4121</v>
      </c>
      <c r="K237" s="100">
        <v>116.5128327</v>
      </c>
      <c r="L237" s="98">
        <v>6194.3531408887757</v>
      </c>
      <c r="M237" s="32">
        <v>4.777130545121927E-5</v>
      </c>
      <c r="N237" s="41">
        <v>5.3714824885720781E-3</v>
      </c>
      <c r="O237" s="41">
        <v>5.2456591666588193E-4</v>
      </c>
      <c r="P237" s="18"/>
      <c r="Q237" s="18"/>
      <c r="R237" s="18"/>
      <c r="S237" s="18"/>
    </row>
    <row r="238" spans="2:19" x14ac:dyDescent="0.2">
      <c r="B238" s="23" t="s">
        <v>2097</v>
      </c>
      <c r="C238" s="32" t="s">
        <v>2098</v>
      </c>
      <c r="D238" s="32" t="s">
        <v>1941</v>
      </c>
      <c r="E238" s="32" t="s">
        <v>1399</v>
      </c>
      <c r="F238" s="32" t="s">
        <v>238</v>
      </c>
      <c r="G238" s="32" t="s">
        <v>155</v>
      </c>
      <c r="H238" s="94" t="s">
        <v>127</v>
      </c>
      <c r="I238" s="103">
        <v>9212.1026960384588</v>
      </c>
      <c r="J238" s="100">
        <v>1312</v>
      </c>
      <c r="K238" s="100">
        <v>0</v>
      </c>
      <c r="L238" s="98">
        <v>417.70179315771696</v>
      </c>
      <c r="M238" s="32">
        <v>6.349173461888321E-6</v>
      </c>
      <c r="N238" s="41">
        <v>3.6221342509218108E-4</v>
      </c>
      <c r="O238" s="41">
        <v>3.5372882210154687E-5</v>
      </c>
      <c r="P238" s="18"/>
      <c r="Q238" s="18"/>
      <c r="R238" s="18"/>
      <c r="S238" s="18"/>
    </row>
    <row r="239" spans="2:19" x14ac:dyDescent="0.2">
      <c r="B239" s="23" t="s">
        <v>2099</v>
      </c>
      <c r="C239" s="32" t="s">
        <v>2100</v>
      </c>
      <c r="D239" s="32" t="s">
        <v>1941</v>
      </c>
      <c r="E239" s="32" t="s">
        <v>1399</v>
      </c>
      <c r="F239" s="32" t="s">
        <v>238</v>
      </c>
      <c r="G239" s="32" t="s">
        <v>177</v>
      </c>
      <c r="H239" s="94" t="s">
        <v>127</v>
      </c>
      <c r="I239" s="103">
        <v>76799.10052867468</v>
      </c>
      <c r="J239" s="100">
        <v>1116</v>
      </c>
      <c r="K239" s="100">
        <v>0</v>
      </c>
      <c r="L239" s="98">
        <v>2962.061435882596</v>
      </c>
      <c r="M239" s="32">
        <v>9.144831056337961E-4</v>
      </c>
      <c r="N239" s="41">
        <v>2.56857508298843E-3</v>
      </c>
      <c r="O239" s="41">
        <v>2.508407959626711E-4</v>
      </c>
      <c r="P239" s="18"/>
      <c r="Q239" s="18"/>
      <c r="R239" s="18"/>
      <c r="S239" s="18"/>
    </row>
    <row r="240" spans="2:19" x14ac:dyDescent="0.2">
      <c r="B240" s="23" t="s">
        <v>2101</v>
      </c>
      <c r="C240" s="32" t="s">
        <v>2102</v>
      </c>
      <c r="D240" s="32" t="s">
        <v>1911</v>
      </c>
      <c r="E240" s="32" t="s">
        <v>1399</v>
      </c>
      <c r="F240" s="32" t="s">
        <v>238</v>
      </c>
      <c r="G240" s="32" t="s">
        <v>173</v>
      </c>
      <c r="H240" s="94" t="s">
        <v>127</v>
      </c>
      <c r="I240" s="103">
        <v>4610.6323423565536</v>
      </c>
      <c r="J240" s="100">
        <v>32981</v>
      </c>
      <c r="K240" s="100">
        <v>0</v>
      </c>
      <c r="L240" s="98">
        <v>5255.3064476141726</v>
      </c>
      <c r="M240" s="32">
        <v>9.5245529478799045E-6</v>
      </c>
      <c r="N240" s="41">
        <v>4.55718069560838E-3</v>
      </c>
      <c r="O240" s="41">
        <v>4.4504318390496287E-4</v>
      </c>
      <c r="P240" s="18"/>
      <c r="Q240" s="18"/>
      <c r="R240" s="18"/>
      <c r="S240" s="18"/>
    </row>
    <row r="241" spans="2:19" x14ac:dyDescent="0.2">
      <c r="B241" s="23" t="s">
        <v>2103</v>
      </c>
      <c r="C241" s="32" t="s">
        <v>2104</v>
      </c>
      <c r="D241" s="32" t="s">
        <v>1911</v>
      </c>
      <c r="E241" s="32" t="s">
        <v>1399</v>
      </c>
      <c r="F241" s="32" t="s">
        <v>238</v>
      </c>
      <c r="G241" s="32" t="s">
        <v>2030</v>
      </c>
      <c r="H241" s="94" t="s">
        <v>127</v>
      </c>
      <c r="I241" s="103">
        <v>5758.8554811408558</v>
      </c>
      <c r="J241" s="100">
        <v>5942</v>
      </c>
      <c r="K241" s="100">
        <v>0</v>
      </c>
      <c r="L241" s="98">
        <v>1182.6127615180908</v>
      </c>
      <c r="M241" s="32">
        <v>7.4959713592050352E-6</v>
      </c>
      <c r="N241" s="41">
        <v>1.0255120421411494E-3</v>
      </c>
      <c r="O241" s="41">
        <v>1.0014901204316828E-4</v>
      </c>
      <c r="P241" s="18"/>
      <c r="Q241" s="18"/>
      <c r="R241" s="18"/>
      <c r="S241" s="18"/>
    </row>
    <row r="242" spans="2:19" x14ac:dyDescent="0.2">
      <c r="B242" s="23" t="s">
        <v>2105</v>
      </c>
      <c r="C242" s="32" t="s">
        <v>2106</v>
      </c>
      <c r="D242" s="32" t="s">
        <v>1911</v>
      </c>
      <c r="E242" s="32" t="s">
        <v>1399</v>
      </c>
      <c r="F242" s="32" t="s">
        <v>238</v>
      </c>
      <c r="G242" s="32" t="s">
        <v>2030</v>
      </c>
      <c r="H242" s="94" t="s">
        <v>127</v>
      </c>
      <c r="I242" s="103">
        <v>2495.4880600374163</v>
      </c>
      <c r="J242" s="100">
        <v>12243</v>
      </c>
      <c r="K242" s="100">
        <v>0</v>
      </c>
      <c r="L242" s="98">
        <v>1055.8861161656807</v>
      </c>
      <c r="M242" s="32">
        <v>2.2016368646605539E-5</v>
      </c>
      <c r="N242" s="41">
        <v>9.156200258380097E-4</v>
      </c>
      <c r="O242" s="41">
        <v>8.941722498271326E-5</v>
      </c>
      <c r="P242" s="18"/>
      <c r="Q242" s="18"/>
      <c r="R242" s="18"/>
      <c r="S242" s="18"/>
    </row>
    <row r="243" spans="2:19" x14ac:dyDescent="0.2">
      <c r="B243" s="23" t="s">
        <v>2097</v>
      </c>
      <c r="C243" s="32" t="s">
        <v>2098</v>
      </c>
      <c r="D243" s="32" t="s">
        <v>1941</v>
      </c>
      <c r="E243" s="32" t="s">
        <v>1399</v>
      </c>
      <c r="F243" s="32" t="s">
        <v>238</v>
      </c>
      <c r="G243" s="32" t="s">
        <v>155</v>
      </c>
      <c r="H243" s="94" t="s">
        <v>127</v>
      </c>
      <c r="I243" s="103">
        <v>122861.58818459396</v>
      </c>
      <c r="J243" s="100">
        <v>1312</v>
      </c>
      <c r="K243" s="100">
        <v>0</v>
      </c>
      <c r="L243" s="98">
        <v>5570.8785916340094</v>
      </c>
      <c r="M243" s="32">
        <v>8.4678771060871271E-5</v>
      </c>
      <c r="N243" s="41">
        <v>4.8308315848827497E-3</v>
      </c>
      <c r="O243" s="41">
        <v>4.7176726424666448E-4</v>
      </c>
      <c r="P243" s="18"/>
      <c r="Q243" s="18"/>
      <c r="R243" s="18"/>
      <c r="S243" s="18"/>
    </row>
    <row r="244" spans="2:19" x14ac:dyDescent="0.2">
      <c r="B244" s="23" t="s">
        <v>2107</v>
      </c>
      <c r="C244" s="32" t="s">
        <v>2108</v>
      </c>
      <c r="D244" s="32" t="s">
        <v>1911</v>
      </c>
      <c r="E244" s="32" t="s">
        <v>1399</v>
      </c>
      <c r="F244" s="32" t="s">
        <v>238</v>
      </c>
      <c r="G244" s="32" t="s">
        <v>1926</v>
      </c>
      <c r="H244" s="94" t="s">
        <v>127</v>
      </c>
      <c r="I244" s="103">
        <v>18815.475861354185</v>
      </c>
      <c r="J244" s="100">
        <v>12726</v>
      </c>
      <c r="K244" s="100">
        <v>24.384857400000001</v>
      </c>
      <c r="L244" s="98">
        <v>8299.6298323211486</v>
      </c>
      <c r="M244" s="32">
        <v>6.7311818940452134E-5</v>
      </c>
      <c r="N244" s="41">
        <v>7.1970898804046652E-3</v>
      </c>
      <c r="O244" s="41">
        <v>7.0285029476933674E-4</v>
      </c>
      <c r="P244" s="18"/>
      <c r="Q244" s="18"/>
      <c r="R244" s="18"/>
      <c r="S244" s="18"/>
    </row>
    <row r="245" spans="2:19" x14ac:dyDescent="0.2">
      <c r="B245" s="23" t="s">
        <v>2095</v>
      </c>
      <c r="C245" s="32" t="s">
        <v>2096</v>
      </c>
      <c r="D245" s="32" t="s">
        <v>1941</v>
      </c>
      <c r="E245" s="32" t="s">
        <v>1399</v>
      </c>
      <c r="F245" s="32" t="s">
        <v>238</v>
      </c>
      <c r="G245" s="32" t="s">
        <v>154</v>
      </c>
      <c r="H245" s="94" t="s">
        <v>127</v>
      </c>
      <c r="I245" s="103">
        <v>2072.7231066086533</v>
      </c>
      <c r="J245" s="100">
        <v>4121</v>
      </c>
      <c r="K245" s="100">
        <v>2.640881383</v>
      </c>
      <c r="L245" s="98">
        <v>297.8417542186794</v>
      </c>
      <c r="M245" s="32">
        <v>2.3202536345882201E-6</v>
      </c>
      <c r="N245" s="41">
        <v>2.5827584103829053E-4</v>
      </c>
      <c r="O245" s="41">
        <v>2.5222590522289569E-5</v>
      </c>
      <c r="P245" s="18"/>
      <c r="Q245" s="18"/>
      <c r="R245" s="18"/>
      <c r="S245" s="18"/>
    </row>
    <row r="246" spans="2:19" x14ac:dyDescent="0.2">
      <c r="B246" s="23" t="s">
        <v>2109</v>
      </c>
      <c r="C246" s="32" t="s">
        <v>2110</v>
      </c>
      <c r="D246" s="32" t="s">
        <v>1941</v>
      </c>
      <c r="E246" s="32" t="s">
        <v>1399</v>
      </c>
      <c r="F246" s="32" t="s">
        <v>238</v>
      </c>
      <c r="G246" s="32" t="s">
        <v>160</v>
      </c>
      <c r="H246" s="94" t="s">
        <v>127</v>
      </c>
      <c r="I246" s="103">
        <v>22247.200027574054</v>
      </c>
      <c r="J246" s="100">
        <v>3815</v>
      </c>
      <c r="K246" s="100">
        <v>0</v>
      </c>
      <c r="L246" s="98">
        <v>2933.213233633348</v>
      </c>
      <c r="M246" s="32">
        <v>1.4671499898308139E-4</v>
      </c>
      <c r="N246" s="41">
        <v>2.5435591354497356E-3</v>
      </c>
      <c r="O246" s="41">
        <v>2.4839779936353497E-4</v>
      </c>
      <c r="P246" s="18"/>
      <c r="Q246" s="18"/>
      <c r="R246" s="18"/>
      <c r="S246" s="18"/>
    </row>
    <row r="247" spans="2:19" x14ac:dyDescent="0.2">
      <c r="B247" s="23" t="s">
        <v>2111</v>
      </c>
      <c r="C247" s="32" t="s">
        <v>2112</v>
      </c>
      <c r="D247" s="32" t="s">
        <v>209</v>
      </c>
      <c r="E247" s="32" t="s">
        <v>1399</v>
      </c>
      <c r="F247" s="32" t="s">
        <v>238</v>
      </c>
      <c r="G247" s="32" t="s">
        <v>172</v>
      </c>
      <c r="H247" s="94" t="s">
        <v>128</v>
      </c>
      <c r="I247" s="103">
        <v>36752.973304821775</v>
      </c>
      <c r="J247" s="100">
        <v>345</v>
      </c>
      <c r="K247" s="100">
        <v>0</v>
      </c>
      <c r="L247" s="98">
        <v>491.74706458864631</v>
      </c>
      <c r="M247" s="32">
        <v>9.718795764257806E-5</v>
      </c>
      <c r="N247" s="41">
        <v>4.2642236988536342E-4</v>
      </c>
      <c r="O247" s="41">
        <v>4.1643371605818437E-5</v>
      </c>
      <c r="P247" s="18"/>
      <c r="Q247" s="18"/>
      <c r="R247" s="18"/>
      <c r="S247" s="18"/>
    </row>
    <row r="248" spans="2:19" x14ac:dyDescent="0.2">
      <c r="B248" s="23" t="s">
        <v>2113</v>
      </c>
      <c r="C248" s="32" t="s">
        <v>2114</v>
      </c>
      <c r="D248" s="32" t="s">
        <v>1991</v>
      </c>
      <c r="E248" s="32" t="s">
        <v>1399</v>
      </c>
      <c r="F248" s="32" t="s">
        <v>238</v>
      </c>
      <c r="G248" s="32" t="s">
        <v>172</v>
      </c>
      <c r="H248" s="94" t="s">
        <v>128</v>
      </c>
      <c r="I248" s="103">
        <v>733924.33601672971</v>
      </c>
      <c r="J248" s="100">
        <v>798.4</v>
      </c>
      <c r="K248" s="100">
        <v>0</v>
      </c>
      <c r="L248" s="98">
        <v>22724.901993408377</v>
      </c>
      <c r="M248" s="32">
        <v>5.9982001862061865E-4</v>
      </c>
      <c r="N248" s="41">
        <v>1.970607912331513E-2</v>
      </c>
      <c r="O248" s="41">
        <v>1.9244477630160088E-3</v>
      </c>
      <c r="P248" s="18"/>
      <c r="Q248" s="18"/>
      <c r="R248" s="18"/>
      <c r="S248" s="18"/>
    </row>
    <row r="249" spans="2:19" x14ac:dyDescent="0.2">
      <c r="B249" s="23" t="s">
        <v>2115</v>
      </c>
      <c r="C249" s="32" t="s">
        <v>2116</v>
      </c>
      <c r="D249" s="32" t="s">
        <v>1914</v>
      </c>
      <c r="E249" s="32" t="s">
        <v>1399</v>
      </c>
      <c r="F249" s="32" t="s">
        <v>238</v>
      </c>
      <c r="G249" s="32" t="s">
        <v>179</v>
      </c>
      <c r="H249" s="94" t="s">
        <v>2</v>
      </c>
      <c r="I249" s="103">
        <v>55145.53581417691</v>
      </c>
      <c r="J249" s="100">
        <v>1850</v>
      </c>
      <c r="K249" s="100">
        <v>0</v>
      </c>
      <c r="L249" s="98">
        <v>4651.7713435183687</v>
      </c>
      <c r="M249" s="32">
        <v>1.2987845739989578E-3</v>
      </c>
      <c r="N249" s="41">
        <v>4.0338204400411637E-3</v>
      </c>
      <c r="O249" s="41">
        <v>3.9393309413138754E-4</v>
      </c>
      <c r="P249" s="18"/>
      <c r="Q249" s="18"/>
      <c r="R249" s="18"/>
      <c r="S249" s="18"/>
    </row>
    <row r="250" spans="2:19" x14ac:dyDescent="0.2">
      <c r="B250" s="23" t="s">
        <v>2117</v>
      </c>
      <c r="C250" s="32" t="s">
        <v>2118</v>
      </c>
      <c r="D250" s="32" t="s">
        <v>1991</v>
      </c>
      <c r="E250" s="32" t="s">
        <v>1399</v>
      </c>
      <c r="F250" s="32" t="s">
        <v>2119</v>
      </c>
      <c r="G250" s="32" t="s">
        <v>172</v>
      </c>
      <c r="H250" s="94" t="s">
        <v>128</v>
      </c>
      <c r="I250" s="103">
        <v>22041.563811396834</v>
      </c>
      <c r="J250" s="100">
        <v>3210</v>
      </c>
      <c r="K250" s="100">
        <v>0</v>
      </c>
      <c r="L250" s="98">
        <v>2743.9591278247917</v>
      </c>
      <c r="M250" s="32">
        <v>4.9873876718480232E-4</v>
      </c>
      <c r="N250" s="41">
        <v>2.3794459355531007E-3</v>
      </c>
      <c r="O250" s="41">
        <v>2.3237090337645814E-4</v>
      </c>
      <c r="P250" s="18"/>
      <c r="Q250" s="18"/>
      <c r="R250" s="18"/>
      <c r="S250" s="18"/>
    </row>
    <row r="251" spans="2:19" x14ac:dyDescent="0.2">
      <c r="B251" s="23" t="s">
        <v>2120</v>
      </c>
      <c r="C251" s="32" t="s">
        <v>2121</v>
      </c>
      <c r="D251" s="32" t="s">
        <v>1941</v>
      </c>
      <c r="E251" s="32" t="s">
        <v>1399</v>
      </c>
      <c r="F251" s="32" t="s">
        <v>1614</v>
      </c>
      <c r="G251" s="32" t="s">
        <v>177</v>
      </c>
      <c r="H251" s="94" t="s">
        <v>127</v>
      </c>
      <c r="I251" s="103">
        <v>81803.780225938171</v>
      </c>
      <c r="J251" s="100">
        <v>7452</v>
      </c>
      <c r="K251" s="100">
        <v>0</v>
      </c>
      <c r="L251" s="98">
        <v>21067.837179406655</v>
      </c>
      <c r="M251" s="32">
        <v>1.6041887909985513E-3</v>
      </c>
      <c r="N251" s="41">
        <v>1.8269142218300043E-2</v>
      </c>
      <c r="O251" s="41">
        <v>1.7841199994285952E-3</v>
      </c>
      <c r="P251" s="18"/>
      <c r="Q251" s="18"/>
      <c r="R251" s="18"/>
      <c r="S251" s="18"/>
    </row>
    <row r="252" spans="2:19" x14ac:dyDescent="0.2">
      <c r="B252" s="23" t="s">
        <v>2122</v>
      </c>
      <c r="C252" s="32" t="s">
        <v>2123</v>
      </c>
      <c r="D252" s="32" t="s">
        <v>1941</v>
      </c>
      <c r="E252" s="32" t="s">
        <v>1399</v>
      </c>
      <c r="F252" s="32" t="s">
        <v>1458</v>
      </c>
      <c r="G252" s="32" t="s">
        <v>168</v>
      </c>
      <c r="H252" s="94" t="s">
        <v>127</v>
      </c>
      <c r="I252" s="103">
        <v>20084.8919745493</v>
      </c>
      <c r="J252" s="100">
        <v>5166</v>
      </c>
      <c r="K252" s="100">
        <v>0</v>
      </c>
      <c r="L252" s="98">
        <v>3585.8955547036326</v>
      </c>
      <c r="M252" s="32">
        <v>1.4756411750161725E-4</v>
      </c>
      <c r="N252" s="41">
        <v>3.1095377902809296E-3</v>
      </c>
      <c r="O252" s="41">
        <v>3.0366989836348393E-4</v>
      </c>
      <c r="P252" s="18"/>
      <c r="Q252" s="18"/>
      <c r="R252" s="18"/>
      <c r="S252" s="18"/>
    </row>
    <row r="253" spans="2:19" x14ac:dyDescent="0.2">
      <c r="B253" s="23" t="s">
        <v>2124</v>
      </c>
      <c r="C253" s="32" t="s">
        <v>2125</v>
      </c>
      <c r="D253" s="32" t="s">
        <v>1911</v>
      </c>
      <c r="E253" s="32" t="s">
        <v>1399</v>
      </c>
      <c r="F253" s="32" t="s">
        <v>1713</v>
      </c>
      <c r="G253" s="32" t="s">
        <v>173</v>
      </c>
      <c r="H253" s="94" t="s">
        <v>127</v>
      </c>
      <c r="I253" s="103">
        <v>29169.751537487726</v>
      </c>
      <c r="J253" s="100">
        <v>2300</v>
      </c>
      <c r="K253" s="100">
        <v>0</v>
      </c>
      <c r="L253" s="98">
        <v>2318.6452099936</v>
      </c>
      <c r="M253" s="32">
        <v>5.8334150333340861E-4</v>
      </c>
      <c r="N253" s="41">
        <v>2.0106315961355005E-3</v>
      </c>
      <c r="O253" s="41">
        <v>1.9635339192636584E-4</v>
      </c>
      <c r="P253" s="18"/>
      <c r="Q253" s="18"/>
      <c r="R253" s="18"/>
      <c r="S253" s="18"/>
    </row>
    <row r="254" spans="2:19" x14ac:dyDescent="0.2">
      <c r="B254" s="23" t="s">
        <v>2126</v>
      </c>
      <c r="C254" s="32" t="s">
        <v>2127</v>
      </c>
      <c r="D254" s="32" t="s">
        <v>1941</v>
      </c>
      <c r="E254" s="32" t="s">
        <v>1399</v>
      </c>
      <c r="F254" s="32" t="s">
        <v>238</v>
      </c>
      <c r="G254" s="32" t="s">
        <v>155</v>
      </c>
      <c r="H254" s="94" t="s">
        <v>127</v>
      </c>
      <c r="I254" s="103">
        <v>4628.2101176751103</v>
      </c>
      <c r="J254" s="100">
        <v>12902.000000000002</v>
      </c>
      <c r="K254" s="100">
        <v>8.3974235499999992</v>
      </c>
      <c r="L254" s="98">
        <v>2072.0844728223096</v>
      </c>
      <c r="M254" s="32">
        <v>4.33449510666814E-5</v>
      </c>
      <c r="N254" s="41">
        <v>1.7968244960296482E-3</v>
      </c>
      <c r="O254" s="41">
        <v>1.7547351049785627E-4</v>
      </c>
      <c r="P254" s="18"/>
      <c r="Q254" s="18"/>
      <c r="R254" s="18"/>
      <c r="S254" s="18"/>
    </row>
    <row r="255" spans="2:19" x14ac:dyDescent="0.2">
      <c r="B255" s="23" t="s">
        <v>2128</v>
      </c>
      <c r="C255" s="32" t="s">
        <v>2129</v>
      </c>
      <c r="D255" s="32" t="s">
        <v>1914</v>
      </c>
      <c r="E255" s="32" t="s">
        <v>1399</v>
      </c>
      <c r="F255" s="32" t="s">
        <v>238</v>
      </c>
      <c r="G255" s="32" t="s">
        <v>154</v>
      </c>
      <c r="H255" s="94" t="s">
        <v>2</v>
      </c>
      <c r="I255" s="103">
        <v>433619.07214541774</v>
      </c>
      <c r="J255" s="100">
        <v>930.00000000000011</v>
      </c>
      <c r="K255" s="100">
        <v>0</v>
      </c>
      <c r="L255" s="98">
        <v>18387.707814054083</v>
      </c>
      <c r="M255" s="32">
        <v>2.4485884386862629E-3</v>
      </c>
      <c r="N255" s="41">
        <v>1.5945046767869599E-2</v>
      </c>
      <c r="O255" s="41">
        <v>1.557154489819694E-3</v>
      </c>
      <c r="P255" s="18"/>
      <c r="Q255" s="18"/>
      <c r="R255" s="18"/>
      <c r="S255" s="18"/>
    </row>
    <row r="256" spans="2:19" x14ac:dyDescent="0.2">
      <c r="B256" s="23" t="s">
        <v>2130</v>
      </c>
      <c r="C256" s="32" t="s">
        <v>2131</v>
      </c>
      <c r="D256" s="32" t="s">
        <v>1941</v>
      </c>
      <c r="E256" s="32" t="s">
        <v>1399</v>
      </c>
      <c r="F256" s="32" t="s">
        <v>238</v>
      </c>
      <c r="G256" s="32" t="s">
        <v>155</v>
      </c>
      <c r="H256" s="94" t="s">
        <v>127</v>
      </c>
      <c r="I256" s="103">
        <v>14682.203807618989</v>
      </c>
      <c r="J256" s="100">
        <v>4791</v>
      </c>
      <c r="K256" s="100">
        <v>0</v>
      </c>
      <c r="L256" s="98">
        <v>2431.0346723215657</v>
      </c>
      <c r="M256" s="32">
        <v>2.5627856143409294E-5</v>
      </c>
      <c r="N256" s="41">
        <v>2.1080910103897033E-3</v>
      </c>
      <c r="O256" s="41">
        <v>2.058710413061679E-4</v>
      </c>
      <c r="P256" s="18"/>
      <c r="Q256" s="18"/>
      <c r="R256" s="18"/>
      <c r="S256" s="18"/>
    </row>
    <row r="257" spans="2:19" x14ac:dyDescent="0.2">
      <c r="B257" s="23" t="s">
        <v>2132</v>
      </c>
      <c r="C257" s="32" t="s">
        <v>2133</v>
      </c>
      <c r="D257" s="32" t="s">
        <v>1941</v>
      </c>
      <c r="E257" s="32" t="s">
        <v>1399</v>
      </c>
      <c r="F257" s="32" t="s">
        <v>238</v>
      </c>
      <c r="G257" s="32" t="s">
        <v>155</v>
      </c>
      <c r="H257" s="94" t="s">
        <v>127</v>
      </c>
      <c r="I257" s="103">
        <v>10711.32165952166</v>
      </c>
      <c r="J257" s="100">
        <v>2164</v>
      </c>
      <c r="K257" s="100">
        <v>1.2913121220000001</v>
      </c>
      <c r="L257" s="98">
        <v>802.36792253319572</v>
      </c>
      <c r="M257" s="32">
        <v>2.8279772652456326E-5</v>
      </c>
      <c r="N257" s="41">
        <v>6.9577971214289315E-4</v>
      </c>
      <c r="O257" s="41">
        <v>6.794815458754011E-5</v>
      </c>
      <c r="P257" s="18"/>
      <c r="Q257" s="18"/>
      <c r="R257" s="18"/>
      <c r="S257" s="18"/>
    </row>
    <row r="258" spans="2:19" x14ac:dyDescent="0.2">
      <c r="B258" s="23" t="s">
        <v>2134</v>
      </c>
      <c r="C258" s="32" t="s">
        <v>2135</v>
      </c>
      <c r="D258" s="32" t="s">
        <v>1911</v>
      </c>
      <c r="E258" s="32" t="s">
        <v>1399</v>
      </c>
      <c r="F258" s="32" t="s">
        <v>238</v>
      </c>
      <c r="G258" s="32" t="s">
        <v>173</v>
      </c>
      <c r="H258" s="94" t="s">
        <v>127</v>
      </c>
      <c r="I258" s="103">
        <v>666.49339027902647</v>
      </c>
      <c r="J258" s="100">
        <v>10676</v>
      </c>
      <c r="K258" s="100">
        <v>0</v>
      </c>
      <c r="L258" s="98">
        <v>245.91110742768728</v>
      </c>
      <c r="M258" s="32">
        <v>3.8968533686186129E-6</v>
      </c>
      <c r="N258" s="41">
        <v>2.1324376851779934E-4</v>
      </c>
      <c r="O258" s="41">
        <v>2.0824867835613633E-5</v>
      </c>
      <c r="P258" s="18"/>
      <c r="Q258" s="18"/>
      <c r="R258" s="18"/>
      <c r="S258" s="18"/>
    </row>
    <row r="259" spans="2:19" x14ac:dyDescent="0.2">
      <c r="B259" s="23" t="s">
        <v>2136</v>
      </c>
      <c r="C259" s="32" t="s">
        <v>2137</v>
      </c>
      <c r="D259" s="32" t="s">
        <v>1911</v>
      </c>
      <c r="E259" s="32" t="s">
        <v>1399</v>
      </c>
      <c r="F259" s="32" t="s">
        <v>238</v>
      </c>
      <c r="G259" s="32" t="s">
        <v>1926</v>
      </c>
      <c r="H259" s="94" t="s">
        <v>127</v>
      </c>
      <c r="I259" s="103">
        <v>14650.706766637726</v>
      </c>
      <c r="J259" s="100">
        <v>17817</v>
      </c>
      <c r="K259" s="100">
        <v>0</v>
      </c>
      <c r="L259" s="98">
        <v>9021.2535633014104</v>
      </c>
      <c r="M259" s="32">
        <v>9.284675467694691E-5</v>
      </c>
      <c r="N259" s="41">
        <v>7.822851626003555E-3</v>
      </c>
      <c r="O259" s="41">
        <v>7.6396066502426889E-4</v>
      </c>
      <c r="P259" s="18"/>
      <c r="Q259" s="18"/>
      <c r="R259" s="18"/>
      <c r="S259" s="18"/>
    </row>
    <row r="260" spans="2:19" x14ac:dyDescent="0.2">
      <c r="B260" s="23" t="s">
        <v>2138</v>
      </c>
      <c r="C260" s="32" t="s">
        <v>2139</v>
      </c>
      <c r="D260" s="32" t="s">
        <v>1911</v>
      </c>
      <c r="E260" s="32" t="s">
        <v>1399</v>
      </c>
      <c r="F260" s="32" t="s">
        <v>238</v>
      </c>
      <c r="G260" s="32" t="s">
        <v>173</v>
      </c>
      <c r="H260" s="94" t="s">
        <v>127</v>
      </c>
      <c r="I260" s="103">
        <v>4579.5097275204789</v>
      </c>
      <c r="J260" s="100">
        <v>6558</v>
      </c>
      <c r="K260" s="100">
        <v>0</v>
      </c>
      <c r="L260" s="98">
        <v>1037.9206006393254</v>
      </c>
      <c r="M260" s="32">
        <v>7.4977352983025307E-5</v>
      </c>
      <c r="N260" s="41">
        <v>9.0004108646321297E-4</v>
      </c>
      <c r="O260" s="41">
        <v>8.7895823650546785E-5</v>
      </c>
      <c r="P260" s="18"/>
      <c r="Q260" s="18"/>
      <c r="R260" s="18"/>
      <c r="S260" s="18"/>
    </row>
    <row r="261" spans="2:19" x14ac:dyDescent="0.2">
      <c r="B261" s="23" t="s">
        <v>2140</v>
      </c>
      <c r="C261" s="32" t="s">
        <v>2141</v>
      </c>
      <c r="D261" s="32" t="s">
        <v>1914</v>
      </c>
      <c r="E261" s="32" t="s">
        <v>1399</v>
      </c>
      <c r="F261" s="32" t="s">
        <v>238</v>
      </c>
      <c r="G261" s="32" t="s">
        <v>172</v>
      </c>
      <c r="H261" s="94" t="s">
        <v>128</v>
      </c>
      <c r="I261" s="103">
        <v>145214.23415746275</v>
      </c>
      <c r="J261" s="100">
        <v>935</v>
      </c>
      <c r="K261" s="100">
        <v>0</v>
      </c>
      <c r="L261" s="98">
        <v>5265.6380308987773</v>
      </c>
      <c r="M261" s="32">
        <v>6.5439434397995605E-4</v>
      </c>
      <c r="N261" s="41">
        <v>4.5661398100518471E-3</v>
      </c>
      <c r="O261" s="41">
        <v>4.4591810923340824E-4</v>
      </c>
      <c r="P261" s="18"/>
      <c r="Q261" s="18"/>
      <c r="R261" s="18"/>
      <c r="S261" s="18"/>
    </row>
    <row r="262" spans="2:19" x14ac:dyDescent="0.2">
      <c r="B262" s="23" t="s">
        <v>2142</v>
      </c>
      <c r="C262" s="32" t="s">
        <v>2143</v>
      </c>
      <c r="D262" s="32" t="s">
        <v>1911</v>
      </c>
      <c r="E262" s="32" t="s">
        <v>1399</v>
      </c>
      <c r="F262" s="32" t="s">
        <v>238</v>
      </c>
      <c r="G262" s="32" t="s">
        <v>1459</v>
      </c>
      <c r="H262" s="94" t="s">
        <v>127</v>
      </c>
      <c r="I262" s="103">
        <v>20664.82305820546</v>
      </c>
      <c r="J262" s="100">
        <v>736</v>
      </c>
      <c r="K262" s="100">
        <v>0</v>
      </c>
      <c r="L262" s="98">
        <v>525.63374533395415</v>
      </c>
      <c r="M262" s="32">
        <v>5.1658630095406818E-4</v>
      </c>
      <c r="N262" s="41">
        <v>4.5580747404058708E-4</v>
      </c>
      <c r="O262" s="41">
        <v>4.4513049414561512E-5</v>
      </c>
      <c r="P262" s="18"/>
      <c r="Q262" s="18"/>
      <c r="R262" s="18"/>
      <c r="S262" s="18"/>
    </row>
    <row r="263" spans="2:19" x14ac:dyDescent="0.2">
      <c r="B263" s="23" t="s">
        <v>2144</v>
      </c>
      <c r="C263" s="32" t="s">
        <v>2145</v>
      </c>
      <c r="D263" s="32" t="s">
        <v>1911</v>
      </c>
      <c r="E263" s="32" t="s">
        <v>1399</v>
      </c>
      <c r="F263" s="32" t="s">
        <v>238</v>
      </c>
      <c r="G263" s="32" t="s">
        <v>1459</v>
      </c>
      <c r="H263" s="94" t="s">
        <v>127</v>
      </c>
      <c r="I263" s="103">
        <v>10314.771731324539</v>
      </c>
      <c r="J263" s="100">
        <v>1583</v>
      </c>
      <c r="K263" s="100">
        <v>0</v>
      </c>
      <c r="L263" s="98">
        <v>564.3054827320517</v>
      </c>
      <c r="M263" s="32">
        <v>3.0246806593253435E-4</v>
      </c>
      <c r="N263" s="41">
        <v>4.8934197804962633E-4</v>
      </c>
      <c r="O263" s="41">
        <v>4.7787947521902006E-5</v>
      </c>
      <c r="P263" s="18"/>
      <c r="Q263" s="18"/>
      <c r="R263" s="18"/>
      <c r="S263" s="18"/>
    </row>
    <row r="264" spans="2:19" x14ac:dyDescent="0.2">
      <c r="B264" s="23" t="s">
        <v>2146</v>
      </c>
      <c r="C264" s="32" t="s">
        <v>2147</v>
      </c>
      <c r="D264" s="32" t="s">
        <v>1911</v>
      </c>
      <c r="E264" s="32" t="s">
        <v>1399</v>
      </c>
      <c r="F264" s="32" t="s">
        <v>238</v>
      </c>
      <c r="G264" s="32" t="s">
        <v>1414</v>
      </c>
      <c r="H264" s="94" t="s">
        <v>127</v>
      </c>
      <c r="I264" s="103">
        <v>15337.45864632387</v>
      </c>
      <c r="J264" s="100">
        <v>651</v>
      </c>
      <c r="K264" s="100">
        <v>0</v>
      </c>
      <c r="L264" s="98">
        <v>345.07073342434722</v>
      </c>
      <c r="M264" s="32">
        <v>5.1664363829410594E-4</v>
      </c>
      <c r="N264" s="41">
        <v>2.9923082519664934E-4</v>
      </c>
      <c r="O264" s="41">
        <v>2.9222154674788032E-5</v>
      </c>
      <c r="P264" s="18"/>
      <c r="Q264" s="18"/>
      <c r="R264" s="18"/>
      <c r="S264" s="18"/>
    </row>
    <row r="265" spans="2:19" s="160" customFormat="1" x14ac:dyDescent="0.2">
      <c r="B265" s="114" t="s">
        <v>227</v>
      </c>
      <c r="C265" s="170"/>
      <c r="D265" s="170"/>
      <c r="E265" s="170"/>
      <c r="F265" s="170"/>
      <c r="G265" s="170"/>
      <c r="H265" s="171"/>
      <c r="I265" s="171"/>
      <c r="J265" s="171"/>
      <c r="K265" s="171"/>
      <c r="L265" s="172"/>
      <c r="M265" s="173"/>
      <c r="N265" s="173"/>
      <c r="O265" s="174"/>
      <c r="P265" s="191"/>
      <c r="Q265" s="191"/>
      <c r="R265" s="175"/>
      <c r="S265" s="175"/>
    </row>
    <row r="266" spans="2:19" s="160" customFormat="1" x14ac:dyDescent="0.2">
      <c r="B266" s="114" t="s">
        <v>228</v>
      </c>
      <c r="C266" s="170"/>
      <c r="D266" s="170"/>
      <c r="E266" s="170"/>
      <c r="F266" s="170"/>
      <c r="G266" s="170"/>
      <c r="H266" s="171"/>
      <c r="I266" s="171"/>
      <c r="J266" s="171"/>
      <c r="K266" s="171"/>
      <c r="L266" s="172"/>
      <c r="M266" s="173"/>
      <c r="N266" s="173"/>
      <c r="O266" s="174"/>
      <c r="P266" s="191"/>
      <c r="Q266" s="191"/>
      <c r="R266" s="175"/>
      <c r="S266" s="175"/>
    </row>
    <row r="267" spans="2:19" s="160" customFormat="1" x14ac:dyDescent="0.2">
      <c r="B267" s="114" t="s">
        <v>229</v>
      </c>
      <c r="C267" s="170"/>
      <c r="D267" s="170"/>
      <c r="E267" s="170"/>
      <c r="F267" s="170"/>
      <c r="G267" s="170"/>
      <c r="H267" s="171"/>
      <c r="I267" s="171"/>
      <c r="J267" s="171"/>
      <c r="K267" s="171"/>
      <c r="L267" s="172"/>
      <c r="M267" s="173"/>
      <c r="N267" s="173"/>
      <c r="O267" s="174"/>
      <c r="P267" s="191"/>
      <c r="Q267" s="191"/>
      <c r="R267" s="175"/>
      <c r="S267" s="175"/>
    </row>
    <row r="268" spans="2:19" s="160" customFormat="1" x14ac:dyDescent="0.2">
      <c r="B268" s="114" t="s">
        <v>230</v>
      </c>
      <c r="C268" s="170"/>
      <c r="D268" s="170"/>
      <c r="E268" s="170"/>
      <c r="F268" s="170"/>
      <c r="G268" s="170"/>
      <c r="H268" s="171"/>
      <c r="I268" s="171"/>
      <c r="J268" s="171"/>
      <c r="K268" s="171"/>
      <c r="L268" s="172"/>
      <c r="M268" s="173"/>
      <c r="N268" s="173"/>
      <c r="O268" s="174"/>
      <c r="P268" s="191"/>
      <c r="Q268" s="191"/>
      <c r="R268" s="175"/>
      <c r="S268" s="175"/>
    </row>
    <row r="269" spans="2:19" s="160" customFormat="1" x14ac:dyDescent="0.2">
      <c r="B269" s="114" t="s">
        <v>231</v>
      </c>
      <c r="C269" s="170"/>
      <c r="D269" s="170"/>
      <c r="E269" s="170"/>
      <c r="F269" s="170"/>
      <c r="G269" s="170"/>
      <c r="H269" s="171"/>
      <c r="I269" s="171"/>
      <c r="J269" s="171"/>
      <c r="K269" s="171"/>
      <c r="L269" s="172"/>
      <c r="M269" s="173"/>
      <c r="N269" s="173"/>
      <c r="O269" s="174"/>
      <c r="P269" s="191"/>
      <c r="Q269" s="191"/>
      <c r="R269" s="175"/>
      <c r="S269" s="175"/>
    </row>
  </sheetData>
  <mergeCells count="2">
    <mergeCell ref="B7:O7"/>
    <mergeCell ref="B6:O6"/>
  </mergeCells>
  <phoneticPr fontId="3" type="noConversion"/>
  <conditionalFormatting sqref="N11:O264 C11:H264">
    <cfRule type="expression" dxfId="123" priority="112" stopIfTrue="1">
      <formula>LEFT(#REF!,3)="TIR"</formula>
    </cfRule>
  </conditionalFormatting>
  <conditionalFormatting sqref="M1:N5 M11:N55799 I11:K264">
    <cfRule type="expression" dxfId="122" priority="114" stopIfTrue="1">
      <formula>LEFT(#REF!,3)="TIR"</formula>
    </cfRule>
  </conditionalFormatting>
  <conditionalFormatting sqref="B11:B264 L11:L264">
    <cfRule type="expression" dxfId="121" priority="117" stopIfTrue="1">
      <formula>#REF!&gt;0</formula>
    </cfRule>
    <cfRule type="expression" dxfId="120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25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6.57031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12.42578125" style="93" bestFit="1" customWidth="1"/>
    <col min="9" max="9" width="10.28515625" style="93" bestFit="1" customWidth="1"/>
    <col min="10" max="10" width="16.5703125" style="93" bestFit="1" customWidth="1"/>
    <col min="11" max="11" width="12.28515625" style="93" bestFit="1" customWidth="1"/>
    <col min="12" max="12" width="22.85546875" style="45" bestFit="1" customWidth="1"/>
    <col min="13" max="13" width="26.42578125" style="45" bestFit="1" customWidth="1"/>
    <col min="14" max="14" width="20.5703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30"/>
      <c r="O6" s="17"/>
      <c r="P6" s="17"/>
      <c r="Q6" s="17"/>
      <c r="R6" s="16"/>
      <c r="S6" s="16"/>
      <c r="T6" s="18"/>
    </row>
    <row r="7" spans="1:20" s="10" customFormat="1" x14ac:dyDescent="0.2">
      <c r="B7" s="231" t="s">
        <v>220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3"/>
      <c r="O7" s="17"/>
    </row>
    <row r="8" spans="1:20" s="10" customForma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137</v>
      </c>
      <c r="K8" s="5" t="s">
        <v>7</v>
      </c>
      <c r="L8" s="5" t="s">
        <v>17</v>
      </c>
      <c r="M8" s="38" t="s">
        <v>75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136</v>
      </c>
      <c r="I9" s="81"/>
      <c r="J9" s="2" t="s">
        <v>138</v>
      </c>
      <c r="K9" s="2" t="s">
        <v>138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60" customFormat="1" ht="12.75" customHeight="1" thickBot="1" x14ac:dyDescent="0.25">
      <c r="B11" s="192" t="s">
        <v>221</v>
      </c>
      <c r="C11" s="104"/>
      <c r="D11" s="104"/>
      <c r="E11" s="104"/>
      <c r="F11" s="104"/>
      <c r="G11" s="193"/>
      <c r="H11" s="194"/>
      <c r="I11" s="193"/>
      <c r="J11" s="196" t="s">
        <v>238</v>
      </c>
      <c r="K11" s="149">
        <v>869157.42251989048</v>
      </c>
      <c r="L11" s="104" t="s">
        <v>238</v>
      </c>
      <c r="M11" s="104">
        <v>1</v>
      </c>
      <c r="N11" s="121">
        <v>7.3604192350855205E-2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76" t="s">
        <v>238</v>
      </c>
      <c r="I12" s="164" t="s">
        <v>238</v>
      </c>
      <c r="J12" s="165" t="s">
        <v>238</v>
      </c>
      <c r="K12" s="197">
        <v>177432.96937715908</v>
      </c>
      <c r="L12" s="163" t="s">
        <v>238</v>
      </c>
      <c r="M12" s="163">
        <v>0.20414365082764807</v>
      </c>
      <c r="N12" s="163">
        <v>1.5025828542724029E-2</v>
      </c>
    </row>
    <row r="13" spans="1:20" s="160" customFormat="1" x14ac:dyDescent="0.2">
      <c r="B13" s="132" t="s">
        <v>2148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8" t="s">
        <v>238</v>
      </c>
      <c r="H13" s="178" t="s">
        <v>238</v>
      </c>
      <c r="I13" s="164" t="s">
        <v>238</v>
      </c>
      <c r="J13" s="169" t="s">
        <v>238</v>
      </c>
      <c r="K13" s="169">
        <v>24523.568694046768</v>
      </c>
      <c r="L13" s="167" t="s">
        <v>238</v>
      </c>
      <c r="M13" s="163">
        <v>2.8215335977856824E-2</v>
      </c>
      <c r="N13" s="163">
        <v>2.0767670165581786E-3</v>
      </c>
    </row>
    <row r="14" spans="1:20" x14ac:dyDescent="0.2">
      <c r="B14" s="23" t="s">
        <v>2181</v>
      </c>
      <c r="C14" s="32" t="s">
        <v>2182</v>
      </c>
      <c r="D14" s="32" t="s">
        <v>423</v>
      </c>
      <c r="E14" s="32" t="s">
        <v>2183</v>
      </c>
      <c r="F14" s="88" t="s">
        <v>2152</v>
      </c>
      <c r="G14" s="94" t="s">
        <v>244</v>
      </c>
      <c r="H14" s="103">
        <v>134757.25292240066</v>
      </c>
      <c r="I14" s="100">
        <v>1602</v>
      </c>
      <c r="J14" s="124">
        <v>0</v>
      </c>
      <c r="K14" s="124">
        <v>2158.8111918168584</v>
      </c>
      <c r="L14" s="32">
        <v>1.9338361264685246E-3</v>
      </c>
      <c r="M14" s="41">
        <v>2.4837976825394419E-3</v>
      </c>
      <c r="N14" s="41">
        <v>1.8281792238624146E-4</v>
      </c>
      <c r="O14" s="18"/>
      <c r="P14" s="18"/>
      <c r="Q14" s="18"/>
      <c r="R14" s="18"/>
      <c r="S14" s="18"/>
    </row>
    <row r="15" spans="1:20" x14ac:dyDescent="0.2">
      <c r="B15" s="23" t="s">
        <v>2184</v>
      </c>
      <c r="C15" s="32" t="s">
        <v>2185</v>
      </c>
      <c r="D15" s="32" t="s">
        <v>423</v>
      </c>
      <c r="E15" s="32" t="s">
        <v>2183</v>
      </c>
      <c r="F15" s="88" t="s">
        <v>2152</v>
      </c>
      <c r="G15" s="94" t="s">
        <v>244</v>
      </c>
      <c r="H15" s="103">
        <v>26285.917381131709</v>
      </c>
      <c r="I15" s="100">
        <v>541.9</v>
      </c>
      <c r="J15" s="124">
        <v>0</v>
      </c>
      <c r="K15" s="124">
        <v>142.443385997387</v>
      </c>
      <c r="L15" s="32">
        <v>2.8342280182889158E-3</v>
      </c>
      <c r="M15" s="41">
        <v>1.6388675089998121E-4</v>
      </c>
      <c r="N15" s="41">
        <v>1.2062751936998909E-5</v>
      </c>
      <c r="O15" s="18"/>
      <c r="P15" s="18"/>
      <c r="Q15" s="18"/>
      <c r="R15" s="18"/>
      <c r="S15" s="18"/>
    </row>
    <row r="16" spans="1:20" x14ac:dyDescent="0.2">
      <c r="B16" s="23" t="s">
        <v>2186</v>
      </c>
      <c r="C16" s="32" t="s">
        <v>2187</v>
      </c>
      <c r="D16" s="32" t="s">
        <v>423</v>
      </c>
      <c r="E16" s="32" t="s">
        <v>2183</v>
      </c>
      <c r="F16" s="88" t="s">
        <v>2152</v>
      </c>
      <c r="G16" s="94" t="s">
        <v>244</v>
      </c>
      <c r="H16" s="103">
        <v>40147.37958738445</v>
      </c>
      <c r="I16" s="100">
        <v>2158</v>
      </c>
      <c r="J16" s="124">
        <v>0</v>
      </c>
      <c r="K16" s="124">
        <v>866.38045149575635</v>
      </c>
      <c r="L16" s="32">
        <v>1.164040361852718E-2</v>
      </c>
      <c r="M16" s="41">
        <v>9.9680498497489332E-4</v>
      </c>
      <c r="N16" s="41">
        <v>7.3369025850383379E-5</v>
      </c>
      <c r="O16" s="18"/>
      <c r="P16" s="18"/>
      <c r="Q16" s="18"/>
      <c r="R16" s="18"/>
      <c r="S16" s="18"/>
    </row>
    <row r="17" spans="2:19" x14ac:dyDescent="0.2">
      <c r="B17" s="23" t="s">
        <v>2188</v>
      </c>
      <c r="C17" s="32" t="s">
        <v>2189</v>
      </c>
      <c r="D17" s="32" t="s">
        <v>423</v>
      </c>
      <c r="E17" s="32" t="s">
        <v>2190</v>
      </c>
      <c r="F17" s="88" t="s">
        <v>2152</v>
      </c>
      <c r="G17" s="94" t="s">
        <v>244</v>
      </c>
      <c r="H17" s="103">
        <v>3242.8131338214462</v>
      </c>
      <c r="I17" s="100">
        <v>2503</v>
      </c>
      <c r="J17" s="124">
        <v>0</v>
      </c>
      <c r="K17" s="124">
        <v>81.16761273955079</v>
      </c>
      <c r="L17" s="32">
        <v>3.1679091882294363E-4</v>
      </c>
      <c r="M17" s="41">
        <v>9.3386549589862474E-5</v>
      </c>
      <c r="N17" s="41">
        <v>6.8736415589949155E-6</v>
      </c>
      <c r="O17" s="18"/>
      <c r="P17" s="18"/>
      <c r="Q17" s="18"/>
      <c r="R17" s="18"/>
      <c r="S17" s="18"/>
    </row>
    <row r="18" spans="2:19" x14ac:dyDescent="0.2">
      <c r="B18" s="23" t="s">
        <v>2172</v>
      </c>
      <c r="C18" s="32" t="s">
        <v>2173</v>
      </c>
      <c r="D18" s="32" t="s">
        <v>423</v>
      </c>
      <c r="E18" s="32" t="s">
        <v>2174</v>
      </c>
      <c r="F18" s="88" t="s">
        <v>2152</v>
      </c>
      <c r="G18" s="94" t="s">
        <v>244</v>
      </c>
      <c r="H18" s="103">
        <v>109997.08603116818</v>
      </c>
      <c r="I18" s="100">
        <v>1367</v>
      </c>
      <c r="J18" s="124">
        <v>0</v>
      </c>
      <c r="K18" s="124">
        <v>1503.6601689593633</v>
      </c>
      <c r="L18" s="32">
        <v>3.7077867752810063E-3</v>
      </c>
      <c r="M18" s="41">
        <v>1.7300205118192529E-3</v>
      </c>
      <c r="N18" s="41">
        <v>1.2733676252286926E-4</v>
      </c>
      <c r="O18" s="18"/>
      <c r="P18" s="18"/>
      <c r="Q18" s="18"/>
      <c r="R18" s="18"/>
      <c r="S18" s="18"/>
    </row>
    <row r="19" spans="2:19" x14ac:dyDescent="0.2">
      <c r="B19" s="23" t="s">
        <v>2175</v>
      </c>
      <c r="C19" s="32" t="s">
        <v>2176</v>
      </c>
      <c r="D19" s="32" t="s">
        <v>423</v>
      </c>
      <c r="E19" s="32" t="s">
        <v>2174</v>
      </c>
      <c r="F19" s="88" t="s">
        <v>2152</v>
      </c>
      <c r="G19" s="94" t="s">
        <v>244</v>
      </c>
      <c r="H19" s="103">
        <v>36813.983727875391</v>
      </c>
      <c r="I19" s="100">
        <v>2436</v>
      </c>
      <c r="J19" s="124">
        <v>0</v>
      </c>
      <c r="K19" s="124">
        <v>896.78864340736845</v>
      </c>
      <c r="L19" s="32">
        <v>5.1370792725995509E-4</v>
      </c>
      <c r="M19" s="41">
        <v>1.0317908127705664E-3</v>
      </c>
      <c r="N19" s="41">
        <v>7.5944129449010013E-5</v>
      </c>
      <c r="O19" s="18"/>
      <c r="P19" s="18"/>
      <c r="Q19" s="18"/>
      <c r="R19" s="18"/>
      <c r="S19" s="18"/>
    </row>
    <row r="20" spans="2:19" x14ac:dyDescent="0.2">
      <c r="B20" s="23" t="s">
        <v>2177</v>
      </c>
      <c r="C20" s="32" t="s">
        <v>2178</v>
      </c>
      <c r="D20" s="32" t="s">
        <v>423</v>
      </c>
      <c r="E20" s="32" t="s">
        <v>2174</v>
      </c>
      <c r="F20" s="88" t="s">
        <v>2152</v>
      </c>
      <c r="G20" s="94" t="s">
        <v>244</v>
      </c>
      <c r="H20" s="103">
        <v>144984.73493276094</v>
      </c>
      <c r="I20" s="100">
        <v>1600</v>
      </c>
      <c r="J20" s="124">
        <v>0</v>
      </c>
      <c r="K20" s="124">
        <v>2319.7557589241751</v>
      </c>
      <c r="L20" s="32">
        <v>1.291284093268965E-3</v>
      </c>
      <c r="M20" s="41">
        <v>2.6689707742455458E-3</v>
      </c>
      <c r="N20" s="41">
        <v>1.9644743824638012E-4</v>
      </c>
      <c r="O20" s="18"/>
      <c r="P20" s="18"/>
      <c r="Q20" s="18"/>
      <c r="R20" s="18"/>
      <c r="S20" s="18"/>
    </row>
    <row r="21" spans="2:19" x14ac:dyDescent="0.2">
      <c r="B21" s="23" t="s">
        <v>2179</v>
      </c>
      <c r="C21" s="32" t="s">
        <v>2180</v>
      </c>
      <c r="D21" s="32" t="s">
        <v>423</v>
      </c>
      <c r="E21" s="32" t="s">
        <v>2174</v>
      </c>
      <c r="F21" s="88" t="s">
        <v>2152</v>
      </c>
      <c r="G21" s="94" t="s">
        <v>244</v>
      </c>
      <c r="H21" s="103">
        <v>90410.021519857575</v>
      </c>
      <c r="I21" s="100">
        <v>509.40000000000003</v>
      </c>
      <c r="J21" s="124">
        <v>0</v>
      </c>
      <c r="K21" s="124">
        <v>460.54865047177447</v>
      </c>
      <c r="L21" s="32">
        <v>1.5423712099850228E-2</v>
      </c>
      <c r="M21" s="41">
        <v>5.2987944247951801E-4</v>
      </c>
      <c r="N21" s="41">
        <v>3.9001348407026369E-5</v>
      </c>
      <c r="O21" s="18"/>
      <c r="P21" s="18"/>
      <c r="Q21" s="18"/>
      <c r="R21" s="18"/>
      <c r="S21" s="18"/>
    </row>
    <row r="22" spans="2:19" x14ac:dyDescent="0.2">
      <c r="B22" s="23" t="s">
        <v>2163</v>
      </c>
      <c r="C22" s="32" t="s">
        <v>2164</v>
      </c>
      <c r="D22" s="32" t="s">
        <v>423</v>
      </c>
      <c r="E22" s="32" t="s">
        <v>2165</v>
      </c>
      <c r="F22" s="88" t="s">
        <v>2152</v>
      </c>
      <c r="G22" s="94" t="s">
        <v>244</v>
      </c>
      <c r="H22" s="103">
        <v>24857.966658307978</v>
      </c>
      <c r="I22" s="100">
        <v>16010</v>
      </c>
      <c r="J22" s="124">
        <v>0</v>
      </c>
      <c r="K22" s="124">
        <v>3979.7604619951076</v>
      </c>
      <c r="L22" s="32">
        <v>1.6926718919741844E-3</v>
      </c>
      <c r="M22" s="41">
        <v>4.5788718578239282E-3</v>
      </c>
      <c r="N22" s="41">
        <v>3.3702416497319012E-4</v>
      </c>
      <c r="O22" s="18"/>
      <c r="P22" s="18"/>
      <c r="Q22" s="18"/>
      <c r="R22" s="18"/>
      <c r="S22" s="18"/>
    </row>
    <row r="23" spans="2:19" x14ac:dyDescent="0.2">
      <c r="B23" s="23" t="s">
        <v>2166</v>
      </c>
      <c r="C23" s="32" t="s">
        <v>2167</v>
      </c>
      <c r="D23" s="32" t="s">
        <v>423</v>
      </c>
      <c r="E23" s="32" t="s">
        <v>2165</v>
      </c>
      <c r="F23" s="88" t="s">
        <v>2152</v>
      </c>
      <c r="G23" s="94" t="s">
        <v>244</v>
      </c>
      <c r="H23" s="103">
        <v>722.2133288278651</v>
      </c>
      <c r="I23" s="100">
        <v>23880</v>
      </c>
      <c r="J23" s="124">
        <v>0</v>
      </c>
      <c r="K23" s="124">
        <v>172.46454292409419</v>
      </c>
      <c r="L23" s="32">
        <v>8.7466191504777686E-5</v>
      </c>
      <c r="M23" s="41">
        <v>1.9842727963373906E-4</v>
      </c>
      <c r="N23" s="41">
        <v>1.4605079657818664E-5</v>
      </c>
      <c r="O23" s="18"/>
      <c r="P23" s="18"/>
      <c r="Q23" s="18"/>
      <c r="R23" s="18"/>
      <c r="S23" s="18"/>
    </row>
    <row r="24" spans="2:19" x14ac:dyDescent="0.2">
      <c r="B24" s="23" t="s">
        <v>2168</v>
      </c>
      <c r="C24" s="32" t="s">
        <v>2169</v>
      </c>
      <c r="D24" s="32" t="s">
        <v>423</v>
      </c>
      <c r="E24" s="32" t="s">
        <v>2165</v>
      </c>
      <c r="F24" s="88" t="s">
        <v>2152</v>
      </c>
      <c r="G24" s="94" t="s">
        <v>244</v>
      </c>
      <c r="H24" s="103">
        <v>7153.3926330193135</v>
      </c>
      <c r="I24" s="100">
        <v>5161</v>
      </c>
      <c r="J24" s="124">
        <v>0</v>
      </c>
      <c r="K24" s="124">
        <v>369.18659379012678</v>
      </c>
      <c r="L24" s="32">
        <v>2.7244543137247808E-3</v>
      </c>
      <c r="M24" s="41">
        <v>4.2476378182420465E-4</v>
      </c>
      <c r="N24" s="41">
        <v>3.1264395101065455E-5</v>
      </c>
      <c r="O24" s="18"/>
      <c r="P24" s="18"/>
      <c r="Q24" s="18"/>
      <c r="R24" s="18"/>
      <c r="S24" s="18"/>
    </row>
    <row r="25" spans="2:19" x14ac:dyDescent="0.2">
      <c r="B25" s="23" t="s">
        <v>2170</v>
      </c>
      <c r="C25" s="32" t="s">
        <v>2171</v>
      </c>
      <c r="D25" s="32" t="s">
        <v>423</v>
      </c>
      <c r="E25" s="32" t="s">
        <v>2165</v>
      </c>
      <c r="F25" s="88" t="s">
        <v>2152</v>
      </c>
      <c r="G25" s="94" t="s">
        <v>244</v>
      </c>
      <c r="H25" s="103">
        <v>4775.9843411241518</v>
      </c>
      <c r="I25" s="100">
        <v>21010</v>
      </c>
      <c r="J25" s="124">
        <v>0</v>
      </c>
      <c r="K25" s="124">
        <v>1003.4343100701843</v>
      </c>
      <c r="L25" s="32">
        <v>1.2854390023077021E-2</v>
      </c>
      <c r="M25" s="41">
        <v>1.1544908713556098E-3</v>
      </c>
      <c r="N25" s="41">
        <v>8.4975368162564744E-5</v>
      </c>
      <c r="O25" s="18"/>
      <c r="P25" s="18"/>
      <c r="Q25" s="18"/>
      <c r="R25" s="18"/>
      <c r="S25" s="18"/>
    </row>
    <row r="26" spans="2:19" x14ac:dyDescent="0.2">
      <c r="B26" s="23" t="s">
        <v>2149</v>
      </c>
      <c r="C26" s="32" t="s">
        <v>2150</v>
      </c>
      <c r="D26" s="32" t="s">
        <v>423</v>
      </c>
      <c r="E26" s="32" t="s">
        <v>2151</v>
      </c>
      <c r="F26" s="88" t="s">
        <v>2152</v>
      </c>
      <c r="G26" s="94" t="s">
        <v>244</v>
      </c>
      <c r="H26" s="103">
        <v>494822.11451662506</v>
      </c>
      <c r="I26" s="100">
        <v>1603</v>
      </c>
      <c r="J26" s="124">
        <v>0</v>
      </c>
      <c r="K26" s="124">
        <v>7931.9984957014995</v>
      </c>
      <c r="L26" s="32">
        <v>2.6602427570365924E-3</v>
      </c>
      <c r="M26" s="41">
        <v>9.1260780730661913E-3</v>
      </c>
      <c r="N26" s="41">
        <v>6.7171760589888603E-4</v>
      </c>
      <c r="O26" s="18"/>
      <c r="P26" s="18"/>
      <c r="Q26" s="18"/>
      <c r="R26" s="18"/>
      <c r="S26" s="18"/>
    </row>
    <row r="27" spans="2:19" x14ac:dyDescent="0.2">
      <c r="B27" s="23" t="s">
        <v>2153</v>
      </c>
      <c r="C27" s="32" t="s">
        <v>2154</v>
      </c>
      <c r="D27" s="32" t="s">
        <v>423</v>
      </c>
      <c r="E27" s="32" t="s">
        <v>2151</v>
      </c>
      <c r="F27" s="88" t="s">
        <v>2152</v>
      </c>
      <c r="G27" s="94" t="s">
        <v>244</v>
      </c>
      <c r="H27" s="103">
        <v>20987.350211903395</v>
      </c>
      <c r="I27" s="100">
        <v>2426</v>
      </c>
      <c r="J27" s="124">
        <v>0</v>
      </c>
      <c r="K27" s="124">
        <v>509.15311613350218</v>
      </c>
      <c r="L27" s="32">
        <v>2.6122019161549072E-4</v>
      </c>
      <c r="M27" s="41">
        <v>5.8580080310117848E-4</v>
      </c>
      <c r="N27" s="41">
        <v>4.3117394990744601E-5</v>
      </c>
      <c r="O27" s="18"/>
      <c r="P27" s="18"/>
      <c r="Q27" s="18"/>
      <c r="R27" s="18"/>
      <c r="S27" s="18"/>
    </row>
    <row r="28" spans="2:19" x14ac:dyDescent="0.2">
      <c r="B28" s="23" t="s">
        <v>2155</v>
      </c>
      <c r="C28" s="32" t="s">
        <v>2156</v>
      </c>
      <c r="D28" s="32" t="s">
        <v>423</v>
      </c>
      <c r="E28" s="32" t="s">
        <v>2151</v>
      </c>
      <c r="F28" s="88" t="s">
        <v>2152</v>
      </c>
      <c r="G28" s="94" t="s">
        <v>244</v>
      </c>
      <c r="H28" s="103">
        <v>26134.77013738174</v>
      </c>
      <c r="I28" s="100">
        <v>1394</v>
      </c>
      <c r="J28" s="124">
        <v>0</v>
      </c>
      <c r="K28" s="124">
        <v>364.31869700989904</v>
      </c>
      <c r="L28" s="32">
        <v>4.8302225399076256E-4</v>
      </c>
      <c r="M28" s="41">
        <v>4.1916307399602481E-4</v>
      </c>
      <c r="N28" s="41">
        <v>3.0852159524779165E-5</v>
      </c>
      <c r="O28" s="18"/>
      <c r="P28" s="18"/>
      <c r="Q28" s="18"/>
      <c r="R28" s="18"/>
      <c r="S28" s="18"/>
    </row>
    <row r="29" spans="2:19" x14ac:dyDescent="0.2">
      <c r="B29" s="23" t="s">
        <v>2157</v>
      </c>
      <c r="C29" s="32" t="s">
        <v>2158</v>
      </c>
      <c r="D29" s="32" t="s">
        <v>423</v>
      </c>
      <c r="E29" s="32" t="s">
        <v>2151</v>
      </c>
      <c r="F29" s="88" t="s">
        <v>2152</v>
      </c>
      <c r="G29" s="94" t="s">
        <v>244</v>
      </c>
      <c r="H29" s="103">
        <v>2397.2667034145261</v>
      </c>
      <c r="I29" s="100">
        <v>2153</v>
      </c>
      <c r="J29" s="124">
        <v>0</v>
      </c>
      <c r="K29" s="124">
        <v>51.613152124514755</v>
      </c>
      <c r="L29" s="32">
        <v>9.9270223629835158E-4</v>
      </c>
      <c r="M29" s="41">
        <v>5.9382973426006266E-5</v>
      </c>
      <c r="N29" s="41">
        <v>4.3708357984134886E-6</v>
      </c>
      <c r="O29" s="18"/>
      <c r="P29" s="18"/>
      <c r="Q29" s="18"/>
      <c r="R29" s="18"/>
      <c r="S29" s="18"/>
    </row>
    <row r="30" spans="2:19" x14ac:dyDescent="0.2">
      <c r="B30" s="23" t="s">
        <v>2159</v>
      </c>
      <c r="C30" s="32" t="s">
        <v>2160</v>
      </c>
      <c r="D30" s="32" t="s">
        <v>423</v>
      </c>
      <c r="E30" s="32" t="s">
        <v>2151</v>
      </c>
      <c r="F30" s="88" t="s">
        <v>2152</v>
      </c>
      <c r="G30" s="94" t="s">
        <v>244</v>
      </c>
      <c r="H30" s="103">
        <v>99566.365544950982</v>
      </c>
      <c r="I30" s="100">
        <v>1243</v>
      </c>
      <c r="J30" s="124">
        <v>0</v>
      </c>
      <c r="K30" s="124">
        <v>1237.6099237237408</v>
      </c>
      <c r="L30" s="32">
        <v>2.2315110986811479E-2</v>
      </c>
      <c r="M30" s="41">
        <v>1.4239191792617043E-3</v>
      </c>
      <c r="N30" s="41">
        <v>1.0480642116245037E-4</v>
      </c>
      <c r="O30" s="18"/>
      <c r="P30" s="18"/>
      <c r="Q30" s="18"/>
      <c r="R30" s="18"/>
      <c r="S30" s="18"/>
    </row>
    <row r="31" spans="2:19" x14ac:dyDescent="0.2">
      <c r="B31" s="23" t="s">
        <v>2161</v>
      </c>
      <c r="C31" s="32" t="s">
        <v>2162</v>
      </c>
      <c r="D31" s="32" t="s">
        <v>423</v>
      </c>
      <c r="E31" s="32" t="s">
        <v>2151</v>
      </c>
      <c r="F31" s="88" t="s">
        <v>2152</v>
      </c>
      <c r="G31" s="94" t="s">
        <v>244</v>
      </c>
      <c r="H31" s="103">
        <v>90324.297558263133</v>
      </c>
      <c r="I31" s="100">
        <v>525.29999999999995</v>
      </c>
      <c r="J31" s="124">
        <v>0</v>
      </c>
      <c r="K31" s="124">
        <v>474.47353666186547</v>
      </c>
      <c r="L31" s="32">
        <v>5.4685308084112278E-3</v>
      </c>
      <c r="M31" s="41">
        <v>5.459005749341194E-4</v>
      </c>
      <c r="N31" s="41">
        <v>4.0180570921893364E-5</v>
      </c>
      <c r="O31" s="18"/>
      <c r="P31" s="18"/>
      <c r="Q31" s="18"/>
      <c r="R31" s="18"/>
      <c r="S31" s="18"/>
    </row>
    <row r="32" spans="2:19" s="160" customFormat="1" x14ac:dyDescent="0.2">
      <c r="B32" s="132" t="s">
        <v>2191</v>
      </c>
      <c r="C32" s="167" t="s">
        <v>238</v>
      </c>
      <c r="D32" s="167" t="s">
        <v>238</v>
      </c>
      <c r="E32" s="167" t="s">
        <v>238</v>
      </c>
      <c r="F32" s="167" t="s">
        <v>238</v>
      </c>
      <c r="G32" s="168" t="s">
        <v>238</v>
      </c>
      <c r="H32" s="178" t="s">
        <v>238</v>
      </c>
      <c r="I32" s="164" t="s">
        <v>238</v>
      </c>
      <c r="J32" s="169" t="s">
        <v>238</v>
      </c>
      <c r="K32" s="169">
        <v>0</v>
      </c>
      <c r="L32" s="167" t="s">
        <v>238</v>
      </c>
      <c r="M32" s="163">
        <v>0</v>
      </c>
      <c r="N32" s="163">
        <v>0</v>
      </c>
    </row>
    <row r="33" spans="2:19" s="160" customFormat="1" x14ac:dyDescent="0.2">
      <c r="B33" s="132" t="s">
        <v>2192</v>
      </c>
      <c r="C33" s="167" t="s">
        <v>238</v>
      </c>
      <c r="D33" s="167" t="s">
        <v>238</v>
      </c>
      <c r="E33" s="167" t="s">
        <v>238</v>
      </c>
      <c r="F33" s="167" t="s">
        <v>238</v>
      </c>
      <c r="G33" s="168" t="s">
        <v>238</v>
      </c>
      <c r="H33" s="178" t="s">
        <v>238</v>
      </c>
      <c r="I33" s="164" t="s">
        <v>238</v>
      </c>
      <c r="J33" s="169" t="s">
        <v>238</v>
      </c>
      <c r="K33" s="169">
        <v>152909.40068271235</v>
      </c>
      <c r="L33" s="167" t="s">
        <v>238</v>
      </c>
      <c r="M33" s="163">
        <v>0.17592831484933105</v>
      </c>
      <c r="N33" s="163">
        <v>1.294906152613198E-2</v>
      </c>
    </row>
    <row r="34" spans="2:19" x14ac:dyDescent="0.2">
      <c r="B34" s="23" t="s">
        <v>2226</v>
      </c>
      <c r="C34" s="32" t="s">
        <v>2227</v>
      </c>
      <c r="D34" s="32" t="s">
        <v>423</v>
      </c>
      <c r="E34" s="32" t="s">
        <v>2183</v>
      </c>
      <c r="F34" s="88" t="s">
        <v>2195</v>
      </c>
      <c r="G34" s="94" t="s">
        <v>244</v>
      </c>
      <c r="H34" s="103">
        <v>2162440.5455143051</v>
      </c>
      <c r="I34" s="100">
        <v>358.97</v>
      </c>
      <c r="J34" s="124">
        <v>0</v>
      </c>
      <c r="K34" s="124">
        <v>7762.5128261041009</v>
      </c>
      <c r="L34" s="32">
        <v>1.4711594379791281E-2</v>
      </c>
      <c r="M34" s="41">
        <v>8.9310781050442652E-3</v>
      </c>
      <c r="N34" s="41">
        <v>6.5736479074418955E-4</v>
      </c>
      <c r="O34" s="18"/>
      <c r="P34" s="18"/>
      <c r="Q34" s="18"/>
      <c r="R34" s="18"/>
      <c r="S34" s="18"/>
    </row>
    <row r="35" spans="2:19" x14ac:dyDescent="0.2">
      <c r="B35" s="23" t="s">
        <v>2228</v>
      </c>
      <c r="C35" s="32" t="s">
        <v>2229</v>
      </c>
      <c r="D35" s="32" t="s">
        <v>423</v>
      </c>
      <c r="E35" s="32" t="s">
        <v>2183</v>
      </c>
      <c r="F35" s="88" t="s">
        <v>2195</v>
      </c>
      <c r="G35" s="94" t="s">
        <v>244</v>
      </c>
      <c r="H35" s="103">
        <v>2149019.5032476345</v>
      </c>
      <c r="I35" s="100">
        <v>344.97</v>
      </c>
      <c r="J35" s="124">
        <v>0</v>
      </c>
      <c r="K35" s="124">
        <v>7413.4725802033299</v>
      </c>
      <c r="L35" s="32">
        <v>9.2076031491346595E-3</v>
      </c>
      <c r="M35" s="41">
        <v>8.5294934934915939E-3</v>
      </c>
      <c r="N35" s="41">
        <v>6.278064797503233E-4</v>
      </c>
      <c r="O35" s="18"/>
      <c r="P35" s="18"/>
      <c r="Q35" s="18"/>
      <c r="R35" s="18"/>
      <c r="S35" s="18"/>
    </row>
    <row r="36" spans="2:19" x14ac:dyDescent="0.2">
      <c r="B36" s="23" t="s">
        <v>2230</v>
      </c>
      <c r="C36" s="32" t="s">
        <v>2231</v>
      </c>
      <c r="D36" s="32" t="s">
        <v>423</v>
      </c>
      <c r="E36" s="32" t="s">
        <v>2183</v>
      </c>
      <c r="F36" s="88" t="s">
        <v>2195</v>
      </c>
      <c r="G36" s="94" t="s">
        <v>244</v>
      </c>
      <c r="H36" s="103">
        <v>2612152.8435033746</v>
      </c>
      <c r="I36" s="100">
        <v>354.22</v>
      </c>
      <c r="J36" s="124">
        <v>0</v>
      </c>
      <c r="K36" s="124">
        <v>9252.767802107619</v>
      </c>
      <c r="L36" s="32">
        <v>2.1676639441034457E-2</v>
      </c>
      <c r="M36" s="41">
        <v>1.0645675412034893E-2</v>
      </c>
      <c r="N36" s="41">
        <v>7.8356634073218593E-4</v>
      </c>
      <c r="O36" s="18"/>
      <c r="P36" s="18"/>
      <c r="Q36" s="18"/>
      <c r="R36" s="18"/>
      <c r="S36" s="18"/>
    </row>
    <row r="37" spans="2:19" x14ac:dyDescent="0.2">
      <c r="B37" s="23" t="s">
        <v>2232</v>
      </c>
      <c r="C37" s="32" t="s">
        <v>2233</v>
      </c>
      <c r="D37" s="32" t="s">
        <v>423</v>
      </c>
      <c r="E37" s="32" t="s">
        <v>2183</v>
      </c>
      <c r="F37" s="88" t="s">
        <v>2195</v>
      </c>
      <c r="G37" s="94" t="s">
        <v>244</v>
      </c>
      <c r="H37" s="103">
        <v>321931.8313643157</v>
      </c>
      <c r="I37" s="100">
        <v>367</v>
      </c>
      <c r="J37" s="124">
        <v>0</v>
      </c>
      <c r="K37" s="124">
        <v>1181.4898211070386</v>
      </c>
      <c r="L37" s="32">
        <v>4.3436608516251741E-3</v>
      </c>
      <c r="M37" s="41">
        <v>1.3593507809915764E-3</v>
      </c>
      <c r="N37" s="41">
        <v>1.0005391635638923E-4</v>
      </c>
      <c r="O37" s="18"/>
      <c r="P37" s="18"/>
      <c r="Q37" s="18"/>
      <c r="R37" s="18"/>
      <c r="S37" s="18"/>
    </row>
    <row r="38" spans="2:19" x14ac:dyDescent="0.2">
      <c r="B38" s="23" t="s">
        <v>2242</v>
      </c>
      <c r="C38" s="32" t="s">
        <v>2243</v>
      </c>
      <c r="D38" s="32" t="s">
        <v>423</v>
      </c>
      <c r="E38" s="32" t="s">
        <v>2183</v>
      </c>
      <c r="F38" s="88" t="s">
        <v>2195</v>
      </c>
      <c r="G38" s="94" t="s">
        <v>244</v>
      </c>
      <c r="H38" s="103">
        <v>1102386.0046567144</v>
      </c>
      <c r="I38" s="100">
        <v>383.04</v>
      </c>
      <c r="J38" s="124">
        <v>0</v>
      </c>
      <c r="K38" s="124">
        <v>4222.5793512082682</v>
      </c>
      <c r="L38" s="32">
        <v>7.7356948730990258E-3</v>
      </c>
      <c r="M38" s="41">
        <v>4.8582445962044767E-3</v>
      </c>
      <c r="N38" s="41">
        <v>3.5758716974653712E-4</v>
      </c>
      <c r="O38" s="18"/>
      <c r="P38" s="18"/>
      <c r="Q38" s="18"/>
      <c r="R38" s="18"/>
      <c r="S38" s="18"/>
    </row>
    <row r="39" spans="2:19" x14ac:dyDescent="0.2">
      <c r="B39" s="23" t="s">
        <v>2214</v>
      </c>
      <c r="C39" s="32" t="s">
        <v>2215</v>
      </c>
      <c r="D39" s="32" t="s">
        <v>423</v>
      </c>
      <c r="E39" s="32" t="s">
        <v>2174</v>
      </c>
      <c r="F39" s="88" t="s">
        <v>2195</v>
      </c>
      <c r="G39" s="94" t="s">
        <v>244</v>
      </c>
      <c r="H39" s="103">
        <v>4186018.7298217909</v>
      </c>
      <c r="I39" s="100">
        <v>355.06</v>
      </c>
      <c r="J39" s="124">
        <v>0</v>
      </c>
      <c r="K39" s="124">
        <v>14862.878101527831</v>
      </c>
      <c r="L39" s="32">
        <v>1.5804071981425909E-2</v>
      </c>
      <c r="M39" s="41">
        <v>1.710032925731322E-2</v>
      </c>
      <c r="N39" s="41">
        <v>1.2586559239182392E-3</v>
      </c>
      <c r="O39" s="18"/>
      <c r="P39" s="18"/>
      <c r="Q39" s="18"/>
      <c r="R39" s="18"/>
      <c r="S39" s="18"/>
    </row>
    <row r="40" spans="2:19" x14ac:dyDescent="0.2">
      <c r="B40" s="23" t="s">
        <v>2216</v>
      </c>
      <c r="C40" s="32" t="s">
        <v>2217</v>
      </c>
      <c r="D40" s="32" t="s">
        <v>423</v>
      </c>
      <c r="E40" s="32" t="s">
        <v>2174</v>
      </c>
      <c r="F40" s="88" t="s">
        <v>2195</v>
      </c>
      <c r="G40" s="94" t="s">
        <v>244</v>
      </c>
      <c r="H40" s="103">
        <v>1849781.5265231722</v>
      </c>
      <c r="I40" s="100">
        <v>331.05</v>
      </c>
      <c r="J40" s="124">
        <v>0</v>
      </c>
      <c r="K40" s="124">
        <v>6123.7017431493305</v>
      </c>
      <c r="L40" s="32">
        <v>3.5466047976067755E-2</v>
      </c>
      <c r="M40" s="41">
        <v>7.0455611198662824E-3</v>
      </c>
      <c r="N40" s="41">
        <v>5.1858283588634459E-4</v>
      </c>
      <c r="O40" s="18"/>
      <c r="P40" s="18"/>
      <c r="Q40" s="18"/>
      <c r="R40" s="18"/>
      <c r="S40" s="18"/>
    </row>
    <row r="41" spans="2:19" x14ac:dyDescent="0.2">
      <c r="B41" s="23" t="s">
        <v>2218</v>
      </c>
      <c r="C41" s="32" t="s">
        <v>2219</v>
      </c>
      <c r="D41" s="32" t="s">
        <v>423</v>
      </c>
      <c r="E41" s="32" t="s">
        <v>2174</v>
      </c>
      <c r="F41" s="88" t="s">
        <v>2195</v>
      </c>
      <c r="G41" s="94" t="s">
        <v>244</v>
      </c>
      <c r="H41" s="103">
        <v>3753285.744621716</v>
      </c>
      <c r="I41" s="100">
        <v>345.66</v>
      </c>
      <c r="J41" s="124">
        <v>0</v>
      </c>
      <c r="K41" s="124">
        <v>12973.607504572214</v>
      </c>
      <c r="L41" s="32">
        <v>9.6891517503598402E-3</v>
      </c>
      <c r="M41" s="41">
        <v>1.4926648692659951E-2</v>
      </c>
      <c r="N41" s="41">
        <v>1.0986639215281842E-3</v>
      </c>
      <c r="O41" s="18"/>
      <c r="P41" s="18"/>
      <c r="Q41" s="18"/>
      <c r="R41" s="18"/>
      <c r="S41" s="18"/>
    </row>
    <row r="42" spans="2:19" x14ac:dyDescent="0.2">
      <c r="B42" s="23" t="s">
        <v>2220</v>
      </c>
      <c r="C42" s="32" t="s">
        <v>2221</v>
      </c>
      <c r="D42" s="32" t="s">
        <v>423</v>
      </c>
      <c r="E42" s="32" t="s">
        <v>2174</v>
      </c>
      <c r="F42" s="88" t="s">
        <v>2195</v>
      </c>
      <c r="G42" s="94" t="s">
        <v>244</v>
      </c>
      <c r="H42" s="103">
        <v>30750.81279078166</v>
      </c>
      <c r="I42" s="100">
        <v>3574.7</v>
      </c>
      <c r="J42" s="124">
        <v>0</v>
      </c>
      <c r="K42" s="124">
        <v>1099.2493040818979</v>
      </c>
      <c r="L42" s="32">
        <v>9.8716218407733942E-3</v>
      </c>
      <c r="M42" s="41">
        <v>1.2647298125751689E-3</v>
      </c>
      <c r="N42" s="41">
        <v>9.3089416396643785E-5</v>
      </c>
      <c r="O42" s="18"/>
      <c r="P42" s="18"/>
      <c r="Q42" s="18"/>
      <c r="R42" s="18"/>
      <c r="S42" s="18"/>
    </row>
    <row r="43" spans="2:19" x14ac:dyDescent="0.2">
      <c r="B43" s="23" t="s">
        <v>2222</v>
      </c>
      <c r="C43" s="32" t="s">
        <v>2223</v>
      </c>
      <c r="D43" s="32" t="s">
        <v>423</v>
      </c>
      <c r="E43" s="32" t="s">
        <v>2174</v>
      </c>
      <c r="F43" s="88" t="s">
        <v>2195</v>
      </c>
      <c r="G43" s="94" t="s">
        <v>244</v>
      </c>
      <c r="H43" s="103">
        <v>135777.00040002353</v>
      </c>
      <c r="I43" s="100">
        <v>3523.7000000000003</v>
      </c>
      <c r="J43" s="124">
        <v>0</v>
      </c>
      <c r="K43" s="124">
        <v>4784.3741624526228</v>
      </c>
      <c r="L43" s="32">
        <v>3.7141227700895049E-2</v>
      </c>
      <c r="M43" s="41">
        <v>5.504611752128406E-3</v>
      </c>
      <c r="N43" s="41">
        <v>4.0516250222043726E-4</v>
      </c>
      <c r="O43" s="18"/>
      <c r="P43" s="18"/>
      <c r="Q43" s="18"/>
      <c r="R43" s="18"/>
      <c r="S43" s="18"/>
    </row>
    <row r="44" spans="2:19" x14ac:dyDescent="0.2">
      <c r="B44" s="23" t="s">
        <v>2224</v>
      </c>
      <c r="C44" s="32" t="s">
        <v>2225</v>
      </c>
      <c r="D44" s="32" t="s">
        <v>423</v>
      </c>
      <c r="E44" s="32" t="s">
        <v>2174</v>
      </c>
      <c r="F44" s="88" t="s">
        <v>2195</v>
      </c>
      <c r="G44" s="94" t="s">
        <v>244</v>
      </c>
      <c r="H44" s="103">
        <v>8064.3709421320755</v>
      </c>
      <c r="I44" s="100">
        <v>3679.8</v>
      </c>
      <c r="J44" s="124">
        <v>0</v>
      </c>
      <c r="K44" s="124">
        <v>296.75272192857614</v>
      </c>
      <c r="L44" s="32">
        <v>1.8940078317125739E-3</v>
      </c>
      <c r="M44" s="41">
        <v>3.4142574663657669E-4</v>
      </c>
      <c r="N44" s="41">
        <v>2.5130366328972946E-5</v>
      </c>
      <c r="O44" s="18"/>
      <c r="P44" s="18"/>
      <c r="Q44" s="18"/>
      <c r="R44" s="18"/>
      <c r="S44" s="18"/>
    </row>
    <row r="45" spans="2:19" x14ac:dyDescent="0.2">
      <c r="B45" s="23" t="s">
        <v>2238</v>
      </c>
      <c r="C45" s="32" t="s">
        <v>2239</v>
      </c>
      <c r="D45" s="32" t="s">
        <v>423</v>
      </c>
      <c r="E45" s="32" t="s">
        <v>2174</v>
      </c>
      <c r="F45" s="88" t="s">
        <v>2195</v>
      </c>
      <c r="G45" s="94" t="s">
        <v>244</v>
      </c>
      <c r="H45" s="103">
        <v>1397431.7001963165</v>
      </c>
      <c r="I45" s="100">
        <v>380.44</v>
      </c>
      <c r="J45" s="124">
        <v>0</v>
      </c>
      <c r="K45" s="124">
        <v>5316.3891615364564</v>
      </c>
      <c r="L45" s="32">
        <v>5.8106468744309166E-3</v>
      </c>
      <c r="M45" s="41">
        <v>6.116716056020096E-3</v>
      </c>
      <c r="N45" s="41">
        <v>4.5021594514286757E-4</v>
      </c>
      <c r="O45" s="18"/>
      <c r="P45" s="18"/>
      <c r="Q45" s="18"/>
      <c r="R45" s="18"/>
      <c r="S45" s="18"/>
    </row>
    <row r="46" spans="2:19" x14ac:dyDescent="0.2">
      <c r="B46" s="23" t="s">
        <v>2240</v>
      </c>
      <c r="C46" s="32" t="s">
        <v>2241</v>
      </c>
      <c r="D46" s="32" t="s">
        <v>423</v>
      </c>
      <c r="E46" s="32" t="s">
        <v>2174</v>
      </c>
      <c r="F46" s="88" t="s">
        <v>2195</v>
      </c>
      <c r="G46" s="94" t="s">
        <v>244</v>
      </c>
      <c r="H46" s="103">
        <v>14021.824505894496</v>
      </c>
      <c r="I46" s="100">
        <v>3727.7000000000003</v>
      </c>
      <c r="J46" s="124">
        <v>0</v>
      </c>
      <c r="K46" s="124">
        <v>522.6915521062291</v>
      </c>
      <c r="L46" s="32">
        <v>9.0152966886883658E-3</v>
      </c>
      <c r="M46" s="41">
        <v>6.0137730929205459E-4</v>
      </c>
      <c r="N46" s="41">
        <v>4.426389114857213E-5</v>
      </c>
      <c r="O46" s="18"/>
      <c r="P46" s="18"/>
      <c r="Q46" s="18"/>
      <c r="R46" s="18"/>
      <c r="S46" s="18"/>
    </row>
    <row r="47" spans="2:19" x14ac:dyDescent="0.2">
      <c r="B47" s="23" t="s">
        <v>2202</v>
      </c>
      <c r="C47" s="32" t="s">
        <v>2203</v>
      </c>
      <c r="D47" s="32" t="s">
        <v>423</v>
      </c>
      <c r="E47" s="32" t="s">
        <v>2165</v>
      </c>
      <c r="F47" s="88" t="s">
        <v>2195</v>
      </c>
      <c r="G47" s="94" t="s">
        <v>244</v>
      </c>
      <c r="H47" s="103">
        <v>304509.14642682491</v>
      </c>
      <c r="I47" s="100">
        <v>3556.2</v>
      </c>
      <c r="J47" s="124">
        <v>0</v>
      </c>
      <c r="K47" s="124">
        <v>10828.954265016413</v>
      </c>
      <c r="L47" s="32">
        <v>1.3190323039147352E-2</v>
      </c>
      <c r="M47" s="41">
        <v>1.2459140294310257E-2</v>
      </c>
      <c r="N47" s="41">
        <v>9.1704495874870304E-4</v>
      </c>
      <c r="O47" s="18"/>
      <c r="P47" s="18"/>
      <c r="Q47" s="18"/>
      <c r="R47" s="18"/>
      <c r="S47" s="18"/>
    </row>
    <row r="48" spans="2:19" x14ac:dyDescent="0.2">
      <c r="B48" s="23" t="s">
        <v>2204</v>
      </c>
      <c r="C48" s="32" t="s">
        <v>2205</v>
      </c>
      <c r="D48" s="32" t="s">
        <v>423</v>
      </c>
      <c r="E48" s="32" t="s">
        <v>2165</v>
      </c>
      <c r="F48" s="88" t="s">
        <v>2195</v>
      </c>
      <c r="G48" s="94" t="s">
        <v>244</v>
      </c>
      <c r="H48" s="103">
        <v>101253.56235640631</v>
      </c>
      <c r="I48" s="100">
        <v>3292.1</v>
      </c>
      <c r="J48" s="124">
        <v>0</v>
      </c>
      <c r="K48" s="124">
        <v>3333.3685259065815</v>
      </c>
      <c r="L48" s="32">
        <v>1.6249211015246491E-2</v>
      </c>
      <c r="M48" s="41">
        <v>3.8351723629562609E-3</v>
      </c>
      <c r="N48" s="41">
        <v>2.8228476430171653E-4</v>
      </c>
      <c r="O48" s="18"/>
      <c r="P48" s="18"/>
      <c r="Q48" s="18"/>
      <c r="R48" s="18"/>
      <c r="S48" s="18"/>
    </row>
    <row r="49" spans="2:19" x14ac:dyDescent="0.2">
      <c r="B49" s="23" t="s">
        <v>2206</v>
      </c>
      <c r="C49" s="32" t="s">
        <v>2207</v>
      </c>
      <c r="D49" s="32" t="s">
        <v>423</v>
      </c>
      <c r="E49" s="32" t="s">
        <v>2165</v>
      </c>
      <c r="F49" s="88" t="s">
        <v>2195</v>
      </c>
      <c r="G49" s="94" t="s">
        <v>244</v>
      </c>
      <c r="H49" s="103">
        <v>305414.71366218728</v>
      </c>
      <c r="I49" s="100">
        <v>3438.6000000000004</v>
      </c>
      <c r="J49" s="124">
        <v>0</v>
      </c>
      <c r="K49" s="124">
        <v>10501.990343344965</v>
      </c>
      <c r="L49" s="32">
        <v>7.3400100573525967E-3</v>
      </c>
      <c r="M49" s="41">
        <v>1.20829553671615E-2</v>
      </c>
      <c r="N49" s="41">
        <v>8.893561710113533E-4</v>
      </c>
      <c r="O49" s="18"/>
      <c r="P49" s="18"/>
      <c r="Q49" s="18"/>
      <c r="R49" s="18"/>
      <c r="S49" s="18"/>
    </row>
    <row r="50" spans="2:19" x14ac:dyDescent="0.2">
      <c r="B50" s="23" t="s">
        <v>2208</v>
      </c>
      <c r="C50" s="32" t="s">
        <v>2209</v>
      </c>
      <c r="D50" s="32" t="s">
        <v>423</v>
      </c>
      <c r="E50" s="32" t="s">
        <v>2165</v>
      </c>
      <c r="F50" s="88" t="s">
        <v>2195</v>
      </c>
      <c r="G50" s="94" t="s">
        <v>244</v>
      </c>
      <c r="H50" s="103">
        <v>185054.64714911705</v>
      </c>
      <c r="I50" s="100">
        <v>3525.1</v>
      </c>
      <c r="J50" s="124">
        <v>0</v>
      </c>
      <c r="K50" s="124">
        <v>6523.3613660105184</v>
      </c>
      <c r="L50" s="32">
        <v>5.0360542260732076E-2</v>
      </c>
      <c r="M50" s="41">
        <v>7.5053853272031784E-3</v>
      </c>
      <c r="N50" s="41">
        <v>5.5242782529074902E-4</v>
      </c>
      <c r="O50" s="18"/>
      <c r="P50" s="18"/>
      <c r="Q50" s="18"/>
      <c r="R50" s="18"/>
      <c r="S50" s="18"/>
    </row>
    <row r="51" spans="2:19" x14ac:dyDescent="0.2">
      <c r="B51" s="23" t="s">
        <v>2210</v>
      </c>
      <c r="C51" s="32" t="s">
        <v>2211</v>
      </c>
      <c r="D51" s="32" t="s">
        <v>423</v>
      </c>
      <c r="E51" s="32" t="s">
        <v>2165</v>
      </c>
      <c r="F51" s="88" t="s">
        <v>2195</v>
      </c>
      <c r="G51" s="94" t="s">
        <v>244</v>
      </c>
      <c r="H51" s="103">
        <v>34056.186783714278</v>
      </c>
      <c r="I51" s="100">
        <v>3557.8</v>
      </c>
      <c r="J51" s="124">
        <v>0</v>
      </c>
      <c r="K51" s="124">
        <v>1211.6510131766513</v>
      </c>
      <c r="L51" s="32">
        <v>1.4333212873606671E-2</v>
      </c>
      <c r="M51" s="41">
        <v>1.3940524256972826E-3</v>
      </c>
      <c r="N51" s="41">
        <v>1.0260810288819908E-4</v>
      </c>
      <c r="O51" s="18"/>
      <c r="P51" s="18"/>
      <c r="Q51" s="18"/>
      <c r="R51" s="18"/>
      <c r="S51" s="18"/>
    </row>
    <row r="52" spans="2:19" x14ac:dyDescent="0.2">
      <c r="B52" s="23" t="s">
        <v>2212</v>
      </c>
      <c r="C52" s="32" t="s">
        <v>2213</v>
      </c>
      <c r="D52" s="32" t="s">
        <v>423</v>
      </c>
      <c r="E52" s="32" t="s">
        <v>2165</v>
      </c>
      <c r="F52" s="88" t="s">
        <v>2195</v>
      </c>
      <c r="G52" s="94" t="s">
        <v>244</v>
      </c>
      <c r="H52" s="103">
        <v>34561.589751994608</v>
      </c>
      <c r="I52" s="100">
        <v>3680.7000000000003</v>
      </c>
      <c r="J52" s="124">
        <v>0</v>
      </c>
      <c r="K52" s="124">
        <v>1272.1084340016655</v>
      </c>
      <c r="L52" s="32">
        <v>4.2035476446431993E-3</v>
      </c>
      <c r="M52" s="41">
        <v>1.4636110801579834E-3</v>
      </c>
      <c r="N52" s="41">
        <v>1.0772791147079116E-4</v>
      </c>
      <c r="O52" s="18"/>
      <c r="P52" s="18"/>
      <c r="Q52" s="18"/>
      <c r="R52" s="18"/>
      <c r="S52" s="18"/>
    </row>
    <row r="53" spans="2:19" x14ac:dyDescent="0.2">
      <c r="B53" s="23" t="s">
        <v>2236</v>
      </c>
      <c r="C53" s="32" t="s">
        <v>2237</v>
      </c>
      <c r="D53" s="32" t="s">
        <v>423</v>
      </c>
      <c r="E53" s="32" t="s">
        <v>2165</v>
      </c>
      <c r="F53" s="88" t="s">
        <v>2195</v>
      </c>
      <c r="G53" s="94" t="s">
        <v>244</v>
      </c>
      <c r="H53" s="103">
        <v>52013.531477089389</v>
      </c>
      <c r="I53" s="100">
        <v>3819.3000000000006</v>
      </c>
      <c r="J53" s="124">
        <v>0</v>
      </c>
      <c r="K53" s="124">
        <v>1986.5528075973075</v>
      </c>
      <c r="L53" s="32">
        <v>3.029220028342011E-3</v>
      </c>
      <c r="M53" s="41">
        <v>2.2856075966512794E-3</v>
      </c>
      <c r="N53" s="41">
        <v>1.6823030118249667E-4</v>
      </c>
      <c r="O53" s="18"/>
      <c r="P53" s="18"/>
      <c r="Q53" s="18"/>
      <c r="R53" s="18"/>
      <c r="S53" s="18"/>
    </row>
    <row r="54" spans="2:19" x14ac:dyDescent="0.2">
      <c r="B54" s="23" t="s">
        <v>2193</v>
      </c>
      <c r="C54" s="32" t="s">
        <v>2194</v>
      </c>
      <c r="D54" s="32" t="s">
        <v>423</v>
      </c>
      <c r="E54" s="32" t="s">
        <v>2151</v>
      </c>
      <c r="F54" s="88" t="s">
        <v>2195</v>
      </c>
      <c r="G54" s="94" t="s">
        <v>244</v>
      </c>
      <c r="H54" s="103">
        <v>5174068.7905679103</v>
      </c>
      <c r="I54" s="100">
        <v>356.06</v>
      </c>
      <c r="J54" s="124">
        <v>0</v>
      </c>
      <c r="K54" s="124">
        <v>18422.789334855046</v>
      </c>
      <c r="L54" s="32">
        <v>1.5514277210792621E-2</v>
      </c>
      <c r="M54" s="41">
        <v>2.1196147967583449E-2</v>
      </c>
      <c r="N54" s="41">
        <v>1.5601253521032009E-3</v>
      </c>
      <c r="O54" s="18"/>
      <c r="P54" s="18"/>
      <c r="Q54" s="18"/>
      <c r="R54" s="18"/>
      <c r="S54" s="18"/>
    </row>
    <row r="55" spans="2:19" x14ac:dyDescent="0.2">
      <c r="B55" s="23" t="s">
        <v>2196</v>
      </c>
      <c r="C55" s="32" t="s">
        <v>2197</v>
      </c>
      <c r="D55" s="32" t="s">
        <v>423</v>
      </c>
      <c r="E55" s="32" t="s">
        <v>2151</v>
      </c>
      <c r="F55" s="88" t="s">
        <v>2195</v>
      </c>
      <c r="G55" s="94" t="s">
        <v>244</v>
      </c>
      <c r="H55" s="103">
        <v>415471.95097999828</v>
      </c>
      <c r="I55" s="100">
        <v>330.15</v>
      </c>
      <c r="J55" s="124">
        <v>0</v>
      </c>
      <c r="K55" s="124">
        <v>1371.680645211494</v>
      </c>
      <c r="L55" s="32">
        <v>9.5151714818363896E-3</v>
      </c>
      <c r="M55" s="41">
        <v>1.5781728484060705E-3</v>
      </c>
      <c r="N55" s="41">
        <v>1.1616013789697747E-4</v>
      </c>
      <c r="O55" s="18"/>
      <c r="P55" s="18"/>
      <c r="Q55" s="18"/>
      <c r="R55" s="18"/>
      <c r="S55" s="18"/>
    </row>
    <row r="56" spans="2:19" x14ac:dyDescent="0.2">
      <c r="B56" s="23" t="s">
        <v>2198</v>
      </c>
      <c r="C56" s="32" t="s">
        <v>2199</v>
      </c>
      <c r="D56" s="32" t="s">
        <v>423</v>
      </c>
      <c r="E56" s="32" t="s">
        <v>2151</v>
      </c>
      <c r="F56" s="88" t="s">
        <v>2195</v>
      </c>
      <c r="G56" s="94" t="s">
        <v>244</v>
      </c>
      <c r="H56" s="103">
        <v>4195535.0186817618</v>
      </c>
      <c r="I56" s="100">
        <v>344.97</v>
      </c>
      <c r="J56" s="124">
        <v>0</v>
      </c>
      <c r="K56" s="124">
        <v>14473.337152994933</v>
      </c>
      <c r="L56" s="32">
        <v>1.0647967291792924E-2</v>
      </c>
      <c r="M56" s="41">
        <v>1.6652146985103512E-2</v>
      </c>
      <c r="N56" s="41">
        <v>1.2256678297462725E-3</v>
      </c>
      <c r="O56" s="18"/>
      <c r="P56" s="18"/>
      <c r="Q56" s="18"/>
      <c r="R56" s="18"/>
      <c r="S56" s="18"/>
    </row>
    <row r="57" spans="2:19" x14ac:dyDescent="0.2">
      <c r="B57" s="23" t="s">
        <v>2200</v>
      </c>
      <c r="C57" s="32" t="s">
        <v>2201</v>
      </c>
      <c r="D57" s="32" t="s">
        <v>423</v>
      </c>
      <c r="E57" s="32" t="s">
        <v>2151</v>
      </c>
      <c r="F57" s="88" t="s">
        <v>2195</v>
      </c>
      <c r="G57" s="94" t="s">
        <v>244</v>
      </c>
      <c r="H57" s="103">
        <v>33485.840177016245</v>
      </c>
      <c r="I57" s="100">
        <v>3679.0999999999995</v>
      </c>
      <c r="J57" s="124">
        <v>0</v>
      </c>
      <c r="K57" s="124">
        <v>1231.9775457382693</v>
      </c>
      <c r="L57" s="32">
        <v>4.0402804316236338E-3</v>
      </c>
      <c r="M57" s="41">
        <v>1.4174389055626754E-3</v>
      </c>
      <c r="N57" s="41">
        <v>1.0432944585062085E-4</v>
      </c>
      <c r="O57" s="18"/>
      <c r="P57" s="18"/>
      <c r="Q57" s="18"/>
      <c r="R57" s="18"/>
      <c r="S57" s="18"/>
    </row>
    <row r="58" spans="2:19" x14ac:dyDescent="0.2">
      <c r="B58" s="23" t="s">
        <v>2234</v>
      </c>
      <c r="C58" s="32" t="s">
        <v>2235</v>
      </c>
      <c r="D58" s="32" t="s">
        <v>423</v>
      </c>
      <c r="E58" s="32" t="s">
        <v>2151</v>
      </c>
      <c r="F58" s="88" t="s">
        <v>2195</v>
      </c>
      <c r="G58" s="94" t="s">
        <v>244</v>
      </c>
      <c r="H58" s="103">
        <v>1547785.5252914056</v>
      </c>
      <c r="I58" s="100">
        <v>383.72</v>
      </c>
      <c r="J58" s="124">
        <v>0</v>
      </c>
      <c r="K58" s="124">
        <v>5939.1626166729548</v>
      </c>
      <c r="L58" s="32">
        <v>7.5347878087249388E-3</v>
      </c>
      <c r="M58" s="41">
        <v>6.8332415541639564E-3</v>
      </c>
      <c r="N58" s="41">
        <v>5.0295522573254065E-4</v>
      </c>
      <c r="O58" s="18"/>
      <c r="P58" s="18"/>
      <c r="Q58" s="18"/>
      <c r="R58" s="18"/>
      <c r="S58" s="18"/>
    </row>
    <row r="59" spans="2:19" s="160" customFormat="1" x14ac:dyDescent="0.2">
      <c r="B59" s="132" t="s">
        <v>2244</v>
      </c>
      <c r="C59" s="167" t="s">
        <v>238</v>
      </c>
      <c r="D59" s="167" t="s">
        <v>238</v>
      </c>
      <c r="E59" s="167" t="s">
        <v>238</v>
      </c>
      <c r="F59" s="167" t="s">
        <v>238</v>
      </c>
      <c r="G59" s="168" t="s">
        <v>238</v>
      </c>
      <c r="H59" s="178" t="s">
        <v>238</v>
      </c>
      <c r="I59" s="164" t="s">
        <v>238</v>
      </c>
      <c r="J59" s="169" t="s">
        <v>238</v>
      </c>
      <c r="K59" s="169">
        <v>0</v>
      </c>
      <c r="L59" s="167" t="s">
        <v>238</v>
      </c>
      <c r="M59" s="163">
        <v>0</v>
      </c>
      <c r="N59" s="163">
        <v>0</v>
      </c>
    </row>
    <row r="60" spans="2:19" s="160" customFormat="1" x14ac:dyDescent="0.2">
      <c r="B60" s="132" t="s">
        <v>2245</v>
      </c>
      <c r="C60" s="167" t="s">
        <v>238</v>
      </c>
      <c r="D60" s="167" t="s">
        <v>238</v>
      </c>
      <c r="E60" s="167" t="s">
        <v>238</v>
      </c>
      <c r="F60" s="167" t="s">
        <v>238</v>
      </c>
      <c r="G60" s="168" t="s">
        <v>238</v>
      </c>
      <c r="H60" s="178" t="s">
        <v>238</v>
      </c>
      <c r="I60" s="164" t="s">
        <v>238</v>
      </c>
      <c r="J60" s="169" t="s">
        <v>238</v>
      </c>
      <c r="K60" s="169">
        <v>0</v>
      </c>
      <c r="L60" s="167" t="s">
        <v>238</v>
      </c>
      <c r="M60" s="163">
        <v>0</v>
      </c>
      <c r="N60" s="163">
        <v>0</v>
      </c>
    </row>
    <row r="61" spans="2:19" s="160" customFormat="1" x14ac:dyDescent="0.2">
      <c r="B61" s="132" t="s">
        <v>144</v>
      </c>
      <c r="C61" s="167" t="s">
        <v>238</v>
      </c>
      <c r="D61" s="167" t="s">
        <v>238</v>
      </c>
      <c r="E61" s="167" t="s">
        <v>238</v>
      </c>
      <c r="F61" s="167" t="s">
        <v>238</v>
      </c>
      <c r="G61" s="168" t="s">
        <v>238</v>
      </c>
      <c r="H61" s="178" t="s">
        <v>238</v>
      </c>
      <c r="I61" s="164" t="s">
        <v>238</v>
      </c>
      <c r="J61" s="169" t="s">
        <v>238</v>
      </c>
      <c r="K61" s="169">
        <v>0</v>
      </c>
      <c r="L61" s="167" t="s">
        <v>238</v>
      </c>
      <c r="M61" s="163">
        <v>0</v>
      </c>
      <c r="N61" s="163">
        <v>0</v>
      </c>
    </row>
    <row r="62" spans="2:19" s="160" customFormat="1" x14ac:dyDescent="0.2">
      <c r="B62" s="132" t="s">
        <v>544</v>
      </c>
      <c r="C62" s="167" t="s">
        <v>238</v>
      </c>
      <c r="D62" s="167" t="s">
        <v>238</v>
      </c>
      <c r="E62" s="167" t="s">
        <v>238</v>
      </c>
      <c r="F62" s="167" t="s">
        <v>238</v>
      </c>
      <c r="G62" s="168" t="s">
        <v>238</v>
      </c>
      <c r="H62" s="178" t="s">
        <v>238</v>
      </c>
      <c r="I62" s="164" t="s">
        <v>238</v>
      </c>
      <c r="J62" s="169" t="s">
        <v>238</v>
      </c>
      <c r="K62" s="169">
        <v>691724.45314273145</v>
      </c>
      <c r="L62" s="167" t="s">
        <v>238</v>
      </c>
      <c r="M62" s="163">
        <v>0.79585634917235204</v>
      </c>
      <c r="N62" s="163">
        <v>5.8578363808131188E-2</v>
      </c>
    </row>
    <row r="63" spans="2:19" s="160" customFormat="1" x14ac:dyDescent="0.2">
      <c r="B63" s="132" t="s">
        <v>2246</v>
      </c>
      <c r="C63" s="167" t="s">
        <v>238</v>
      </c>
      <c r="D63" s="167" t="s">
        <v>238</v>
      </c>
      <c r="E63" s="167" t="s">
        <v>238</v>
      </c>
      <c r="F63" s="167" t="s">
        <v>238</v>
      </c>
      <c r="G63" s="168" t="s">
        <v>238</v>
      </c>
      <c r="H63" s="178" t="s">
        <v>238</v>
      </c>
      <c r="I63" s="164" t="s">
        <v>238</v>
      </c>
      <c r="J63" s="169" t="s">
        <v>238</v>
      </c>
      <c r="K63" s="169">
        <v>380353.33569994132</v>
      </c>
      <c r="L63" s="167" t="s">
        <v>238</v>
      </c>
      <c r="M63" s="163">
        <v>0.43761156016732639</v>
      </c>
      <c r="N63" s="163">
        <v>3.2210045449513738E-2</v>
      </c>
    </row>
    <row r="64" spans="2:19" x14ac:dyDescent="0.2">
      <c r="B64" s="23" t="s">
        <v>2289</v>
      </c>
      <c r="C64" s="32" t="s">
        <v>2290</v>
      </c>
      <c r="D64" s="32" t="s">
        <v>1974</v>
      </c>
      <c r="E64" s="32" t="s">
        <v>238</v>
      </c>
      <c r="F64" s="88" t="s">
        <v>2152</v>
      </c>
      <c r="G64" s="94" t="s">
        <v>128</v>
      </c>
      <c r="H64" s="103">
        <v>2507507.2110855393</v>
      </c>
      <c r="I64" s="100">
        <v>446.76</v>
      </c>
      <c r="J64" s="124">
        <v>0</v>
      </c>
      <c r="K64" s="124">
        <v>43445.687588384884</v>
      </c>
      <c r="L64" s="32">
        <v>2.0360834367991951E-3</v>
      </c>
      <c r="M64" s="41">
        <v>4.9985982357978007E-2</v>
      </c>
      <c r="N64" s="41">
        <v>3.6791778603230685E-3</v>
      </c>
      <c r="O64" s="18"/>
      <c r="P64" s="18"/>
      <c r="Q64" s="18"/>
      <c r="R64" s="18"/>
      <c r="S64" s="18"/>
    </row>
    <row r="65" spans="2:19" x14ac:dyDescent="0.2">
      <c r="B65" s="23" t="s">
        <v>2257</v>
      </c>
      <c r="C65" s="32" t="s">
        <v>2258</v>
      </c>
      <c r="D65" s="32" t="s">
        <v>1941</v>
      </c>
      <c r="E65" s="32" t="s">
        <v>238</v>
      </c>
      <c r="F65" s="88" t="s">
        <v>2152</v>
      </c>
      <c r="G65" s="94" t="s">
        <v>127</v>
      </c>
      <c r="H65" s="103">
        <v>184.24205392076917</v>
      </c>
      <c r="I65" s="100">
        <v>9093</v>
      </c>
      <c r="J65" s="124">
        <v>0</v>
      </c>
      <c r="K65" s="124">
        <v>57.898817152181714</v>
      </c>
      <c r="L65" s="32">
        <v>2.3505955577858611E-5</v>
      </c>
      <c r="M65" s="41">
        <v>6.6614879712261461E-5</v>
      </c>
      <c r="N65" s="41">
        <v>4.9031344197703749E-6</v>
      </c>
      <c r="O65" s="18"/>
      <c r="P65" s="18"/>
      <c r="Q65" s="18"/>
      <c r="R65" s="18"/>
      <c r="S65" s="18"/>
    </row>
    <row r="66" spans="2:19" x14ac:dyDescent="0.2">
      <c r="B66" s="23" t="s">
        <v>2299</v>
      </c>
      <c r="C66" s="32" t="s">
        <v>2300</v>
      </c>
      <c r="D66" s="32" t="s">
        <v>1941</v>
      </c>
      <c r="E66" s="32" t="s">
        <v>238</v>
      </c>
      <c r="F66" s="88" t="s">
        <v>2152</v>
      </c>
      <c r="G66" s="94" t="s">
        <v>127</v>
      </c>
      <c r="H66" s="103">
        <v>135532.45380952017</v>
      </c>
      <c r="I66" s="100">
        <v>2929.6600000000003</v>
      </c>
      <c r="J66" s="124">
        <v>27.601883570000002</v>
      </c>
      <c r="K66" s="124">
        <v>13750.134021062235</v>
      </c>
      <c r="L66" s="32">
        <v>1.8393323344443612E-2</v>
      </c>
      <c r="M66" s="41">
        <v>1.5820073170631603E-2</v>
      </c>
      <c r="N66" s="41">
        <v>1.1644237086557722E-3</v>
      </c>
      <c r="O66" s="18"/>
      <c r="P66" s="18"/>
      <c r="Q66" s="18"/>
      <c r="R66" s="18"/>
      <c r="S66" s="18"/>
    </row>
    <row r="67" spans="2:19" x14ac:dyDescent="0.2">
      <c r="B67" s="23" t="s">
        <v>2247</v>
      </c>
      <c r="C67" s="32" t="s">
        <v>2248</v>
      </c>
      <c r="D67" s="32" t="s">
        <v>1914</v>
      </c>
      <c r="E67" s="32" t="s">
        <v>238</v>
      </c>
      <c r="F67" s="88" t="s">
        <v>2152</v>
      </c>
      <c r="G67" s="94" t="s">
        <v>127</v>
      </c>
      <c r="H67" s="103">
        <v>17953.486586622592</v>
      </c>
      <c r="I67" s="100">
        <v>58895.500000000007</v>
      </c>
      <c r="J67" s="124">
        <v>0</v>
      </c>
      <c r="K67" s="124">
        <v>36543.037913189059</v>
      </c>
      <c r="L67" s="32">
        <v>1.1653266770482362E-3</v>
      </c>
      <c r="M67" s="41">
        <v>4.2044210825746914E-2</v>
      </c>
      <c r="N67" s="41">
        <v>3.0946301808581845E-3</v>
      </c>
      <c r="O67" s="18"/>
      <c r="P67" s="18"/>
      <c r="Q67" s="18"/>
      <c r="R67" s="18"/>
      <c r="S67" s="18"/>
    </row>
    <row r="68" spans="2:19" x14ac:dyDescent="0.2">
      <c r="B68" s="23" t="s">
        <v>2283</v>
      </c>
      <c r="C68" s="32" t="s">
        <v>2284</v>
      </c>
      <c r="D68" s="32" t="s">
        <v>1914</v>
      </c>
      <c r="E68" s="32" t="s">
        <v>238</v>
      </c>
      <c r="F68" s="88" t="s">
        <v>2152</v>
      </c>
      <c r="G68" s="94" t="s">
        <v>127</v>
      </c>
      <c r="H68" s="103">
        <v>181313.02268476444</v>
      </c>
      <c r="I68" s="100">
        <v>4846</v>
      </c>
      <c r="J68" s="124">
        <v>0</v>
      </c>
      <c r="K68" s="124">
        <v>30365.898897432435</v>
      </c>
      <c r="L68" s="32">
        <v>1.4764735799816976E-2</v>
      </c>
      <c r="M68" s="41">
        <v>3.493716800967378E-2</v>
      </c>
      <c r="N68" s="41">
        <v>2.571522034378174E-3</v>
      </c>
      <c r="O68" s="18"/>
      <c r="P68" s="18"/>
      <c r="Q68" s="18"/>
      <c r="R68" s="18"/>
      <c r="S68" s="18"/>
    </row>
    <row r="69" spans="2:19" x14ac:dyDescent="0.2">
      <c r="B69" s="23" t="s">
        <v>2265</v>
      </c>
      <c r="C69" s="32" t="s">
        <v>2266</v>
      </c>
      <c r="D69" s="32" t="s">
        <v>209</v>
      </c>
      <c r="E69" s="32" t="s">
        <v>238</v>
      </c>
      <c r="F69" s="88" t="s">
        <v>2152</v>
      </c>
      <c r="G69" s="94" t="s">
        <v>128</v>
      </c>
      <c r="H69" s="103">
        <v>110401.06575098286</v>
      </c>
      <c r="I69" s="100">
        <v>3446</v>
      </c>
      <c r="J69" s="124">
        <v>0</v>
      </c>
      <c r="K69" s="124">
        <v>14754.304458153965</v>
      </c>
      <c r="L69" s="32">
        <v>2.3127740199842036E-3</v>
      </c>
      <c r="M69" s="41">
        <v>1.6975410985247977E-2</v>
      </c>
      <c r="N69" s="41">
        <v>1.2494614153930126E-3</v>
      </c>
      <c r="O69" s="18"/>
      <c r="P69" s="18"/>
      <c r="Q69" s="18"/>
      <c r="R69" s="18"/>
      <c r="S69" s="18"/>
    </row>
    <row r="70" spans="2:19" x14ac:dyDescent="0.2">
      <c r="B70" s="23" t="s">
        <v>2273</v>
      </c>
      <c r="C70" s="32" t="s">
        <v>2274</v>
      </c>
      <c r="D70" s="32" t="s">
        <v>1914</v>
      </c>
      <c r="E70" s="32" t="s">
        <v>238</v>
      </c>
      <c r="F70" s="88" t="s">
        <v>2152</v>
      </c>
      <c r="G70" s="94" t="s">
        <v>127</v>
      </c>
      <c r="H70" s="103">
        <v>61615.965963908966</v>
      </c>
      <c r="I70" s="100">
        <v>4197.5</v>
      </c>
      <c r="J70" s="124">
        <v>0</v>
      </c>
      <c r="K70" s="124">
        <v>8938.3570718600604</v>
      </c>
      <c r="L70" s="32">
        <v>4.8416693996603984E-3</v>
      </c>
      <c r="M70" s="41">
        <v>1.028393342824557E-2</v>
      </c>
      <c r="N70" s="41">
        <v>7.5694061417597679E-4</v>
      </c>
      <c r="O70" s="18"/>
      <c r="P70" s="18"/>
      <c r="Q70" s="18"/>
      <c r="R70" s="18"/>
      <c r="S70" s="18"/>
    </row>
    <row r="71" spans="2:19" x14ac:dyDescent="0.2">
      <c r="B71" s="23" t="s">
        <v>2275</v>
      </c>
      <c r="C71" s="32" t="s">
        <v>2276</v>
      </c>
      <c r="D71" s="32" t="s">
        <v>1914</v>
      </c>
      <c r="E71" s="32" t="s">
        <v>238</v>
      </c>
      <c r="F71" s="88" t="s">
        <v>2152</v>
      </c>
      <c r="G71" s="94" t="s">
        <v>2</v>
      </c>
      <c r="H71" s="103">
        <v>641626.87077382952</v>
      </c>
      <c r="I71" s="100">
        <v>744.2</v>
      </c>
      <c r="J71" s="124">
        <v>0</v>
      </c>
      <c r="K71" s="124">
        <v>21772.509009344169</v>
      </c>
      <c r="L71" s="32">
        <v>5.6436195734135266E-4</v>
      </c>
      <c r="M71" s="41">
        <v>2.505013297386402E-2</v>
      </c>
      <c r="N71" s="41">
        <v>1.8437948058227878E-3</v>
      </c>
      <c r="O71" s="18"/>
      <c r="P71" s="18"/>
      <c r="Q71" s="18"/>
      <c r="R71" s="18"/>
      <c r="S71" s="18"/>
    </row>
    <row r="72" spans="2:19" x14ac:dyDescent="0.2">
      <c r="B72" s="23" t="s">
        <v>2295</v>
      </c>
      <c r="C72" s="32" t="s">
        <v>2296</v>
      </c>
      <c r="D72" s="32" t="s">
        <v>1914</v>
      </c>
      <c r="E72" s="32" t="s">
        <v>238</v>
      </c>
      <c r="F72" s="88" t="s">
        <v>2152</v>
      </c>
      <c r="G72" s="94" t="s">
        <v>127</v>
      </c>
      <c r="H72" s="103">
        <v>381729.05646928772</v>
      </c>
      <c r="I72" s="100">
        <v>441.6</v>
      </c>
      <c r="J72" s="124">
        <v>0</v>
      </c>
      <c r="K72" s="124">
        <v>5825.8328135435668</v>
      </c>
      <c r="L72" s="32">
        <v>2.291018380738846E-3</v>
      </c>
      <c r="M72" s="41">
        <v>6.7028511321379691E-3</v>
      </c>
      <c r="N72" s="41">
        <v>4.9335794402903066E-4</v>
      </c>
      <c r="O72" s="18"/>
      <c r="P72" s="18"/>
      <c r="Q72" s="18"/>
      <c r="R72" s="18"/>
      <c r="S72" s="18"/>
    </row>
    <row r="73" spans="2:19" x14ac:dyDescent="0.2">
      <c r="B73" s="23" t="s">
        <v>2251</v>
      </c>
      <c r="C73" s="32" t="s">
        <v>2252</v>
      </c>
      <c r="D73" s="32" t="s">
        <v>1941</v>
      </c>
      <c r="E73" s="32" t="s">
        <v>238</v>
      </c>
      <c r="F73" s="88" t="s">
        <v>2152</v>
      </c>
      <c r="G73" s="94" t="s">
        <v>127</v>
      </c>
      <c r="H73" s="103">
        <v>40170.823497487632</v>
      </c>
      <c r="I73" s="100">
        <v>16567</v>
      </c>
      <c r="J73" s="124">
        <v>0</v>
      </c>
      <c r="K73" s="124">
        <v>23000.026736032247</v>
      </c>
      <c r="L73" s="32">
        <v>1.3877384527193618E-4</v>
      </c>
      <c r="M73" s="41">
        <v>2.6462440681171193E-2</v>
      </c>
      <c r="N73" s="41">
        <v>1.9477465739700204E-3</v>
      </c>
      <c r="O73" s="18"/>
      <c r="P73" s="18"/>
      <c r="Q73" s="18"/>
      <c r="R73" s="18"/>
      <c r="S73" s="18"/>
    </row>
    <row r="74" spans="2:19" x14ac:dyDescent="0.2">
      <c r="B74" s="23" t="s">
        <v>2259</v>
      </c>
      <c r="C74" s="32" t="s">
        <v>2260</v>
      </c>
      <c r="D74" s="32" t="s">
        <v>1941</v>
      </c>
      <c r="E74" s="32" t="s">
        <v>238</v>
      </c>
      <c r="F74" s="88" t="s">
        <v>2152</v>
      </c>
      <c r="G74" s="94" t="s">
        <v>127</v>
      </c>
      <c r="H74" s="103">
        <v>921.21026960384586</v>
      </c>
      <c r="I74" s="100">
        <v>1668</v>
      </c>
      <c r="J74" s="124">
        <v>0</v>
      </c>
      <c r="K74" s="124">
        <v>53.104160898404871</v>
      </c>
      <c r="L74" s="32">
        <v>2.3492361175007531E-6</v>
      </c>
      <c r="M74" s="41">
        <v>6.1098438007286992E-5</v>
      </c>
      <c r="N74" s="41">
        <v>4.4971011834251541E-6</v>
      </c>
      <c r="O74" s="18"/>
      <c r="P74" s="18"/>
      <c r="Q74" s="18"/>
      <c r="R74" s="18"/>
      <c r="S74" s="18"/>
    </row>
    <row r="75" spans="2:19" x14ac:dyDescent="0.2">
      <c r="B75" s="23" t="s">
        <v>2279</v>
      </c>
      <c r="C75" s="32" t="s">
        <v>2280</v>
      </c>
      <c r="D75" s="32" t="s">
        <v>1941</v>
      </c>
      <c r="E75" s="32" t="s">
        <v>238</v>
      </c>
      <c r="F75" s="88" t="s">
        <v>2152</v>
      </c>
      <c r="G75" s="94" t="s">
        <v>127</v>
      </c>
      <c r="H75" s="103">
        <v>191569.08545947712</v>
      </c>
      <c r="I75" s="100">
        <v>4363</v>
      </c>
      <c r="J75" s="124">
        <v>0</v>
      </c>
      <c r="K75" s="124">
        <v>28885.798189890909</v>
      </c>
      <c r="L75" s="32">
        <v>1.7846974192527664E-3</v>
      </c>
      <c r="M75" s="41">
        <v>3.3234253590269332E-2</v>
      </c>
      <c r="N75" s="41">
        <v>2.4461803938952845E-3</v>
      </c>
      <c r="O75" s="18"/>
      <c r="P75" s="18"/>
      <c r="Q75" s="18"/>
      <c r="R75" s="18"/>
      <c r="S75" s="18"/>
    </row>
    <row r="76" spans="2:19" x14ac:dyDescent="0.2">
      <c r="B76" s="23" t="s">
        <v>2281</v>
      </c>
      <c r="C76" s="32" t="s">
        <v>2282</v>
      </c>
      <c r="D76" s="32" t="s">
        <v>1941</v>
      </c>
      <c r="E76" s="32" t="s">
        <v>238</v>
      </c>
      <c r="F76" s="88" t="s">
        <v>2152</v>
      </c>
      <c r="G76" s="94" t="s">
        <v>127</v>
      </c>
      <c r="H76" s="103">
        <v>72213.879232875581</v>
      </c>
      <c r="I76" s="100">
        <v>4745</v>
      </c>
      <c r="J76" s="124">
        <v>24.274288530000003</v>
      </c>
      <c r="K76" s="124">
        <v>11866.426144598359</v>
      </c>
      <c r="L76" s="32">
        <v>3.1129810961014523E-4</v>
      </c>
      <c r="M76" s="41">
        <v>1.3652792735975052E-2</v>
      </c>
      <c r="N76" s="41">
        <v>1.0049027826650664E-3</v>
      </c>
      <c r="O76" s="18"/>
      <c r="P76" s="18"/>
      <c r="Q76" s="18"/>
      <c r="R76" s="18"/>
      <c r="S76" s="18"/>
    </row>
    <row r="77" spans="2:19" x14ac:dyDescent="0.2">
      <c r="B77" s="23" t="s">
        <v>2285</v>
      </c>
      <c r="C77" s="32" t="s">
        <v>2286</v>
      </c>
      <c r="D77" s="32" t="s">
        <v>1941</v>
      </c>
      <c r="E77" s="32" t="s">
        <v>238</v>
      </c>
      <c r="F77" s="88" t="s">
        <v>2152</v>
      </c>
      <c r="G77" s="94" t="s">
        <v>127</v>
      </c>
      <c r="H77" s="103">
        <v>199684.52441192631</v>
      </c>
      <c r="I77" s="100">
        <v>5376</v>
      </c>
      <c r="J77" s="124">
        <v>0</v>
      </c>
      <c r="K77" s="124">
        <v>37100.298351851874</v>
      </c>
      <c r="L77" s="32">
        <v>1.7316004439568093E-4</v>
      </c>
      <c r="M77" s="41">
        <v>4.268536100662805E-2</v>
      </c>
      <c r="N77" s="41">
        <v>3.1418215220975457E-3</v>
      </c>
      <c r="O77" s="18"/>
      <c r="P77" s="18"/>
      <c r="Q77" s="18"/>
      <c r="R77" s="18"/>
      <c r="S77" s="18"/>
    </row>
    <row r="78" spans="2:19" x14ac:dyDescent="0.2">
      <c r="B78" s="23" t="s">
        <v>2293</v>
      </c>
      <c r="C78" s="32" t="s">
        <v>2294</v>
      </c>
      <c r="D78" s="32" t="s">
        <v>1941</v>
      </c>
      <c r="E78" s="32" t="s">
        <v>238</v>
      </c>
      <c r="F78" s="88" t="s">
        <v>2152</v>
      </c>
      <c r="G78" s="94" t="s">
        <v>127</v>
      </c>
      <c r="H78" s="103">
        <v>88.424962548946155</v>
      </c>
      <c r="I78" s="100">
        <v>2264</v>
      </c>
      <c r="J78" s="124">
        <v>0</v>
      </c>
      <c r="K78" s="124">
        <v>6.9187081120949365</v>
      </c>
      <c r="L78" s="32">
        <v>1.1958405712511685E-6</v>
      </c>
      <c r="M78" s="41">
        <v>7.960247399183437E-6</v>
      </c>
      <c r="N78" s="41">
        <v>5.8590758072989247E-7</v>
      </c>
      <c r="O78" s="18"/>
      <c r="P78" s="18"/>
      <c r="Q78" s="18"/>
      <c r="R78" s="18"/>
      <c r="S78" s="18"/>
    </row>
    <row r="79" spans="2:19" x14ac:dyDescent="0.2">
      <c r="B79" s="23" t="s">
        <v>2271</v>
      </c>
      <c r="C79" s="32" t="s">
        <v>2272</v>
      </c>
      <c r="D79" s="32" t="s">
        <v>2014</v>
      </c>
      <c r="E79" s="32" t="s">
        <v>238</v>
      </c>
      <c r="F79" s="88" t="s">
        <v>2152</v>
      </c>
      <c r="G79" s="94" t="s">
        <v>318</v>
      </c>
      <c r="H79" s="103">
        <v>112476.8263358073</v>
      </c>
      <c r="I79" s="100">
        <v>178300</v>
      </c>
      <c r="J79" s="124">
        <v>0</v>
      </c>
      <c r="K79" s="124">
        <v>6386.7942375753628</v>
      </c>
      <c r="L79" s="32">
        <v>1.827391635770377E-5</v>
      </c>
      <c r="M79" s="41">
        <v>7.3482594431035905E-3</v>
      </c>
      <c r="N79" s="41">
        <v>5.4086270149418492E-4</v>
      </c>
      <c r="O79" s="18"/>
      <c r="P79" s="18"/>
      <c r="Q79" s="18"/>
      <c r="R79" s="18"/>
      <c r="S79" s="18"/>
    </row>
    <row r="80" spans="2:19" x14ac:dyDescent="0.2">
      <c r="B80" s="23" t="s">
        <v>2261</v>
      </c>
      <c r="C80" s="32" t="s">
        <v>2262</v>
      </c>
      <c r="D80" s="32" t="s">
        <v>1941</v>
      </c>
      <c r="E80" s="32" t="s">
        <v>238</v>
      </c>
      <c r="F80" s="88" t="s">
        <v>2152</v>
      </c>
      <c r="G80" s="94" t="s">
        <v>127</v>
      </c>
      <c r="H80" s="103">
        <v>36.369988469008838</v>
      </c>
      <c r="I80" s="100">
        <v>4079</v>
      </c>
      <c r="J80" s="124">
        <v>0</v>
      </c>
      <c r="K80" s="124">
        <v>5.1270854936826096</v>
      </c>
      <c r="L80" s="32">
        <v>6.5371374444833091E-7</v>
      </c>
      <c r="M80" s="41">
        <v>5.8989146969693838E-6</v>
      </c>
      <c r="N80" s="41">
        <v>4.3418485201702125E-7</v>
      </c>
      <c r="O80" s="18"/>
      <c r="P80" s="18"/>
      <c r="Q80" s="18"/>
      <c r="R80" s="18"/>
      <c r="S80" s="18"/>
    </row>
    <row r="81" spans="2:19" x14ac:dyDescent="0.2">
      <c r="B81" s="23" t="s">
        <v>2255</v>
      </c>
      <c r="C81" s="32" t="s">
        <v>2256</v>
      </c>
      <c r="D81" s="32" t="s">
        <v>1941</v>
      </c>
      <c r="E81" s="32" t="s">
        <v>238</v>
      </c>
      <c r="F81" s="88" t="s">
        <v>2152</v>
      </c>
      <c r="G81" s="94" t="s">
        <v>127</v>
      </c>
      <c r="H81" s="103">
        <v>921.21026960384586</v>
      </c>
      <c r="I81" s="100">
        <v>4226</v>
      </c>
      <c r="J81" s="124">
        <v>0</v>
      </c>
      <c r="K81" s="124">
        <v>134.54327575339266</v>
      </c>
      <c r="L81" s="32">
        <v>7.5368059448066006E-6</v>
      </c>
      <c r="M81" s="41">
        <v>1.5479736152205923E-4</v>
      </c>
      <c r="N81" s="41">
        <v>1.139373477287452E-5</v>
      </c>
      <c r="O81" s="18"/>
      <c r="P81" s="18"/>
      <c r="Q81" s="18"/>
      <c r="R81" s="18"/>
      <c r="S81" s="18"/>
    </row>
    <row r="82" spans="2:19" x14ac:dyDescent="0.2">
      <c r="B82" s="23" t="s">
        <v>2249</v>
      </c>
      <c r="C82" s="32" t="s">
        <v>2250</v>
      </c>
      <c r="D82" s="32" t="s">
        <v>1941</v>
      </c>
      <c r="E82" s="32" t="s">
        <v>238</v>
      </c>
      <c r="F82" s="88" t="s">
        <v>2152</v>
      </c>
      <c r="G82" s="94" t="s">
        <v>127</v>
      </c>
      <c r="H82" s="103">
        <v>2506.6524821098237</v>
      </c>
      <c r="I82" s="100">
        <v>29580</v>
      </c>
      <c r="J82" s="124">
        <v>0</v>
      </c>
      <c r="K82" s="124">
        <v>2562.5127309595823</v>
      </c>
      <c r="L82" s="32">
        <v>5.6958023635994757E-6</v>
      </c>
      <c r="M82" s="41">
        <v>2.9482722744635361E-3</v>
      </c>
      <c r="N82" s="41">
        <v>2.1700519959230751E-4</v>
      </c>
      <c r="O82" s="18"/>
      <c r="P82" s="18"/>
      <c r="Q82" s="18"/>
      <c r="R82" s="18"/>
      <c r="S82" s="18"/>
    </row>
    <row r="83" spans="2:19" x14ac:dyDescent="0.2">
      <c r="B83" s="23" t="s">
        <v>2263</v>
      </c>
      <c r="C83" s="32" t="s">
        <v>2264</v>
      </c>
      <c r="D83" s="32" t="s">
        <v>1941</v>
      </c>
      <c r="E83" s="32" t="s">
        <v>238</v>
      </c>
      <c r="F83" s="88" t="s">
        <v>2152</v>
      </c>
      <c r="G83" s="94" t="s">
        <v>127</v>
      </c>
      <c r="H83" s="103">
        <v>65.068717599921655</v>
      </c>
      <c r="I83" s="100">
        <v>5860</v>
      </c>
      <c r="J83" s="124">
        <v>0</v>
      </c>
      <c r="K83" s="124">
        <v>13.177820798284293</v>
      </c>
      <c r="L83" s="32">
        <v>2.601257195146313E-7</v>
      </c>
      <c r="M83" s="41">
        <v>1.5161604166111487E-5</v>
      </c>
      <c r="N83" s="41">
        <v>1.1159576293899976E-6</v>
      </c>
      <c r="O83" s="18"/>
      <c r="P83" s="18"/>
      <c r="Q83" s="18"/>
      <c r="R83" s="18"/>
      <c r="S83" s="18"/>
    </row>
    <row r="84" spans="2:19" x14ac:dyDescent="0.2">
      <c r="B84" s="23" t="s">
        <v>2267</v>
      </c>
      <c r="C84" s="32" t="s">
        <v>2268</v>
      </c>
      <c r="D84" s="32" t="s">
        <v>209</v>
      </c>
      <c r="E84" s="32" t="s">
        <v>238</v>
      </c>
      <c r="F84" s="88" t="s">
        <v>2152</v>
      </c>
      <c r="G84" s="94" t="s">
        <v>128</v>
      </c>
      <c r="H84" s="103">
        <v>289219.696269901</v>
      </c>
      <c r="I84" s="100">
        <v>3159</v>
      </c>
      <c r="J84" s="124">
        <v>0</v>
      </c>
      <c r="K84" s="124">
        <v>35432.981185508746</v>
      </c>
      <c r="L84" s="32">
        <v>6.4275927157643603E-3</v>
      </c>
      <c r="M84" s="41">
        <v>4.0767046644761142E-2</v>
      </c>
      <c r="N84" s="41">
        <v>3.0006255428172857E-3</v>
      </c>
      <c r="O84" s="18"/>
      <c r="P84" s="18"/>
      <c r="Q84" s="18"/>
      <c r="R84" s="18"/>
      <c r="S84" s="18"/>
    </row>
    <row r="85" spans="2:19" x14ac:dyDescent="0.2">
      <c r="B85" s="23" t="s">
        <v>2277</v>
      </c>
      <c r="C85" s="32" t="s">
        <v>2278</v>
      </c>
      <c r="D85" s="32" t="s">
        <v>1914</v>
      </c>
      <c r="E85" s="32" t="s">
        <v>238</v>
      </c>
      <c r="F85" s="88" t="s">
        <v>2152</v>
      </c>
      <c r="G85" s="94" t="s">
        <v>2</v>
      </c>
      <c r="H85" s="103">
        <v>76312.24953425338</v>
      </c>
      <c r="I85" s="100">
        <v>3470.0000000000005</v>
      </c>
      <c r="J85" s="124">
        <v>0</v>
      </c>
      <c r="K85" s="124">
        <v>12074.245457344547</v>
      </c>
      <c r="L85" s="32">
        <v>8.1285093542850088E-4</v>
      </c>
      <c r="M85" s="41">
        <v>1.3891897076985765E-2</v>
      </c>
      <c r="N85" s="41">
        <v>1.0225018645727434E-3</v>
      </c>
      <c r="O85" s="18"/>
      <c r="P85" s="18"/>
      <c r="Q85" s="18"/>
      <c r="R85" s="18"/>
      <c r="S85" s="18"/>
    </row>
    <row r="86" spans="2:19" x14ac:dyDescent="0.2">
      <c r="B86" s="23" t="s">
        <v>2287</v>
      </c>
      <c r="C86" s="32" t="s">
        <v>2288</v>
      </c>
      <c r="D86" s="32" t="s">
        <v>1941</v>
      </c>
      <c r="E86" s="32" t="s">
        <v>238</v>
      </c>
      <c r="F86" s="88" t="s">
        <v>2152</v>
      </c>
      <c r="G86" s="94" t="s">
        <v>127</v>
      </c>
      <c r="H86" s="103">
        <v>51328.807191522195</v>
      </c>
      <c r="I86" s="100">
        <v>2489</v>
      </c>
      <c r="J86" s="124">
        <v>0</v>
      </c>
      <c r="K86" s="124">
        <v>4415.2957815727104</v>
      </c>
      <c r="L86" s="32">
        <v>1.2768283451714182E-3</v>
      </c>
      <c r="M86" s="41">
        <v>5.0799724735384952E-3</v>
      </c>
      <c r="N86" s="41">
        <v>3.7390727107937708E-4</v>
      </c>
      <c r="O86" s="18"/>
      <c r="P86" s="18"/>
      <c r="Q86" s="18"/>
      <c r="R86" s="18"/>
      <c r="S86" s="18"/>
    </row>
    <row r="87" spans="2:19" x14ac:dyDescent="0.2">
      <c r="B87" s="23" t="s">
        <v>2297</v>
      </c>
      <c r="C87" s="32" t="s">
        <v>2298</v>
      </c>
      <c r="D87" s="32" t="s">
        <v>1941</v>
      </c>
      <c r="E87" s="32" t="s">
        <v>238</v>
      </c>
      <c r="F87" s="88" t="s">
        <v>2152</v>
      </c>
      <c r="G87" s="94" t="s">
        <v>127</v>
      </c>
      <c r="H87" s="103">
        <v>83905.768878164236</v>
      </c>
      <c r="I87" s="100">
        <v>3122</v>
      </c>
      <c r="J87" s="124">
        <v>0</v>
      </c>
      <c r="K87" s="124">
        <v>9053.1236882860921</v>
      </c>
      <c r="L87" s="32">
        <v>3.4742769581903961E-3</v>
      </c>
      <c r="M87" s="41">
        <v>1.0415976960812198E-2</v>
      </c>
      <c r="N87" s="41">
        <v>7.6665957174569727E-4</v>
      </c>
      <c r="O87" s="18"/>
      <c r="P87" s="18"/>
      <c r="Q87" s="18"/>
      <c r="R87" s="18"/>
      <c r="S87" s="18"/>
    </row>
    <row r="88" spans="2:19" x14ac:dyDescent="0.2">
      <c r="B88" s="23" t="s">
        <v>2253</v>
      </c>
      <c r="C88" s="32" t="s">
        <v>2254</v>
      </c>
      <c r="D88" s="32" t="s">
        <v>1914</v>
      </c>
      <c r="E88" s="32" t="s">
        <v>238</v>
      </c>
      <c r="F88" s="88" t="s">
        <v>2152</v>
      </c>
      <c r="G88" s="94" t="s">
        <v>127</v>
      </c>
      <c r="H88" s="103">
        <v>100620.89502877989</v>
      </c>
      <c r="I88" s="100">
        <v>5952</v>
      </c>
      <c r="J88" s="124">
        <v>0</v>
      </c>
      <c r="K88" s="124">
        <v>20697.830802329307</v>
      </c>
      <c r="L88" s="32">
        <v>7.8020051260764664E-4</v>
      </c>
      <c r="M88" s="41">
        <v>2.3813673180540135E-2</v>
      </c>
      <c r="N88" s="41">
        <v>1.752786181360878E-3</v>
      </c>
      <c r="O88" s="18"/>
      <c r="P88" s="18"/>
      <c r="Q88" s="18"/>
      <c r="R88" s="18"/>
      <c r="S88" s="18"/>
    </row>
    <row r="89" spans="2:19" x14ac:dyDescent="0.2">
      <c r="B89" s="23" t="s">
        <v>2269</v>
      </c>
      <c r="C89" s="32" t="s">
        <v>2270</v>
      </c>
      <c r="D89" s="32" t="s">
        <v>1991</v>
      </c>
      <c r="E89" s="32" t="s">
        <v>238</v>
      </c>
      <c r="F89" s="88" t="s">
        <v>2152</v>
      </c>
      <c r="G89" s="94" t="s">
        <v>128</v>
      </c>
      <c r="H89" s="103">
        <v>59871.507891748544</v>
      </c>
      <c r="I89" s="100">
        <v>4311</v>
      </c>
      <c r="J89" s="124">
        <v>0</v>
      </c>
      <c r="K89" s="124">
        <v>10009.869626859374</v>
      </c>
      <c r="L89" s="32">
        <v>1.1596072257602057E-3</v>
      </c>
      <c r="M89" s="41">
        <v>1.1516751013686823E-2</v>
      </c>
      <c r="N89" s="41">
        <v>8.4768115686831161E-4</v>
      </c>
      <c r="O89" s="18"/>
      <c r="P89" s="18"/>
      <c r="Q89" s="18"/>
      <c r="R89" s="18"/>
      <c r="S89" s="18"/>
    </row>
    <row r="90" spans="2:19" x14ac:dyDescent="0.2">
      <c r="B90" s="23" t="s">
        <v>2291</v>
      </c>
      <c r="C90" s="32" t="s">
        <v>2292</v>
      </c>
      <c r="D90" s="32" t="s">
        <v>1941</v>
      </c>
      <c r="E90" s="32" t="s">
        <v>238</v>
      </c>
      <c r="F90" s="88" t="s">
        <v>2152</v>
      </c>
      <c r="G90" s="94" t="s">
        <v>127</v>
      </c>
      <c r="H90" s="103">
        <v>31254.696851624682</v>
      </c>
      <c r="I90" s="100">
        <v>2964</v>
      </c>
      <c r="J90" s="124">
        <v>0</v>
      </c>
      <c r="K90" s="124">
        <v>3201.6011258538583</v>
      </c>
      <c r="L90" s="32">
        <v>4.8716161756472099E-4</v>
      </c>
      <c r="M90" s="41">
        <v>3.6835687562463298E-3</v>
      </c>
      <c r="N90" s="41">
        <v>2.711261032723553E-4</v>
      </c>
      <c r="O90" s="18"/>
      <c r="P90" s="18"/>
      <c r="Q90" s="18"/>
      <c r="R90" s="18"/>
      <c r="S90" s="18"/>
    </row>
    <row r="91" spans="2:19" s="160" customFormat="1" x14ac:dyDescent="0.2">
      <c r="B91" s="132" t="s">
        <v>2301</v>
      </c>
      <c r="C91" s="167" t="s">
        <v>238</v>
      </c>
      <c r="D91" s="167" t="s">
        <v>238</v>
      </c>
      <c r="E91" s="167" t="s">
        <v>238</v>
      </c>
      <c r="F91" s="167" t="s">
        <v>238</v>
      </c>
      <c r="G91" s="168" t="s">
        <v>238</v>
      </c>
      <c r="H91" s="178" t="s">
        <v>238</v>
      </c>
      <c r="I91" s="164" t="s">
        <v>238</v>
      </c>
      <c r="J91" s="169" t="s">
        <v>238</v>
      </c>
      <c r="K91" s="169">
        <v>139048.46000544087</v>
      </c>
      <c r="L91" s="167" t="s">
        <v>238</v>
      </c>
      <c r="M91" s="163">
        <v>0.15998075423702521</v>
      </c>
      <c r="N91" s="163">
        <v>1.1775254207296897E-2</v>
      </c>
    </row>
    <row r="92" spans="2:19" x14ac:dyDescent="0.2">
      <c r="B92" s="23" t="s">
        <v>2304</v>
      </c>
      <c r="C92" s="32" t="s">
        <v>2305</v>
      </c>
      <c r="D92" s="32" t="s">
        <v>1914</v>
      </c>
      <c r="E92" s="32" t="s">
        <v>238</v>
      </c>
      <c r="F92" s="88" t="s">
        <v>2195</v>
      </c>
      <c r="G92" s="94" t="s">
        <v>127</v>
      </c>
      <c r="H92" s="103">
        <v>70861.680658703292</v>
      </c>
      <c r="I92" s="100">
        <v>10780</v>
      </c>
      <c r="J92" s="124">
        <v>0</v>
      </c>
      <c r="K92" s="124">
        <v>26400.000988129865</v>
      </c>
      <c r="L92" s="32">
        <v>1.8974577897605392E-2</v>
      </c>
      <c r="M92" s="41">
        <v>3.0374245567149499E-2</v>
      </c>
      <c r="N92" s="41">
        <v>2.2356718132365825E-3</v>
      </c>
      <c r="O92" s="18"/>
      <c r="P92" s="18"/>
      <c r="Q92" s="18"/>
      <c r="R92" s="18"/>
      <c r="S92" s="18"/>
    </row>
    <row r="93" spans="2:19" x14ac:dyDescent="0.2">
      <c r="B93" s="23" t="s">
        <v>2302</v>
      </c>
      <c r="C93" s="32" t="s">
        <v>2303</v>
      </c>
      <c r="D93" s="32" t="s">
        <v>1914</v>
      </c>
      <c r="E93" s="32" t="s">
        <v>238</v>
      </c>
      <c r="F93" s="88" t="s">
        <v>2195</v>
      </c>
      <c r="G93" s="94" t="s">
        <v>127</v>
      </c>
      <c r="H93" s="103">
        <v>92606.388717755864</v>
      </c>
      <c r="I93" s="100">
        <v>10350</v>
      </c>
      <c r="J93" s="124">
        <v>0</v>
      </c>
      <c r="K93" s="124">
        <v>33124.934817516361</v>
      </c>
      <c r="L93" s="32">
        <v>1.6611679471980893E-3</v>
      </c>
      <c r="M93" s="41">
        <v>3.8111547988026649E-2</v>
      </c>
      <c r="N93" s="41">
        <v>2.8051697088995625E-3</v>
      </c>
      <c r="O93" s="18"/>
      <c r="P93" s="18"/>
      <c r="Q93" s="18"/>
      <c r="R93" s="18"/>
      <c r="S93" s="18"/>
    </row>
    <row r="94" spans="2:19" x14ac:dyDescent="0.2">
      <c r="B94" s="23" t="s">
        <v>2308</v>
      </c>
      <c r="C94" s="32" t="s">
        <v>2309</v>
      </c>
      <c r="D94" s="32" t="s">
        <v>1914</v>
      </c>
      <c r="E94" s="32" t="s">
        <v>238</v>
      </c>
      <c r="F94" s="88" t="s">
        <v>2195</v>
      </c>
      <c r="G94" s="94" t="s">
        <v>127</v>
      </c>
      <c r="H94" s="103">
        <v>136053.25842599152</v>
      </c>
      <c r="I94" s="100">
        <v>6223</v>
      </c>
      <c r="J94" s="124">
        <v>0</v>
      </c>
      <c r="K94" s="124">
        <v>29260.549803511705</v>
      </c>
      <c r="L94" s="32">
        <v>8.0698944205494011E-4</v>
      </c>
      <c r="M94" s="41">
        <v>3.3665420147570659E-2</v>
      </c>
      <c r="N94" s="41">
        <v>2.4779160601141473E-3</v>
      </c>
      <c r="O94" s="18"/>
      <c r="P94" s="18"/>
      <c r="Q94" s="18"/>
      <c r="R94" s="18"/>
      <c r="S94" s="18"/>
    </row>
    <row r="95" spans="2:19" x14ac:dyDescent="0.2">
      <c r="B95" s="23" t="s">
        <v>2306</v>
      </c>
      <c r="C95" s="32" t="s">
        <v>2307</v>
      </c>
      <c r="D95" s="32" t="s">
        <v>1914</v>
      </c>
      <c r="E95" s="32" t="s">
        <v>238</v>
      </c>
      <c r="F95" s="88" t="s">
        <v>2195</v>
      </c>
      <c r="G95" s="94" t="s">
        <v>127</v>
      </c>
      <c r="H95" s="103">
        <v>196802.22897765203</v>
      </c>
      <c r="I95" s="100">
        <v>7390.0000000000009</v>
      </c>
      <c r="J95" s="124">
        <v>0</v>
      </c>
      <c r="K95" s="124">
        <v>50262.974396182923</v>
      </c>
      <c r="L95" s="32">
        <v>3.3332778749302259E-3</v>
      </c>
      <c r="M95" s="41">
        <v>5.7829540534163323E-2</v>
      </c>
      <c r="N95" s="41">
        <v>4.2564966250381352E-3</v>
      </c>
      <c r="O95" s="18"/>
      <c r="P95" s="18"/>
      <c r="Q95" s="18"/>
      <c r="R95" s="18"/>
      <c r="S95" s="18"/>
    </row>
    <row r="96" spans="2:19" s="160" customFormat="1" x14ac:dyDescent="0.2">
      <c r="B96" s="132" t="s">
        <v>144</v>
      </c>
      <c r="C96" s="167" t="s">
        <v>238</v>
      </c>
      <c r="D96" s="167" t="s">
        <v>238</v>
      </c>
      <c r="E96" s="167" t="s">
        <v>238</v>
      </c>
      <c r="F96" s="167" t="s">
        <v>238</v>
      </c>
      <c r="G96" s="168" t="s">
        <v>238</v>
      </c>
      <c r="H96" s="178" t="s">
        <v>238</v>
      </c>
      <c r="I96" s="164" t="s">
        <v>238</v>
      </c>
      <c r="J96" s="169" t="s">
        <v>238</v>
      </c>
      <c r="K96" s="169">
        <v>172322.65743724926</v>
      </c>
      <c r="L96" s="167" t="s">
        <v>238</v>
      </c>
      <c r="M96" s="163">
        <v>0.19826403476788546</v>
      </c>
      <c r="N96" s="163">
        <v>1.4593064151312085E-2</v>
      </c>
    </row>
    <row r="97" spans="2:19" x14ac:dyDescent="0.2">
      <c r="B97" s="23" t="s">
        <v>2334</v>
      </c>
      <c r="C97" s="32" t="s">
        <v>2335</v>
      </c>
      <c r="D97" s="32" t="s">
        <v>1911</v>
      </c>
      <c r="E97" s="32" t="s">
        <v>238</v>
      </c>
      <c r="F97" s="88" t="s">
        <v>2152</v>
      </c>
      <c r="G97" s="94" t="s">
        <v>127</v>
      </c>
      <c r="H97" s="103">
        <v>34714.982760201572</v>
      </c>
      <c r="I97" s="100">
        <v>5135.72</v>
      </c>
      <c r="J97" s="124">
        <v>17.927753620000001</v>
      </c>
      <c r="K97" s="124">
        <v>6179.5068177597868</v>
      </c>
      <c r="L97" s="32">
        <v>7.1034521710611111E-3</v>
      </c>
      <c r="M97" s="41">
        <v>7.1097670659521642E-3</v>
      </c>
      <c r="N97" s="41">
        <v>5.2330866269211852E-4</v>
      </c>
      <c r="O97" s="18"/>
      <c r="P97" s="18"/>
      <c r="Q97" s="18"/>
      <c r="R97" s="18"/>
      <c r="S97" s="18"/>
    </row>
    <row r="98" spans="2:19" x14ac:dyDescent="0.2">
      <c r="B98" s="23" t="s">
        <v>2338</v>
      </c>
      <c r="C98" s="32" t="s">
        <v>2339</v>
      </c>
      <c r="D98" s="32" t="s">
        <v>1941</v>
      </c>
      <c r="E98" s="32" t="s">
        <v>238</v>
      </c>
      <c r="F98" s="88" t="s">
        <v>2152</v>
      </c>
      <c r="G98" s="94" t="s">
        <v>127</v>
      </c>
      <c r="H98" s="103">
        <v>41946.035100387388</v>
      </c>
      <c r="I98" s="100">
        <v>2032</v>
      </c>
      <c r="J98" s="124">
        <v>7.91743416</v>
      </c>
      <c r="K98" s="124">
        <v>2953.6163389437029</v>
      </c>
      <c r="L98" s="32">
        <v>1.0109875474181683E-2</v>
      </c>
      <c r="M98" s="41">
        <v>3.398252448193423E-3</v>
      </c>
      <c r="N98" s="41">
        <v>2.5012562685359331E-4</v>
      </c>
      <c r="O98" s="18"/>
      <c r="P98" s="18"/>
      <c r="Q98" s="18"/>
      <c r="R98" s="18"/>
      <c r="S98" s="18"/>
    </row>
    <row r="99" spans="2:19" x14ac:dyDescent="0.2">
      <c r="B99" s="23" t="s">
        <v>2348</v>
      </c>
      <c r="C99" s="32" t="s">
        <v>2349</v>
      </c>
      <c r="D99" s="32" t="s">
        <v>1941</v>
      </c>
      <c r="E99" s="32" t="s">
        <v>238</v>
      </c>
      <c r="F99" s="88" t="s">
        <v>2152</v>
      </c>
      <c r="G99" s="94" t="s">
        <v>127</v>
      </c>
      <c r="H99" s="103">
        <v>55456.013208804805</v>
      </c>
      <c r="I99" s="100">
        <v>1850</v>
      </c>
      <c r="J99" s="124">
        <v>27.288937279999999</v>
      </c>
      <c r="K99" s="124">
        <v>3572.9245977997934</v>
      </c>
      <c r="L99" s="32">
        <v>6.2530818835786397E-3</v>
      </c>
      <c r="M99" s="41">
        <v>4.1107911009274365E-3</v>
      </c>
      <c r="N99" s="41">
        <v>3.0257145890684689E-4</v>
      </c>
      <c r="O99" s="18"/>
      <c r="P99" s="18"/>
      <c r="Q99" s="18"/>
      <c r="R99" s="18"/>
      <c r="S99" s="18"/>
    </row>
    <row r="100" spans="2:19" x14ac:dyDescent="0.2">
      <c r="B100" s="23" t="s">
        <v>2336</v>
      </c>
      <c r="C100" s="32" t="s">
        <v>2337</v>
      </c>
      <c r="D100" s="32" t="s">
        <v>1914</v>
      </c>
      <c r="E100" s="32" t="s">
        <v>238</v>
      </c>
      <c r="F100" s="88" t="s">
        <v>2152</v>
      </c>
      <c r="G100" s="94" t="s">
        <v>127</v>
      </c>
      <c r="H100" s="103">
        <v>42775.627003092915</v>
      </c>
      <c r="I100" s="100">
        <v>7268.0000000000009</v>
      </c>
      <c r="J100" s="124">
        <v>0</v>
      </c>
      <c r="K100" s="124">
        <v>10744.470963546524</v>
      </c>
      <c r="L100" s="32">
        <v>5.3815757429287467E-3</v>
      </c>
      <c r="M100" s="41">
        <v>1.2361938913661684E-2</v>
      </c>
      <c r="N100" s="41">
        <v>9.0989052963067667E-4</v>
      </c>
      <c r="O100" s="18"/>
      <c r="P100" s="18"/>
      <c r="Q100" s="18"/>
      <c r="R100" s="18"/>
      <c r="S100" s="18"/>
    </row>
    <row r="101" spans="2:19" x14ac:dyDescent="0.2">
      <c r="B101" s="23" t="s">
        <v>2344</v>
      </c>
      <c r="C101" s="32" t="s">
        <v>2345</v>
      </c>
      <c r="D101" s="32" t="s">
        <v>1991</v>
      </c>
      <c r="E101" s="32" t="s">
        <v>238</v>
      </c>
      <c r="F101" s="88" t="s">
        <v>2152</v>
      </c>
      <c r="G101" s="94" t="s">
        <v>128</v>
      </c>
      <c r="H101" s="103">
        <v>79643.493901821581</v>
      </c>
      <c r="I101" s="100">
        <v>4747</v>
      </c>
      <c r="J101" s="124">
        <v>0</v>
      </c>
      <c r="K101" s="124">
        <v>14662.220204900403</v>
      </c>
      <c r="L101" s="32">
        <v>1.041583077996968E-2</v>
      </c>
      <c r="M101" s="41">
        <v>1.6869464408865314E-2</v>
      </c>
      <c r="N101" s="41">
        <v>1.2416633032060285E-3</v>
      </c>
      <c r="O101" s="18"/>
      <c r="P101" s="18"/>
      <c r="Q101" s="18"/>
      <c r="R101" s="18"/>
      <c r="S101" s="18"/>
    </row>
    <row r="102" spans="2:19" x14ac:dyDescent="0.2">
      <c r="B102" s="23" t="s">
        <v>2314</v>
      </c>
      <c r="C102" s="32" t="s">
        <v>2315</v>
      </c>
      <c r="D102" s="32" t="s">
        <v>1941</v>
      </c>
      <c r="E102" s="32" t="s">
        <v>238</v>
      </c>
      <c r="F102" s="88" t="s">
        <v>2152</v>
      </c>
      <c r="G102" s="94" t="s">
        <v>127</v>
      </c>
      <c r="H102" s="103">
        <v>8619.6872671550955</v>
      </c>
      <c r="I102" s="100">
        <v>26432</v>
      </c>
      <c r="J102" s="124">
        <v>1.0936380189999999</v>
      </c>
      <c r="K102" s="124">
        <v>7875.0910699640917</v>
      </c>
      <c r="L102" s="32">
        <v>4.7282829638584231E-4</v>
      </c>
      <c r="M102" s="41">
        <v>9.0606038283978091E-3</v>
      </c>
      <c r="N102" s="41">
        <v>6.6689842700028742E-4</v>
      </c>
      <c r="O102" s="18"/>
      <c r="P102" s="18"/>
      <c r="Q102" s="18"/>
      <c r="R102" s="18"/>
      <c r="S102" s="18"/>
    </row>
    <row r="103" spans="2:19" x14ac:dyDescent="0.2">
      <c r="B103" s="23" t="s">
        <v>2316</v>
      </c>
      <c r="C103" s="32" t="s">
        <v>2317</v>
      </c>
      <c r="D103" s="32" t="s">
        <v>1911</v>
      </c>
      <c r="E103" s="32" t="s">
        <v>238</v>
      </c>
      <c r="F103" s="88" t="s">
        <v>2152</v>
      </c>
      <c r="G103" s="94" t="s">
        <v>127</v>
      </c>
      <c r="H103" s="103">
        <v>7063.5175157127578</v>
      </c>
      <c r="I103" s="100">
        <v>25110</v>
      </c>
      <c r="J103" s="124">
        <v>0</v>
      </c>
      <c r="K103" s="124">
        <v>6129.731801544378</v>
      </c>
      <c r="L103" s="32">
        <v>7.5801673177743544E-4</v>
      </c>
      <c r="M103" s="41">
        <v>7.0524989406094618E-3</v>
      </c>
      <c r="N103" s="41">
        <v>5.1909348857882137E-4</v>
      </c>
      <c r="O103" s="18"/>
      <c r="P103" s="18"/>
      <c r="Q103" s="18"/>
      <c r="R103" s="18"/>
      <c r="S103" s="18"/>
    </row>
    <row r="104" spans="2:19" x14ac:dyDescent="0.2">
      <c r="B104" s="23" t="s">
        <v>2330</v>
      </c>
      <c r="C104" s="32" t="s">
        <v>2331</v>
      </c>
      <c r="D104" s="32" t="s">
        <v>1941</v>
      </c>
      <c r="E104" s="32" t="s">
        <v>238</v>
      </c>
      <c r="F104" s="88" t="s">
        <v>2152</v>
      </c>
      <c r="G104" s="94" t="s">
        <v>127</v>
      </c>
      <c r="H104" s="103">
        <v>5342.6896620491461</v>
      </c>
      <c r="I104" s="100">
        <v>16013</v>
      </c>
      <c r="J104" s="124">
        <v>0</v>
      </c>
      <c r="K104" s="124">
        <v>2956.6940386010729</v>
      </c>
      <c r="L104" s="32">
        <v>2.3332743737391358E-3</v>
      </c>
      <c r="M104" s="41">
        <v>3.4017934634084195E-3</v>
      </c>
      <c r="N104" s="41">
        <v>2.5038626041859523E-4</v>
      </c>
      <c r="O104" s="18"/>
      <c r="P104" s="18"/>
      <c r="Q104" s="18"/>
      <c r="R104" s="18"/>
      <c r="S104" s="18"/>
    </row>
    <row r="105" spans="2:19" x14ac:dyDescent="0.2">
      <c r="B105" s="23" t="s">
        <v>2350</v>
      </c>
      <c r="C105" s="32" t="s">
        <v>2351</v>
      </c>
      <c r="D105" s="32" t="s">
        <v>1941</v>
      </c>
      <c r="E105" s="32" t="s">
        <v>238</v>
      </c>
      <c r="F105" s="88" t="s">
        <v>2152</v>
      </c>
      <c r="G105" s="94" t="s">
        <v>127</v>
      </c>
      <c r="H105" s="103">
        <v>52790.867029298963</v>
      </c>
      <c r="I105" s="100">
        <v>4868</v>
      </c>
      <c r="J105" s="124">
        <v>0</v>
      </c>
      <c r="K105" s="124">
        <v>8881.4341104404521</v>
      </c>
      <c r="L105" s="32">
        <v>1.3632161474574089E-3</v>
      </c>
      <c r="M105" s="41">
        <v>1.0218441309160197E-2</v>
      </c>
      <c r="N105" s="41">
        <v>7.521201196453519E-4</v>
      </c>
      <c r="O105" s="18"/>
      <c r="P105" s="18"/>
      <c r="Q105" s="18"/>
      <c r="R105" s="18"/>
      <c r="S105" s="18"/>
    </row>
    <row r="106" spans="2:19" x14ac:dyDescent="0.2">
      <c r="B106" s="23" t="s">
        <v>2350</v>
      </c>
      <c r="C106" s="32" t="s">
        <v>2351</v>
      </c>
      <c r="D106" s="32" t="s">
        <v>1941</v>
      </c>
      <c r="E106" s="32" t="s">
        <v>238</v>
      </c>
      <c r="F106" s="88" t="s">
        <v>2152</v>
      </c>
      <c r="G106" s="94" t="s">
        <v>127</v>
      </c>
      <c r="H106" s="103">
        <v>2020.5549149449355</v>
      </c>
      <c r="I106" s="100">
        <v>4868</v>
      </c>
      <c r="J106" s="124">
        <v>0</v>
      </c>
      <c r="K106" s="124">
        <v>339.93427942489927</v>
      </c>
      <c r="L106" s="32">
        <v>5.2176697256149339E-5</v>
      </c>
      <c r="M106" s="41">
        <v>3.911078368741883E-4</v>
      </c>
      <c r="N106" s="41">
        <v>2.8787176455214658E-5</v>
      </c>
      <c r="O106" s="18"/>
      <c r="P106" s="18"/>
      <c r="Q106" s="18"/>
      <c r="R106" s="18"/>
      <c r="S106" s="18"/>
    </row>
    <row r="107" spans="2:19" x14ac:dyDescent="0.2">
      <c r="B107" s="23" t="s">
        <v>2340</v>
      </c>
      <c r="C107" s="32" t="s">
        <v>2341</v>
      </c>
      <c r="D107" s="32" t="s">
        <v>1974</v>
      </c>
      <c r="E107" s="32" t="s">
        <v>238</v>
      </c>
      <c r="F107" s="88" t="s">
        <v>2152</v>
      </c>
      <c r="G107" s="94" t="s">
        <v>128</v>
      </c>
      <c r="H107" s="103">
        <v>67283.862227183825</v>
      </c>
      <c r="I107" s="100">
        <v>4482.6000000000004</v>
      </c>
      <c r="J107" s="124">
        <v>0</v>
      </c>
      <c r="K107" s="124">
        <v>11696.908744108481</v>
      </c>
      <c r="L107" s="32">
        <v>7.6037969142407876E-3</v>
      </c>
      <c r="M107" s="41">
        <v>1.3457756260305999E-2</v>
      </c>
      <c r="N107" s="41">
        <v>9.9054728039448849E-4</v>
      </c>
      <c r="O107" s="18"/>
      <c r="P107" s="18"/>
      <c r="Q107" s="18"/>
      <c r="R107" s="18"/>
      <c r="S107" s="18"/>
    </row>
    <row r="108" spans="2:19" x14ac:dyDescent="0.2">
      <c r="B108" s="23" t="s">
        <v>2342</v>
      </c>
      <c r="C108" s="32" t="s">
        <v>2343</v>
      </c>
      <c r="D108" s="32" t="s">
        <v>1974</v>
      </c>
      <c r="E108" s="32" t="s">
        <v>238</v>
      </c>
      <c r="F108" s="88" t="s">
        <v>2152</v>
      </c>
      <c r="G108" s="94" t="s">
        <v>128</v>
      </c>
      <c r="H108" s="103">
        <v>58032.871412535598</v>
      </c>
      <c r="I108" s="100">
        <v>5964.4</v>
      </c>
      <c r="J108" s="124">
        <v>0</v>
      </c>
      <c r="K108" s="124">
        <v>13423.662457253957</v>
      </c>
      <c r="L108" s="32">
        <v>1.0049149113567185E-2</v>
      </c>
      <c r="M108" s="41">
        <v>1.5444454720682961E-2</v>
      </c>
      <c r="N108" s="41">
        <v>1.1367766160152225E-3</v>
      </c>
      <c r="O108" s="18"/>
      <c r="P108" s="18"/>
      <c r="Q108" s="18"/>
      <c r="R108" s="18"/>
      <c r="S108" s="18"/>
    </row>
    <row r="109" spans="2:19" x14ac:dyDescent="0.2">
      <c r="B109" s="23" t="s">
        <v>2346</v>
      </c>
      <c r="C109" s="32" t="s">
        <v>2347</v>
      </c>
      <c r="D109" s="32" t="s">
        <v>1974</v>
      </c>
      <c r="E109" s="32" t="s">
        <v>238</v>
      </c>
      <c r="F109" s="88" t="s">
        <v>2152</v>
      </c>
      <c r="G109" s="94" t="s">
        <v>128</v>
      </c>
      <c r="H109" s="103">
        <v>30522.571038545142</v>
      </c>
      <c r="I109" s="100">
        <v>1900</v>
      </c>
      <c r="J109" s="124">
        <v>0</v>
      </c>
      <c r="K109" s="124">
        <v>2249.0800648676454</v>
      </c>
      <c r="L109" s="32">
        <v>8.3682982043959428E-4</v>
      </c>
      <c r="M109" s="41">
        <v>2.5876555921791901E-3</v>
      </c>
      <c r="N109" s="41">
        <v>1.9046229994452323E-4</v>
      </c>
      <c r="O109" s="18"/>
      <c r="P109" s="18"/>
      <c r="Q109" s="18"/>
      <c r="R109" s="18"/>
      <c r="S109" s="18"/>
    </row>
    <row r="110" spans="2:19" x14ac:dyDescent="0.2">
      <c r="B110" s="23" t="s">
        <v>2318</v>
      </c>
      <c r="C110" s="32" t="s">
        <v>2319</v>
      </c>
      <c r="D110" s="32" t="s">
        <v>1911</v>
      </c>
      <c r="E110" s="32" t="s">
        <v>238</v>
      </c>
      <c r="F110" s="88" t="s">
        <v>2152</v>
      </c>
      <c r="G110" s="94" t="s">
        <v>127</v>
      </c>
      <c r="H110" s="103">
        <v>8473.8648463443224</v>
      </c>
      <c r="I110" s="100">
        <v>6418.0000000000009</v>
      </c>
      <c r="J110" s="124">
        <v>5.0634928090000004</v>
      </c>
      <c r="K110" s="124">
        <v>1884.6182364534041</v>
      </c>
      <c r="L110" s="32">
        <v>2.7130345062077814E-3</v>
      </c>
      <c r="M110" s="41">
        <v>2.1683278398399401E-3</v>
      </c>
      <c r="N110" s="41">
        <v>1.5959801940329332E-4</v>
      </c>
      <c r="O110" s="18"/>
      <c r="P110" s="18"/>
      <c r="Q110" s="18"/>
      <c r="R110" s="18"/>
      <c r="S110" s="18"/>
    </row>
    <row r="111" spans="2:19" x14ac:dyDescent="0.2">
      <c r="B111" s="23" t="s">
        <v>2310</v>
      </c>
      <c r="C111" s="32" t="s">
        <v>2311</v>
      </c>
      <c r="D111" s="32" t="s">
        <v>1941</v>
      </c>
      <c r="E111" s="32" t="s">
        <v>238</v>
      </c>
      <c r="F111" s="88" t="s">
        <v>2152</v>
      </c>
      <c r="G111" s="94" t="s">
        <v>127</v>
      </c>
      <c r="H111" s="103">
        <v>2763.6308088115379</v>
      </c>
      <c r="I111" s="100">
        <v>6004</v>
      </c>
      <c r="J111" s="124">
        <v>0</v>
      </c>
      <c r="K111" s="124">
        <v>573.44852883817055</v>
      </c>
      <c r="L111" s="32">
        <v>1.5318819112535525E-5</v>
      </c>
      <c r="M111" s="41">
        <v>6.5977521905710625E-4</v>
      </c>
      <c r="N111" s="41">
        <v>4.8562222131806879E-5</v>
      </c>
      <c r="O111" s="18"/>
      <c r="P111" s="18"/>
      <c r="Q111" s="18"/>
      <c r="R111" s="18"/>
      <c r="S111" s="18"/>
    </row>
    <row r="112" spans="2:19" x14ac:dyDescent="0.2">
      <c r="B112" s="23" t="s">
        <v>2320</v>
      </c>
      <c r="C112" s="32" t="s">
        <v>2321</v>
      </c>
      <c r="D112" s="32" t="s">
        <v>1941</v>
      </c>
      <c r="E112" s="32" t="s">
        <v>238</v>
      </c>
      <c r="F112" s="88" t="s">
        <v>2152</v>
      </c>
      <c r="G112" s="94" t="s">
        <v>127</v>
      </c>
      <c r="H112" s="103">
        <v>15486.834242489984</v>
      </c>
      <c r="I112" s="100">
        <v>5825</v>
      </c>
      <c r="J112" s="124">
        <v>0</v>
      </c>
      <c r="K112" s="124">
        <v>3117.68557475017</v>
      </c>
      <c r="L112" s="32">
        <v>4.3995207100243881E-4</v>
      </c>
      <c r="M112" s="41">
        <v>3.5870205948552694E-3</v>
      </c>
      <c r="N112" s="41">
        <v>2.6401975383020631E-4</v>
      </c>
      <c r="O112" s="18"/>
      <c r="P112" s="18"/>
      <c r="Q112" s="18"/>
      <c r="R112" s="18"/>
      <c r="S112" s="18"/>
    </row>
    <row r="113" spans="2:19" x14ac:dyDescent="0.2">
      <c r="B113" s="23" t="s">
        <v>2310</v>
      </c>
      <c r="C113" s="32" t="s">
        <v>2311</v>
      </c>
      <c r="D113" s="32" t="s">
        <v>1941</v>
      </c>
      <c r="E113" s="32" t="s">
        <v>238</v>
      </c>
      <c r="F113" s="88" t="s">
        <v>2152</v>
      </c>
      <c r="G113" s="94" t="s">
        <v>127</v>
      </c>
      <c r="H113" s="103">
        <v>18652.393107032698</v>
      </c>
      <c r="I113" s="100">
        <v>6004</v>
      </c>
      <c r="J113" s="124">
        <v>0</v>
      </c>
      <c r="K113" s="124">
        <v>3870.3387408289209</v>
      </c>
      <c r="L113" s="32">
        <v>1.0339030637215029E-4</v>
      </c>
      <c r="M113" s="41">
        <v>4.4529778387071752E-3</v>
      </c>
      <c r="N113" s="41">
        <v>3.277578373742984E-4</v>
      </c>
      <c r="O113" s="18"/>
      <c r="P113" s="18"/>
      <c r="Q113" s="18"/>
      <c r="R113" s="18"/>
      <c r="S113" s="18"/>
    </row>
    <row r="114" spans="2:19" x14ac:dyDescent="0.2">
      <c r="B114" s="23" t="s">
        <v>2322</v>
      </c>
      <c r="C114" s="32" t="s">
        <v>2323</v>
      </c>
      <c r="D114" s="32" t="s">
        <v>1941</v>
      </c>
      <c r="E114" s="32" t="s">
        <v>238</v>
      </c>
      <c r="F114" s="88" t="s">
        <v>2152</v>
      </c>
      <c r="G114" s="94" t="s">
        <v>127</v>
      </c>
      <c r="H114" s="103">
        <v>29404.005536309018</v>
      </c>
      <c r="I114" s="100">
        <v>10186</v>
      </c>
      <c r="J114" s="124">
        <v>0</v>
      </c>
      <c r="K114" s="124">
        <v>10351.037965335579</v>
      </c>
      <c r="L114" s="32">
        <v>1.4967721891018604E-4</v>
      </c>
      <c r="M114" s="41">
        <v>1.1909278684321078E-2</v>
      </c>
      <c r="N114" s="41">
        <v>8.7657283904070838E-4</v>
      </c>
      <c r="O114" s="18"/>
      <c r="P114" s="18"/>
      <c r="Q114" s="18"/>
      <c r="R114" s="18"/>
      <c r="S114" s="18"/>
    </row>
    <row r="115" spans="2:19" x14ac:dyDescent="0.2">
      <c r="B115" s="23" t="s">
        <v>2326</v>
      </c>
      <c r="C115" s="32" t="s">
        <v>2327</v>
      </c>
      <c r="D115" s="32" t="s">
        <v>1941</v>
      </c>
      <c r="E115" s="32" t="s">
        <v>238</v>
      </c>
      <c r="F115" s="88" t="s">
        <v>2152</v>
      </c>
      <c r="G115" s="94" t="s">
        <v>127</v>
      </c>
      <c r="H115" s="103">
        <v>310732.85266956099</v>
      </c>
      <c r="I115" s="100">
        <v>3078</v>
      </c>
      <c r="J115" s="124">
        <v>0</v>
      </c>
      <c r="K115" s="124">
        <v>33054.418500713684</v>
      </c>
      <c r="L115" s="32">
        <v>3.9289081523444686E-4</v>
      </c>
      <c r="M115" s="41">
        <v>3.8030416175796097E-2</v>
      </c>
      <c r="N115" s="41">
        <v>2.7991980673863714E-3</v>
      </c>
      <c r="O115" s="18"/>
      <c r="P115" s="18"/>
      <c r="Q115" s="18"/>
      <c r="R115" s="18"/>
      <c r="S115" s="18"/>
    </row>
    <row r="116" spans="2:19" x14ac:dyDescent="0.2">
      <c r="B116" s="23" t="s">
        <v>2328</v>
      </c>
      <c r="C116" s="32" t="s">
        <v>2329</v>
      </c>
      <c r="D116" s="32" t="s">
        <v>1941</v>
      </c>
      <c r="E116" s="32" t="s">
        <v>238</v>
      </c>
      <c r="F116" s="88" t="s">
        <v>2152</v>
      </c>
      <c r="G116" s="94" t="s">
        <v>127</v>
      </c>
      <c r="H116" s="103">
        <v>22566.036743813671</v>
      </c>
      <c r="I116" s="100">
        <v>9511</v>
      </c>
      <c r="J116" s="124">
        <v>0</v>
      </c>
      <c r="K116" s="124">
        <v>7417.4598879779796</v>
      </c>
      <c r="L116" s="32">
        <v>4.9871264993016178E-4</v>
      </c>
      <c r="M116" s="41">
        <v>8.5340810488312123E-3</v>
      </c>
      <c r="N116" s="41">
        <v>6.2814414305596071E-4</v>
      </c>
      <c r="O116" s="18"/>
      <c r="P116" s="18"/>
      <c r="Q116" s="18"/>
      <c r="R116" s="18"/>
      <c r="S116" s="18"/>
    </row>
    <row r="117" spans="2:19" x14ac:dyDescent="0.2">
      <c r="B117" s="23" t="s">
        <v>2324</v>
      </c>
      <c r="C117" s="32" t="s">
        <v>2325</v>
      </c>
      <c r="D117" s="32" t="s">
        <v>1941</v>
      </c>
      <c r="E117" s="32" t="s">
        <v>238</v>
      </c>
      <c r="F117" s="88" t="s">
        <v>2152</v>
      </c>
      <c r="G117" s="94" t="s">
        <v>127</v>
      </c>
      <c r="H117" s="103">
        <v>59278.286667398097</v>
      </c>
      <c r="I117" s="100">
        <v>8147</v>
      </c>
      <c r="J117" s="124">
        <v>0</v>
      </c>
      <c r="K117" s="124">
        <v>16690.413362631192</v>
      </c>
      <c r="L117" s="32">
        <v>4.5754519481493763E-4</v>
      </c>
      <c r="M117" s="41">
        <v>1.9202980875710391E-2</v>
      </c>
      <c r="N117" s="41">
        <v>1.4134198980855816E-3</v>
      </c>
      <c r="O117" s="18"/>
      <c r="P117" s="18"/>
      <c r="Q117" s="18"/>
      <c r="R117" s="18"/>
      <c r="S117" s="18"/>
    </row>
    <row r="118" spans="2:19" x14ac:dyDescent="0.2">
      <c r="B118" s="23" t="s">
        <v>2332</v>
      </c>
      <c r="C118" s="32" t="s">
        <v>2333</v>
      </c>
      <c r="D118" s="32" t="s">
        <v>1941</v>
      </c>
      <c r="E118" s="32" t="s">
        <v>238</v>
      </c>
      <c r="F118" s="88" t="s">
        <v>2152</v>
      </c>
      <c r="G118" s="94" t="s">
        <v>127</v>
      </c>
      <c r="H118" s="103">
        <v>921.21026960384586</v>
      </c>
      <c r="I118" s="100">
        <v>14290</v>
      </c>
      <c r="J118" s="124">
        <v>0</v>
      </c>
      <c r="K118" s="124">
        <v>454.95111465120237</v>
      </c>
      <c r="L118" s="32">
        <v>3.0106834853924384E-6</v>
      </c>
      <c r="M118" s="41">
        <v>5.2343925606962297E-4</v>
      </c>
      <c r="N118" s="41">
        <v>3.8527323687737081E-5</v>
      </c>
      <c r="O118" s="18"/>
      <c r="P118" s="18"/>
      <c r="Q118" s="18"/>
      <c r="R118" s="18"/>
      <c r="S118" s="18"/>
    </row>
    <row r="119" spans="2:19" x14ac:dyDescent="0.2">
      <c r="B119" s="23" t="s">
        <v>2312</v>
      </c>
      <c r="C119" s="32" t="s">
        <v>2313</v>
      </c>
      <c r="D119" s="32" t="s">
        <v>1941</v>
      </c>
      <c r="E119" s="32" t="s">
        <v>238</v>
      </c>
      <c r="F119" s="88" t="s">
        <v>2152</v>
      </c>
      <c r="G119" s="94" t="s">
        <v>127</v>
      </c>
      <c r="H119" s="103">
        <v>70820.449768819992</v>
      </c>
      <c r="I119" s="100">
        <v>1325</v>
      </c>
      <c r="J119" s="124">
        <v>0</v>
      </c>
      <c r="K119" s="124">
        <v>3243.0100358138052</v>
      </c>
      <c r="L119" s="32">
        <v>1.1612692846638113E-3</v>
      </c>
      <c r="M119" s="41">
        <v>3.731211345364297E-3</v>
      </c>
      <c r="N119" s="41">
        <v>2.7463279756588695E-4</v>
      </c>
      <c r="O119" s="18"/>
      <c r="P119" s="18"/>
      <c r="Q119" s="18"/>
      <c r="R119" s="18"/>
      <c r="S119" s="18"/>
    </row>
    <row r="120" spans="2:19" s="160" customFormat="1" x14ac:dyDescent="0.2">
      <c r="B120" s="132" t="s">
        <v>2245</v>
      </c>
      <c r="C120" s="167" t="s">
        <v>238</v>
      </c>
      <c r="D120" s="167" t="s">
        <v>238</v>
      </c>
      <c r="E120" s="167" t="s">
        <v>238</v>
      </c>
      <c r="F120" s="167" t="s">
        <v>238</v>
      </c>
      <c r="G120" s="168" t="s">
        <v>238</v>
      </c>
      <c r="H120" s="178" t="s">
        <v>238</v>
      </c>
      <c r="I120" s="164" t="s">
        <v>238</v>
      </c>
      <c r="J120" s="169" t="s">
        <v>238</v>
      </c>
      <c r="K120" s="169">
        <v>0</v>
      </c>
      <c r="L120" s="167" t="s">
        <v>238</v>
      </c>
      <c r="M120" s="163">
        <v>0</v>
      </c>
      <c r="N120" s="163">
        <v>0</v>
      </c>
    </row>
    <row r="121" spans="2:19" s="160" customFormat="1" x14ac:dyDescent="0.2">
      <c r="B121" s="114" t="s">
        <v>227</v>
      </c>
      <c r="C121" s="170"/>
      <c r="D121" s="170"/>
      <c r="E121" s="170"/>
      <c r="F121" s="170"/>
      <c r="G121" s="170"/>
      <c r="H121" s="171"/>
      <c r="I121" s="171"/>
      <c r="J121" s="171"/>
      <c r="K121" s="171"/>
      <c r="L121" s="172"/>
      <c r="M121" s="172"/>
      <c r="N121" s="173"/>
      <c r="O121" s="191"/>
      <c r="P121" s="191"/>
      <c r="Q121" s="191"/>
      <c r="R121" s="175"/>
      <c r="S121" s="175"/>
    </row>
    <row r="122" spans="2:19" s="160" customFormat="1" x14ac:dyDescent="0.2">
      <c r="B122" s="114" t="s">
        <v>228</v>
      </c>
      <c r="C122" s="170"/>
      <c r="D122" s="170"/>
      <c r="E122" s="170"/>
      <c r="F122" s="170"/>
      <c r="G122" s="170"/>
      <c r="H122" s="171"/>
      <c r="I122" s="171"/>
      <c r="J122" s="171"/>
      <c r="K122" s="171"/>
      <c r="L122" s="172"/>
      <c r="M122" s="172"/>
      <c r="N122" s="173"/>
      <c r="O122" s="191"/>
      <c r="P122" s="191"/>
      <c r="Q122" s="191"/>
      <c r="R122" s="175"/>
      <c r="S122" s="175"/>
    </row>
    <row r="123" spans="2:19" s="160" customFormat="1" x14ac:dyDescent="0.2">
      <c r="B123" s="114" t="s">
        <v>229</v>
      </c>
      <c r="C123" s="170"/>
      <c r="D123" s="170"/>
      <c r="E123" s="170"/>
      <c r="F123" s="170"/>
      <c r="G123" s="170"/>
      <c r="H123" s="171"/>
      <c r="I123" s="171"/>
      <c r="J123" s="171"/>
      <c r="K123" s="171"/>
      <c r="L123" s="172"/>
      <c r="M123" s="172"/>
      <c r="N123" s="173"/>
      <c r="O123" s="191"/>
      <c r="P123" s="191"/>
      <c r="Q123" s="191"/>
      <c r="R123" s="175"/>
      <c r="S123" s="175"/>
    </row>
    <row r="124" spans="2:19" s="160" customFormat="1" x14ac:dyDescent="0.2">
      <c r="B124" s="114" t="s">
        <v>230</v>
      </c>
      <c r="C124" s="170"/>
      <c r="D124" s="170"/>
      <c r="E124" s="170"/>
      <c r="F124" s="170"/>
      <c r="G124" s="170"/>
      <c r="H124" s="171"/>
      <c r="I124" s="171"/>
      <c r="J124" s="171"/>
      <c r="K124" s="171"/>
      <c r="L124" s="172"/>
      <c r="M124" s="172"/>
      <c r="N124" s="173"/>
      <c r="O124" s="191"/>
      <c r="P124" s="191"/>
      <c r="Q124" s="191"/>
      <c r="R124" s="175"/>
      <c r="S124" s="175"/>
    </row>
    <row r="125" spans="2:19" s="160" customFormat="1" x14ac:dyDescent="0.2">
      <c r="B125" s="114" t="s">
        <v>231</v>
      </c>
      <c r="C125" s="170"/>
      <c r="D125" s="170"/>
      <c r="E125" s="170"/>
      <c r="F125" s="170"/>
      <c r="G125" s="170"/>
      <c r="H125" s="171"/>
      <c r="I125" s="171"/>
      <c r="J125" s="171"/>
      <c r="K125" s="171"/>
      <c r="L125" s="172"/>
      <c r="M125" s="172"/>
      <c r="N125" s="173"/>
      <c r="O125" s="191"/>
      <c r="P125" s="191"/>
      <c r="Q125" s="191"/>
      <c r="R125" s="175"/>
      <c r="S125" s="175"/>
    </row>
  </sheetData>
  <mergeCells count="2">
    <mergeCell ref="B7:N7"/>
    <mergeCell ref="B6:N6"/>
  </mergeCells>
  <phoneticPr fontId="3" type="noConversion"/>
  <conditionalFormatting sqref="D11:F120">
    <cfRule type="expression" dxfId="119" priority="11" stopIfTrue="1">
      <formula>LEFT($ID11,3)="TIR"</formula>
    </cfRule>
  </conditionalFormatting>
  <conditionalFormatting sqref="N1:N5 N121:N55655 L11:L120 H11:I120">
    <cfRule type="expression" dxfId="118" priority="130" stopIfTrue="1">
      <formula>LEFT(#REF!,3)="TIR"</formula>
    </cfRule>
  </conditionalFormatting>
  <conditionalFormatting sqref="M11:N120 C11:G120">
    <cfRule type="expression" dxfId="117" priority="134" stopIfTrue="1">
      <formula>OR(LEFT(#REF!,3)="TIR",LEFT(#REF!,2)="IR")</formula>
    </cfRule>
  </conditionalFormatting>
  <conditionalFormatting sqref="B11:B120 J11:K120">
    <cfRule type="expression" dxfId="116" priority="136" stopIfTrue="1">
      <formula>#REF!&gt;0</formula>
    </cfRule>
    <cfRule type="expression" dxfId="115" priority="137" stopIfTrue="1">
      <formula>LEFT(#REF!,3)="TIR"</formula>
    </cfRule>
  </conditionalFormatting>
  <conditionalFormatting sqref="D11:E120">
    <cfRule type="expression" dxfId="114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50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3" bestFit="1" customWidth="1"/>
    <col min="8" max="8" width="9.85546875" style="93" bestFit="1" customWidth="1"/>
    <col min="9" max="9" width="12.7109375" style="93" bestFit="1" customWidth="1"/>
    <col min="10" max="10" width="13.5703125" style="45" bestFit="1" customWidth="1"/>
    <col min="11" max="11" width="11.42578125" style="95" bestFit="1" customWidth="1"/>
    <col min="12" max="12" width="10.85546875" style="97" bestFit="1" customWidth="1"/>
    <col min="13" max="13" width="14.42578125" style="97" bestFit="1" customWidth="1"/>
    <col min="14" max="14" width="15.28515625" style="97" bestFit="1" customWidth="1"/>
    <col min="15" max="15" width="20.57031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30"/>
      <c r="P6" s="16"/>
      <c r="Q6" s="16"/>
      <c r="R6" s="16"/>
      <c r="S6" s="16"/>
      <c r="T6" s="16"/>
    </row>
    <row r="7" spans="1:20" s="10" customFormat="1" x14ac:dyDescent="0.2">
      <c r="B7" s="231" t="s">
        <v>22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3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219</v>
      </c>
      <c r="C8" s="4" t="s">
        <v>69</v>
      </c>
      <c r="D8" s="4" t="s">
        <v>76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6</v>
      </c>
      <c r="J8" s="5" t="s">
        <v>67</v>
      </c>
      <c r="K8" s="5" t="s">
        <v>68</v>
      </c>
      <c r="L8" s="5" t="s">
        <v>7</v>
      </c>
      <c r="M8" s="38" t="s">
        <v>17</v>
      </c>
      <c r="N8" s="38" t="s">
        <v>75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136</v>
      </c>
      <c r="K9" s="81"/>
      <c r="L9" s="2" t="s">
        <v>138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60" customFormat="1" ht="12.75" customHeight="1" thickBot="1" x14ac:dyDescent="0.25">
      <c r="B11" s="141" t="s">
        <v>54</v>
      </c>
      <c r="C11" s="101"/>
      <c r="D11" s="101"/>
      <c r="E11" s="101"/>
      <c r="F11" s="101"/>
      <c r="G11" s="142"/>
      <c r="H11" s="142"/>
      <c r="I11" s="142"/>
      <c r="J11" s="145"/>
      <c r="K11" s="142"/>
      <c r="L11" s="144">
        <v>464276.48490980826</v>
      </c>
      <c r="M11" s="101"/>
      <c r="N11" s="101">
        <v>1</v>
      </c>
      <c r="O11" s="120">
        <v>3.9317038333752961E-2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64" t="s">
        <v>238</v>
      </c>
      <c r="I12" s="164" t="s">
        <v>238</v>
      </c>
      <c r="J12" s="176" t="s">
        <v>238</v>
      </c>
      <c r="K12" s="164" t="s">
        <v>238</v>
      </c>
      <c r="L12" s="165">
        <v>0</v>
      </c>
      <c r="M12" s="163" t="s">
        <v>238</v>
      </c>
      <c r="N12" s="163">
        <v>0</v>
      </c>
      <c r="O12" s="163">
        <v>0</v>
      </c>
    </row>
    <row r="13" spans="1:20" s="160" customFormat="1" x14ac:dyDescent="0.2">
      <c r="B13" s="132" t="s">
        <v>58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4" t="s">
        <v>238</v>
      </c>
      <c r="H13" s="168" t="s">
        <v>238</v>
      </c>
      <c r="I13" s="168" t="s">
        <v>238</v>
      </c>
      <c r="J13" s="178" t="s">
        <v>238</v>
      </c>
      <c r="K13" s="168" t="s">
        <v>238</v>
      </c>
      <c r="L13" s="169">
        <v>0</v>
      </c>
      <c r="M13" s="167" t="s">
        <v>238</v>
      </c>
      <c r="N13" s="167">
        <v>0</v>
      </c>
      <c r="O13" s="163">
        <v>0</v>
      </c>
    </row>
    <row r="14" spans="1:20" s="160" customFormat="1" x14ac:dyDescent="0.2">
      <c r="B14" s="132" t="s">
        <v>2352</v>
      </c>
      <c r="C14" s="167" t="s">
        <v>238</v>
      </c>
      <c r="D14" s="167" t="s">
        <v>238</v>
      </c>
      <c r="E14" s="167" t="s">
        <v>238</v>
      </c>
      <c r="F14" s="167" t="s">
        <v>238</v>
      </c>
      <c r="G14" s="164" t="s">
        <v>238</v>
      </c>
      <c r="H14" s="168" t="s">
        <v>238</v>
      </c>
      <c r="I14" s="168" t="s">
        <v>238</v>
      </c>
      <c r="J14" s="178" t="s">
        <v>238</v>
      </c>
      <c r="K14" s="168" t="s">
        <v>238</v>
      </c>
      <c r="L14" s="169">
        <v>0</v>
      </c>
      <c r="M14" s="167" t="s">
        <v>238</v>
      </c>
      <c r="N14" s="167">
        <v>0</v>
      </c>
      <c r="O14" s="163">
        <v>0</v>
      </c>
    </row>
    <row r="15" spans="1:20" s="160" customFormat="1" x14ac:dyDescent="0.2">
      <c r="B15" s="132" t="s">
        <v>59</v>
      </c>
      <c r="C15" s="167" t="s">
        <v>238</v>
      </c>
      <c r="D15" s="167" t="s">
        <v>238</v>
      </c>
      <c r="E15" s="167" t="s">
        <v>238</v>
      </c>
      <c r="F15" s="167" t="s">
        <v>238</v>
      </c>
      <c r="G15" s="164" t="s">
        <v>238</v>
      </c>
      <c r="H15" s="168" t="s">
        <v>238</v>
      </c>
      <c r="I15" s="168" t="s">
        <v>238</v>
      </c>
      <c r="J15" s="178" t="s">
        <v>238</v>
      </c>
      <c r="K15" s="168" t="s">
        <v>238</v>
      </c>
      <c r="L15" s="169">
        <v>0</v>
      </c>
      <c r="M15" s="167" t="s">
        <v>238</v>
      </c>
      <c r="N15" s="167">
        <v>0</v>
      </c>
      <c r="O15" s="163">
        <v>0</v>
      </c>
    </row>
    <row r="16" spans="1:20" s="160" customFormat="1" x14ac:dyDescent="0.2">
      <c r="B16" s="132" t="s">
        <v>144</v>
      </c>
      <c r="C16" s="167" t="s">
        <v>238</v>
      </c>
      <c r="D16" s="167" t="s">
        <v>238</v>
      </c>
      <c r="E16" s="167" t="s">
        <v>238</v>
      </c>
      <c r="F16" s="167" t="s">
        <v>238</v>
      </c>
      <c r="G16" s="164" t="s">
        <v>238</v>
      </c>
      <c r="H16" s="168" t="s">
        <v>238</v>
      </c>
      <c r="I16" s="168" t="s">
        <v>238</v>
      </c>
      <c r="J16" s="178" t="s">
        <v>238</v>
      </c>
      <c r="K16" s="168" t="s">
        <v>238</v>
      </c>
      <c r="L16" s="169">
        <v>0</v>
      </c>
      <c r="M16" s="167" t="s">
        <v>238</v>
      </c>
      <c r="N16" s="167">
        <v>0</v>
      </c>
      <c r="O16" s="163">
        <v>0</v>
      </c>
    </row>
    <row r="17" spans="2:17" s="160" customFormat="1" x14ac:dyDescent="0.2">
      <c r="B17" s="132" t="s">
        <v>544</v>
      </c>
      <c r="C17" s="167" t="s">
        <v>238</v>
      </c>
      <c r="D17" s="167" t="s">
        <v>238</v>
      </c>
      <c r="E17" s="167" t="s">
        <v>238</v>
      </c>
      <c r="F17" s="167" t="s">
        <v>238</v>
      </c>
      <c r="G17" s="164" t="s">
        <v>238</v>
      </c>
      <c r="H17" s="168" t="s">
        <v>238</v>
      </c>
      <c r="I17" s="168" t="s">
        <v>238</v>
      </c>
      <c r="J17" s="178" t="s">
        <v>238</v>
      </c>
      <c r="K17" s="168" t="s">
        <v>238</v>
      </c>
      <c r="L17" s="169">
        <v>464276.4849094082</v>
      </c>
      <c r="M17" s="167" t="s">
        <v>238</v>
      </c>
      <c r="N17" s="167">
        <v>0.99999999999913836</v>
      </c>
      <c r="O17" s="163">
        <v>0</v>
      </c>
    </row>
    <row r="18" spans="2:17" s="160" customFormat="1" x14ac:dyDescent="0.2">
      <c r="B18" s="132" t="s">
        <v>58</v>
      </c>
      <c r="C18" s="167" t="s">
        <v>238</v>
      </c>
      <c r="D18" s="167" t="s">
        <v>238</v>
      </c>
      <c r="E18" s="167" t="s">
        <v>238</v>
      </c>
      <c r="F18" s="167" t="s">
        <v>238</v>
      </c>
      <c r="G18" s="164" t="s">
        <v>238</v>
      </c>
      <c r="H18" s="168" t="s">
        <v>238</v>
      </c>
      <c r="I18" s="168" t="s">
        <v>238</v>
      </c>
      <c r="J18" s="178" t="s">
        <v>238</v>
      </c>
      <c r="K18" s="168" t="s">
        <v>238</v>
      </c>
      <c r="L18" s="169">
        <v>329020.24450078973</v>
      </c>
      <c r="M18" s="167" t="s">
        <v>238</v>
      </c>
      <c r="N18" s="167">
        <v>0.70867307562369053</v>
      </c>
      <c r="O18" s="163">
        <v>2.7862926480395251E-2</v>
      </c>
    </row>
    <row r="19" spans="2:17" x14ac:dyDescent="0.2">
      <c r="B19" s="23" t="s">
        <v>2353</v>
      </c>
      <c r="C19" s="32" t="s">
        <v>2354</v>
      </c>
      <c r="D19" s="32" t="s">
        <v>209</v>
      </c>
      <c r="E19" s="32" t="s">
        <v>238</v>
      </c>
      <c r="F19" s="32" t="s">
        <v>2195</v>
      </c>
      <c r="G19" s="100" t="s">
        <v>2355</v>
      </c>
      <c r="H19" s="94" t="s">
        <v>412</v>
      </c>
      <c r="I19" s="94" t="s">
        <v>127</v>
      </c>
      <c r="J19" s="103">
        <v>37688.498891867428</v>
      </c>
      <c r="K19" s="94">
        <v>25404.9</v>
      </c>
      <c r="L19" s="124">
        <v>33090.251171521944</v>
      </c>
      <c r="M19" s="32">
        <v>1.858674863040804E-3</v>
      </c>
      <c r="N19" s="32">
        <v>7.1272727021593943E-2</v>
      </c>
      <c r="O19" s="41">
        <v>2.8022325404591197E-3</v>
      </c>
      <c r="P19" s="18"/>
      <c r="Q19" s="18"/>
    </row>
    <row r="20" spans="2:17" x14ac:dyDescent="0.2">
      <c r="B20" s="23" t="s">
        <v>2366</v>
      </c>
      <c r="C20" s="32" t="s">
        <v>2367</v>
      </c>
      <c r="D20" s="32" t="s">
        <v>209</v>
      </c>
      <c r="E20" s="32" t="s">
        <v>238</v>
      </c>
      <c r="F20" s="32" t="s">
        <v>2195</v>
      </c>
      <c r="G20" s="100" t="s">
        <v>555</v>
      </c>
      <c r="H20" s="94" t="s">
        <v>412</v>
      </c>
      <c r="I20" s="94" t="s">
        <v>127</v>
      </c>
      <c r="J20" s="103">
        <v>90490.497015498928</v>
      </c>
      <c r="K20" s="94">
        <v>13844.999999999998</v>
      </c>
      <c r="L20" s="124">
        <v>43298.182580745924</v>
      </c>
      <c r="M20" s="32">
        <v>1.2261079731863478E-3</v>
      </c>
      <c r="N20" s="32">
        <v>9.325947789312905E-2</v>
      </c>
      <c r="O20" s="41">
        <v>3.6666864673099418E-3</v>
      </c>
      <c r="P20" s="18"/>
      <c r="Q20" s="18"/>
    </row>
    <row r="21" spans="2:17" x14ac:dyDescent="0.2">
      <c r="B21" s="23" t="s">
        <v>2368</v>
      </c>
      <c r="C21" s="32" t="s">
        <v>2369</v>
      </c>
      <c r="D21" s="32" t="s">
        <v>209</v>
      </c>
      <c r="E21" s="32" t="s">
        <v>238</v>
      </c>
      <c r="F21" s="32" t="s">
        <v>2195</v>
      </c>
      <c r="G21" s="100" t="s">
        <v>599</v>
      </c>
      <c r="H21" s="94" t="s">
        <v>238</v>
      </c>
      <c r="I21" s="94" t="s">
        <v>127</v>
      </c>
      <c r="J21" s="103">
        <v>8552.8094912816614</v>
      </c>
      <c r="K21" s="94">
        <v>131387.06</v>
      </c>
      <c r="L21" s="124">
        <v>38836.056745550537</v>
      </c>
      <c r="M21" s="32">
        <v>5.1405091020833332E-6</v>
      </c>
      <c r="N21" s="32">
        <v>8.3648554272773346E-2</v>
      </c>
      <c r="O21" s="41">
        <v>3.2888134149056452E-3</v>
      </c>
      <c r="P21" s="18"/>
      <c r="Q21" s="18"/>
    </row>
    <row r="22" spans="2:17" x14ac:dyDescent="0.2">
      <c r="B22" s="23" t="s">
        <v>2364</v>
      </c>
      <c r="C22" s="32" t="s">
        <v>2365</v>
      </c>
      <c r="D22" s="32" t="s">
        <v>209</v>
      </c>
      <c r="E22" s="32" t="s">
        <v>238</v>
      </c>
      <c r="F22" s="32" t="s">
        <v>2195</v>
      </c>
      <c r="G22" s="100" t="s">
        <v>1451</v>
      </c>
      <c r="H22" s="94" t="s">
        <v>358</v>
      </c>
      <c r="I22" s="94" t="s">
        <v>127</v>
      </c>
      <c r="J22" s="103">
        <v>10255.589841679173</v>
      </c>
      <c r="K22" s="94">
        <v>135328</v>
      </c>
      <c r="L22" s="124">
        <v>47964.734048724837</v>
      </c>
      <c r="M22" s="32">
        <v>2.3223608960195085E-3</v>
      </c>
      <c r="N22" s="32">
        <v>0.10331071162917632</v>
      </c>
      <c r="O22" s="41">
        <v>4.0618712094116233E-3</v>
      </c>
      <c r="P22" s="18"/>
      <c r="Q22" s="18"/>
    </row>
    <row r="23" spans="2:17" x14ac:dyDescent="0.2">
      <c r="B23" s="23" t="s">
        <v>2374</v>
      </c>
      <c r="C23" s="32" t="s">
        <v>2375</v>
      </c>
      <c r="D23" s="32" t="s">
        <v>209</v>
      </c>
      <c r="E23" s="32" t="s">
        <v>238</v>
      </c>
      <c r="F23" s="32" t="s">
        <v>2195</v>
      </c>
      <c r="G23" s="100" t="s">
        <v>599</v>
      </c>
      <c r="H23" s="94" t="s">
        <v>238</v>
      </c>
      <c r="I23" s="94" t="s">
        <v>127</v>
      </c>
      <c r="J23" s="103">
        <v>349579.08407705172</v>
      </c>
      <c r="K23" s="94">
        <v>1361.7</v>
      </c>
      <c r="L23" s="124">
        <v>16451.314747868626</v>
      </c>
      <c r="M23" s="32">
        <v>7.4587899936106117E-3</v>
      </c>
      <c r="N23" s="32">
        <v>3.5434305381769456E-2</v>
      </c>
      <c r="O23" s="41">
        <v>1.3931719430249386E-3</v>
      </c>
      <c r="P23" s="18"/>
      <c r="Q23" s="18"/>
    </row>
    <row r="24" spans="2:17" x14ac:dyDescent="0.2">
      <c r="B24" s="23" t="s">
        <v>2370</v>
      </c>
      <c r="C24" s="32" t="s">
        <v>2371</v>
      </c>
      <c r="D24" s="32" t="s">
        <v>209</v>
      </c>
      <c r="E24" s="32" t="s">
        <v>238</v>
      </c>
      <c r="F24" s="32" t="s">
        <v>2195</v>
      </c>
      <c r="G24" s="100" t="s">
        <v>599</v>
      </c>
      <c r="H24" s="94" t="s">
        <v>238</v>
      </c>
      <c r="I24" s="94" t="s">
        <v>128</v>
      </c>
      <c r="J24" s="103">
        <v>65976.508227697166</v>
      </c>
      <c r="K24" s="94">
        <v>10507</v>
      </c>
      <c r="L24" s="124">
        <v>26884.270797732366</v>
      </c>
      <c r="M24" s="32">
        <v>6.9710296260873965E-3</v>
      </c>
      <c r="N24" s="32">
        <v>5.7905734344816072E-2</v>
      </c>
      <c r="O24" s="41">
        <v>2.2766819769792493E-3</v>
      </c>
      <c r="P24" s="18"/>
      <c r="Q24" s="18"/>
    </row>
    <row r="25" spans="2:17" x14ac:dyDescent="0.2">
      <c r="B25" s="23" t="s">
        <v>2362</v>
      </c>
      <c r="C25" s="32" t="s">
        <v>2363</v>
      </c>
      <c r="D25" s="32" t="s">
        <v>209</v>
      </c>
      <c r="E25" s="32" t="s">
        <v>238</v>
      </c>
      <c r="F25" s="32" t="s">
        <v>2195</v>
      </c>
      <c r="G25" s="100" t="s">
        <v>599</v>
      </c>
      <c r="H25" s="94" t="s">
        <v>238</v>
      </c>
      <c r="I25" s="94" t="s">
        <v>127</v>
      </c>
      <c r="J25" s="103">
        <v>66460.033887890619</v>
      </c>
      <c r="K25" s="94">
        <v>14487</v>
      </c>
      <c r="L25" s="124">
        <v>33274.593017597224</v>
      </c>
      <c r="M25" s="32">
        <v>1.7045776989872393E-3</v>
      </c>
      <c r="N25" s="32">
        <v>7.1669778890613517E-2</v>
      </c>
      <c r="O25" s="41">
        <v>2.8178434440138509E-3</v>
      </c>
      <c r="P25" s="18"/>
      <c r="Q25" s="18"/>
    </row>
    <row r="26" spans="2:17" x14ac:dyDescent="0.2">
      <c r="B26" s="23" t="s">
        <v>2358</v>
      </c>
      <c r="C26" s="32" t="s">
        <v>2359</v>
      </c>
      <c r="D26" s="32" t="s">
        <v>209</v>
      </c>
      <c r="E26" s="32" t="s">
        <v>238</v>
      </c>
      <c r="F26" s="32" t="s">
        <v>2195</v>
      </c>
      <c r="G26" s="100" t="s">
        <v>599</v>
      </c>
      <c r="H26" s="94" t="s">
        <v>238</v>
      </c>
      <c r="I26" s="94" t="s">
        <v>127</v>
      </c>
      <c r="J26" s="103">
        <v>85727.840781838298</v>
      </c>
      <c r="K26" s="94">
        <v>5040</v>
      </c>
      <c r="L26" s="124">
        <v>14932.281054198469</v>
      </c>
      <c r="M26" s="32">
        <v>7.6027281916694813E-4</v>
      </c>
      <c r="N26" s="32">
        <v>3.21624754635145E-2</v>
      </c>
      <c r="O26" s="41">
        <v>1.2645332807073887E-3</v>
      </c>
      <c r="P26" s="18"/>
      <c r="Q26" s="18"/>
    </row>
    <row r="27" spans="2:17" x14ac:dyDescent="0.2">
      <c r="B27" s="23" t="s">
        <v>2360</v>
      </c>
      <c r="C27" s="32" t="s">
        <v>2361</v>
      </c>
      <c r="D27" s="32" t="s">
        <v>209</v>
      </c>
      <c r="E27" s="32" t="s">
        <v>238</v>
      </c>
      <c r="F27" s="32" t="s">
        <v>2195</v>
      </c>
      <c r="G27" s="100" t="s">
        <v>599</v>
      </c>
      <c r="H27" s="94" t="s">
        <v>238</v>
      </c>
      <c r="I27" s="94" t="s">
        <v>128</v>
      </c>
      <c r="J27" s="103">
        <v>134941.97160104176</v>
      </c>
      <c r="K27" s="94">
        <v>3847</v>
      </c>
      <c r="L27" s="124">
        <v>20132.580280503771</v>
      </c>
      <c r="M27" s="32">
        <v>1.0227914039075197E-3</v>
      </c>
      <c r="N27" s="32">
        <v>4.3363342609123931E-2</v>
      </c>
      <c r="O27" s="41">
        <v>1.7049182036425886E-3</v>
      </c>
      <c r="P27" s="18"/>
      <c r="Q27" s="18"/>
    </row>
    <row r="28" spans="2:17" x14ac:dyDescent="0.2">
      <c r="B28" s="23" t="s">
        <v>2372</v>
      </c>
      <c r="C28" s="32" t="s">
        <v>2373</v>
      </c>
      <c r="D28" s="32" t="s">
        <v>209</v>
      </c>
      <c r="E28" s="32" t="s">
        <v>238</v>
      </c>
      <c r="F28" s="32" t="s">
        <v>2195</v>
      </c>
      <c r="G28" s="100" t="s">
        <v>599</v>
      </c>
      <c r="H28" s="94" t="s">
        <v>238</v>
      </c>
      <c r="I28" s="94" t="s">
        <v>127</v>
      </c>
      <c r="J28" s="103">
        <v>93665.603817193696</v>
      </c>
      <c r="K28" s="94">
        <v>5198</v>
      </c>
      <c r="L28" s="124">
        <v>16826.358826659667</v>
      </c>
      <c r="M28" s="32">
        <v>1.2691293278442781E-3</v>
      </c>
      <c r="N28" s="32">
        <v>3.6242108686440164E-2</v>
      </c>
      <c r="O28" s="41">
        <v>1.4249323765208092E-3</v>
      </c>
      <c r="P28" s="18"/>
      <c r="Q28" s="18"/>
    </row>
    <row r="29" spans="2:17" x14ac:dyDescent="0.2">
      <c r="B29" s="23" t="s">
        <v>2356</v>
      </c>
      <c r="C29" s="32" t="s">
        <v>2357</v>
      </c>
      <c r="D29" s="32" t="s">
        <v>209</v>
      </c>
      <c r="E29" s="32" t="s">
        <v>238</v>
      </c>
      <c r="F29" s="32" t="s">
        <v>2195</v>
      </c>
      <c r="G29" s="100" t="s">
        <v>599</v>
      </c>
      <c r="H29" s="94" t="s">
        <v>238</v>
      </c>
      <c r="I29" s="94" t="s">
        <v>127</v>
      </c>
      <c r="J29" s="103">
        <v>97301.09928738646</v>
      </c>
      <c r="K29" s="94">
        <v>11101</v>
      </c>
      <c r="L29" s="124">
        <v>37329.621229586395</v>
      </c>
      <c r="M29" s="32">
        <v>1.715153719354074E-3</v>
      </c>
      <c r="N29" s="32">
        <v>8.0403859430524804E-2</v>
      </c>
      <c r="O29" s="41">
        <v>3.1612416234116283E-3</v>
      </c>
      <c r="P29" s="18"/>
      <c r="Q29" s="18"/>
    </row>
    <row r="30" spans="2:17" s="160" customFormat="1" x14ac:dyDescent="0.2">
      <c r="B30" s="132" t="s">
        <v>2352</v>
      </c>
      <c r="C30" s="167" t="s">
        <v>238</v>
      </c>
      <c r="D30" s="167" t="s">
        <v>238</v>
      </c>
      <c r="E30" s="167" t="s">
        <v>238</v>
      </c>
      <c r="F30" s="167" t="s">
        <v>238</v>
      </c>
      <c r="G30" s="164" t="s">
        <v>238</v>
      </c>
      <c r="H30" s="168" t="s">
        <v>238</v>
      </c>
      <c r="I30" s="168" t="s">
        <v>238</v>
      </c>
      <c r="J30" s="178" t="s">
        <v>238</v>
      </c>
      <c r="K30" s="168" t="s">
        <v>238</v>
      </c>
      <c r="L30" s="169">
        <v>0</v>
      </c>
      <c r="M30" s="167" t="s">
        <v>238</v>
      </c>
      <c r="N30" s="167">
        <v>0</v>
      </c>
      <c r="O30" s="163">
        <v>0</v>
      </c>
    </row>
    <row r="31" spans="2:17" s="160" customFormat="1" x14ac:dyDescent="0.2">
      <c r="B31" s="132" t="s">
        <v>59</v>
      </c>
      <c r="C31" s="167" t="s">
        <v>238</v>
      </c>
      <c r="D31" s="167" t="s">
        <v>238</v>
      </c>
      <c r="E31" s="167" t="s">
        <v>238</v>
      </c>
      <c r="F31" s="167" t="s">
        <v>238</v>
      </c>
      <c r="G31" s="164" t="s">
        <v>238</v>
      </c>
      <c r="H31" s="168" t="s">
        <v>238</v>
      </c>
      <c r="I31" s="168" t="s">
        <v>238</v>
      </c>
      <c r="J31" s="178" t="s">
        <v>238</v>
      </c>
      <c r="K31" s="168" t="s">
        <v>238</v>
      </c>
      <c r="L31" s="169">
        <v>91705.193993389155</v>
      </c>
      <c r="M31" s="167" t="s">
        <v>238</v>
      </c>
      <c r="N31" s="167">
        <v>0.19752280585824647</v>
      </c>
      <c r="O31" s="163">
        <v>0</v>
      </c>
    </row>
    <row r="32" spans="2:17" x14ac:dyDescent="0.2">
      <c r="B32" s="23" t="s">
        <v>2396</v>
      </c>
      <c r="C32" s="32" t="s">
        <v>2397</v>
      </c>
      <c r="D32" s="32" t="s">
        <v>209</v>
      </c>
      <c r="E32" s="32" t="s">
        <v>238</v>
      </c>
      <c r="F32" s="32" t="s">
        <v>2152</v>
      </c>
      <c r="G32" s="100" t="s">
        <v>599</v>
      </c>
      <c r="H32" s="94" t="s">
        <v>238</v>
      </c>
      <c r="I32" s="94" t="s">
        <v>127</v>
      </c>
      <c r="J32" s="103">
        <v>1151.5108213577714</v>
      </c>
      <c r="K32" s="94">
        <v>111370</v>
      </c>
      <c r="L32" s="124">
        <v>4432.1043511963362</v>
      </c>
      <c r="M32" s="32">
        <v>1.1203439723898579E-3</v>
      </c>
      <c r="N32" s="32">
        <v>9.5462606770991866E-3</v>
      </c>
      <c r="O32" s="41">
        <v>3.7533069698550718E-4</v>
      </c>
      <c r="P32" s="18"/>
      <c r="Q32" s="18"/>
    </row>
    <row r="33" spans="2:17" x14ac:dyDescent="0.2">
      <c r="B33" s="23" t="s">
        <v>2392</v>
      </c>
      <c r="C33" s="32" t="s">
        <v>2393</v>
      </c>
      <c r="D33" s="32" t="s">
        <v>209</v>
      </c>
      <c r="E33" s="32" t="s">
        <v>238</v>
      </c>
      <c r="F33" s="32" t="s">
        <v>2152</v>
      </c>
      <c r="G33" s="100" t="s">
        <v>599</v>
      </c>
      <c r="H33" s="94" t="s">
        <v>238</v>
      </c>
      <c r="I33" s="94" t="s">
        <v>127</v>
      </c>
      <c r="J33" s="103">
        <v>1761.5814188972474</v>
      </c>
      <c r="K33" s="94">
        <v>115373</v>
      </c>
      <c r="L33" s="124">
        <v>7023.9375257601523</v>
      </c>
      <c r="M33" s="32">
        <v>1.2785066360225712E-3</v>
      </c>
      <c r="N33" s="32">
        <v>1.5128781564555533E-2</v>
      </c>
      <c r="O33" s="41">
        <v>5.9481888471660499E-4</v>
      </c>
      <c r="P33" s="18"/>
      <c r="Q33" s="18"/>
    </row>
    <row r="34" spans="2:17" x14ac:dyDescent="0.2">
      <c r="B34" s="23" t="s">
        <v>2384</v>
      </c>
      <c r="C34" s="32" t="s">
        <v>2385</v>
      </c>
      <c r="D34" s="32" t="s">
        <v>209</v>
      </c>
      <c r="E34" s="32" t="s">
        <v>238</v>
      </c>
      <c r="F34" s="32" t="s">
        <v>2152</v>
      </c>
      <c r="G34" s="100" t="s">
        <v>599</v>
      </c>
      <c r="H34" s="94" t="s">
        <v>238</v>
      </c>
      <c r="I34" s="94" t="s">
        <v>128</v>
      </c>
      <c r="J34" s="103">
        <v>179781.76397815481</v>
      </c>
      <c r="K34" s="94">
        <v>3087</v>
      </c>
      <c r="L34" s="124">
        <v>21523.478895540571</v>
      </c>
      <c r="M34" s="32">
        <v>1.5943850596017272E-3</v>
      </c>
      <c r="N34" s="32">
        <v>4.6359183794806635E-2</v>
      </c>
      <c r="O34" s="41">
        <v>1.8227058063819118E-3</v>
      </c>
      <c r="P34" s="18"/>
      <c r="Q34" s="18"/>
    </row>
    <row r="35" spans="2:17" x14ac:dyDescent="0.2">
      <c r="B35" s="23" t="s">
        <v>2388</v>
      </c>
      <c r="C35" s="32" t="s">
        <v>2389</v>
      </c>
      <c r="D35" s="32" t="s">
        <v>209</v>
      </c>
      <c r="E35" s="32" t="s">
        <v>238</v>
      </c>
      <c r="F35" s="32" t="s">
        <v>2152</v>
      </c>
      <c r="G35" s="100" t="s">
        <v>599</v>
      </c>
      <c r="H35" s="94" t="s">
        <v>238</v>
      </c>
      <c r="I35" s="94" t="s">
        <v>318</v>
      </c>
      <c r="J35" s="103">
        <v>252419.41179607325</v>
      </c>
      <c r="K35" s="94">
        <v>107998</v>
      </c>
      <c r="L35" s="124">
        <v>8681.7443120377302</v>
      </c>
      <c r="M35" s="32">
        <v>4.5586462171857255E-3</v>
      </c>
      <c r="N35" s="32">
        <v>1.8699513316346988E-2</v>
      </c>
      <c r="O35" s="41">
        <v>7.3520948188133845E-4</v>
      </c>
      <c r="P35" s="18"/>
      <c r="Q35" s="18"/>
    </row>
    <row r="36" spans="2:17" x14ac:dyDescent="0.2">
      <c r="B36" s="23" t="s">
        <v>2378</v>
      </c>
      <c r="C36" s="32" t="s">
        <v>2379</v>
      </c>
      <c r="D36" s="32" t="s">
        <v>209</v>
      </c>
      <c r="E36" s="32" t="s">
        <v>238</v>
      </c>
      <c r="F36" s="32" t="s">
        <v>2152</v>
      </c>
      <c r="G36" s="100" t="s">
        <v>599</v>
      </c>
      <c r="H36" s="94" t="s">
        <v>238</v>
      </c>
      <c r="I36" s="94" t="s">
        <v>127</v>
      </c>
      <c r="J36" s="103">
        <v>118.74698495050966</v>
      </c>
      <c r="K36" s="94">
        <v>113593</v>
      </c>
      <c r="L36" s="124">
        <v>466.17383542590142</v>
      </c>
      <c r="M36" s="32" t="s">
        <v>238</v>
      </c>
      <c r="N36" s="32">
        <v>1.0040866823493369E-3</v>
      </c>
      <c r="O36" s="41">
        <v>3.9477714580339719E-5</v>
      </c>
      <c r="P36" s="18"/>
      <c r="Q36" s="18"/>
    </row>
    <row r="37" spans="2:17" x14ac:dyDescent="0.2">
      <c r="B37" s="23" t="s">
        <v>2394</v>
      </c>
      <c r="C37" s="32" t="s">
        <v>2395</v>
      </c>
      <c r="D37" s="32" t="s">
        <v>209</v>
      </c>
      <c r="E37" s="32" t="s">
        <v>238</v>
      </c>
      <c r="F37" s="32" t="s">
        <v>2152</v>
      </c>
      <c r="G37" s="100" t="s">
        <v>599</v>
      </c>
      <c r="H37" s="94" t="s">
        <v>238</v>
      </c>
      <c r="I37" s="94" t="s">
        <v>127</v>
      </c>
      <c r="J37" s="103">
        <v>94500.126655414409</v>
      </c>
      <c r="K37" s="94">
        <v>1667.6</v>
      </c>
      <c r="L37" s="124">
        <v>5446.255491208839</v>
      </c>
      <c r="M37" s="32">
        <v>7.9977269437172963E-4</v>
      </c>
      <c r="N37" s="32">
        <v>1.1730629631752391E-2</v>
      </c>
      <c r="O37" s="41">
        <v>4.6121361491066717E-4</v>
      </c>
      <c r="P37" s="18"/>
      <c r="Q37" s="18"/>
    </row>
    <row r="38" spans="2:17" x14ac:dyDescent="0.2">
      <c r="B38" s="23" t="s">
        <v>2376</v>
      </c>
      <c r="C38" s="32" t="s">
        <v>2377</v>
      </c>
      <c r="D38" s="32" t="s">
        <v>209</v>
      </c>
      <c r="E38" s="32" t="s">
        <v>238</v>
      </c>
      <c r="F38" s="32" t="s">
        <v>2152</v>
      </c>
      <c r="G38" s="100" t="s">
        <v>599</v>
      </c>
      <c r="H38" s="94" t="s">
        <v>238</v>
      </c>
      <c r="I38" s="94" t="s">
        <v>127</v>
      </c>
      <c r="J38" s="103">
        <v>352.78135387682153</v>
      </c>
      <c r="K38" s="94">
        <v>92092</v>
      </c>
      <c r="L38" s="124">
        <v>1122.797045599614</v>
      </c>
      <c r="M38" s="32">
        <v>9.1538792879115056E-3</v>
      </c>
      <c r="N38" s="32">
        <v>2.4183801723615872E-3</v>
      </c>
      <c r="O38" s="41">
        <v>9.5083545942328628E-5</v>
      </c>
      <c r="P38" s="18"/>
      <c r="Q38" s="18"/>
    </row>
    <row r="39" spans="2:17" x14ac:dyDescent="0.2">
      <c r="B39" s="23" t="s">
        <v>2380</v>
      </c>
      <c r="C39" s="32" t="s">
        <v>2381</v>
      </c>
      <c r="D39" s="32" t="s">
        <v>209</v>
      </c>
      <c r="E39" s="32" t="s">
        <v>238</v>
      </c>
      <c r="F39" s="32" t="s">
        <v>2152</v>
      </c>
      <c r="G39" s="100" t="s">
        <v>599</v>
      </c>
      <c r="H39" s="94" t="s">
        <v>238</v>
      </c>
      <c r="I39" s="94" t="s">
        <v>128</v>
      </c>
      <c r="J39" s="103">
        <v>2180117.9379473152</v>
      </c>
      <c r="K39" s="94">
        <v>108.3</v>
      </c>
      <c r="L39" s="124">
        <v>9156.6928578682655</v>
      </c>
      <c r="M39" s="32">
        <v>1.310319856306531E-3</v>
      </c>
      <c r="N39" s="32">
        <v>1.972249975065412E-2</v>
      </c>
      <c r="O39" s="41">
        <v>7.7543027873390132E-4</v>
      </c>
      <c r="P39" s="18"/>
      <c r="Q39" s="18"/>
    </row>
    <row r="40" spans="2:17" x14ac:dyDescent="0.2">
      <c r="B40" s="23" t="s">
        <v>2390</v>
      </c>
      <c r="C40" s="32" t="s">
        <v>2391</v>
      </c>
      <c r="D40" s="32" t="s">
        <v>209</v>
      </c>
      <c r="E40" s="32" t="s">
        <v>238</v>
      </c>
      <c r="F40" s="32" t="s">
        <v>2152</v>
      </c>
      <c r="G40" s="100" t="s">
        <v>599</v>
      </c>
      <c r="H40" s="94" t="s">
        <v>238</v>
      </c>
      <c r="I40" s="94" t="s">
        <v>318</v>
      </c>
      <c r="J40" s="103">
        <v>30827.894694473929</v>
      </c>
      <c r="K40" s="94">
        <v>1086900</v>
      </c>
      <c r="L40" s="124">
        <v>10670.922934506129</v>
      </c>
      <c r="M40" s="32">
        <v>2.2972826122933305E-3</v>
      </c>
      <c r="N40" s="32">
        <v>2.2983983211165848E-2</v>
      </c>
      <c r="O40" s="41">
        <v>9.0366214897574229E-4</v>
      </c>
      <c r="P40" s="18"/>
      <c r="Q40" s="18"/>
    </row>
    <row r="41" spans="2:17" x14ac:dyDescent="0.2">
      <c r="B41" s="23" t="s">
        <v>2382</v>
      </c>
      <c r="C41" s="32" t="s">
        <v>2383</v>
      </c>
      <c r="D41" s="32" t="s">
        <v>209</v>
      </c>
      <c r="E41" s="32" t="s">
        <v>238</v>
      </c>
      <c r="F41" s="32" t="s">
        <v>2152</v>
      </c>
      <c r="G41" s="100" t="s">
        <v>599</v>
      </c>
      <c r="H41" s="94" t="s">
        <v>238</v>
      </c>
      <c r="I41" s="94" t="s">
        <v>128</v>
      </c>
      <c r="J41" s="103">
        <v>228666.34082069548</v>
      </c>
      <c r="K41" s="94">
        <v>1241.79</v>
      </c>
      <c r="L41" s="124">
        <v>11012.365123242027</v>
      </c>
      <c r="M41" s="32">
        <v>1.843539371193748E-3</v>
      </c>
      <c r="N41" s="32">
        <v>2.371941177546677E-2</v>
      </c>
      <c r="O41" s="41">
        <v>9.3257702203009842E-4</v>
      </c>
      <c r="P41" s="18"/>
      <c r="Q41" s="18"/>
    </row>
    <row r="42" spans="2:17" x14ac:dyDescent="0.2">
      <c r="B42" s="23" t="s">
        <v>2386</v>
      </c>
      <c r="C42" s="32" t="s">
        <v>2387</v>
      </c>
      <c r="D42" s="32" t="s">
        <v>209</v>
      </c>
      <c r="E42" s="32" t="s">
        <v>238</v>
      </c>
      <c r="F42" s="32" t="s">
        <v>2152</v>
      </c>
      <c r="G42" s="100" t="s">
        <v>599</v>
      </c>
      <c r="H42" s="94" t="s">
        <v>238</v>
      </c>
      <c r="I42" s="94" t="s">
        <v>127</v>
      </c>
      <c r="J42" s="103">
        <v>18471.932210574945</v>
      </c>
      <c r="K42" s="94">
        <v>19061.580000000002</v>
      </c>
      <c r="L42" s="124">
        <v>12168.721620903603</v>
      </c>
      <c r="M42" s="32">
        <v>8.8961595008341127E-3</v>
      </c>
      <c r="N42" s="32">
        <v>2.6210075281472709E-2</v>
      </c>
      <c r="O42" s="41">
        <v>1.0305025345722135E-3</v>
      </c>
      <c r="P42" s="18"/>
      <c r="Q42" s="18"/>
    </row>
    <row r="43" spans="2:17" s="160" customFormat="1" x14ac:dyDescent="0.2">
      <c r="B43" s="132" t="s">
        <v>144</v>
      </c>
      <c r="C43" s="167" t="s">
        <v>238</v>
      </c>
      <c r="D43" s="167" t="s">
        <v>238</v>
      </c>
      <c r="E43" s="167" t="s">
        <v>238</v>
      </c>
      <c r="F43" s="167" t="s">
        <v>238</v>
      </c>
      <c r="G43" s="164" t="s">
        <v>238</v>
      </c>
      <c r="H43" s="168" t="s">
        <v>238</v>
      </c>
      <c r="I43" s="168" t="s">
        <v>238</v>
      </c>
      <c r="J43" s="178" t="s">
        <v>238</v>
      </c>
      <c r="K43" s="168" t="s">
        <v>238</v>
      </c>
      <c r="L43" s="169">
        <v>43551.046415129218</v>
      </c>
      <c r="M43" s="167" t="s">
        <v>238</v>
      </c>
      <c r="N43" s="167">
        <v>9.3804118516985779E-2</v>
      </c>
      <c r="O43" s="163">
        <v>3.6881001235962363E-3</v>
      </c>
    </row>
    <row r="44" spans="2:17" x14ac:dyDescent="0.2">
      <c r="B44" s="23" t="s">
        <v>2398</v>
      </c>
      <c r="C44" s="32" t="s">
        <v>2399</v>
      </c>
      <c r="D44" s="32" t="s">
        <v>209</v>
      </c>
      <c r="E44" s="32" t="s">
        <v>238</v>
      </c>
      <c r="F44" s="32" t="s">
        <v>209</v>
      </c>
      <c r="G44" s="100" t="s">
        <v>2400</v>
      </c>
      <c r="H44" s="94" t="s">
        <v>358</v>
      </c>
      <c r="I44" s="94" t="s">
        <v>127</v>
      </c>
      <c r="J44" s="103">
        <v>12130256.037444908</v>
      </c>
      <c r="K44" s="94">
        <v>100</v>
      </c>
      <c r="L44" s="124">
        <v>41922.16485849829</v>
      </c>
      <c r="M44" s="32" t="s">
        <v>238</v>
      </c>
      <c r="N44" s="32">
        <v>9.0295688498292587E-2</v>
      </c>
      <c r="O44" s="41">
        <v>3.5501590460599863E-3</v>
      </c>
      <c r="P44" s="18"/>
      <c r="Q44" s="18"/>
    </row>
    <row r="45" spans="2:17" x14ac:dyDescent="0.2">
      <c r="B45" s="23" t="s">
        <v>2401</v>
      </c>
      <c r="C45" s="32" t="s">
        <v>2402</v>
      </c>
      <c r="D45" s="32" t="s">
        <v>209</v>
      </c>
      <c r="E45" s="32" t="s">
        <v>238</v>
      </c>
      <c r="F45" s="32" t="s">
        <v>209</v>
      </c>
      <c r="G45" s="100" t="s">
        <v>2403</v>
      </c>
      <c r="H45" s="94" t="s">
        <v>412</v>
      </c>
      <c r="I45" s="94" t="s">
        <v>2</v>
      </c>
      <c r="J45" s="103">
        <v>357234.37188411754</v>
      </c>
      <c r="K45" s="94">
        <v>100</v>
      </c>
      <c r="L45" s="124">
        <v>1628.8815565309199</v>
      </c>
      <c r="M45" s="32" t="s">
        <v>238</v>
      </c>
      <c r="N45" s="32">
        <v>3.5084300184777852E-3</v>
      </c>
      <c r="O45" s="41">
        <v>1.379410775277807E-4</v>
      </c>
      <c r="P45" s="18"/>
      <c r="Q45" s="18"/>
    </row>
    <row r="46" spans="2:17" s="160" customFormat="1" x14ac:dyDescent="0.2">
      <c r="B46" s="114" t="s">
        <v>227</v>
      </c>
      <c r="C46" s="170"/>
      <c r="D46" s="170"/>
      <c r="E46" s="170"/>
      <c r="F46" s="170"/>
      <c r="G46" s="171"/>
      <c r="H46" s="171"/>
      <c r="I46" s="171"/>
      <c r="J46" s="172"/>
      <c r="K46" s="173"/>
      <c r="L46" s="174"/>
      <c r="M46" s="174"/>
      <c r="N46" s="174"/>
      <c r="O46" s="174"/>
      <c r="P46" s="175"/>
      <c r="Q46" s="175"/>
    </row>
    <row r="47" spans="2:17" s="160" customFormat="1" x14ac:dyDescent="0.2">
      <c r="B47" s="114" t="s">
        <v>228</v>
      </c>
      <c r="C47" s="170"/>
      <c r="D47" s="170"/>
      <c r="E47" s="170"/>
      <c r="F47" s="170"/>
      <c r="G47" s="171"/>
      <c r="H47" s="171"/>
      <c r="I47" s="171"/>
      <c r="J47" s="172"/>
      <c r="K47" s="173"/>
      <c r="L47" s="174"/>
      <c r="M47" s="174"/>
      <c r="N47" s="174"/>
      <c r="O47" s="174"/>
      <c r="P47" s="175"/>
      <c r="Q47" s="175"/>
    </row>
    <row r="48" spans="2:17" s="160" customFormat="1" x14ac:dyDescent="0.2">
      <c r="B48" s="114" t="s">
        <v>229</v>
      </c>
      <c r="C48" s="170"/>
      <c r="D48" s="170"/>
      <c r="E48" s="170"/>
      <c r="F48" s="170"/>
      <c r="G48" s="171"/>
      <c r="H48" s="171"/>
      <c r="I48" s="171"/>
      <c r="J48" s="172"/>
      <c r="K48" s="173"/>
      <c r="L48" s="174"/>
      <c r="M48" s="174"/>
      <c r="N48" s="174"/>
      <c r="O48" s="174"/>
      <c r="P48" s="175"/>
      <c r="Q48" s="175"/>
    </row>
    <row r="49" spans="2:17" s="160" customFormat="1" x14ac:dyDescent="0.2">
      <c r="B49" s="114" t="s">
        <v>230</v>
      </c>
      <c r="C49" s="170"/>
      <c r="D49" s="170"/>
      <c r="E49" s="170"/>
      <c r="F49" s="170"/>
      <c r="G49" s="171"/>
      <c r="H49" s="171"/>
      <c r="I49" s="171"/>
      <c r="J49" s="172"/>
      <c r="K49" s="173"/>
      <c r="L49" s="174"/>
      <c r="M49" s="174"/>
      <c r="N49" s="174"/>
      <c r="O49" s="174"/>
      <c r="P49" s="175"/>
      <c r="Q49" s="175"/>
    </row>
    <row r="50" spans="2:17" s="160" customFormat="1" x14ac:dyDescent="0.2">
      <c r="B50" s="114" t="s">
        <v>231</v>
      </c>
      <c r="C50" s="170"/>
      <c r="D50" s="170"/>
      <c r="E50" s="170"/>
      <c r="F50" s="170"/>
      <c r="G50" s="171"/>
      <c r="H50" s="171"/>
      <c r="I50" s="171"/>
      <c r="J50" s="172"/>
      <c r="K50" s="173"/>
      <c r="L50" s="174"/>
      <c r="M50" s="174"/>
      <c r="N50" s="174"/>
      <c r="O50" s="174"/>
      <c r="P50" s="175"/>
      <c r="Q50" s="175"/>
    </row>
  </sheetData>
  <mergeCells count="2">
    <mergeCell ref="B7:O7"/>
    <mergeCell ref="B6:O6"/>
  </mergeCells>
  <phoneticPr fontId="3" type="noConversion"/>
  <conditionalFormatting sqref="D11:E45">
    <cfRule type="expression" dxfId="113" priority="9" stopIfTrue="1">
      <formula>LEFT($IC11,3)="TIR"</formula>
    </cfRule>
  </conditionalFormatting>
  <conditionalFormatting sqref="K1:K5 K46:K55580 M11:M45 J11:K45">
    <cfRule type="expression" dxfId="112" priority="152" stopIfTrue="1">
      <formula>LEFT(#REF!,3)="TIR"</formula>
    </cfRule>
  </conditionalFormatting>
  <conditionalFormatting sqref="N11:O45 C11:I45">
    <cfRule type="expression" dxfId="111" priority="156" stopIfTrue="1">
      <formula>OR(LEFT(#REF!,3)="TIR",LEFT(#REF!,2)="IR")</formula>
    </cfRule>
  </conditionalFormatting>
  <conditionalFormatting sqref="B11:B45 L11:L45">
    <cfRule type="expression" dxfId="110" priority="158" stopIfTrue="1">
      <formula>#REF!&gt;0</formula>
    </cfRule>
    <cfRule type="expression" dxfId="109" priority="159" stopIfTrue="1">
      <formula>LEFT(#REF!,3)="TIR"</formula>
    </cfRule>
  </conditionalFormatting>
  <conditionalFormatting sqref="D11:E45">
    <cfRule type="expression" dxfId="108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0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0" style="12" bestFit="1" customWidth="1"/>
    <col min="6" max="6" width="9.42578125" style="93" bestFit="1" customWidth="1"/>
    <col min="7" max="7" width="9" style="93" bestFit="1" customWidth="1"/>
    <col min="8" max="8" width="8.5703125" style="93" bestFit="1" customWidth="1"/>
    <col min="9" max="9" width="8.42578125" style="45" bestFit="1" customWidth="1"/>
    <col min="10" max="10" width="11.7109375" style="95" bestFit="1" customWidth="1"/>
    <col min="11" max="11" width="13.85546875" style="95" bestFit="1" customWidth="1"/>
    <col min="12" max="12" width="12.425781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4" t="s">
        <v>11</v>
      </c>
      <c r="C6" s="235"/>
      <c r="D6" s="235"/>
      <c r="E6" s="235"/>
      <c r="F6" s="235"/>
      <c r="G6" s="235"/>
      <c r="H6" s="235"/>
      <c r="I6" s="235"/>
      <c r="J6" s="235"/>
      <c r="K6" s="236"/>
      <c r="L6" s="237"/>
      <c r="M6" s="17"/>
      <c r="N6" s="17"/>
      <c r="O6" s="16"/>
      <c r="P6" s="16"/>
      <c r="Q6" s="18"/>
    </row>
    <row r="7" spans="1:17" s="10" customFormat="1" x14ac:dyDescent="0.2">
      <c r="B7" s="231" t="s">
        <v>23</v>
      </c>
      <c r="C7" s="232"/>
      <c r="D7" s="232"/>
      <c r="E7" s="232"/>
      <c r="F7" s="232"/>
      <c r="G7" s="232"/>
      <c r="H7" s="232"/>
      <c r="I7" s="232"/>
      <c r="J7" s="232"/>
      <c r="K7" s="232"/>
      <c r="L7" s="233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55</v>
      </c>
      <c r="C11" s="104"/>
      <c r="D11" s="104"/>
      <c r="E11" s="104"/>
      <c r="F11" s="193"/>
      <c r="G11" s="198"/>
      <c r="H11" s="193"/>
      <c r="I11" s="196">
        <v>2.0000000000000002E-7</v>
      </c>
      <c r="J11" s="104"/>
      <c r="K11" s="122">
        <v>1</v>
      </c>
      <c r="L11" s="121">
        <v>0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76" t="s">
        <v>238</v>
      </c>
      <c r="H12" s="164" t="s">
        <v>238</v>
      </c>
      <c r="I12" s="165">
        <v>0</v>
      </c>
      <c r="J12" s="163" t="s">
        <v>238</v>
      </c>
      <c r="K12" s="163">
        <v>0</v>
      </c>
      <c r="L12" s="163">
        <v>0</v>
      </c>
    </row>
    <row r="13" spans="1:17" s="160" customFormat="1" x14ac:dyDescent="0.2">
      <c r="B13" s="132" t="s">
        <v>2404</v>
      </c>
      <c r="C13" s="163" t="s">
        <v>238</v>
      </c>
      <c r="D13" s="167" t="s">
        <v>238</v>
      </c>
      <c r="E13" s="167" t="s">
        <v>238</v>
      </c>
      <c r="F13" s="168" t="s">
        <v>238</v>
      </c>
      <c r="G13" s="178" t="s">
        <v>238</v>
      </c>
      <c r="H13" s="164" t="s">
        <v>238</v>
      </c>
      <c r="I13" s="169">
        <v>0</v>
      </c>
      <c r="J13" s="167" t="s">
        <v>238</v>
      </c>
      <c r="K13" s="163">
        <v>0</v>
      </c>
      <c r="L13" s="163">
        <v>0</v>
      </c>
    </row>
    <row r="14" spans="1:17" s="160" customFormat="1" x14ac:dyDescent="0.2">
      <c r="B14" s="132" t="s">
        <v>544</v>
      </c>
      <c r="C14" s="163" t="s">
        <v>238</v>
      </c>
      <c r="D14" s="167" t="s">
        <v>238</v>
      </c>
      <c r="E14" s="167" t="s">
        <v>238</v>
      </c>
      <c r="F14" s="168" t="s">
        <v>238</v>
      </c>
      <c r="G14" s="178" t="s">
        <v>238</v>
      </c>
      <c r="H14" s="164" t="s">
        <v>238</v>
      </c>
      <c r="I14" s="169">
        <v>0</v>
      </c>
      <c r="J14" s="167" t="s">
        <v>238</v>
      </c>
      <c r="K14" s="163">
        <v>0</v>
      </c>
      <c r="L14" s="163">
        <v>0</v>
      </c>
    </row>
    <row r="15" spans="1:17" s="160" customFormat="1" x14ac:dyDescent="0.2">
      <c r="B15" s="132" t="s">
        <v>2405</v>
      </c>
      <c r="C15" s="163" t="s">
        <v>238</v>
      </c>
      <c r="D15" s="167" t="s">
        <v>238</v>
      </c>
      <c r="E15" s="167" t="s">
        <v>238</v>
      </c>
      <c r="F15" s="168" t="s">
        <v>238</v>
      </c>
      <c r="G15" s="178" t="s">
        <v>238</v>
      </c>
      <c r="H15" s="164" t="s">
        <v>238</v>
      </c>
      <c r="I15" s="169">
        <v>0</v>
      </c>
      <c r="J15" s="167" t="s">
        <v>238</v>
      </c>
      <c r="K15" s="163">
        <v>0</v>
      </c>
      <c r="L15" s="163">
        <v>0</v>
      </c>
    </row>
    <row r="16" spans="1:17" s="160" customFormat="1" x14ac:dyDescent="0.2">
      <c r="B16" s="114" t="s">
        <v>227</v>
      </c>
      <c r="C16" s="170"/>
      <c r="D16" s="170"/>
      <c r="E16" s="170"/>
      <c r="F16" s="171"/>
      <c r="G16" s="171"/>
      <c r="H16" s="171"/>
      <c r="I16" s="172"/>
      <c r="J16" s="173"/>
      <c r="K16" s="173"/>
      <c r="L16" s="174"/>
      <c r="M16" s="191"/>
      <c r="N16" s="191"/>
      <c r="O16" s="175"/>
      <c r="P16" s="175"/>
    </row>
    <row r="17" spans="2:16" s="160" customFormat="1" x14ac:dyDescent="0.2">
      <c r="B17" s="114" t="s">
        <v>228</v>
      </c>
      <c r="C17" s="170"/>
      <c r="D17" s="170"/>
      <c r="E17" s="170"/>
      <c r="F17" s="171"/>
      <c r="G17" s="171"/>
      <c r="H17" s="171"/>
      <c r="I17" s="172"/>
      <c r="J17" s="173"/>
      <c r="K17" s="173"/>
      <c r="L17" s="174"/>
      <c r="M17" s="191"/>
      <c r="N17" s="191"/>
      <c r="O17" s="175"/>
      <c r="P17" s="175"/>
    </row>
    <row r="18" spans="2:16" s="160" customFormat="1" x14ac:dyDescent="0.2">
      <c r="B18" s="114" t="s">
        <v>229</v>
      </c>
      <c r="C18" s="170"/>
      <c r="D18" s="170"/>
      <c r="E18" s="170"/>
      <c r="F18" s="171"/>
      <c r="G18" s="171"/>
      <c r="H18" s="171"/>
      <c r="I18" s="172"/>
      <c r="J18" s="173"/>
      <c r="K18" s="173"/>
      <c r="L18" s="174"/>
      <c r="M18" s="191"/>
      <c r="N18" s="191"/>
      <c r="O18" s="175"/>
      <c r="P18" s="175"/>
    </row>
    <row r="19" spans="2:16" s="160" customFormat="1" x14ac:dyDescent="0.2">
      <c r="B19" s="114" t="s">
        <v>230</v>
      </c>
      <c r="C19" s="170"/>
      <c r="D19" s="170"/>
      <c r="E19" s="170"/>
      <c r="F19" s="171"/>
      <c r="G19" s="171"/>
      <c r="H19" s="171"/>
      <c r="I19" s="172"/>
      <c r="J19" s="173"/>
      <c r="K19" s="173"/>
      <c r="L19" s="174"/>
      <c r="M19" s="191"/>
      <c r="N19" s="191"/>
      <c r="O19" s="175"/>
      <c r="P19" s="175"/>
    </row>
    <row r="20" spans="2:16" s="160" customFormat="1" x14ac:dyDescent="0.2">
      <c r="B20" s="114" t="s">
        <v>231</v>
      </c>
      <c r="C20" s="170"/>
      <c r="D20" s="170"/>
      <c r="E20" s="170"/>
      <c r="F20" s="171"/>
      <c r="G20" s="171"/>
      <c r="H20" s="171"/>
      <c r="I20" s="172"/>
      <c r="J20" s="173"/>
      <c r="K20" s="173"/>
      <c r="L20" s="174"/>
      <c r="M20" s="191"/>
      <c r="N20" s="191"/>
      <c r="O20" s="175"/>
      <c r="P20" s="175"/>
    </row>
  </sheetData>
  <mergeCells count="2">
    <mergeCell ref="B7:L7"/>
    <mergeCell ref="B6:L6"/>
  </mergeCells>
  <phoneticPr fontId="3" type="noConversion"/>
  <conditionalFormatting sqref="K12:L15 C12:F15">
    <cfRule type="expression" dxfId="107" priority="168" stopIfTrue="1">
      <formula>OR(LEFT(#REF!,3)="TIR",LEFT(#REF!,2)="IR")</formula>
    </cfRule>
  </conditionalFormatting>
  <conditionalFormatting sqref="B11:B15 I11:I15">
    <cfRule type="expression" dxfId="106" priority="170" stopIfTrue="1">
      <formula>#REF!&gt;0</formula>
    </cfRule>
  </conditionalFormatting>
  <conditionalFormatting sqref="H12:H15">
    <cfRule type="expression" dxfId="105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61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2.5703125" style="13" bestFit="1" customWidth="1"/>
    <col min="3" max="3" width="16" style="12" bestFit="1" customWidth="1"/>
    <col min="4" max="4" width="10.140625" style="12" bestFit="1" customWidth="1"/>
    <col min="5" max="5" width="9.5703125" style="12" bestFit="1" customWidth="1"/>
    <col min="6" max="6" width="11.28515625" style="12" bestFit="1" customWidth="1"/>
    <col min="7" max="7" width="8.5703125" style="93" bestFit="1" customWidth="1"/>
    <col min="8" max="8" width="11.5703125" style="93" bestFit="1" customWidth="1"/>
    <col min="9" max="9" width="10" style="93" bestFit="1" customWidth="1"/>
    <col min="10" max="10" width="11.140625" style="45" bestFit="1" customWidth="1"/>
    <col min="11" max="11" width="13" style="95" bestFit="1" customWidth="1"/>
    <col min="12" max="12" width="18.140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34" t="s">
        <v>11</v>
      </c>
      <c r="C6" s="235"/>
      <c r="D6" s="235"/>
      <c r="E6" s="235"/>
      <c r="F6" s="235"/>
      <c r="G6" s="235"/>
      <c r="H6" s="235"/>
      <c r="I6" s="235"/>
      <c r="J6" s="235"/>
      <c r="K6" s="235"/>
      <c r="L6" s="237"/>
      <c r="M6" s="17"/>
      <c r="N6" s="17"/>
      <c r="O6" s="16"/>
      <c r="P6" s="16"/>
      <c r="Q6" s="18"/>
    </row>
    <row r="7" spans="1:17" s="10" customFormat="1" x14ac:dyDescent="0.2">
      <c r="B7" s="231" t="s">
        <v>24</v>
      </c>
      <c r="C7" s="232"/>
      <c r="D7" s="232"/>
      <c r="E7" s="232"/>
      <c r="F7" s="232"/>
      <c r="G7" s="232"/>
      <c r="H7" s="232"/>
      <c r="I7" s="232"/>
      <c r="J7" s="232"/>
      <c r="K7" s="232"/>
      <c r="L7" s="233"/>
    </row>
    <row r="8" spans="1:17" s="10" customFormat="1" ht="25.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5" t="s">
        <v>17</v>
      </c>
      <c r="K8" s="38" t="s">
        <v>75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81"/>
      <c r="I9" s="2" t="s">
        <v>138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56</v>
      </c>
      <c r="C11" s="104"/>
      <c r="D11" s="104"/>
      <c r="E11" s="104"/>
      <c r="F11" s="193"/>
      <c r="G11" s="194"/>
      <c r="H11" s="198"/>
      <c r="I11" s="149">
        <v>4806.59224702748</v>
      </c>
      <c r="J11" s="104"/>
      <c r="K11" s="104">
        <v>1</v>
      </c>
      <c r="L11" s="121">
        <v>4.0704403038592665E-4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76" t="s">
        <v>238</v>
      </c>
      <c r="H12" s="164" t="s">
        <v>238</v>
      </c>
      <c r="I12" s="165">
        <v>797.51381385949469</v>
      </c>
      <c r="J12" s="163" t="s">
        <v>238</v>
      </c>
      <c r="K12" s="163">
        <v>0.16592083806416025</v>
      </c>
      <c r="L12" s="163">
        <v>6.753708665064647E-5</v>
      </c>
    </row>
    <row r="13" spans="1:17" s="160" customFormat="1" x14ac:dyDescent="0.2">
      <c r="B13" s="132" t="s">
        <v>2406</v>
      </c>
      <c r="C13" s="163" t="s">
        <v>238</v>
      </c>
      <c r="D13" s="163" t="s">
        <v>238</v>
      </c>
      <c r="E13" s="163" t="s">
        <v>238</v>
      </c>
      <c r="F13" s="164" t="s">
        <v>238</v>
      </c>
      <c r="G13" s="178" t="s">
        <v>238</v>
      </c>
      <c r="H13" s="164" t="s">
        <v>238</v>
      </c>
      <c r="I13" s="169">
        <v>797.51381355949468</v>
      </c>
      <c r="J13" s="167" t="s">
        <v>238</v>
      </c>
      <c r="K13" s="163">
        <v>0.16592083800174598</v>
      </c>
      <c r="L13" s="167">
        <v>6.7537086625241106E-5</v>
      </c>
    </row>
    <row r="14" spans="1:17" x14ac:dyDescent="0.2">
      <c r="B14" s="23" t="s">
        <v>2407</v>
      </c>
      <c r="C14" s="41" t="s">
        <v>2408</v>
      </c>
      <c r="D14" s="41" t="s">
        <v>423</v>
      </c>
      <c r="E14" s="41" t="s">
        <v>209</v>
      </c>
      <c r="F14" s="100" t="s">
        <v>244</v>
      </c>
      <c r="G14" s="103">
        <v>588</v>
      </c>
      <c r="H14" s="100">
        <v>246600</v>
      </c>
      <c r="I14" s="133">
        <v>1450.008</v>
      </c>
      <c r="J14" s="32" t="s">
        <v>238</v>
      </c>
      <c r="K14" s="41">
        <v>0.30167069006045233</v>
      </c>
      <c r="L14" s="32">
        <v>1.2279325353151021E-4</v>
      </c>
      <c r="M14" s="18"/>
      <c r="N14" s="18"/>
      <c r="O14" s="18"/>
      <c r="P14" s="18"/>
    </row>
    <row r="15" spans="1:17" x14ac:dyDescent="0.2">
      <c r="B15" s="23" t="s">
        <v>2409</v>
      </c>
      <c r="C15" s="41" t="s">
        <v>2410</v>
      </c>
      <c r="D15" s="41" t="s">
        <v>423</v>
      </c>
      <c r="E15" s="41" t="s">
        <v>209</v>
      </c>
      <c r="F15" s="100" t="s">
        <v>244</v>
      </c>
      <c r="G15" s="103">
        <v>-588</v>
      </c>
      <c r="H15" s="100">
        <v>226700</v>
      </c>
      <c r="I15" s="133">
        <v>-1332.9960000000001</v>
      </c>
      <c r="J15" s="32" t="s">
        <v>238</v>
      </c>
      <c r="K15" s="41">
        <v>-0.27732662383091866</v>
      </c>
      <c r="L15" s="32">
        <v>-1.1288414669745892E-4</v>
      </c>
      <c r="M15" s="18"/>
      <c r="N15" s="18"/>
      <c r="O15" s="18"/>
      <c r="P15" s="18"/>
    </row>
    <row r="16" spans="1:17" x14ac:dyDescent="0.2">
      <c r="B16" s="23" t="s">
        <v>2411</v>
      </c>
      <c r="C16" s="41" t="s">
        <v>2412</v>
      </c>
      <c r="D16" s="41" t="s">
        <v>423</v>
      </c>
      <c r="E16" s="41" t="s">
        <v>209</v>
      </c>
      <c r="F16" s="100" t="s">
        <v>244</v>
      </c>
      <c r="G16" s="103">
        <v>47.354673623099181</v>
      </c>
      <c r="H16" s="100">
        <v>1437032</v>
      </c>
      <c r="I16" s="133">
        <v>680.50181345949466</v>
      </c>
      <c r="J16" s="32" t="s">
        <v>238</v>
      </c>
      <c r="K16" s="41">
        <v>0.14157677175140754</v>
      </c>
      <c r="L16" s="32">
        <v>5.7627979782721341E-5</v>
      </c>
      <c r="M16" s="18"/>
      <c r="N16" s="18"/>
      <c r="O16" s="18"/>
      <c r="P16" s="18"/>
    </row>
    <row r="17" spans="2:16" s="160" customFormat="1" x14ac:dyDescent="0.2">
      <c r="B17" s="132" t="s">
        <v>2413</v>
      </c>
      <c r="C17" s="163" t="s">
        <v>238</v>
      </c>
      <c r="D17" s="163" t="s">
        <v>238</v>
      </c>
      <c r="E17" s="163" t="s">
        <v>238</v>
      </c>
      <c r="F17" s="164" t="s">
        <v>238</v>
      </c>
      <c r="G17" s="178" t="s">
        <v>238</v>
      </c>
      <c r="H17" s="164" t="s">
        <v>238</v>
      </c>
      <c r="I17" s="169">
        <v>0</v>
      </c>
      <c r="J17" s="167" t="s">
        <v>238</v>
      </c>
      <c r="K17" s="163">
        <v>0</v>
      </c>
      <c r="L17" s="167">
        <v>0</v>
      </c>
    </row>
    <row r="18" spans="2:16" s="160" customFormat="1" x14ac:dyDescent="0.2">
      <c r="B18" s="132" t="s">
        <v>2414</v>
      </c>
      <c r="C18" s="163" t="s">
        <v>238</v>
      </c>
      <c r="D18" s="163" t="s">
        <v>238</v>
      </c>
      <c r="E18" s="163" t="s">
        <v>238</v>
      </c>
      <c r="F18" s="164" t="s">
        <v>238</v>
      </c>
      <c r="G18" s="178" t="s">
        <v>238</v>
      </c>
      <c r="H18" s="164" t="s">
        <v>238</v>
      </c>
      <c r="I18" s="169">
        <v>0</v>
      </c>
      <c r="J18" s="167" t="s">
        <v>238</v>
      </c>
      <c r="K18" s="163">
        <v>0</v>
      </c>
      <c r="L18" s="167">
        <v>0</v>
      </c>
    </row>
    <row r="19" spans="2:16" s="160" customFormat="1" x14ac:dyDescent="0.2">
      <c r="B19" s="132" t="s">
        <v>144</v>
      </c>
      <c r="C19" s="163" t="s">
        <v>238</v>
      </c>
      <c r="D19" s="163" t="s">
        <v>238</v>
      </c>
      <c r="E19" s="163" t="s">
        <v>238</v>
      </c>
      <c r="F19" s="164" t="s">
        <v>238</v>
      </c>
      <c r="G19" s="178" t="s">
        <v>238</v>
      </c>
      <c r="H19" s="164" t="s">
        <v>238</v>
      </c>
      <c r="I19" s="169">
        <v>0</v>
      </c>
      <c r="J19" s="167" t="s">
        <v>238</v>
      </c>
      <c r="K19" s="163">
        <v>0</v>
      </c>
      <c r="L19" s="167">
        <v>0</v>
      </c>
    </row>
    <row r="20" spans="2:16" s="160" customFormat="1" x14ac:dyDescent="0.2">
      <c r="B20" s="132" t="s">
        <v>544</v>
      </c>
      <c r="C20" s="163" t="s">
        <v>238</v>
      </c>
      <c r="D20" s="163" t="s">
        <v>238</v>
      </c>
      <c r="E20" s="163" t="s">
        <v>238</v>
      </c>
      <c r="F20" s="164" t="s">
        <v>238</v>
      </c>
      <c r="G20" s="178" t="s">
        <v>238</v>
      </c>
      <c r="H20" s="164" t="s">
        <v>238</v>
      </c>
      <c r="I20" s="169">
        <v>4009.0784331679847</v>
      </c>
      <c r="J20" s="167" t="s">
        <v>238</v>
      </c>
      <c r="K20" s="163">
        <v>0.83407916193583964</v>
      </c>
      <c r="L20" s="167">
        <v>3.3950694373528013E-4</v>
      </c>
    </row>
    <row r="21" spans="2:16" s="160" customFormat="1" x14ac:dyDescent="0.2">
      <c r="B21" s="132" t="s">
        <v>2406</v>
      </c>
      <c r="C21" s="163" t="s">
        <v>238</v>
      </c>
      <c r="D21" s="163" t="s">
        <v>238</v>
      </c>
      <c r="E21" s="163" t="s">
        <v>238</v>
      </c>
      <c r="F21" s="164" t="s">
        <v>238</v>
      </c>
      <c r="G21" s="178" t="s">
        <v>238</v>
      </c>
      <c r="H21" s="164" t="s">
        <v>238</v>
      </c>
      <c r="I21" s="169">
        <v>3871.9523782059091</v>
      </c>
      <c r="J21" s="167" t="s">
        <v>238</v>
      </c>
      <c r="K21" s="163">
        <v>0.80555041476639166</v>
      </c>
      <c r="L21" s="167">
        <v>3.2789448750556696E-4</v>
      </c>
    </row>
    <row r="22" spans="2:16" x14ac:dyDescent="0.2">
      <c r="B22" s="23" t="s">
        <v>2415</v>
      </c>
      <c r="C22" s="41" t="s">
        <v>2416</v>
      </c>
      <c r="D22" s="41" t="s">
        <v>209</v>
      </c>
      <c r="E22" s="41" t="s">
        <v>178</v>
      </c>
      <c r="F22" s="100" t="s">
        <v>127</v>
      </c>
      <c r="G22" s="103">
        <v>1.3818154044057689</v>
      </c>
      <c r="H22" s="100">
        <v>1300</v>
      </c>
      <c r="I22" s="133">
        <v>6.2082202489142384</v>
      </c>
      <c r="J22" s="32" t="s">
        <v>238</v>
      </c>
      <c r="K22" s="41">
        <v>1.2916053473754844E-3</v>
      </c>
      <c r="L22" s="32">
        <v>5.2574024626373206E-7</v>
      </c>
      <c r="M22" s="18"/>
      <c r="N22" s="18"/>
      <c r="O22" s="18"/>
      <c r="P22" s="18"/>
    </row>
    <row r="23" spans="2:16" x14ac:dyDescent="0.2">
      <c r="B23" s="23" t="s">
        <v>2417</v>
      </c>
      <c r="C23" s="41" t="s">
        <v>2418</v>
      </c>
      <c r="D23" s="41" t="s">
        <v>209</v>
      </c>
      <c r="E23" s="41" t="s">
        <v>178</v>
      </c>
      <c r="F23" s="100" t="s">
        <v>128</v>
      </c>
      <c r="G23" s="103">
        <v>507.60449066633618</v>
      </c>
      <c r="H23" s="100">
        <v>7440.0000000000009</v>
      </c>
      <c r="I23" s="133">
        <v>1464.6322507596838</v>
      </c>
      <c r="J23" s="32" t="s">
        <v>238</v>
      </c>
      <c r="K23" s="41">
        <v>0.30471323039008558</v>
      </c>
      <c r="L23" s="32">
        <v>1.2403170140989588E-4</v>
      </c>
      <c r="M23" s="18"/>
      <c r="N23" s="18"/>
      <c r="O23" s="18"/>
      <c r="P23" s="18"/>
    </row>
    <row r="24" spans="2:16" x14ac:dyDescent="0.2">
      <c r="B24" s="23" t="s">
        <v>2419</v>
      </c>
      <c r="C24" s="41" t="s">
        <v>2420</v>
      </c>
      <c r="D24" s="41" t="s">
        <v>209</v>
      </c>
      <c r="E24" s="41" t="s">
        <v>178</v>
      </c>
      <c r="F24" s="100" t="s">
        <v>128</v>
      </c>
      <c r="G24" s="103">
        <v>-507.60449066633618</v>
      </c>
      <c r="H24" s="100">
        <v>1710.0000000000002</v>
      </c>
      <c r="I24" s="133">
        <v>-336.62918651740142</v>
      </c>
      <c r="J24" s="32" t="s">
        <v>238</v>
      </c>
      <c r="K24" s="41">
        <v>-7.0034895663467517E-2</v>
      </c>
      <c r="L24" s="32">
        <v>-2.8507286198515675E-5</v>
      </c>
      <c r="M24" s="18"/>
      <c r="N24" s="18"/>
      <c r="O24" s="18"/>
      <c r="P24" s="18"/>
    </row>
    <row r="25" spans="2:16" x14ac:dyDescent="0.2">
      <c r="B25" s="23" t="s">
        <v>2421</v>
      </c>
      <c r="C25" s="41" t="s">
        <v>2422</v>
      </c>
      <c r="D25" s="41" t="s">
        <v>209</v>
      </c>
      <c r="E25" s="41" t="s">
        <v>178</v>
      </c>
      <c r="F25" s="100" t="s">
        <v>318</v>
      </c>
      <c r="G25" s="103">
        <v>86.986601423053159</v>
      </c>
      <c r="H25" s="100">
        <v>44000</v>
      </c>
      <c r="I25" s="133">
        <v>1218.9154100287885</v>
      </c>
      <c r="J25" s="32" t="s">
        <v>238</v>
      </c>
      <c r="K25" s="41">
        <v>0.25359243043397267</v>
      </c>
      <c r="L25" s="32">
        <v>1.0322328495920696E-4</v>
      </c>
      <c r="M25" s="18"/>
      <c r="N25" s="18"/>
      <c r="O25" s="18"/>
      <c r="P25" s="18"/>
    </row>
    <row r="26" spans="2:16" x14ac:dyDescent="0.2">
      <c r="B26" s="23" t="s">
        <v>2423</v>
      </c>
      <c r="C26" s="41" t="s">
        <v>2424</v>
      </c>
      <c r="D26" s="41" t="s">
        <v>209</v>
      </c>
      <c r="E26" s="41" t="s">
        <v>178</v>
      </c>
      <c r="F26" s="100" t="s">
        <v>318</v>
      </c>
      <c r="G26" s="103">
        <v>-43.49330071152658</v>
      </c>
      <c r="H26" s="100">
        <v>12000</v>
      </c>
      <c r="I26" s="133">
        <v>-166.21573773119843</v>
      </c>
      <c r="J26" s="32" t="s">
        <v>238</v>
      </c>
      <c r="K26" s="41">
        <v>-3.4580785968268996E-2</v>
      </c>
      <c r="L26" s="32">
        <v>-1.4075902494437313E-5</v>
      </c>
      <c r="M26" s="18"/>
      <c r="N26" s="18"/>
      <c r="O26" s="18"/>
      <c r="P26" s="18"/>
    </row>
    <row r="27" spans="2:16" x14ac:dyDescent="0.2">
      <c r="B27" s="23" t="s">
        <v>2425</v>
      </c>
      <c r="C27" s="41" t="s">
        <v>2426</v>
      </c>
      <c r="D27" s="41" t="s">
        <v>209</v>
      </c>
      <c r="E27" s="41" t="s">
        <v>178</v>
      </c>
      <c r="F27" s="100" t="s">
        <v>127</v>
      </c>
      <c r="G27" s="103">
        <v>-179.58966057578377</v>
      </c>
      <c r="H27" s="100">
        <v>710</v>
      </c>
      <c r="I27" s="133">
        <v>-440.66992553443515</v>
      </c>
      <c r="J27" s="32" t="s">
        <v>238</v>
      </c>
      <c r="K27" s="41">
        <v>-9.1680322125713226E-2</v>
      </c>
      <c r="L27" s="32">
        <v>-3.731792782513036E-5</v>
      </c>
      <c r="M27" s="18"/>
      <c r="N27" s="18"/>
      <c r="O27" s="18"/>
      <c r="P27" s="18"/>
    </row>
    <row r="28" spans="2:16" x14ac:dyDescent="0.2">
      <c r="B28" s="23" t="s">
        <v>2427</v>
      </c>
      <c r="C28" s="41" t="s">
        <v>2428</v>
      </c>
      <c r="D28" s="41" t="s">
        <v>209</v>
      </c>
      <c r="E28" s="41" t="s">
        <v>178</v>
      </c>
      <c r="F28" s="100" t="s">
        <v>127</v>
      </c>
      <c r="G28" s="103">
        <v>179.58966057578377</v>
      </c>
      <c r="H28" s="100">
        <v>3422.9999999999995</v>
      </c>
      <c r="I28" s="133">
        <v>2124.525570158577</v>
      </c>
      <c r="J28" s="32" t="s">
        <v>238</v>
      </c>
      <c r="K28" s="41">
        <v>0.44200245433184771</v>
      </c>
      <c r="L28" s="32">
        <v>1.7991446045170678E-4</v>
      </c>
      <c r="M28" s="18"/>
      <c r="N28" s="18"/>
      <c r="O28" s="18"/>
      <c r="P28" s="18"/>
    </row>
    <row r="29" spans="2:16" x14ac:dyDescent="0.2">
      <c r="B29" s="23" t="s">
        <v>2417</v>
      </c>
      <c r="C29" s="41" t="s">
        <v>2418</v>
      </c>
      <c r="D29" s="41" t="s">
        <v>209</v>
      </c>
      <c r="E29" s="41" t="s">
        <v>178</v>
      </c>
      <c r="F29" s="100" t="s">
        <v>128</v>
      </c>
      <c r="G29" s="103">
        <v>0.41096032168371571</v>
      </c>
      <c r="H29" s="100">
        <v>7440.0000000000009</v>
      </c>
      <c r="I29" s="133">
        <v>1.1857766929797597</v>
      </c>
      <c r="J29" s="32" t="s">
        <v>238</v>
      </c>
      <c r="K29" s="41">
        <v>2.4669799975503943E-4</v>
      </c>
      <c r="L29" s="32">
        <v>1.0041694810843761E-7</v>
      </c>
      <c r="M29" s="18"/>
      <c r="N29" s="18"/>
      <c r="O29" s="18"/>
      <c r="P29" s="18"/>
    </row>
    <row r="30" spans="2:16" s="160" customFormat="1" x14ac:dyDescent="0.2">
      <c r="B30" s="132" t="s">
        <v>2429</v>
      </c>
      <c r="C30" s="163" t="s">
        <v>238</v>
      </c>
      <c r="D30" s="163" t="s">
        <v>238</v>
      </c>
      <c r="E30" s="163" t="s">
        <v>238</v>
      </c>
      <c r="F30" s="164" t="s">
        <v>238</v>
      </c>
      <c r="G30" s="178" t="s">
        <v>238</v>
      </c>
      <c r="H30" s="164" t="s">
        <v>238</v>
      </c>
      <c r="I30" s="169">
        <v>0</v>
      </c>
      <c r="J30" s="167" t="s">
        <v>238</v>
      </c>
      <c r="K30" s="163">
        <v>0</v>
      </c>
      <c r="L30" s="167">
        <v>0</v>
      </c>
    </row>
    <row r="31" spans="2:16" s="160" customFormat="1" x14ac:dyDescent="0.2">
      <c r="B31" s="132" t="s">
        <v>2414</v>
      </c>
      <c r="C31" s="163" t="s">
        <v>238</v>
      </c>
      <c r="D31" s="163" t="s">
        <v>238</v>
      </c>
      <c r="E31" s="163" t="s">
        <v>238</v>
      </c>
      <c r="F31" s="164" t="s">
        <v>238</v>
      </c>
      <c r="G31" s="178" t="s">
        <v>238</v>
      </c>
      <c r="H31" s="164" t="s">
        <v>238</v>
      </c>
      <c r="I31" s="169">
        <v>0</v>
      </c>
      <c r="J31" s="167" t="s">
        <v>238</v>
      </c>
      <c r="K31" s="163">
        <v>0</v>
      </c>
      <c r="L31" s="167">
        <v>0</v>
      </c>
    </row>
    <row r="32" spans="2:16" s="160" customFormat="1" x14ac:dyDescent="0.2">
      <c r="B32" s="132" t="s">
        <v>2430</v>
      </c>
      <c r="C32" s="163" t="s">
        <v>238</v>
      </c>
      <c r="D32" s="163" t="s">
        <v>238</v>
      </c>
      <c r="E32" s="163" t="s">
        <v>238</v>
      </c>
      <c r="F32" s="164" t="s">
        <v>238</v>
      </c>
      <c r="G32" s="178" t="s">
        <v>238</v>
      </c>
      <c r="H32" s="164" t="s">
        <v>238</v>
      </c>
      <c r="I32" s="169">
        <v>137.1260546620756</v>
      </c>
      <c r="J32" s="167" t="s">
        <v>238</v>
      </c>
      <c r="K32" s="163">
        <v>2.8528747107033649E-2</v>
      </c>
      <c r="L32" s="167">
        <v>1.1612456204307824E-5</v>
      </c>
    </row>
    <row r="33" spans="2:16" x14ac:dyDescent="0.2">
      <c r="B33" s="23" t="s">
        <v>2431</v>
      </c>
      <c r="C33" s="41" t="s">
        <v>2432</v>
      </c>
      <c r="D33" s="41" t="s">
        <v>209</v>
      </c>
      <c r="E33" s="41" t="s">
        <v>178</v>
      </c>
      <c r="F33" s="100" t="s">
        <v>127</v>
      </c>
      <c r="G33" s="103">
        <v>10.133312965642306</v>
      </c>
      <c r="H33" s="100">
        <v>140</v>
      </c>
      <c r="I33" s="133">
        <v>49.029021452963732</v>
      </c>
      <c r="J33" s="32" t="s">
        <v>238</v>
      </c>
      <c r="K33" s="41">
        <v>1.0200370435683313E-2</v>
      </c>
      <c r="L33" s="32">
        <v>4.1519998935699868E-6</v>
      </c>
      <c r="M33" s="18"/>
      <c r="N33" s="18"/>
      <c r="O33" s="18"/>
      <c r="P33" s="18"/>
    </row>
    <row r="34" spans="2:16" x14ac:dyDescent="0.2">
      <c r="B34" s="23" t="s">
        <v>2433</v>
      </c>
      <c r="C34" s="41" t="s">
        <v>2434</v>
      </c>
      <c r="D34" s="41" t="s">
        <v>209</v>
      </c>
      <c r="E34" s="41" t="s">
        <v>178</v>
      </c>
      <c r="F34" s="100" t="s">
        <v>127</v>
      </c>
      <c r="G34" s="103">
        <v>-0.92121026960384589</v>
      </c>
      <c r="H34" s="100">
        <v>46</v>
      </c>
      <c r="I34" s="133">
        <v>-1.4645032382054102</v>
      </c>
      <c r="J34" s="32" t="s">
        <v>238</v>
      </c>
      <c r="K34" s="41">
        <v>-3.0468638963729376E-4</v>
      </c>
      <c r="L34" s="32">
        <v>-1.2402077604170089E-7</v>
      </c>
      <c r="M34" s="18"/>
      <c r="N34" s="18"/>
      <c r="O34" s="18"/>
      <c r="P34" s="18"/>
    </row>
    <row r="35" spans="2:16" x14ac:dyDescent="0.2">
      <c r="B35" s="23" t="s">
        <v>2435</v>
      </c>
      <c r="C35" s="41" t="s">
        <v>2436</v>
      </c>
      <c r="D35" s="41" t="s">
        <v>209</v>
      </c>
      <c r="E35" s="41" t="s">
        <v>178</v>
      </c>
      <c r="F35" s="100" t="s">
        <v>127</v>
      </c>
      <c r="G35" s="103">
        <v>-2.7636308088115378</v>
      </c>
      <c r="H35" s="100">
        <v>695</v>
      </c>
      <c r="I35" s="133">
        <v>-16.595050280751522</v>
      </c>
      <c r="J35" s="32" t="s">
        <v>238</v>
      </c>
      <c r="K35" s="41">
        <v>-3.45256044779216E-3</v>
      </c>
      <c r="L35" s="32">
        <v>-1.4053441198203607E-6</v>
      </c>
      <c r="M35" s="18"/>
      <c r="N35" s="18"/>
      <c r="O35" s="18"/>
      <c r="P35" s="18"/>
    </row>
    <row r="36" spans="2:16" x14ac:dyDescent="0.2">
      <c r="B36" s="23" t="s">
        <v>2437</v>
      </c>
      <c r="C36" s="41" t="s">
        <v>2438</v>
      </c>
      <c r="D36" s="41" t="s">
        <v>209</v>
      </c>
      <c r="E36" s="41" t="s">
        <v>178</v>
      </c>
      <c r="F36" s="100" t="s">
        <v>127</v>
      </c>
      <c r="G36" s="103">
        <v>10.593918100444228</v>
      </c>
      <c r="H36" s="100">
        <v>737.5</v>
      </c>
      <c r="I36" s="133">
        <v>13.500889227206123</v>
      </c>
      <c r="J36" s="32" t="s">
        <v>238</v>
      </c>
      <c r="K36" s="41">
        <v>2.8088276544688019E-3</v>
      </c>
      <c r="L36" s="32">
        <v>1.1433165291344299E-6</v>
      </c>
      <c r="M36" s="18"/>
      <c r="N36" s="18"/>
      <c r="O36" s="18"/>
      <c r="P36" s="18"/>
    </row>
    <row r="37" spans="2:16" x14ac:dyDescent="0.2">
      <c r="B37" s="23" t="s">
        <v>2439</v>
      </c>
      <c r="C37" s="41" t="s">
        <v>2440</v>
      </c>
      <c r="D37" s="41" t="s">
        <v>209</v>
      </c>
      <c r="E37" s="41" t="s">
        <v>178</v>
      </c>
      <c r="F37" s="100" t="s">
        <v>127</v>
      </c>
      <c r="G37" s="103">
        <v>4.6060513480192293</v>
      </c>
      <c r="H37" s="100">
        <v>275</v>
      </c>
      <c r="I37" s="133">
        <v>2.1887956005787377</v>
      </c>
      <c r="J37" s="32" t="s">
        <v>238</v>
      </c>
      <c r="K37" s="41">
        <v>4.5537368016443358E-4</v>
      </c>
      <c r="L37" s="32">
        <v>1.8535713810580295E-7</v>
      </c>
      <c r="M37" s="18"/>
      <c r="N37" s="18"/>
      <c r="O37" s="18"/>
      <c r="P37" s="18"/>
    </row>
    <row r="38" spans="2:16" x14ac:dyDescent="0.2">
      <c r="B38" s="23" t="s">
        <v>2441</v>
      </c>
      <c r="C38" s="41" t="s">
        <v>2442</v>
      </c>
      <c r="D38" s="41" t="s">
        <v>209</v>
      </c>
      <c r="E38" s="41" t="s">
        <v>178</v>
      </c>
      <c r="F38" s="100" t="s">
        <v>127</v>
      </c>
      <c r="G38" s="103">
        <v>18.424205392076917</v>
      </c>
      <c r="H38" s="100">
        <v>62.5</v>
      </c>
      <c r="I38" s="133">
        <v>1.9898141823443072</v>
      </c>
      <c r="J38" s="32" t="s">
        <v>238</v>
      </c>
      <c r="K38" s="41">
        <v>4.1397607287675783E-4</v>
      </c>
      <c r="L38" s="32">
        <v>1.685064891870936E-7</v>
      </c>
      <c r="M38" s="18"/>
      <c r="N38" s="18"/>
      <c r="O38" s="18"/>
      <c r="P38" s="18"/>
    </row>
    <row r="39" spans="2:16" x14ac:dyDescent="0.2">
      <c r="B39" s="23" t="s">
        <v>2443</v>
      </c>
      <c r="C39" s="41" t="s">
        <v>2444</v>
      </c>
      <c r="D39" s="41" t="s">
        <v>209</v>
      </c>
      <c r="E39" s="41" t="s">
        <v>178</v>
      </c>
      <c r="F39" s="100" t="s">
        <v>127</v>
      </c>
      <c r="G39" s="103">
        <v>2.7636308088115378</v>
      </c>
      <c r="H39" s="100">
        <v>409.99999999999994</v>
      </c>
      <c r="I39" s="133">
        <v>3.9159543108535964</v>
      </c>
      <c r="J39" s="32" t="s">
        <v>238</v>
      </c>
      <c r="K39" s="41">
        <v>8.1470491142145933E-4</v>
      </c>
      <c r="L39" s="32">
        <v>3.3162077072020018E-7</v>
      </c>
      <c r="M39" s="18"/>
      <c r="N39" s="18"/>
      <c r="O39" s="18"/>
      <c r="P39" s="18"/>
    </row>
    <row r="40" spans="2:16" x14ac:dyDescent="0.2">
      <c r="B40" s="23" t="s">
        <v>2445</v>
      </c>
      <c r="C40" s="41" t="s">
        <v>2446</v>
      </c>
      <c r="D40" s="41" t="s">
        <v>209</v>
      </c>
      <c r="E40" s="41" t="s">
        <v>178</v>
      </c>
      <c r="F40" s="100" t="s">
        <v>127</v>
      </c>
      <c r="G40" s="103">
        <v>9.2121026960384587</v>
      </c>
      <c r="H40" s="100">
        <v>430</v>
      </c>
      <c r="I40" s="133">
        <v>34.224803936322083</v>
      </c>
      <c r="J40" s="32" t="s">
        <v>238</v>
      </c>
      <c r="K40" s="41">
        <v>7.1203884534802343E-3</v>
      </c>
      <c r="L40" s="32">
        <v>2.8983116140180099E-6</v>
      </c>
      <c r="M40" s="18"/>
      <c r="N40" s="18"/>
      <c r="O40" s="18"/>
      <c r="P40" s="18"/>
    </row>
    <row r="41" spans="2:16" x14ac:dyDescent="0.2">
      <c r="B41" s="23" t="s">
        <v>2447</v>
      </c>
      <c r="C41" s="41" t="s">
        <v>2448</v>
      </c>
      <c r="D41" s="41" t="s">
        <v>209</v>
      </c>
      <c r="E41" s="41" t="s">
        <v>178</v>
      </c>
      <c r="F41" s="100" t="s">
        <v>127</v>
      </c>
      <c r="G41" s="103">
        <v>4.6060513480192293</v>
      </c>
      <c r="H41" s="100">
        <v>16</v>
      </c>
      <c r="I41" s="133">
        <v>2.5469621534007132</v>
      </c>
      <c r="J41" s="32" t="s">
        <v>238</v>
      </c>
      <c r="K41" s="41">
        <v>5.2988937328225002E-4</v>
      </c>
      <c r="L41" s="32">
        <v>2.156883061594798E-7</v>
      </c>
      <c r="M41" s="18"/>
      <c r="N41" s="18"/>
      <c r="O41" s="18"/>
      <c r="P41" s="18"/>
    </row>
    <row r="42" spans="2:16" x14ac:dyDescent="0.2">
      <c r="B42" s="23" t="s">
        <v>2449</v>
      </c>
      <c r="C42" s="41" t="s">
        <v>2450</v>
      </c>
      <c r="D42" s="41" t="s">
        <v>209</v>
      </c>
      <c r="E42" s="41" t="s">
        <v>178</v>
      </c>
      <c r="F42" s="100" t="s">
        <v>127</v>
      </c>
      <c r="G42" s="103">
        <v>4.6060513480192293</v>
      </c>
      <c r="H42" s="100">
        <v>26</v>
      </c>
      <c r="I42" s="133">
        <v>1.5520550622285596</v>
      </c>
      <c r="J42" s="32" t="s">
        <v>238</v>
      </c>
      <c r="K42" s="41">
        <v>3.2290133684387111E-4</v>
      </c>
      <c r="L42" s="32">
        <v>1.3143506156593301E-7</v>
      </c>
      <c r="M42" s="18"/>
      <c r="N42" s="18"/>
      <c r="O42" s="18"/>
      <c r="P42" s="18"/>
    </row>
    <row r="43" spans="2:16" x14ac:dyDescent="0.2">
      <c r="B43" s="23" t="s">
        <v>2451</v>
      </c>
      <c r="C43" s="41" t="s">
        <v>2452</v>
      </c>
      <c r="D43" s="41" t="s">
        <v>209</v>
      </c>
      <c r="E43" s="41" t="s">
        <v>178</v>
      </c>
      <c r="F43" s="100" t="s">
        <v>127</v>
      </c>
      <c r="G43" s="103">
        <v>-2.3030256740096147</v>
      </c>
      <c r="H43" s="100">
        <v>1250</v>
      </c>
      <c r="I43" s="133">
        <v>-37.309015918955758</v>
      </c>
      <c r="J43" s="32" t="s">
        <v>238</v>
      </c>
      <c r="K43" s="41">
        <v>-7.7620513664392087E-3</v>
      </c>
      <c r="L43" s="32">
        <v>-3.1594966722580047E-6</v>
      </c>
      <c r="M43" s="18"/>
      <c r="N43" s="18"/>
      <c r="O43" s="18"/>
      <c r="P43" s="18"/>
    </row>
    <row r="44" spans="2:16" x14ac:dyDescent="0.2">
      <c r="B44" s="23" t="s">
        <v>2453</v>
      </c>
      <c r="C44" s="41" t="s">
        <v>2454</v>
      </c>
      <c r="D44" s="41" t="s">
        <v>209</v>
      </c>
      <c r="E44" s="41" t="s">
        <v>178</v>
      </c>
      <c r="F44" s="100" t="s">
        <v>127</v>
      </c>
      <c r="G44" s="103">
        <v>1.3818154044057689</v>
      </c>
      <c r="H44" s="100">
        <v>187.5</v>
      </c>
      <c r="I44" s="133">
        <v>0.44770819102746912</v>
      </c>
      <c r="J44" s="32" t="s">
        <v>238</v>
      </c>
      <c r="K44" s="41">
        <v>9.3144616397270507E-5</v>
      </c>
      <c r="L44" s="32">
        <v>3.7913960067096059E-8</v>
      </c>
      <c r="M44" s="18"/>
      <c r="N44" s="18"/>
      <c r="O44" s="18"/>
      <c r="P44" s="18"/>
    </row>
    <row r="45" spans="2:16" x14ac:dyDescent="0.2">
      <c r="B45" s="23" t="s">
        <v>2455</v>
      </c>
      <c r="C45" s="41" t="s">
        <v>2456</v>
      </c>
      <c r="D45" s="41" t="s">
        <v>209</v>
      </c>
      <c r="E45" s="41" t="s">
        <v>178</v>
      </c>
      <c r="F45" s="100" t="s">
        <v>127</v>
      </c>
      <c r="G45" s="103">
        <v>-1.8424205392076918</v>
      </c>
      <c r="H45" s="100">
        <v>947.00000000000011</v>
      </c>
      <c r="I45" s="133">
        <v>-22.612248368160706</v>
      </c>
      <c r="J45" s="32" t="s">
        <v>238</v>
      </c>
      <c r="K45" s="41">
        <v>-4.7044240921714758E-3</v>
      </c>
      <c r="L45" s="32">
        <v>-1.9149077431221315E-6</v>
      </c>
      <c r="M45" s="18"/>
      <c r="N45" s="18"/>
      <c r="O45" s="18"/>
      <c r="P45" s="18"/>
    </row>
    <row r="46" spans="2:16" x14ac:dyDescent="0.2">
      <c r="B46" s="23" t="s">
        <v>2457</v>
      </c>
      <c r="C46" s="41" t="s">
        <v>2458</v>
      </c>
      <c r="D46" s="41" t="s">
        <v>209</v>
      </c>
      <c r="E46" s="41" t="s">
        <v>178</v>
      </c>
      <c r="F46" s="100" t="s">
        <v>127</v>
      </c>
      <c r="G46" s="103">
        <v>9.2121026960384587</v>
      </c>
      <c r="H46" s="100">
        <v>125</v>
      </c>
      <c r="I46" s="133">
        <v>1.9898141823443072</v>
      </c>
      <c r="J46" s="32" t="s">
        <v>238</v>
      </c>
      <c r="K46" s="41">
        <v>4.1397607287675783E-4</v>
      </c>
      <c r="L46" s="32">
        <v>1.685064891870936E-7</v>
      </c>
      <c r="M46" s="18"/>
      <c r="N46" s="18"/>
      <c r="O46" s="18"/>
      <c r="P46" s="18"/>
    </row>
    <row r="47" spans="2:16" x14ac:dyDescent="0.2">
      <c r="B47" s="23" t="s">
        <v>2459</v>
      </c>
      <c r="C47" s="41" t="s">
        <v>2460</v>
      </c>
      <c r="D47" s="41" t="s">
        <v>209</v>
      </c>
      <c r="E47" s="41" t="s">
        <v>178</v>
      </c>
      <c r="F47" s="100" t="s">
        <v>127</v>
      </c>
      <c r="G47" s="103">
        <v>5.5272616176230756</v>
      </c>
      <c r="H47" s="100">
        <v>550</v>
      </c>
      <c r="I47" s="133">
        <v>5.2531094413889701</v>
      </c>
      <c r="J47" s="32" t="s">
        <v>238</v>
      </c>
      <c r="K47" s="41">
        <v>1.0928968323946405E-3</v>
      </c>
      <c r="L47" s="32">
        <v>4.4485713145392702E-7</v>
      </c>
      <c r="M47" s="18"/>
      <c r="N47" s="18"/>
      <c r="O47" s="18"/>
      <c r="P47" s="18"/>
    </row>
    <row r="48" spans="2:16" x14ac:dyDescent="0.2">
      <c r="B48" s="23" t="s">
        <v>2461</v>
      </c>
      <c r="C48" s="41" t="s">
        <v>2462</v>
      </c>
      <c r="D48" s="41" t="s">
        <v>209</v>
      </c>
      <c r="E48" s="41" t="s">
        <v>178</v>
      </c>
      <c r="F48" s="100" t="s">
        <v>127</v>
      </c>
      <c r="G48" s="103">
        <v>2.3030256740096147</v>
      </c>
      <c r="H48" s="100">
        <v>66</v>
      </c>
      <c r="I48" s="133">
        <v>5.2531094413889701</v>
      </c>
      <c r="J48" s="32" t="s">
        <v>238</v>
      </c>
      <c r="K48" s="41">
        <v>1.0928968323946405E-3</v>
      </c>
      <c r="L48" s="32">
        <v>4.4485713145392702E-7</v>
      </c>
      <c r="M48" s="18"/>
      <c r="N48" s="18"/>
      <c r="O48" s="18"/>
      <c r="P48" s="18"/>
    </row>
    <row r="49" spans="2:16" x14ac:dyDescent="0.2">
      <c r="B49" s="23" t="s">
        <v>2463</v>
      </c>
      <c r="C49" s="41" t="s">
        <v>2464</v>
      </c>
      <c r="D49" s="41" t="s">
        <v>209</v>
      </c>
      <c r="E49" s="41" t="s">
        <v>178</v>
      </c>
      <c r="F49" s="100" t="s">
        <v>127</v>
      </c>
      <c r="G49" s="103">
        <v>-1.8424205392076918</v>
      </c>
      <c r="H49" s="100">
        <v>705</v>
      </c>
      <c r="I49" s="133">
        <v>-16.83382798263284</v>
      </c>
      <c r="J49" s="32" t="s">
        <v>238</v>
      </c>
      <c r="K49" s="41">
        <v>-3.5022375765373713E-3</v>
      </c>
      <c r="L49" s="32">
        <v>-1.4255648985228119E-6</v>
      </c>
      <c r="M49" s="18"/>
      <c r="N49" s="18"/>
      <c r="O49" s="18"/>
      <c r="P49" s="18"/>
    </row>
    <row r="50" spans="2:16" x14ac:dyDescent="0.2">
      <c r="B50" s="23" t="s">
        <v>2465</v>
      </c>
      <c r="C50" s="41" t="s">
        <v>2466</v>
      </c>
      <c r="D50" s="41" t="s">
        <v>209</v>
      </c>
      <c r="E50" s="41" t="s">
        <v>178</v>
      </c>
      <c r="F50" s="100" t="s">
        <v>127</v>
      </c>
      <c r="G50" s="103">
        <v>23.030256740096146</v>
      </c>
      <c r="H50" s="100">
        <v>54</v>
      </c>
      <c r="I50" s="133">
        <v>42.979986338637033</v>
      </c>
      <c r="J50" s="32" t="s">
        <v>238</v>
      </c>
      <c r="K50" s="41">
        <v>8.9418831741379691E-3</v>
      </c>
      <c r="L50" s="32">
        <v>3.6397401664412219E-6</v>
      </c>
      <c r="M50" s="18"/>
      <c r="N50" s="18"/>
      <c r="O50" s="18"/>
      <c r="P50" s="18"/>
    </row>
    <row r="51" spans="2:16" x14ac:dyDescent="0.2">
      <c r="B51" s="23" t="s">
        <v>2467</v>
      </c>
      <c r="C51" s="41" t="s">
        <v>2468</v>
      </c>
      <c r="D51" s="41" t="s">
        <v>209</v>
      </c>
      <c r="E51" s="41" t="s">
        <v>178</v>
      </c>
      <c r="F51" s="100" t="s">
        <v>127</v>
      </c>
      <c r="G51" s="103">
        <v>-1.8424205392076918</v>
      </c>
      <c r="H51" s="100">
        <v>437</v>
      </c>
      <c r="I51" s="133">
        <v>-27.825561525902792</v>
      </c>
      <c r="J51" s="32" t="s">
        <v>238</v>
      </c>
      <c r="K51" s="41">
        <v>-5.7890414031085812E-3</v>
      </c>
      <c r="L51" s="32">
        <v>-2.3563947447923172E-6</v>
      </c>
      <c r="M51" s="18"/>
      <c r="N51" s="18"/>
      <c r="O51" s="18"/>
      <c r="P51" s="18"/>
    </row>
    <row r="52" spans="2:16" x14ac:dyDescent="0.2">
      <c r="B52" s="23" t="s">
        <v>2469</v>
      </c>
      <c r="C52" s="41" t="s">
        <v>2470</v>
      </c>
      <c r="D52" s="41" t="s">
        <v>209</v>
      </c>
      <c r="E52" s="41" t="s">
        <v>178</v>
      </c>
      <c r="F52" s="100" t="s">
        <v>127</v>
      </c>
      <c r="G52" s="103">
        <v>4.6060513480192293</v>
      </c>
      <c r="H52" s="100">
        <v>266</v>
      </c>
      <c r="I52" s="133">
        <v>15.878717175107571</v>
      </c>
      <c r="J52" s="32" t="s">
        <v>238</v>
      </c>
      <c r="K52" s="41">
        <v>3.3035290615565272E-3</v>
      </c>
      <c r="L52" s="32">
        <v>1.344681783713007E-6</v>
      </c>
      <c r="M52" s="18"/>
      <c r="N52" s="18"/>
      <c r="O52" s="18"/>
      <c r="P52" s="18"/>
    </row>
    <row r="53" spans="2:16" x14ac:dyDescent="0.2">
      <c r="B53" s="23" t="s">
        <v>2471</v>
      </c>
      <c r="C53" s="41" t="s">
        <v>2472</v>
      </c>
      <c r="D53" s="41" t="s">
        <v>209</v>
      </c>
      <c r="E53" s="41" t="s">
        <v>178</v>
      </c>
      <c r="F53" s="100" t="s">
        <v>127</v>
      </c>
      <c r="G53" s="103">
        <v>9.2121026960384587</v>
      </c>
      <c r="H53" s="100">
        <v>2275</v>
      </c>
      <c r="I53" s="133">
        <v>36.214618118666387</v>
      </c>
      <c r="J53" s="32" t="s">
        <v>238</v>
      </c>
      <c r="K53" s="41">
        <v>7.5343645263569918E-3</v>
      </c>
      <c r="L53" s="32">
        <v>3.0668181032051032E-6</v>
      </c>
      <c r="M53" s="18"/>
      <c r="N53" s="18"/>
      <c r="O53" s="18"/>
      <c r="P53" s="18"/>
    </row>
    <row r="54" spans="2:16" x14ac:dyDescent="0.2">
      <c r="B54" s="23" t="s">
        <v>2473</v>
      </c>
      <c r="C54" s="41" t="s">
        <v>2474</v>
      </c>
      <c r="D54" s="41" t="s">
        <v>209</v>
      </c>
      <c r="E54" s="41" t="s">
        <v>178</v>
      </c>
      <c r="F54" s="100" t="s">
        <v>127</v>
      </c>
      <c r="G54" s="103">
        <v>9.2121026960384587</v>
      </c>
      <c r="H54" s="100">
        <v>900</v>
      </c>
      <c r="I54" s="133">
        <v>14.326662112879012</v>
      </c>
      <c r="J54" s="32" t="s">
        <v>238</v>
      </c>
      <c r="K54" s="41">
        <v>2.9806277247126562E-3</v>
      </c>
      <c r="L54" s="32">
        <v>1.2132467221470739E-6</v>
      </c>
      <c r="M54" s="18"/>
      <c r="N54" s="18"/>
      <c r="O54" s="18"/>
      <c r="P54" s="18"/>
    </row>
    <row r="55" spans="2:16" x14ac:dyDescent="0.2">
      <c r="B55" s="23" t="s">
        <v>2475</v>
      </c>
      <c r="C55" s="41" t="s">
        <v>2476</v>
      </c>
      <c r="D55" s="41" t="s">
        <v>209</v>
      </c>
      <c r="E55" s="41" t="s">
        <v>178</v>
      </c>
      <c r="F55" s="100" t="s">
        <v>127</v>
      </c>
      <c r="G55" s="103">
        <v>4.6060513480192293</v>
      </c>
      <c r="H55" s="100">
        <v>476.99999999999994</v>
      </c>
      <c r="I55" s="133">
        <v>28.474240949347038</v>
      </c>
      <c r="J55" s="32" t="s">
        <v>238</v>
      </c>
      <c r="K55" s="41">
        <v>5.9239976028664047E-3</v>
      </c>
      <c r="L55" s="32">
        <v>2.4113278602673096E-6</v>
      </c>
      <c r="M55" s="18"/>
      <c r="N55" s="18"/>
      <c r="O55" s="18"/>
      <c r="P55" s="18"/>
    </row>
    <row r="56" spans="2:16" s="160" customFormat="1" x14ac:dyDescent="0.2">
      <c r="B56" s="132" t="s">
        <v>144</v>
      </c>
      <c r="C56" s="163" t="s">
        <v>238</v>
      </c>
      <c r="D56" s="163" t="s">
        <v>238</v>
      </c>
      <c r="E56" s="163" t="s">
        <v>238</v>
      </c>
      <c r="F56" s="164" t="s">
        <v>238</v>
      </c>
      <c r="G56" s="178" t="s">
        <v>238</v>
      </c>
      <c r="H56" s="164" t="s">
        <v>238</v>
      </c>
      <c r="I56" s="169">
        <v>0</v>
      </c>
      <c r="J56" s="167" t="s">
        <v>238</v>
      </c>
      <c r="K56" s="163">
        <v>0</v>
      </c>
      <c r="L56" s="167">
        <v>0</v>
      </c>
    </row>
    <row r="57" spans="2:16" s="160" customFormat="1" x14ac:dyDescent="0.2">
      <c r="B57" s="114" t="s">
        <v>227</v>
      </c>
      <c r="C57" s="170"/>
      <c r="D57" s="170"/>
      <c r="E57" s="170"/>
      <c r="F57" s="170"/>
      <c r="G57" s="171"/>
      <c r="H57" s="171"/>
      <c r="I57" s="171"/>
      <c r="J57" s="172"/>
      <c r="K57" s="173"/>
      <c r="L57" s="174"/>
      <c r="M57" s="191"/>
      <c r="N57" s="191"/>
      <c r="O57" s="175"/>
      <c r="P57" s="175"/>
    </row>
    <row r="58" spans="2:16" s="160" customFormat="1" x14ac:dyDescent="0.2">
      <c r="B58" s="114" t="s">
        <v>228</v>
      </c>
      <c r="C58" s="170"/>
      <c r="D58" s="170"/>
      <c r="E58" s="170"/>
      <c r="F58" s="170"/>
      <c r="G58" s="171"/>
      <c r="H58" s="171"/>
      <c r="I58" s="171"/>
      <c r="J58" s="172"/>
      <c r="K58" s="173"/>
      <c r="L58" s="174"/>
      <c r="M58" s="191"/>
      <c r="N58" s="191"/>
      <c r="O58" s="175"/>
      <c r="P58" s="175"/>
    </row>
    <row r="59" spans="2:16" s="160" customFormat="1" x14ac:dyDescent="0.2">
      <c r="B59" s="114" t="s">
        <v>229</v>
      </c>
      <c r="C59" s="170"/>
      <c r="D59" s="170"/>
      <c r="E59" s="170"/>
      <c r="F59" s="170"/>
      <c r="G59" s="171"/>
      <c r="H59" s="171"/>
      <c r="I59" s="171"/>
      <c r="J59" s="172"/>
      <c r="K59" s="173"/>
      <c r="L59" s="174"/>
      <c r="M59" s="191"/>
      <c r="N59" s="191"/>
      <c r="O59" s="175"/>
      <c r="P59" s="175"/>
    </row>
    <row r="60" spans="2:16" s="160" customFormat="1" x14ac:dyDescent="0.2">
      <c r="B60" s="114" t="s">
        <v>230</v>
      </c>
      <c r="C60" s="170"/>
      <c r="D60" s="170"/>
      <c r="E60" s="170"/>
      <c r="F60" s="170"/>
      <c r="G60" s="171"/>
      <c r="H60" s="171"/>
      <c r="I60" s="171"/>
      <c r="J60" s="172"/>
      <c r="K60" s="173"/>
      <c r="L60" s="174"/>
      <c r="M60" s="191"/>
      <c r="N60" s="191"/>
      <c r="O60" s="175"/>
      <c r="P60" s="175"/>
    </row>
    <row r="61" spans="2:16" s="160" customFormat="1" x14ac:dyDescent="0.2">
      <c r="B61" s="114" t="s">
        <v>231</v>
      </c>
      <c r="C61" s="170"/>
      <c r="D61" s="170"/>
      <c r="E61" s="170"/>
      <c r="F61" s="170"/>
      <c r="G61" s="171"/>
      <c r="H61" s="171"/>
      <c r="I61" s="171"/>
      <c r="J61" s="172"/>
      <c r="K61" s="173"/>
      <c r="L61" s="174"/>
      <c r="M61" s="191"/>
      <c r="N61" s="191"/>
      <c r="O61" s="175"/>
      <c r="P61" s="175"/>
    </row>
  </sheetData>
  <mergeCells count="2">
    <mergeCell ref="B7:L7"/>
    <mergeCell ref="B6:L6"/>
  </mergeCells>
  <phoneticPr fontId="3" type="noConversion"/>
  <conditionalFormatting sqref="K1:K5 J57:J55591 G11:J56">
    <cfRule type="expression" dxfId="104" priority="183" stopIfTrue="1">
      <formula>LEFT(#REF!,3)="TIR"</formula>
    </cfRule>
  </conditionalFormatting>
  <conditionalFormatting sqref="K11:L56 C11:G56">
    <cfRule type="expression" dxfId="103" priority="186" stopIfTrue="1">
      <formula>LEFT(#REF!,3)="TIR"</formula>
    </cfRule>
  </conditionalFormatting>
  <conditionalFormatting sqref="B11:B56 J11:J56">
    <cfRule type="expression" dxfId="102" priority="188" stopIfTrue="1">
      <formula>#REF!&gt;0</formula>
    </cfRule>
    <cfRule type="expression" dxfId="101" priority="189" stopIfTrue="1">
      <formula>LEFT(#REF!,3)="TIR"</formula>
    </cfRule>
  </conditionalFormatting>
  <conditionalFormatting sqref="I12:I56 K12:L56">
    <cfRule type="expression" dxfId="100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55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7109375" style="13" bestFit="1" customWidth="1"/>
    <col min="3" max="3" width="15.4257812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6" style="14" bestFit="1" customWidth="1"/>
    <col min="8" max="8" width="8.5703125" style="14" bestFit="1" customWidth="1"/>
    <col min="9" max="9" width="10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153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234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30"/>
      <c r="L6" s="15"/>
      <c r="M6" s="15"/>
      <c r="N6" s="17"/>
      <c r="O6" s="16"/>
      <c r="P6" s="16"/>
      <c r="Q6" s="18"/>
    </row>
    <row r="7" spans="1:17" s="10" customFormat="1" x14ac:dyDescent="0.2">
      <c r="B7" s="231" t="s">
        <v>25</v>
      </c>
      <c r="C7" s="232"/>
      <c r="D7" s="232"/>
      <c r="E7" s="232"/>
      <c r="F7" s="232"/>
      <c r="G7" s="232"/>
      <c r="H7" s="232"/>
      <c r="I7" s="232"/>
      <c r="J7" s="232"/>
      <c r="K7" s="233"/>
      <c r="L7" s="15"/>
      <c r="M7" s="15"/>
    </row>
    <row r="8" spans="1:17" s="10" customFormat="1" ht="38.25" x14ac:dyDescent="0.2">
      <c r="B8" s="9" t="s">
        <v>219</v>
      </c>
      <c r="C8" s="4" t="s">
        <v>69</v>
      </c>
      <c r="D8" s="4" t="s">
        <v>76</v>
      </c>
      <c r="E8" s="4" t="s">
        <v>19</v>
      </c>
      <c r="F8" s="4" t="s">
        <v>6</v>
      </c>
      <c r="G8" s="5" t="s">
        <v>67</v>
      </c>
      <c r="H8" s="5" t="s">
        <v>68</v>
      </c>
      <c r="I8" s="5" t="s">
        <v>7</v>
      </c>
      <c r="J8" s="38" t="s">
        <v>75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60" customFormat="1" ht="12.75" customHeight="1" thickBot="1" x14ac:dyDescent="0.25">
      <c r="B11" s="192" t="s">
        <v>62</v>
      </c>
      <c r="C11" s="104"/>
      <c r="D11" s="104"/>
      <c r="E11" s="104"/>
      <c r="F11" s="193"/>
      <c r="G11" s="194"/>
      <c r="H11" s="193"/>
      <c r="I11" s="196">
        <v>8013.5109881614817</v>
      </c>
      <c r="J11" s="104">
        <v>1</v>
      </c>
      <c r="K11" s="121">
        <v>6.7862045343670919E-4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3"/>
      <c r="F12" s="164" t="s">
        <v>238</v>
      </c>
      <c r="G12" s="176" t="s">
        <v>238</v>
      </c>
      <c r="H12" s="164" t="s">
        <v>238</v>
      </c>
      <c r="I12" s="165">
        <v>0</v>
      </c>
      <c r="J12" s="163">
        <v>0</v>
      </c>
      <c r="K12" s="163">
        <v>0</v>
      </c>
    </row>
    <row r="13" spans="1:17" s="160" customFormat="1" x14ac:dyDescent="0.2">
      <c r="B13" s="132" t="s">
        <v>544</v>
      </c>
      <c r="C13" s="163" t="s">
        <v>238</v>
      </c>
      <c r="D13" s="167" t="s">
        <v>238</v>
      </c>
      <c r="E13" s="167"/>
      <c r="F13" s="168" t="s">
        <v>238</v>
      </c>
      <c r="G13" s="178" t="s">
        <v>238</v>
      </c>
      <c r="H13" s="168" t="s">
        <v>238</v>
      </c>
      <c r="I13" s="169">
        <v>8013.5109880615246</v>
      </c>
      <c r="J13" s="163">
        <v>0.99999999998752642</v>
      </c>
      <c r="K13" s="163">
        <v>6.7862045342824439E-4</v>
      </c>
    </row>
    <row r="14" spans="1:17" x14ac:dyDescent="0.2">
      <c r="B14" s="23" t="s">
        <v>2477</v>
      </c>
      <c r="C14" s="41" t="s">
        <v>2478</v>
      </c>
      <c r="D14" s="32" t="s">
        <v>209</v>
      </c>
      <c r="E14" s="32" t="s">
        <v>178</v>
      </c>
      <c r="F14" s="94" t="s">
        <v>318</v>
      </c>
      <c r="G14" s="103">
        <v>66.164611791078229</v>
      </c>
      <c r="H14" s="94">
        <v>1705.5</v>
      </c>
      <c r="I14" s="124">
        <v>35937.347600622037</v>
      </c>
      <c r="J14" s="41">
        <v>4.4845945371152531</v>
      </c>
      <c r="K14" s="41">
        <v>3.0433375782569425E-3</v>
      </c>
      <c r="L14" s="18"/>
      <c r="M14" s="18"/>
      <c r="N14" s="18"/>
      <c r="O14" s="18"/>
      <c r="P14" s="18"/>
    </row>
    <row r="15" spans="1:17" x14ac:dyDescent="0.2">
      <c r="B15" s="23" t="s">
        <v>2479</v>
      </c>
      <c r="C15" s="41" t="s">
        <v>2480</v>
      </c>
      <c r="D15" s="32" t="s">
        <v>209</v>
      </c>
      <c r="E15" s="32" t="s">
        <v>178</v>
      </c>
      <c r="F15" s="94" t="s">
        <v>318</v>
      </c>
      <c r="G15" s="103">
        <v>-1136689803.0051098</v>
      </c>
      <c r="H15" s="94">
        <v>1</v>
      </c>
      <c r="I15" s="124">
        <v>-36200.16015580266</v>
      </c>
      <c r="J15" s="41">
        <v>-4.5173907179115211</v>
      </c>
      <c r="K15" s="41">
        <v>-3.0655937373398976E-3</v>
      </c>
      <c r="L15" s="18"/>
      <c r="M15" s="18"/>
      <c r="N15" s="18"/>
      <c r="O15" s="18"/>
      <c r="P15" s="18"/>
    </row>
    <row r="16" spans="1:17" x14ac:dyDescent="0.2">
      <c r="B16" s="23" t="s">
        <v>2481</v>
      </c>
      <c r="C16" s="41" t="s">
        <v>2482</v>
      </c>
      <c r="D16" s="32" t="s">
        <v>209</v>
      </c>
      <c r="E16" s="32" t="s">
        <v>178</v>
      </c>
      <c r="F16" s="94" t="s">
        <v>318</v>
      </c>
      <c r="G16" s="103">
        <v>17.94526738018892</v>
      </c>
      <c r="H16" s="94">
        <v>23450</v>
      </c>
      <c r="I16" s="124">
        <v>112.30032572698285</v>
      </c>
      <c r="J16" s="41">
        <v>1.401387305675207E-2</v>
      </c>
      <c r="K16" s="41">
        <v>9.5101008881775716E-6</v>
      </c>
      <c r="L16" s="18"/>
      <c r="M16" s="18"/>
      <c r="N16" s="18"/>
      <c r="O16" s="18"/>
      <c r="P16" s="18"/>
    </row>
    <row r="17" spans="2:16" x14ac:dyDescent="0.2">
      <c r="B17" s="23" t="s">
        <v>2483</v>
      </c>
      <c r="C17" s="41" t="s">
        <v>2484</v>
      </c>
      <c r="D17" s="32" t="s">
        <v>209</v>
      </c>
      <c r="E17" s="32" t="s">
        <v>178</v>
      </c>
      <c r="F17" s="94" t="s">
        <v>318</v>
      </c>
      <c r="G17" s="103">
        <v>5.4109775688355901</v>
      </c>
      <c r="H17" s="94">
        <v>23450</v>
      </c>
      <c r="I17" s="124">
        <v>4040.98379178388</v>
      </c>
      <c r="J17" s="41">
        <v>0.50427132348775772</v>
      </c>
      <c r="K17" s="41">
        <v>3.4220883420039164E-4</v>
      </c>
      <c r="L17" s="18"/>
      <c r="M17" s="18"/>
      <c r="N17" s="18"/>
      <c r="O17" s="18"/>
      <c r="P17" s="18"/>
    </row>
    <row r="18" spans="2:16" x14ac:dyDescent="0.2">
      <c r="B18" s="23" t="s">
        <v>2485</v>
      </c>
      <c r="C18" s="41" t="s">
        <v>2486</v>
      </c>
      <c r="D18" s="32" t="s">
        <v>209</v>
      </c>
      <c r="E18" s="32" t="s">
        <v>178</v>
      </c>
      <c r="F18" s="94" t="s">
        <v>318</v>
      </c>
      <c r="G18" s="103">
        <v>-125824166.89691839</v>
      </c>
      <c r="H18" s="94">
        <v>1</v>
      </c>
      <c r="I18" s="124">
        <v>-4007.1222427894463</v>
      </c>
      <c r="J18" s="41">
        <v>-0.50004576629510422</v>
      </c>
      <c r="K18" s="41">
        <v>-3.3934128466229038E-4</v>
      </c>
      <c r="L18" s="18"/>
      <c r="M18" s="18"/>
      <c r="N18" s="18"/>
      <c r="O18" s="18"/>
      <c r="P18" s="18"/>
    </row>
    <row r="19" spans="2:16" x14ac:dyDescent="0.2">
      <c r="B19" s="23" t="s">
        <v>2487</v>
      </c>
      <c r="C19" s="41" t="s">
        <v>2488</v>
      </c>
      <c r="D19" s="32" t="s">
        <v>209</v>
      </c>
      <c r="E19" s="32" t="s">
        <v>178</v>
      </c>
      <c r="F19" s="94" t="s">
        <v>127</v>
      </c>
      <c r="G19" s="103">
        <v>545.13886671344892</v>
      </c>
      <c r="H19" s="94">
        <v>3231</v>
      </c>
      <c r="I19" s="124">
        <v>304360.18761907931</v>
      </c>
      <c r="J19" s="41">
        <v>37.980878552324519</v>
      </c>
      <c r="K19" s="41">
        <v>2.5774601025103049E-2</v>
      </c>
      <c r="L19" s="18"/>
      <c r="M19" s="18"/>
      <c r="N19" s="18"/>
      <c r="O19" s="18"/>
      <c r="P19" s="18"/>
    </row>
    <row r="20" spans="2:16" x14ac:dyDescent="0.2">
      <c r="B20" s="23" t="s">
        <v>2489</v>
      </c>
      <c r="C20" s="41" t="s">
        <v>2490</v>
      </c>
      <c r="D20" s="32" t="s">
        <v>209</v>
      </c>
      <c r="E20" s="32" t="s">
        <v>178</v>
      </c>
      <c r="F20" s="94" t="s">
        <v>127</v>
      </c>
      <c r="G20" s="103">
        <v>-86240788.8709815</v>
      </c>
      <c r="H20" s="94">
        <v>1</v>
      </c>
      <c r="I20" s="124">
        <v>-298048.16633805726</v>
      </c>
      <c r="J20" s="41">
        <v>-37.193206171223792</v>
      </c>
      <c r="K20" s="41">
        <v>-2.5240070436680896E-2</v>
      </c>
      <c r="L20" s="18"/>
      <c r="M20" s="18"/>
      <c r="N20" s="18"/>
      <c r="O20" s="18"/>
      <c r="P20" s="18"/>
    </row>
    <row r="21" spans="2:16" x14ac:dyDescent="0.2">
      <c r="B21" s="23" t="s">
        <v>2491</v>
      </c>
      <c r="C21" s="41" t="s">
        <v>2492</v>
      </c>
      <c r="D21" s="32" t="s">
        <v>209</v>
      </c>
      <c r="E21" s="32" t="s">
        <v>178</v>
      </c>
      <c r="F21" s="94" t="s">
        <v>128</v>
      </c>
      <c r="G21" s="103">
        <v>180.95952831472948</v>
      </c>
      <c r="H21" s="94">
        <v>3729</v>
      </c>
      <c r="I21" s="124">
        <v>26170.019180251795</v>
      </c>
      <c r="J21" s="41">
        <v>3.2657369808206766</v>
      </c>
      <c r="K21" s="41">
        <v>2.2161959107295571E-3</v>
      </c>
      <c r="L21" s="18"/>
      <c r="M21" s="18"/>
      <c r="N21" s="18"/>
      <c r="O21" s="18"/>
      <c r="P21" s="18"/>
    </row>
    <row r="22" spans="2:16" x14ac:dyDescent="0.2">
      <c r="B22" s="23" t="s">
        <v>2493</v>
      </c>
      <c r="C22" s="41" t="s">
        <v>2494</v>
      </c>
      <c r="D22" s="32" t="s">
        <v>209</v>
      </c>
      <c r="E22" s="32" t="s">
        <v>178</v>
      </c>
      <c r="F22" s="94" t="s">
        <v>128</v>
      </c>
      <c r="G22" s="103">
        <v>-6689440.3239941187</v>
      </c>
      <c r="H22" s="94">
        <v>1</v>
      </c>
      <c r="I22" s="124">
        <v>-25942.98746424769</v>
      </c>
      <c r="J22" s="41">
        <v>-3.2374058639931707</v>
      </c>
      <c r="K22" s="41">
        <v>-2.196969835381707E-3</v>
      </c>
      <c r="L22" s="18"/>
      <c r="M22" s="18"/>
      <c r="N22" s="18"/>
      <c r="O22" s="18"/>
      <c r="P22" s="18"/>
    </row>
    <row r="23" spans="2:16" x14ac:dyDescent="0.2">
      <c r="B23" s="23" t="s">
        <v>2495</v>
      </c>
      <c r="C23" s="41" t="s">
        <v>2496</v>
      </c>
      <c r="D23" s="32" t="s">
        <v>209</v>
      </c>
      <c r="E23" s="32" t="s">
        <v>178</v>
      </c>
      <c r="F23" s="94" t="s">
        <v>127</v>
      </c>
      <c r="G23" s="103">
        <v>30.753530739331392</v>
      </c>
      <c r="H23" s="94">
        <v>3231</v>
      </c>
      <c r="I23" s="124">
        <v>452.23928051047511</v>
      </c>
      <c r="J23" s="41">
        <v>5.6434599163659616E-2</v>
      </c>
      <c r="K23" s="41">
        <v>3.8297673273961616E-5</v>
      </c>
      <c r="L23" s="18"/>
      <c r="M23" s="18"/>
      <c r="N23" s="18"/>
      <c r="O23" s="18"/>
      <c r="P23" s="18"/>
    </row>
    <row r="24" spans="2:16" x14ac:dyDescent="0.2">
      <c r="B24" s="23" t="s">
        <v>2497</v>
      </c>
      <c r="C24" s="41" t="s">
        <v>2498</v>
      </c>
      <c r="D24" s="32" t="s">
        <v>209</v>
      </c>
      <c r="E24" s="32" t="s">
        <v>178</v>
      </c>
      <c r="F24" s="94" t="s">
        <v>3</v>
      </c>
      <c r="G24" s="103">
        <v>32.191891865224399</v>
      </c>
      <c r="H24" s="94">
        <v>6603</v>
      </c>
      <c r="I24" s="124">
        <v>12876.538887119093</v>
      </c>
      <c r="J24" s="41">
        <v>1.6068535884136004</v>
      </c>
      <c r="K24" s="41">
        <v>1.0904437107756408E-3</v>
      </c>
      <c r="L24" s="18"/>
      <c r="M24" s="18"/>
      <c r="N24" s="18"/>
      <c r="O24" s="18"/>
      <c r="P24" s="18"/>
    </row>
    <row r="25" spans="2:16" x14ac:dyDescent="0.2">
      <c r="B25" s="23" t="s">
        <v>2499</v>
      </c>
      <c r="C25" s="41" t="s">
        <v>2500</v>
      </c>
      <c r="D25" s="32" t="s">
        <v>209</v>
      </c>
      <c r="E25" s="32" t="s">
        <v>178</v>
      </c>
      <c r="F25" s="94" t="s">
        <v>3</v>
      </c>
      <c r="G25" s="103">
        <v>-5460549.6576386886</v>
      </c>
      <c r="H25" s="94">
        <v>1</v>
      </c>
      <c r="I25" s="124">
        <v>-13231.457875081838</v>
      </c>
      <c r="J25" s="41">
        <v>-1.6511436615771704</v>
      </c>
      <c r="K25" s="41">
        <v>-1.1204998603086477E-3</v>
      </c>
      <c r="L25" s="18"/>
      <c r="M25" s="18"/>
      <c r="N25" s="18"/>
      <c r="O25" s="18"/>
      <c r="P25" s="18"/>
    </row>
    <row r="26" spans="2:16" x14ac:dyDescent="0.2">
      <c r="B26" s="23" t="s">
        <v>2501</v>
      </c>
      <c r="C26" s="41" t="s">
        <v>2502</v>
      </c>
      <c r="D26" s="32" t="s">
        <v>209</v>
      </c>
      <c r="E26" s="32" t="s">
        <v>178</v>
      </c>
      <c r="F26" s="94" t="s">
        <v>127</v>
      </c>
      <c r="G26" s="103">
        <v>153.67509236448049</v>
      </c>
      <c r="H26" s="94">
        <v>128.40620000000001</v>
      </c>
      <c r="I26" s="124">
        <v>68196.703088770242</v>
      </c>
      <c r="J26" s="41">
        <v>8.5102152089787584</v>
      </c>
      <c r="K26" s="41">
        <v>5.7752061039611441E-3</v>
      </c>
      <c r="L26" s="18"/>
      <c r="M26" s="18"/>
      <c r="N26" s="18"/>
      <c r="O26" s="18"/>
      <c r="P26" s="18"/>
    </row>
    <row r="27" spans="2:16" x14ac:dyDescent="0.2">
      <c r="B27" s="23" t="s">
        <v>2503</v>
      </c>
      <c r="C27" s="41" t="s">
        <v>2504</v>
      </c>
      <c r="D27" s="32" t="s">
        <v>209</v>
      </c>
      <c r="E27" s="32" t="s">
        <v>178</v>
      </c>
      <c r="F27" s="94" t="s">
        <v>127</v>
      </c>
      <c r="G27" s="103">
        <v>-19929738.541018564</v>
      </c>
      <c r="H27" s="94">
        <v>1</v>
      </c>
      <c r="I27" s="124">
        <v>-68877.176397760151</v>
      </c>
      <c r="J27" s="41">
        <v>-8.5951309606380732</v>
      </c>
      <c r="K27" s="41">
        <v>-5.8328316698561073E-3</v>
      </c>
      <c r="L27" s="18"/>
      <c r="M27" s="18"/>
      <c r="N27" s="18"/>
      <c r="O27" s="18"/>
      <c r="P27" s="18"/>
    </row>
    <row r="28" spans="2:16" x14ac:dyDescent="0.2">
      <c r="B28" s="23" t="s">
        <v>2505</v>
      </c>
      <c r="C28" s="41" t="s">
        <v>2506</v>
      </c>
      <c r="D28" s="32" t="s">
        <v>209</v>
      </c>
      <c r="E28" s="32" t="s">
        <v>178</v>
      </c>
      <c r="F28" s="94" t="s">
        <v>127</v>
      </c>
      <c r="G28" s="103">
        <v>-4.6060513480192293</v>
      </c>
      <c r="H28" s="94">
        <v>56.44</v>
      </c>
      <c r="I28" s="124">
        <v>-39.477913377711054</v>
      </c>
      <c r="J28" s="41">
        <v>-4.9264190734913272E-3</v>
      </c>
      <c r="K28" s="41">
        <v>-3.3431687454719372E-6</v>
      </c>
      <c r="L28" s="18"/>
      <c r="M28" s="18"/>
      <c r="N28" s="18"/>
      <c r="O28" s="18"/>
      <c r="P28" s="18"/>
    </row>
    <row r="29" spans="2:16" x14ac:dyDescent="0.2">
      <c r="B29" s="23" t="s">
        <v>2507</v>
      </c>
      <c r="C29" s="41" t="s">
        <v>2508</v>
      </c>
      <c r="D29" s="32" t="s">
        <v>209</v>
      </c>
      <c r="E29" s="32" t="s">
        <v>178</v>
      </c>
      <c r="F29" s="94" t="s">
        <v>127</v>
      </c>
      <c r="G29" s="103">
        <v>14.278759178859611</v>
      </c>
      <c r="H29" s="94">
        <v>387.75</v>
      </c>
      <c r="I29" s="124">
        <v>18.92711250245905</v>
      </c>
      <c r="J29" s="41">
        <v>2.361900112250479E-3</v>
      </c>
      <c r="K29" s="41">
        <v>1.6028337251476344E-6</v>
      </c>
      <c r="L29" s="18"/>
      <c r="M29" s="18"/>
      <c r="N29" s="18"/>
      <c r="O29" s="18"/>
      <c r="P29" s="18"/>
    </row>
    <row r="30" spans="2:16" x14ac:dyDescent="0.2">
      <c r="B30" s="23" t="s">
        <v>2509</v>
      </c>
      <c r="C30" s="41" t="s">
        <v>2510</v>
      </c>
      <c r="D30" s="32" t="s">
        <v>209</v>
      </c>
      <c r="E30" s="32" t="s">
        <v>178</v>
      </c>
      <c r="F30" s="94" t="s">
        <v>127</v>
      </c>
      <c r="G30" s="103">
        <v>9.2121026960384587</v>
      </c>
      <c r="H30" s="94">
        <v>486</v>
      </c>
      <c r="I30" s="124">
        <v>91.332470969603705</v>
      </c>
      <c r="J30" s="41">
        <v>1.1397310255708261E-2</v>
      </c>
      <c r="K30" s="41">
        <v>7.7344478536875975E-6</v>
      </c>
      <c r="L30" s="18"/>
      <c r="M30" s="18"/>
      <c r="N30" s="18"/>
      <c r="O30" s="18"/>
      <c r="P30" s="18"/>
    </row>
    <row r="31" spans="2:16" x14ac:dyDescent="0.2">
      <c r="B31" s="23" t="s">
        <v>2511</v>
      </c>
      <c r="C31" s="41" t="s">
        <v>2512</v>
      </c>
      <c r="D31" s="32" t="s">
        <v>209</v>
      </c>
      <c r="E31" s="32" t="s">
        <v>178</v>
      </c>
      <c r="F31" s="94" t="s">
        <v>127</v>
      </c>
      <c r="G31" s="103">
        <v>4.6060513480192293</v>
      </c>
      <c r="H31" s="94">
        <v>13.42</v>
      </c>
      <c r="I31" s="124">
        <v>13.906413357567894</v>
      </c>
      <c r="J31" s="41">
        <v>1.7353708478233963E-3</v>
      </c>
      <c r="K31" s="41">
        <v>1.1776581516307597E-6</v>
      </c>
      <c r="L31" s="18"/>
      <c r="M31" s="18"/>
      <c r="N31" s="18"/>
      <c r="O31" s="18"/>
      <c r="P31" s="18"/>
    </row>
    <row r="32" spans="2:16" x14ac:dyDescent="0.2">
      <c r="B32" s="23" t="s">
        <v>2513</v>
      </c>
      <c r="C32" s="41" t="s">
        <v>2514</v>
      </c>
      <c r="D32" s="32" t="s">
        <v>209</v>
      </c>
      <c r="E32" s="32" t="s">
        <v>178</v>
      </c>
      <c r="F32" s="94" t="s">
        <v>127</v>
      </c>
      <c r="G32" s="103">
        <v>5.9878667524249982</v>
      </c>
      <c r="H32" s="94">
        <v>129.69999999999999</v>
      </c>
      <c r="I32" s="124">
        <v>131.53666652387042</v>
      </c>
      <c r="J32" s="41">
        <v>1.6414361534936701E-2</v>
      </c>
      <c r="K32" s="41">
        <v>1.1139121467712822E-5</v>
      </c>
      <c r="L32" s="18"/>
      <c r="M32" s="18"/>
      <c r="N32" s="18"/>
      <c r="O32" s="18"/>
      <c r="P32" s="18"/>
    </row>
    <row r="33" spans="2:16" x14ac:dyDescent="0.2">
      <c r="B33" s="23" t="s">
        <v>2515</v>
      </c>
      <c r="C33" s="41" t="s">
        <v>2516</v>
      </c>
      <c r="D33" s="32" t="s">
        <v>209</v>
      </c>
      <c r="E33" s="32" t="s">
        <v>178</v>
      </c>
      <c r="F33" s="94" t="s">
        <v>127</v>
      </c>
      <c r="G33" s="103">
        <v>-9.2121026960384587</v>
      </c>
      <c r="H33" s="94">
        <v>561.75</v>
      </c>
      <c r="I33" s="124">
        <v>-52.332112995655272</v>
      </c>
      <c r="J33" s="41">
        <v>-6.5304849613317482E-3</v>
      </c>
      <c r="K33" s="41">
        <v>-4.4317206656205611E-6</v>
      </c>
      <c r="L33" s="18"/>
      <c r="M33" s="18"/>
      <c r="N33" s="18"/>
      <c r="O33" s="18"/>
      <c r="P33" s="18"/>
    </row>
    <row r="34" spans="2:16" x14ac:dyDescent="0.2">
      <c r="B34" s="23" t="s">
        <v>2517</v>
      </c>
      <c r="C34" s="41" t="s">
        <v>2518</v>
      </c>
      <c r="D34" s="32" t="s">
        <v>209</v>
      </c>
      <c r="E34" s="32" t="s">
        <v>178</v>
      </c>
      <c r="F34" s="94" t="s">
        <v>127</v>
      </c>
      <c r="G34" s="103">
        <v>9.2121026960384587</v>
      </c>
      <c r="H34" s="94">
        <v>494.25</v>
      </c>
      <c r="I34" s="124">
        <v>79.194604457303427</v>
      </c>
      <c r="J34" s="41">
        <v>9.8826350365400616E-3</v>
      </c>
      <c r="K34" s="41">
        <v>6.7065582696463255E-6</v>
      </c>
      <c r="L34" s="18"/>
      <c r="M34" s="18"/>
      <c r="N34" s="18"/>
      <c r="O34" s="18"/>
      <c r="P34" s="18"/>
    </row>
    <row r="35" spans="2:16" x14ac:dyDescent="0.2">
      <c r="B35" s="23" t="s">
        <v>2519</v>
      </c>
      <c r="C35" s="41" t="s">
        <v>2520</v>
      </c>
      <c r="D35" s="32" t="s">
        <v>209</v>
      </c>
      <c r="E35" s="32" t="s">
        <v>178</v>
      </c>
      <c r="F35" s="94" t="s">
        <v>127</v>
      </c>
      <c r="G35" s="103">
        <v>2.7636308088115378</v>
      </c>
      <c r="H35" s="94">
        <v>359.2</v>
      </c>
      <c r="I35" s="124">
        <v>8.1884833231832932</v>
      </c>
      <c r="J35" s="41">
        <v>1.021834665888685E-3</v>
      </c>
      <c r="K35" s="41">
        <v>6.9343790430272763E-7</v>
      </c>
      <c r="L35" s="18"/>
      <c r="M35" s="18"/>
      <c r="N35" s="18"/>
      <c r="O35" s="18"/>
      <c r="P35" s="18"/>
    </row>
    <row r="36" spans="2:16" x14ac:dyDescent="0.2">
      <c r="B36" s="23" t="s">
        <v>2521</v>
      </c>
      <c r="C36" s="41" t="s">
        <v>2522</v>
      </c>
      <c r="D36" s="32" t="s">
        <v>209</v>
      </c>
      <c r="E36" s="32" t="s">
        <v>178</v>
      </c>
      <c r="F36" s="94" t="s">
        <v>127</v>
      </c>
      <c r="G36" s="103">
        <v>17.502995122473074</v>
      </c>
      <c r="H36" s="94">
        <v>61.06</v>
      </c>
      <c r="I36" s="124">
        <v>165.86454283483795</v>
      </c>
      <c r="J36" s="41">
        <v>2.0698111362157351E-2</v>
      </c>
      <c r="K36" s="41">
        <v>1.4046161717870724E-5</v>
      </c>
      <c r="L36" s="18"/>
      <c r="M36" s="18"/>
      <c r="N36" s="18"/>
      <c r="O36" s="18"/>
      <c r="P36" s="18"/>
    </row>
    <row r="37" spans="2:16" x14ac:dyDescent="0.2">
      <c r="B37" s="23" t="s">
        <v>2523</v>
      </c>
      <c r="C37" s="41" t="s">
        <v>2524</v>
      </c>
      <c r="D37" s="32" t="s">
        <v>209</v>
      </c>
      <c r="E37" s="32" t="s">
        <v>178</v>
      </c>
      <c r="F37" s="94" t="s">
        <v>127</v>
      </c>
      <c r="G37" s="103">
        <v>11.515128370048073</v>
      </c>
      <c r="H37" s="94">
        <v>279.7</v>
      </c>
      <c r="I37" s="124">
        <v>136.87931760346487</v>
      </c>
      <c r="J37" s="41">
        <v>1.7081066938783685E-2</v>
      </c>
      <c r="K37" s="41">
        <v>1.1591561391180167E-5</v>
      </c>
      <c r="L37" s="18"/>
      <c r="M37" s="18"/>
      <c r="N37" s="18"/>
      <c r="O37" s="18"/>
      <c r="P37" s="18"/>
    </row>
    <row r="38" spans="2:16" x14ac:dyDescent="0.2">
      <c r="B38" s="23" t="s">
        <v>2525</v>
      </c>
      <c r="C38" s="41" t="s">
        <v>2526</v>
      </c>
      <c r="D38" s="32" t="s">
        <v>209</v>
      </c>
      <c r="E38" s="32" t="s">
        <v>178</v>
      </c>
      <c r="F38" s="94" t="s">
        <v>127</v>
      </c>
      <c r="G38" s="103">
        <v>-4.6060513480192293</v>
      </c>
      <c r="H38" s="94">
        <v>56.03</v>
      </c>
      <c r="I38" s="124">
        <v>-46.832266595655618</v>
      </c>
      <c r="J38" s="41">
        <v>-5.8441632718594693E-3</v>
      </c>
      <c r="K38" s="41">
        <v>-3.9659687295074356E-6</v>
      </c>
      <c r="L38" s="18"/>
      <c r="M38" s="18"/>
      <c r="N38" s="18"/>
      <c r="O38" s="18"/>
      <c r="P38" s="18"/>
    </row>
    <row r="39" spans="2:16" x14ac:dyDescent="0.2">
      <c r="B39" s="23" t="s">
        <v>2527</v>
      </c>
      <c r="C39" s="41" t="s">
        <v>2528</v>
      </c>
      <c r="D39" s="32" t="s">
        <v>209</v>
      </c>
      <c r="E39" s="32" t="s">
        <v>178</v>
      </c>
      <c r="F39" s="94" t="s">
        <v>127</v>
      </c>
      <c r="G39" s="103">
        <v>4.6060513480192293</v>
      </c>
      <c r="H39" s="94">
        <v>1523.1</v>
      </c>
      <c r="I39" s="124">
        <v>89.684904826622613</v>
      </c>
      <c r="J39" s="41">
        <v>1.1191711717762152E-2</v>
      </c>
      <c r="K39" s="41">
        <v>7.5949244806406828E-6</v>
      </c>
      <c r="L39" s="18"/>
      <c r="M39" s="18"/>
      <c r="N39" s="18"/>
      <c r="O39" s="18"/>
      <c r="P39" s="18"/>
    </row>
    <row r="40" spans="2:16" x14ac:dyDescent="0.2">
      <c r="B40" s="23" t="s">
        <v>2529</v>
      </c>
      <c r="C40" s="41" t="s">
        <v>2530</v>
      </c>
      <c r="D40" s="32" t="s">
        <v>209</v>
      </c>
      <c r="E40" s="32" t="s">
        <v>178</v>
      </c>
      <c r="F40" s="94" t="s">
        <v>127</v>
      </c>
      <c r="G40" s="103">
        <v>6.9090770220288444</v>
      </c>
      <c r="H40" s="94">
        <v>2.1890000000000001</v>
      </c>
      <c r="I40" s="124">
        <v>-68.920795871023287</v>
      </c>
      <c r="J40" s="41">
        <v>-8.6005742018500191E-3</v>
      </c>
      <c r="K40" s="41">
        <v>-5.8365255646755231E-6</v>
      </c>
      <c r="L40" s="18"/>
      <c r="M40" s="18"/>
      <c r="N40" s="18"/>
      <c r="O40" s="18"/>
      <c r="P40" s="18"/>
    </row>
    <row r="41" spans="2:16" x14ac:dyDescent="0.2">
      <c r="B41" s="23" t="s">
        <v>2531</v>
      </c>
      <c r="C41" s="41" t="s">
        <v>2532</v>
      </c>
      <c r="D41" s="32" t="s">
        <v>209</v>
      </c>
      <c r="E41" s="32" t="s">
        <v>178</v>
      </c>
      <c r="F41" s="94" t="s">
        <v>127</v>
      </c>
      <c r="G41" s="103">
        <v>2.3030256740096147</v>
      </c>
      <c r="H41" s="94">
        <v>17.920999999999999</v>
      </c>
      <c r="I41" s="124">
        <v>28.737692347089421</v>
      </c>
      <c r="J41" s="41">
        <v>3.58615498119915E-3</v>
      </c>
      <c r="K41" s="41">
        <v>2.4336381194356805E-6</v>
      </c>
      <c r="L41" s="18"/>
      <c r="M41" s="18"/>
      <c r="N41" s="18"/>
      <c r="O41" s="18"/>
      <c r="P41" s="18"/>
    </row>
    <row r="42" spans="2:16" x14ac:dyDescent="0.2">
      <c r="B42" s="23" t="s">
        <v>2533</v>
      </c>
      <c r="C42" s="41" t="s">
        <v>2534</v>
      </c>
      <c r="D42" s="32" t="s">
        <v>209</v>
      </c>
      <c r="E42" s="32" t="s">
        <v>178</v>
      </c>
      <c r="F42" s="94" t="s">
        <v>127</v>
      </c>
      <c r="G42" s="103">
        <v>38.424790077427417</v>
      </c>
      <c r="H42" s="94">
        <v>279.7</v>
      </c>
      <c r="I42" s="124">
        <v>9285.7655099431722</v>
      </c>
      <c r="J42" s="41">
        <v>1.1587636834417794</v>
      </c>
      <c r="K42" s="41">
        <v>7.8636073628325165E-4</v>
      </c>
      <c r="L42" s="18"/>
      <c r="M42" s="18"/>
      <c r="N42" s="18"/>
      <c r="O42" s="18"/>
      <c r="P42" s="18"/>
    </row>
    <row r="43" spans="2:16" x14ac:dyDescent="0.2">
      <c r="B43" s="23" t="s">
        <v>2535</v>
      </c>
      <c r="C43" s="41" t="s">
        <v>2536</v>
      </c>
      <c r="D43" s="32" t="s">
        <v>209</v>
      </c>
      <c r="E43" s="32" t="s">
        <v>178</v>
      </c>
      <c r="F43" s="94" t="s">
        <v>127</v>
      </c>
      <c r="G43" s="103">
        <v>-2559287.1951758252</v>
      </c>
      <c r="H43" s="94">
        <v>1</v>
      </c>
      <c r="I43" s="124">
        <v>-8844.8965460509371</v>
      </c>
      <c r="J43" s="41">
        <v>-1.1037479775241688</v>
      </c>
      <c r="K43" s="41">
        <v>-7.4902595298730198E-4</v>
      </c>
      <c r="L43" s="18"/>
      <c r="M43" s="18"/>
      <c r="N43" s="18"/>
      <c r="O43" s="18"/>
      <c r="P43" s="18"/>
    </row>
    <row r="44" spans="2:16" x14ac:dyDescent="0.2">
      <c r="B44" s="23" t="s">
        <v>2537</v>
      </c>
      <c r="C44" s="41" t="s">
        <v>2538</v>
      </c>
      <c r="D44" s="32" t="s">
        <v>209</v>
      </c>
      <c r="E44" s="32" t="s">
        <v>178</v>
      </c>
      <c r="F44" s="94" t="s">
        <v>127</v>
      </c>
      <c r="G44" s="103">
        <v>118.01410571017369</v>
      </c>
      <c r="H44" s="94">
        <v>1523.1</v>
      </c>
      <c r="I44" s="124">
        <v>62120.661491116414</v>
      </c>
      <c r="J44" s="41">
        <v>7.7519905548128021</v>
      </c>
      <c r="K44" s="41">
        <v>5.2606593453441508E-3</v>
      </c>
      <c r="L44" s="18"/>
      <c r="M44" s="18"/>
      <c r="N44" s="18"/>
      <c r="O44" s="18"/>
      <c r="P44" s="18"/>
    </row>
    <row r="45" spans="2:16" x14ac:dyDescent="0.2">
      <c r="B45" s="23" t="s">
        <v>2539</v>
      </c>
      <c r="C45" s="41" t="s">
        <v>2540</v>
      </c>
      <c r="D45" s="32" t="s">
        <v>209</v>
      </c>
      <c r="E45" s="32" t="s">
        <v>178</v>
      </c>
      <c r="F45" s="94" t="s">
        <v>127</v>
      </c>
      <c r="G45" s="103">
        <v>-17664915.085054342</v>
      </c>
      <c r="H45" s="94">
        <v>1</v>
      </c>
      <c r="I45" s="124">
        <v>-61049.946533388895</v>
      </c>
      <c r="J45" s="41">
        <v>-7.6183768417587734</v>
      </c>
      <c r="K45" s="41">
        <v>-5.1699863468060636E-3</v>
      </c>
      <c r="L45" s="18"/>
      <c r="M45" s="18"/>
      <c r="N45" s="18"/>
      <c r="O45" s="18"/>
      <c r="P45" s="18"/>
    </row>
    <row r="46" spans="2:16" x14ac:dyDescent="0.2">
      <c r="B46" s="23" t="s">
        <v>2541</v>
      </c>
      <c r="C46" s="41" t="s">
        <v>2542</v>
      </c>
      <c r="D46" s="32" t="s">
        <v>209</v>
      </c>
      <c r="E46" s="32" t="s">
        <v>178</v>
      </c>
      <c r="F46" s="94" t="s">
        <v>127</v>
      </c>
      <c r="G46" s="103">
        <v>3.6848410784153836</v>
      </c>
      <c r="H46" s="94">
        <v>955.5</v>
      </c>
      <c r="I46" s="124">
        <v>40.162409456437494</v>
      </c>
      <c r="J46" s="41">
        <v>5.011836823555894E-3</v>
      </c>
      <c r="K46" s="41">
        <v>3.401134977752297E-6</v>
      </c>
      <c r="L46" s="18"/>
      <c r="M46" s="18"/>
      <c r="N46" s="18"/>
      <c r="O46" s="18"/>
      <c r="P46" s="18"/>
    </row>
    <row r="47" spans="2:16" x14ac:dyDescent="0.2">
      <c r="B47" s="23" t="s">
        <v>2543</v>
      </c>
      <c r="C47" s="41" t="s">
        <v>2544</v>
      </c>
      <c r="D47" s="32" t="s">
        <v>209</v>
      </c>
      <c r="E47" s="32" t="s">
        <v>178</v>
      </c>
      <c r="F47" s="94" t="s">
        <v>127</v>
      </c>
      <c r="G47" s="103">
        <v>4.6060513480192293</v>
      </c>
      <c r="H47" s="94">
        <v>614</v>
      </c>
      <c r="I47" s="124">
        <v>42.979986338637033</v>
      </c>
      <c r="J47" s="41">
        <v>5.3634401203332994E-3</v>
      </c>
      <c r="K47" s="41">
        <v>3.6397401664412219E-6</v>
      </c>
      <c r="L47" s="18"/>
      <c r="M47" s="18"/>
      <c r="N47" s="18"/>
      <c r="O47" s="18"/>
      <c r="P47" s="18"/>
    </row>
    <row r="48" spans="2:16" x14ac:dyDescent="0.2">
      <c r="B48" s="23" t="s">
        <v>2545</v>
      </c>
      <c r="C48" s="41" t="s">
        <v>2546</v>
      </c>
      <c r="D48" s="32" t="s">
        <v>209</v>
      </c>
      <c r="E48" s="32" t="s">
        <v>178</v>
      </c>
      <c r="F48" s="94" t="s">
        <v>127</v>
      </c>
      <c r="G48" s="103">
        <v>7.3696821568307671</v>
      </c>
      <c r="H48" s="94">
        <v>1382</v>
      </c>
      <c r="I48" s="124">
        <v>-20.643128253312781</v>
      </c>
      <c r="J48" s="41">
        <v>-2.5760404252030454E-3</v>
      </c>
      <c r="K48" s="41">
        <v>-1.7481537214225839E-6</v>
      </c>
      <c r="L48" s="18"/>
      <c r="M48" s="18"/>
      <c r="N48" s="18"/>
      <c r="O48" s="18"/>
      <c r="P48" s="18"/>
    </row>
    <row r="49" spans="2:16" x14ac:dyDescent="0.2">
      <c r="B49" s="23" t="s">
        <v>2547</v>
      </c>
      <c r="C49" s="41" t="s">
        <v>2548</v>
      </c>
      <c r="D49" s="32" t="s">
        <v>209</v>
      </c>
      <c r="E49" s="32" t="s">
        <v>178</v>
      </c>
      <c r="F49" s="94" t="s">
        <v>127</v>
      </c>
      <c r="G49" s="103">
        <v>1.8424205392076918</v>
      </c>
      <c r="H49" s="94">
        <v>304.7</v>
      </c>
      <c r="I49" s="124">
        <v>-0.44571837684512478</v>
      </c>
      <c r="J49" s="41">
        <v>-5.5620860507160142E-5</v>
      </c>
      <c r="K49" s="41">
        <v>-3.7745453577908961E-8</v>
      </c>
      <c r="L49" s="18"/>
      <c r="M49" s="18"/>
      <c r="N49" s="18"/>
      <c r="O49" s="18"/>
      <c r="P49" s="18"/>
    </row>
    <row r="50" spans="2:16" x14ac:dyDescent="0.2">
      <c r="B50" s="23" t="s">
        <v>2549</v>
      </c>
      <c r="C50" s="41" t="s">
        <v>2550</v>
      </c>
      <c r="D50" s="32" t="s">
        <v>209</v>
      </c>
      <c r="E50" s="32" t="s">
        <v>178</v>
      </c>
      <c r="F50" s="94" t="s">
        <v>127</v>
      </c>
      <c r="G50" s="103">
        <v>4.6060513480192293</v>
      </c>
      <c r="H50" s="94">
        <v>977.8</v>
      </c>
      <c r="I50" s="124">
        <v>43.935097146162306</v>
      </c>
      <c r="J50" s="41">
        <v>5.4826276785629284E-3</v>
      </c>
      <c r="K50" s="41">
        <v>3.7206232812510272E-6</v>
      </c>
      <c r="L50" s="18"/>
      <c r="M50" s="18"/>
      <c r="N50" s="18"/>
      <c r="O50" s="18"/>
      <c r="P50" s="18"/>
    </row>
    <row r="51" spans="2:16" s="160" customFormat="1" x14ac:dyDescent="0.2">
      <c r="B51" s="114" t="s">
        <v>227</v>
      </c>
      <c r="C51" s="170"/>
      <c r="D51" s="114"/>
      <c r="E51" s="114"/>
      <c r="F51" s="171"/>
      <c r="G51" s="189"/>
      <c r="H51" s="189"/>
      <c r="I51" s="190"/>
      <c r="J51" s="190"/>
      <c r="K51" s="175"/>
      <c r="L51" s="191"/>
      <c r="M51" s="191"/>
      <c r="N51" s="191"/>
      <c r="O51" s="175"/>
      <c r="P51" s="175"/>
    </row>
    <row r="52" spans="2:16" s="160" customFormat="1" x14ac:dyDescent="0.2">
      <c r="B52" s="114" t="s">
        <v>228</v>
      </c>
      <c r="C52" s="170"/>
      <c r="D52" s="114"/>
      <c r="E52" s="114"/>
      <c r="F52" s="171"/>
      <c r="G52" s="189"/>
      <c r="H52" s="189"/>
      <c r="I52" s="190"/>
      <c r="J52" s="190"/>
      <c r="K52" s="175"/>
      <c r="L52" s="191"/>
      <c r="M52" s="191"/>
      <c r="N52" s="191"/>
      <c r="O52" s="175"/>
      <c r="P52" s="175"/>
    </row>
    <row r="53" spans="2:16" s="160" customFormat="1" x14ac:dyDescent="0.2">
      <c r="B53" s="114" t="s">
        <v>229</v>
      </c>
      <c r="C53" s="170"/>
      <c r="D53" s="114"/>
      <c r="E53" s="114"/>
      <c r="F53" s="171"/>
      <c r="G53" s="189"/>
      <c r="H53" s="189"/>
      <c r="I53" s="190"/>
      <c r="J53" s="190"/>
      <c r="K53" s="175"/>
      <c r="L53" s="191"/>
      <c r="M53" s="191"/>
      <c r="N53" s="191"/>
      <c r="O53" s="175"/>
      <c r="P53" s="175"/>
    </row>
    <row r="54" spans="2:16" s="160" customFormat="1" x14ac:dyDescent="0.2">
      <c r="B54" s="114" t="s">
        <v>230</v>
      </c>
      <c r="C54" s="170"/>
      <c r="D54" s="114"/>
      <c r="E54" s="114"/>
      <c r="F54" s="171"/>
      <c r="G54" s="189"/>
      <c r="H54" s="189"/>
      <c r="I54" s="190"/>
      <c r="J54" s="190"/>
      <c r="K54" s="175"/>
      <c r="L54" s="191"/>
      <c r="M54" s="191"/>
      <c r="N54" s="191"/>
      <c r="O54" s="175"/>
      <c r="P54" s="175"/>
    </row>
    <row r="55" spans="2:16" s="160" customFormat="1" x14ac:dyDescent="0.2">
      <c r="B55" s="114" t="s">
        <v>231</v>
      </c>
      <c r="C55" s="170"/>
      <c r="D55" s="114"/>
      <c r="E55" s="114"/>
      <c r="F55" s="171"/>
      <c r="G55" s="189"/>
      <c r="H55" s="189"/>
      <c r="I55" s="190"/>
      <c r="J55" s="190"/>
      <c r="K55" s="175"/>
      <c r="L55" s="191"/>
      <c r="M55" s="191"/>
      <c r="N55" s="191"/>
      <c r="O55" s="175"/>
      <c r="P55" s="175"/>
    </row>
  </sheetData>
  <mergeCells count="2">
    <mergeCell ref="B7:K7"/>
    <mergeCell ref="B6:K6"/>
  </mergeCells>
  <phoneticPr fontId="3" type="noConversion"/>
  <conditionalFormatting sqref="K1:K5 K51:K55585 G11:H50">
    <cfRule type="expression" dxfId="99" priority="209" stopIfTrue="1">
      <formula>LEFT(#REF!,3)="TIR"</formula>
    </cfRule>
  </conditionalFormatting>
  <conditionalFormatting sqref="J11:K50 C11:F50">
    <cfRule type="expression" dxfId="98" priority="212" stopIfTrue="1">
      <formula>LEFT(#REF!,3)="TIR"</formula>
    </cfRule>
  </conditionalFormatting>
  <conditionalFormatting sqref="B11:B50 J12:J50 I11:J11">
    <cfRule type="expression" dxfId="97" priority="214" stopIfTrue="1">
      <formula>#REF!&gt;0</formula>
    </cfRule>
    <cfRule type="expression" dxfId="96" priority="215" stopIfTrue="1">
      <formula>LEFT(#REF!,3)="TIR"</formula>
    </cfRule>
  </conditionalFormatting>
  <conditionalFormatting sqref="K12:K50">
    <cfRule type="expression" dxfId="95" priority="220" stopIfTrue="1">
      <formula>OR(LEFT(#REF!,3)="TIR",LEFT(#REF!,2)="IR")</formula>
    </cfRule>
  </conditionalFormatting>
  <conditionalFormatting sqref="I12:J50">
    <cfRule type="expression" dxfId="94" priority="221" stopIfTrue="1">
      <formula>#REF!&gt;0</formula>
    </cfRule>
    <cfRule type="expression" dxfId="93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85546875" style="13" bestFit="1" customWidth="1"/>
    <col min="5" max="5" width="8.570312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2" style="95" bestFit="1" customWidth="1"/>
    <col min="10" max="10" width="11.5703125" style="97" bestFit="1" customWidth="1"/>
    <col min="11" max="11" width="13.42578125" style="97" bestFit="1" customWidth="1"/>
    <col min="12" max="12" width="12.42578125" style="97" bestFit="1" customWidth="1"/>
    <col min="13" max="13" width="12.42578125" style="95" bestFit="1" customWidth="1"/>
    <col min="14" max="14" width="11.28515625" style="95" bestFit="1" customWidth="1"/>
    <col min="15" max="15" width="14.42578125" style="99" bestFit="1" customWidth="1"/>
    <col min="16" max="16" width="15.28515625" style="99" bestFit="1" customWidth="1"/>
    <col min="17" max="17" width="20.5703125" style="99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8" t="s">
        <v>11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30"/>
    </row>
    <row r="7" spans="1:17" s="10" customFormat="1" x14ac:dyDescent="0.2">
      <c r="B7" s="231" t="s">
        <v>26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3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40</v>
      </c>
      <c r="H9" s="85" t="s">
        <v>16</v>
      </c>
      <c r="I9" s="37"/>
      <c r="J9" s="81" t="s">
        <v>9</v>
      </c>
      <c r="K9" s="81" t="s">
        <v>9</v>
      </c>
      <c r="L9" s="2" t="s">
        <v>136</v>
      </c>
      <c r="M9" s="81"/>
      <c r="N9" s="2" t="s">
        <v>138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60" customFormat="1" ht="12.75" customHeight="1" thickBot="1" x14ac:dyDescent="0.25">
      <c r="B11" s="141" t="s">
        <v>57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3"/>
      <c r="M11" s="142"/>
      <c r="N11" s="146">
        <v>24513.338962180362</v>
      </c>
      <c r="O11" s="101"/>
      <c r="P11" s="101">
        <v>1</v>
      </c>
      <c r="Q11" s="120">
        <v>2.0759007164697441E-3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5">
        <v>0</v>
      </c>
      <c r="O12" s="163" t="s">
        <v>238</v>
      </c>
      <c r="P12" s="163">
        <v>0</v>
      </c>
      <c r="Q12" s="163">
        <v>0</v>
      </c>
    </row>
    <row r="13" spans="1:17" s="160" customFormat="1" x14ac:dyDescent="0.2">
      <c r="B13" s="132" t="s">
        <v>2551</v>
      </c>
      <c r="C13" s="163" t="s">
        <v>238</v>
      </c>
      <c r="D13" s="167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8" t="s">
        <v>238</v>
      </c>
      <c r="N13" s="169">
        <v>0</v>
      </c>
      <c r="O13" s="167" t="s">
        <v>238</v>
      </c>
      <c r="P13" s="167">
        <v>0</v>
      </c>
      <c r="Q13" s="167">
        <v>0</v>
      </c>
    </row>
    <row r="14" spans="1:17" s="160" customFormat="1" x14ac:dyDescent="0.2">
      <c r="B14" s="132" t="s">
        <v>2552</v>
      </c>
      <c r="C14" s="163" t="s">
        <v>238</v>
      </c>
      <c r="D14" s="167" t="s">
        <v>238</v>
      </c>
      <c r="E14" s="168" t="s">
        <v>238</v>
      </c>
      <c r="F14" s="168" t="s">
        <v>238</v>
      </c>
      <c r="G14" s="168" t="s">
        <v>238</v>
      </c>
      <c r="H14" s="168" t="s">
        <v>238</v>
      </c>
      <c r="I14" s="168" t="s">
        <v>238</v>
      </c>
      <c r="J14" s="167" t="s">
        <v>238</v>
      </c>
      <c r="K14" s="167" t="s">
        <v>238</v>
      </c>
      <c r="L14" s="178" t="s">
        <v>238</v>
      </c>
      <c r="M14" s="168" t="s">
        <v>238</v>
      </c>
      <c r="N14" s="169">
        <v>0</v>
      </c>
      <c r="O14" s="167" t="s">
        <v>238</v>
      </c>
      <c r="P14" s="167">
        <v>0</v>
      </c>
      <c r="Q14" s="167">
        <v>0</v>
      </c>
    </row>
    <row r="15" spans="1:17" s="160" customFormat="1" x14ac:dyDescent="0.2">
      <c r="B15" s="132" t="s">
        <v>2553</v>
      </c>
      <c r="C15" s="163" t="s">
        <v>238</v>
      </c>
      <c r="D15" s="167" t="s">
        <v>238</v>
      </c>
      <c r="E15" s="168" t="s">
        <v>238</v>
      </c>
      <c r="F15" s="168" t="s">
        <v>238</v>
      </c>
      <c r="G15" s="168" t="s">
        <v>238</v>
      </c>
      <c r="H15" s="168" t="s">
        <v>238</v>
      </c>
      <c r="I15" s="168" t="s">
        <v>238</v>
      </c>
      <c r="J15" s="167" t="s">
        <v>238</v>
      </c>
      <c r="K15" s="167" t="s">
        <v>238</v>
      </c>
      <c r="L15" s="178" t="s">
        <v>238</v>
      </c>
      <c r="M15" s="168" t="s">
        <v>238</v>
      </c>
      <c r="N15" s="169">
        <v>0</v>
      </c>
      <c r="O15" s="167" t="s">
        <v>238</v>
      </c>
      <c r="P15" s="167">
        <v>0</v>
      </c>
      <c r="Q15" s="167">
        <v>0</v>
      </c>
    </row>
    <row r="16" spans="1:17" s="160" customFormat="1" x14ac:dyDescent="0.2">
      <c r="B16" s="132" t="s">
        <v>2554</v>
      </c>
      <c r="C16" s="163" t="s">
        <v>238</v>
      </c>
      <c r="D16" s="167" t="s">
        <v>238</v>
      </c>
      <c r="E16" s="168" t="s">
        <v>238</v>
      </c>
      <c r="F16" s="168" t="s">
        <v>238</v>
      </c>
      <c r="G16" s="168" t="s">
        <v>238</v>
      </c>
      <c r="H16" s="168" t="s">
        <v>238</v>
      </c>
      <c r="I16" s="168" t="s">
        <v>238</v>
      </c>
      <c r="J16" s="167" t="s">
        <v>238</v>
      </c>
      <c r="K16" s="167" t="s">
        <v>238</v>
      </c>
      <c r="L16" s="178" t="s">
        <v>238</v>
      </c>
      <c r="M16" s="168" t="s">
        <v>238</v>
      </c>
      <c r="N16" s="169">
        <v>0</v>
      </c>
      <c r="O16" s="167" t="s">
        <v>238</v>
      </c>
      <c r="P16" s="167">
        <v>0</v>
      </c>
      <c r="Q16" s="167">
        <v>0</v>
      </c>
    </row>
    <row r="17" spans="2:17" s="160" customFormat="1" x14ac:dyDescent="0.2">
      <c r="B17" s="132" t="s">
        <v>2555</v>
      </c>
      <c r="C17" s="163" t="s">
        <v>238</v>
      </c>
      <c r="D17" s="167" t="s">
        <v>238</v>
      </c>
      <c r="E17" s="168" t="s">
        <v>238</v>
      </c>
      <c r="F17" s="168" t="s">
        <v>238</v>
      </c>
      <c r="G17" s="168" t="s">
        <v>238</v>
      </c>
      <c r="H17" s="168" t="s">
        <v>238</v>
      </c>
      <c r="I17" s="168" t="s">
        <v>238</v>
      </c>
      <c r="J17" s="167" t="s">
        <v>238</v>
      </c>
      <c r="K17" s="167" t="s">
        <v>238</v>
      </c>
      <c r="L17" s="178" t="s">
        <v>238</v>
      </c>
      <c r="M17" s="168" t="s">
        <v>238</v>
      </c>
      <c r="N17" s="169">
        <v>0</v>
      </c>
      <c r="O17" s="167" t="s">
        <v>238</v>
      </c>
      <c r="P17" s="167">
        <v>0</v>
      </c>
      <c r="Q17" s="167">
        <v>0</v>
      </c>
    </row>
    <row r="18" spans="2:17" s="160" customFormat="1" x14ac:dyDescent="0.2">
      <c r="B18" s="132" t="s">
        <v>2556</v>
      </c>
      <c r="C18" s="163" t="s">
        <v>238</v>
      </c>
      <c r="D18" s="167" t="s">
        <v>238</v>
      </c>
      <c r="E18" s="168" t="s">
        <v>238</v>
      </c>
      <c r="F18" s="168" t="s">
        <v>238</v>
      </c>
      <c r="G18" s="168" t="s">
        <v>238</v>
      </c>
      <c r="H18" s="168" t="s">
        <v>238</v>
      </c>
      <c r="I18" s="168" t="s">
        <v>238</v>
      </c>
      <c r="J18" s="167" t="s">
        <v>238</v>
      </c>
      <c r="K18" s="167" t="s">
        <v>238</v>
      </c>
      <c r="L18" s="178" t="s">
        <v>238</v>
      </c>
      <c r="M18" s="168" t="s">
        <v>238</v>
      </c>
      <c r="N18" s="169">
        <v>0</v>
      </c>
      <c r="O18" s="167" t="s">
        <v>238</v>
      </c>
      <c r="P18" s="167">
        <v>0</v>
      </c>
      <c r="Q18" s="167">
        <v>0</v>
      </c>
    </row>
    <row r="19" spans="2:17" s="160" customFormat="1" x14ac:dyDescent="0.2">
      <c r="B19" s="132" t="s">
        <v>2557</v>
      </c>
      <c r="C19" s="163" t="s">
        <v>238</v>
      </c>
      <c r="D19" s="167" t="s">
        <v>238</v>
      </c>
      <c r="E19" s="168" t="s">
        <v>238</v>
      </c>
      <c r="F19" s="168" t="s">
        <v>238</v>
      </c>
      <c r="G19" s="168" t="s">
        <v>238</v>
      </c>
      <c r="H19" s="168" t="s">
        <v>238</v>
      </c>
      <c r="I19" s="168" t="s">
        <v>238</v>
      </c>
      <c r="J19" s="167" t="s">
        <v>238</v>
      </c>
      <c r="K19" s="167" t="s">
        <v>238</v>
      </c>
      <c r="L19" s="178" t="s">
        <v>238</v>
      </c>
      <c r="M19" s="168" t="s">
        <v>238</v>
      </c>
      <c r="N19" s="169">
        <v>0</v>
      </c>
      <c r="O19" s="167" t="s">
        <v>238</v>
      </c>
      <c r="P19" s="167">
        <v>0</v>
      </c>
      <c r="Q19" s="167">
        <v>0</v>
      </c>
    </row>
    <row r="20" spans="2:17" s="160" customFormat="1" x14ac:dyDescent="0.2">
      <c r="B20" s="132" t="s">
        <v>544</v>
      </c>
      <c r="C20" s="163" t="s">
        <v>238</v>
      </c>
      <c r="D20" s="167" t="s">
        <v>238</v>
      </c>
      <c r="E20" s="168" t="s">
        <v>238</v>
      </c>
      <c r="F20" s="168" t="s">
        <v>238</v>
      </c>
      <c r="G20" s="168" t="s">
        <v>238</v>
      </c>
      <c r="H20" s="168" t="s">
        <v>238</v>
      </c>
      <c r="I20" s="168" t="s">
        <v>238</v>
      </c>
      <c r="J20" s="167" t="s">
        <v>238</v>
      </c>
      <c r="K20" s="167" t="s">
        <v>238</v>
      </c>
      <c r="L20" s="178" t="s">
        <v>238</v>
      </c>
      <c r="M20" s="168" t="s">
        <v>238</v>
      </c>
      <c r="N20" s="169">
        <v>24513.338961580357</v>
      </c>
      <c r="O20" s="167" t="s">
        <v>238</v>
      </c>
      <c r="P20" s="167">
        <v>0.99999999997552347</v>
      </c>
      <c r="Q20" s="167">
        <v>2.0759007164189332E-3</v>
      </c>
    </row>
    <row r="21" spans="2:17" s="160" customFormat="1" x14ac:dyDescent="0.2">
      <c r="B21" s="132" t="s">
        <v>2558</v>
      </c>
      <c r="C21" s="163" t="s">
        <v>238</v>
      </c>
      <c r="D21" s="167" t="s">
        <v>238</v>
      </c>
      <c r="E21" s="168" t="s">
        <v>238</v>
      </c>
      <c r="F21" s="168" t="s">
        <v>238</v>
      </c>
      <c r="G21" s="168" t="s">
        <v>238</v>
      </c>
      <c r="H21" s="168" t="s">
        <v>238</v>
      </c>
      <c r="I21" s="168" t="s">
        <v>238</v>
      </c>
      <c r="J21" s="167" t="s">
        <v>238</v>
      </c>
      <c r="K21" s="167" t="s">
        <v>238</v>
      </c>
      <c r="L21" s="178" t="s">
        <v>238</v>
      </c>
      <c r="M21" s="168" t="s">
        <v>238</v>
      </c>
      <c r="N21" s="169">
        <v>24161.285771937608</v>
      </c>
      <c r="O21" s="167" t="s">
        <v>238</v>
      </c>
      <c r="P21" s="167">
        <v>0.98563830122098395</v>
      </c>
      <c r="Q21" s="167">
        <v>2.0460872556846621E-3</v>
      </c>
    </row>
    <row r="22" spans="2:17" x14ac:dyDescent="0.2">
      <c r="B22" s="23" t="s">
        <v>2559</v>
      </c>
      <c r="C22" s="41" t="s">
        <v>2560</v>
      </c>
      <c r="D22" s="32" t="s">
        <v>2152</v>
      </c>
      <c r="E22" s="94" t="s">
        <v>2561</v>
      </c>
      <c r="F22" s="94" t="s">
        <v>412</v>
      </c>
      <c r="G22" s="94" t="s">
        <v>2562</v>
      </c>
      <c r="H22" s="94">
        <v>0</v>
      </c>
      <c r="I22" s="94" t="s">
        <v>127</v>
      </c>
      <c r="J22" s="32">
        <v>0</v>
      </c>
      <c r="K22" s="32">
        <v>0</v>
      </c>
      <c r="L22" s="103">
        <v>24038.987030115055</v>
      </c>
      <c r="M22" s="94">
        <v>14585</v>
      </c>
      <c r="N22" s="124">
        <v>12117.034108365167</v>
      </c>
      <c r="O22" s="32" t="s">
        <v>238</v>
      </c>
      <c r="P22" s="32">
        <v>0.49430369836844967</v>
      </c>
      <c r="Q22" s="32">
        <v>1.0261254015967091E-3</v>
      </c>
    </row>
    <row r="23" spans="2:17" x14ac:dyDescent="0.2">
      <c r="B23" s="23" t="s">
        <v>2563</v>
      </c>
      <c r="C23" s="41" t="s">
        <v>2564</v>
      </c>
      <c r="D23" s="32" t="s">
        <v>2152</v>
      </c>
      <c r="E23" s="94" t="s">
        <v>599</v>
      </c>
      <c r="F23" s="94" t="s">
        <v>238</v>
      </c>
      <c r="G23" s="94" t="s">
        <v>2565</v>
      </c>
      <c r="H23" s="94">
        <v>0</v>
      </c>
      <c r="I23" s="94" t="s">
        <v>128</v>
      </c>
      <c r="J23" s="32">
        <v>0</v>
      </c>
      <c r="K23" s="32">
        <v>0</v>
      </c>
      <c r="L23" s="103">
        <v>2954928.0010024211</v>
      </c>
      <c r="M23" s="94">
        <v>105.1</v>
      </c>
      <c r="N23" s="124">
        <v>12044.25166347244</v>
      </c>
      <c r="O23" s="32" t="s">
        <v>238</v>
      </c>
      <c r="P23" s="32">
        <v>0.49133460284845476</v>
      </c>
      <c r="Q23" s="32">
        <v>1.0199618540794844E-3</v>
      </c>
    </row>
    <row r="24" spans="2:17" s="160" customFormat="1" x14ac:dyDescent="0.2">
      <c r="B24" s="132" t="s">
        <v>2566</v>
      </c>
      <c r="C24" s="163" t="s">
        <v>238</v>
      </c>
      <c r="D24" s="167" t="s">
        <v>238</v>
      </c>
      <c r="E24" s="168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8" t="s">
        <v>238</v>
      </c>
      <c r="N24" s="169">
        <v>352.05318924275252</v>
      </c>
      <c r="O24" s="167" t="s">
        <v>238</v>
      </c>
      <c r="P24" s="167">
        <v>1.4361698738221943E-2</v>
      </c>
      <c r="Q24" s="167">
        <v>2.9813460700397553E-5</v>
      </c>
    </row>
    <row r="25" spans="2:17" x14ac:dyDescent="0.2">
      <c r="B25" s="23" t="s">
        <v>2567</v>
      </c>
      <c r="C25" s="41" t="s">
        <v>2568</v>
      </c>
      <c r="D25" s="32" t="s">
        <v>2152</v>
      </c>
      <c r="E25" s="94" t="s">
        <v>411</v>
      </c>
      <c r="F25" s="94" t="s">
        <v>412</v>
      </c>
      <c r="G25" s="94" t="s">
        <v>2569</v>
      </c>
      <c r="H25" s="94">
        <v>0</v>
      </c>
      <c r="I25" s="94" t="s">
        <v>244</v>
      </c>
      <c r="J25" s="32">
        <v>0</v>
      </c>
      <c r="K25" s="32">
        <v>0</v>
      </c>
      <c r="L25" s="103">
        <v>2.2913551753112507</v>
      </c>
      <c r="M25" s="94">
        <v>15364409.380000001</v>
      </c>
      <c r="N25" s="124">
        <v>352.0531891427525</v>
      </c>
      <c r="O25" s="32">
        <v>3.6370717068432548E-2</v>
      </c>
      <c r="P25" s="32">
        <v>1.4361698734142532E-2</v>
      </c>
      <c r="Q25" s="32">
        <v>2.9813460691929098E-5</v>
      </c>
    </row>
    <row r="26" spans="2:17" s="160" customFormat="1" x14ac:dyDescent="0.2">
      <c r="B26" s="132" t="s">
        <v>2570</v>
      </c>
      <c r="C26" s="163" t="s">
        <v>238</v>
      </c>
      <c r="D26" s="167" t="s">
        <v>238</v>
      </c>
      <c r="E26" s="168" t="s">
        <v>238</v>
      </c>
      <c r="F26" s="168" t="s">
        <v>238</v>
      </c>
      <c r="G26" s="168" t="s">
        <v>238</v>
      </c>
      <c r="H26" s="168" t="s">
        <v>238</v>
      </c>
      <c r="I26" s="168" t="s">
        <v>238</v>
      </c>
      <c r="J26" s="167" t="s">
        <v>238</v>
      </c>
      <c r="K26" s="167" t="s">
        <v>238</v>
      </c>
      <c r="L26" s="178" t="s">
        <v>238</v>
      </c>
      <c r="M26" s="168" t="s">
        <v>238</v>
      </c>
      <c r="N26" s="169">
        <v>0</v>
      </c>
      <c r="O26" s="167" t="s">
        <v>238</v>
      </c>
      <c r="P26" s="167">
        <v>0</v>
      </c>
      <c r="Q26" s="167">
        <v>0</v>
      </c>
    </row>
    <row r="27" spans="2:17" s="160" customFormat="1" x14ac:dyDescent="0.2">
      <c r="B27" s="132" t="s">
        <v>2554</v>
      </c>
      <c r="C27" s="163" t="s">
        <v>238</v>
      </c>
      <c r="D27" s="167" t="s">
        <v>238</v>
      </c>
      <c r="E27" s="168" t="s">
        <v>238</v>
      </c>
      <c r="F27" s="168" t="s">
        <v>238</v>
      </c>
      <c r="G27" s="168" t="s">
        <v>238</v>
      </c>
      <c r="H27" s="168" t="s">
        <v>238</v>
      </c>
      <c r="I27" s="168" t="s">
        <v>238</v>
      </c>
      <c r="J27" s="167" t="s">
        <v>238</v>
      </c>
      <c r="K27" s="167" t="s">
        <v>238</v>
      </c>
      <c r="L27" s="178" t="s">
        <v>238</v>
      </c>
      <c r="M27" s="168" t="s">
        <v>238</v>
      </c>
      <c r="N27" s="169">
        <v>0</v>
      </c>
      <c r="O27" s="167" t="s">
        <v>238</v>
      </c>
      <c r="P27" s="167">
        <v>0</v>
      </c>
      <c r="Q27" s="167">
        <v>0</v>
      </c>
    </row>
    <row r="28" spans="2:17" s="160" customFormat="1" x14ac:dyDescent="0.2">
      <c r="B28" s="132" t="s">
        <v>2555</v>
      </c>
      <c r="C28" s="163" t="s">
        <v>238</v>
      </c>
      <c r="D28" s="167" t="s">
        <v>238</v>
      </c>
      <c r="E28" s="168" t="s">
        <v>238</v>
      </c>
      <c r="F28" s="168" t="s">
        <v>238</v>
      </c>
      <c r="G28" s="168" t="s">
        <v>238</v>
      </c>
      <c r="H28" s="168" t="s">
        <v>238</v>
      </c>
      <c r="I28" s="168" t="s">
        <v>238</v>
      </c>
      <c r="J28" s="167" t="s">
        <v>238</v>
      </c>
      <c r="K28" s="167" t="s">
        <v>238</v>
      </c>
      <c r="L28" s="178" t="s">
        <v>238</v>
      </c>
      <c r="M28" s="168" t="s">
        <v>238</v>
      </c>
      <c r="N28" s="169">
        <v>0</v>
      </c>
      <c r="O28" s="167" t="s">
        <v>238</v>
      </c>
      <c r="P28" s="167">
        <v>0</v>
      </c>
      <c r="Q28" s="167">
        <v>0</v>
      </c>
    </row>
    <row r="29" spans="2:17" s="160" customFormat="1" x14ac:dyDescent="0.2">
      <c r="B29" s="132" t="s">
        <v>2556</v>
      </c>
      <c r="C29" s="163" t="s">
        <v>238</v>
      </c>
      <c r="D29" s="167" t="s">
        <v>238</v>
      </c>
      <c r="E29" s="168" t="s">
        <v>238</v>
      </c>
      <c r="F29" s="168" t="s">
        <v>238</v>
      </c>
      <c r="G29" s="168" t="s">
        <v>238</v>
      </c>
      <c r="H29" s="168" t="s">
        <v>238</v>
      </c>
      <c r="I29" s="168" t="s">
        <v>238</v>
      </c>
      <c r="J29" s="167" t="s">
        <v>238</v>
      </c>
      <c r="K29" s="167" t="s">
        <v>238</v>
      </c>
      <c r="L29" s="178" t="s">
        <v>238</v>
      </c>
      <c r="M29" s="168" t="s">
        <v>238</v>
      </c>
      <c r="N29" s="169">
        <v>0</v>
      </c>
      <c r="O29" s="167" t="s">
        <v>238</v>
      </c>
      <c r="P29" s="167">
        <v>0</v>
      </c>
      <c r="Q29" s="167">
        <v>0</v>
      </c>
    </row>
    <row r="30" spans="2:17" s="160" customFormat="1" x14ac:dyDescent="0.2">
      <c r="B30" s="132" t="s">
        <v>2557</v>
      </c>
      <c r="C30" s="163" t="s">
        <v>238</v>
      </c>
      <c r="D30" s="167" t="s">
        <v>238</v>
      </c>
      <c r="E30" s="168" t="s">
        <v>238</v>
      </c>
      <c r="F30" s="168" t="s">
        <v>238</v>
      </c>
      <c r="G30" s="168" t="s">
        <v>238</v>
      </c>
      <c r="H30" s="168" t="s">
        <v>238</v>
      </c>
      <c r="I30" s="168" t="s">
        <v>238</v>
      </c>
      <c r="J30" s="167" t="s">
        <v>238</v>
      </c>
      <c r="K30" s="167" t="s">
        <v>238</v>
      </c>
      <c r="L30" s="178" t="s">
        <v>238</v>
      </c>
      <c r="M30" s="168" t="s">
        <v>238</v>
      </c>
      <c r="N30" s="169">
        <v>0</v>
      </c>
      <c r="O30" s="167" t="s">
        <v>238</v>
      </c>
      <c r="P30" s="167">
        <v>0</v>
      </c>
      <c r="Q30" s="167">
        <v>0</v>
      </c>
    </row>
    <row r="31" spans="2:17" s="160" customFormat="1" x14ac:dyDescent="0.2">
      <c r="B31" s="114" t="s">
        <v>227</v>
      </c>
      <c r="C31" s="170"/>
      <c r="D31" s="114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4" t="s">
        <v>228</v>
      </c>
      <c r="C32" s="170"/>
      <c r="D32" s="114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4" t="s">
        <v>229</v>
      </c>
      <c r="C33" s="170"/>
      <c r="D33" s="114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4" t="s">
        <v>230</v>
      </c>
      <c r="C34" s="170"/>
      <c r="D34" s="114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  <row r="35" spans="2:17" s="160" customFormat="1" x14ac:dyDescent="0.2">
      <c r="B35" s="114" t="s">
        <v>231</v>
      </c>
      <c r="C35" s="170"/>
      <c r="D35" s="114"/>
      <c r="E35" s="171"/>
      <c r="F35" s="171"/>
      <c r="G35" s="171"/>
      <c r="H35" s="172"/>
      <c r="I35" s="173"/>
      <c r="J35" s="174"/>
      <c r="K35" s="174"/>
      <c r="L35" s="174"/>
      <c r="M35" s="173"/>
      <c r="N35" s="173"/>
      <c r="O35" s="179"/>
      <c r="P35" s="179"/>
      <c r="Q35" s="179"/>
    </row>
  </sheetData>
  <mergeCells count="2">
    <mergeCell ref="B7:Q7"/>
    <mergeCell ref="B6:Q6"/>
  </mergeCells>
  <phoneticPr fontId="3" type="noConversion"/>
  <conditionalFormatting sqref="I12:I30 P12:Q30 C12:G30">
    <cfRule type="expression" dxfId="92" priority="227" stopIfTrue="1">
      <formula>OR(LEFT(#REF!,3)="TIR",LEFT(#REF!,2)="IR")</formula>
    </cfRule>
  </conditionalFormatting>
  <conditionalFormatting sqref="B12:B30 N12:N30">
    <cfRule type="expression" dxfId="91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8" t="s">
        <v>28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30"/>
    </row>
    <row r="7" spans="1:16" s="10" customFormat="1" x14ac:dyDescent="0.2">
      <c r="B7" s="231" t="s">
        <v>12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3"/>
    </row>
    <row r="8" spans="1:16" s="10" customFormat="1" ht="31.5" customHeight="1" x14ac:dyDescent="0.2">
      <c r="B8" s="9" t="s">
        <v>219</v>
      </c>
      <c r="C8" s="4" t="s">
        <v>69</v>
      </c>
      <c r="D8" s="4" t="s">
        <v>70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66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17</v>
      </c>
      <c r="O8" s="38" t="s">
        <v>75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60" customFormat="1" ht="12.75" customHeight="1" thickBot="1" x14ac:dyDescent="0.25">
      <c r="B11" s="108" t="s">
        <v>52</v>
      </c>
      <c r="C11" s="161" t="s">
        <v>238</v>
      </c>
      <c r="D11" s="161"/>
      <c r="E11" s="161"/>
      <c r="F11" s="161" t="s">
        <v>238</v>
      </c>
      <c r="G11" s="161" t="s">
        <v>238</v>
      </c>
      <c r="H11" s="161" t="s">
        <v>238</v>
      </c>
      <c r="I11" s="161" t="s">
        <v>238</v>
      </c>
      <c r="J11" s="161" t="s">
        <v>238</v>
      </c>
      <c r="K11" s="199" t="s">
        <v>238</v>
      </c>
      <c r="L11" s="161" t="s">
        <v>238</v>
      </c>
      <c r="M11" s="148">
        <v>6.9999999999999997E-7</v>
      </c>
      <c r="N11" s="161" t="s">
        <v>238</v>
      </c>
      <c r="O11" s="147">
        <v>1</v>
      </c>
      <c r="P11" s="92">
        <v>0</v>
      </c>
    </row>
    <row r="12" spans="1:16" s="160" customFormat="1" x14ac:dyDescent="0.2">
      <c r="B12" s="131" t="s">
        <v>140</v>
      </c>
      <c r="C12" s="163" t="s">
        <v>238</v>
      </c>
      <c r="D12" s="183" t="s">
        <v>238</v>
      </c>
      <c r="E12" s="183" t="s">
        <v>238</v>
      </c>
      <c r="F12" s="183" t="s">
        <v>238</v>
      </c>
      <c r="G12" s="183" t="s">
        <v>238</v>
      </c>
      <c r="H12" s="183" t="s">
        <v>238</v>
      </c>
      <c r="I12" s="184" t="s">
        <v>238</v>
      </c>
      <c r="J12" s="184" t="s">
        <v>238</v>
      </c>
      <c r="K12" s="185" t="s">
        <v>238</v>
      </c>
      <c r="L12" s="183" t="s">
        <v>238</v>
      </c>
      <c r="M12" s="165">
        <v>0</v>
      </c>
      <c r="N12" s="184" t="s">
        <v>238</v>
      </c>
      <c r="O12" s="163">
        <v>0</v>
      </c>
      <c r="P12" s="163">
        <v>0</v>
      </c>
    </row>
    <row r="13" spans="1:16" s="160" customFormat="1" x14ac:dyDescent="0.2">
      <c r="B13" s="132" t="s">
        <v>2571</v>
      </c>
      <c r="C13" s="163" t="s">
        <v>238</v>
      </c>
      <c r="D13" s="186" t="s">
        <v>238</v>
      </c>
      <c r="E13" s="186" t="s">
        <v>238</v>
      </c>
      <c r="F13" s="186" t="s">
        <v>238</v>
      </c>
      <c r="G13" s="186" t="s">
        <v>238</v>
      </c>
      <c r="H13" s="186" t="s">
        <v>238</v>
      </c>
      <c r="I13" s="187" t="s">
        <v>238</v>
      </c>
      <c r="J13" s="187" t="s">
        <v>238</v>
      </c>
      <c r="K13" s="188" t="s">
        <v>238</v>
      </c>
      <c r="L13" s="186" t="s">
        <v>238</v>
      </c>
      <c r="M13" s="169">
        <v>0</v>
      </c>
      <c r="N13" s="187" t="s">
        <v>238</v>
      </c>
      <c r="O13" s="167">
        <v>0</v>
      </c>
      <c r="P13" s="167">
        <v>0</v>
      </c>
    </row>
    <row r="14" spans="1:16" s="160" customFormat="1" x14ac:dyDescent="0.2">
      <c r="B14" s="132" t="s">
        <v>2572</v>
      </c>
      <c r="C14" s="163" t="s">
        <v>238</v>
      </c>
      <c r="D14" s="186" t="s">
        <v>238</v>
      </c>
      <c r="E14" s="186" t="s">
        <v>238</v>
      </c>
      <c r="F14" s="186" t="s">
        <v>238</v>
      </c>
      <c r="G14" s="186" t="s">
        <v>238</v>
      </c>
      <c r="H14" s="186" t="s">
        <v>238</v>
      </c>
      <c r="I14" s="187" t="s">
        <v>238</v>
      </c>
      <c r="J14" s="187" t="s">
        <v>238</v>
      </c>
      <c r="K14" s="188" t="s">
        <v>238</v>
      </c>
      <c r="L14" s="186" t="s">
        <v>238</v>
      </c>
      <c r="M14" s="169">
        <v>0</v>
      </c>
      <c r="N14" s="187" t="s">
        <v>238</v>
      </c>
      <c r="O14" s="167">
        <v>0</v>
      </c>
      <c r="P14" s="167">
        <v>0</v>
      </c>
    </row>
    <row r="15" spans="1:16" s="160" customFormat="1" x14ac:dyDescent="0.2">
      <c r="B15" s="132" t="s">
        <v>2573</v>
      </c>
      <c r="C15" s="163" t="s">
        <v>238</v>
      </c>
      <c r="D15" s="186" t="s">
        <v>238</v>
      </c>
      <c r="E15" s="186" t="s">
        <v>238</v>
      </c>
      <c r="F15" s="186" t="s">
        <v>238</v>
      </c>
      <c r="G15" s="186" t="s">
        <v>238</v>
      </c>
      <c r="H15" s="186" t="s">
        <v>238</v>
      </c>
      <c r="I15" s="187" t="s">
        <v>238</v>
      </c>
      <c r="J15" s="187" t="s">
        <v>238</v>
      </c>
      <c r="K15" s="188" t="s">
        <v>238</v>
      </c>
      <c r="L15" s="186" t="s">
        <v>238</v>
      </c>
      <c r="M15" s="169">
        <v>0</v>
      </c>
      <c r="N15" s="187" t="s">
        <v>238</v>
      </c>
      <c r="O15" s="167">
        <v>0</v>
      </c>
      <c r="P15" s="167">
        <v>0</v>
      </c>
    </row>
    <row r="16" spans="1:16" s="160" customFormat="1" x14ac:dyDescent="0.2">
      <c r="B16" s="132" t="s">
        <v>2574</v>
      </c>
      <c r="C16" s="163" t="s">
        <v>238</v>
      </c>
      <c r="D16" s="186" t="s">
        <v>238</v>
      </c>
      <c r="E16" s="186" t="s">
        <v>238</v>
      </c>
      <c r="F16" s="186" t="s">
        <v>238</v>
      </c>
      <c r="G16" s="186" t="s">
        <v>238</v>
      </c>
      <c r="H16" s="186" t="s">
        <v>238</v>
      </c>
      <c r="I16" s="187" t="s">
        <v>238</v>
      </c>
      <c r="J16" s="187" t="s">
        <v>238</v>
      </c>
      <c r="K16" s="188" t="s">
        <v>238</v>
      </c>
      <c r="L16" s="186" t="s">
        <v>238</v>
      </c>
      <c r="M16" s="169">
        <v>0</v>
      </c>
      <c r="N16" s="187" t="s">
        <v>238</v>
      </c>
      <c r="O16" s="167">
        <v>0</v>
      </c>
      <c r="P16" s="167">
        <v>0</v>
      </c>
    </row>
    <row r="17" spans="2:16" s="160" customFormat="1" x14ac:dyDescent="0.2">
      <c r="B17" s="132" t="s">
        <v>209</v>
      </c>
      <c r="C17" s="163" t="s">
        <v>238</v>
      </c>
      <c r="D17" s="186" t="s">
        <v>238</v>
      </c>
      <c r="E17" s="186" t="s">
        <v>238</v>
      </c>
      <c r="F17" s="186" t="s">
        <v>238</v>
      </c>
      <c r="G17" s="186" t="s">
        <v>238</v>
      </c>
      <c r="H17" s="186" t="s">
        <v>238</v>
      </c>
      <c r="I17" s="187" t="s">
        <v>238</v>
      </c>
      <c r="J17" s="187" t="s">
        <v>238</v>
      </c>
      <c r="K17" s="188" t="s">
        <v>238</v>
      </c>
      <c r="L17" s="186" t="s">
        <v>238</v>
      </c>
      <c r="M17" s="169">
        <v>0</v>
      </c>
      <c r="N17" s="187" t="s">
        <v>238</v>
      </c>
      <c r="O17" s="167">
        <v>0</v>
      </c>
      <c r="P17" s="167">
        <v>0</v>
      </c>
    </row>
    <row r="18" spans="2:16" s="160" customFormat="1" x14ac:dyDescent="0.2">
      <c r="B18" s="132" t="s">
        <v>544</v>
      </c>
      <c r="C18" s="163" t="s">
        <v>238</v>
      </c>
      <c r="D18" s="186" t="s">
        <v>238</v>
      </c>
      <c r="E18" s="186" t="s">
        <v>238</v>
      </c>
      <c r="F18" s="186" t="s">
        <v>238</v>
      </c>
      <c r="G18" s="186" t="s">
        <v>238</v>
      </c>
      <c r="H18" s="186" t="s">
        <v>238</v>
      </c>
      <c r="I18" s="187" t="s">
        <v>238</v>
      </c>
      <c r="J18" s="187" t="s">
        <v>238</v>
      </c>
      <c r="K18" s="188" t="s">
        <v>238</v>
      </c>
      <c r="L18" s="186" t="s">
        <v>238</v>
      </c>
      <c r="M18" s="169">
        <v>0</v>
      </c>
      <c r="N18" s="187" t="s">
        <v>238</v>
      </c>
      <c r="O18" s="167">
        <v>0</v>
      </c>
      <c r="P18" s="167">
        <v>0</v>
      </c>
    </row>
    <row r="19" spans="2:16" s="160" customFormat="1" x14ac:dyDescent="0.2">
      <c r="B19" s="132" t="s">
        <v>2575</v>
      </c>
      <c r="C19" s="163" t="s">
        <v>238</v>
      </c>
      <c r="D19" s="186" t="s">
        <v>238</v>
      </c>
      <c r="E19" s="186" t="s">
        <v>238</v>
      </c>
      <c r="F19" s="186" t="s">
        <v>238</v>
      </c>
      <c r="G19" s="186" t="s">
        <v>238</v>
      </c>
      <c r="H19" s="186" t="s">
        <v>238</v>
      </c>
      <c r="I19" s="187" t="s">
        <v>238</v>
      </c>
      <c r="J19" s="187" t="s">
        <v>238</v>
      </c>
      <c r="K19" s="188" t="s">
        <v>238</v>
      </c>
      <c r="L19" s="186" t="s">
        <v>238</v>
      </c>
      <c r="M19" s="169">
        <v>0</v>
      </c>
      <c r="N19" s="187" t="s">
        <v>238</v>
      </c>
      <c r="O19" s="167">
        <v>0</v>
      </c>
      <c r="P19" s="167">
        <v>0</v>
      </c>
    </row>
    <row r="20" spans="2:16" s="160" customFormat="1" x14ac:dyDescent="0.2">
      <c r="B20" s="132" t="s">
        <v>2576</v>
      </c>
      <c r="C20" s="163" t="s">
        <v>238</v>
      </c>
      <c r="D20" s="186" t="s">
        <v>238</v>
      </c>
      <c r="E20" s="186" t="s">
        <v>238</v>
      </c>
      <c r="F20" s="186" t="s">
        <v>238</v>
      </c>
      <c r="G20" s="186" t="s">
        <v>238</v>
      </c>
      <c r="H20" s="186" t="s">
        <v>238</v>
      </c>
      <c r="I20" s="187" t="s">
        <v>238</v>
      </c>
      <c r="J20" s="187" t="s">
        <v>238</v>
      </c>
      <c r="K20" s="188" t="s">
        <v>238</v>
      </c>
      <c r="L20" s="186" t="s">
        <v>238</v>
      </c>
      <c r="M20" s="169">
        <v>0</v>
      </c>
      <c r="N20" s="187" t="s">
        <v>238</v>
      </c>
      <c r="O20" s="167">
        <v>0</v>
      </c>
      <c r="P20" s="167">
        <v>0</v>
      </c>
    </row>
    <row r="21" spans="2:16" s="160" customFormat="1" x14ac:dyDescent="0.2">
      <c r="B21" s="114" t="s">
        <v>227</v>
      </c>
      <c r="C21" s="170"/>
      <c r="D21" s="114"/>
      <c r="E21" s="189"/>
      <c r="F21" s="189"/>
      <c r="G21" s="189"/>
      <c r="H21" s="190"/>
      <c r="I21" s="175"/>
      <c r="J21" s="191"/>
      <c r="K21" s="191"/>
      <c r="L21" s="191"/>
      <c r="M21" s="175"/>
      <c r="N21" s="175"/>
      <c r="O21" s="175"/>
    </row>
    <row r="22" spans="2:16" s="160" customFormat="1" x14ac:dyDescent="0.2">
      <c r="B22" s="114" t="s">
        <v>228</v>
      </c>
      <c r="C22" s="170"/>
      <c r="D22" s="114"/>
      <c r="E22" s="189"/>
      <c r="F22" s="189"/>
      <c r="G22" s="189"/>
      <c r="H22" s="190"/>
      <c r="I22" s="175"/>
      <c r="J22" s="191"/>
      <c r="K22" s="191"/>
      <c r="L22" s="191"/>
      <c r="M22" s="175"/>
      <c r="N22" s="175"/>
      <c r="O22" s="175"/>
    </row>
    <row r="23" spans="2:16" s="160" customFormat="1" x14ac:dyDescent="0.2">
      <c r="B23" s="114" t="s">
        <v>229</v>
      </c>
      <c r="C23" s="170"/>
      <c r="D23" s="114"/>
      <c r="E23" s="189"/>
      <c r="F23" s="189"/>
      <c r="G23" s="189"/>
      <c r="H23" s="190"/>
      <c r="I23" s="175"/>
      <c r="J23" s="191"/>
      <c r="K23" s="191"/>
      <c r="L23" s="191"/>
      <c r="M23" s="175"/>
      <c r="N23" s="175"/>
      <c r="O23" s="175"/>
    </row>
    <row r="24" spans="2:16" s="160" customFormat="1" x14ac:dyDescent="0.2">
      <c r="B24" s="114" t="s">
        <v>230</v>
      </c>
      <c r="C24" s="170"/>
      <c r="D24" s="114"/>
      <c r="E24" s="189"/>
      <c r="F24" s="189"/>
      <c r="G24" s="189"/>
      <c r="H24" s="190"/>
      <c r="I24" s="175"/>
      <c r="J24" s="191"/>
      <c r="K24" s="191"/>
      <c r="L24" s="191"/>
      <c r="M24" s="175"/>
      <c r="N24" s="175"/>
      <c r="O24" s="175"/>
    </row>
    <row r="25" spans="2:16" s="160" customFormat="1" x14ac:dyDescent="0.2">
      <c r="B25" s="114" t="s">
        <v>231</v>
      </c>
      <c r="C25" s="170"/>
      <c r="D25" s="114"/>
      <c r="E25" s="189"/>
      <c r="F25" s="189"/>
      <c r="G25" s="189"/>
      <c r="H25" s="190"/>
      <c r="I25" s="175"/>
      <c r="J25" s="191"/>
      <c r="K25" s="191"/>
      <c r="L25" s="191"/>
      <c r="M25" s="175"/>
      <c r="N25" s="175"/>
      <c r="O25" s="175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90" priority="242" stopIfTrue="1">
      <formula>LEFT(#REF!,3)="TIR"</formula>
    </cfRule>
  </conditionalFormatting>
  <conditionalFormatting sqref="I8">
    <cfRule type="expression" dxfId="89" priority="247" stopIfTrue="1">
      <formula>LEFT(#REF!,3)="TIR"</formula>
    </cfRule>
  </conditionalFormatting>
  <conditionalFormatting sqref="H12:H20 O12:P20 C12:F20">
    <cfRule type="expression" dxfId="88" priority="248" stopIfTrue="1">
      <formula>OR(LEFT(#REF!,3)="TIR",LEFT(#REF!,2)="IR")</formula>
    </cfRule>
  </conditionalFormatting>
  <conditionalFormatting sqref="B12:B20 M12:M20">
    <cfRule type="expression" dxfId="87" priority="251" stopIfTrue="1">
      <formula>#REF!&gt;0</formula>
    </cfRule>
    <cfRule type="expression" dxfId="86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85546875" style="14" bestFit="1" customWidth="1"/>
    <col min="8" max="8" width="10.2851562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85546875" style="27" bestFit="1" customWidth="1"/>
    <col min="15" max="15" width="7.140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3.1406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8" t="s">
        <v>28</v>
      </c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40"/>
    </row>
    <row r="7" spans="1:19" s="10" customFormat="1" x14ac:dyDescent="0.2">
      <c r="B7" s="231" t="s">
        <v>18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3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40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1" t="s">
        <v>61</v>
      </c>
      <c r="C11" s="101" t="s">
        <v>238</v>
      </c>
      <c r="D11" s="101" t="s">
        <v>238</v>
      </c>
      <c r="E11" s="101" t="s">
        <v>238</v>
      </c>
      <c r="F11" s="101" t="s">
        <v>238</v>
      </c>
      <c r="G11" s="142"/>
      <c r="H11" s="180" t="s">
        <v>238</v>
      </c>
      <c r="I11" s="180" t="s">
        <v>238</v>
      </c>
      <c r="J11" s="180" t="s">
        <v>238</v>
      </c>
      <c r="K11" s="180" t="s">
        <v>238</v>
      </c>
      <c r="L11" s="181" t="s">
        <v>238</v>
      </c>
      <c r="M11" s="181" t="s">
        <v>238</v>
      </c>
      <c r="N11" s="143" t="s">
        <v>238</v>
      </c>
      <c r="O11" s="180" t="s">
        <v>238</v>
      </c>
      <c r="P11" s="144">
        <v>22.8322002677284</v>
      </c>
      <c r="Q11" s="161" t="s">
        <v>238</v>
      </c>
      <c r="R11" s="147">
        <v>1</v>
      </c>
      <c r="S11" s="92">
        <v>1.9335342675056889E-6</v>
      </c>
    </row>
    <row r="12" spans="1:19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83" t="s">
        <v>238</v>
      </c>
      <c r="I12" s="183" t="s">
        <v>238</v>
      </c>
      <c r="J12" s="183" t="s">
        <v>238</v>
      </c>
      <c r="K12" s="183" t="s">
        <v>238</v>
      </c>
      <c r="L12" s="184" t="s">
        <v>238</v>
      </c>
      <c r="M12" s="184" t="s">
        <v>238</v>
      </c>
      <c r="N12" s="176" t="s">
        <v>238</v>
      </c>
      <c r="O12" s="183" t="s">
        <v>238</v>
      </c>
      <c r="P12" s="165">
        <v>22.832200067728401</v>
      </c>
      <c r="Q12" s="184" t="s">
        <v>238</v>
      </c>
      <c r="R12" s="163">
        <v>0.99999999124044125</v>
      </c>
      <c r="S12" s="163">
        <v>1.9335342505687819E-6</v>
      </c>
    </row>
    <row r="13" spans="1:19" s="160" customFormat="1" x14ac:dyDescent="0.2">
      <c r="B13" s="132" t="s">
        <v>2577</v>
      </c>
      <c r="C13" s="163" t="s">
        <v>238</v>
      </c>
      <c r="D13" s="167" t="s">
        <v>238</v>
      </c>
      <c r="E13" s="167" t="s">
        <v>238</v>
      </c>
      <c r="F13" s="167" t="s">
        <v>238</v>
      </c>
      <c r="G13" s="168" t="s">
        <v>238</v>
      </c>
      <c r="H13" s="186" t="s">
        <v>238</v>
      </c>
      <c r="I13" s="186" t="s">
        <v>238</v>
      </c>
      <c r="J13" s="186" t="s">
        <v>238</v>
      </c>
      <c r="K13" s="186" t="s">
        <v>238</v>
      </c>
      <c r="L13" s="187" t="s">
        <v>238</v>
      </c>
      <c r="M13" s="187" t="s">
        <v>238</v>
      </c>
      <c r="N13" s="178" t="s">
        <v>238</v>
      </c>
      <c r="O13" s="186" t="s">
        <v>238</v>
      </c>
      <c r="P13" s="169">
        <v>0</v>
      </c>
      <c r="Q13" s="187" t="s">
        <v>238</v>
      </c>
      <c r="R13" s="167">
        <v>0</v>
      </c>
      <c r="S13" s="167">
        <v>0</v>
      </c>
    </row>
    <row r="14" spans="1:19" s="160" customFormat="1" x14ac:dyDescent="0.2">
      <c r="B14" s="132" t="s">
        <v>2578</v>
      </c>
      <c r="C14" s="163" t="s">
        <v>238</v>
      </c>
      <c r="D14" s="167" t="s">
        <v>238</v>
      </c>
      <c r="E14" s="167" t="s">
        <v>238</v>
      </c>
      <c r="F14" s="167" t="s">
        <v>238</v>
      </c>
      <c r="G14" s="168" t="s">
        <v>238</v>
      </c>
      <c r="H14" s="186" t="s">
        <v>238</v>
      </c>
      <c r="I14" s="186" t="s">
        <v>238</v>
      </c>
      <c r="J14" s="186" t="s">
        <v>238</v>
      </c>
      <c r="K14" s="186" t="s">
        <v>238</v>
      </c>
      <c r="L14" s="187" t="s">
        <v>238</v>
      </c>
      <c r="M14" s="187" t="s">
        <v>238</v>
      </c>
      <c r="N14" s="178" t="s">
        <v>238</v>
      </c>
      <c r="O14" s="186" t="s">
        <v>238</v>
      </c>
      <c r="P14" s="169">
        <v>22.832199767728401</v>
      </c>
      <c r="Q14" s="187" t="s">
        <v>238</v>
      </c>
      <c r="R14" s="167">
        <v>0.99999997810110319</v>
      </c>
      <c r="S14" s="167">
        <v>1.9335342251634212E-6</v>
      </c>
    </row>
    <row r="15" spans="1:19" x14ac:dyDescent="0.2">
      <c r="B15" s="23" t="s">
        <v>2579</v>
      </c>
      <c r="C15" s="41" t="s">
        <v>2580</v>
      </c>
      <c r="D15" s="32" t="s">
        <v>238</v>
      </c>
      <c r="E15" s="32" t="s">
        <v>762</v>
      </c>
      <c r="F15" s="32" t="s">
        <v>191</v>
      </c>
      <c r="G15" s="94" t="s">
        <v>253</v>
      </c>
      <c r="H15" s="33" t="s">
        <v>243</v>
      </c>
      <c r="I15" s="33" t="s">
        <v>2581</v>
      </c>
      <c r="J15" s="33">
        <v>0.22</v>
      </c>
      <c r="K15" s="33" t="s">
        <v>244</v>
      </c>
      <c r="L15" s="24">
        <v>5.5000001192092897E-3</v>
      </c>
      <c r="M15" s="24">
        <v>-4.1999999999999997E-3</v>
      </c>
      <c r="N15" s="103">
        <v>22775.26151394354</v>
      </c>
      <c r="O15" s="94">
        <v>100.25</v>
      </c>
      <c r="P15" s="124">
        <v>22.8321996677284</v>
      </c>
      <c r="Q15" s="24" t="s">
        <v>238</v>
      </c>
      <c r="R15" s="32">
        <v>0.99999997372132376</v>
      </c>
      <c r="S15" s="32">
        <v>1.9335342166949679E-6</v>
      </c>
    </row>
    <row r="16" spans="1:19" s="160" customFormat="1" x14ac:dyDescent="0.2">
      <c r="B16" s="132" t="s">
        <v>557</v>
      </c>
      <c r="C16" s="163" t="s">
        <v>238</v>
      </c>
      <c r="D16" s="167" t="s">
        <v>238</v>
      </c>
      <c r="E16" s="167" t="s">
        <v>238</v>
      </c>
      <c r="F16" s="167" t="s">
        <v>238</v>
      </c>
      <c r="G16" s="168" t="s">
        <v>238</v>
      </c>
      <c r="H16" s="186" t="s">
        <v>238</v>
      </c>
      <c r="I16" s="186" t="s">
        <v>238</v>
      </c>
      <c r="J16" s="186" t="s">
        <v>238</v>
      </c>
      <c r="K16" s="186" t="s">
        <v>238</v>
      </c>
      <c r="L16" s="187" t="s">
        <v>238</v>
      </c>
      <c r="M16" s="187" t="s">
        <v>238</v>
      </c>
      <c r="N16" s="178" t="s">
        <v>238</v>
      </c>
      <c r="O16" s="186" t="s">
        <v>238</v>
      </c>
      <c r="P16" s="169">
        <v>0</v>
      </c>
      <c r="Q16" s="187" t="s">
        <v>238</v>
      </c>
      <c r="R16" s="167">
        <v>0</v>
      </c>
      <c r="S16" s="167">
        <v>0</v>
      </c>
    </row>
    <row r="17" spans="2:19" s="160" customFormat="1" x14ac:dyDescent="0.2">
      <c r="B17" s="132" t="s">
        <v>144</v>
      </c>
      <c r="C17" s="163" t="s">
        <v>238</v>
      </c>
      <c r="D17" s="167" t="s">
        <v>238</v>
      </c>
      <c r="E17" s="167" t="s">
        <v>238</v>
      </c>
      <c r="F17" s="167" t="s">
        <v>238</v>
      </c>
      <c r="G17" s="168" t="s">
        <v>238</v>
      </c>
      <c r="H17" s="186" t="s">
        <v>238</v>
      </c>
      <c r="I17" s="186" t="s">
        <v>238</v>
      </c>
      <c r="J17" s="186" t="s">
        <v>238</v>
      </c>
      <c r="K17" s="186" t="s">
        <v>238</v>
      </c>
      <c r="L17" s="187" t="s">
        <v>238</v>
      </c>
      <c r="M17" s="187" t="s">
        <v>238</v>
      </c>
      <c r="N17" s="178" t="s">
        <v>238</v>
      </c>
      <c r="O17" s="186" t="s">
        <v>238</v>
      </c>
      <c r="P17" s="169">
        <v>0</v>
      </c>
      <c r="Q17" s="187" t="s">
        <v>238</v>
      </c>
      <c r="R17" s="167">
        <v>0</v>
      </c>
      <c r="S17" s="167">
        <v>0</v>
      </c>
    </row>
    <row r="18" spans="2:19" s="160" customFormat="1" x14ac:dyDescent="0.2">
      <c r="B18" s="132" t="s">
        <v>544</v>
      </c>
      <c r="C18" s="163" t="s">
        <v>238</v>
      </c>
      <c r="D18" s="167" t="s">
        <v>238</v>
      </c>
      <c r="E18" s="167" t="s">
        <v>238</v>
      </c>
      <c r="F18" s="167" t="s">
        <v>238</v>
      </c>
      <c r="G18" s="168" t="s">
        <v>238</v>
      </c>
      <c r="H18" s="186" t="s">
        <v>238</v>
      </c>
      <c r="I18" s="186" t="s">
        <v>238</v>
      </c>
      <c r="J18" s="186" t="s">
        <v>238</v>
      </c>
      <c r="K18" s="186" t="s">
        <v>238</v>
      </c>
      <c r="L18" s="187" t="s">
        <v>238</v>
      </c>
      <c r="M18" s="187" t="s">
        <v>238</v>
      </c>
      <c r="N18" s="178" t="s">
        <v>238</v>
      </c>
      <c r="O18" s="186" t="s">
        <v>238</v>
      </c>
      <c r="P18" s="169">
        <v>0</v>
      </c>
      <c r="Q18" s="187" t="s">
        <v>238</v>
      </c>
      <c r="R18" s="167">
        <v>0</v>
      </c>
      <c r="S18" s="167">
        <v>0</v>
      </c>
    </row>
    <row r="19" spans="2:19" s="160" customFormat="1" x14ac:dyDescent="0.2">
      <c r="B19" s="132" t="s">
        <v>2582</v>
      </c>
      <c r="C19" s="163" t="s">
        <v>238</v>
      </c>
      <c r="D19" s="167" t="s">
        <v>238</v>
      </c>
      <c r="E19" s="167" t="s">
        <v>238</v>
      </c>
      <c r="F19" s="167" t="s">
        <v>238</v>
      </c>
      <c r="G19" s="168" t="s">
        <v>238</v>
      </c>
      <c r="H19" s="186" t="s">
        <v>238</v>
      </c>
      <c r="I19" s="186" t="s">
        <v>238</v>
      </c>
      <c r="J19" s="186" t="s">
        <v>238</v>
      </c>
      <c r="K19" s="186" t="s">
        <v>238</v>
      </c>
      <c r="L19" s="187" t="s">
        <v>238</v>
      </c>
      <c r="M19" s="187" t="s">
        <v>238</v>
      </c>
      <c r="N19" s="178" t="s">
        <v>238</v>
      </c>
      <c r="O19" s="186" t="s">
        <v>238</v>
      </c>
      <c r="P19" s="169">
        <v>0</v>
      </c>
      <c r="Q19" s="187" t="s">
        <v>238</v>
      </c>
      <c r="R19" s="167">
        <v>0</v>
      </c>
      <c r="S19" s="167">
        <v>0</v>
      </c>
    </row>
    <row r="20" spans="2:19" s="160" customFormat="1" x14ac:dyDescent="0.2">
      <c r="B20" s="132" t="s">
        <v>2583</v>
      </c>
      <c r="C20" s="163" t="s">
        <v>238</v>
      </c>
      <c r="D20" s="167" t="s">
        <v>238</v>
      </c>
      <c r="E20" s="167" t="s">
        <v>238</v>
      </c>
      <c r="F20" s="167" t="s">
        <v>238</v>
      </c>
      <c r="G20" s="168" t="s">
        <v>238</v>
      </c>
      <c r="H20" s="186" t="s">
        <v>238</v>
      </c>
      <c r="I20" s="186" t="s">
        <v>238</v>
      </c>
      <c r="J20" s="186" t="s">
        <v>238</v>
      </c>
      <c r="K20" s="186" t="s">
        <v>238</v>
      </c>
      <c r="L20" s="187" t="s">
        <v>238</v>
      </c>
      <c r="M20" s="187" t="s">
        <v>238</v>
      </c>
      <c r="N20" s="178" t="s">
        <v>238</v>
      </c>
      <c r="O20" s="186" t="s">
        <v>238</v>
      </c>
      <c r="P20" s="169">
        <v>0</v>
      </c>
      <c r="Q20" s="187" t="s">
        <v>238</v>
      </c>
      <c r="R20" s="167">
        <v>0</v>
      </c>
      <c r="S20" s="167">
        <v>0</v>
      </c>
    </row>
    <row r="21" spans="2:19" s="160" customFormat="1" x14ac:dyDescent="0.2">
      <c r="B21" s="114" t="s">
        <v>227</v>
      </c>
      <c r="C21" s="170"/>
      <c r="D21" s="170"/>
      <c r="E21" s="170"/>
      <c r="F21" s="114"/>
      <c r="G21" s="189"/>
      <c r="H21" s="189"/>
      <c r="I21" s="189"/>
      <c r="J21" s="190"/>
      <c r="K21" s="175"/>
      <c r="L21" s="191"/>
      <c r="M21" s="191"/>
      <c r="N21" s="191"/>
      <c r="O21" s="175"/>
      <c r="P21" s="175"/>
    </row>
    <row r="22" spans="2:19" s="160" customFormat="1" x14ac:dyDescent="0.2">
      <c r="B22" s="114" t="s">
        <v>228</v>
      </c>
      <c r="C22" s="170"/>
      <c r="D22" s="170"/>
      <c r="E22" s="170"/>
      <c r="F22" s="114"/>
      <c r="G22" s="189"/>
      <c r="H22" s="189"/>
      <c r="I22" s="189"/>
      <c r="J22" s="190"/>
      <c r="K22" s="175"/>
      <c r="L22" s="191"/>
      <c r="M22" s="191"/>
      <c r="N22" s="191"/>
      <c r="O22" s="175"/>
      <c r="P22" s="175"/>
    </row>
    <row r="23" spans="2:19" s="160" customFormat="1" x14ac:dyDescent="0.2">
      <c r="B23" s="114" t="s">
        <v>229</v>
      </c>
      <c r="C23" s="170"/>
      <c r="D23" s="170"/>
      <c r="E23" s="170"/>
      <c r="F23" s="114"/>
      <c r="G23" s="189"/>
      <c r="H23" s="189"/>
      <c r="I23" s="189"/>
      <c r="J23" s="190"/>
      <c r="K23" s="175"/>
      <c r="L23" s="191"/>
      <c r="M23" s="191"/>
      <c r="N23" s="191"/>
      <c r="O23" s="175"/>
      <c r="P23" s="175"/>
    </row>
    <row r="24" spans="2:19" s="160" customFormat="1" x14ac:dyDescent="0.2">
      <c r="B24" s="114" t="s">
        <v>230</v>
      </c>
      <c r="C24" s="170"/>
      <c r="D24" s="170"/>
      <c r="E24" s="170"/>
      <c r="F24" s="114"/>
      <c r="G24" s="189"/>
      <c r="H24" s="189"/>
      <c r="I24" s="189"/>
      <c r="J24" s="190"/>
      <c r="K24" s="175"/>
      <c r="L24" s="191"/>
      <c r="M24" s="191"/>
      <c r="N24" s="191"/>
      <c r="O24" s="175"/>
      <c r="P24" s="175"/>
    </row>
    <row r="25" spans="2:19" s="160" customFormat="1" x14ac:dyDescent="0.2">
      <c r="B25" s="114" t="s">
        <v>231</v>
      </c>
      <c r="C25" s="170"/>
      <c r="D25" s="170"/>
      <c r="E25" s="170"/>
      <c r="F25" s="114"/>
      <c r="G25" s="189"/>
      <c r="H25" s="189"/>
      <c r="I25" s="189"/>
      <c r="J25" s="190"/>
      <c r="K25" s="175"/>
      <c r="L25" s="191"/>
      <c r="M25" s="191"/>
      <c r="N25" s="191"/>
      <c r="O25" s="175"/>
      <c r="P25" s="175"/>
    </row>
  </sheetData>
  <mergeCells count="2">
    <mergeCell ref="B7:S7"/>
    <mergeCell ref="B6:S6"/>
  </mergeCells>
  <phoneticPr fontId="3" type="noConversion"/>
  <conditionalFormatting sqref="K1:K5 K21:K55555 J11:J20 L11:O20 Q12:R20">
    <cfRule type="expression" dxfId="85" priority="266" stopIfTrue="1">
      <formula>LEFT(#REF!,3)="TIR"</formula>
    </cfRule>
  </conditionalFormatting>
  <conditionalFormatting sqref="L8">
    <cfRule type="expression" dxfId="84" priority="271" stopIfTrue="1">
      <formula>LEFT(#REF!,3)="TIR"</formula>
    </cfRule>
  </conditionalFormatting>
  <conditionalFormatting sqref="K11:K20 C11:I20">
    <cfRule type="expression" dxfId="83" priority="272" stopIfTrue="1">
      <formula>LEFT(#REF!,3)="TIR"</formula>
    </cfRule>
  </conditionalFormatting>
  <conditionalFormatting sqref="B11:B20 P12:P20">
    <cfRule type="expression" dxfId="82" priority="274" stopIfTrue="1">
      <formula>#REF!&gt;0</formula>
    </cfRule>
    <cfRule type="expression" dxfId="81" priority="275" stopIfTrue="1">
      <formula>LEFT(#REF!,3)="TIR"</formula>
    </cfRule>
  </conditionalFormatting>
  <conditionalFormatting sqref="R12:S20">
    <cfRule type="expression" dxfId="80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5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3" bestFit="1" customWidth="1"/>
    <col min="8" max="8" width="10.28515625" style="93" bestFit="1" customWidth="1"/>
    <col min="9" max="9" width="13.5703125" style="93" bestFit="1" customWidth="1"/>
    <col min="10" max="10" width="6.42578125" style="45" bestFit="1" customWidth="1"/>
    <col min="11" max="11" width="12" style="95" bestFit="1" customWidth="1"/>
    <col min="12" max="12" width="11.5703125" style="97" bestFit="1" customWidth="1"/>
    <col min="13" max="13" width="13.42578125" style="97" bestFit="1" customWidth="1"/>
    <col min="14" max="14" width="13.5703125" style="97" bestFit="1" customWidth="1"/>
    <col min="15" max="15" width="8.85546875" style="95" bestFit="1" customWidth="1"/>
    <col min="16" max="16" width="12.28515625" style="95" bestFit="1" customWidth="1"/>
    <col min="17" max="17" width="12.42578125" style="99" bestFit="1" customWidth="1"/>
    <col min="18" max="18" width="15.28515625" style="99" bestFit="1" customWidth="1"/>
    <col min="19" max="19" width="20.5703125" style="99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9"/>
      <c r="R1" s="99"/>
      <c r="S1" s="55"/>
    </row>
    <row r="2" spans="1:19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9"/>
      <c r="R2" s="99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9"/>
      <c r="R3" s="99"/>
      <c r="S3" s="55"/>
    </row>
    <row r="4" spans="1:19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9"/>
      <c r="R5" s="99"/>
      <c r="S5" s="55"/>
    </row>
    <row r="6" spans="1:19" s="10" customFormat="1" ht="13.5" thickBot="1" x14ac:dyDescent="0.25">
      <c r="B6" s="238" t="s">
        <v>28</v>
      </c>
      <c r="C6" s="239"/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40"/>
    </row>
    <row r="7" spans="1:19" s="10" customFormat="1" x14ac:dyDescent="0.2">
      <c r="B7" s="231" t="s">
        <v>20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3"/>
    </row>
    <row r="8" spans="1:19" s="10" customFormat="1" ht="30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70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66</v>
      </c>
      <c r="M8" s="5" t="s">
        <v>71</v>
      </c>
      <c r="N8" s="5" t="s">
        <v>67</v>
      </c>
      <c r="O8" s="5" t="s">
        <v>68</v>
      </c>
      <c r="P8" s="5" t="s">
        <v>29</v>
      </c>
      <c r="Q8" s="38" t="s">
        <v>17</v>
      </c>
      <c r="R8" s="38" t="s">
        <v>75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136</v>
      </c>
      <c r="O9" s="2"/>
      <c r="P9" s="2" t="s">
        <v>138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1" t="s">
        <v>58</v>
      </c>
      <c r="C11" s="101"/>
      <c r="D11" s="101"/>
      <c r="E11" s="101"/>
      <c r="F11" s="101"/>
      <c r="G11" s="142"/>
      <c r="H11" s="142"/>
      <c r="I11" s="142"/>
      <c r="J11" s="142"/>
      <c r="K11" s="142"/>
      <c r="L11" s="101"/>
      <c r="M11" s="101"/>
      <c r="N11" s="143"/>
      <c r="O11" s="142"/>
      <c r="P11" s="146">
        <v>380343.54138746165</v>
      </c>
      <c r="Q11" s="101"/>
      <c r="R11" s="101">
        <v>1</v>
      </c>
      <c r="S11" s="120">
        <v>3.2209216022713691E-2</v>
      </c>
    </row>
    <row r="12" spans="1:19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64" t="s">
        <v>238</v>
      </c>
      <c r="I12" s="164" t="s">
        <v>238</v>
      </c>
      <c r="J12" s="176" t="s">
        <v>238</v>
      </c>
      <c r="K12" s="164" t="s">
        <v>238</v>
      </c>
      <c r="L12" s="163" t="s">
        <v>238</v>
      </c>
      <c r="M12" s="163" t="s">
        <v>238</v>
      </c>
      <c r="N12" s="176" t="s">
        <v>238</v>
      </c>
      <c r="O12" s="164" t="s">
        <v>238</v>
      </c>
      <c r="P12" s="177">
        <v>380343.54138726165</v>
      </c>
      <c r="Q12" s="163" t="s">
        <v>238</v>
      </c>
      <c r="R12" s="163">
        <v>0.99999999999947409</v>
      </c>
      <c r="S12" s="163">
        <v>3.2209216022696753E-2</v>
      </c>
    </row>
    <row r="13" spans="1:19" s="160" customFormat="1" x14ac:dyDescent="0.2">
      <c r="B13" s="132" t="s">
        <v>2577</v>
      </c>
      <c r="C13" s="167" t="s">
        <v>238</v>
      </c>
      <c r="D13" s="167" t="s">
        <v>238</v>
      </c>
      <c r="E13" s="167" t="s">
        <v>238</v>
      </c>
      <c r="F13" s="167" t="s">
        <v>238</v>
      </c>
      <c r="G13" s="164" t="s">
        <v>238</v>
      </c>
      <c r="H13" s="168" t="s">
        <v>238</v>
      </c>
      <c r="I13" s="168" t="s">
        <v>238</v>
      </c>
      <c r="J13" s="176" t="s">
        <v>238</v>
      </c>
      <c r="K13" s="168" t="s">
        <v>238</v>
      </c>
      <c r="L13" s="167" t="s">
        <v>238</v>
      </c>
      <c r="M13" s="167" t="s">
        <v>238</v>
      </c>
      <c r="N13" s="178" t="s">
        <v>238</v>
      </c>
      <c r="O13" s="164" t="s">
        <v>238</v>
      </c>
      <c r="P13" s="169">
        <v>313147.84579819028</v>
      </c>
      <c r="Q13" s="167" t="s">
        <v>238</v>
      </c>
      <c r="R13" s="163">
        <v>0.82332894271282475</v>
      </c>
      <c r="S13" s="163">
        <v>2.6518779773589834E-2</v>
      </c>
    </row>
    <row r="14" spans="1:19" x14ac:dyDescent="0.2">
      <c r="B14" s="23" t="s">
        <v>2602</v>
      </c>
      <c r="C14" s="32" t="s">
        <v>2603</v>
      </c>
      <c r="D14" s="32" t="s">
        <v>238</v>
      </c>
      <c r="E14" s="32" t="s">
        <v>964</v>
      </c>
      <c r="F14" s="32" t="s">
        <v>195</v>
      </c>
      <c r="G14" s="100" t="s">
        <v>242</v>
      </c>
      <c r="H14" s="94" t="s">
        <v>243</v>
      </c>
      <c r="I14" s="94" t="s">
        <v>2604</v>
      </c>
      <c r="J14" s="140">
        <v>7.99</v>
      </c>
      <c r="K14" s="94" t="s">
        <v>244</v>
      </c>
      <c r="L14" s="32">
        <v>4.9000000000000002E-2</v>
      </c>
      <c r="M14" s="32">
        <v>7.6E-3</v>
      </c>
      <c r="N14" s="103">
        <v>35189067.257236399</v>
      </c>
      <c r="O14" s="100">
        <v>164.73</v>
      </c>
      <c r="P14" s="124">
        <v>57966.950492495525</v>
      </c>
      <c r="Q14" s="32">
        <v>1.7925292341829518E-2</v>
      </c>
      <c r="R14" s="41">
        <v>0.15240682221403551</v>
      </c>
      <c r="S14" s="41">
        <v>4.9089042600271894E-3</v>
      </c>
    </row>
    <row r="15" spans="1:19" x14ac:dyDescent="0.2">
      <c r="B15" s="23" t="s">
        <v>2630</v>
      </c>
      <c r="C15" s="32" t="s">
        <v>2631</v>
      </c>
      <c r="D15" s="32" t="s">
        <v>238</v>
      </c>
      <c r="E15" s="32" t="s">
        <v>964</v>
      </c>
      <c r="F15" s="32" t="s">
        <v>195</v>
      </c>
      <c r="G15" s="100" t="s">
        <v>242</v>
      </c>
      <c r="H15" s="94" t="s">
        <v>243</v>
      </c>
      <c r="I15" s="94" t="s">
        <v>2632</v>
      </c>
      <c r="J15" s="140">
        <v>12.07</v>
      </c>
      <c r="K15" s="94" t="s">
        <v>244</v>
      </c>
      <c r="L15" s="32">
        <v>4.0999999999999995E-2</v>
      </c>
      <c r="M15" s="32">
        <v>1.0500000000000001E-2</v>
      </c>
      <c r="N15" s="103">
        <v>38755646.848196112</v>
      </c>
      <c r="O15" s="100">
        <v>147.94</v>
      </c>
      <c r="P15" s="124">
        <v>57335.103946594631</v>
      </c>
      <c r="Q15" s="32">
        <v>9.2006176041342126E-3</v>
      </c>
      <c r="R15" s="41">
        <v>0.1507455700113664</v>
      </c>
      <c r="S15" s="41">
        <v>4.8553966289632102E-3</v>
      </c>
    </row>
    <row r="16" spans="1:19" x14ac:dyDescent="0.2">
      <c r="B16" s="23" t="s">
        <v>2670</v>
      </c>
      <c r="C16" s="32" t="s">
        <v>2671</v>
      </c>
      <c r="D16" s="32" t="s">
        <v>238</v>
      </c>
      <c r="E16" s="32" t="s">
        <v>2672</v>
      </c>
      <c r="F16" s="32" t="s">
        <v>193</v>
      </c>
      <c r="G16" s="100" t="s">
        <v>242</v>
      </c>
      <c r="H16" s="94" t="s">
        <v>243</v>
      </c>
      <c r="I16" s="94" t="s">
        <v>2673</v>
      </c>
      <c r="J16" s="140">
        <v>0.89</v>
      </c>
      <c r="K16" s="94" t="s">
        <v>244</v>
      </c>
      <c r="L16" s="32">
        <v>5.7999999999999996E-2</v>
      </c>
      <c r="M16" s="32">
        <v>-3.9000000000000003E-3</v>
      </c>
      <c r="N16" s="103">
        <v>416619.86507036921</v>
      </c>
      <c r="O16" s="100">
        <v>126.91</v>
      </c>
      <c r="P16" s="124">
        <v>528.73227053437495</v>
      </c>
      <c r="Q16" s="32">
        <v>2.5133056179316302E-2</v>
      </c>
      <c r="R16" s="41">
        <v>1.3901439435663968E-3</v>
      </c>
      <c r="S16" s="41">
        <v>4.4775446580997175E-5</v>
      </c>
    </row>
    <row r="17" spans="2:19" x14ac:dyDescent="0.2">
      <c r="B17" s="23" t="s">
        <v>2666</v>
      </c>
      <c r="C17" s="32" t="s">
        <v>2667</v>
      </c>
      <c r="D17" s="32" t="s">
        <v>238</v>
      </c>
      <c r="E17" s="32" t="s">
        <v>2668</v>
      </c>
      <c r="F17" s="32" t="s">
        <v>193</v>
      </c>
      <c r="G17" s="100" t="s">
        <v>242</v>
      </c>
      <c r="H17" s="94" t="s">
        <v>243</v>
      </c>
      <c r="I17" s="94" t="s">
        <v>2669</v>
      </c>
      <c r="J17" s="140">
        <v>0.47</v>
      </c>
      <c r="K17" s="94" t="s">
        <v>244</v>
      </c>
      <c r="L17" s="32">
        <v>5.7500000000000002E-2</v>
      </c>
      <c r="M17" s="32">
        <v>-2.5000000000000001E-3</v>
      </c>
      <c r="N17" s="103">
        <v>337662.56355539244</v>
      </c>
      <c r="O17" s="100">
        <v>126.69</v>
      </c>
      <c r="P17" s="124">
        <v>427.78470163688223</v>
      </c>
      <c r="Q17" s="32">
        <v>4.958472608712907E-2</v>
      </c>
      <c r="R17" s="41">
        <v>1.124732393447143E-3</v>
      </c>
      <c r="S17" s="41">
        <v>3.6226748628282834E-5</v>
      </c>
    </row>
    <row r="18" spans="2:19" x14ac:dyDescent="0.2">
      <c r="B18" s="23" t="s">
        <v>2598</v>
      </c>
      <c r="C18" s="32" t="s">
        <v>2599</v>
      </c>
      <c r="D18" s="32" t="s">
        <v>238</v>
      </c>
      <c r="E18" s="32" t="s">
        <v>2600</v>
      </c>
      <c r="F18" s="32" t="s">
        <v>195</v>
      </c>
      <c r="G18" s="100" t="s">
        <v>242</v>
      </c>
      <c r="H18" s="94" t="s">
        <v>243</v>
      </c>
      <c r="I18" s="94" t="s">
        <v>2601</v>
      </c>
      <c r="J18" s="140">
        <v>0.85999999999999988</v>
      </c>
      <c r="K18" s="94" t="s">
        <v>244</v>
      </c>
      <c r="L18" s="32">
        <v>0.05</v>
      </c>
      <c r="M18" s="32">
        <v>-3.4999999999999996E-3</v>
      </c>
      <c r="N18" s="103">
        <v>605145.16787904815</v>
      </c>
      <c r="O18" s="100">
        <v>125.17</v>
      </c>
      <c r="P18" s="124">
        <v>757.46020651180174</v>
      </c>
      <c r="Q18" s="32">
        <v>5.2512636054635804E-2</v>
      </c>
      <c r="R18" s="41">
        <v>1.9915158904727282E-3</v>
      </c>
      <c r="S18" s="41">
        <v>6.4145165528903128E-5</v>
      </c>
    </row>
    <row r="19" spans="2:19" x14ac:dyDescent="0.2">
      <c r="B19" s="23" t="s">
        <v>2605</v>
      </c>
      <c r="C19" s="32" t="s">
        <v>2606</v>
      </c>
      <c r="D19" s="32" t="s">
        <v>238</v>
      </c>
      <c r="E19" s="32" t="s">
        <v>909</v>
      </c>
      <c r="F19" s="32" t="s">
        <v>195</v>
      </c>
      <c r="G19" s="100" t="s">
        <v>811</v>
      </c>
      <c r="H19" s="94" t="s">
        <v>346</v>
      </c>
      <c r="I19" s="94" t="s">
        <v>2607</v>
      </c>
      <c r="J19" s="140">
        <v>3.82</v>
      </c>
      <c r="K19" s="94" t="s">
        <v>244</v>
      </c>
      <c r="L19" s="32">
        <v>5.5999999999999994E-2</v>
      </c>
      <c r="M19" s="32">
        <v>-3.4999999999999996E-3</v>
      </c>
      <c r="N19" s="103">
        <v>11783292.047979632</v>
      </c>
      <c r="O19" s="100">
        <v>151.13999999999999</v>
      </c>
      <c r="P19" s="124">
        <v>17809.267600756222</v>
      </c>
      <c r="Q19" s="32">
        <v>1.5775106361155158E-2</v>
      </c>
      <c r="R19" s="41">
        <v>4.6824162008350372E-2</v>
      </c>
      <c r="S19" s="41">
        <v>1.5081695492095005E-3</v>
      </c>
    </row>
    <row r="20" spans="2:19" x14ac:dyDescent="0.2">
      <c r="B20" s="23" t="s">
        <v>2636</v>
      </c>
      <c r="C20" s="32" t="s">
        <v>2637</v>
      </c>
      <c r="D20" s="32" t="s">
        <v>238</v>
      </c>
      <c r="E20" s="32" t="s">
        <v>909</v>
      </c>
      <c r="F20" s="32" t="s">
        <v>195</v>
      </c>
      <c r="G20" s="100" t="s">
        <v>811</v>
      </c>
      <c r="H20" s="94" t="s">
        <v>346</v>
      </c>
      <c r="I20" s="94" t="s">
        <v>2638</v>
      </c>
      <c r="J20" s="140">
        <v>7.07</v>
      </c>
      <c r="K20" s="94" t="s">
        <v>244</v>
      </c>
      <c r="L20" s="32">
        <v>4.9299999999999997E-2</v>
      </c>
      <c r="M20" s="32">
        <v>-1E-3</v>
      </c>
      <c r="N20" s="103">
        <v>10520300.508932626</v>
      </c>
      <c r="O20" s="100">
        <v>144.62</v>
      </c>
      <c r="P20" s="124">
        <v>15214.458596015253</v>
      </c>
      <c r="Q20" s="32">
        <v>1.3634922607866039E-2</v>
      </c>
      <c r="R20" s="41">
        <v>4.0001884981441173E-2</v>
      </c>
      <c r="S20" s="41">
        <v>1.2884293546829852E-3</v>
      </c>
    </row>
    <row r="21" spans="2:19" x14ac:dyDescent="0.2">
      <c r="B21" s="23" t="s">
        <v>2612</v>
      </c>
      <c r="C21" s="32" t="s">
        <v>2613</v>
      </c>
      <c r="D21" s="32" t="s">
        <v>238</v>
      </c>
      <c r="E21" s="32" t="s">
        <v>2614</v>
      </c>
      <c r="F21" s="32" t="s">
        <v>195</v>
      </c>
      <c r="G21" s="100" t="s">
        <v>811</v>
      </c>
      <c r="H21" s="94" t="s">
        <v>346</v>
      </c>
      <c r="I21" s="94" t="s">
        <v>2615</v>
      </c>
      <c r="J21" s="140">
        <v>2.64</v>
      </c>
      <c r="K21" s="94" t="s">
        <v>244</v>
      </c>
      <c r="L21" s="32">
        <v>4.9000000000000002E-2</v>
      </c>
      <c r="M21" s="32">
        <v>-4.0999999999999995E-3</v>
      </c>
      <c r="N21" s="103">
        <v>1990880.5420629056</v>
      </c>
      <c r="O21" s="100">
        <v>140.53</v>
      </c>
      <c r="P21" s="124">
        <v>2797.784425492182</v>
      </c>
      <c r="Q21" s="32">
        <v>8.6178746312852283E-3</v>
      </c>
      <c r="R21" s="41">
        <v>7.3559404092576322E-3</v>
      </c>
      <c r="S21" s="41">
        <v>2.3692907369198801E-4</v>
      </c>
    </row>
    <row r="22" spans="2:19" x14ac:dyDescent="0.2">
      <c r="B22" s="23" t="s">
        <v>2662</v>
      </c>
      <c r="C22" s="32" t="s">
        <v>2663</v>
      </c>
      <c r="D22" s="32" t="s">
        <v>238</v>
      </c>
      <c r="E22" s="32" t="s">
        <v>2664</v>
      </c>
      <c r="F22" s="32" t="s">
        <v>195</v>
      </c>
      <c r="G22" s="100" t="s">
        <v>587</v>
      </c>
      <c r="H22" s="94" t="s">
        <v>346</v>
      </c>
      <c r="I22" s="94" t="s">
        <v>2665</v>
      </c>
      <c r="J22" s="140">
        <v>0.37000000000000005</v>
      </c>
      <c r="K22" s="94" t="s">
        <v>244</v>
      </c>
      <c r="L22" s="32">
        <v>4.9500000000000002E-2</v>
      </c>
      <c r="M22" s="32">
        <v>-1.1999999999999999E-3</v>
      </c>
      <c r="N22" s="103">
        <v>19245.392901319417</v>
      </c>
      <c r="O22" s="100">
        <v>126.54999999999998</v>
      </c>
      <c r="P22" s="124">
        <v>24.355043745369564</v>
      </c>
      <c r="Q22" s="32">
        <v>3.6820899114363851E-3</v>
      </c>
      <c r="R22" s="41">
        <v>6.4034329744431539E-5</v>
      </c>
      <c r="S22" s="41">
        <v>2.0624955596080759E-6</v>
      </c>
    </row>
    <row r="23" spans="2:19" x14ac:dyDescent="0.2">
      <c r="B23" s="23" t="s">
        <v>2623</v>
      </c>
      <c r="C23" s="32" t="s">
        <v>2624</v>
      </c>
      <c r="D23" s="32" t="s">
        <v>238</v>
      </c>
      <c r="E23" s="32" t="s">
        <v>788</v>
      </c>
      <c r="F23" s="32" t="s">
        <v>607</v>
      </c>
      <c r="G23" s="100" t="s">
        <v>587</v>
      </c>
      <c r="H23" s="94" t="s">
        <v>346</v>
      </c>
      <c r="I23" s="94" t="s">
        <v>2625</v>
      </c>
      <c r="J23" s="140">
        <v>1.71</v>
      </c>
      <c r="K23" s="94" t="s">
        <v>244</v>
      </c>
      <c r="L23" s="32">
        <v>0.06</v>
      </c>
      <c r="M23" s="32">
        <v>-7.000000000000001E-4</v>
      </c>
      <c r="N23" s="103">
        <v>49814455.312055707</v>
      </c>
      <c r="O23" s="100">
        <v>120.61</v>
      </c>
      <c r="P23" s="124">
        <v>60081.214551189834</v>
      </c>
      <c r="Q23" s="32">
        <v>1.3460642201271109E-2</v>
      </c>
      <c r="R23" s="41">
        <v>0.15796564950733369</v>
      </c>
      <c r="S23" s="41">
        <v>5.0879497291499874E-3</v>
      </c>
    </row>
    <row r="24" spans="2:19" x14ac:dyDescent="0.2">
      <c r="B24" s="23" t="s">
        <v>2646</v>
      </c>
      <c r="C24" s="32" t="s">
        <v>2647</v>
      </c>
      <c r="D24" s="32" t="s">
        <v>238</v>
      </c>
      <c r="E24" s="32" t="s">
        <v>2648</v>
      </c>
      <c r="F24" s="32" t="s">
        <v>192</v>
      </c>
      <c r="G24" s="100" t="s">
        <v>587</v>
      </c>
      <c r="H24" s="94" t="s">
        <v>346</v>
      </c>
      <c r="I24" s="94" t="s">
        <v>2649</v>
      </c>
      <c r="J24" s="140">
        <v>1.03</v>
      </c>
      <c r="K24" s="94" t="s">
        <v>244</v>
      </c>
      <c r="L24" s="32">
        <v>2.4E-2</v>
      </c>
      <c r="M24" s="32">
        <v>9.0000000000000011E-3</v>
      </c>
      <c r="N24" s="103">
        <v>1240331.2869704841</v>
      </c>
      <c r="O24" s="100">
        <v>102.81</v>
      </c>
      <c r="P24" s="124">
        <v>1275.1845960611463</v>
      </c>
      <c r="Q24" s="32">
        <v>2.6280978655194187E-2</v>
      </c>
      <c r="R24" s="41">
        <v>3.3527178913289254E-3</v>
      </c>
      <c r="S24" s="41">
        <v>1.0798841482503047E-4</v>
      </c>
    </row>
    <row r="25" spans="2:19" x14ac:dyDescent="0.2">
      <c r="B25" s="23" t="s">
        <v>2650</v>
      </c>
      <c r="C25" s="32" t="s">
        <v>2651</v>
      </c>
      <c r="D25" s="32" t="s">
        <v>238</v>
      </c>
      <c r="E25" s="32" t="s">
        <v>2652</v>
      </c>
      <c r="F25" s="32" t="s">
        <v>193</v>
      </c>
      <c r="G25" s="100" t="s">
        <v>587</v>
      </c>
      <c r="H25" s="94" t="s">
        <v>346</v>
      </c>
      <c r="I25" s="94" t="s">
        <v>2653</v>
      </c>
      <c r="J25" s="140">
        <v>2.15</v>
      </c>
      <c r="K25" s="94" t="s">
        <v>244</v>
      </c>
      <c r="L25" s="32">
        <v>2.1000000000000001E-2</v>
      </c>
      <c r="M25" s="32">
        <v>1.41E-2</v>
      </c>
      <c r="N25" s="103">
        <v>1189093.6468400029</v>
      </c>
      <c r="O25" s="100">
        <v>103.15</v>
      </c>
      <c r="P25" s="124">
        <v>1226.5500959440044</v>
      </c>
      <c r="Q25" s="32">
        <v>5.068851436034482E-3</v>
      </c>
      <c r="R25" s="41">
        <v>3.224847966313958E-3</v>
      </c>
      <c r="S25" s="41">
        <v>1.0386982478741518E-4</v>
      </c>
    </row>
    <row r="26" spans="2:19" x14ac:dyDescent="0.2">
      <c r="B26" s="23" t="s">
        <v>2654</v>
      </c>
      <c r="C26" s="32" t="s">
        <v>2655</v>
      </c>
      <c r="D26" s="32" t="s">
        <v>238</v>
      </c>
      <c r="E26" s="32" t="s">
        <v>2656</v>
      </c>
      <c r="F26" s="32" t="s">
        <v>193</v>
      </c>
      <c r="G26" s="100" t="s">
        <v>572</v>
      </c>
      <c r="H26" s="94" t="s">
        <v>243</v>
      </c>
      <c r="I26" s="94" t="s">
        <v>2657</v>
      </c>
      <c r="J26" s="140">
        <v>1.78</v>
      </c>
      <c r="K26" s="94" t="s">
        <v>244</v>
      </c>
      <c r="L26" s="32">
        <v>2.9500000000000002E-2</v>
      </c>
      <c r="M26" s="32">
        <v>1.9E-2</v>
      </c>
      <c r="N26" s="103">
        <v>2362975.4083894156</v>
      </c>
      <c r="O26" s="100">
        <v>102.57000000000001</v>
      </c>
      <c r="P26" s="124">
        <v>2423.7038756432175</v>
      </c>
      <c r="Q26" s="32">
        <v>1.3442319433208888E-2</v>
      </c>
      <c r="R26" s="41">
        <v>6.3724070791415224E-3</v>
      </c>
      <c r="S26" s="41">
        <v>2.0525023619673928E-4</v>
      </c>
    </row>
    <row r="27" spans="2:19" x14ac:dyDescent="0.2">
      <c r="B27" s="23" t="s">
        <v>2639</v>
      </c>
      <c r="C27" s="32" t="s">
        <v>2640</v>
      </c>
      <c r="D27" s="32" t="s">
        <v>238</v>
      </c>
      <c r="E27" s="32" t="s">
        <v>1190</v>
      </c>
      <c r="F27" s="32" t="s">
        <v>192</v>
      </c>
      <c r="G27" s="100" t="s">
        <v>587</v>
      </c>
      <c r="H27" s="94" t="s">
        <v>346</v>
      </c>
      <c r="I27" s="94" t="s">
        <v>2641</v>
      </c>
      <c r="J27" s="140">
        <v>1.47</v>
      </c>
      <c r="K27" s="94" t="s">
        <v>244</v>
      </c>
      <c r="L27" s="32">
        <v>4.4999999999999998E-2</v>
      </c>
      <c r="M27" s="32">
        <v>-5.9999999999999995E-4</v>
      </c>
      <c r="N27" s="103">
        <v>6103592.6749035185</v>
      </c>
      <c r="O27" s="100">
        <v>118.42000000000002</v>
      </c>
      <c r="P27" s="124">
        <v>7227.8744456207469</v>
      </c>
      <c r="Q27" s="32">
        <v>4.0690617832690124E-2</v>
      </c>
      <c r="R27" s="41">
        <v>1.9003541953819071E-2</v>
      </c>
      <c r="S27" s="41">
        <v>6.1208918798726097E-4</v>
      </c>
    </row>
    <row r="28" spans="2:19" x14ac:dyDescent="0.2">
      <c r="B28" s="23" t="s">
        <v>2590</v>
      </c>
      <c r="C28" s="32" t="s">
        <v>2591</v>
      </c>
      <c r="D28" s="32" t="s">
        <v>238</v>
      </c>
      <c r="E28" s="32" t="s">
        <v>2592</v>
      </c>
      <c r="F28" s="32" t="s">
        <v>191</v>
      </c>
      <c r="G28" s="100" t="s">
        <v>587</v>
      </c>
      <c r="H28" s="94" t="s">
        <v>346</v>
      </c>
      <c r="I28" s="94" t="s">
        <v>2593</v>
      </c>
      <c r="J28" s="140">
        <v>0.26</v>
      </c>
      <c r="K28" s="94" t="s">
        <v>244</v>
      </c>
      <c r="L28" s="32">
        <v>0.04</v>
      </c>
      <c r="M28" s="32">
        <v>-1.1999999999999999E-3</v>
      </c>
      <c r="N28" s="103">
        <v>18152620</v>
      </c>
      <c r="O28" s="100">
        <v>114.45000000000003</v>
      </c>
      <c r="P28" s="124">
        <v>20775.673589999999</v>
      </c>
      <c r="Q28" s="32" t="s">
        <v>238</v>
      </c>
      <c r="R28" s="41">
        <v>5.4623442570398507E-2</v>
      </c>
      <c r="S28" s="41">
        <v>1.7593782616542606E-3</v>
      </c>
    </row>
    <row r="29" spans="2:19" x14ac:dyDescent="0.2">
      <c r="B29" s="23" t="s">
        <v>2594</v>
      </c>
      <c r="C29" s="32" t="s">
        <v>2595</v>
      </c>
      <c r="D29" s="32" t="s">
        <v>238</v>
      </c>
      <c r="E29" s="32" t="s">
        <v>2596</v>
      </c>
      <c r="F29" s="32" t="s">
        <v>193</v>
      </c>
      <c r="G29" s="100" t="s">
        <v>567</v>
      </c>
      <c r="H29" s="94" t="s">
        <v>243</v>
      </c>
      <c r="I29" s="94" t="s">
        <v>2597</v>
      </c>
      <c r="J29" s="140">
        <v>2.75</v>
      </c>
      <c r="K29" s="94" t="s">
        <v>244</v>
      </c>
      <c r="L29" s="32">
        <v>7.7499999999999999E-2</v>
      </c>
      <c r="M29" s="32">
        <v>-3.9000000000000003E-3</v>
      </c>
      <c r="N29" s="103">
        <v>1347459.0693888704</v>
      </c>
      <c r="O29" s="100">
        <v>156.06</v>
      </c>
      <c r="P29" s="124">
        <v>2102.8446233357431</v>
      </c>
      <c r="Q29" s="32">
        <v>5.5700184654877902E-3</v>
      </c>
      <c r="R29" s="41">
        <v>5.5288032910056541E-3</v>
      </c>
      <c r="S29" s="41">
        <v>1.7807841954709148E-4</v>
      </c>
    </row>
    <row r="30" spans="2:19" x14ac:dyDescent="0.2">
      <c r="B30" s="23" t="s">
        <v>2658</v>
      </c>
      <c r="C30" s="32" t="s">
        <v>2659</v>
      </c>
      <c r="D30" s="32" t="s">
        <v>238</v>
      </c>
      <c r="E30" s="32" t="s">
        <v>2660</v>
      </c>
      <c r="F30" s="32" t="s">
        <v>192</v>
      </c>
      <c r="G30" s="100" t="s">
        <v>345</v>
      </c>
      <c r="H30" s="94" t="s">
        <v>346</v>
      </c>
      <c r="I30" s="94" t="s">
        <v>2661</v>
      </c>
      <c r="J30" s="140">
        <v>2.4700000000000002</v>
      </c>
      <c r="K30" s="94" t="s">
        <v>244</v>
      </c>
      <c r="L30" s="32">
        <v>2.5000000000000001E-2</v>
      </c>
      <c r="M30" s="32">
        <v>1.61E-2</v>
      </c>
      <c r="N30" s="103">
        <v>2748003.2056022827</v>
      </c>
      <c r="O30" s="100">
        <v>102.88999999999999</v>
      </c>
      <c r="P30" s="124">
        <v>2827.4204976099109</v>
      </c>
      <c r="Q30" s="32">
        <v>8.0145914788918547E-3</v>
      </c>
      <c r="R30" s="41">
        <v>7.433859629364852E-3</v>
      </c>
      <c r="S30" s="41">
        <v>2.3943879068474283E-4</v>
      </c>
    </row>
    <row r="31" spans="2:19" x14ac:dyDescent="0.2">
      <c r="B31" s="23" t="s">
        <v>2584</v>
      </c>
      <c r="C31" s="32" t="s">
        <v>2585</v>
      </c>
      <c r="D31" s="32" t="s">
        <v>238</v>
      </c>
      <c r="E31" s="32" t="s">
        <v>576</v>
      </c>
      <c r="F31" s="32" t="s">
        <v>192</v>
      </c>
      <c r="G31" s="100" t="s">
        <v>642</v>
      </c>
      <c r="H31" s="94" t="s">
        <v>346</v>
      </c>
      <c r="I31" s="94" t="s">
        <v>2586</v>
      </c>
      <c r="J31" s="140">
        <v>1.74</v>
      </c>
      <c r="K31" s="94" t="s">
        <v>244</v>
      </c>
      <c r="L31" s="32">
        <v>4.6500000000000007E-2</v>
      </c>
      <c r="M31" s="32">
        <v>-5.5000000000000005E-3</v>
      </c>
      <c r="N31" s="103">
        <v>6279997.2734877877</v>
      </c>
      <c r="O31" s="100">
        <v>114.42000000000002</v>
      </c>
      <c r="P31" s="124">
        <v>7185.5728796052817</v>
      </c>
      <c r="Q31" s="32">
        <v>3.1399986367438938E-2</v>
      </c>
      <c r="R31" s="41">
        <v>1.8892322591815044E-2</v>
      </c>
      <c r="S31" s="41">
        <v>6.0850689953056492E-4</v>
      </c>
    </row>
    <row r="32" spans="2:19" x14ac:dyDescent="0.2">
      <c r="B32" s="23" t="s">
        <v>2587</v>
      </c>
      <c r="C32" s="32" t="s">
        <v>2588</v>
      </c>
      <c r="D32" s="32" t="s">
        <v>238</v>
      </c>
      <c r="E32" s="32" t="s">
        <v>576</v>
      </c>
      <c r="F32" s="32" t="s">
        <v>192</v>
      </c>
      <c r="G32" s="100" t="s">
        <v>642</v>
      </c>
      <c r="H32" s="94" t="s">
        <v>346</v>
      </c>
      <c r="I32" s="94" t="s">
        <v>2589</v>
      </c>
      <c r="J32" s="140">
        <v>6.98</v>
      </c>
      <c r="K32" s="94" t="s">
        <v>244</v>
      </c>
      <c r="L32" s="32">
        <v>3.3000000000000002E-2</v>
      </c>
      <c r="M32" s="32">
        <v>-3.7000000000000002E-3</v>
      </c>
      <c r="N32" s="103">
        <v>6964709.4838158675</v>
      </c>
      <c r="O32" s="100">
        <v>131.29</v>
      </c>
      <c r="P32" s="124">
        <v>9143.9670813018511</v>
      </c>
      <c r="Q32" s="32" t="s">
        <v>238</v>
      </c>
      <c r="R32" s="41">
        <v>2.4041336545233341E-2</v>
      </c>
      <c r="S32" s="41">
        <v>7.7435260226018179E-4</v>
      </c>
    </row>
    <row r="33" spans="2:19" x14ac:dyDescent="0.2">
      <c r="B33" s="23" t="s">
        <v>2633</v>
      </c>
      <c r="C33" s="32" t="s">
        <v>2634</v>
      </c>
      <c r="D33" s="32" t="s">
        <v>238</v>
      </c>
      <c r="E33" s="32" t="s">
        <v>2628</v>
      </c>
      <c r="F33" s="32" t="s">
        <v>209</v>
      </c>
      <c r="G33" s="100" t="s">
        <v>582</v>
      </c>
      <c r="H33" s="94" t="s">
        <v>346</v>
      </c>
      <c r="I33" s="94" t="s">
        <v>2635</v>
      </c>
      <c r="J33" s="140">
        <v>0.65</v>
      </c>
      <c r="K33" s="94" t="s">
        <v>244</v>
      </c>
      <c r="L33" s="32">
        <v>7.0900000000000005E-2</v>
      </c>
      <c r="M33" s="32">
        <v>-7.000000000000001E-4</v>
      </c>
      <c r="N33" s="103">
        <v>12433.92</v>
      </c>
      <c r="O33" s="100">
        <v>130.56</v>
      </c>
      <c r="P33" s="124">
        <v>16.233719999999998</v>
      </c>
      <c r="Q33" s="32" t="s">
        <v>238</v>
      </c>
      <c r="R33" s="41">
        <v>4.2681729104116593E-5</v>
      </c>
      <c r="S33" s="41">
        <v>1.3747450329374374E-6</v>
      </c>
    </row>
    <row r="34" spans="2:19" x14ac:dyDescent="0.2">
      <c r="B34" s="23" t="s">
        <v>2626</v>
      </c>
      <c r="C34" s="32" t="s">
        <v>2627</v>
      </c>
      <c r="D34" s="32" t="s">
        <v>238</v>
      </c>
      <c r="E34" s="32" t="s">
        <v>2628</v>
      </c>
      <c r="F34" s="32" t="s">
        <v>209</v>
      </c>
      <c r="G34" s="100" t="s">
        <v>582</v>
      </c>
      <c r="H34" s="94" t="s">
        <v>346</v>
      </c>
      <c r="I34" s="94" t="s">
        <v>2629</v>
      </c>
      <c r="J34" s="140">
        <v>3.16</v>
      </c>
      <c r="K34" s="94" t="s">
        <v>244</v>
      </c>
      <c r="L34" s="32">
        <v>7.1500000000000008E-2</v>
      </c>
      <c r="M34" s="32">
        <v>-2.3999999999999998E-3</v>
      </c>
      <c r="N34" s="103">
        <v>18046755.969999999</v>
      </c>
      <c r="O34" s="100">
        <v>135.94999999999999</v>
      </c>
      <c r="P34" s="124">
        <v>24534.564739999998</v>
      </c>
      <c r="Q34" s="32" t="s">
        <v>238</v>
      </c>
      <c r="R34" s="41">
        <v>6.4506326702696043E-2</v>
      </c>
      <c r="S34" s="41">
        <v>2.0776982115988814E-3</v>
      </c>
    </row>
    <row r="35" spans="2:19" x14ac:dyDescent="0.2">
      <c r="B35" s="23" t="s">
        <v>2642</v>
      </c>
      <c r="C35" s="32" t="s">
        <v>2643</v>
      </c>
      <c r="D35" s="32" t="s">
        <v>238</v>
      </c>
      <c r="E35" s="32" t="s">
        <v>2644</v>
      </c>
      <c r="F35" s="32" t="s">
        <v>193</v>
      </c>
      <c r="G35" s="100" t="s">
        <v>582</v>
      </c>
      <c r="H35" s="94" t="s">
        <v>346</v>
      </c>
      <c r="I35" s="94" t="s">
        <v>2645</v>
      </c>
      <c r="J35" s="140">
        <v>1.9400000000000002</v>
      </c>
      <c r="K35" s="94" t="s">
        <v>244</v>
      </c>
      <c r="L35" s="32">
        <v>3.15E-2</v>
      </c>
      <c r="M35" s="32">
        <v>2.0499999999999997E-2</v>
      </c>
      <c r="N35" s="103">
        <v>9211608.0516419578</v>
      </c>
      <c r="O35" s="100">
        <v>104</v>
      </c>
      <c r="P35" s="124">
        <v>9580.0723732020797</v>
      </c>
      <c r="Q35" s="32">
        <v>2.2366770800025977E-2</v>
      </c>
      <c r="R35" s="41">
        <v>2.5187945451248552E-2</v>
      </c>
      <c r="S35" s="41">
        <v>8.1128397620759316E-4</v>
      </c>
    </row>
    <row r="36" spans="2:19" x14ac:dyDescent="0.2">
      <c r="B36" s="23" t="s">
        <v>2616</v>
      </c>
      <c r="C36" s="32" t="s">
        <v>2617</v>
      </c>
      <c r="D36" s="32" t="s">
        <v>238</v>
      </c>
      <c r="E36" s="32" t="s">
        <v>2618</v>
      </c>
      <c r="F36" s="32" t="s">
        <v>198</v>
      </c>
      <c r="G36" s="100" t="s">
        <v>988</v>
      </c>
      <c r="H36" s="94" t="s">
        <v>243</v>
      </c>
      <c r="I36" s="94" t="s">
        <v>2619</v>
      </c>
      <c r="J36" s="140">
        <v>0.61</v>
      </c>
      <c r="K36" s="94" t="s">
        <v>244</v>
      </c>
      <c r="L36" s="32">
        <v>6.7000000000000004E-2</v>
      </c>
      <c r="M36" s="32">
        <v>2.12E-2</v>
      </c>
      <c r="N36" s="103">
        <v>4301251.7081520548</v>
      </c>
      <c r="O36" s="100">
        <v>130.41999999999999</v>
      </c>
      <c r="P36" s="124">
        <v>5609.6924765279928</v>
      </c>
      <c r="Q36" s="32">
        <v>7.1902414827781647E-2</v>
      </c>
      <c r="R36" s="41">
        <v>1.4749014683052853E-2</v>
      </c>
      <c r="S36" s="41">
        <v>4.7505420004862543E-4</v>
      </c>
    </row>
    <row r="37" spans="2:19" x14ac:dyDescent="0.2">
      <c r="B37" s="23" t="s">
        <v>2674</v>
      </c>
      <c r="C37" s="32" t="s">
        <v>2675</v>
      </c>
      <c r="D37" s="32" t="s">
        <v>238</v>
      </c>
      <c r="E37" s="32" t="s">
        <v>2618</v>
      </c>
      <c r="F37" s="32" t="s">
        <v>198</v>
      </c>
      <c r="G37" s="100" t="s">
        <v>988</v>
      </c>
      <c r="H37" s="94" t="s">
        <v>243</v>
      </c>
      <c r="I37" s="94" t="s">
        <v>2676</v>
      </c>
      <c r="J37" s="140">
        <v>0.88</v>
      </c>
      <c r="K37" s="94" t="s">
        <v>244</v>
      </c>
      <c r="L37" s="32">
        <v>6.7000000000000004E-2</v>
      </c>
      <c r="M37" s="32">
        <v>1.9199999999999998E-2</v>
      </c>
      <c r="N37" s="103">
        <v>3974346.1</v>
      </c>
      <c r="O37" s="100">
        <v>130.63</v>
      </c>
      <c r="P37" s="124">
        <v>5191.6883099999995</v>
      </c>
      <c r="Q37" s="32">
        <v>0.13732112104120564</v>
      </c>
      <c r="R37" s="41">
        <v>1.3649997292082709E-2</v>
      </c>
      <c r="S37" s="41">
        <v>4.3965571149014887E-4</v>
      </c>
    </row>
    <row r="38" spans="2:19" x14ac:dyDescent="0.2">
      <c r="B38" s="23" t="s">
        <v>2620</v>
      </c>
      <c r="C38" s="32" t="s">
        <v>2621</v>
      </c>
      <c r="D38" s="32" t="s">
        <v>238</v>
      </c>
      <c r="E38" s="32" t="s">
        <v>2618</v>
      </c>
      <c r="F38" s="32" t="s">
        <v>198</v>
      </c>
      <c r="G38" s="100" t="s">
        <v>988</v>
      </c>
      <c r="H38" s="94" t="s">
        <v>243</v>
      </c>
      <c r="I38" s="94" t="s">
        <v>2622</v>
      </c>
      <c r="J38" s="140">
        <v>0.95</v>
      </c>
      <c r="K38" s="94" t="s">
        <v>244</v>
      </c>
      <c r="L38" s="32">
        <v>6.7000000000000004E-2</v>
      </c>
      <c r="M38" s="32">
        <v>1.9799999999999998E-2</v>
      </c>
      <c r="N38" s="103">
        <v>104650.72</v>
      </c>
      <c r="O38" s="100">
        <v>129.65</v>
      </c>
      <c r="P38" s="124">
        <v>135.67964999999998</v>
      </c>
      <c r="Q38" s="32">
        <v>4.0220226226358718E-3</v>
      </c>
      <c r="R38" s="41">
        <v>3.5672920724524963E-4</v>
      </c>
      <c r="S38" s="41">
        <v>1.1489968097773646E-5</v>
      </c>
    </row>
    <row r="39" spans="2:19" x14ac:dyDescent="0.2">
      <c r="B39" s="23" t="s">
        <v>2608</v>
      </c>
      <c r="C39" s="32" t="s">
        <v>2609</v>
      </c>
      <c r="D39" s="32" t="s">
        <v>238</v>
      </c>
      <c r="E39" s="32" t="s">
        <v>2610</v>
      </c>
      <c r="F39" s="32" t="s">
        <v>205</v>
      </c>
      <c r="G39" s="100" t="s">
        <v>599</v>
      </c>
      <c r="H39" s="94" t="s">
        <v>238</v>
      </c>
      <c r="I39" s="94" t="s">
        <v>2611</v>
      </c>
      <c r="J39" s="140">
        <v>0.19</v>
      </c>
      <c r="K39" s="94" t="s">
        <v>244</v>
      </c>
      <c r="L39" s="32">
        <v>4.9500000000000002E-2</v>
      </c>
      <c r="M39" s="32">
        <v>5.5000000000000005E-3</v>
      </c>
      <c r="N39" s="103">
        <v>743071.80524612963</v>
      </c>
      <c r="O39" s="100">
        <v>127.58</v>
      </c>
      <c r="P39" s="124">
        <v>948.01100826617881</v>
      </c>
      <c r="Q39" s="32">
        <v>6.6258844566878861E-2</v>
      </c>
      <c r="R39" s="41">
        <v>2.4925124396957374E-3</v>
      </c>
      <c r="S39" s="41">
        <v>8.0281871609461133E-5</v>
      </c>
    </row>
    <row r="40" spans="2:19" s="160" customFormat="1" x14ac:dyDescent="0.2">
      <c r="B40" s="132" t="s">
        <v>2578</v>
      </c>
      <c r="C40" s="167" t="s">
        <v>238</v>
      </c>
      <c r="D40" s="167" t="s">
        <v>238</v>
      </c>
      <c r="E40" s="167" t="s">
        <v>238</v>
      </c>
      <c r="F40" s="167" t="s">
        <v>238</v>
      </c>
      <c r="G40" s="164" t="s">
        <v>238</v>
      </c>
      <c r="H40" s="168" t="s">
        <v>238</v>
      </c>
      <c r="I40" s="168" t="s">
        <v>238</v>
      </c>
      <c r="J40" s="176" t="s">
        <v>238</v>
      </c>
      <c r="K40" s="168" t="s">
        <v>238</v>
      </c>
      <c r="L40" s="167" t="s">
        <v>238</v>
      </c>
      <c r="M40" s="167" t="s">
        <v>238</v>
      </c>
      <c r="N40" s="178" t="s">
        <v>238</v>
      </c>
      <c r="O40" s="164" t="s">
        <v>238</v>
      </c>
      <c r="P40" s="169">
        <v>39677.46205362396</v>
      </c>
      <c r="Q40" s="167" t="s">
        <v>238</v>
      </c>
      <c r="R40" s="163">
        <v>0.10432006261729559</v>
      </c>
      <c r="S40" s="163">
        <v>3.3600674323434926E-3</v>
      </c>
    </row>
    <row r="41" spans="2:19" x14ac:dyDescent="0.2">
      <c r="B41" s="23" t="s">
        <v>2680</v>
      </c>
      <c r="C41" s="32" t="s">
        <v>2681</v>
      </c>
      <c r="D41" s="32" t="s">
        <v>238</v>
      </c>
      <c r="E41" s="32" t="s">
        <v>2682</v>
      </c>
      <c r="F41" s="32" t="s">
        <v>202</v>
      </c>
      <c r="G41" s="100" t="s">
        <v>658</v>
      </c>
      <c r="H41" s="94" t="s">
        <v>346</v>
      </c>
      <c r="I41" s="94" t="s">
        <v>2683</v>
      </c>
      <c r="J41" s="140">
        <v>6.7999999999999989</v>
      </c>
      <c r="K41" s="94" t="s">
        <v>244</v>
      </c>
      <c r="L41" s="32">
        <v>3.7400000000000003E-2</v>
      </c>
      <c r="M41" s="32">
        <v>1.72E-2</v>
      </c>
      <c r="N41" s="103">
        <v>8780334.7837343644</v>
      </c>
      <c r="O41" s="100">
        <v>115.38999999999999</v>
      </c>
      <c r="P41" s="124">
        <v>10131.628306951081</v>
      </c>
      <c r="Q41" s="32">
        <v>1.7047273867669979E-2</v>
      </c>
      <c r="R41" s="41">
        <v>2.6638097415803991E-2</v>
      </c>
      <c r="S41" s="41">
        <v>8.5799223409972205E-4</v>
      </c>
    </row>
    <row r="42" spans="2:19" x14ac:dyDescent="0.2">
      <c r="B42" s="23" t="s">
        <v>2684</v>
      </c>
      <c r="C42" s="32" t="s">
        <v>2685</v>
      </c>
      <c r="D42" s="32" t="s">
        <v>238</v>
      </c>
      <c r="E42" s="32" t="s">
        <v>2682</v>
      </c>
      <c r="F42" s="32" t="s">
        <v>202</v>
      </c>
      <c r="G42" s="100" t="s">
        <v>658</v>
      </c>
      <c r="H42" s="94" t="s">
        <v>346</v>
      </c>
      <c r="I42" s="94" t="s">
        <v>2683</v>
      </c>
      <c r="J42" s="140">
        <v>3.08</v>
      </c>
      <c r="K42" s="94" t="s">
        <v>244</v>
      </c>
      <c r="L42" s="32">
        <v>2.5000000000000001E-2</v>
      </c>
      <c r="M42" s="32">
        <v>1.0500000000000001E-2</v>
      </c>
      <c r="N42" s="103">
        <v>6923778.9214990968</v>
      </c>
      <c r="O42" s="100">
        <v>105.25999999999999</v>
      </c>
      <c r="P42" s="124">
        <v>7287.9696927699497</v>
      </c>
      <c r="Q42" s="32">
        <v>9.5461424321919564E-3</v>
      </c>
      <c r="R42" s="41">
        <v>1.9161544497861172E-2</v>
      </c>
      <c r="S42" s="41">
        <v>6.1717832606045144E-4</v>
      </c>
    </row>
    <row r="43" spans="2:19" x14ac:dyDescent="0.2">
      <c r="B43" s="23" t="s">
        <v>2686</v>
      </c>
      <c r="C43" s="32" t="s">
        <v>2687</v>
      </c>
      <c r="D43" s="32" t="s">
        <v>238</v>
      </c>
      <c r="E43" s="32" t="s">
        <v>653</v>
      </c>
      <c r="F43" s="32" t="s">
        <v>197</v>
      </c>
      <c r="G43" s="100" t="s">
        <v>567</v>
      </c>
      <c r="H43" s="94" t="s">
        <v>243</v>
      </c>
      <c r="I43" s="94" t="s">
        <v>2688</v>
      </c>
      <c r="J43" s="140">
        <v>7.2999999999999989</v>
      </c>
      <c r="K43" s="94" t="s">
        <v>244</v>
      </c>
      <c r="L43" s="32">
        <v>3.6000000000000004E-2</v>
      </c>
      <c r="M43" s="32">
        <v>3.39E-2</v>
      </c>
      <c r="N43" s="103">
        <v>4533472.971095019</v>
      </c>
      <c r="O43" s="100">
        <v>102.03</v>
      </c>
      <c r="P43" s="124">
        <v>4625.5024724082477</v>
      </c>
      <c r="Q43" s="32">
        <v>7.5199432224646173E-3</v>
      </c>
      <c r="R43" s="41">
        <v>1.2161380355072677E-2</v>
      </c>
      <c r="S43" s="41">
        <v>3.9170852699092236E-4</v>
      </c>
    </row>
    <row r="44" spans="2:19" x14ac:dyDescent="0.2">
      <c r="B44" s="23" t="s">
        <v>2689</v>
      </c>
      <c r="C44" s="32" t="s">
        <v>2690</v>
      </c>
      <c r="D44" s="32" t="s">
        <v>238</v>
      </c>
      <c r="E44" s="32" t="s">
        <v>2691</v>
      </c>
      <c r="F44" s="32" t="s">
        <v>191</v>
      </c>
      <c r="G44" s="100" t="s">
        <v>642</v>
      </c>
      <c r="H44" s="94" t="s">
        <v>346</v>
      </c>
      <c r="I44" s="94" t="s">
        <v>2692</v>
      </c>
      <c r="J44" s="140">
        <v>3.7299999999999995</v>
      </c>
      <c r="K44" s="94" t="s">
        <v>244</v>
      </c>
      <c r="L44" s="32">
        <v>5.1799999999999999E-2</v>
      </c>
      <c r="M44" s="32">
        <v>3.61E-2</v>
      </c>
      <c r="N44" s="103">
        <v>5285074.664694624</v>
      </c>
      <c r="O44" s="100">
        <v>111.83999999999999</v>
      </c>
      <c r="P44" s="124">
        <v>5910.8275044500224</v>
      </c>
      <c r="Q44" s="32">
        <v>3.8041277367700452E-2</v>
      </c>
      <c r="R44" s="41">
        <v>1.554075950097066E-2</v>
      </c>
      <c r="S44" s="41">
        <v>5.0055567992380418E-4</v>
      </c>
    </row>
    <row r="45" spans="2:19" x14ac:dyDescent="0.2">
      <c r="B45" s="23" t="s">
        <v>2677</v>
      </c>
      <c r="C45" s="32" t="s">
        <v>2678</v>
      </c>
      <c r="D45" s="32" t="s">
        <v>238</v>
      </c>
      <c r="E45" s="32" t="s">
        <v>2679</v>
      </c>
      <c r="F45" s="32" t="s">
        <v>598</v>
      </c>
      <c r="G45" s="100" t="s">
        <v>582</v>
      </c>
      <c r="H45" s="94" t="s">
        <v>346</v>
      </c>
      <c r="I45" s="94" t="s">
        <v>1187</v>
      </c>
      <c r="J45" s="140">
        <v>4.84</v>
      </c>
      <c r="K45" s="94" t="s">
        <v>244</v>
      </c>
      <c r="L45" s="32">
        <v>4.5999999999999999E-2</v>
      </c>
      <c r="M45" s="32">
        <v>2.3300000000000001E-2</v>
      </c>
      <c r="N45" s="103">
        <v>10532423.467740742</v>
      </c>
      <c r="O45" s="100">
        <v>111.29</v>
      </c>
      <c r="P45" s="124">
        <v>11721.534076944659</v>
      </c>
      <c r="Q45" s="32">
        <v>1.8349169804426382E-2</v>
      </c>
      <c r="R45" s="41">
        <v>3.0818280847324173E-2</v>
      </c>
      <c r="S45" s="41">
        <v>9.9263266526012413E-4</v>
      </c>
    </row>
    <row r="46" spans="2:19" s="160" customFormat="1" x14ac:dyDescent="0.2">
      <c r="B46" s="132" t="s">
        <v>557</v>
      </c>
      <c r="C46" s="167" t="s">
        <v>238</v>
      </c>
      <c r="D46" s="167" t="s">
        <v>238</v>
      </c>
      <c r="E46" s="167" t="s">
        <v>238</v>
      </c>
      <c r="F46" s="167" t="s">
        <v>238</v>
      </c>
      <c r="G46" s="164" t="s">
        <v>238</v>
      </c>
      <c r="H46" s="168" t="s">
        <v>238</v>
      </c>
      <c r="I46" s="168" t="s">
        <v>238</v>
      </c>
      <c r="J46" s="176" t="s">
        <v>238</v>
      </c>
      <c r="K46" s="168" t="s">
        <v>238</v>
      </c>
      <c r="L46" s="167" t="s">
        <v>238</v>
      </c>
      <c r="M46" s="167" t="s">
        <v>238</v>
      </c>
      <c r="N46" s="178" t="s">
        <v>238</v>
      </c>
      <c r="O46" s="164" t="s">
        <v>238</v>
      </c>
      <c r="P46" s="169">
        <v>27518.233535347412</v>
      </c>
      <c r="Q46" s="167" t="s">
        <v>238</v>
      </c>
      <c r="R46" s="163">
        <v>7.2350994669090951E-2</v>
      </c>
      <c r="S46" s="163">
        <v>2.3303688167549568E-3</v>
      </c>
    </row>
    <row r="47" spans="2:19" x14ac:dyDescent="0.2">
      <c r="B47" s="23" t="s">
        <v>2702</v>
      </c>
      <c r="C47" s="32" t="s">
        <v>2703</v>
      </c>
      <c r="D47" s="32" t="s">
        <v>238</v>
      </c>
      <c r="E47" s="32" t="s">
        <v>2704</v>
      </c>
      <c r="F47" s="32" t="s">
        <v>598</v>
      </c>
      <c r="G47" s="100" t="s">
        <v>587</v>
      </c>
      <c r="H47" s="94" t="s">
        <v>346</v>
      </c>
      <c r="I47" s="94" t="s">
        <v>2705</v>
      </c>
      <c r="J47" s="140">
        <v>3.61</v>
      </c>
      <c r="K47" s="94" t="s">
        <v>127</v>
      </c>
      <c r="L47" s="32">
        <v>7.9699999999999993E-2</v>
      </c>
      <c r="M47" s="32">
        <v>2.69E-2</v>
      </c>
      <c r="N47" s="103">
        <v>471896.0057014646</v>
      </c>
      <c r="O47" s="100">
        <v>124.35000000000001</v>
      </c>
      <c r="P47" s="124">
        <v>2027.9900705735204</v>
      </c>
      <c r="Q47" s="32">
        <v>6.2963975401793965E-3</v>
      </c>
      <c r="R47" s="41">
        <v>5.33199555111566E-3</v>
      </c>
      <c r="S47" s="41">
        <v>1.7173939653803262E-4</v>
      </c>
    </row>
    <row r="48" spans="2:19" x14ac:dyDescent="0.2">
      <c r="B48" s="23" t="s">
        <v>2697</v>
      </c>
      <c r="C48" s="32" t="s">
        <v>2698</v>
      </c>
      <c r="D48" s="32" t="s">
        <v>238</v>
      </c>
      <c r="E48" s="32" t="s">
        <v>1614</v>
      </c>
      <c r="F48" s="32" t="s">
        <v>189</v>
      </c>
      <c r="G48" s="100" t="s">
        <v>567</v>
      </c>
      <c r="H48" s="94" t="s">
        <v>243</v>
      </c>
      <c r="I48" s="94" t="s">
        <v>2699</v>
      </c>
      <c r="J48" s="140">
        <v>0.7</v>
      </c>
      <c r="K48" s="94" t="s">
        <v>127</v>
      </c>
      <c r="L48" s="32">
        <v>3.7000000000000005E-2</v>
      </c>
      <c r="M48" s="32">
        <v>2.86E-2</v>
      </c>
      <c r="N48" s="103">
        <v>2563444.2706710203</v>
      </c>
      <c r="O48" s="100">
        <v>101.66999999999999</v>
      </c>
      <c r="P48" s="124">
        <v>9007.2130977395882</v>
      </c>
      <c r="Q48" s="32">
        <v>3.8144221633697697E-2</v>
      </c>
      <c r="R48" s="41">
        <v>2.3681782698036682E-2</v>
      </c>
      <c r="S48" s="41">
        <v>7.6277165472402693E-4</v>
      </c>
    </row>
    <row r="49" spans="2:19" x14ac:dyDescent="0.2">
      <c r="B49" s="23" t="s">
        <v>2700</v>
      </c>
      <c r="C49" s="32" t="s">
        <v>2701</v>
      </c>
      <c r="D49" s="32" t="s">
        <v>238</v>
      </c>
      <c r="E49" s="32" t="s">
        <v>1614</v>
      </c>
      <c r="F49" s="32" t="s">
        <v>189</v>
      </c>
      <c r="G49" s="100" t="s">
        <v>567</v>
      </c>
      <c r="H49" s="94" t="s">
        <v>243</v>
      </c>
      <c r="I49" s="94" t="s">
        <v>2699</v>
      </c>
      <c r="J49" s="140">
        <v>2.5499999999999998</v>
      </c>
      <c r="K49" s="94" t="s">
        <v>127</v>
      </c>
      <c r="L49" s="32">
        <v>4.4500000000000005E-2</v>
      </c>
      <c r="M49" s="32">
        <v>3.7599999999999995E-2</v>
      </c>
      <c r="N49" s="103">
        <v>4394868.1843103599</v>
      </c>
      <c r="O49" s="100">
        <v>103.14000000000001</v>
      </c>
      <c r="P49" s="124">
        <v>15665.588507619583</v>
      </c>
      <c r="Q49" s="32">
        <v>3.2049341220510667E-2</v>
      </c>
      <c r="R49" s="41">
        <v>4.1187996647643381E-2</v>
      </c>
      <c r="S49" s="41">
        <v>1.3266330815667529E-3</v>
      </c>
    </row>
    <row r="50" spans="2:19" x14ac:dyDescent="0.2">
      <c r="B50" s="23" t="s">
        <v>2693</v>
      </c>
      <c r="C50" s="32" t="s">
        <v>2694</v>
      </c>
      <c r="D50" s="32" t="s">
        <v>238</v>
      </c>
      <c r="E50" s="32" t="s">
        <v>2695</v>
      </c>
      <c r="F50" s="32" t="s">
        <v>195</v>
      </c>
      <c r="G50" s="100" t="s">
        <v>599</v>
      </c>
      <c r="H50" s="94" t="s">
        <v>238</v>
      </c>
      <c r="I50" s="94" t="s">
        <v>2696</v>
      </c>
      <c r="J50" s="140">
        <v>1.02</v>
      </c>
      <c r="K50" s="94" t="s">
        <v>127</v>
      </c>
      <c r="L50" s="32">
        <v>4.7093799523162845E-2</v>
      </c>
      <c r="M50" s="32">
        <v>0.15890000000000001</v>
      </c>
      <c r="N50" s="103">
        <v>262459.29581916489</v>
      </c>
      <c r="O50" s="100">
        <v>90.12</v>
      </c>
      <c r="P50" s="124">
        <v>817.44185931472146</v>
      </c>
      <c r="Q50" s="32">
        <v>1.678815580591295E-2</v>
      </c>
      <c r="R50" s="41">
        <v>2.1492197720323091E-3</v>
      </c>
      <c r="S50" s="41">
        <v>6.9224683917676113E-5</v>
      </c>
    </row>
    <row r="51" spans="2:19" s="160" customFormat="1" x14ac:dyDescent="0.2">
      <c r="B51" s="132" t="s">
        <v>144</v>
      </c>
      <c r="C51" s="167" t="s">
        <v>238</v>
      </c>
      <c r="D51" s="167" t="s">
        <v>238</v>
      </c>
      <c r="E51" s="167" t="s">
        <v>238</v>
      </c>
      <c r="F51" s="167" t="s">
        <v>238</v>
      </c>
      <c r="G51" s="164" t="s">
        <v>238</v>
      </c>
      <c r="H51" s="168" t="s">
        <v>238</v>
      </c>
      <c r="I51" s="168" t="s">
        <v>238</v>
      </c>
      <c r="J51" s="176" t="s">
        <v>238</v>
      </c>
      <c r="K51" s="168" t="s">
        <v>238</v>
      </c>
      <c r="L51" s="167" t="s">
        <v>238</v>
      </c>
      <c r="M51" s="167" t="s">
        <v>238</v>
      </c>
      <c r="N51" s="178" t="s">
        <v>238</v>
      </c>
      <c r="O51" s="164" t="s">
        <v>238</v>
      </c>
      <c r="P51" s="169">
        <v>0</v>
      </c>
      <c r="Q51" s="167" t="s">
        <v>238</v>
      </c>
      <c r="R51" s="163">
        <v>0</v>
      </c>
      <c r="S51" s="163">
        <v>0</v>
      </c>
    </row>
    <row r="52" spans="2:19" s="160" customFormat="1" x14ac:dyDescent="0.2">
      <c r="B52" s="132" t="s">
        <v>544</v>
      </c>
      <c r="C52" s="167" t="s">
        <v>238</v>
      </c>
      <c r="D52" s="167" t="s">
        <v>238</v>
      </c>
      <c r="E52" s="167" t="s">
        <v>238</v>
      </c>
      <c r="F52" s="167" t="s">
        <v>238</v>
      </c>
      <c r="G52" s="164" t="s">
        <v>238</v>
      </c>
      <c r="H52" s="168" t="s">
        <v>238</v>
      </c>
      <c r="I52" s="168" t="s">
        <v>238</v>
      </c>
      <c r="J52" s="176" t="s">
        <v>238</v>
      </c>
      <c r="K52" s="168" t="s">
        <v>238</v>
      </c>
      <c r="L52" s="167" t="s">
        <v>238</v>
      </c>
      <c r="M52" s="167" t="s">
        <v>238</v>
      </c>
      <c r="N52" s="178" t="s">
        <v>238</v>
      </c>
      <c r="O52" s="164" t="s">
        <v>238</v>
      </c>
      <c r="P52" s="169">
        <v>0</v>
      </c>
      <c r="Q52" s="167" t="s">
        <v>238</v>
      </c>
      <c r="R52" s="163">
        <v>0</v>
      </c>
      <c r="S52" s="163">
        <v>0</v>
      </c>
    </row>
    <row r="53" spans="2:19" s="160" customFormat="1" x14ac:dyDescent="0.2">
      <c r="B53" s="132" t="s">
        <v>2706</v>
      </c>
      <c r="C53" s="167" t="s">
        <v>238</v>
      </c>
      <c r="D53" s="167" t="s">
        <v>238</v>
      </c>
      <c r="E53" s="167" t="s">
        <v>238</v>
      </c>
      <c r="F53" s="167" t="s">
        <v>238</v>
      </c>
      <c r="G53" s="164" t="s">
        <v>238</v>
      </c>
      <c r="H53" s="168" t="s">
        <v>238</v>
      </c>
      <c r="I53" s="168" t="s">
        <v>238</v>
      </c>
      <c r="J53" s="176" t="s">
        <v>238</v>
      </c>
      <c r="K53" s="168" t="s">
        <v>238</v>
      </c>
      <c r="L53" s="167" t="s">
        <v>238</v>
      </c>
      <c r="M53" s="167" t="s">
        <v>238</v>
      </c>
      <c r="N53" s="178" t="s">
        <v>238</v>
      </c>
      <c r="O53" s="164" t="s">
        <v>238</v>
      </c>
      <c r="P53" s="169">
        <v>0</v>
      </c>
      <c r="Q53" s="167" t="s">
        <v>238</v>
      </c>
      <c r="R53" s="163">
        <v>0</v>
      </c>
      <c r="S53" s="163">
        <v>0</v>
      </c>
    </row>
    <row r="54" spans="2:19" s="160" customFormat="1" x14ac:dyDescent="0.2">
      <c r="B54" s="132" t="s">
        <v>2707</v>
      </c>
      <c r="C54" s="167" t="s">
        <v>238</v>
      </c>
      <c r="D54" s="167" t="s">
        <v>238</v>
      </c>
      <c r="E54" s="167" t="s">
        <v>238</v>
      </c>
      <c r="F54" s="167" t="s">
        <v>238</v>
      </c>
      <c r="G54" s="164" t="s">
        <v>238</v>
      </c>
      <c r="H54" s="168" t="s">
        <v>238</v>
      </c>
      <c r="I54" s="168" t="s">
        <v>238</v>
      </c>
      <c r="J54" s="176" t="s">
        <v>238</v>
      </c>
      <c r="K54" s="168" t="s">
        <v>238</v>
      </c>
      <c r="L54" s="167" t="s">
        <v>238</v>
      </c>
      <c r="M54" s="167" t="s">
        <v>238</v>
      </c>
      <c r="N54" s="178" t="s">
        <v>238</v>
      </c>
      <c r="O54" s="164" t="s">
        <v>238</v>
      </c>
      <c r="P54" s="169">
        <v>0</v>
      </c>
      <c r="Q54" s="167" t="s">
        <v>238</v>
      </c>
      <c r="R54" s="163">
        <v>0</v>
      </c>
      <c r="S54" s="163">
        <v>0</v>
      </c>
    </row>
    <row r="55" spans="2:19" s="160" customFormat="1" x14ac:dyDescent="0.2">
      <c r="B55" s="114" t="s">
        <v>227</v>
      </c>
      <c r="C55" s="170"/>
      <c r="D55" s="170"/>
      <c r="E55" s="170"/>
      <c r="F55" s="114"/>
      <c r="G55" s="171"/>
      <c r="H55" s="171"/>
      <c r="I55" s="171"/>
      <c r="J55" s="172"/>
      <c r="K55" s="173"/>
      <c r="L55" s="174"/>
      <c r="M55" s="174"/>
      <c r="N55" s="174"/>
      <c r="O55" s="173"/>
      <c r="P55" s="173"/>
      <c r="Q55" s="179"/>
      <c r="R55" s="179"/>
      <c r="S55" s="179"/>
    </row>
    <row r="56" spans="2:19" s="160" customFormat="1" x14ac:dyDescent="0.2">
      <c r="B56" s="114" t="s">
        <v>228</v>
      </c>
      <c r="C56" s="170"/>
      <c r="D56" s="170"/>
      <c r="E56" s="170"/>
      <c r="F56" s="114"/>
      <c r="G56" s="171"/>
      <c r="H56" s="171"/>
      <c r="I56" s="171"/>
      <c r="J56" s="172"/>
      <c r="K56" s="173"/>
      <c r="L56" s="174"/>
      <c r="M56" s="174"/>
      <c r="N56" s="174"/>
      <c r="O56" s="173"/>
      <c r="P56" s="173"/>
      <c r="Q56" s="179"/>
      <c r="R56" s="179"/>
      <c r="S56" s="179"/>
    </row>
    <row r="57" spans="2:19" s="160" customFormat="1" x14ac:dyDescent="0.2">
      <c r="B57" s="114" t="s">
        <v>229</v>
      </c>
      <c r="C57" s="170"/>
      <c r="D57" s="170"/>
      <c r="E57" s="170"/>
      <c r="F57" s="114"/>
      <c r="G57" s="171"/>
      <c r="H57" s="171"/>
      <c r="I57" s="171"/>
      <c r="J57" s="172"/>
      <c r="K57" s="173"/>
      <c r="L57" s="174"/>
      <c r="M57" s="174"/>
      <c r="N57" s="174"/>
      <c r="O57" s="173"/>
      <c r="P57" s="173"/>
      <c r="Q57" s="179"/>
      <c r="R57" s="179"/>
      <c r="S57" s="179"/>
    </row>
    <row r="58" spans="2:19" s="160" customFormat="1" x14ac:dyDescent="0.2">
      <c r="B58" s="114" t="s">
        <v>230</v>
      </c>
      <c r="C58" s="170"/>
      <c r="D58" s="170"/>
      <c r="E58" s="170"/>
      <c r="F58" s="114"/>
      <c r="G58" s="171"/>
      <c r="H58" s="171"/>
      <c r="I58" s="171"/>
      <c r="J58" s="172"/>
      <c r="K58" s="173"/>
      <c r="L58" s="174"/>
      <c r="M58" s="174"/>
      <c r="N58" s="174"/>
      <c r="O58" s="173"/>
      <c r="P58" s="173"/>
      <c r="Q58" s="179"/>
      <c r="R58" s="179"/>
      <c r="S58" s="179"/>
    </row>
    <row r="59" spans="2:19" s="160" customFormat="1" x14ac:dyDescent="0.2">
      <c r="B59" s="114" t="s">
        <v>231</v>
      </c>
      <c r="C59" s="170"/>
      <c r="D59" s="170"/>
      <c r="E59" s="170"/>
      <c r="F59" s="114"/>
      <c r="G59" s="171"/>
      <c r="H59" s="171"/>
      <c r="I59" s="171"/>
      <c r="J59" s="172"/>
      <c r="K59" s="173"/>
      <c r="L59" s="174"/>
      <c r="M59" s="174"/>
      <c r="N59" s="174"/>
      <c r="O59" s="173"/>
      <c r="P59" s="173"/>
      <c r="Q59" s="179"/>
      <c r="R59" s="179"/>
      <c r="S59" s="179"/>
    </row>
  </sheetData>
  <sortState ref="B47:AA50">
    <sortCondition ref="B47:B50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54 R11:S54 C11:I54">
    <cfRule type="expression" dxfId="79" priority="290" stopIfTrue="1">
      <formula>OR(LEFT(#REF!,3)="TIR",LEFT(#REF!,2)="IR")</formula>
    </cfRule>
  </conditionalFormatting>
  <conditionalFormatting sqref="K1:K5 K55:K55589 J11:J54 L11:O54 Q11:R54">
    <cfRule type="expression" dxfId="78" priority="293" stopIfTrue="1">
      <formula>LEFT(#REF!,3)="TIR"</formula>
    </cfRule>
  </conditionalFormatting>
  <conditionalFormatting sqref="L8">
    <cfRule type="expression" dxfId="77" priority="298" stopIfTrue="1">
      <formula>LEFT(#REF!,3)="TIR"</formula>
    </cfRule>
  </conditionalFormatting>
  <conditionalFormatting sqref="B11:B54 P11:P54">
    <cfRule type="expression" dxfId="76" priority="299" stopIfTrue="1">
      <formula>#REF!&gt;0</formula>
    </cfRule>
    <cfRule type="expression" dxfId="75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7"/>
  <sheetViews>
    <sheetView rightToLeft="1" zoomScale="80" workbookViewId="0">
      <selection activeCell="G29" sqref="G29"/>
    </sheetView>
  </sheetViews>
  <sheetFormatPr defaultRowHeight="12.75" x14ac:dyDescent="0.2"/>
  <cols>
    <col min="1" max="1" width="5.7109375" style="18" bestFit="1" customWidth="1"/>
    <col min="2" max="2" width="28.855468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4.5703125" style="13" bestFit="1" customWidth="1"/>
    <col min="7" max="7" width="12" style="93" bestFit="1" customWidth="1"/>
    <col min="8" max="8" width="13.5703125" style="93" bestFit="1" customWidth="1"/>
    <col min="9" max="9" width="8.85546875" style="93" bestFit="1" customWidth="1"/>
    <col min="10" max="10" width="11.28515625" style="45" bestFit="1" customWidth="1"/>
    <col min="11" max="11" width="12.42578125" style="95" bestFit="1" customWidth="1"/>
    <col min="12" max="12" width="15.28515625" style="95" bestFit="1" customWidth="1"/>
    <col min="13" max="13" width="20.57031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34" t="s">
        <v>28</v>
      </c>
      <c r="C6" s="235"/>
      <c r="D6" s="235"/>
      <c r="E6" s="235"/>
      <c r="F6" s="235"/>
      <c r="G6" s="235"/>
      <c r="H6" s="235"/>
      <c r="I6" s="235"/>
      <c r="J6" s="235"/>
      <c r="K6" s="235"/>
      <c r="L6" s="236"/>
      <c r="M6" s="237"/>
      <c r="N6" s="17"/>
      <c r="O6" s="17"/>
      <c r="P6" s="16"/>
      <c r="Q6" s="16"/>
      <c r="R6" s="18"/>
    </row>
    <row r="7" spans="1:18" s="10" customFormat="1" x14ac:dyDescent="0.2">
      <c r="B7" s="231" t="s">
        <v>21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3"/>
    </row>
    <row r="8" spans="1:18" s="10" customFormat="1" ht="33.75" customHeight="1" x14ac:dyDescent="0.2">
      <c r="B8" s="9" t="s">
        <v>219</v>
      </c>
      <c r="C8" s="4" t="s">
        <v>69</v>
      </c>
      <c r="D8" s="4" t="s">
        <v>79</v>
      </c>
      <c r="E8" s="4" t="s">
        <v>74</v>
      </c>
      <c r="F8" s="4" t="s">
        <v>19</v>
      </c>
      <c r="G8" s="4" t="s">
        <v>6</v>
      </c>
      <c r="H8" s="5" t="s">
        <v>67</v>
      </c>
      <c r="I8" s="5" t="s">
        <v>68</v>
      </c>
      <c r="J8" s="5" t="s">
        <v>7</v>
      </c>
      <c r="K8" s="5" t="s">
        <v>17</v>
      </c>
      <c r="L8" s="38" t="s">
        <v>75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136</v>
      </c>
      <c r="I9" s="2"/>
      <c r="J9" s="2" t="s">
        <v>138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60" customFormat="1" ht="12.75" customHeight="1" thickBot="1" x14ac:dyDescent="0.25">
      <c r="B11" s="141" t="s">
        <v>59</v>
      </c>
      <c r="C11" s="101"/>
      <c r="D11" s="101"/>
      <c r="E11" s="101"/>
      <c r="F11" s="101"/>
      <c r="G11" s="142"/>
      <c r="H11" s="143"/>
      <c r="I11" s="142"/>
      <c r="J11" s="146">
        <v>91624.600280300001</v>
      </c>
      <c r="K11" s="101"/>
      <c r="L11" s="101">
        <v>1</v>
      </c>
      <c r="M11" s="92">
        <v>7.7591866885852769E-3</v>
      </c>
    </row>
    <row r="12" spans="1:18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64" t="s">
        <v>238</v>
      </c>
      <c r="H12" s="176" t="s">
        <v>238</v>
      </c>
      <c r="I12" s="164" t="s">
        <v>238</v>
      </c>
      <c r="J12" s="177">
        <v>83956.294390100011</v>
      </c>
      <c r="K12" s="163" t="s">
        <v>238</v>
      </c>
      <c r="L12" s="163">
        <v>0.9163073468616405</v>
      </c>
      <c r="M12" s="163">
        <v>7.1097997684217325E-3</v>
      </c>
    </row>
    <row r="13" spans="1:18" x14ac:dyDescent="0.2">
      <c r="B13" s="23" t="s">
        <v>2716</v>
      </c>
      <c r="C13" s="32" t="s">
        <v>2717</v>
      </c>
      <c r="D13" s="32" t="s">
        <v>238</v>
      </c>
      <c r="E13" s="32" t="s">
        <v>2718</v>
      </c>
      <c r="F13" s="32" t="s">
        <v>189</v>
      </c>
      <c r="G13" s="94" t="s">
        <v>244</v>
      </c>
      <c r="H13" s="103">
        <v>33679804.579999998</v>
      </c>
      <c r="I13" s="100">
        <v>105.54999999999998</v>
      </c>
      <c r="J13" s="125">
        <v>35549.033729999996</v>
      </c>
      <c r="K13" s="41" t="s">
        <v>238</v>
      </c>
      <c r="L13" s="41">
        <v>0.38798568966464908</v>
      </c>
      <c r="M13" s="41">
        <v>3.0104533986075235E-3</v>
      </c>
      <c r="N13" s="18"/>
      <c r="O13" s="18"/>
      <c r="P13" s="18"/>
      <c r="Q13" s="18"/>
    </row>
    <row r="14" spans="1:18" x14ac:dyDescent="0.2">
      <c r="B14" s="23" t="s">
        <v>2723</v>
      </c>
      <c r="C14" s="32" t="s">
        <v>2724</v>
      </c>
      <c r="D14" s="32" t="s">
        <v>238</v>
      </c>
      <c r="E14" s="32" t="s">
        <v>2725</v>
      </c>
      <c r="F14" s="32" t="s">
        <v>2722</v>
      </c>
      <c r="G14" s="94" t="s">
        <v>127</v>
      </c>
      <c r="H14" s="103">
        <v>647176.48</v>
      </c>
      <c r="I14" s="100">
        <v>358.95</v>
      </c>
      <c r="J14" s="125">
        <v>8028.5692900000004</v>
      </c>
      <c r="K14" s="41">
        <v>3.0685523530295986E-3</v>
      </c>
      <c r="L14" s="41">
        <v>8.7624603713836929E-2</v>
      </c>
      <c r="M14" s="41">
        <v>6.7989565872896365E-4</v>
      </c>
      <c r="N14" s="18"/>
      <c r="O14" s="18"/>
      <c r="P14" s="18"/>
      <c r="Q14" s="18"/>
    </row>
    <row r="15" spans="1:18" x14ac:dyDescent="0.2">
      <c r="B15" s="23" t="s">
        <v>2708</v>
      </c>
      <c r="C15" s="32" t="s">
        <v>2709</v>
      </c>
      <c r="D15" s="32" t="s">
        <v>238</v>
      </c>
      <c r="E15" s="32" t="s">
        <v>2710</v>
      </c>
      <c r="F15" s="32" t="s">
        <v>198</v>
      </c>
      <c r="G15" s="94" t="s">
        <v>244</v>
      </c>
      <c r="H15" s="103">
        <v>33136</v>
      </c>
      <c r="I15" s="100">
        <v>0.01</v>
      </c>
      <c r="J15" s="125">
        <v>3.31E-3</v>
      </c>
      <c r="K15" s="41">
        <v>2.9619326932617283E-2</v>
      </c>
      <c r="L15" s="41">
        <v>3.6125669196634688E-8</v>
      </c>
      <c r="M15" s="41">
        <v>2.8030581154676305E-10</v>
      </c>
      <c r="N15" s="18"/>
      <c r="O15" s="18"/>
      <c r="P15" s="18"/>
      <c r="Q15" s="18"/>
    </row>
    <row r="16" spans="1:18" x14ac:dyDescent="0.2">
      <c r="B16" s="23" t="s">
        <v>2719</v>
      </c>
      <c r="C16" s="32" t="s">
        <v>2720</v>
      </c>
      <c r="D16" s="32" t="s">
        <v>238</v>
      </c>
      <c r="E16" s="32" t="s">
        <v>2721</v>
      </c>
      <c r="F16" s="32" t="s">
        <v>2722</v>
      </c>
      <c r="G16" s="94" t="s">
        <v>127</v>
      </c>
      <c r="H16" s="103">
        <v>4647</v>
      </c>
      <c r="I16" s="100">
        <v>7635.71</v>
      </c>
      <c r="J16" s="125">
        <v>1226.29838</v>
      </c>
      <c r="K16" s="41">
        <v>2.0683789063630138E-3</v>
      </c>
      <c r="L16" s="41">
        <v>1.3383942481041999E-2</v>
      </c>
      <c r="M16" s="41">
        <v>1.0384850833969209E-4</v>
      </c>
      <c r="N16" s="18"/>
      <c r="O16" s="18"/>
      <c r="P16" s="18"/>
      <c r="Q16" s="18"/>
    </row>
    <row r="17" spans="2:17" x14ac:dyDescent="0.2">
      <c r="B17" s="23" t="s">
        <v>2714</v>
      </c>
      <c r="C17" s="32" t="s">
        <v>2715</v>
      </c>
      <c r="D17" s="32" t="s">
        <v>238</v>
      </c>
      <c r="E17" s="32" t="s">
        <v>2695</v>
      </c>
      <c r="F17" s="32" t="s">
        <v>209</v>
      </c>
      <c r="G17" s="94" t="s">
        <v>127</v>
      </c>
      <c r="H17" s="103">
        <v>29218.28</v>
      </c>
      <c r="I17" s="100">
        <v>1620</v>
      </c>
      <c r="J17" s="125">
        <v>1635.84968</v>
      </c>
      <c r="K17" s="41">
        <v>2.9714751210610764E-3</v>
      </c>
      <c r="L17" s="41">
        <v>1.7853826101238885E-2</v>
      </c>
      <c r="M17" s="41">
        <v>1.3853116982504916E-4</v>
      </c>
      <c r="N17" s="18"/>
      <c r="O17" s="18"/>
      <c r="P17" s="18"/>
      <c r="Q17" s="18"/>
    </row>
    <row r="18" spans="2:17" x14ac:dyDescent="0.2">
      <c r="B18" s="23" t="s">
        <v>2711</v>
      </c>
      <c r="C18" s="32" t="s">
        <v>2712</v>
      </c>
      <c r="D18" s="32" t="s">
        <v>238</v>
      </c>
      <c r="E18" s="32" t="s">
        <v>2713</v>
      </c>
      <c r="F18" s="32" t="s">
        <v>198</v>
      </c>
      <c r="G18" s="94" t="s">
        <v>244</v>
      </c>
      <c r="H18" s="103">
        <v>3838334.73</v>
      </c>
      <c r="I18" s="100">
        <v>977.41710000000012</v>
      </c>
      <c r="J18" s="125">
        <v>37516.54</v>
      </c>
      <c r="K18" s="41">
        <v>1.2458243022058668E-2</v>
      </c>
      <c r="L18" s="41">
        <v>0.40945924877411272</v>
      </c>
      <c r="M18" s="41">
        <v>3.1770707526062232E-3</v>
      </c>
      <c r="N18" s="18"/>
      <c r="O18" s="18"/>
      <c r="P18" s="18"/>
      <c r="Q18" s="18"/>
    </row>
    <row r="19" spans="2:17" s="160" customFormat="1" x14ac:dyDescent="0.2">
      <c r="B19" s="132" t="s">
        <v>544</v>
      </c>
      <c r="C19" s="167" t="s">
        <v>238</v>
      </c>
      <c r="D19" s="167" t="s">
        <v>238</v>
      </c>
      <c r="E19" s="167" t="s">
        <v>238</v>
      </c>
      <c r="F19" s="167" t="s">
        <v>238</v>
      </c>
      <c r="G19" s="168" t="s">
        <v>238</v>
      </c>
      <c r="H19" s="178" t="s">
        <v>238</v>
      </c>
      <c r="I19" s="164" t="s">
        <v>238</v>
      </c>
      <c r="J19" s="165">
        <v>7668.3058901999993</v>
      </c>
      <c r="K19" s="163" t="s">
        <v>238</v>
      </c>
      <c r="L19" s="163">
        <v>8.3692653138359663E-2</v>
      </c>
      <c r="M19" s="163">
        <v>6.4938692016354514E-4</v>
      </c>
    </row>
    <row r="20" spans="2:17" s="160" customFormat="1" x14ac:dyDescent="0.2">
      <c r="B20" s="132" t="s">
        <v>146</v>
      </c>
      <c r="C20" s="167" t="s">
        <v>238</v>
      </c>
      <c r="D20" s="167" t="s">
        <v>238</v>
      </c>
      <c r="E20" s="167" t="s">
        <v>238</v>
      </c>
      <c r="F20" s="167" t="s">
        <v>238</v>
      </c>
      <c r="G20" s="168" t="s">
        <v>238</v>
      </c>
      <c r="H20" s="178" t="s">
        <v>238</v>
      </c>
      <c r="I20" s="164" t="s">
        <v>238</v>
      </c>
      <c r="J20" s="165">
        <v>0</v>
      </c>
      <c r="K20" s="163" t="s">
        <v>238</v>
      </c>
      <c r="L20" s="163">
        <v>0</v>
      </c>
      <c r="M20" s="163">
        <v>0</v>
      </c>
    </row>
    <row r="21" spans="2:17" s="160" customFormat="1" x14ac:dyDescent="0.2">
      <c r="B21" s="132" t="s">
        <v>147</v>
      </c>
      <c r="C21" s="167" t="s">
        <v>238</v>
      </c>
      <c r="D21" s="167" t="s">
        <v>238</v>
      </c>
      <c r="E21" s="167" t="s">
        <v>238</v>
      </c>
      <c r="F21" s="167" t="s">
        <v>238</v>
      </c>
      <c r="G21" s="168" t="s">
        <v>238</v>
      </c>
      <c r="H21" s="178" t="s">
        <v>238</v>
      </c>
      <c r="I21" s="164" t="s">
        <v>238</v>
      </c>
      <c r="J21" s="165">
        <v>7668.3058900999995</v>
      </c>
      <c r="K21" s="163" t="s">
        <v>238</v>
      </c>
      <c r="L21" s="163">
        <v>8.3692653137268244E-2</v>
      </c>
      <c r="M21" s="163">
        <v>6.4938692015507665E-4</v>
      </c>
    </row>
    <row r="22" spans="2:17" x14ac:dyDescent="0.2">
      <c r="B22" s="23" t="s">
        <v>2726</v>
      </c>
      <c r="C22" s="32" t="s">
        <v>2727</v>
      </c>
      <c r="D22" s="32" t="s">
        <v>238</v>
      </c>
      <c r="E22" s="32" t="s">
        <v>238</v>
      </c>
      <c r="F22" s="32" t="s">
        <v>178</v>
      </c>
      <c r="G22" s="94" t="s">
        <v>127</v>
      </c>
      <c r="H22" s="103">
        <v>2218838.5099999998</v>
      </c>
      <c r="I22" s="100">
        <v>100</v>
      </c>
      <c r="J22" s="125">
        <v>7668.3058899999996</v>
      </c>
      <c r="K22" s="41">
        <v>9.4458638915505579E-3</v>
      </c>
      <c r="L22" s="41">
        <v>8.3692653136176839E-2</v>
      </c>
      <c r="M22" s="41">
        <v>6.4938692014660817E-4</v>
      </c>
      <c r="N22" s="18"/>
      <c r="O22" s="18"/>
      <c r="P22" s="18"/>
      <c r="Q22" s="18"/>
    </row>
    <row r="23" spans="2:17" s="160" customFormat="1" x14ac:dyDescent="0.2">
      <c r="B23" s="114" t="s">
        <v>227</v>
      </c>
      <c r="C23" s="170"/>
      <c r="D23" s="170"/>
      <c r="E23" s="170"/>
      <c r="F23" s="114"/>
      <c r="G23" s="171"/>
      <c r="H23" s="171"/>
      <c r="I23" s="171"/>
      <c r="J23" s="172"/>
      <c r="K23" s="173"/>
      <c r="L23" s="173"/>
      <c r="M23" s="174"/>
      <c r="N23" s="191"/>
      <c r="O23" s="191"/>
      <c r="P23" s="175"/>
      <c r="Q23" s="175"/>
    </row>
    <row r="24" spans="2:17" s="160" customFormat="1" x14ac:dyDescent="0.2">
      <c r="B24" s="114" t="s">
        <v>228</v>
      </c>
      <c r="C24" s="170"/>
      <c r="D24" s="170"/>
      <c r="E24" s="170"/>
      <c r="F24" s="114"/>
      <c r="G24" s="171"/>
      <c r="H24" s="171"/>
      <c r="I24" s="171"/>
      <c r="J24" s="172"/>
      <c r="K24" s="173"/>
      <c r="L24" s="173"/>
      <c r="M24" s="174"/>
      <c r="N24" s="191"/>
      <c r="O24" s="191"/>
      <c r="P24" s="175"/>
      <c r="Q24" s="175"/>
    </row>
    <row r="25" spans="2:17" s="160" customFormat="1" x14ac:dyDescent="0.2">
      <c r="B25" s="114" t="s">
        <v>229</v>
      </c>
      <c r="C25" s="170"/>
      <c r="D25" s="170"/>
      <c r="E25" s="170"/>
      <c r="F25" s="114"/>
      <c r="G25" s="171"/>
      <c r="H25" s="171"/>
      <c r="I25" s="171"/>
      <c r="J25" s="172"/>
      <c r="K25" s="173"/>
      <c r="L25" s="173"/>
      <c r="M25" s="174"/>
      <c r="N25" s="191"/>
      <c r="O25" s="191"/>
      <c r="P25" s="175"/>
      <c r="Q25" s="175"/>
    </row>
    <row r="26" spans="2:17" s="160" customFormat="1" x14ac:dyDescent="0.2">
      <c r="B26" s="114" t="s">
        <v>230</v>
      </c>
      <c r="C26" s="170"/>
      <c r="D26" s="170"/>
      <c r="E26" s="170"/>
      <c r="F26" s="114"/>
      <c r="G26" s="171"/>
      <c r="H26" s="171"/>
      <c r="I26" s="171"/>
      <c r="J26" s="172"/>
      <c r="K26" s="173"/>
      <c r="L26" s="173"/>
      <c r="M26" s="174"/>
      <c r="N26" s="191"/>
      <c r="O26" s="191"/>
      <c r="P26" s="175"/>
      <c r="Q26" s="175"/>
    </row>
    <row r="27" spans="2:17" s="160" customFormat="1" x14ac:dyDescent="0.2">
      <c r="B27" s="114" t="s">
        <v>231</v>
      </c>
      <c r="C27" s="170"/>
      <c r="D27" s="170"/>
      <c r="E27" s="170"/>
      <c r="F27" s="114"/>
      <c r="G27" s="171"/>
      <c r="H27" s="171"/>
      <c r="I27" s="171"/>
      <c r="J27" s="172"/>
      <c r="K27" s="173"/>
      <c r="L27" s="173"/>
      <c r="M27" s="174"/>
      <c r="N27" s="191"/>
      <c r="O27" s="191"/>
      <c r="P27" s="175"/>
      <c r="Q27" s="175"/>
    </row>
  </sheetData>
  <mergeCells count="2">
    <mergeCell ref="B7:M7"/>
    <mergeCell ref="B6:M6"/>
  </mergeCells>
  <phoneticPr fontId="3" type="noConversion"/>
  <conditionalFormatting sqref="K1:L5 H11:I22 K11:K55557">
    <cfRule type="expression" dxfId="74" priority="312" stopIfTrue="1">
      <formula>LEFT(#REF!,3)="TIR"</formula>
    </cfRule>
  </conditionalFormatting>
  <conditionalFormatting sqref="L11:L22 M12:M22 C11:G22">
    <cfRule type="expression" dxfId="73" priority="315" stopIfTrue="1">
      <formula>OR(LEFT(#REF!,3)="TIR",LEFT(#REF!,2)="IR")</formula>
    </cfRule>
  </conditionalFormatting>
  <conditionalFormatting sqref="B11:B22 J11:J22">
    <cfRule type="expression" dxfId="72" priority="318" stopIfTrue="1">
      <formula>#REF!&gt;0</formula>
    </cfRule>
    <cfRule type="expression" dxfId="71" priority="319" stopIfTrue="1">
      <formula>LEFT(#REF!,3)="TIR"</formula>
    </cfRule>
  </conditionalFormatting>
  <conditionalFormatting sqref="D11:E22">
    <cfRule type="expression" dxfId="70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93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44.5703125" style="13" bestFit="1" customWidth="1"/>
    <col min="3" max="3" width="13.5703125" style="12" bestFit="1" customWidth="1"/>
    <col min="4" max="4" width="12" style="93" bestFit="1" customWidth="1"/>
    <col min="5" max="6" width="13.5703125" style="93" bestFit="1" customWidth="1"/>
    <col min="7" max="7" width="8.140625" style="45" bestFit="1" customWidth="1"/>
    <col min="8" max="8" width="12.28515625" style="95" bestFit="1" customWidth="1"/>
    <col min="9" max="9" width="22.85546875" style="97" bestFit="1" customWidth="1"/>
    <col min="10" max="10" width="26.42578125" style="97" bestFit="1" customWidth="1"/>
    <col min="11" max="11" width="20.5703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153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234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28" t="s">
        <v>28</v>
      </c>
      <c r="C6" s="229"/>
      <c r="D6" s="229"/>
      <c r="E6" s="229"/>
      <c r="F6" s="229"/>
      <c r="G6" s="229"/>
      <c r="H6" s="229"/>
      <c r="I6" s="229"/>
      <c r="J6" s="229"/>
      <c r="K6" s="230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31" t="s">
        <v>30</v>
      </c>
      <c r="C7" s="232"/>
      <c r="D7" s="232"/>
      <c r="E7" s="232"/>
      <c r="F7" s="232"/>
      <c r="G7" s="232"/>
      <c r="H7" s="232"/>
      <c r="I7" s="232"/>
      <c r="J7" s="232"/>
      <c r="K7" s="233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219</v>
      </c>
      <c r="C8" s="4" t="s">
        <v>69</v>
      </c>
      <c r="D8" s="4" t="s">
        <v>6</v>
      </c>
      <c r="E8" s="4" t="s">
        <v>13</v>
      </c>
      <c r="F8" s="5" t="s">
        <v>67</v>
      </c>
      <c r="G8" s="5" t="s">
        <v>68</v>
      </c>
      <c r="H8" s="5" t="s">
        <v>29</v>
      </c>
      <c r="I8" s="38" t="s">
        <v>17</v>
      </c>
      <c r="J8" s="38" t="s">
        <v>75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136</v>
      </c>
      <c r="G9" s="2"/>
      <c r="H9" s="2" t="s">
        <v>138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60" customFormat="1" ht="12.75" customHeight="1" thickBot="1" x14ac:dyDescent="0.25">
      <c r="B11" s="141" t="s">
        <v>60</v>
      </c>
      <c r="C11" s="101" t="s">
        <v>238</v>
      </c>
      <c r="D11" s="142" t="s">
        <v>238</v>
      </c>
      <c r="E11" s="142" t="s">
        <v>238</v>
      </c>
      <c r="F11" s="143" t="s">
        <v>238</v>
      </c>
      <c r="G11" s="142" t="s">
        <v>238</v>
      </c>
      <c r="H11" s="146">
        <v>462701.76042080001</v>
      </c>
      <c r="I11" s="101" t="s">
        <v>238</v>
      </c>
      <c r="J11" s="101">
        <v>1</v>
      </c>
      <c r="K11" s="120">
        <v>3.9183683522316701E-2</v>
      </c>
    </row>
    <row r="12" spans="1:18" s="160" customFormat="1" x14ac:dyDescent="0.2">
      <c r="B12" s="131" t="s">
        <v>2728</v>
      </c>
      <c r="C12" s="163" t="s">
        <v>238</v>
      </c>
      <c r="D12" s="164" t="s">
        <v>238</v>
      </c>
      <c r="E12" s="164" t="s">
        <v>238</v>
      </c>
      <c r="F12" s="176" t="s">
        <v>238</v>
      </c>
      <c r="G12" s="164" t="s">
        <v>238</v>
      </c>
      <c r="H12" s="177">
        <v>258165.09712039999</v>
      </c>
      <c r="I12" s="163" t="s">
        <v>238</v>
      </c>
      <c r="J12" s="163">
        <v>0.55795140456265824</v>
      </c>
      <c r="K12" s="163">
        <v>2.1862591257215295E-2</v>
      </c>
    </row>
    <row r="13" spans="1:18" s="160" customFormat="1" x14ac:dyDescent="0.2">
      <c r="B13" s="132" t="s">
        <v>2729</v>
      </c>
      <c r="C13" s="167" t="s">
        <v>238</v>
      </c>
      <c r="D13" s="168" t="s">
        <v>238</v>
      </c>
      <c r="E13" s="168" t="s">
        <v>238</v>
      </c>
      <c r="F13" s="178" t="s">
        <v>238</v>
      </c>
      <c r="G13" s="168" t="s">
        <v>238</v>
      </c>
      <c r="H13" s="169">
        <v>26248.892700099997</v>
      </c>
      <c r="I13" s="167" t="s">
        <v>238</v>
      </c>
      <c r="J13" s="167">
        <v>5.6729614938633849E-2</v>
      </c>
      <c r="K13" s="167">
        <v>2.2228752780983187E-3</v>
      </c>
    </row>
    <row r="14" spans="1:18" x14ac:dyDescent="0.2">
      <c r="B14" s="23" t="s">
        <v>2736</v>
      </c>
      <c r="C14" s="32" t="s">
        <v>2737</v>
      </c>
      <c r="D14" s="94" t="s">
        <v>127</v>
      </c>
      <c r="E14" s="94" t="s">
        <v>2738</v>
      </c>
      <c r="F14" s="103">
        <v>1017669.25</v>
      </c>
      <c r="G14" s="94">
        <v>5.5621</v>
      </c>
      <c r="H14" s="124">
        <v>19562.365309999997</v>
      </c>
      <c r="I14" s="32" t="s">
        <v>238</v>
      </c>
      <c r="J14" s="32">
        <v>4.2278562528504704E-2</v>
      </c>
      <c r="K14" s="32">
        <v>1.6566298138954063E-3</v>
      </c>
      <c r="L14" s="18"/>
      <c r="M14" s="18"/>
      <c r="N14" s="18"/>
    </row>
    <row r="15" spans="1:18" x14ac:dyDescent="0.2">
      <c r="B15" s="23" t="s">
        <v>2730</v>
      </c>
      <c r="C15" s="32" t="s">
        <v>2731</v>
      </c>
      <c r="D15" s="94" t="s">
        <v>127</v>
      </c>
      <c r="E15" s="94" t="s">
        <v>2732</v>
      </c>
      <c r="F15" s="103">
        <v>972723.56</v>
      </c>
      <c r="G15" s="94">
        <v>0.45850000000000002</v>
      </c>
      <c r="H15" s="124">
        <v>1541.4283600000001</v>
      </c>
      <c r="I15" s="32" t="s">
        <v>238</v>
      </c>
      <c r="J15" s="32">
        <v>3.3313648052649761E-3</v>
      </c>
      <c r="K15" s="32">
        <v>1.3053514422688703E-4</v>
      </c>
      <c r="L15" s="18"/>
      <c r="M15" s="18"/>
      <c r="N15" s="18"/>
    </row>
    <row r="16" spans="1:18" x14ac:dyDescent="0.2">
      <c r="B16" s="23" t="s">
        <v>2733</v>
      </c>
      <c r="C16" s="32" t="s">
        <v>2734</v>
      </c>
      <c r="D16" s="94" t="s">
        <v>127</v>
      </c>
      <c r="E16" s="94" t="s">
        <v>2735</v>
      </c>
      <c r="F16" s="103">
        <v>948496.47</v>
      </c>
      <c r="G16" s="94">
        <v>1.5694999999999999</v>
      </c>
      <c r="H16" s="124">
        <v>5145.0990300000003</v>
      </c>
      <c r="I16" s="32" t="s">
        <v>238</v>
      </c>
      <c r="J16" s="32">
        <v>1.1119687604648047E-2</v>
      </c>
      <c r="K16" s="32">
        <v>4.3571031996755697E-4</v>
      </c>
      <c r="L16" s="18"/>
      <c r="M16" s="18"/>
      <c r="N16" s="18"/>
    </row>
    <row r="17" spans="2:14" s="160" customFormat="1" x14ac:dyDescent="0.2">
      <c r="B17" s="132" t="s">
        <v>2739</v>
      </c>
      <c r="C17" s="167" t="s">
        <v>238</v>
      </c>
      <c r="D17" s="168" t="s">
        <v>238</v>
      </c>
      <c r="E17" s="168" t="s">
        <v>238</v>
      </c>
      <c r="F17" s="178" t="s">
        <v>238</v>
      </c>
      <c r="G17" s="168" t="s">
        <v>238</v>
      </c>
      <c r="H17" s="169">
        <v>50842.107020099997</v>
      </c>
      <c r="I17" s="167" t="s">
        <v>238</v>
      </c>
      <c r="J17" s="167">
        <v>0.10988094571730631</v>
      </c>
      <c r="K17" s="167">
        <v>4.3055402021197915E-3</v>
      </c>
    </row>
    <row r="18" spans="2:14" x14ac:dyDescent="0.2">
      <c r="B18" s="23" t="s">
        <v>2740</v>
      </c>
      <c r="C18" s="32" t="s">
        <v>2741</v>
      </c>
      <c r="D18" s="94" t="s">
        <v>127</v>
      </c>
      <c r="E18" s="94" t="s">
        <v>2742</v>
      </c>
      <c r="F18" s="103">
        <v>1461.56</v>
      </c>
      <c r="G18" s="94">
        <v>1268.2180000000001</v>
      </c>
      <c r="H18" s="124">
        <v>6405.9610700000003</v>
      </c>
      <c r="I18" s="32" t="s">
        <v>238</v>
      </c>
      <c r="J18" s="32">
        <v>1.3844687048897665E-2</v>
      </c>
      <c r="K18" s="32">
        <v>5.4248583578952287E-4</v>
      </c>
      <c r="L18" s="18"/>
      <c r="M18" s="18"/>
      <c r="N18" s="18"/>
    </row>
    <row r="19" spans="2:14" x14ac:dyDescent="0.2">
      <c r="B19" s="23" t="s">
        <v>2743</v>
      </c>
      <c r="C19" s="32" t="s">
        <v>2744</v>
      </c>
      <c r="D19" s="94" t="s">
        <v>244</v>
      </c>
      <c r="E19" s="94" t="s">
        <v>2745</v>
      </c>
      <c r="F19" s="103">
        <v>11790.64</v>
      </c>
      <c r="G19" s="94">
        <v>1251.527</v>
      </c>
      <c r="H19" s="124">
        <v>14756.304300000002</v>
      </c>
      <c r="I19" s="32">
        <v>9.0980108923282999E-3</v>
      </c>
      <c r="J19" s="32">
        <v>3.189161045460473E-2</v>
      </c>
      <c r="K19" s="32">
        <v>1.2496307710702387E-3</v>
      </c>
      <c r="L19" s="18"/>
      <c r="M19" s="18"/>
      <c r="N19" s="18"/>
    </row>
    <row r="20" spans="2:14" x14ac:dyDescent="0.2">
      <c r="B20" s="23" t="s">
        <v>2746</v>
      </c>
      <c r="C20" s="32" t="s">
        <v>2747</v>
      </c>
      <c r="D20" s="94" t="s">
        <v>127</v>
      </c>
      <c r="E20" s="94" t="s">
        <v>867</v>
      </c>
      <c r="F20" s="103">
        <v>17787</v>
      </c>
      <c r="G20" s="94">
        <v>116.73</v>
      </c>
      <c r="H20" s="124">
        <v>7175.6116099999999</v>
      </c>
      <c r="I20" s="32">
        <v>9.7239215379958289E-5</v>
      </c>
      <c r="J20" s="32">
        <v>1.5508070692175892E-2</v>
      </c>
      <c r="K20" s="32">
        <v>6.0766333404393513E-4</v>
      </c>
      <c r="L20" s="18"/>
      <c r="M20" s="18"/>
      <c r="N20" s="18"/>
    </row>
    <row r="21" spans="2:14" x14ac:dyDescent="0.2">
      <c r="B21" s="23" t="s">
        <v>2746</v>
      </c>
      <c r="C21" s="32" t="s">
        <v>2748</v>
      </c>
      <c r="D21" s="94" t="s">
        <v>127</v>
      </c>
      <c r="E21" s="94" t="s">
        <v>2749</v>
      </c>
      <c r="F21" s="103">
        <v>55783.78</v>
      </c>
      <c r="G21" s="94">
        <v>116.73</v>
      </c>
      <c r="H21" s="124">
        <v>22504.230039999999</v>
      </c>
      <c r="I21" s="32">
        <v>3.0496266926003312E-4</v>
      </c>
      <c r="J21" s="32">
        <v>4.8636577521411907E-2</v>
      </c>
      <c r="K21" s="32">
        <v>1.9057602612076265E-3</v>
      </c>
      <c r="L21" s="18"/>
      <c r="M21" s="18"/>
      <c r="N21" s="18"/>
    </row>
    <row r="22" spans="2:14" s="160" customFormat="1" x14ac:dyDescent="0.2">
      <c r="B22" s="132" t="s">
        <v>2750</v>
      </c>
      <c r="C22" s="167" t="s">
        <v>238</v>
      </c>
      <c r="D22" s="168" t="s">
        <v>238</v>
      </c>
      <c r="E22" s="168" t="s">
        <v>238</v>
      </c>
      <c r="F22" s="178" t="s">
        <v>238</v>
      </c>
      <c r="G22" s="168" t="s">
        <v>238</v>
      </c>
      <c r="H22" s="169">
        <v>0</v>
      </c>
      <c r="I22" s="167" t="s">
        <v>238</v>
      </c>
      <c r="J22" s="167">
        <v>0</v>
      </c>
      <c r="K22" s="167">
        <v>0</v>
      </c>
    </row>
    <row r="23" spans="2:14" s="160" customFormat="1" x14ac:dyDescent="0.2">
      <c r="B23" s="132" t="s">
        <v>2751</v>
      </c>
      <c r="C23" s="167" t="s">
        <v>238</v>
      </c>
      <c r="D23" s="168" t="s">
        <v>238</v>
      </c>
      <c r="E23" s="168" t="s">
        <v>238</v>
      </c>
      <c r="F23" s="178" t="s">
        <v>238</v>
      </c>
      <c r="G23" s="168" t="s">
        <v>238</v>
      </c>
      <c r="H23" s="169">
        <v>181074.09740009997</v>
      </c>
      <c r="I23" s="167" t="s">
        <v>238</v>
      </c>
      <c r="J23" s="167">
        <v>0.39134084390650192</v>
      </c>
      <c r="K23" s="167">
        <v>1.5334175776988715E-2</v>
      </c>
    </row>
    <row r="24" spans="2:14" x14ac:dyDescent="0.2">
      <c r="B24" s="23" t="s">
        <v>2757</v>
      </c>
      <c r="C24" s="32" t="s">
        <v>2758</v>
      </c>
      <c r="D24" s="94" t="s">
        <v>127</v>
      </c>
      <c r="E24" s="94" t="s">
        <v>2732</v>
      </c>
      <c r="F24" s="103">
        <v>138702.71</v>
      </c>
      <c r="G24" s="94">
        <v>2.8144999999999998</v>
      </c>
      <c r="H24" s="124">
        <v>1349.1826000000001</v>
      </c>
      <c r="I24" s="32" t="s">
        <v>238</v>
      </c>
      <c r="J24" s="32">
        <v>2.9158795479252075E-3</v>
      </c>
      <c r="K24" s="32">
        <v>1.1425490139509723E-4</v>
      </c>
      <c r="L24" s="18"/>
      <c r="M24" s="18"/>
      <c r="N24" s="18"/>
    </row>
    <row r="25" spans="2:14" x14ac:dyDescent="0.2">
      <c r="B25" s="23" t="s">
        <v>2759</v>
      </c>
      <c r="C25" s="32" t="s">
        <v>2760</v>
      </c>
      <c r="D25" s="94" t="s">
        <v>127</v>
      </c>
      <c r="E25" s="94" t="s">
        <v>2732</v>
      </c>
      <c r="F25" s="103">
        <v>494427.77</v>
      </c>
      <c r="G25" s="94">
        <v>2.8382999999999998</v>
      </c>
      <c r="H25" s="124">
        <v>4850.0003699999997</v>
      </c>
      <c r="I25" s="32" t="s">
        <v>238</v>
      </c>
      <c r="J25" s="32">
        <v>1.0481914669157969E-2</v>
      </c>
      <c r="K25" s="32">
        <v>4.1072002710421481E-4</v>
      </c>
      <c r="L25" s="18"/>
      <c r="M25" s="18"/>
      <c r="N25" s="18"/>
    </row>
    <row r="26" spans="2:14" x14ac:dyDescent="0.2">
      <c r="B26" s="23" t="s">
        <v>2781</v>
      </c>
      <c r="C26" s="32" t="s">
        <v>2782</v>
      </c>
      <c r="D26" s="94" t="s">
        <v>127</v>
      </c>
      <c r="E26" s="94" t="s">
        <v>2783</v>
      </c>
      <c r="F26" s="103">
        <v>1644880.64</v>
      </c>
      <c r="G26" s="94">
        <v>2.3626999999999998</v>
      </c>
      <c r="H26" s="124">
        <v>13431.599470000001</v>
      </c>
      <c r="I26" s="32" t="s">
        <v>238</v>
      </c>
      <c r="J26" s="32">
        <v>2.9028632736959444E-2</v>
      </c>
      <c r="K26" s="32">
        <v>1.1374487582505809E-3</v>
      </c>
      <c r="L26" s="18"/>
      <c r="M26" s="18"/>
      <c r="N26" s="18"/>
    </row>
    <row r="27" spans="2:14" x14ac:dyDescent="0.2">
      <c r="B27" s="23" t="s">
        <v>2755</v>
      </c>
      <c r="C27" s="32" t="s">
        <v>2756</v>
      </c>
      <c r="D27" s="94" t="s">
        <v>127</v>
      </c>
      <c r="E27" s="94" t="s">
        <v>2732</v>
      </c>
      <c r="F27" s="103">
        <v>98901.28</v>
      </c>
      <c r="G27" s="94">
        <v>0.2016</v>
      </c>
      <c r="H27" s="124">
        <v>68.938210000000012</v>
      </c>
      <c r="I27" s="32" t="s">
        <v>238</v>
      </c>
      <c r="J27" s="32">
        <v>1.4899059371916969E-4</v>
      </c>
      <c r="K27" s="32">
        <v>5.8380002720940122E-6</v>
      </c>
      <c r="L27" s="18"/>
      <c r="M27" s="18"/>
      <c r="N27" s="18"/>
    </row>
    <row r="28" spans="2:14" x14ac:dyDescent="0.2">
      <c r="B28" s="23" t="s">
        <v>2761</v>
      </c>
      <c r="C28" s="32" t="s">
        <v>2762</v>
      </c>
      <c r="D28" s="94" t="s">
        <v>244</v>
      </c>
      <c r="E28" s="94" t="s">
        <v>2754</v>
      </c>
      <c r="F28" s="103">
        <v>10368.540000000001</v>
      </c>
      <c r="G28" s="94">
        <v>341.94659999999999</v>
      </c>
      <c r="H28" s="124">
        <v>3545.48783</v>
      </c>
      <c r="I28" s="32" t="s">
        <v>238</v>
      </c>
      <c r="J28" s="32">
        <v>7.662576919473113E-3</v>
      </c>
      <c r="K28" s="32">
        <v>3.0024798897804287E-4</v>
      </c>
      <c r="L28" s="18"/>
      <c r="M28" s="18"/>
      <c r="N28" s="18"/>
    </row>
    <row r="29" spans="2:14" x14ac:dyDescent="0.2">
      <c r="B29" s="23" t="s">
        <v>2769</v>
      </c>
      <c r="C29" s="32" t="s">
        <v>2770</v>
      </c>
      <c r="D29" s="94" t="s">
        <v>244</v>
      </c>
      <c r="E29" s="94" t="s">
        <v>2771</v>
      </c>
      <c r="F29" s="103">
        <v>1821916.04</v>
      </c>
      <c r="G29" s="94">
        <v>1.6568000000000001</v>
      </c>
      <c r="H29" s="124">
        <v>3018.66527</v>
      </c>
      <c r="I29" s="32" t="s">
        <v>238</v>
      </c>
      <c r="J29" s="32">
        <v>6.5239978063941261E-3</v>
      </c>
      <c r="K29" s="32">
        <v>2.5563426534603586E-4</v>
      </c>
      <c r="L29" s="18"/>
      <c r="M29" s="18"/>
      <c r="N29" s="18"/>
    </row>
    <row r="30" spans="2:14" x14ac:dyDescent="0.2">
      <c r="B30" s="23" t="s">
        <v>2752</v>
      </c>
      <c r="C30" s="32" t="s">
        <v>2753</v>
      </c>
      <c r="D30" s="94" t="s">
        <v>127</v>
      </c>
      <c r="E30" s="94" t="s">
        <v>2754</v>
      </c>
      <c r="F30" s="103">
        <v>106488.57</v>
      </c>
      <c r="G30" s="94">
        <v>1.2856000000000001</v>
      </c>
      <c r="H30" s="124">
        <v>473.154</v>
      </c>
      <c r="I30" s="32" t="s">
        <v>238</v>
      </c>
      <c r="J30" s="32">
        <v>1.0225895824768298E-3</v>
      </c>
      <c r="K30" s="32">
        <v>4.006882657299007E-5</v>
      </c>
      <c r="L30" s="18"/>
      <c r="M30" s="18"/>
      <c r="N30" s="18"/>
    </row>
    <row r="31" spans="2:14" x14ac:dyDescent="0.2">
      <c r="B31" s="23" t="s">
        <v>2784</v>
      </c>
      <c r="C31" s="32" t="s">
        <v>2785</v>
      </c>
      <c r="D31" s="94" t="s">
        <v>127</v>
      </c>
      <c r="E31" s="94" t="s">
        <v>2786</v>
      </c>
      <c r="F31" s="103">
        <v>941218.34</v>
      </c>
      <c r="G31" s="94">
        <v>2.4992000000000001</v>
      </c>
      <c r="H31" s="124">
        <v>8129.8006599999999</v>
      </c>
      <c r="I31" s="32" t="s">
        <v>238</v>
      </c>
      <c r="J31" s="32">
        <v>1.7570282534923629E-2</v>
      </c>
      <c r="K31" s="32">
        <v>6.8846839024613599E-4</v>
      </c>
      <c r="L31" s="18"/>
      <c r="M31" s="18"/>
      <c r="N31" s="18"/>
    </row>
    <row r="32" spans="2:14" x14ac:dyDescent="0.2">
      <c r="B32" s="23" t="s">
        <v>2775</v>
      </c>
      <c r="C32" s="32" t="s">
        <v>2776</v>
      </c>
      <c r="D32" s="94" t="s">
        <v>127</v>
      </c>
      <c r="E32" s="94" t="s">
        <v>2777</v>
      </c>
      <c r="F32" s="103">
        <v>19373.96</v>
      </c>
      <c r="G32" s="94">
        <v>6.8998999999999997</v>
      </c>
      <c r="H32" s="124">
        <v>461.99531000000002</v>
      </c>
      <c r="I32" s="32" t="s">
        <v>238</v>
      </c>
      <c r="J32" s="32">
        <v>9.984732056775459E-4</v>
      </c>
      <c r="K32" s="32">
        <v>3.912385809678199E-5</v>
      </c>
      <c r="L32" s="18"/>
      <c r="M32" s="18"/>
      <c r="N32" s="18"/>
    </row>
    <row r="33" spans="2:14" x14ac:dyDescent="0.2">
      <c r="B33" s="23" t="s">
        <v>2763</v>
      </c>
      <c r="C33" s="32" t="s">
        <v>2764</v>
      </c>
      <c r="D33" s="94" t="s">
        <v>244</v>
      </c>
      <c r="E33" s="94" t="s">
        <v>2765</v>
      </c>
      <c r="F33" s="103">
        <v>3482292.54</v>
      </c>
      <c r="G33" s="94">
        <v>0.9264</v>
      </c>
      <c r="H33" s="124">
        <v>3226.1351</v>
      </c>
      <c r="I33" s="32" t="s">
        <v>238</v>
      </c>
      <c r="J33" s="32">
        <v>6.972385618472729E-3</v>
      </c>
      <c r="K33" s="32">
        <v>2.7320375146978778E-4</v>
      </c>
      <c r="L33" s="18"/>
      <c r="M33" s="18"/>
      <c r="N33" s="18"/>
    </row>
    <row r="34" spans="2:14" x14ac:dyDescent="0.2">
      <c r="B34" s="23" t="s">
        <v>2790</v>
      </c>
      <c r="C34" s="32" t="s">
        <v>2791</v>
      </c>
      <c r="D34" s="94" t="s">
        <v>244</v>
      </c>
      <c r="E34" s="94" t="s">
        <v>2792</v>
      </c>
      <c r="F34" s="103">
        <v>1177388.4099999999</v>
      </c>
      <c r="G34" s="94">
        <v>1.9377</v>
      </c>
      <c r="H34" s="124">
        <v>2281.4478899999999</v>
      </c>
      <c r="I34" s="32" t="s">
        <v>238</v>
      </c>
      <c r="J34" s="32">
        <v>4.9307093362367096E-3</v>
      </c>
      <c r="K34" s="32">
        <v>1.9320335417163148E-4</v>
      </c>
      <c r="L34" s="18"/>
      <c r="M34" s="18"/>
      <c r="N34" s="18"/>
    </row>
    <row r="35" spans="2:14" x14ac:dyDescent="0.2">
      <c r="B35" s="23" t="s">
        <v>2793</v>
      </c>
      <c r="C35" s="32" t="s">
        <v>2794</v>
      </c>
      <c r="D35" s="94" t="s">
        <v>244</v>
      </c>
      <c r="E35" s="94" t="s">
        <v>2795</v>
      </c>
      <c r="F35" s="103">
        <v>38870996.390000001</v>
      </c>
      <c r="G35" s="94">
        <v>2.5329999999999999</v>
      </c>
      <c r="H35" s="124">
        <v>98460.23384999999</v>
      </c>
      <c r="I35" s="32" t="s">
        <v>238</v>
      </c>
      <c r="J35" s="32">
        <v>0.21279416304890694</v>
      </c>
      <c r="K35" s="32">
        <v>8.3380591403046291E-3</v>
      </c>
      <c r="L35" s="18"/>
      <c r="M35" s="18"/>
      <c r="N35" s="18"/>
    </row>
    <row r="36" spans="2:14" x14ac:dyDescent="0.2">
      <c r="B36" s="23" t="s">
        <v>2778</v>
      </c>
      <c r="C36" s="32" t="s">
        <v>2779</v>
      </c>
      <c r="D36" s="94" t="s">
        <v>244</v>
      </c>
      <c r="E36" s="94" t="s">
        <v>2780</v>
      </c>
      <c r="F36" s="103">
        <v>20681928.579999998</v>
      </c>
      <c r="G36" s="94">
        <v>1.0349999999999999</v>
      </c>
      <c r="H36" s="124">
        <v>21406.60267</v>
      </c>
      <c r="I36" s="32" t="s">
        <v>238</v>
      </c>
      <c r="J36" s="32">
        <v>4.6264364005297834E-2</v>
      </c>
      <c r="K36" s="32">
        <v>1.8128081975448504E-3</v>
      </c>
      <c r="L36" s="18"/>
      <c r="M36" s="18"/>
      <c r="N36" s="18"/>
    </row>
    <row r="37" spans="2:14" x14ac:dyDescent="0.2">
      <c r="B37" s="23" t="s">
        <v>2766</v>
      </c>
      <c r="C37" s="32" t="s">
        <v>2767</v>
      </c>
      <c r="D37" s="94" t="s">
        <v>244</v>
      </c>
      <c r="E37" s="94" t="s">
        <v>2768</v>
      </c>
      <c r="F37" s="103">
        <v>180128.07</v>
      </c>
      <c r="G37" s="94">
        <v>1.7786</v>
      </c>
      <c r="H37" s="124">
        <v>320.37721999999997</v>
      </c>
      <c r="I37" s="32" t="s">
        <v>238</v>
      </c>
      <c r="J37" s="32">
        <v>6.9240544861691412E-4</v>
      </c>
      <c r="K37" s="32">
        <v>2.7130995967732884E-5</v>
      </c>
      <c r="L37" s="18"/>
      <c r="M37" s="18"/>
      <c r="N37" s="18"/>
    </row>
    <row r="38" spans="2:14" x14ac:dyDescent="0.2">
      <c r="B38" s="23" t="s">
        <v>2772</v>
      </c>
      <c r="C38" s="32" t="s">
        <v>2773</v>
      </c>
      <c r="D38" s="94" t="s">
        <v>127</v>
      </c>
      <c r="E38" s="94" t="s">
        <v>2774</v>
      </c>
      <c r="F38" s="103">
        <v>4022761.71</v>
      </c>
      <c r="G38" s="94">
        <v>1.1635</v>
      </c>
      <c r="H38" s="124">
        <v>16177.00135</v>
      </c>
      <c r="I38" s="32" t="s">
        <v>238</v>
      </c>
      <c r="J38" s="32">
        <v>3.4962048415999043E-2</v>
      </c>
      <c r="K38" s="32">
        <v>1.3699418404244205E-3</v>
      </c>
      <c r="L38" s="18"/>
      <c r="M38" s="18"/>
      <c r="N38" s="18"/>
    </row>
    <row r="39" spans="2:14" x14ac:dyDescent="0.2">
      <c r="B39" s="23" t="s">
        <v>2787</v>
      </c>
      <c r="C39" s="32" t="s">
        <v>2788</v>
      </c>
      <c r="D39" s="94" t="s">
        <v>127</v>
      </c>
      <c r="E39" s="94" t="s">
        <v>2789</v>
      </c>
      <c r="F39" s="103">
        <v>419170.02</v>
      </c>
      <c r="G39" s="94">
        <v>2.6738</v>
      </c>
      <c r="H39" s="124">
        <v>3873.4756000000002</v>
      </c>
      <c r="I39" s="32" t="s">
        <v>238</v>
      </c>
      <c r="J39" s="32">
        <v>8.3714304360487015E-3</v>
      </c>
      <c r="K39" s="32">
        <v>3.280234808352221E-4</v>
      </c>
      <c r="L39" s="18"/>
      <c r="M39" s="18"/>
      <c r="N39" s="18"/>
    </row>
    <row r="40" spans="2:14" s="160" customFormat="1" x14ac:dyDescent="0.2">
      <c r="B40" s="132" t="s">
        <v>2796</v>
      </c>
      <c r="C40" s="167" t="s">
        <v>238</v>
      </c>
      <c r="D40" s="168" t="s">
        <v>238</v>
      </c>
      <c r="E40" s="168" t="s">
        <v>238</v>
      </c>
      <c r="F40" s="178" t="s">
        <v>238</v>
      </c>
      <c r="G40" s="168" t="s">
        <v>238</v>
      </c>
      <c r="H40" s="169">
        <v>204536.66330040005</v>
      </c>
      <c r="I40" s="167" t="s">
        <v>238</v>
      </c>
      <c r="J40" s="167">
        <v>0.44204859543734171</v>
      </c>
      <c r="K40" s="167">
        <v>1.7321092265101409E-2</v>
      </c>
    </row>
    <row r="41" spans="2:14" s="160" customFormat="1" x14ac:dyDescent="0.2">
      <c r="B41" s="132" t="s">
        <v>2729</v>
      </c>
      <c r="C41" s="167" t="s">
        <v>238</v>
      </c>
      <c r="D41" s="168" t="s">
        <v>238</v>
      </c>
      <c r="E41" s="168" t="s">
        <v>238</v>
      </c>
      <c r="F41" s="178" t="s">
        <v>238</v>
      </c>
      <c r="G41" s="168" t="s">
        <v>238</v>
      </c>
      <c r="H41" s="169">
        <v>0</v>
      </c>
      <c r="I41" s="167" t="s">
        <v>238</v>
      </c>
      <c r="J41" s="167">
        <v>0</v>
      </c>
      <c r="K41" s="167">
        <v>0</v>
      </c>
    </row>
    <row r="42" spans="2:14" s="160" customFormat="1" x14ac:dyDescent="0.2">
      <c r="B42" s="132" t="s">
        <v>2739</v>
      </c>
      <c r="C42" s="167" t="s">
        <v>238</v>
      </c>
      <c r="D42" s="168" t="s">
        <v>238</v>
      </c>
      <c r="E42" s="168" t="s">
        <v>238</v>
      </c>
      <c r="F42" s="178" t="s">
        <v>238</v>
      </c>
      <c r="G42" s="168" t="s">
        <v>238</v>
      </c>
      <c r="H42" s="169">
        <v>219.9503101</v>
      </c>
      <c r="I42" s="167" t="s">
        <v>238</v>
      </c>
      <c r="J42" s="167">
        <v>4.7536086722464195E-4</v>
      </c>
      <c r="K42" s="167">
        <v>1.8626389780224381E-5</v>
      </c>
    </row>
    <row r="43" spans="2:14" x14ac:dyDescent="0.2">
      <c r="B43" s="23" t="s">
        <v>2797</v>
      </c>
      <c r="C43" s="32" t="s">
        <v>2798</v>
      </c>
      <c r="D43" s="94" t="s">
        <v>127</v>
      </c>
      <c r="E43" s="94" t="s">
        <v>2799</v>
      </c>
      <c r="F43" s="103">
        <v>13907.49</v>
      </c>
      <c r="G43" s="94">
        <v>10.83</v>
      </c>
      <c r="H43" s="124">
        <v>5.2053599999999998</v>
      </c>
      <c r="I43" s="32" t="s">
        <v>238</v>
      </c>
      <c r="J43" s="32">
        <v>1.1249924779335248E-5</v>
      </c>
      <c r="K43" s="32">
        <v>4.4081349220334096E-7</v>
      </c>
      <c r="L43" s="18"/>
      <c r="M43" s="18"/>
      <c r="N43" s="18"/>
    </row>
    <row r="44" spans="2:14" x14ac:dyDescent="0.2">
      <c r="B44" s="23" t="s">
        <v>2800</v>
      </c>
      <c r="C44" s="32" t="s">
        <v>2801</v>
      </c>
      <c r="D44" s="94" t="s">
        <v>127</v>
      </c>
      <c r="E44" s="94" t="s">
        <v>2799</v>
      </c>
      <c r="F44" s="103">
        <v>2759.97</v>
      </c>
      <c r="G44" s="94">
        <v>39.31</v>
      </c>
      <c r="H44" s="124">
        <v>3.7495599999999998</v>
      </c>
      <c r="I44" s="32" t="s">
        <v>238</v>
      </c>
      <c r="J44" s="32">
        <v>8.103621642999577E-6</v>
      </c>
      <c r="K44" s="32">
        <v>3.175297458438915E-7</v>
      </c>
      <c r="L44" s="18"/>
      <c r="M44" s="18"/>
      <c r="N44" s="18"/>
    </row>
    <row r="45" spans="2:14" x14ac:dyDescent="0.2">
      <c r="B45" s="23" t="s">
        <v>2802</v>
      </c>
      <c r="C45" s="32" t="s">
        <v>2803</v>
      </c>
      <c r="D45" s="94" t="s">
        <v>127</v>
      </c>
      <c r="E45" s="94" t="s">
        <v>2804</v>
      </c>
      <c r="F45" s="103">
        <v>261256.29</v>
      </c>
      <c r="G45" s="94">
        <v>19.48</v>
      </c>
      <c r="H45" s="124">
        <v>175.88525000000001</v>
      </c>
      <c r="I45" s="32" t="s">
        <v>238</v>
      </c>
      <c r="J45" s="32">
        <v>3.8012660647766437E-4</v>
      </c>
      <c r="K45" s="32">
        <v>1.4894760646633025E-5</v>
      </c>
      <c r="L45" s="18"/>
      <c r="M45" s="18"/>
      <c r="N45" s="18"/>
    </row>
    <row r="46" spans="2:14" x14ac:dyDescent="0.2">
      <c r="B46" s="23" t="s">
        <v>2805</v>
      </c>
      <c r="C46" s="32" t="s">
        <v>2806</v>
      </c>
      <c r="D46" s="94" t="s">
        <v>127</v>
      </c>
      <c r="E46" s="94" t="s">
        <v>2807</v>
      </c>
      <c r="F46" s="103">
        <v>31235.83</v>
      </c>
      <c r="G46" s="94">
        <v>19.91</v>
      </c>
      <c r="H46" s="124">
        <v>21.493040000000001</v>
      </c>
      <c r="I46" s="32" t="s">
        <v>238</v>
      </c>
      <c r="J46" s="32">
        <v>4.6451174035848375E-5</v>
      </c>
      <c r="K46" s="32">
        <v>1.8201281026607374E-6</v>
      </c>
      <c r="L46" s="18"/>
      <c r="M46" s="18"/>
      <c r="N46" s="18"/>
    </row>
    <row r="47" spans="2:14" x14ac:dyDescent="0.2">
      <c r="B47" s="23" t="s">
        <v>2808</v>
      </c>
      <c r="C47" s="32" t="s">
        <v>2809</v>
      </c>
      <c r="D47" s="94" t="s">
        <v>127</v>
      </c>
      <c r="E47" s="94" t="s">
        <v>2807</v>
      </c>
      <c r="F47" s="103">
        <v>5314.33</v>
      </c>
      <c r="G47" s="94">
        <v>28.23</v>
      </c>
      <c r="H47" s="124">
        <v>5.1848100000000006</v>
      </c>
      <c r="I47" s="32" t="s">
        <v>238</v>
      </c>
      <c r="J47" s="32">
        <v>1.1205511721599504E-5</v>
      </c>
      <c r="K47" s="32">
        <v>4.3907322500476522E-7</v>
      </c>
      <c r="L47" s="18"/>
      <c r="M47" s="18"/>
      <c r="N47" s="18"/>
    </row>
    <row r="48" spans="2:14" x14ac:dyDescent="0.2">
      <c r="B48" s="23" t="s">
        <v>2810</v>
      </c>
      <c r="C48" s="32" t="s">
        <v>2811</v>
      </c>
      <c r="D48" s="94" t="s">
        <v>127</v>
      </c>
      <c r="E48" s="94" t="s">
        <v>2807</v>
      </c>
      <c r="F48" s="103">
        <v>4517.5200000000004</v>
      </c>
      <c r="G48" s="94">
        <v>26.76</v>
      </c>
      <c r="H48" s="124">
        <v>4.1779099999999998</v>
      </c>
      <c r="I48" s="32" t="s">
        <v>238</v>
      </c>
      <c r="J48" s="32">
        <v>9.0293799535157083E-6</v>
      </c>
      <c r="K48" s="32">
        <v>3.5380436650131022E-7</v>
      </c>
      <c r="L48" s="18"/>
      <c r="M48" s="18"/>
      <c r="N48" s="18"/>
    </row>
    <row r="49" spans="2:14" x14ac:dyDescent="0.2">
      <c r="B49" s="23" t="s">
        <v>2812</v>
      </c>
      <c r="C49" s="32" t="s">
        <v>2813</v>
      </c>
      <c r="D49" s="94" t="s">
        <v>127</v>
      </c>
      <c r="E49" s="94" t="s">
        <v>2814</v>
      </c>
      <c r="F49" s="103">
        <v>4177.18</v>
      </c>
      <c r="G49" s="94">
        <v>29.47</v>
      </c>
      <c r="H49" s="124">
        <v>4.2543800000000003</v>
      </c>
      <c r="I49" s="32" t="s">
        <v>238</v>
      </c>
      <c r="J49" s="32">
        <v>9.1946483975571903E-6</v>
      </c>
      <c r="K49" s="32">
        <v>3.6028019290885741E-7</v>
      </c>
      <c r="L49" s="18"/>
      <c r="M49" s="18"/>
      <c r="N49" s="18"/>
    </row>
    <row r="50" spans="2:14" s="160" customFormat="1" x14ac:dyDescent="0.2">
      <c r="B50" s="132" t="s">
        <v>2750</v>
      </c>
      <c r="C50" s="167" t="s">
        <v>238</v>
      </c>
      <c r="D50" s="168" t="s">
        <v>238</v>
      </c>
      <c r="E50" s="168" t="s">
        <v>238</v>
      </c>
      <c r="F50" s="178" t="s">
        <v>238</v>
      </c>
      <c r="G50" s="168" t="s">
        <v>238</v>
      </c>
      <c r="H50" s="169">
        <v>53465.987100099999</v>
      </c>
      <c r="I50" s="167" t="s">
        <v>238</v>
      </c>
      <c r="J50" s="167">
        <v>0.11555172613018767</v>
      </c>
      <c r="K50" s="167">
        <v>4.5277422671426877E-3</v>
      </c>
    </row>
    <row r="51" spans="2:14" x14ac:dyDescent="0.2">
      <c r="B51" s="23" t="s">
        <v>2832</v>
      </c>
      <c r="C51" s="32" t="s">
        <v>2833</v>
      </c>
      <c r="D51" s="94" t="s">
        <v>127</v>
      </c>
      <c r="E51" s="94" t="s">
        <v>2834</v>
      </c>
      <c r="F51" s="103">
        <v>895826.1</v>
      </c>
      <c r="G51" s="94">
        <v>0.9284</v>
      </c>
      <c r="H51" s="124">
        <v>2874.3527200000003</v>
      </c>
      <c r="I51" s="32" t="s">
        <v>238</v>
      </c>
      <c r="J51" s="32">
        <v>6.2121067302314684E-3</v>
      </c>
      <c r="K51" s="32">
        <v>2.4341322412424349E-4</v>
      </c>
      <c r="L51" s="18"/>
      <c r="M51" s="18"/>
      <c r="N51" s="18"/>
    </row>
    <row r="52" spans="2:14" x14ac:dyDescent="0.2">
      <c r="B52" s="23" t="s">
        <v>2823</v>
      </c>
      <c r="C52" s="32" t="s">
        <v>2824</v>
      </c>
      <c r="D52" s="94" t="s">
        <v>127</v>
      </c>
      <c r="E52" s="94" t="s">
        <v>2825</v>
      </c>
      <c r="F52" s="103">
        <v>727983.57</v>
      </c>
      <c r="G52" s="94">
        <v>2.6953</v>
      </c>
      <c r="H52" s="124">
        <v>6781.36193</v>
      </c>
      <c r="I52" s="32" t="s">
        <v>238</v>
      </c>
      <c r="J52" s="32">
        <v>1.465601065323968E-2</v>
      </c>
      <c r="K52" s="32">
        <v>5.7427648313624583E-4</v>
      </c>
      <c r="L52" s="18"/>
      <c r="M52" s="18"/>
      <c r="N52" s="18"/>
    </row>
    <row r="53" spans="2:14" x14ac:dyDescent="0.2">
      <c r="B53" s="23" t="s">
        <v>2826</v>
      </c>
      <c r="C53" s="32" t="s">
        <v>2827</v>
      </c>
      <c r="D53" s="94" t="s">
        <v>127</v>
      </c>
      <c r="E53" s="94" t="s">
        <v>2828</v>
      </c>
      <c r="F53" s="103">
        <v>4272188.78</v>
      </c>
      <c r="G53" s="94">
        <v>2.0567000000000002</v>
      </c>
      <c r="H53" s="124">
        <v>30367.308980000002</v>
      </c>
      <c r="I53" s="32" t="s">
        <v>238</v>
      </c>
      <c r="J53" s="32">
        <v>6.5630415912796003E-2</v>
      </c>
      <c r="K53" s="32">
        <v>2.5716414465650171E-3</v>
      </c>
      <c r="L53" s="18"/>
      <c r="M53" s="18"/>
      <c r="N53" s="18"/>
    </row>
    <row r="54" spans="2:14" x14ac:dyDescent="0.2">
      <c r="B54" s="23" t="s">
        <v>2820</v>
      </c>
      <c r="C54" s="32" t="s">
        <v>2821</v>
      </c>
      <c r="D54" s="94" t="s">
        <v>127</v>
      </c>
      <c r="E54" s="94" t="s">
        <v>2822</v>
      </c>
      <c r="F54" s="103">
        <v>1699223.73</v>
      </c>
      <c r="G54" s="94">
        <v>0.62490000000000001</v>
      </c>
      <c r="H54" s="124">
        <v>3670.0766100000001</v>
      </c>
      <c r="I54" s="32" t="s">
        <v>238</v>
      </c>
      <c r="J54" s="32">
        <v>7.9318406021673254E-3</v>
      </c>
      <c r="K54" s="32">
        <v>3.1079873190478644E-4</v>
      </c>
      <c r="L54" s="18"/>
      <c r="M54" s="18"/>
      <c r="N54" s="18"/>
    </row>
    <row r="55" spans="2:14" x14ac:dyDescent="0.2">
      <c r="B55" s="23" t="s">
        <v>2815</v>
      </c>
      <c r="C55" s="32" t="s">
        <v>2816</v>
      </c>
      <c r="D55" s="94" t="s">
        <v>128</v>
      </c>
      <c r="E55" s="94" t="s">
        <v>2732</v>
      </c>
      <c r="F55" s="103">
        <v>3211420.31</v>
      </c>
      <c r="G55" s="94">
        <v>0.54379999999999995</v>
      </c>
      <c r="H55" s="124">
        <v>6773.0350899999994</v>
      </c>
      <c r="I55" s="32" t="s">
        <v>238</v>
      </c>
      <c r="J55" s="32">
        <v>1.4638014525469544E-2</v>
      </c>
      <c r="K55" s="32">
        <v>5.7357132856107346E-4</v>
      </c>
      <c r="L55" s="18"/>
      <c r="M55" s="18"/>
      <c r="N55" s="18"/>
    </row>
    <row r="56" spans="2:14" x14ac:dyDescent="0.2">
      <c r="B56" s="23" t="s">
        <v>2817</v>
      </c>
      <c r="C56" s="32" t="s">
        <v>2818</v>
      </c>
      <c r="D56" s="94" t="s">
        <v>127</v>
      </c>
      <c r="E56" s="94" t="s">
        <v>2819</v>
      </c>
      <c r="F56" s="103">
        <v>392042.14</v>
      </c>
      <c r="G56" s="94">
        <v>1.44</v>
      </c>
      <c r="H56" s="124">
        <v>1951.08104</v>
      </c>
      <c r="I56" s="32" t="s">
        <v>238</v>
      </c>
      <c r="J56" s="32">
        <v>4.2167141059191275E-3</v>
      </c>
      <c r="K56" s="32">
        <v>1.6522639103042373E-4</v>
      </c>
      <c r="L56" s="18"/>
      <c r="M56" s="18"/>
      <c r="N56" s="18"/>
    </row>
    <row r="57" spans="2:14" x14ac:dyDescent="0.2">
      <c r="B57" s="23" t="s">
        <v>2829</v>
      </c>
      <c r="C57" s="32" t="s">
        <v>2830</v>
      </c>
      <c r="D57" s="94" t="s">
        <v>127</v>
      </c>
      <c r="E57" s="94" t="s">
        <v>2831</v>
      </c>
      <c r="F57" s="103">
        <v>156619.26</v>
      </c>
      <c r="G57" s="94">
        <v>1.9375</v>
      </c>
      <c r="H57" s="124">
        <v>1048.77073</v>
      </c>
      <c r="I57" s="32" t="s">
        <v>238</v>
      </c>
      <c r="J57" s="32">
        <v>2.2666236001484081E-3</v>
      </c>
      <c r="K57" s="32">
        <v>8.8814661812429343E-5</v>
      </c>
      <c r="L57" s="18"/>
      <c r="M57" s="18"/>
      <c r="N57" s="18"/>
    </row>
    <row r="58" spans="2:14" s="160" customFormat="1" x14ac:dyDescent="0.2">
      <c r="B58" s="132" t="s">
        <v>2751</v>
      </c>
      <c r="C58" s="167" t="s">
        <v>238</v>
      </c>
      <c r="D58" s="168" t="s">
        <v>238</v>
      </c>
      <c r="E58" s="168" t="s">
        <v>238</v>
      </c>
      <c r="F58" s="178" t="s">
        <v>238</v>
      </c>
      <c r="G58" s="168" t="s">
        <v>238</v>
      </c>
      <c r="H58" s="169">
        <v>150850.7258901</v>
      </c>
      <c r="I58" s="167" t="s">
        <v>238</v>
      </c>
      <c r="J58" s="167">
        <v>0.32602150843971317</v>
      </c>
      <c r="K58" s="167">
        <v>1.2774723608170025E-2</v>
      </c>
    </row>
    <row r="59" spans="2:14" x14ac:dyDescent="0.2">
      <c r="B59" s="23" t="s">
        <v>2835</v>
      </c>
      <c r="C59" s="32" t="s">
        <v>2836</v>
      </c>
      <c r="D59" s="94" t="s">
        <v>127</v>
      </c>
      <c r="E59" s="94" t="s">
        <v>2732</v>
      </c>
      <c r="F59" s="103">
        <v>200927.32</v>
      </c>
      <c r="G59" s="94">
        <v>3.3041</v>
      </c>
      <c r="H59" s="124">
        <v>2294.3899000000001</v>
      </c>
      <c r="I59" s="32" t="s">
        <v>238</v>
      </c>
      <c r="J59" s="32">
        <v>4.9586798587353273E-3</v>
      </c>
      <c r="K59" s="32">
        <v>1.9429934227317117E-4</v>
      </c>
      <c r="L59" s="18"/>
      <c r="M59" s="18"/>
      <c r="N59" s="18"/>
    </row>
    <row r="60" spans="2:14" x14ac:dyDescent="0.2">
      <c r="B60" s="23" t="s">
        <v>2837</v>
      </c>
      <c r="C60" s="32" t="s">
        <v>2838</v>
      </c>
      <c r="D60" s="94" t="s">
        <v>127</v>
      </c>
      <c r="E60" s="94" t="s">
        <v>2732</v>
      </c>
      <c r="F60" s="103">
        <v>108122.56</v>
      </c>
      <c r="G60" s="94">
        <v>5.4484000000000004</v>
      </c>
      <c r="H60" s="124">
        <v>2035.94318</v>
      </c>
      <c r="I60" s="32" t="s">
        <v>238</v>
      </c>
      <c r="J60" s="32">
        <v>4.4001198053545965E-3</v>
      </c>
      <c r="K60" s="32">
        <v>1.724129019132923E-4</v>
      </c>
      <c r="L60" s="18"/>
      <c r="M60" s="18"/>
      <c r="N60" s="18"/>
    </row>
    <row r="61" spans="2:14" x14ac:dyDescent="0.2">
      <c r="B61" s="23" t="s">
        <v>2839</v>
      </c>
      <c r="C61" s="32" t="s">
        <v>2840</v>
      </c>
      <c r="D61" s="94" t="s">
        <v>127</v>
      </c>
      <c r="E61" s="94" t="s">
        <v>2593</v>
      </c>
      <c r="F61" s="103">
        <v>1108480.27</v>
      </c>
      <c r="G61" s="94">
        <v>1.9238999999999999</v>
      </c>
      <c r="H61" s="124">
        <v>7370.5900099999999</v>
      </c>
      <c r="I61" s="32" t="s">
        <v>238</v>
      </c>
      <c r="J61" s="32">
        <v>1.5929461783972643E-2</v>
      </c>
      <c r="K61" s="32">
        <v>6.2417498922402248E-4</v>
      </c>
      <c r="L61" s="18"/>
      <c r="M61" s="18"/>
      <c r="N61" s="18"/>
    </row>
    <row r="62" spans="2:14" x14ac:dyDescent="0.2">
      <c r="B62" s="23" t="s">
        <v>2841</v>
      </c>
      <c r="C62" s="32" t="s">
        <v>2842</v>
      </c>
      <c r="D62" s="94" t="s">
        <v>128</v>
      </c>
      <c r="E62" s="94" t="s">
        <v>2843</v>
      </c>
      <c r="F62" s="103">
        <v>2174.31</v>
      </c>
      <c r="G62" s="94">
        <v>5.4955999999999996</v>
      </c>
      <c r="H62" s="124">
        <v>46.341650000000001</v>
      </c>
      <c r="I62" s="32" t="s">
        <v>238</v>
      </c>
      <c r="J62" s="32">
        <v>1.001544709012021E-4</v>
      </c>
      <c r="K62" s="32">
        <v>3.9244210911377805E-6</v>
      </c>
      <c r="L62" s="18"/>
      <c r="M62" s="18"/>
      <c r="N62" s="18"/>
    </row>
    <row r="63" spans="2:14" x14ac:dyDescent="0.2">
      <c r="B63" s="23" t="s">
        <v>2844</v>
      </c>
      <c r="C63" s="32" t="s">
        <v>2845</v>
      </c>
      <c r="D63" s="94" t="s">
        <v>127</v>
      </c>
      <c r="E63" s="94" t="s">
        <v>2846</v>
      </c>
      <c r="F63" s="103">
        <v>231546.45</v>
      </c>
      <c r="G63" s="94">
        <v>1.6833</v>
      </c>
      <c r="H63" s="124">
        <v>1347.08997</v>
      </c>
      <c r="I63" s="32" t="s">
        <v>238</v>
      </c>
      <c r="J63" s="32">
        <v>2.9113569154673217E-3</v>
      </c>
      <c r="K63" s="32">
        <v>1.1407768799617968E-4</v>
      </c>
      <c r="L63" s="18"/>
      <c r="M63" s="18"/>
      <c r="N63" s="18"/>
    </row>
    <row r="64" spans="2:14" x14ac:dyDescent="0.2">
      <c r="B64" s="23" t="s">
        <v>2847</v>
      </c>
      <c r="C64" s="32" t="s">
        <v>2848</v>
      </c>
      <c r="D64" s="94" t="s">
        <v>127</v>
      </c>
      <c r="E64" s="94" t="s">
        <v>2849</v>
      </c>
      <c r="F64" s="103">
        <v>1002064.79</v>
      </c>
      <c r="G64" s="94">
        <v>2.1341999999999999</v>
      </c>
      <c r="H64" s="124">
        <v>7391.08007</v>
      </c>
      <c r="I64" s="32" t="s">
        <v>238</v>
      </c>
      <c r="J64" s="32">
        <v>1.5973745298220279E-2</v>
      </c>
      <c r="K64" s="32">
        <v>6.2591018043155785E-4</v>
      </c>
      <c r="L64" s="18"/>
      <c r="M64" s="18"/>
      <c r="N64" s="18"/>
    </row>
    <row r="65" spans="2:14" x14ac:dyDescent="0.2">
      <c r="B65" s="23" t="s">
        <v>2850</v>
      </c>
      <c r="C65" s="32" t="s">
        <v>2851</v>
      </c>
      <c r="D65" s="94" t="s">
        <v>128</v>
      </c>
      <c r="E65" s="94" t="s">
        <v>2852</v>
      </c>
      <c r="F65" s="103">
        <v>469993.13</v>
      </c>
      <c r="G65" s="94">
        <v>2.1372</v>
      </c>
      <c r="H65" s="124">
        <v>3895.60763</v>
      </c>
      <c r="I65" s="32" t="s">
        <v>238</v>
      </c>
      <c r="J65" s="32">
        <v>8.4192626076399057E-3</v>
      </c>
      <c r="K65" s="32">
        <v>3.2989772150903698E-4</v>
      </c>
      <c r="L65" s="18"/>
      <c r="M65" s="18"/>
      <c r="N65" s="18"/>
    </row>
    <row r="66" spans="2:14" x14ac:dyDescent="0.2">
      <c r="B66" s="23" t="s">
        <v>2853</v>
      </c>
      <c r="C66" s="32" t="s">
        <v>2854</v>
      </c>
      <c r="D66" s="94" t="s">
        <v>127</v>
      </c>
      <c r="E66" s="94" t="s">
        <v>2855</v>
      </c>
      <c r="F66" s="103">
        <v>510193.65</v>
      </c>
      <c r="G66" s="94">
        <v>4.9036</v>
      </c>
      <c r="H66" s="124">
        <v>8646.3137899999983</v>
      </c>
      <c r="I66" s="32" t="s">
        <v>238</v>
      </c>
      <c r="J66" s="32">
        <v>1.8686580708352364E-2</v>
      </c>
      <c r="K66" s="32">
        <v>7.3220906459030765E-4</v>
      </c>
      <c r="L66" s="18"/>
      <c r="M66" s="18"/>
      <c r="N66" s="18"/>
    </row>
    <row r="67" spans="2:14" x14ac:dyDescent="0.2">
      <c r="B67" s="23" t="s">
        <v>2856</v>
      </c>
      <c r="C67" s="32" t="s">
        <v>2857</v>
      </c>
      <c r="D67" s="94" t="s">
        <v>128</v>
      </c>
      <c r="E67" s="94" t="s">
        <v>2858</v>
      </c>
      <c r="F67" s="103">
        <v>425807.42</v>
      </c>
      <c r="G67" s="94">
        <v>2.5051999999999999</v>
      </c>
      <c r="H67" s="124">
        <v>4137.0524800000003</v>
      </c>
      <c r="I67" s="32" t="s">
        <v>238</v>
      </c>
      <c r="J67" s="32">
        <v>8.9410778905133076E-3</v>
      </c>
      <c r="K67" s="32">
        <v>3.5034436641025646E-4</v>
      </c>
      <c r="L67" s="18"/>
      <c r="M67" s="18"/>
      <c r="N67" s="18"/>
    </row>
    <row r="68" spans="2:14" x14ac:dyDescent="0.2">
      <c r="B68" s="23" t="s">
        <v>2859</v>
      </c>
      <c r="C68" s="32" t="s">
        <v>2860</v>
      </c>
      <c r="D68" s="94" t="s">
        <v>127</v>
      </c>
      <c r="E68" s="94" t="s">
        <v>2861</v>
      </c>
      <c r="F68" s="103">
        <v>1042938.35</v>
      </c>
      <c r="G68" s="94">
        <v>0.86699999999999999</v>
      </c>
      <c r="H68" s="124">
        <v>3125.0861</v>
      </c>
      <c r="I68" s="32" t="s">
        <v>238</v>
      </c>
      <c r="J68" s="32">
        <v>6.75399656391607E-3</v>
      </c>
      <c r="K68" s="32">
        <v>2.6464646387130172E-4</v>
      </c>
      <c r="L68" s="18"/>
      <c r="M68" s="18"/>
      <c r="N68" s="18"/>
    </row>
    <row r="69" spans="2:14" x14ac:dyDescent="0.2">
      <c r="B69" s="23" t="s">
        <v>2862</v>
      </c>
      <c r="C69" s="32" t="s">
        <v>2863</v>
      </c>
      <c r="D69" s="94" t="s">
        <v>128</v>
      </c>
      <c r="E69" s="94" t="s">
        <v>2864</v>
      </c>
      <c r="F69" s="103">
        <v>190276.82</v>
      </c>
      <c r="G69" s="94">
        <v>1.5117</v>
      </c>
      <c r="H69" s="124">
        <v>1115.59977</v>
      </c>
      <c r="I69" s="32" t="s">
        <v>238</v>
      </c>
      <c r="J69" s="32">
        <v>2.411055814841568E-3</v>
      </c>
      <c r="K69" s="32">
        <v>9.4474048003393419E-5</v>
      </c>
      <c r="L69" s="18"/>
      <c r="M69" s="18"/>
      <c r="N69" s="18"/>
    </row>
    <row r="70" spans="2:14" x14ac:dyDescent="0.2">
      <c r="B70" s="23" t="s">
        <v>2865</v>
      </c>
      <c r="C70" s="32" t="s">
        <v>2866</v>
      </c>
      <c r="D70" s="94" t="s">
        <v>127</v>
      </c>
      <c r="E70" s="94" t="s">
        <v>2867</v>
      </c>
      <c r="F70" s="103">
        <v>717556.94</v>
      </c>
      <c r="G70" s="94">
        <v>2.2776000000000001</v>
      </c>
      <c r="H70" s="124">
        <v>5648.4079099999999</v>
      </c>
      <c r="I70" s="32" t="s">
        <v>238</v>
      </c>
      <c r="J70" s="32">
        <v>1.2207448497414631E-2</v>
      </c>
      <c r="K70" s="32">
        <v>4.7833279853767548E-4</v>
      </c>
      <c r="L70" s="18"/>
      <c r="M70" s="18"/>
      <c r="N70" s="18"/>
    </row>
    <row r="71" spans="2:14" x14ac:dyDescent="0.2">
      <c r="B71" s="23" t="s">
        <v>2868</v>
      </c>
      <c r="C71" s="32" t="s">
        <v>2869</v>
      </c>
      <c r="D71" s="94" t="s">
        <v>127</v>
      </c>
      <c r="E71" s="94" t="s">
        <v>2867</v>
      </c>
      <c r="F71" s="103">
        <v>336517.59</v>
      </c>
      <c r="G71" s="94">
        <v>1.3208</v>
      </c>
      <c r="H71" s="124">
        <v>1536.12347</v>
      </c>
      <c r="I71" s="32" t="s">
        <v>238</v>
      </c>
      <c r="J71" s="32">
        <v>3.3198997743232833E-3</v>
      </c>
      <c r="K71" s="32">
        <v>1.3008590208289419E-4</v>
      </c>
      <c r="L71" s="18"/>
      <c r="M71" s="18"/>
      <c r="N71" s="18"/>
    </row>
    <row r="72" spans="2:14" x14ac:dyDescent="0.2">
      <c r="B72" s="23" t="s">
        <v>2870</v>
      </c>
      <c r="C72" s="32" t="s">
        <v>2871</v>
      </c>
      <c r="D72" s="94" t="s">
        <v>127</v>
      </c>
      <c r="E72" s="94" t="s">
        <v>2872</v>
      </c>
      <c r="F72" s="103">
        <v>154430.20000000001</v>
      </c>
      <c r="G72" s="94">
        <v>4.2319000000000004</v>
      </c>
      <c r="H72" s="124">
        <v>2258.62021</v>
      </c>
      <c r="I72" s="32" t="s">
        <v>238</v>
      </c>
      <c r="J72" s="32">
        <v>4.8813737124015211E-3</v>
      </c>
      <c r="K72" s="32">
        <v>1.9127020270089741E-4</v>
      </c>
      <c r="L72" s="18"/>
      <c r="M72" s="18"/>
      <c r="N72" s="18"/>
    </row>
    <row r="73" spans="2:14" x14ac:dyDescent="0.2">
      <c r="B73" s="23" t="s">
        <v>2873</v>
      </c>
      <c r="C73" s="32" t="s">
        <v>2874</v>
      </c>
      <c r="D73" s="94" t="s">
        <v>127</v>
      </c>
      <c r="E73" s="94" t="s">
        <v>2875</v>
      </c>
      <c r="F73" s="103">
        <v>174498.96</v>
      </c>
      <c r="G73" s="94">
        <v>3.6957</v>
      </c>
      <c r="H73" s="124">
        <v>2228.7647299999999</v>
      </c>
      <c r="I73" s="32" t="s">
        <v>238</v>
      </c>
      <c r="J73" s="32">
        <v>4.8168494711865149E-3</v>
      </c>
      <c r="K73" s="32">
        <v>1.8874190525361095E-4</v>
      </c>
      <c r="L73" s="18"/>
      <c r="M73" s="18"/>
      <c r="N73" s="18"/>
    </row>
    <row r="74" spans="2:14" x14ac:dyDescent="0.2">
      <c r="B74" s="23" t="s">
        <v>2876</v>
      </c>
      <c r="C74" s="32" t="s">
        <v>2877</v>
      </c>
      <c r="D74" s="94" t="s">
        <v>127</v>
      </c>
      <c r="E74" s="94" t="s">
        <v>2878</v>
      </c>
      <c r="F74" s="103">
        <v>2009465.27</v>
      </c>
      <c r="G74" s="94">
        <v>1.4999</v>
      </c>
      <c r="H74" s="124">
        <v>10416.51238</v>
      </c>
      <c r="I74" s="32" t="s">
        <v>238</v>
      </c>
      <c r="J74" s="32">
        <v>2.2512368162435334E-2</v>
      </c>
      <c r="K74" s="32">
        <v>8.8211750941474462E-4</v>
      </c>
      <c r="L74" s="18"/>
      <c r="M74" s="18"/>
      <c r="N74" s="18"/>
    </row>
    <row r="75" spans="2:14" x14ac:dyDescent="0.2">
      <c r="B75" s="23" t="s">
        <v>2879</v>
      </c>
      <c r="C75" s="32" t="s">
        <v>2880</v>
      </c>
      <c r="D75" s="94" t="s">
        <v>127</v>
      </c>
      <c r="E75" s="94" t="s">
        <v>2881</v>
      </c>
      <c r="F75" s="103">
        <v>1188581.1100000001</v>
      </c>
      <c r="G75" s="94">
        <v>3.8855</v>
      </c>
      <c r="H75" s="124">
        <v>15960.884669999999</v>
      </c>
      <c r="I75" s="32" t="s">
        <v>238</v>
      </c>
      <c r="J75" s="32">
        <v>3.4494972864344657E-2</v>
      </c>
      <c r="K75" s="32">
        <v>1.3516400998273836E-3</v>
      </c>
      <c r="L75" s="18"/>
      <c r="M75" s="18"/>
      <c r="N75" s="18"/>
    </row>
    <row r="76" spans="2:14" x14ac:dyDescent="0.2">
      <c r="B76" s="23" t="s">
        <v>2882</v>
      </c>
      <c r="C76" s="32" t="s">
        <v>2883</v>
      </c>
      <c r="D76" s="94" t="s">
        <v>127</v>
      </c>
      <c r="E76" s="94" t="s">
        <v>2884</v>
      </c>
      <c r="F76" s="103">
        <v>1977498.52</v>
      </c>
      <c r="G76" s="94">
        <v>2.6032999999999999</v>
      </c>
      <c r="H76" s="124">
        <v>17792.11724</v>
      </c>
      <c r="I76" s="32" t="s">
        <v>238</v>
      </c>
      <c r="J76" s="32">
        <v>3.8452668137288079E-2</v>
      </c>
      <c r="K76" s="32">
        <v>1.5067171788801675E-3</v>
      </c>
      <c r="L76" s="18"/>
      <c r="M76" s="18"/>
      <c r="N76" s="18"/>
    </row>
    <row r="77" spans="2:14" x14ac:dyDescent="0.2">
      <c r="B77" s="23" t="s">
        <v>2885</v>
      </c>
      <c r="C77" s="32" t="s">
        <v>2886</v>
      </c>
      <c r="D77" s="94" t="s">
        <v>127</v>
      </c>
      <c r="E77" s="94" t="s">
        <v>1239</v>
      </c>
      <c r="F77" s="103">
        <v>3037601.24</v>
      </c>
      <c r="G77" s="94">
        <v>1.4786999999999999</v>
      </c>
      <c r="H77" s="124">
        <v>15524.284300000001</v>
      </c>
      <c r="I77" s="32" t="s">
        <v>238</v>
      </c>
      <c r="J77" s="32">
        <v>3.3551383694502432E-2</v>
      </c>
      <c r="K77" s="32">
        <v>1.3146668004212004E-3</v>
      </c>
      <c r="L77" s="18"/>
      <c r="M77" s="18"/>
      <c r="N77" s="18"/>
    </row>
    <row r="78" spans="2:14" x14ac:dyDescent="0.2">
      <c r="B78" s="23" t="s">
        <v>2887</v>
      </c>
      <c r="C78" s="32" t="s">
        <v>2888</v>
      </c>
      <c r="D78" s="94" t="s">
        <v>127</v>
      </c>
      <c r="E78" s="94" t="s">
        <v>1273</v>
      </c>
      <c r="F78" s="103">
        <v>2252635.17</v>
      </c>
      <c r="G78" s="94">
        <v>1.2364999999999999</v>
      </c>
      <c r="H78" s="124">
        <v>9626.4173300000002</v>
      </c>
      <c r="I78" s="32" t="s">
        <v>238</v>
      </c>
      <c r="J78" s="32">
        <v>2.080479944845107E-2</v>
      </c>
      <c r="K78" s="32">
        <v>8.152086773333759E-4</v>
      </c>
      <c r="L78" s="18"/>
      <c r="M78" s="18"/>
      <c r="N78" s="18"/>
    </row>
    <row r="79" spans="2:14" x14ac:dyDescent="0.2">
      <c r="B79" s="23" t="s">
        <v>2889</v>
      </c>
      <c r="C79" s="32" t="s">
        <v>2890</v>
      </c>
      <c r="D79" s="94" t="s">
        <v>127</v>
      </c>
      <c r="E79" s="94" t="s">
        <v>2891</v>
      </c>
      <c r="F79" s="103">
        <v>2421638.9500000002</v>
      </c>
      <c r="G79" s="94">
        <v>1.1052</v>
      </c>
      <c r="H79" s="124">
        <v>9250.0241100000003</v>
      </c>
      <c r="I79" s="32" t="s">
        <v>238</v>
      </c>
      <c r="J79" s="32">
        <v>1.9991331136470385E-2</v>
      </c>
      <c r="K79" s="32">
        <v>7.8333399244129146E-4</v>
      </c>
      <c r="L79" s="18"/>
      <c r="M79" s="18"/>
      <c r="N79" s="18"/>
    </row>
    <row r="80" spans="2:14" x14ac:dyDescent="0.2">
      <c r="B80" s="23" t="s">
        <v>2892</v>
      </c>
      <c r="C80" s="32" t="s">
        <v>2893</v>
      </c>
      <c r="D80" s="94" t="s">
        <v>127</v>
      </c>
      <c r="E80" s="94" t="s">
        <v>2894</v>
      </c>
      <c r="F80" s="103">
        <v>1661879.99</v>
      </c>
      <c r="G80" s="94">
        <v>0.98650000000000004</v>
      </c>
      <c r="H80" s="124">
        <v>5666.4719400000004</v>
      </c>
      <c r="I80" s="32" t="s">
        <v>238</v>
      </c>
      <c r="J80" s="32">
        <v>1.2246488828671577E-2</v>
      </c>
      <c r="K80" s="32">
        <v>4.7986254252225407E-4</v>
      </c>
      <c r="L80" s="18"/>
      <c r="M80" s="18"/>
      <c r="N80" s="18"/>
    </row>
    <row r="81" spans="2:14" x14ac:dyDescent="0.2">
      <c r="B81" s="23" t="s">
        <v>2895</v>
      </c>
      <c r="C81" s="32" t="s">
        <v>2896</v>
      </c>
      <c r="D81" s="94" t="s">
        <v>127</v>
      </c>
      <c r="E81" s="94" t="s">
        <v>2897</v>
      </c>
      <c r="F81" s="103">
        <v>37591.050000000003</v>
      </c>
      <c r="G81" s="94">
        <v>2.1947000000000001</v>
      </c>
      <c r="H81" s="124">
        <v>285.13203000000004</v>
      </c>
      <c r="I81" s="32" t="s">
        <v>238</v>
      </c>
      <c r="J81" s="32">
        <v>6.1623286183456322E-4</v>
      </c>
      <c r="K81" s="32">
        <v>2.4146273434177043E-5</v>
      </c>
      <c r="L81" s="18"/>
      <c r="M81" s="18"/>
      <c r="N81" s="18"/>
    </row>
    <row r="82" spans="2:14" x14ac:dyDescent="0.2">
      <c r="B82" s="23" t="s">
        <v>2898</v>
      </c>
      <c r="C82" s="32" t="s">
        <v>2899</v>
      </c>
      <c r="D82" s="94" t="s">
        <v>127</v>
      </c>
      <c r="E82" s="94" t="s">
        <v>2900</v>
      </c>
      <c r="F82" s="103">
        <v>958804.75</v>
      </c>
      <c r="G82" s="94">
        <v>1.177</v>
      </c>
      <c r="H82" s="124">
        <v>3900.33709</v>
      </c>
      <c r="I82" s="32" t="s">
        <v>238</v>
      </c>
      <c r="J82" s="32">
        <v>8.4294840081284173E-3</v>
      </c>
      <c r="K82" s="32">
        <v>3.3029823363093364E-4</v>
      </c>
      <c r="L82" s="18"/>
      <c r="M82" s="18"/>
      <c r="N82" s="18"/>
    </row>
    <row r="83" spans="2:14" x14ac:dyDescent="0.2">
      <c r="B83" s="23" t="s">
        <v>2901</v>
      </c>
      <c r="C83" s="32" t="s">
        <v>2902</v>
      </c>
      <c r="D83" s="94" t="s">
        <v>127</v>
      </c>
      <c r="E83" s="94" t="s">
        <v>2903</v>
      </c>
      <c r="F83" s="103">
        <v>1528.24</v>
      </c>
      <c r="G83" s="94">
        <v>480.3954</v>
      </c>
      <c r="H83" s="124">
        <v>25.37255</v>
      </c>
      <c r="I83" s="32" t="s">
        <v>238</v>
      </c>
      <c r="J83" s="32">
        <v>5.4835646133970092E-5</v>
      </c>
      <c r="K83" s="32">
        <v>2.1486626038552338E-6</v>
      </c>
      <c r="L83" s="18"/>
      <c r="M83" s="18"/>
      <c r="N83" s="18"/>
    </row>
    <row r="84" spans="2:14" x14ac:dyDescent="0.2">
      <c r="B84" s="23" t="s">
        <v>2904</v>
      </c>
      <c r="C84" s="32" t="s">
        <v>2905</v>
      </c>
      <c r="D84" s="94" t="s">
        <v>127</v>
      </c>
      <c r="E84" s="94" t="s">
        <v>2906</v>
      </c>
      <c r="F84" s="103">
        <v>500000</v>
      </c>
      <c r="G84" s="94">
        <v>0.13159999999999999</v>
      </c>
      <c r="H84" s="124">
        <v>227.48428000000001</v>
      </c>
      <c r="I84" s="32" t="s">
        <v>238</v>
      </c>
      <c r="J84" s="32">
        <v>4.9164342878902474E-4</v>
      </c>
      <c r="K84" s="32">
        <v>1.9264400519495798E-5</v>
      </c>
      <c r="L84" s="18"/>
      <c r="M84" s="18"/>
      <c r="N84" s="18"/>
    </row>
    <row r="85" spans="2:14" x14ac:dyDescent="0.2">
      <c r="B85" s="23" t="s">
        <v>2907</v>
      </c>
      <c r="C85" s="32" t="s">
        <v>2908</v>
      </c>
      <c r="D85" s="94" t="s">
        <v>127</v>
      </c>
      <c r="E85" s="94" t="s">
        <v>2909</v>
      </c>
      <c r="F85" s="103">
        <v>135512.78</v>
      </c>
      <c r="G85" s="94">
        <v>5.2996999999999996</v>
      </c>
      <c r="H85" s="124">
        <v>2482.0522999999998</v>
      </c>
      <c r="I85" s="32" t="s">
        <v>238</v>
      </c>
      <c r="J85" s="32">
        <v>5.3642594697342824E-3</v>
      </c>
      <c r="K85" s="32">
        <v>2.1019144539365854E-4</v>
      </c>
      <c r="L85" s="18"/>
      <c r="M85" s="18"/>
      <c r="N85" s="18"/>
    </row>
    <row r="86" spans="2:14" x14ac:dyDescent="0.2">
      <c r="B86" s="23" t="s">
        <v>2910</v>
      </c>
      <c r="C86" s="32" t="s">
        <v>2911</v>
      </c>
      <c r="D86" s="94" t="s">
        <v>127</v>
      </c>
      <c r="E86" s="94" t="s">
        <v>2912</v>
      </c>
      <c r="F86" s="103">
        <v>144757.69</v>
      </c>
      <c r="G86" s="94">
        <v>6.7047999999999996</v>
      </c>
      <c r="H86" s="124">
        <v>3354.3306400000001</v>
      </c>
      <c r="I86" s="32" t="s">
        <v>238</v>
      </c>
      <c r="J86" s="32">
        <v>7.249444300686113E-3</v>
      </c>
      <c r="K86" s="32">
        <v>2.840599311907472E-4</v>
      </c>
      <c r="L86" s="18"/>
      <c r="M86" s="18"/>
      <c r="N86" s="18"/>
    </row>
    <row r="87" spans="2:14" x14ac:dyDescent="0.2">
      <c r="B87" s="23" t="s">
        <v>2913</v>
      </c>
      <c r="C87" s="32" t="s">
        <v>2914</v>
      </c>
      <c r="D87" s="94" t="s">
        <v>127</v>
      </c>
      <c r="E87" s="94" t="s">
        <v>2915</v>
      </c>
      <c r="F87" s="103">
        <v>628784.98</v>
      </c>
      <c r="G87" s="94">
        <v>116.768</v>
      </c>
      <c r="H87" s="124">
        <v>2537.46461</v>
      </c>
      <c r="I87" s="32" t="s">
        <v>238</v>
      </c>
      <c r="J87" s="32">
        <v>5.4840176265859141E-3</v>
      </c>
      <c r="K87" s="32">
        <v>2.1488401111094884E-4</v>
      </c>
      <c r="L87" s="18"/>
      <c r="M87" s="18"/>
      <c r="N87" s="18"/>
    </row>
    <row r="88" spans="2:14" x14ac:dyDescent="0.2">
      <c r="B88" s="23" t="s">
        <v>2916</v>
      </c>
      <c r="C88" s="32" t="s">
        <v>2917</v>
      </c>
      <c r="D88" s="94" t="s">
        <v>127</v>
      </c>
      <c r="E88" s="94" t="s">
        <v>2918</v>
      </c>
      <c r="F88" s="103">
        <v>163830</v>
      </c>
      <c r="G88" s="94">
        <v>128.01730000000001</v>
      </c>
      <c r="H88" s="124">
        <v>724.82955000000004</v>
      </c>
      <c r="I88" s="32" t="s">
        <v>238</v>
      </c>
      <c r="J88" s="32">
        <v>1.5665156522006968E-3</v>
      </c>
      <c r="K88" s="32">
        <v>6.1381853548587645E-5</v>
      </c>
      <c r="L88" s="18"/>
      <c r="M88" s="18"/>
      <c r="N88" s="18"/>
    </row>
    <row r="89" spans="2:14" s="160" customFormat="1" x14ac:dyDescent="0.2">
      <c r="B89" s="114" t="s">
        <v>227</v>
      </c>
      <c r="C89" s="170"/>
      <c r="D89" s="171"/>
      <c r="E89" s="171"/>
      <c r="F89" s="171"/>
      <c r="G89" s="172"/>
      <c r="H89" s="173"/>
      <c r="I89" s="174"/>
      <c r="J89" s="174"/>
      <c r="K89" s="174"/>
      <c r="L89" s="191"/>
      <c r="M89" s="175"/>
      <c r="N89" s="175"/>
    </row>
    <row r="90" spans="2:14" s="160" customFormat="1" x14ac:dyDescent="0.2">
      <c r="B90" s="114" t="s">
        <v>228</v>
      </c>
      <c r="C90" s="170"/>
      <c r="D90" s="171"/>
      <c r="E90" s="171"/>
      <c r="F90" s="171"/>
      <c r="G90" s="172"/>
      <c r="H90" s="173"/>
      <c r="I90" s="174"/>
      <c r="J90" s="174"/>
      <c r="K90" s="174"/>
      <c r="L90" s="191"/>
      <c r="M90" s="175"/>
      <c r="N90" s="175"/>
    </row>
    <row r="91" spans="2:14" s="160" customFormat="1" x14ac:dyDescent="0.2">
      <c r="B91" s="114" t="s">
        <v>229</v>
      </c>
      <c r="C91" s="170"/>
      <c r="D91" s="171"/>
      <c r="E91" s="171"/>
      <c r="F91" s="171"/>
      <c r="G91" s="172"/>
      <c r="H91" s="173"/>
      <c r="I91" s="174"/>
      <c r="J91" s="174"/>
      <c r="K91" s="174"/>
      <c r="L91" s="191"/>
      <c r="M91" s="175"/>
      <c r="N91" s="175"/>
    </row>
    <row r="92" spans="2:14" s="160" customFormat="1" x14ac:dyDescent="0.2">
      <c r="B92" s="114" t="s">
        <v>230</v>
      </c>
      <c r="C92" s="170"/>
      <c r="D92" s="171"/>
      <c r="E92" s="171"/>
      <c r="F92" s="171"/>
      <c r="G92" s="172"/>
      <c r="H92" s="173"/>
      <c r="I92" s="174"/>
      <c r="J92" s="174"/>
      <c r="K92" s="174"/>
      <c r="L92" s="191"/>
      <c r="M92" s="175"/>
      <c r="N92" s="175"/>
    </row>
    <row r="93" spans="2:14" s="160" customFormat="1" x14ac:dyDescent="0.2">
      <c r="B93" s="114" t="s">
        <v>231</v>
      </c>
      <c r="C93" s="170"/>
      <c r="D93" s="171"/>
      <c r="E93" s="171"/>
      <c r="F93" s="171"/>
      <c r="G93" s="172"/>
      <c r="H93" s="173"/>
      <c r="I93" s="174"/>
      <c r="J93" s="174"/>
      <c r="K93" s="174"/>
      <c r="L93" s="191"/>
      <c r="M93" s="175"/>
      <c r="N93" s="175"/>
    </row>
  </sheetData>
  <mergeCells count="2">
    <mergeCell ref="B7:K7"/>
    <mergeCell ref="B6:K6"/>
  </mergeCells>
  <phoneticPr fontId="3" type="noConversion"/>
  <conditionalFormatting sqref="J12:K88 C12:E88">
    <cfRule type="expression" dxfId="69" priority="326" stopIfTrue="1">
      <formula>OR(LEFT(#REF!,3)="TIR",LEFT(#REF!,2)="IR")</formula>
    </cfRule>
  </conditionalFormatting>
  <conditionalFormatting sqref="B12:B88 H12:H88">
    <cfRule type="expression" dxfId="68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8554687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8" t="s">
        <v>28</v>
      </c>
      <c r="C6" s="229"/>
      <c r="D6" s="229"/>
      <c r="E6" s="229"/>
      <c r="F6" s="229"/>
      <c r="G6" s="229"/>
      <c r="H6" s="229"/>
      <c r="I6" s="229"/>
      <c r="J6" s="229"/>
      <c r="K6" s="229"/>
      <c r="L6" s="230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1" t="s">
        <v>31</v>
      </c>
      <c r="C7" s="232"/>
      <c r="D7" s="232"/>
      <c r="E7" s="232"/>
      <c r="F7" s="232"/>
      <c r="G7" s="232"/>
      <c r="H7" s="232"/>
      <c r="I7" s="232"/>
      <c r="J7" s="232"/>
      <c r="K7" s="232"/>
      <c r="L7" s="233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60" customFormat="1" ht="12.75" customHeight="1" thickBot="1" x14ac:dyDescent="0.25">
      <c r="B11" s="141" t="s">
        <v>55</v>
      </c>
      <c r="C11" s="101" t="s">
        <v>238</v>
      </c>
      <c r="D11" s="101" t="s">
        <v>238</v>
      </c>
      <c r="E11" s="180" t="s">
        <v>238</v>
      </c>
      <c r="F11" s="180" t="s">
        <v>238</v>
      </c>
      <c r="G11" s="182" t="s">
        <v>238</v>
      </c>
      <c r="H11" s="180" t="s">
        <v>238</v>
      </c>
      <c r="I11" s="196">
        <v>897.32475186929946</v>
      </c>
      <c r="J11" s="104"/>
      <c r="K11" s="122">
        <v>1</v>
      </c>
      <c r="L11" s="121">
        <v>7.5989529544931051E-5</v>
      </c>
    </row>
    <row r="12" spans="1:19" s="160" customFormat="1" x14ac:dyDescent="0.2">
      <c r="B12" s="131" t="s">
        <v>2919</v>
      </c>
      <c r="C12" s="163" t="s">
        <v>238</v>
      </c>
      <c r="D12" s="163" t="s">
        <v>238</v>
      </c>
      <c r="E12" s="183" t="s">
        <v>238</v>
      </c>
      <c r="F12" s="183" t="s">
        <v>238</v>
      </c>
      <c r="G12" s="185" t="s">
        <v>238</v>
      </c>
      <c r="H12" s="183" t="s">
        <v>238</v>
      </c>
      <c r="I12" s="165">
        <v>897.32475176929938</v>
      </c>
      <c r="J12" s="163" t="s">
        <v>238</v>
      </c>
      <c r="K12" s="163">
        <v>0.99999999988855759</v>
      </c>
      <c r="L12" s="163">
        <v>7.5989529536462592E-5</v>
      </c>
    </row>
    <row r="13" spans="1:19" x14ac:dyDescent="0.2">
      <c r="B13" s="23" t="s">
        <v>2920</v>
      </c>
      <c r="C13" s="32" t="s">
        <v>2921</v>
      </c>
      <c r="D13" s="32" t="s">
        <v>2922</v>
      </c>
      <c r="E13" s="33" t="s">
        <v>244</v>
      </c>
      <c r="F13" s="33" t="s">
        <v>2923</v>
      </c>
      <c r="G13" s="152">
        <v>39952.126076104156</v>
      </c>
      <c r="H13" s="33">
        <v>2246</v>
      </c>
      <c r="I13" s="124">
        <v>897.32475166929942</v>
      </c>
      <c r="J13" s="32" t="s">
        <v>238</v>
      </c>
      <c r="K13" s="41">
        <v>0.99999999977711529</v>
      </c>
      <c r="L13" s="41">
        <v>7.5989529527994146E-5</v>
      </c>
      <c r="M13" s="18"/>
      <c r="N13" s="18"/>
      <c r="O13" s="18"/>
    </row>
    <row r="14" spans="1:19" s="160" customFormat="1" x14ac:dyDescent="0.2">
      <c r="B14" s="132" t="s">
        <v>2924</v>
      </c>
      <c r="C14" s="167" t="s">
        <v>238</v>
      </c>
      <c r="D14" s="167" t="s">
        <v>238</v>
      </c>
      <c r="E14" s="186" t="s">
        <v>238</v>
      </c>
      <c r="F14" s="186" t="s">
        <v>238</v>
      </c>
      <c r="G14" s="188" t="s">
        <v>238</v>
      </c>
      <c r="H14" s="186" t="s">
        <v>238</v>
      </c>
      <c r="I14" s="169">
        <v>0</v>
      </c>
      <c r="J14" s="167" t="s">
        <v>238</v>
      </c>
      <c r="K14" s="163">
        <v>0</v>
      </c>
      <c r="L14" s="163">
        <v>0</v>
      </c>
    </row>
    <row r="15" spans="1:19" s="160" customFormat="1" x14ac:dyDescent="0.2">
      <c r="B15" s="114" t="s">
        <v>227</v>
      </c>
      <c r="C15" s="170"/>
      <c r="D15" s="114"/>
      <c r="E15" s="189"/>
      <c r="F15" s="189"/>
      <c r="G15" s="189"/>
      <c r="H15" s="190"/>
      <c r="I15" s="175"/>
      <c r="J15" s="191"/>
      <c r="K15" s="191"/>
      <c r="L15" s="191"/>
      <c r="M15" s="191"/>
      <c r="N15" s="175"/>
      <c r="O15" s="175"/>
    </row>
    <row r="16" spans="1:19" s="160" customFormat="1" x14ac:dyDescent="0.2">
      <c r="B16" s="114" t="s">
        <v>228</v>
      </c>
      <c r="C16" s="170"/>
      <c r="D16" s="114"/>
      <c r="E16" s="189"/>
      <c r="F16" s="189"/>
      <c r="G16" s="189"/>
      <c r="H16" s="190"/>
      <c r="I16" s="175"/>
      <c r="J16" s="191"/>
      <c r="K16" s="191"/>
      <c r="L16" s="191"/>
      <c r="M16" s="191"/>
      <c r="N16" s="175"/>
      <c r="O16" s="175"/>
    </row>
    <row r="17" spans="2:15" s="160" customFormat="1" x14ac:dyDescent="0.2">
      <c r="B17" s="114" t="s">
        <v>229</v>
      </c>
      <c r="C17" s="170"/>
      <c r="D17" s="114"/>
      <c r="E17" s="189"/>
      <c r="F17" s="189"/>
      <c r="G17" s="189"/>
      <c r="H17" s="190"/>
      <c r="I17" s="175"/>
      <c r="J17" s="191"/>
      <c r="K17" s="191"/>
      <c r="L17" s="191"/>
      <c r="M17" s="191"/>
      <c r="N17" s="175"/>
      <c r="O17" s="175"/>
    </row>
    <row r="18" spans="2:15" s="160" customFormat="1" x14ac:dyDescent="0.2">
      <c r="B18" s="114" t="s">
        <v>230</v>
      </c>
      <c r="C18" s="170"/>
      <c r="D18" s="114"/>
      <c r="E18" s="189"/>
      <c r="F18" s="189"/>
      <c r="G18" s="189"/>
      <c r="H18" s="190"/>
      <c r="I18" s="175"/>
      <c r="J18" s="191"/>
      <c r="K18" s="191"/>
      <c r="L18" s="191"/>
      <c r="M18" s="191"/>
      <c r="N18" s="175"/>
      <c r="O18" s="175"/>
    </row>
    <row r="19" spans="2:15" s="160" customFormat="1" x14ac:dyDescent="0.2">
      <c r="B19" s="114" t="s">
        <v>231</v>
      </c>
      <c r="C19" s="170"/>
      <c r="D19" s="114"/>
      <c r="E19" s="189"/>
      <c r="F19" s="189"/>
      <c r="G19" s="189"/>
      <c r="H19" s="190"/>
      <c r="I19" s="175"/>
      <c r="J19" s="191"/>
      <c r="K19" s="191"/>
      <c r="L19" s="191"/>
      <c r="M19" s="191"/>
      <c r="N19" s="175"/>
      <c r="O19" s="175"/>
    </row>
  </sheetData>
  <mergeCells count="2">
    <mergeCell ref="B7:L7"/>
    <mergeCell ref="B6:L6"/>
  </mergeCells>
  <phoneticPr fontId="3" type="noConversion"/>
  <conditionalFormatting sqref="B11:B14 I11:I14">
    <cfRule type="expression" dxfId="67" priority="332" stopIfTrue="1">
      <formula>#REF!&gt;0</formula>
    </cfRule>
  </conditionalFormatting>
  <conditionalFormatting sqref="K11:L14">
    <cfRule type="expression" dxfId="66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4.42578125" style="13" bestFit="1" customWidth="1"/>
    <col min="3" max="3" width="13.5703125" style="12" bestFit="1" customWidth="1"/>
    <col min="4" max="4" width="10.7109375" style="12" bestFit="1" customWidth="1"/>
    <col min="5" max="5" width="10" style="93" bestFit="1" customWidth="1"/>
    <col min="6" max="6" width="13.5703125" style="93" bestFit="1" customWidth="1"/>
    <col min="7" max="7" width="9.5703125" style="93" bestFit="1" customWidth="1"/>
    <col min="8" max="8" width="5.28515625" style="45" bestFit="1" customWidth="1"/>
    <col min="9" max="9" width="8.85546875" style="95" bestFit="1" customWidth="1"/>
    <col min="10" max="10" width="14.42578125" style="97" bestFit="1" customWidth="1"/>
    <col min="11" max="11" width="15.28515625" style="97" bestFit="1" customWidth="1"/>
    <col min="12" max="12" width="13.14062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153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234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28" t="s">
        <v>28</v>
      </c>
      <c r="C6" s="229"/>
      <c r="D6" s="229"/>
      <c r="E6" s="229"/>
      <c r="F6" s="229"/>
      <c r="G6" s="229"/>
      <c r="H6" s="229"/>
      <c r="I6" s="229"/>
      <c r="J6" s="229"/>
      <c r="K6" s="229"/>
      <c r="L6" s="230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31" t="s">
        <v>32</v>
      </c>
      <c r="C7" s="232"/>
      <c r="D7" s="232"/>
      <c r="E7" s="232"/>
      <c r="F7" s="232"/>
      <c r="G7" s="232"/>
      <c r="H7" s="232"/>
      <c r="I7" s="232"/>
      <c r="J7" s="232"/>
      <c r="K7" s="232"/>
      <c r="L7" s="233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17</v>
      </c>
      <c r="K8" s="38" t="s">
        <v>75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60" customFormat="1" ht="12.75" customHeight="1" thickBot="1" x14ac:dyDescent="0.25">
      <c r="B11" s="141" t="s">
        <v>56</v>
      </c>
      <c r="C11" s="101" t="s">
        <v>238</v>
      </c>
      <c r="D11" s="101" t="s">
        <v>238</v>
      </c>
      <c r="E11" s="142" t="s">
        <v>238</v>
      </c>
      <c r="F11" s="142" t="s">
        <v>238</v>
      </c>
      <c r="G11" s="143" t="s">
        <v>238</v>
      </c>
      <c r="H11" s="142" t="s">
        <v>238</v>
      </c>
      <c r="I11" s="150">
        <v>9.9999999999999995E-7</v>
      </c>
      <c r="J11" s="101" t="s">
        <v>238</v>
      </c>
      <c r="K11" s="101">
        <v>1</v>
      </c>
      <c r="L11" s="120">
        <v>0</v>
      </c>
    </row>
    <row r="12" spans="1:19" s="160" customFormat="1" x14ac:dyDescent="0.2">
      <c r="B12" s="131" t="s">
        <v>2925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76" t="s">
        <v>238</v>
      </c>
      <c r="H12" s="164" t="s">
        <v>238</v>
      </c>
      <c r="I12" s="165">
        <v>0</v>
      </c>
      <c r="J12" s="163" t="s">
        <v>238</v>
      </c>
      <c r="K12" s="163">
        <v>0</v>
      </c>
      <c r="L12" s="163">
        <v>0</v>
      </c>
    </row>
    <row r="13" spans="1:19" s="160" customFormat="1" x14ac:dyDescent="0.2">
      <c r="B13" s="132" t="s">
        <v>2406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78" t="s">
        <v>238</v>
      </c>
      <c r="H13" s="168" t="s">
        <v>238</v>
      </c>
      <c r="I13" s="169">
        <v>0</v>
      </c>
      <c r="J13" s="167" t="s">
        <v>238</v>
      </c>
      <c r="K13" s="167">
        <v>0</v>
      </c>
      <c r="L13" s="167">
        <v>0</v>
      </c>
    </row>
    <row r="14" spans="1:19" s="160" customFormat="1" x14ac:dyDescent="0.2">
      <c r="B14" s="132" t="s">
        <v>2926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78" t="s">
        <v>238</v>
      </c>
      <c r="H14" s="168" t="s">
        <v>238</v>
      </c>
      <c r="I14" s="169">
        <v>0</v>
      </c>
      <c r="J14" s="167" t="s">
        <v>238</v>
      </c>
      <c r="K14" s="167">
        <v>0</v>
      </c>
      <c r="L14" s="167">
        <v>0</v>
      </c>
    </row>
    <row r="15" spans="1:19" s="160" customFormat="1" x14ac:dyDescent="0.2">
      <c r="B15" s="132" t="s">
        <v>2927</v>
      </c>
      <c r="C15" s="167" t="s">
        <v>238</v>
      </c>
      <c r="D15" s="167" t="s">
        <v>238</v>
      </c>
      <c r="E15" s="168" t="s">
        <v>238</v>
      </c>
      <c r="F15" s="168" t="s">
        <v>238</v>
      </c>
      <c r="G15" s="178" t="s">
        <v>238</v>
      </c>
      <c r="H15" s="168" t="s">
        <v>238</v>
      </c>
      <c r="I15" s="169">
        <v>0</v>
      </c>
      <c r="J15" s="167" t="s">
        <v>238</v>
      </c>
      <c r="K15" s="167">
        <v>0</v>
      </c>
      <c r="L15" s="167">
        <v>0</v>
      </c>
    </row>
    <row r="16" spans="1:19" s="160" customFormat="1" x14ac:dyDescent="0.2">
      <c r="B16" s="132" t="s">
        <v>2414</v>
      </c>
      <c r="C16" s="167" t="s">
        <v>238</v>
      </c>
      <c r="D16" s="167" t="s">
        <v>238</v>
      </c>
      <c r="E16" s="168" t="s">
        <v>238</v>
      </c>
      <c r="F16" s="168" t="s">
        <v>238</v>
      </c>
      <c r="G16" s="178" t="s">
        <v>238</v>
      </c>
      <c r="H16" s="168" t="s">
        <v>238</v>
      </c>
      <c r="I16" s="169">
        <v>0</v>
      </c>
      <c r="J16" s="167" t="s">
        <v>238</v>
      </c>
      <c r="K16" s="167">
        <v>0</v>
      </c>
      <c r="L16" s="167">
        <v>0</v>
      </c>
    </row>
    <row r="17" spans="2:15" s="160" customFormat="1" x14ac:dyDescent="0.2">
      <c r="B17" s="132" t="s">
        <v>144</v>
      </c>
      <c r="C17" s="167" t="s">
        <v>238</v>
      </c>
      <c r="D17" s="167" t="s">
        <v>238</v>
      </c>
      <c r="E17" s="168" t="s">
        <v>238</v>
      </c>
      <c r="F17" s="168" t="s">
        <v>238</v>
      </c>
      <c r="G17" s="178" t="s">
        <v>238</v>
      </c>
      <c r="H17" s="168" t="s">
        <v>238</v>
      </c>
      <c r="I17" s="169">
        <v>0</v>
      </c>
      <c r="J17" s="167" t="s">
        <v>238</v>
      </c>
      <c r="K17" s="167">
        <v>0</v>
      </c>
      <c r="L17" s="167">
        <v>0</v>
      </c>
    </row>
    <row r="18" spans="2:15" s="160" customFormat="1" x14ac:dyDescent="0.2">
      <c r="B18" s="132" t="s">
        <v>2928</v>
      </c>
      <c r="C18" s="167" t="s">
        <v>238</v>
      </c>
      <c r="D18" s="167" t="s">
        <v>238</v>
      </c>
      <c r="E18" s="168" t="s">
        <v>238</v>
      </c>
      <c r="F18" s="168" t="s">
        <v>238</v>
      </c>
      <c r="G18" s="178" t="s">
        <v>238</v>
      </c>
      <c r="H18" s="168" t="s">
        <v>238</v>
      </c>
      <c r="I18" s="169">
        <v>0</v>
      </c>
      <c r="J18" s="167" t="s">
        <v>238</v>
      </c>
      <c r="K18" s="167">
        <v>0</v>
      </c>
      <c r="L18" s="167">
        <v>0</v>
      </c>
    </row>
    <row r="19" spans="2:15" s="160" customFormat="1" x14ac:dyDescent="0.2">
      <c r="B19" s="132" t="s">
        <v>2406</v>
      </c>
      <c r="C19" s="167" t="s">
        <v>238</v>
      </c>
      <c r="D19" s="167" t="s">
        <v>238</v>
      </c>
      <c r="E19" s="168" t="s">
        <v>238</v>
      </c>
      <c r="F19" s="168" t="s">
        <v>238</v>
      </c>
      <c r="G19" s="178" t="s">
        <v>238</v>
      </c>
      <c r="H19" s="168" t="s">
        <v>238</v>
      </c>
      <c r="I19" s="169">
        <v>0</v>
      </c>
      <c r="J19" s="167" t="s">
        <v>238</v>
      </c>
      <c r="K19" s="167">
        <v>0</v>
      </c>
      <c r="L19" s="167">
        <v>0</v>
      </c>
    </row>
    <row r="20" spans="2:15" s="160" customFormat="1" x14ac:dyDescent="0.2">
      <c r="B20" s="132" t="s">
        <v>2429</v>
      </c>
      <c r="C20" s="167" t="s">
        <v>238</v>
      </c>
      <c r="D20" s="167" t="s">
        <v>238</v>
      </c>
      <c r="E20" s="168" t="s">
        <v>238</v>
      </c>
      <c r="F20" s="168" t="s">
        <v>238</v>
      </c>
      <c r="G20" s="178" t="s">
        <v>238</v>
      </c>
      <c r="H20" s="168" t="s">
        <v>238</v>
      </c>
      <c r="I20" s="169">
        <v>0</v>
      </c>
      <c r="J20" s="167" t="s">
        <v>238</v>
      </c>
      <c r="K20" s="167">
        <v>0</v>
      </c>
      <c r="L20" s="167">
        <v>0</v>
      </c>
    </row>
    <row r="21" spans="2:15" s="160" customFormat="1" x14ac:dyDescent="0.2">
      <c r="B21" s="132" t="s">
        <v>2414</v>
      </c>
      <c r="C21" s="167" t="s">
        <v>238</v>
      </c>
      <c r="D21" s="167" t="s">
        <v>238</v>
      </c>
      <c r="E21" s="168" t="s">
        <v>238</v>
      </c>
      <c r="F21" s="168" t="s">
        <v>238</v>
      </c>
      <c r="G21" s="178" t="s">
        <v>238</v>
      </c>
      <c r="H21" s="168" t="s">
        <v>238</v>
      </c>
      <c r="I21" s="169">
        <v>0</v>
      </c>
      <c r="J21" s="167" t="s">
        <v>238</v>
      </c>
      <c r="K21" s="167">
        <v>0</v>
      </c>
      <c r="L21" s="167">
        <v>0</v>
      </c>
    </row>
    <row r="22" spans="2:15" s="160" customFormat="1" x14ac:dyDescent="0.2">
      <c r="B22" s="132" t="s">
        <v>2430</v>
      </c>
      <c r="C22" s="167" t="s">
        <v>238</v>
      </c>
      <c r="D22" s="167" t="s">
        <v>238</v>
      </c>
      <c r="E22" s="168" t="s">
        <v>238</v>
      </c>
      <c r="F22" s="168" t="s">
        <v>238</v>
      </c>
      <c r="G22" s="178" t="s">
        <v>238</v>
      </c>
      <c r="H22" s="168" t="s">
        <v>238</v>
      </c>
      <c r="I22" s="169">
        <v>0</v>
      </c>
      <c r="J22" s="167" t="s">
        <v>238</v>
      </c>
      <c r="K22" s="167">
        <v>0</v>
      </c>
      <c r="L22" s="167">
        <v>0</v>
      </c>
    </row>
    <row r="23" spans="2:15" s="160" customFormat="1" x14ac:dyDescent="0.2">
      <c r="B23" s="132" t="s">
        <v>144</v>
      </c>
      <c r="C23" s="167" t="s">
        <v>238</v>
      </c>
      <c r="D23" s="167" t="s">
        <v>238</v>
      </c>
      <c r="E23" s="168" t="s">
        <v>238</v>
      </c>
      <c r="F23" s="168" t="s">
        <v>238</v>
      </c>
      <c r="G23" s="178" t="s">
        <v>238</v>
      </c>
      <c r="H23" s="168" t="s">
        <v>238</v>
      </c>
      <c r="I23" s="169">
        <v>0</v>
      </c>
      <c r="J23" s="167" t="s">
        <v>238</v>
      </c>
      <c r="K23" s="167">
        <v>0</v>
      </c>
      <c r="L23" s="167">
        <v>0</v>
      </c>
    </row>
    <row r="24" spans="2:15" s="160" customFormat="1" x14ac:dyDescent="0.2">
      <c r="B24" s="114" t="s">
        <v>227</v>
      </c>
      <c r="C24" s="170"/>
      <c r="D24" s="170"/>
      <c r="E24" s="171"/>
      <c r="F24" s="171"/>
      <c r="G24" s="171"/>
      <c r="H24" s="172"/>
      <c r="I24" s="173"/>
      <c r="J24" s="174"/>
      <c r="K24" s="174"/>
      <c r="L24" s="174"/>
      <c r="M24" s="191"/>
      <c r="N24" s="175"/>
      <c r="O24" s="175"/>
    </row>
    <row r="25" spans="2:15" s="160" customFormat="1" x14ac:dyDescent="0.2">
      <c r="B25" s="114" t="s">
        <v>228</v>
      </c>
      <c r="C25" s="170"/>
      <c r="D25" s="170"/>
      <c r="E25" s="171"/>
      <c r="F25" s="171"/>
      <c r="G25" s="171"/>
      <c r="H25" s="172"/>
      <c r="I25" s="173"/>
      <c r="J25" s="174"/>
      <c r="K25" s="174"/>
      <c r="L25" s="174"/>
      <c r="M25" s="191"/>
      <c r="N25" s="175"/>
      <c r="O25" s="175"/>
    </row>
    <row r="26" spans="2:15" s="160" customFormat="1" x14ac:dyDescent="0.2">
      <c r="B26" s="114" t="s">
        <v>229</v>
      </c>
      <c r="C26" s="170"/>
      <c r="D26" s="170"/>
      <c r="E26" s="171"/>
      <c r="F26" s="171"/>
      <c r="G26" s="171"/>
      <c r="H26" s="172"/>
      <c r="I26" s="173"/>
      <c r="J26" s="174"/>
      <c r="K26" s="174"/>
      <c r="L26" s="174"/>
      <c r="M26" s="191"/>
      <c r="N26" s="175"/>
      <c r="O26" s="175"/>
    </row>
    <row r="27" spans="2:15" s="160" customFormat="1" x14ac:dyDescent="0.2">
      <c r="B27" s="114" t="s">
        <v>230</v>
      </c>
      <c r="C27" s="170"/>
      <c r="D27" s="170"/>
      <c r="E27" s="171"/>
      <c r="F27" s="171"/>
      <c r="G27" s="171"/>
      <c r="H27" s="172"/>
      <c r="I27" s="173"/>
      <c r="J27" s="174"/>
      <c r="K27" s="174"/>
      <c r="L27" s="174"/>
      <c r="M27" s="191"/>
      <c r="N27" s="175"/>
      <c r="O27" s="175"/>
    </row>
    <row r="28" spans="2:15" s="160" customFormat="1" x14ac:dyDescent="0.2">
      <c r="B28" s="114" t="s">
        <v>231</v>
      </c>
      <c r="C28" s="170"/>
      <c r="D28" s="170"/>
      <c r="E28" s="171"/>
      <c r="F28" s="171"/>
      <c r="G28" s="171"/>
      <c r="H28" s="172"/>
      <c r="I28" s="173"/>
      <c r="J28" s="174"/>
      <c r="K28" s="174"/>
      <c r="L28" s="174"/>
      <c r="M28" s="191"/>
      <c r="N28" s="175"/>
      <c r="O28" s="175"/>
    </row>
  </sheetData>
  <mergeCells count="2">
    <mergeCell ref="B7:L7"/>
    <mergeCell ref="B6:L6"/>
  </mergeCells>
  <phoneticPr fontId="3" type="noConversion"/>
  <conditionalFormatting sqref="K12:L23 C12:F23">
    <cfRule type="expression" dxfId="65" priority="338" stopIfTrue="1">
      <formula>OR(LEFT(#REF!,3)="TIR",LEFT(#REF!,2)="IR")</formula>
    </cfRule>
  </conditionalFormatting>
  <conditionalFormatting sqref="B12:B23 I12:I23">
    <cfRule type="expression" dxfId="64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65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8.5703125" style="13" bestFit="1" customWidth="1"/>
    <col min="3" max="3" width="12.7109375" style="12" bestFit="1" customWidth="1"/>
    <col min="4" max="4" width="10" style="13" bestFit="1" customWidth="1"/>
    <col min="5" max="5" width="11.85546875" style="93" bestFit="1" customWidth="1"/>
    <col min="6" max="6" width="12.7109375" style="93" bestFit="1" customWidth="1"/>
    <col min="7" max="7" width="15.42578125" style="93" bestFit="1" customWidth="1"/>
    <col min="8" max="8" width="6.7109375" style="45" bestFit="1" customWidth="1"/>
    <col min="9" max="9" width="10.85546875" style="95" bestFit="1" customWidth="1"/>
    <col min="10" max="10" width="15.28515625" style="95" bestFit="1" customWidth="1"/>
    <col min="11" max="11" width="19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153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234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28" t="s">
        <v>28</v>
      </c>
      <c r="C6" s="229"/>
      <c r="D6" s="229"/>
      <c r="E6" s="229"/>
      <c r="F6" s="229"/>
      <c r="G6" s="229"/>
      <c r="H6" s="229"/>
      <c r="I6" s="229"/>
      <c r="J6" s="229"/>
      <c r="K6" s="230"/>
      <c r="L6" s="17"/>
      <c r="M6" s="17"/>
      <c r="N6" s="16"/>
      <c r="O6" s="16"/>
      <c r="P6" s="16"/>
    </row>
    <row r="7" spans="1:16" s="10" customFormat="1" x14ac:dyDescent="0.2">
      <c r="B7" s="231" t="s">
        <v>33</v>
      </c>
      <c r="C7" s="232"/>
      <c r="D7" s="232"/>
      <c r="E7" s="232"/>
      <c r="F7" s="232"/>
      <c r="G7" s="232"/>
      <c r="H7" s="232"/>
      <c r="I7" s="232"/>
      <c r="J7" s="232"/>
      <c r="K7" s="233"/>
      <c r="L7" s="17"/>
      <c r="M7" s="17"/>
      <c r="N7" s="16"/>
      <c r="O7" s="16"/>
      <c r="P7" s="16"/>
    </row>
    <row r="8" spans="1:16" s="10" customFormat="1" ht="25.5" x14ac:dyDescent="0.2">
      <c r="B8" s="9" t="s">
        <v>219</v>
      </c>
      <c r="C8" s="4" t="s">
        <v>69</v>
      </c>
      <c r="D8" s="4" t="s">
        <v>19</v>
      </c>
      <c r="E8" s="4" t="s">
        <v>6</v>
      </c>
      <c r="F8" s="4" t="s">
        <v>13</v>
      </c>
      <c r="G8" s="5" t="s">
        <v>67</v>
      </c>
      <c r="H8" s="5" t="s">
        <v>68</v>
      </c>
      <c r="I8" s="5" t="s">
        <v>29</v>
      </c>
      <c r="J8" s="38" t="s">
        <v>75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136</v>
      </c>
      <c r="H9" s="2"/>
      <c r="I9" s="2" t="s">
        <v>138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60" customFormat="1" ht="12.75" customHeight="1" thickBot="1" x14ac:dyDescent="0.25">
      <c r="B11" s="141" t="s">
        <v>62</v>
      </c>
      <c r="C11" s="101"/>
      <c r="D11" s="101"/>
      <c r="E11" s="142"/>
      <c r="F11" s="142"/>
      <c r="G11" s="143"/>
      <c r="H11" s="142"/>
      <c r="I11" s="144">
        <v>39862.042399855476</v>
      </c>
      <c r="J11" s="101">
        <v>1</v>
      </c>
      <c r="K11" s="120">
        <v>3.3756985331731023E-3</v>
      </c>
    </row>
    <row r="12" spans="1:16" s="160" customFormat="1" x14ac:dyDescent="0.2">
      <c r="B12" s="131" t="s">
        <v>2929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76" t="s">
        <v>238</v>
      </c>
      <c r="H12" s="164" t="s">
        <v>238</v>
      </c>
      <c r="I12" s="165">
        <v>34418.175876196656</v>
      </c>
      <c r="J12" s="163">
        <v>0.86343232318476071</v>
      </c>
      <c r="K12" s="163">
        <v>2.9146872268690414E-3</v>
      </c>
    </row>
    <row r="13" spans="1:16" s="160" customFormat="1" x14ac:dyDescent="0.2">
      <c r="B13" s="132" t="s">
        <v>2406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78" t="s">
        <v>238</v>
      </c>
      <c r="H13" s="168" t="s">
        <v>238</v>
      </c>
      <c r="I13" s="169">
        <v>0</v>
      </c>
      <c r="J13" s="167">
        <v>0</v>
      </c>
      <c r="K13" s="167">
        <v>0</v>
      </c>
    </row>
    <row r="14" spans="1:16" s="160" customFormat="1" x14ac:dyDescent="0.2">
      <c r="B14" s="132" t="s">
        <v>2414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78" t="s">
        <v>238</v>
      </c>
      <c r="H14" s="168" t="s">
        <v>238</v>
      </c>
      <c r="I14" s="169">
        <v>12868.3546501</v>
      </c>
      <c r="J14" s="167">
        <v>0.32282226086204391</v>
      </c>
      <c r="K14" s="167">
        <v>1.0897506324676262E-3</v>
      </c>
    </row>
    <row r="15" spans="1:16" x14ac:dyDescent="0.2">
      <c r="B15" s="23" t="s">
        <v>2930</v>
      </c>
      <c r="C15" s="32" t="s">
        <v>2931</v>
      </c>
      <c r="D15" s="32" t="s">
        <v>191</v>
      </c>
      <c r="E15" s="94" t="s">
        <v>244</v>
      </c>
      <c r="F15" s="94" t="s">
        <v>2932</v>
      </c>
      <c r="G15" s="103">
        <v>-24750000</v>
      </c>
      <c r="H15" s="94">
        <v>100.0001</v>
      </c>
      <c r="I15" s="124">
        <v>-24750.028710000002</v>
      </c>
      <c r="J15" s="32">
        <v>-0.62089213748088667</v>
      </c>
      <c r="K15" s="32">
        <v>-2.0959446777529416E-3</v>
      </c>
      <c r="L15" s="18"/>
      <c r="M15" s="18"/>
      <c r="N15" s="18"/>
      <c r="O15" s="18"/>
    </row>
    <row r="16" spans="1:16" x14ac:dyDescent="0.2">
      <c r="B16" s="23" t="s">
        <v>2933</v>
      </c>
      <c r="C16" s="32" t="s">
        <v>2934</v>
      </c>
      <c r="D16" s="32" t="s">
        <v>191</v>
      </c>
      <c r="E16" s="94" t="s">
        <v>244</v>
      </c>
      <c r="F16" s="94" t="s">
        <v>2935</v>
      </c>
      <c r="G16" s="103">
        <v>-8250000</v>
      </c>
      <c r="H16" s="94">
        <v>99.999799999999993</v>
      </c>
      <c r="I16" s="124">
        <v>-8249.9906699999992</v>
      </c>
      <c r="J16" s="32">
        <v>-0.2069635716916981</v>
      </c>
      <c r="K16" s="32">
        <v>-6.9864662537993158E-4</v>
      </c>
      <c r="L16" s="18"/>
      <c r="M16" s="18"/>
      <c r="N16" s="18"/>
      <c r="O16" s="18"/>
    </row>
    <row r="17" spans="2:15" x14ac:dyDescent="0.2">
      <c r="B17" s="23" t="s">
        <v>2936</v>
      </c>
      <c r="C17" s="32" t="s">
        <v>2937</v>
      </c>
      <c r="D17" s="32" t="s">
        <v>191</v>
      </c>
      <c r="E17" s="94" t="s">
        <v>244</v>
      </c>
      <c r="F17" s="94" t="s">
        <v>2938</v>
      </c>
      <c r="G17" s="103">
        <v>-16000000</v>
      </c>
      <c r="H17" s="94">
        <v>100.02509999999999</v>
      </c>
      <c r="I17" s="124">
        <v>-16004.02032</v>
      </c>
      <c r="J17" s="32">
        <v>-0.40148520638917445</v>
      </c>
      <c r="K17" s="32">
        <v>-1.3552930222986365E-3</v>
      </c>
      <c r="L17" s="18"/>
      <c r="M17" s="18"/>
      <c r="N17" s="18"/>
      <c r="O17" s="18"/>
    </row>
    <row r="18" spans="2:15" x14ac:dyDescent="0.2">
      <c r="B18" s="23" t="s">
        <v>2939</v>
      </c>
      <c r="C18" s="32" t="s">
        <v>2940</v>
      </c>
      <c r="D18" s="32" t="s">
        <v>191</v>
      </c>
      <c r="E18" s="94" t="s">
        <v>244</v>
      </c>
      <c r="F18" s="94" t="s">
        <v>2938</v>
      </c>
      <c r="G18" s="103">
        <v>-8000000</v>
      </c>
      <c r="H18" s="94">
        <v>100.02509999999999</v>
      </c>
      <c r="I18" s="124">
        <v>-8002.0101599999998</v>
      </c>
      <c r="J18" s="32">
        <v>-0.20074260319458723</v>
      </c>
      <c r="K18" s="32">
        <v>-6.7764651114931825E-4</v>
      </c>
      <c r="L18" s="18"/>
      <c r="M18" s="18"/>
      <c r="N18" s="18"/>
      <c r="O18" s="18"/>
    </row>
    <row r="19" spans="2:15" x14ac:dyDescent="0.2">
      <c r="B19" s="23" t="s">
        <v>2941</v>
      </c>
      <c r="C19" s="32" t="s">
        <v>2942</v>
      </c>
      <c r="D19" s="32" t="s">
        <v>191</v>
      </c>
      <c r="E19" s="94" t="s">
        <v>244</v>
      </c>
      <c r="F19" s="94" t="s">
        <v>2943</v>
      </c>
      <c r="G19" s="103">
        <v>-16000000</v>
      </c>
      <c r="H19" s="94">
        <v>100.02379999999999</v>
      </c>
      <c r="I19" s="124">
        <v>-16003.81776</v>
      </c>
      <c r="J19" s="32">
        <v>-0.40148012486329654</v>
      </c>
      <c r="K19" s="32">
        <v>-1.3552758685991843E-3</v>
      </c>
      <c r="L19" s="18"/>
      <c r="M19" s="18"/>
      <c r="N19" s="18"/>
      <c r="O19" s="18"/>
    </row>
    <row r="20" spans="2:15" x14ac:dyDescent="0.2">
      <c r="B20" s="23" t="s">
        <v>2944</v>
      </c>
      <c r="C20" s="32" t="s">
        <v>2945</v>
      </c>
      <c r="D20" s="32" t="s">
        <v>191</v>
      </c>
      <c r="E20" s="94" t="s">
        <v>244</v>
      </c>
      <c r="F20" s="94" t="s">
        <v>556</v>
      </c>
      <c r="G20" s="103">
        <v>-8000000</v>
      </c>
      <c r="H20" s="94">
        <v>100.0177</v>
      </c>
      <c r="I20" s="124">
        <v>-8001.4226399999998</v>
      </c>
      <c r="J20" s="32">
        <v>-0.20072786436123527</v>
      </c>
      <c r="K20" s="32">
        <v>-6.7759675729119138E-4</v>
      </c>
      <c r="L20" s="18"/>
      <c r="M20" s="18"/>
      <c r="N20" s="18"/>
      <c r="O20" s="18"/>
    </row>
    <row r="21" spans="2:15" x14ac:dyDescent="0.2">
      <c r="B21" s="23" t="s">
        <v>2946</v>
      </c>
      <c r="C21" s="32" t="s">
        <v>2947</v>
      </c>
      <c r="D21" s="32" t="s">
        <v>191</v>
      </c>
      <c r="E21" s="94" t="s">
        <v>244</v>
      </c>
      <c r="F21" s="94" t="s">
        <v>556</v>
      </c>
      <c r="G21" s="103">
        <v>-8000000</v>
      </c>
      <c r="H21" s="94">
        <v>100.0177</v>
      </c>
      <c r="I21" s="124">
        <v>-8001.4226399999998</v>
      </c>
      <c r="J21" s="32">
        <v>-0.20072786436123527</v>
      </c>
      <c r="K21" s="32">
        <v>-6.7759675729119138E-4</v>
      </c>
      <c r="L21" s="18"/>
      <c r="M21" s="18"/>
      <c r="N21" s="18"/>
      <c r="O21" s="18"/>
    </row>
    <row r="22" spans="2:15" x14ac:dyDescent="0.2">
      <c r="B22" s="23" t="s">
        <v>2948</v>
      </c>
      <c r="C22" s="32" t="s">
        <v>2949</v>
      </c>
      <c r="D22" s="32" t="s">
        <v>191</v>
      </c>
      <c r="E22" s="94" t="s">
        <v>244</v>
      </c>
      <c r="F22" s="94" t="s">
        <v>2932</v>
      </c>
      <c r="G22" s="103">
        <v>24750000</v>
      </c>
      <c r="H22" s="94">
        <v>114.71259999999999</v>
      </c>
      <c r="I22" s="124">
        <v>28391.374929999998</v>
      </c>
      <c r="J22" s="32">
        <v>0.71224084920703745</v>
      </c>
      <c r="K22" s="32">
        <v>2.4043103899341611E-3</v>
      </c>
      <c r="L22" s="18"/>
      <c r="M22" s="18"/>
      <c r="N22" s="18"/>
      <c r="O22" s="18"/>
    </row>
    <row r="23" spans="2:15" x14ac:dyDescent="0.2">
      <c r="B23" s="23" t="s">
        <v>2950</v>
      </c>
      <c r="C23" s="32" t="s">
        <v>2951</v>
      </c>
      <c r="D23" s="32" t="s">
        <v>191</v>
      </c>
      <c r="E23" s="94" t="s">
        <v>244</v>
      </c>
      <c r="F23" s="94" t="s">
        <v>2935</v>
      </c>
      <c r="G23" s="103">
        <v>8250000</v>
      </c>
      <c r="H23" s="94">
        <v>114.3124</v>
      </c>
      <c r="I23" s="124">
        <v>9430.7790999999997</v>
      </c>
      <c r="J23" s="32">
        <v>0.23658544651074354</v>
      </c>
      <c r="K23" s="32">
        <v>7.986411447564205E-4</v>
      </c>
      <c r="L23" s="18"/>
      <c r="M23" s="18"/>
      <c r="N23" s="18"/>
      <c r="O23" s="18"/>
    </row>
    <row r="24" spans="2:15" x14ac:dyDescent="0.2">
      <c r="B24" s="23" t="s">
        <v>2952</v>
      </c>
      <c r="C24" s="32" t="s">
        <v>2953</v>
      </c>
      <c r="D24" s="32" t="s">
        <v>191</v>
      </c>
      <c r="E24" s="94" t="s">
        <v>244</v>
      </c>
      <c r="F24" s="94" t="s">
        <v>2938</v>
      </c>
      <c r="G24" s="103">
        <v>16000000</v>
      </c>
      <c r="H24" s="94">
        <v>114.49469999999999</v>
      </c>
      <c r="I24" s="124">
        <v>18319.167839999998</v>
      </c>
      <c r="J24" s="32">
        <v>0.4595642053721366</v>
      </c>
      <c r="K24" s="32">
        <v>1.5513502139735838E-3</v>
      </c>
      <c r="L24" s="18"/>
      <c r="M24" s="18"/>
      <c r="N24" s="18"/>
      <c r="O24" s="18"/>
    </row>
    <row r="25" spans="2:15" x14ac:dyDescent="0.2">
      <c r="B25" s="23" t="s">
        <v>2954</v>
      </c>
      <c r="C25" s="32" t="s">
        <v>2955</v>
      </c>
      <c r="D25" s="32" t="s">
        <v>191</v>
      </c>
      <c r="E25" s="94" t="s">
        <v>244</v>
      </c>
      <c r="F25" s="94" t="s">
        <v>2938</v>
      </c>
      <c r="G25" s="103">
        <v>8000000</v>
      </c>
      <c r="H25" s="94">
        <v>114.5196</v>
      </c>
      <c r="I25" s="124">
        <v>9161.5743199999997</v>
      </c>
      <c r="J25" s="32">
        <v>0.22983203489927589</v>
      </c>
      <c r="K25" s="32">
        <v>7.7584366308567493E-4</v>
      </c>
      <c r="L25" s="18"/>
      <c r="M25" s="18"/>
      <c r="N25" s="18"/>
      <c r="O25" s="18"/>
    </row>
    <row r="26" spans="2:15" x14ac:dyDescent="0.2">
      <c r="B26" s="23" t="s">
        <v>2956</v>
      </c>
      <c r="C26" s="32" t="s">
        <v>2957</v>
      </c>
      <c r="D26" s="32" t="s">
        <v>191</v>
      </c>
      <c r="E26" s="94" t="s">
        <v>244</v>
      </c>
      <c r="F26" s="94" t="s">
        <v>2943</v>
      </c>
      <c r="G26" s="103">
        <v>16000000</v>
      </c>
      <c r="H26" s="94">
        <v>114.59229999999999</v>
      </c>
      <c r="I26" s="124">
        <v>18334.780159999998</v>
      </c>
      <c r="J26" s="32">
        <v>0.45995586417986634</v>
      </c>
      <c r="K26" s="32">
        <v>1.5526723360363415E-3</v>
      </c>
      <c r="L26" s="18"/>
      <c r="M26" s="18"/>
      <c r="N26" s="18"/>
      <c r="O26" s="18"/>
    </row>
    <row r="27" spans="2:15" x14ac:dyDescent="0.2">
      <c r="B27" s="23" t="s">
        <v>2958</v>
      </c>
      <c r="C27" s="32" t="s">
        <v>2959</v>
      </c>
      <c r="D27" s="32" t="s">
        <v>191</v>
      </c>
      <c r="E27" s="94" t="s">
        <v>244</v>
      </c>
      <c r="F27" s="94" t="s">
        <v>556</v>
      </c>
      <c r="G27" s="103">
        <v>8000000</v>
      </c>
      <c r="H27" s="94">
        <v>113.99630000000001</v>
      </c>
      <c r="I27" s="124">
        <v>9119.7054399999997</v>
      </c>
      <c r="J27" s="32">
        <v>0.22878169032385212</v>
      </c>
      <c r="K27" s="32">
        <v>7.7229801644309063E-4</v>
      </c>
      <c r="L27" s="18"/>
      <c r="M27" s="18"/>
      <c r="N27" s="18"/>
      <c r="O27" s="18"/>
    </row>
    <row r="28" spans="2:15" x14ac:dyDescent="0.2">
      <c r="B28" s="23" t="s">
        <v>2960</v>
      </c>
      <c r="C28" s="32" t="s">
        <v>2961</v>
      </c>
      <c r="D28" s="32" t="s">
        <v>191</v>
      </c>
      <c r="E28" s="94" t="s">
        <v>244</v>
      </c>
      <c r="F28" s="94" t="s">
        <v>556</v>
      </c>
      <c r="G28" s="103">
        <v>8000000</v>
      </c>
      <c r="H28" s="94">
        <v>114.04600000000001</v>
      </c>
      <c r="I28" s="124">
        <v>9123.6857600000003</v>
      </c>
      <c r="J28" s="32">
        <v>0.22888154270873681</v>
      </c>
      <c r="K28" s="32">
        <v>7.7263508799227973E-4</v>
      </c>
      <c r="L28" s="18"/>
      <c r="M28" s="18"/>
      <c r="N28" s="18"/>
      <c r="O28" s="18"/>
    </row>
    <row r="29" spans="2:15" s="160" customFormat="1" x14ac:dyDescent="0.2">
      <c r="B29" s="132" t="s">
        <v>2962</v>
      </c>
      <c r="C29" s="167" t="s">
        <v>238</v>
      </c>
      <c r="D29" s="167" t="s">
        <v>238</v>
      </c>
      <c r="E29" s="168" t="s">
        <v>238</v>
      </c>
      <c r="F29" s="168" t="s">
        <v>238</v>
      </c>
      <c r="G29" s="178" t="s">
        <v>238</v>
      </c>
      <c r="H29" s="168" t="s">
        <v>238</v>
      </c>
      <c r="I29" s="169">
        <v>0</v>
      </c>
      <c r="J29" s="167">
        <v>0</v>
      </c>
      <c r="K29" s="167">
        <v>0</v>
      </c>
    </row>
    <row r="30" spans="2:15" s="160" customFormat="1" x14ac:dyDescent="0.2">
      <c r="B30" s="132" t="s">
        <v>2927</v>
      </c>
      <c r="C30" s="167" t="s">
        <v>238</v>
      </c>
      <c r="D30" s="167" t="s">
        <v>238</v>
      </c>
      <c r="E30" s="168" t="s">
        <v>238</v>
      </c>
      <c r="F30" s="168" t="s">
        <v>238</v>
      </c>
      <c r="G30" s="178" t="s">
        <v>238</v>
      </c>
      <c r="H30" s="168" t="s">
        <v>238</v>
      </c>
      <c r="I30" s="169">
        <v>-293.96288272500317</v>
      </c>
      <c r="J30" s="167">
        <v>-7.3745062979028121E-3</v>
      </c>
      <c r="K30" s="167">
        <v>-2.489411009270633E-5</v>
      </c>
    </row>
    <row r="31" spans="2:15" x14ac:dyDescent="0.2">
      <c r="B31" s="23" t="s">
        <v>2963</v>
      </c>
      <c r="C31" s="32" t="s">
        <v>3003</v>
      </c>
      <c r="D31" s="32" t="s">
        <v>191</v>
      </c>
      <c r="E31" s="94" t="s">
        <v>128</v>
      </c>
      <c r="F31" s="94" t="s">
        <v>3004</v>
      </c>
      <c r="G31" s="103">
        <v>4500000</v>
      </c>
      <c r="H31" s="94">
        <v>1.0004</v>
      </c>
      <c r="I31" s="124">
        <v>17459.54393</v>
      </c>
      <c r="J31" s="32">
        <v>0.43799923132045288</v>
      </c>
      <c r="K31" s="32">
        <v>1.478553362699399E-3</v>
      </c>
      <c r="L31" s="18"/>
      <c r="M31" s="18"/>
      <c r="N31" s="18"/>
      <c r="O31" s="18"/>
    </row>
    <row r="32" spans="2:15" x14ac:dyDescent="0.2">
      <c r="B32" s="23" t="s">
        <v>2966</v>
      </c>
      <c r="C32" s="32" t="s">
        <v>3005</v>
      </c>
      <c r="D32" s="32" t="s">
        <v>191</v>
      </c>
      <c r="E32" s="94" t="s">
        <v>127</v>
      </c>
      <c r="F32" s="94" t="s">
        <v>3004</v>
      </c>
      <c r="G32" s="103">
        <v>-5019390</v>
      </c>
      <c r="H32" s="94">
        <v>0.99960000000000004</v>
      </c>
      <c r="I32" s="124">
        <v>-17340.71487</v>
      </c>
      <c r="J32" s="32">
        <v>-0.43501822350334135</v>
      </c>
      <c r="K32" s="32">
        <v>-1.4684903789837981E-3</v>
      </c>
      <c r="L32" s="18"/>
      <c r="M32" s="18"/>
      <c r="N32" s="18"/>
      <c r="O32" s="18"/>
    </row>
    <row r="33" spans="2:15" x14ac:dyDescent="0.2">
      <c r="B33" s="23" t="s">
        <v>2963</v>
      </c>
      <c r="C33" s="32" t="s">
        <v>2964</v>
      </c>
      <c r="D33" s="32" t="s">
        <v>191</v>
      </c>
      <c r="E33" s="94" t="s">
        <v>128</v>
      </c>
      <c r="F33" s="94" t="s">
        <v>2965</v>
      </c>
      <c r="G33" s="103">
        <v>1427223.3084823617</v>
      </c>
      <c r="H33" s="94">
        <v>1.0004</v>
      </c>
      <c r="I33" s="124">
        <v>5537.481789842368</v>
      </c>
      <c r="J33" s="32">
        <v>0.13891615824136608</v>
      </c>
      <c r="K33" s="32">
        <v>4.6893907160942209E-4</v>
      </c>
      <c r="L33" s="18"/>
      <c r="M33" s="18"/>
      <c r="N33" s="18"/>
      <c r="O33" s="18"/>
    </row>
    <row r="34" spans="2:15" x14ac:dyDescent="0.2">
      <c r="B34" s="23" t="s">
        <v>2966</v>
      </c>
      <c r="C34" s="32" t="s">
        <v>2967</v>
      </c>
      <c r="D34" s="32" t="s">
        <v>191</v>
      </c>
      <c r="E34" s="94" t="s">
        <v>127</v>
      </c>
      <c r="F34" s="94" t="s">
        <v>2965</v>
      </c>
      <c r="G34" s="103">
        <v>-1634399.0439416612</v>
      </c>
      <c r="H34" s="94">
        <v>0.99960000000000004</v>
      </c>
      <c r="I34" s="124">
        <v>-5646.4326962017358</v>
      </c>
      <c r="J34" s="32">
        <v>-0.14164935754075178</v>
      </c>
      <c r="K34" s="32">
        <v>-4.7816552847522811E-4</v>
      </c>
      <c r="L34" s="18"/>
      <c r="M34" s="18"/>
      <c r="N34" s="18"/>
      <c r="O34" s="18"/>
    </row>
    <row r="35" spans="2:15" x14ac:dyDescent="0.2">
      <c r="B35" s="23" t="s">
        <v>2966</v>
      </c>
      <c r="C35" s="32" t="s">
        <v>2968</v>
      </c>
      <c r="D35" s="32" t="s">
        <v>191</v>
      </c>
      <c r="E35" s="94" t="s">
        <v>127</v>
      </c>
      <c r="F35" s="94" t="s">
        <v>2969</v>
      </c>
      <c r="G35" s="103">
        <v>281913.64700060064</v>
      </c>
      <c r="H35" s="94">
        <v>0.99960000000000004</v>
      </c>
      <c r="I35" s="124">
        <v>973.93989532678518</v>
      </c>
      <c r="J35" s="32">
        <v>2.4432764522128857E-2</v>
      </c>
      <c r="K35" s="32">
        <v>8.2477647358714204E-5</v>
      </c>
      <c r="L35" s="18"/>
      <c r="M35" s="18"/>
      <c r="N35" s="18"/>
      <c r="O35" s="18"/>
    </row>
    <row r="36" spans="2:15" x14ac:dyDescent="0.2">
      <c r="B36" s="23" t="s">
        <v>2963</v>
      </c>
      <c r="C36" s="32" t="s">
        <v>2970</v>
      </c>
      <c r="D36" s="32" t="s">
        <v>191</v>
      </c>
      <c r="E36" s="94" t="s">
        <v>128</v>
      </c>
      <c r="F36" s="94" t="s">
        <v>2969</v>
      </c>
      <c r="G36" s="103">
        <v>-247320.87606534135</v>
      </c>
      <c r="H36" s="94">
        <v>1.0004</v>
      </c>
      <c r="I36" s="124">
        <v>-959.57993352644235</v>
      </c>
      <c r="J36" s="32">
        <v>-2.407252302581268E-2</v>
      </c>
      <c r="K36" s="32">
        <v>-8.1261580668011592E-5</v>
      </c>
      <c r="L36" s="18"/>
      <c r="M36" s="18"/>
      <c r="N36" s="18"/>
      <c r="O36" s="18"/>
    </row>
    <row r="37" spans="2:15" x14ac:dyDescent="0.2">
      <c r="B37" s="23" t="s">
        <v>2963</v>
      </c>
      <c r="C37" s="32" t="s">
        <v>2971</v>
      </c>
      <c r="D37" s="32" t="s">
        <v>191</v>
      </c>
      <c r="E37" s="94" t="s">
        <v>128</v>
      </c>
      <c r="F37" s="94" t="s">
        <v>2972</v>
      </c>
      <c r="G37" s="103">
        <v>109112.15120529765</v>
      </c>
      <c r="H37" s="94">
        <v>1.0004</v>
      </c>
      <c r="I37" s="124">
        <v>423.34408816003025</v>
      </c>
      <c r="J37" s="32">
        <v>1.0620230742656707E-2</v>
      </c>
      <c r="K37" s="32">
        <v>3.5850697339946134E-5</v>
      </c>
      <c r="L37" s="18"/>
      <c r="M37" s="18"/>
      <c r="N37" s="18"/>
      <c r="O37" s="18"/>
    </row>
    <row r="38" spans="2:15" x14ac:dyDescent="0.2">
      <c r="B38" s="23" t="s">
        <v>2966</v>
      </c>
      <c r="C38" s="32" t="s">
        <v>2973</v>
      </c>
      <c r="D38" s="32" t="s">
        <v>191</v>
      </c>
      <c r="E38" s="94" t="s">
        <v>127</v>
      </c>
      <c r="F38" s="94" t="s">
        <v>2972</v>
      </c>
      <c r="G38" s="103">
        <v>-123307.64207710688</v>
      </c>
      <c r="H38" s="94">
        <v>0.99960000000000004</v>
      </c>
      <c r="I38" s="124">
        <v>-425.99651799352438</v>
      </c>
      <c r="J38" s="32">
        <v>-1.0686770981786645E-2</v>
      </c>
      <c r="K38" s="32">
        <v>-3.6075317127574048E-5</v>
      </c>
      <c r="L38" s="18"/>
      <c r="M38" s="18"/>
      <c r="N38" s="18"/>
      <c r="O38" s="18"/>
    </row>
    <row r="39" spans="2:15" x14ac:dyDescent="0.2">
      <c r="B39" s="23" t="s">
        <v>2966</v>
      </c>
      <c r="C39" s="32" t="s">
        <v>2974</v>
      </c>
      <c r="D39" s="32" t="s">
        <v>191</v>
      </c>
      <c r="E39" s="94" t="s">
        <v>127</v>
      </c>
      <c r="F39" s="94" t="s">
        <v>2975</v>
      </c>
      <c r="G39" s="103">
        <v>257322.8232591603</v>
      </c>
      <c r="H39" s="94">
        <v>0.99960000000000004</v>
      </c>
      <c r="I39" s="124">
        <v>888.98485833680911</v>
      </c>
      <c r="J39" s="32">
        <v>2.2301538125403031E-2</v>
      </c>
      <c r="K39" s="32">
        <v>7.5283269537427036E-5</v>
      </c>
      <c r="L39" s="18"/>
      <c r="M39" s="18"/>
      <c r="N39" s="18"/>
      <c r="O39" s="18"/>
    </row>
    <row r="40" spans="2:15" x14ac:dyDescent="0.2">
      <c r="B40" s="23" t="s">
        <v>2963</v>
      </c>
      <c r="C40" s="32" t="s">
        <v>2976</v>
      </c>
      <c r="D40" s="32" t="s">
        <v>191</v>
      </c>
      <c r="E40" s="94" t="s">
        <v>128</v>
      </c>
      <c r="F40" s="94" t="s">
        <v>2975</v>
      </c>
      <c r="G40" s="103">
        <v>-227316.98167770344</v>
      </c>
      <c r="H40" s="94">
        <v>1.0004</v>
      </c>
      <c r="I40" s="124">
        <v>-881.96685060617665</v>
      </c>
      <c r="J40" s="32">
        <v>-2.2125480720711247E-2</v>
      </c>
      <c r="K40" s="32">
        <v>-7.4688952814654718E-5</v>
      </c>
      <c r="L40" s="18"/>
      <c r="M40" s="18"/>
      <c r="N40" s="18"/>
      <c r="O40" s="18"/>
    </row>
    <row r="41" spans="2:15" x14ac:dyDescent="0.2">
      <c r="B41" s="23" t="s">
        <v>2966</v>
      </c>
      <c r="C41" s="32" t="s">
        <v>2977</v>
      </c>
      <c r="D41" s="32" t="s">
        <v>191</v>
      </c>
      <c r="E41" s="94" t="s">
        <v>127</v>
      </c>
      <c r="F41" s="94" t="s">
        <v>2978</v>
      </c>
      <c r="G41" s="103">
        <v>288914.42810480081</v>
      </c>
      <c r="H41" s="94">
        <v>0.99960000000000004</v>
      </c>
      <c r="I41" s="124">
        <v>998.12581224036762</v>
      </c>
      <c r="J41" s="32">
        <v>2.5039505056669811E-2</v>
      </c>
      <c r="K41" s="32">
        <v>8.4525820491180756E-5</v>
      </c>
      <c r="L41" s="18"/>
      <c r="M41" s="18"/>
      <c r="N41" s="18"/>
      <c r="O41" s="18"/>
    </row>
    <row r="42" spans="2:15" x14ac:dyDescent="0.2">
      <c r="B42" s="23" t="s">
        <v>2963</v>
      </c>
      <c r="C42" s="32" t="s">
        <v>2979</v>
      </c>
      <c r="D42" s="32" t="s">
        <v>191</v>
      </c>
      <c r="E42" s="94" t="s">
        <v>128</v>
      </c>
      <c r="F42" s="94" t="s">
        <v>2978</v>
      </c>
      <c r="G42" s="103">
        <v>-254595.01947902786</v>
      </c>
      <c r="H42" s="94">
        <v>1.0004</v>
      </c>
      <c r="I42" s="124">
        <v>-987.8028727371111</v>
      </c>
      <c r="J42" s="32">
        <v>-2.4780538408656461E-2</v>
      </c>
      <c r="K42" s="32">
        <v>-8.3651627157341348E-5</v>
      </c>
      <c r="L42" s="18"/>
      <c r="M42" s="18"/>
      <c r="N42" s="18"/>
      <c r="O42" s="18"/>
    </row>
    <row r="43" spans="2:15" x14ac:dyDescent="0.2">
      <c r="B43" s="23" t="s">
        <v>2966</v>
      </c>
      <c r="C43" s="32" t="s">
        <v>2980</v>
      </c>
      <c r="D43" s="32" t="s">
        <v>191</v>
      </c>
      <c r="E43" s="94" t="s">
        <v>127</v>
      </c>
      <c r="F43" s="94" t="s">
        <v>2981</v>
      </c>
      <c r="G43" s="103">
        <v>246898.97574734752</v>
      </c>
      <c r="H43" s="94">
        <v>0.99960000000000004</v>
      </c>
      <c r="I43" s="124">
        <v>852.97311842730619</v>
      </c>
      <c r="J43" s="32">
        <v>2.1398128823183395E-2</v>
      </c>
      <c r="K43" s="32">
        <v>7.2233632081069273E-5</v>
      </c>
      <c r="L43" s="18"/>
      <c r="M43" s="18"/>
      <c r="N43" s="18"/>
      <c r="O43" s="18"/>
    </row>
    <row r="44" spans="2:15" x14ac:dyDescent="0.2">
      <c r="B44" s="23" t="s">
        <v>2963</v>
      </c>
      <c r="C44" s="32" t="s">
        <v>2982</v>
      </c>
      <c r="D44" s="32" t="s">
        <v>191</v>
      </c>
      <c r="E44" s="94" t="s">
        <v>128</v>
      </c>
      <c r="F44" s="94" t="s">
        <v>2981</v>
      </c>
      <c r="G44" s="103">
        <v>-218224.30241059529</v>
      </c>
      <c r="H44" s="94">
        <v>1.0004</v>
      </c>
      <c r="I44" s="124">
        <v>-846.68817632006051</v>
      </c>
      <c r="J44" s="32">
        <v>-2.1240461485313413E-2</v>
      </c>
      <c r="K44" s="32">
        <v>-7.1701394679892267E-5</v>
      </c>
      <c r="L44" s="18"/>
      <c r="M44" s="18"/>
      <c r="N44" s="18"/>
      <c r="O44" s="18"/>
    </row>
    <row r="45" spans="2:15" x14ac:dyDescent="0.2">
      <c r="B45" s="23" t="s">
        <v>2966</v>
      </c>
      <c r="C45" s="32" t="s">
        <v>2983</v>
      </c>
      <c r="D45" s="32" t="s">
        <v>191</v>
      </c>
      <c r="E45" s="94" t="s">
        <v>127</v>
      </c>
      <c r="F45" s="94" t="s">
        <v>2984</v>
      </c>
      <c r="G45" s="103">
        <v>205212.67837936355</v>
      </c>
      <c r="H45" s="94">
        <v>0.99960000000000004</v>
      </c>
      <c r="I45" s="124">
        <v>708.95757108650469</v>
      </c>
      <c r="J45" s="32">
        <v>1.7785279639587034E-2</v>
      </c>
      <c r="K45" s="32">
        <v>6.0037742391427394E-5</v>
      </c>
      <c r="L45" s="18"/>
      <c r="M45" s="18"/>
      <c r="N45" s="18"/>
      <c r="O45" s="18"/>
    </row>
    <row r="46" spans="2:15" x14ac:dyDescent="0.2">
      <c r="B46" s="23" t="s">
        <v>2963</v>
      </c>
      <c r="C46" s="32" t="s">
        <v>2985</v>
      </c>
      <c r="D46" s="32" t="s">
        <v>191</v>
      </c>
      <c r="E46" s="94" t="s">
        <v>128</v>
      </c>
      <c r="F46" s="94" t="s">
        <v>2984</v>
      </c>
      <c r="G46" s="103">
        <v>-181853.58534216275</v>
      </c>
      <c r="H46" s="94">
        <v>1.0004</v>
      </c>
      <c r="I46" s="124">
        <v>-705.57348026671707</v>
      </c>
      <c r="J46" s="32">
        <v>-1.7700384571094508E-2</v>
      </c>
      <c r="K46" s="32">
        <v>-5.9751162233243547E-5</v>
      </c>
      <c r="L46" s="18"/>
      <c r="M46" s="18"/>
      <c r="N46" s="18"/>
      <c r="O46" s="18"/>
    </row>
    <row r="47" spans="2:15" x14ac:dyDescent="0.2">
      <c r="B47" s="23" t="s">
        <v>2966</v>
      </c>
      <c r="C47" s="32" t="s">
        <v>2986</v>
      </c>
      <c r="D47" s="32" t="s">
        <v>191</v>
      </c>
      <c r="E47" s="94" t="s">
        <v>127</v>
      </c>
      <c r="F47" s="94" t="s">
        <v>1495</v>
      </c>
      <c r="G47" s="103">
        <v>244945.86824077269</v>
      </c>
      <c r="H47" s="94">
        <v>0.99960000000000004</v>
      </c>
      <c r="I47" s="124">
        <v>846.22562917979246</v>
      </c>
      <c r="J47" s="32">
        <v>2.1228857786345149E-2</v>
      </c>
      <c r="K47" s="32">
        <v>7.1662224090305712E-5</v>
      </c>
      <c r="L47" s="18"/>
      <c r="M47" s="18"/>
      <c r="N47" s="18"/>
      <c r="O47" s="18"/>
    </row>
    <row r="48" spans="2:15" x14ac:dyDescent="0.2">
      <c r="B48" s="23" t="s">
        <v>2963</v>
      </c>
      <c r="C48" s="32" t="s">
        <v>2987</v>
      </c>
      <c r="D48" s="32" t="s">
        <v>191</v>
      </c>
      <c r="E48" s="94" t="s">
        <v>128</v>
      </c>
      <c r="F48" s="94" t="s">
        <v>1495</v>
      </c>
      <c r="G48" s="103">
        <v>-218224.30241059529</v>
      </c>
      <c r="H48" s="94">
        <v>1.0004</v>
      </c>
      <c r="I48" s="124">
        <v>-846.68817632006051</v>
      </c>
      <c r="J48" s="32">
        <v>-2.1240461485313413E-2</v>
      </c>
      <c r="K48" s="32">
        <v>-7.1701394679892267E-5</v>
      </c>
      <c r="L48" s="18"/>
      <c r="M48" s="18"/>
      <c r="N48" s="18"/>
      <c r="O48" s="18"/>
    </row>
    <row r="49" spans="2:15" x14ac:dyDescent="0.2">
      <c r="B49" s="23" t="s">
        <v>2966</v>
      </c>
      <c r="C49" s="32" t="s">
        <v>2988</v>
      </c>
      <c r="D49" s="32" t="s">
        <v>191</v>
      </c>
      <c r="E49" s="94" t="s">
        <v>127</v>
      </c>
      <c r="F49" s="94" t="s">
        <v>2569</v>
      </c>
      <c r="G49" s="103">
        <v>204023.35593122581</v>
      </c>
      <c r="H49" s="94">
        <v>0.99960000000000004</v>
      </c>
      <c r="I49" s="124">
        <v>704.84876499626205</v>
      </c>
      <c r="J49" s="32">
        <v>1.7682203985584479E-2</v>
      </c>
      <c r="K49" s="32">
        <v>5.9689790057405115E-5</v>
      </c>
      <c r="L49" s="18"/>
      <c r="M49" s="18"/>
      <c r="N49" s="18"/>
      <c r="O49" s="18"/>
    </row>
    <row r="50" spans="2:15" x14ac:dyDescent="0.2">
      <c r="B50" s="23" t="s">
        <v>2963</v>
      </c>
      <c r="C50" s="32" t="s">
        <v>2989</v>
      </c>
      <c r="D50" s="32" t="s">
        <v>191</v>
      </c>
      <c r="E50" s="94" t="s">
        <v>128</v>
      </c>
      <c r="F50" s="94" t="s">
        <v>2569</v>
      </c>
      <c r="G50" s="103">
        <v>-181853.58534216275</v>
      </c>
      <c r="H50" s="94">
        <v>1.0004</v>
      </c>
      <c r="I50" s="124">
        <v>-705.57348026671707</v>
      </c>
      <c r="J50" s="32">
        <v>-1.7700384571094508E-2</v>
      </c>
      <c r="K50" s="32">
        <v>-5.9751162233243547E-5</v>
      </c>
      <c r="L50" s="18"/>
      <c r="M50" s="18"/>
      <c r="N50" s="18"/>
      <c r="O50" s="18"/>
    </row>
    <row r="51" spans="2:15" x14ac:dyDescent="0.2">
      <c r="B51" s="23" t="s">
        <v>2966</v>
      </c>
      <c r="C51" s="32" t="s">
        <v>2990</v>
      </c>
      <c r="D51" s="32" t="s">
        <v>191</v>
      </c>
      <c r="E51" s="94" t="s">
        <v>127</v>
      </c>
      <c r="F51" s="94" t="s">
        <v>542</v>
      </c>
      <c r="G51" s="103">
        <v>786570.40341252985</v>
      </c>
      <c r="H51" s="94">
        <v>0.99960000000000004</v>
      </c>
      <c r="I51" s="124">
        <v>2717.4005395415052</v>
      </c>
      <c r="J51" s="32">
        <v>6.8170128170636765E-2</v>
      </c>
      <c r="K51" s="32">
        <v>2.3012180167184093E-4</v>
      </c>
      <c r="L51" s="18"/>
      <c r="M51" s="18"/>
      <c r="N51" s="18"/>
      <c r="O51" s="18"/>
    </row>
    <row r="52" spans="2:15" x14ac:dyDescent="0.2">
      <c r="B52" s="23" t="s">
        <v>2963</v>
      </c>
      <c r="C52" s="32" t="s">
        <v>2991</v>
      </c>
      <c r="D52" s="32" t="s">
        <v>191</v>
      </c>
      <c r="E52" s="94" t="s">
        <v>128</v>
      </c>
      <c r="F52" s="94" t="s">
        <v>542</v>
      </c>
      <c r="G52" s="103">
        <v>-709228.98283443472</v>
      </c>
      <c r="H52" s="94">
        <v>1.0004</v>
      </c>
      <c r="I52" s="124">
        <v>-2751.7365739494644</v>
      </c>
      <c r="J52" s="32">
        <v>-6.9031499850078962E-2</v>
      </c>
      <c r="K52" s="32">
        <v>-2.3302953278665076E-4</v>
      </c>
      <c r="L52" s="18"/>
      <c r="M52" s="18"/>
      <c r="N52" s="18"/>
      <c r="O52" s="18"/>
    </row>
    <row r="53" spans="2:15" x14ac:dyDescent="0.2">
      <c r="B53" s="23" t="s">
        <v>2992</v>
      </c>
      <c r="C53" s="32" t="s">
        <v>2993</v>
      </c>
      <c r="D53" s="32" t="s">
        <v>191</v>
      </c>
      <c r="E53" s="94" t="s">
        <v>127</v>
      </c>
      <c r="F53" s="94" t="s">
        <v>1515</v>
      </c>
      <c r="G53" s="103">
        <v>4387898.7225894919</v>
      </c>
      <c r="H53" s="94">
        <v>0.99619999999999997</v>
      </c>
      <c r="I53" s="124">
        <v>15108.059602943689</v>
      </c>
      <c r="J53" s="32">
        <v>0.3790086682311708</v>
      </c>
      <c r="K53" s="32">
        <v>1.2794190054078545E-3</v>
      </c>
      <c r="L53" s="18"/>
      <c r="M53" s="18"/>
      <c r="N53" s="18"/>
      <c r="O53" s="18"/>
    </row>
    <row r="54" spans="2:15" x14ac:dyDescent="0.2">
      <c r="B54" s="23" t="s">
        <v>2994</v>
      </c>
      <c r="C54" s="32" t="s">
        <v>2995</v>
      </c>
      <c r="D54" s="32" t="s">
        <v>191</v>
      </c>
      <c r="E54" s="94" t="s">
        <v>2</v>
      </c>
      <c r="F54" s="94" t="s">
        <v>1515</v>
      </c>
      <c r="G54" s="103">
        <v>-3392005.8152361563</v>
      </c>
      <c r="H54" s="94">
        <v>0.99870000000000003</v>
      </c>
      <c r="I54" s="124">
        <v>-15446.778158262096</v>
      </c>
      <c r="J54" s="32">
        <v>-0.38750593869013844</v>
      </c>
      <c r="K54" s="32">
        <v>-1.3081032288321665E-3</v>
      </c>
      <c r="L54" s="18"/>
      <c r="M54" s="18"/>
      <c r="N54" s="18"/>
      <c r="O54" s="18"/>
    </row>
    <row r="55" spans="2:15" x14ac:dyDescent="0.2">
      <c r="B55" s="23" t="s">
        <v>2966</v>
      </c>
      <c r="C55" s="32" t="s">
        <v>2996</v>
      </c>
      <c r="D55" s="32" t="s">
        <v>191</v>
      </c>
      <c r="E55" s="94" t="s">
        <v>127</v>
      </c>
      <c r="F55" s="94" t="s">
        <v>2565</v>
      </c>
      <c r="G55" s="103">
        <v>708219.69543578569</v>
      </c>
      <c r="H55" s="94">
        <v>0.99960000000000004</v>
      </c>
      <c r="I55" s="124">
        <v>2446.7187857278764</v>
      </c>
      <c r="J55" s="32">
        <v>6.1379664423234545E-2</v>
      </c>
      <c r="K55" s="32">
        <v>2.0719924316017012E-4</v>
      </c>
      <c r="L55" s="18"/>
      <c r="M55" s="18"/>
      <c r="N55" s="18"/>
      <c r="O55" s="18"/>
    </row>
    <row r="56" spans="2:15" x14ac:dyDescent="0.2">
      <c r="B56" s="23" t="s">
        <v>2963</v>
      </c>
      <c r="C56" s="32" t="s">
        <v>2997</v>
      </c>
      <c r="D56" s="32" t="s">
        <v>191</v>
      </c>
      <c r="E56" s="94" t="s">
        <v>128</v>
      </c>
      <c r="F56" s="94" t="s">
        <v>2565</v>
      </c>
      <c r="G56" s="103">
        <v>-636487.54869756964</v>
      </c>
      <c r="H56" s="94">
        <v>1.0004</v>
      </c>
      <c r="I56" s="124">
        <v>-2469.5071818427773</v>
      </c>
      <c r="J56" s="32">
        <v>-6.1951346021641145E-2</v>
      </c>
      <c r="K56" s="32">
        <v>-2.0912906789335333E-4</v>
      </c>
      <c r="L56" s="18"/>
      <c r="M56" s="18"/>
      <c r="N56" s="18"/>
      <c r="O56" s="18"/>
    </row>
    <row r="57" spans="2:15" x14ac:dyDescent="0.2">
      <c r="B57" s="23" t="s">
        <v>2998</v>
      </c>
      <c r="C57" s="32" t="s">
        <v>2999</v>
      </c>
      <c r="D57" s="32" t="s">
        <v>191</v>
      </c>
      <c r="E57" s="94" t="s">
        <v>318</v>
      </c>
      <c r="F57" s="94" t="s">
        <v>3000</v>
      </c>
      <c r="G57" s="103">
        <v>198630822.14712927</v>
      </c>
      <c r="H57" s="94">
        <v>1.002</v>
      </c>
      <c r="I57" s="124">
        <v>6338.5549225476416</v>
      </c>
      <c r="J57" s="32">
        <v>0.15901229693565883</v>
      </c>
      <c r="K57" s="32">
        <v>5.3677757752218936E-4</v>
      </c>
      <c r="L57" s="18"/>
      <c r="M57" s="18"/>
      <c r="N57" s="18"/>
      <c r="O57" s="18"/>
    </row>
    <row r="58" spans="2:15" x14ac:dyDescent="0.2">
      <c r="B58" s="23" t="s">
        <v>3001</v>
      </c>
      <c r="C58" s="32" t="s">
        <v>3002</v>
      </c>
      <c r="D58" s="32" t="s">
        <v>191</v>
      </c>
      <c r="E58" s="94" t="s">
        <v>127</v>
      </c>
      <c r="F58" s="94" t="s">
        <v>3000</v>
      </c>
      <c r="G58" s="103">
        <v>-1833622.4776709792</v>
      </c>
      <c r="H58" s="94">
        <v>0.99350000000000005</v>
      </c>
      <c r="I58" s="124">
        <v>-6295.9228528890526</v>
      </c>
      <c r="J58" s="32">
        <v>-0.15794280658614418</v>
      </c>
      <c r="K58" s="32">
        <v>-5.3316730051808999E-4</v>
      </c>
      <c r="L58" s="18"/>
      <c r="M58" s="18"/>
      <c r="N58" s="18"/>
      <c r="O58" s="18"/>
    </row>
    <row r="59" spans="2:15" x14ac:dyDescent="0.2">
      <c r="B59" s="23" t="s">
        <v>2963</v>
      </c>
      <c r="C59" s="32" t="s">
        <v>3006</v>
      </c>
      <c r="D59" s="32" t="s">
        <v>191</v>
      </c>
      <c r="E59" s="94" t="s">
        <v>128</v>
      </c>
      <c r="F59" s="94" t="s">
        <v>3007</v>
      </c>
      <c r="G59" s="103">
        <v>2000000</v>
      </c>
      <c r="H59" s="94">
        <v>1.0004</v>
      </c>
      <c r="I59" s="124">
        <v>7759.7973000000002</v>
      </c>
      <c r="J59" s="32">
        <v>0.19466632497556455</v>
      </c>
      <c r="K59" s="32">
        <v>6.5713482767821175E-4</v>
      </c>
      <c r="L59" s="18"/>
      <c r="M59" s="18"/>
      <c r="N59" s="18"/>
      <c r="O59" s="18"/>
    </row>
    <row r="60" spans="2:15" x14ac:dyDescent="0.2">
      <c r="B60" s="23" t="s">
        <v>2966</v>
      </c>
      <c r="C60" s="32" t="s">
        <v>3008</v>
      </c>
      <c r="D60" s="32" t="s">
        <v>191</v>
      </c>
      <c r="E60" s="94" t="s">
        <v>127</v>
      </c>
      <c r="F60" s="94" t="s">
        <v>3007</v>
      </c>
      <c r="G60" s="103">
        <v>-2242700</v>
      </c>
      <c r="H60" s="94">
        <v>0.99960000000000004</v>
      </c>
      <c r="I60" s="124">
        <v>-7747.9576699999998</v>
      </c>
      <c r="J60" s="32">
        <v>-0.19436930983817555</v>
      </c>
      <c r="K60" s="32">
        <v>-6.5613219411459747E-4</v>
      </c>
      <c r="L60" s="18"/>
      <c r="M60" s="18"/>
      <c r="N60" s="18"/>
      <c r="O60" s="18"/>
    </row>
    <row r="61" spans="2:15" s="160" customFormat="1" x14ac:dyDescent="0.2">
      <c r="B61" s="132" t="s">
        <v>2926</v>
      </c>
      <c r="C61" s="167" t="s">
        <v>238</v>
      </c>
      <c r="D61" s="167" t="s">
        <v>238</v>
      </c>
      <c r="E61" s="168" t="s">
        <v>238</v>
      </c>
      <c r="F61" s="168" t="s">
        <v>238</v>
      </c>
      <c r="G61" s="178" t="s">
        <v>238</v>
      </c>
      <c r="H61" s="168" t="s">
        <v>238</v>
      </c>
      <c r="I61" s="169">
        <v>21843.784108621629</v>
      </c>
      <c r="J61" s="167">
        <v>0.54798456861560163</v>
      </c>
      <c r="K61" s="167">
        <v>1.8498307044771819E-3</v>
      </c>
    </row>
    <row r="62" spans="2:15" x14ac:dyDescent="0.2">
      <c r="B62" s="23" t="s">
        <v>3012</v>
      </c>
      <c r="C62" s="32" t="s">
        <v>3013</v>
      </c>
      <c r="D62" s="32" t="s">
        <v>191</v>
      </c>
      <c r="E62" s="94" t="s">
        <v>244</v>
      </c>
      <c r="F62" s="94" t="s">
        <v>1411</v>
      </c>
      <c r="G62" s="103">
        <v>6759900</v>
      </c>
      <c r="H62" s="94">
        <v>105.283</v>
      </c>
      <c r="I62" s="124">
        <v>7117.02862</v>
      </c>
      <c r="J62" s="32">
        <v>0.17854149440234912</v>
      </c>
      <c r="K62" s="32">
        <v>6.0270226076454363E-4</v>
      </c>
      <c r="L62" s="18"/>
      <c r="M62" s="18"/>
      <c r="N62" s="18"/>
      <c r="O62" s="18"/>
    </row>
    <row r="63" spans="2:15" x14ac:dyDescent="0.2">
      <c r="B63" s="23" t="s">
        <v>3017</v>
      </c>
      <c r="C63" s="32" t="s">
        <v>3018</v>
      </c>
      <c r="D63" s="32" t="s">
        <v>191</v>
      </c>
      <c r="E63" s="94" t="s">
        <v>244</v>
      </c>
      <c r="F63" s="94" t="s">
        <v>3019</v>
      </c>
      <c r="G63" s="103">
        <v>6526872</v>
      </c>
      <c r="H63" s="94">
        <v>104.5356</v>
      </c>
      <c r="I63" s="124">
        <v>6822.90859</v>
      </c>
      <c r="J63" s="32">
        <v>0.17116304582588915</v>
      </c>
      <c r="K63" s="32">
        <v>5.7779484272789459E-4</v>
      </c>
      <c r="L63" s="18"/>
      <c r="M63" s="18"/>
      <c r="N63" s="18"/>
      <c r="O63" s="18"/>
    </row>
    <row r="64" spans="2:15" x14ac:dyDescent="0.2">
      <c r="B64" s="23" t="s">
        <v>3025</v>
      </c>
      <c r="C64" s="32" t="s">
        <v>3026</v>
      </c>
      <c r="D64" s="32" t="s">
        <v>191</v>
      </c>
      <c r="E64" s="94" t="s">
        <v>128</v>
      </c>
      <c r="F64" s="94" t="s">
        <v>1411</v>
      </c>
      <c r="G64" s="103">
        <v>-1400000</v>
      </c>
      <c r="H64" s="94">
        <v>104.2157</v>
      </c>
      <c r="I64" s="124">
        <v>-5658.3725899999999</v>
      </c>
      <c r="J64" s="32">
        <v>-0.14194888794811261</v>
      </c>
      <c r="K64" s="32">
        <v>-4.791766528319969E-4</v>
      </c>
      <c r="L64" s="18"/>
      <c r="M64" s="18"/>
      <c r="N64" s="18"/>
      <c r="O64" s="18"/>
    </row>
    <row r="65" spans="2:15" x14ac:dyDescent="0.2">
      <c r="B65" s="23" t="s">
        <v>3029</v>
      </c>
      <c r="C65" s="32" t="s">
        <v>3030</v>
      </c>
      <c r="D65" s="32" t="s">
        <v>191</v>
      </c>
      <c r="E65" s="94" t="s">
        <v>128</v>
      </c>
      <c r="F65" s="94" t="s">
        <v>3019</v>
      </c>
      <c r="G65" s="103">
        <v>-1353000</v>
      </c>
      <c r="H65" s="94">
        <v>104.2157</v>
      </c>
      <c r="I65" s="124">
        <v>-5468.4129400000002</v>
      </c>
      <c r="J65" s="32">
        <v>-0.13718346102656864</v>
      </c>
      <c r="K65" s="32">
        <v>-4.6309000816299717E-4</v>
      </c>
      <c r="L65" s="18"/>
      <c r="M65" s="18"/>
      <c r="N65" s="18"/>
      <c r="O65" s="18"/>
    </row>
    <row r="66" spans="2:15" x14ac:dyDescent="0.2">
      <c r="B66" s="23" t="s">
        <v>3059</v>
      </c>
      <c r="C66" s="32" t="s">
        <v>3060</v>
      </c>
      <c r="D66" s="32" t="s">
        <v>191</v>
      </c>
      <c r="E66" s="94" t="s">
        <v>244</v>
      </c>
      <c r="F66" s="94" t="s">
        <v>3061</v>
      </c>
      <c r="G66" s="103">
        <v>1777276.9119791975</v>
      </c>
      <c r="H66" s="94">
        <v>1.0004999999999999</v>
      </c>
      <c r="I66" s="124">
        <v>1778.3326142321405</v>
      </c>
      <c r="J66" s="32">
        <v>4.4612180088358641E-2</v>
      </c>
      <c r="K66" s="32">
        <v>1.5059727088592655E-4</v>
      </c>
      <c r="L66" s="18"/>
      <c r="M66" s="18"/>
      <c r="N66" s="18"/>
      <c r="O66" s="18"/>
    </row>
    <row r="67" spans="2:15" x14ac:dyDescent="0.2">
      <c r="B67" s="23" t="s">
        <v>3062</v>
      </c>
      <c r="C67" s="32" t="s">
        <v>3063</v>
      </c>
      <c r="D67" s="32" t="s">
        <v>191</v>
      </c>
      <c r="E67" s="94" t="s">
        <v>127</v>
      </c>
      <c r="F67" s="94" t="s">
        <v>3061</v>
      </c>
      <c r="G67" s="103">
        <v>-509190.03895805572</v>
      </c>
      <c r="H67" s="94">
        <v>0.99739999999999995</v>
      </c>
      <c r="I67" s="124">
        <v>-1755.1959550441441</v>
      </c>
      <c r="J67" s="32">
        <v>-4.4031761780738747E-2</v>
      </c>
      <c r="K67" s="32">
        <v>-1.4863795365626728E-4</v>
      </c>
      <c r="L67" s="18"/>
      <c r="M67" s="18"/>
      <c r="N67" s="18"/>
      <c r="O67" s="18"/>
    </row>
    <row r="68" spans="2:15" x14ac:dyDescent="0.2">
      <c r="B68" s="23" t="s">
        <v>3072</v>
      </c>
      <c r="C68" s="32" t="s">
        <v>3073</v>
      </c>
      <c r="D68" s="32" t="s">
        <v>191</v>
      </c>
      <c r="E68" s="94" t="s">
        <v>244</v>
      </c>
      <c r="F68" s="94" t="s">
        <v>974</v>
      </c>
      <c r="G68" s="103">
        <v>1130797.7392935844</v>
      </c>
      <c r="H68" s="94">
        <v>1.0018</v>
      </c>
      <c r="I68" s="124">
        <v>1132.867099079861</v>
      </c>
      <c r="J68" s="32">
        <v>2.8419695301010676E-2</v>
      </c>
      <c r="K68" s="32">
        <v>9.5936323740848241E-5</v>
      </c>
      <c r="L68" s="18"/>
      <c r="M68" s="18"/>
      <c r="N68" s="18"/>
      <c r="O68" s="18"/>
    </row>
    <row r="69" spans="2:15" x14ac:dyDescent="0.2">
      <c r="B69" s="23" t="s">
        <v>3074</v>
      </c>
      <c r="C69" s="32" t="s">
        <v>3075</v>
      </c>
      <c r="D69" s="32" t="s">
        <v>191</v>
      </c>
      <c r="E69" s="94" t="s">
        <v>127</v>
      </c>
      <c r="F69" s="94" t="s">
        <v>974</v>
      </c>
      <c r="G69" s="103">
        <v>-323575.05345053494</v>
      </c>
      <c r="H69" s="94">
        <v>0.99439999999999995</v>
      </c>
      <c r="I69" s="124">
        <v>-1112.0253432759534</v>
      </c>
      <c r="J69" s="32">
        <v>-2.7896848137414686E-2</v>
      </c>
      <c r="K69" s="32">
        <v>-9.4171349337623543E-5</v>
      </c>
      <c r="L69" s="18"/>
      <c r="M69" s="18"/>
      <c r="N69" s="18"/>
      <c r="O69" s="18"/>
    </row>
    <row r="70" spans="2:15" x14ac:dyDescent="0.2">
      <c r="B70" s="23" t="s">
        <v>3072</v>
      </c>
      <c r="C70" s="32" t="s">
        <v>3076</v>
      </c>
      <c r="D70" s="32" t="s">
        <v>191</v>
      </c>
      <c r="E70" s="94" t="s">
        <v>244</v>
      </c>
      <c r="F70" s="94" t="s">
        <v>974</v>
      </c>
      <c r="G70" s="103">
        <v>4702875.5627448959</v>
      </c>
      <c r="H70" s="94">
        <v>1.0018</v>
      </c>
      <c r="I70" s="124">
        <v>4711.4818247701241</v>
      </c>
      <c r="J70" s="32">
        <v>0.11819469202077827</v>
      </c>
      <c r="K70" s="32">
        <v>3.9898964848338785E-4</v>
      </c>
      <c r="L70" s="18"/>
      <c r="M70" s="18"/>
      <c r="N70" s="18"/>
      <c r="O70" s="18"/>
    </row>
    <row r="71" spans="2:15" x14ac:dyDescent="0.2">
      <c r="B71" s="23" t="s">
        <v>3074</v>
      </c>
      <c r="C71" s="32" t="s">
        <v>3077</v>
      </c>
      <c r="D71" s="32" t="s">
        <v>191</v>
      </c>
      <c r="E71" s="94" t="s">
        <v>127</v>
      </c>
      <c r="F71" s="94" t="s">
        <v>974</v>
      </c>
      <c r="G71" s="103">
        <v>-1345716.5315320042</v>
      </c>
      <c r="H71" s="94">
        <v>0.99439999999999995</v>
      </c>
      <c r="I71" s="124">
        <v>-4624.8030321968699</v>
      </c>
      <c r="J71" s="32">
        <v>-0.11602022259184686</v>
      </c>
      <c r="K71" s="32">
        <v>-3.9164929522171425E-4</v>
      </c>
      <c r="L71" s="18"/>
      <c r="M71" s="18"/>
      <c r="N71" s="18"/>
      <c r="O71" s="18"/>
    </row>
    <row r="72" spans="2:15" x14ac:dyDescent="0.2">
      <c r="B72" s="23" t="s">
        <v>3078</v>
      </c>
      <c r="C72" s="32" t="s">
        <v>3083</v>
      </c>
      <c r="D72" s="32" t="s">
        <v>191</v>
      </c>
      <c r="E72" s="94" t="s">
        <v>244</v>
      </c>
      <c r="F72" s="94" t="s">
        <v>3080</v>
      </c>
      <c r="G72" s="103">
        <v>1263955.1595621679</v>
      </c>
      <c r="H72" s="94">
        <v>1.0009999999999999</v>
      </c>
      <c r="I72" s="124">
        <v>1265.3075915828995</v>
      </c>
      <c r="J72" s="32">
        <v>3.1742166617822039E-2</v>
      </c>
      <c r="K72" s="32">
        <v>1.071519852915181E-4</v>
      </c>
      <c r="L72" s="26"/>
      <c r="M72" s="26"/>
    </row>
    <row r="73" spans="2:15" x14ac:dyDescent="0.2">
      <c r="B73" s="23" t="s">
        <v>3081</v>
      </c>
      <c r="C73" s="32" t="s">
        <v>3084</v>
      </c>
      <c r="D73" s="32" t="s">
        <v>191</v>
      </c>
      <c r="E73" s="94" t="s">
        <v>127</v>
      </c>
      <c r="F73" s="94" t="s">
        <v>3080</v>
      </c>
      <c r="G73" s="103">
        <v>-363707.17068432551</v>
      </c>
      <c r="H73" s="94">
        <v>0.99650000000000005</v>
      </c>
      <c r="I73" s="124">
        <v>-1252.6882213707647</v>
      </c>
      <c r="J73" s="32">
        <v>-3.1425590510518006E-2</v>
      </c>
      <c r="K73" s="32">
        <v>-1.060833197904542E-4</v>
      </c>
      <c r="L73" s="26"/>
      <c r="M73" s="26"/>
    </row>
    <row r="74" spans="2:15" x14ac:dyDescent="0.2">
      <c r="B74" s="23" t="s">
        <v>3085</v>
      </c>
      <c r="C74" s="32" t="s">
        <v>3086</v>
      </c>
      <c r="D74" s="32" t="s">
        <v>191</v>
      </c>
      <c r="E74" s="94" t="s">
        <v>244</v>
      </c>
      <c r="F74" s="94" t="s">
        <v>1511</v>
      </c>
      <c r="G74" s="103">
        <v>22575150</v>
      </c>
      <c r="H74" s="94">
        <v>1.0008999999999999</v>
      </c>
      <c r="I74" s="124">
        <v>22596.032010000003</v>
      </c>
      <c r="J74" s="32">
        <v>0.56685585207450195</v>
      </c>
      <c r="K74" s="32">
        <v>1.9135344683684854E-3</v>
      </c>
      <c r="L74" s="26"/>
      <c r="M74" s="26"/>
    </row>
    <row r="75" spans="2:15" x14ac:dyDescent="0.2">
      <c r="B75" s="23" t="s">
        <v>3087</v>
      </c>
      <c r="C75" s="32" t="s">
        <v>3088</v>
      </c>
      <c r="D75" s="32" t="s">
        <v>191</v>
      </c>
      <c r="E75" s="94" t="s">
        <v>127</v>
      </c>
      <c r="F75" s="94" t="s">
        <v>1511</v>
      </c>
      <c r="G75" s="103">
        <v>-6500000</v>
      </c>
      <c r="H75" s="94">
        <v>0.99680000000000002</v>
      </c>
      <c r="I75" s="124">
        <v>-22392.878969999998</v>
      </c>
      <c r="J75" s="32">
        <v>-0.56175944888566931</v>
      </c>
      <c r="K75" s="32">
        <v>-1.8963305475994845E-3</v>
      </c>
      <c r="L75" s="26"/>
      <c r="M75" s="26"/>
    </row>
    <row r="76" spans="2:15" x14ac:dyDescent="0.2">
      <c r="B76" s="23" t="s">
        <v>3097</v>
      </c>
      <c r="C76" s="32" t="s">
        <v>3098</v>
      </c>
      <c r="D76" s="32" t="s">
        <v>191</v>
      </c>
      <c r="E76" s="94" t="s">
        <v>244</v>
      </c>
      <c r="F76" s="94" t="s">
        <v>1371</v>
      </c>
      <c r="G76" s="103">
        <v>22659155.215230078</v>
      </c>
      <c r="H76" s="94">
        <v>1.0008999999999999</v>
      </c>
      <c r="I76" s="124">
        <v>22679.57111332475</v>
      </c>
      <c r="J76" s="32">
        <v>0.56895155762031335</v>
      </c>
      <c r="K76" s="32">
        <v>1.9206089385054438E-3</v>
      </c>
      <c r="L76" s="26"/>
      <c r="M76" s="26"/>
    </row>
    <row r="77" spans="2:15" x14ac:dyDescent="0.2">
      <c r="B77" s="23" t="s">
        <v>3099</v>
      </c>
      <c r="C77" s="32" t="s">
        <v>3100</v>
      </c>
      <c r="D77" s="32" t="s">
        <v>191</v>
      </c>
      <c r="E77" s="94" t="s">
        <v>127</v>
      </c>
      <c r="F77" s="94" t="s">
        <v>1371</v>
      </c>
      <c r="G77" s="103">
        <v>-6560264.9725622693</v>
      </c>
      <c r="H77" s="94">
        <v>0.99680000000000002</v>
      </c>
      <c r="I77" s="124">
        <v>-22601.40221027334</v>
      </c>
      <c r="J77" s="32">
        <v>-0.56699057172131451</v>
      </c>
      <c r="K77" s="32">
        <v>-1.9139892412826202E-3</v>
      </c>
      <c r="L77" s="26"/>
      <c r="M77" s="26"/>
    </row>
    <row r="78" spans="2:15" x14ac:dyDescent="0.2">
      <c r="B78" s="23" t="s">
        <v>3097</v>
      </c>
      <c r="C78" s="32" t="s">
        <v>3103</v>
      </c>
      <c r="D78" s="32" t="s">
        <v>191</v>
      </c>
      <c r="E78" s="94" t="s">
        <v>244</v>
      </c>
      <c r="F78" s="94" t="s">
        <v>1371</v>
      </c>
      <c r="G78" s="103">
        <v>15828681.551050119</v>
      </c>
      <c r="H78" s="94">
        <v>1.0008999999999999</v>
      </c>
      <c r="I78" s="124">
        <v>15842.943192982133</v>
      </c>
      <c r="J78" s="32">
        <v>0.39744434151320784</v>
      </c>
      <c r="K78" s="32">
        <v>1.3416522806640853E-3</v>
      </c>
      <c r="L78" s="26"/>
      <c r="M78" s="26"/>
    </row>
    <row r="79" spans="2:15" x14ac:dyDescent="0.2">
      <c r="B79" s="23" t="s">
        <v>3099</v>
      </c>
      <c r="C79" s="32" t="s">
        <v>3104</v>
      </c>
      <c r="D79" s="32" t="s">
        <v>191</v>
      </c>
      <c r="E79" s="94" t="s">
        <v>127</v>
      </c>
      <c r="F79" s="94" t="s">
        <v>1371</v>
      </c>
      <c r="G79" s="103">
        <v>-4582710.3506225012</v>
      </c>
      <c r="H79" s="94">
        <v>0.99680000000000002</v>
      </c>
      <c r="I79" s="124">
        <v>-15788.337861972186</v>
      </c>
      <c r="J79" s="32">
        <v>-0.39607448368048065</v>
      </c>
      <c r="K79" s="32">
        <v>-1.3370280535874924E-3</v>
      </c>
      <c r="L79" s="26"/>
      <c r="M79" s="26"/>
    </row>
    <row r="80" spans="2:15" x14ac:dyDescent="0.2">
      <c r="B80" s="23" t="s">
        <v>3097</v>
      </c>
      <c r="C80" s="32" t="s">
        <v>3105</v>
      </c>
      <c r="D80" s="32" t="s">
        <v>191</v>
      </c>
      <c r="E80" s="94" t="s">
        <v>244</v>
      </c>
      <c r="F80" s="94" t="s">
        <v>1371</v>
      </c>
      <c r="G80" s="103">
        <v>38650260</v>
      </c>
      <c r="H80" s="94">
        <v>1.0008999999999999</v>
      </c>
      <c r="I80" s="124">
        <v>38685.045229999996</v>
      </c>
      <c r="J80" s="32">
        <v>0.9704732347116326</v>
      </c>
      <c r="K80" s="32">
        <v>3.2760250748998139E-3</v>
      </c>
      <c r="L80" s="26"/>
      <c r="M80" s="26"/>
    </row>
    <row r="81" spans="2:15" x14ac:dyDescent="0.2">
      <c r="B81" s="23" t="s">
        <v>3099</v>
      </c>
      <c r="C81" s="32" t="s">
        <v>3106</v>
      </c>
      <c r="D81" s="32" t="s">
        <v>191</v>
      </c>
      <c r="E81" s="94" t="s">
        <v>127</v>
      </c>
      <c r="F81" s="94" t="s">
        <v>1371</v>
      </c>
      <c r="G81" s="103">
        <v>-11190000</v>
      </c>
      <c r="H81" s="94">
        <v>0.99680000000000002</v>
      </c>
      <c r="I81" s="124">
        <v>-38551.749320000003</v>
      </c>
      <c r="J81" s="32">
        <v>-0.96712930394504248</v>
      </c>
      <c r="K81" s="32">
        <v>-3.2647369727160035E-3</v>
      </c>
      <c r="L81" s="26"/>
      <c r="M81" s="26"/>
    </row>
    <row r="82" spans="2:15" x14ac:dyDescent="0.2">
      <c r="B82" s="23" t="s">
        <v>3107</v>
      </c>
      <c r="C82" s="32" t="s">
        <v>3108</v>
      </c>
      <c r="D82" s="32" t="s">
        <v>191</v>
      </c>
      <c r="E82" s="94" t="s">
        <v>244</v>
      </c>
      <c r="F82" s="94" t="s">
        <v>984</v>
      </c>
      <c r="G82" s="103">
        <v>1266479.8719843463</v>
      </c>
      <c r="H82" s="94">
        <v>1.0004999999999999</v>
      </c>
      <c r="I82" s="124">
        <v>1267.2068308544308</v>
      </c>
      <c r="J82" s="32">
        <v>3.1789811925417674E-2</v>
      </c>
      <c r="K82" s="32">
        <v>1.0731282148648125E-4</v>
      </c>
      <c r="L82" s="26"/>
      <c r="M82" s="26"/>
    </row>
    <row r="83" spans="2:15" x14ac:dyDescent="0.2">
      <c r="B83" s="23" t="s">
        <v>3109</v>
      </c>
      <c r="C83" s="32" t="s">
        <v>3110</v>
      </c>
      <c r="D83" s="32" t="s">
        <v>191</v>
      </c>
      <c r="E83" s="94" t="s">
        <v>127</v>
      </c>
      <c r="F83" s="94" t="s">
        <v>984</v>
      </c>
      <c r="G83" s="103">
        <v>-366415.88691619143</v>
      </c>
      <c r="H83" s="94">
        <v>0.99739999999999995</v>
      </c>
      <c r="I83" s="124">
        <v>-1263.1041544822758</v>
      </c>
      <c r="J83" s="32">
        <v>-3.1686890044722221E-2</v>
      </c>
      <c r="K83" s="32">
        <v>-1.069653882447862E-4</v>
      </c>
      <c r="L83" s="26"/>
      <c r="M83" s="26"/>
    </row>
    <row r="84" spans="2:15" x14ac:dyDescent="0.2">
      <c r="B84" s="23" t="s">
        <v>3036</v>
      </c>
      <c r="C84" s="32" t="s">
        <v>3111</v>
      </c>
      <c r="D84" s="32" t="s">
        <v>191</v>
      </c>
      <c r="E84" s="94" t="s">
        <v>127</v>
      </c>
      <c r="F84" s="94" t="s">
        <v>3112</v>
      </c>
      <c r="G84" s="103">
        <v>29600000</v>
      </c>
      <c r="H84" s="94">
        <v>0.99970000000000003</v>
      </c>
      <c r="I84" s="124">
        <v>102273.15087</v>
      </c>
      <c r="J84" s="32">
        <v>2.565677639998968</v>
      </c>
      <c r="K84" s="32">
        <v>8.6609542459395433E-3</v>
      </c>
      <c r="L84" s="26"/>
      <c r="M84" s="26"/>
    </row>
    <row r="85" spans="2:15" x14ac:dyDescent="0.2">
      <c r="B85" s="23" t="s">
        <v>3033</v>
      </c>
      <c r="C85" s="32" t="s">
        <v>3113</v>
      </c>
      <c r="D85" s="32" t="s">
        <v>191</v>
      </c>
      <c r="E85" s="94" t="s">
        <v>244</v>
      </c>
      <c r="F85" s="94" t="s">
        <v>3112</v>
      </c>
      <c r="G85" s="103">
        <v>-102860000</v>
      </c>
      <c r="H85" s="94">
        <v>1</v>
      </c>
      <c r="I85" s="124">
        <v>-102861.13145999999</v>
      </c>
      <c r="J85" s="32">
        <v>-2.5804280279520477</v>
      </c>
      <c r="K85" s="32">
        <v>-8.71074710891649E-3</v>
      </c>
      <c r="L85" s="26"/>
      <c r="M85" s="26"/>
    </row>
    <row r="86" spans="2:15" x14ac:dyDescent="0.2">
      <c r="B86" s="23" t="s">
        <v>3036</v>
      </c>
      <c r="C86" s="32" t="s">
        <v>3114</v>
      </c>
      <c r="D86" s="32" t="s">
        <v>191</v>
      </c>
      <c r="E86" s="94" t="s">
        <v>127</v>
      </c>
      <c r="F86" s="94" t="s">
        <v>3115</v>
      </c>
      <c r="G86" s="103">
        <v>20000000</v>
      </c>
      <c r="H86" s="94">
        <v>0.99970000000000003</v>
      </c>
      <c r="I86" s="124">
        <v>69103.480319999988</v>
      </c>
      <c r="J86" s="32">
        <v>1.7335659730332966</v>
      </c>
      <c r="K86" s="32">
        <v>5.851996112327301E-3</v>
      </c>
      <c r="L86" s="26"/>
      <c r="M86" s="26"/>
    </row>
    <row r="87" spans="2:15" x14ac:dyDescent="0.2">
      <c r="B87" s="23" t="s">
        <v>3033</v>
      </c>
      <c r="C87" s="32" t="s">
        <v>3116</v>
      </c>
      <c r="D87" s="32" t="s">
        <v>191</v>
      </c>
      <c r="E87" s="94" t="s">
        <v>244</v>
      </c>
      <c r="F87" s="94" t="s">
        <v>3115</v>
      </c>
      <c r="G87" s="103">
        <v>-69440000</v>
      </c>
      <c r="H87" s="94">
        <v>1</v>
      </c>
      <c r="I87" s="124">
        <v>-69440.76384</v>
      </c>
      <c r="J87" s="32">
        <v>-1.7420272434473092</v>
      </c>
      <c r="K87" s="32">
        <v>-5.8805588104526643E-3</v>
      </c>
      <c r="L87" s="26"/>
      <c r="M87" s="26"/>
    </row>
    <row r="88" spans="2:15" x14ac:dyDescent="0.2">
      <c r="B88" s="23" t="s">
        <v>3040</v>
      </c>
      <c r="C88" s="32" t="s">
        <v>3117</v>
      </c>
      <c r="D88" s="32" t="s">
        <v>191</v>
      </c>
      <c r="E88" s="94" t="s">
        <v>127</v>
      </c>
      <c r="F88" s="94" t="s">
        <v>232</v>
      </c>
      <c r="G88" s="103">
        <v>20000000</v>
      </c>
      <c r="H88" s="94">
        <v>0.99929999999999997</v>
      </c>
      <c r="I88" s="124">
        <v>69075.417600000001</v>
      </c>
      <c r="J88" s="32">
        <v>1.7328619769931917</v>
      </c>
      <c r="K88" s="32">
        <v>5.8496196339273597E-3</v>
      </c>
      <c r="L88" s="26"/>
      <c r="M88" s="26"/>
    </row>
    <row r="89" spans="2:15" x14ac:dyDescent="0.2">
      <c r="B89" s="23" t="s">
        <v>3038</v>
      </c>
      <c r="C89" s="32" t="s">
        <v>3118</v>
      </c>
      <c r="D89" s="32" t="s">
        <v>191</v>
      </c>
      <c r="E89" s="94" t="s">
        <v>244</v>
      </c>
      <c r="F89" s="94" t="s">
        <v>232</v>
      </c>
      <c r="G89" s="103">
        <v>-69079000</v>
      </c>
      <c r="H89" s="94">
        <v>1.0002</v>
      </c>
      <c r="I89" s="124">
        <v>-69098.48027</v>
      </c>
      <c r="J89" s="32">
        <v>-1.7334405391694259</v>
      </c>
      <c r="K89" s="32">
        <v>-5.8515726854170228E-3</v>
      </c>
      <c r="L89" s="26"/>
      <c r="M89" s="26"/>
    </row>
    <row r="90" spans="2:15" x14ac:dyDescent="0.2">
      <c r="B90" s="23" t="s">
        <v>3038</v>
      </c>
      <c r="C90" s="32" t="s">
        <v>3039</v>
      </c>
      <c r="D90" s="32" t="s">
        <v>191</v>
      </c>
      <c r="E90" s="94" t="s">
        <v>244</v>
      </c>
      <c r="F90" s="94" t="s">
        <v>1322</v>
      </c>
      <c r="G90" s="103">
        <v>49334265.200000003</v>
      </c>
      <c r="H90" s="94">
        <v>1.0002</v>
      </c>
      <c r="I90" s="124">
        <v>49348.177459999999</v>
      </c>
      <c r="J90" s="32">
        <v>1.2379741350177007</v>
      </c>
      <c r="K90" s="32">
        <v>4.1790274716854928E-3</v>
      </c>
      <c r="L90" s="18"/>
      <c r="M90" s="18"/>
      <c r="N90" s="18"/>
      <c r="O90" s="18"/>
    </row>
    <row r="91" spans="2:15" x14ac:dyDescent="0.2">
      <c r="B91" s="23" t="s">
        <v>3040</v>
      </c>
      <c r="C91" s="32" t="s">
        <v>3041</v>
      </c>
      <c r="D91" s="32" t="s">
        <v>191</v>
      </c>
      <c r="E91" s="94" t="s">
        <v>127</v>
      </c>
      <c r="F91" s="94" t="s">
        <v>1322</v>
      </c>
      <c r="G91" s="103">
        <v>-14108000</v>
      </c>
      <c r="H91" s="94">
        <v>0.99929999999999997</v>
      </c>
      <c r="I91" s="124">
        <v>-48725.799570000003</v>
      </c>
      <c r="J91" s="32">
        <v>-1.2223608384445614</v>
      </c>
      <c r="K91" s="32">
        <v>-4.1263216893455499E-3</v>
      </c>
      <c r="L91" s="18"/>
      <c r="M91" s="18"/>
      <c r="N91" s="18"/>
      <c r="O91" s="18"/>
    </row>
    <row r="92" spans="2:15" x14ac:dyDescent="0.2">
      <c r="B92" s="23" t="s">
        <v>3038</v>
      </c>
      <c r="C92" s="32" t="s">
        <v>3042</v>
      </c>
      <c r="D92" s="32" t="s">
        <v>191</v>
      </c>
      <c r="E92" s="94" t="s">
        <v>244</v>
      </c>
      <c r="F92" s="94" t="s">
        <v>1322</v>
      </c>
      <c r="G92" s="103">
        <v>1271847.6051660178</v>
      </c>
      <c r="H92" s="94">
        <v>1.0002</v>
      </c>
      <c r="I92" s="124">
        <v>1272.206265899709</v>
      </c>
      <c r="J92" s="32">
        <v>3.1915230362213484E-2</v>
      </c>
      <c r="K92" s="32">
        <v>1.0773619631960574E-4</v>
      </c>
      <c r="L92" s="18"/>
      <c r="M92" s="18"/>
      <c r="N92" s="18"/>
      <c r="O92" s="18"/>
    </row>
    <row r="93" spans="2:15" x14ac:dyDescent="0.2">
      <c r="B93" s="23" t="s">
        <v>3040</v>
      </c>
      <c r="C93" s="32" t="s">
        <v>3043</v>
      </c>
      <c r="D93" s="32" t="s">
        <v>191</v>
      </c>
      <c r="E93" s="94" t="s">
        <v>127</v>
      </c>
      <c r="F93" s="94" t="s">
        <v>1322</v>
      </c>
      <c r="G93" s="103">
        <v>-363707.17068432551</v>
      </c>
      <c r="H93" s="94">
        <v>0.99929999999999997</v>
      </c>
      <c r="I93" s="124">
        <v>-1256.1612349567131</v>
      </c>
      <c r="J93" s="32">
        <v>-3.1512716341932027E-2</v>
      </c>
      <c r="K93" s="32">
        <v>-1.0637743033176E-4</v>
      </c>
      <c r="L93" s="18"/>
      <c r="M93" s="18"/>
      <c r="N93" s="18"/>
      <c r="O93" s="18"/>
    </row>
    <row r="94" spans="2:15" x14ac:dyDescent="0.2">
      <c r="B94" s="23" t="s">
        <v>3046</v>
      </c>
      <c r="C94" s="32" t="s">
        <v>3047</v>
      </c>
      <c r="D94" s="32" t="s">
        <v>191</v>
      </c>
      <c r="E94" s="94" t="s">
        <v>244</v>
      </c>
      <c r="F94" s="94" t="s">
        <v>3048</v>
      </c>
      <c r="G94" s="103">
        <v>13034174.70308196</v>
      </c>
      <c r="H94" s="94">
        <v>1.0002</v>
      </c>
      <c r="I94" s="124">
        <v>13037.641792960234</v>
      </c>
      <c r="J94" s="32">
        <v>0.32706908648031296</v>
      </c>
      <c r="K94" s="32">
        <v>1.1040866354778591E-3</v>
      </c>
      <c r="L94" s="18"/>
      <c r="M94" s="18"/>
      <c r="N94" s="18"/>
      <c r="O94" s="18"/>
    </row>
    <row r="95" spans="2:15" x14ac:dyDescent="0.2">
      <c r="B95" s="23" t="s">
        <v>3049</v>
      </c>
      <c r="C95" s="32" t="s">
        <v>3050</v>
      </c>
      <c r="D95" s="32" t="s">
        <v>191</v>
      </c>
      <c r="E95" s="94" t="s">
        <v>127</v>
      </c>
      <c r="F95" s="94" t="s">
        <v>3048</v>
      </c>
      <c r="G95" s="103">
        <v>-3734720.5452622613</v>
      </c>
      <c r="H95" s="94">
        <v>0.99890000000000001</v>
      </c>
      <c r="I95" s="124">
        <v>-12894.261195108895</v>
      </c>
      <c r="J95" s="32">
        <v>-0.3234721659709951</v>
      </c>
      <c r="K95" s="32">
        <v>-1.0919445161906144E-3</v>
      </c>
      <c r="L95" s="18"/>
      <c r="M95" s="18"/>
      <c r="N95" s="18"/>
      <c r="O95" s="18"/>
    </row>
    <row r="96" spans="2:15" x14ac:dyDescent="0.2">
      <c r="B96" s="23" t="s">
        <v>3051</v>
      </c>
      <c r="C96" s="32" t="s">
        <v>3055</v>
      </c>
      <c r="D96" s="32" t="s">
        <v>191</v>
      </c>
      <c r="E96" s="94" t="s">
        <v>244</v>
      </c>
      <c r="F96" s="94" t="s">
        <v>971</v>
      </c>
      <c r="G96" s="103">
        <v>7111727.5690736305</v>
      </c>
      <c r="H96" s="94">
        <v>1.0003</v>
      </c>
      <c r="I96" s="124">
        <v>7114.1028852993359</v>
      </c>
      <c r="J96" s="32">
        <v>0.1784680978946811</v>
      </c>
      <c r="K96" s="32">
        <v>6.0245449628126856E-4</v>
      </c>
      <c r="L96" s="18"/>
      <c r="M96" s="18"/>
      <c r="N96" s="18"/>
      <c r="O96" s="18"/>
    </row>
    <row r="97" spans="2:15" x14ac:dyDescent="0.2">
      <c r="B97" s="23" t="s">
        <v>3053</v>
      </c>
      <c r="C97" s="32" t="s">
        <v>3056</v>
      </c>
      <c r="D97" s="32" t="s">
        <v>191</v>
      </c>
      <c r="E97" s="94" t="s">
        <v>127</v>
      </c>
      <c r="F97" s="94" t="s">
        <v>971</v>
      </c>
      <c r="G97" s="103">
        <v>-2047424.087792078</v>
      </c>
      <c r="H97" s="94">
        <v>0.99829999999999997</v>
      </c>
      <c r="I97" s="124">
        <v>-7064.0172149424798</v>
      </c>
      <c r="J97" s="32">
        <v>-0.17721162262794871</v>
      </c>
      <c r="K97" s="32">
        <v>-5.9821301456639182E-4</v>
      </c>
      <c r="L97" s="18"/>
      <c r="M97" s="18"/>
      <c r="N97" s="18"/>
      <c r="O97" s="18"/>
    </row>
    <row r="98" spans="2:15" x14ac:dyDescent="0.2">
      <c r="B98" s="23" t="s">
        <v>3051</v>
      </c>
      <c r="C98" s="32" t="s">
        <v>3057</v>
      </c>
      <c r="D98" s="32" t="s">
        <v>191</v>
      </c>
      <c r="E98" s="94" t="s">
        <v>244</v>
      </c>
      <c r="F98" s="94" t="s">
        <v>971</v>
      </c>
      <c r="G98" s="103">
        <v>8754280.1197907329</v>
      </c>
      <c r="H98" s="94">
        <v>1.0003</v>
      </c>
      <c r="I98" s="124">
        <v>8757.204049025584</v>
      </c>
      <c r="J98" s="32">
        <v>0.21968779123714277</v>
      </c>
      <c r="K98" s="32">
        <v>7.4159975463526163E-4</v>
      </c>
      <c r="L98" s="18"/>
      <c r="M98" s="18"/>
      <c r="N98" s="18"/>
      <c r="O98" s="18"/>
    </row>
    <row r="99" spans="2:15" x14ac:dyDescent="0.2">
      <c r="B99" s="23" t="s">
        <v>3053</v>
      </c>
      <c r="C99" s="32" t="s">
        <v>3058</v>
      </c>
      <c r="D99" s="32" t="s">
        <v>191</v>
      </c>
      <c r="E99" s="94" t="s">
        <v>127</v>
      </c>
      <c r="F99" s="94" t="s">
        <v>971</v>
      </c>
      <c r="G99" s="103">
        <v>-2520305.2021853267</v>
      </c>
      <c r="H99" s="94">
        <v>0.99829999999999997</v>
      </c>
      <c r="I99" s="124">
        <v>-8695.55039529233</v>
      </c>
      <c r="J99" s="32">
        <v>-0.21814111550199586</v>
      </c>
      <c r="K99" s="32">
        <v>-7.363786436248317E-4</v>
      </c>
      <c r="L99" s="18"/>
      <c r="M99" s="18"/>
      <c r="N99" s="18"/>
      <c r="O99" s="18"/>
    </row>
    <row r="100" spans="2:15" x14ac:dyDescent="0.2">
      <c r="B100" s="23" t="s">
        <v>3064</v>
      </c>
      <c r="C100" s="32" t="s">
        <v>3065</v>
      </c>
      <c r="D100" s="32" t="s">
        <v>191</v>
      </c>
      <c r="E100" s="94" t="s">
        <v>244</v>
      </c>
      <c r="F100" s="94" t="s">
        <v>1540</v>
      </c>
      <c r="G100" s="103">
        <v>19045525.992884703</v>
      </c>
      <c r="H100" s="94">
        <v>1.0004999999999999</v>
      </c>
      <c r="I100" s="124">
        <v>19055.143983511112</v>
      </c>
      <c r="J100" s="32">
        <v>0.47802728702080244</v>
      </c>
      <c r="K100" s="32">
        <v>1.6136760116128405E-3</v>
      </c>
      <c r="L100" s="18"/>
      <c r="M100" s="18"/>
      <c r="N100" s="18"/>
      <c r="O100" s="18"/>
    </row>
    <row r="101" spans="2:15" x14ac:dyDescent="0.2">
      <c r="B101" s="23" t="s">
        <v>3066</v>
      </c>
      <c r="C101" s="32" t="s">
        <v>3067</v>
      </c>
      <c r="D101" s="32" t="s">
        <v>191</v>
      </c>
      <c r="E101" s="94" t="s">
        <v>127</v>
      </c>
      <c r="F101" s="94" t="s">
        <v>1540</v>
      </c>
      <c r="G101" s="103">
        <v>-5455607.5602648826</v>
      </c>
      <c r="H101" s="94">
        <v>0.99770000000000003</v>
      </c>
      <c r="I101" s="124">
        <v>-18811.497013596327</v>
      </c>
      <c r="J101" s="32">
        <v>-0.47191503197198265</v>
      </c>
      <c r="K101" s="32">
        <v>-1.5930428812101596E-3</v>
      </c>
      <c r="L101" s="18"/>
      <c r="M101" s="18"/>
      <c r="N101" s="18"/>
      <c r="O101" s="18"/>
    </row>
    <row r="102" spans="2:15" x14ac:dyDescent="0.2">
      <c r="B102" s="23" t="s">
        <v>3078</v>
      </c>
      <c r="C102" s="32" t="s">
        <v>3079</v>
      </c>
      <c r="D102" s="32" t="s">
        <v>191</v>
      </c>
      <c r="E102" s="94" t="s">
        <v>244</v>
      </c>
      <c r="F102" s="94" t="s">
        <v>3080</v>
      </c>
      <c r="G102" s="103">
        <v>100751800</v>
      </c>
      <c r="H102" s="94">
        <v>1.0009999999999999</v>
      </c>
      <c r="I102" s="124">
        <v>100859.60442</v>
      </c>
      <c r="J102" s="32">
        <v>2.5302166760117055</v>
      </c>
      <c r="K102" s="32">
        <v>8.5412487218228372E-3</v>
      </c>
      <c r="L102" s="18"/>
      <c r="M102" s="18"/>
      <c r="N102" s="18"/>
      <c r="O102" s="18"/>
    </row>
    <row r="103" spans="2:15" x14ac:dyDescent="0.2">
      <c r="B103" s="23" t="s">
        <v>3081</v>
      </c>
      <c r="C103" s="32" t="s">
        <v>3082</v>
      </c>
      <c r="D103" s="32" t="s">
        <v>191</v>
      </c>
      <c r="E103" s="94" t="s">
        <v>127</v>
      </c>
      <c r="F103" s="94" t="s">
        <v>3080</v>
      </c>
      <c r="G103" s="103">
        <v>-29000000</v>
      </c>
      <c r="H103" s="94">
        <v>0.99650000000000005</v>
      </c>
      <c r="I103" s="124">
        <v>-99882.436600000001</v>
      </c>
      <c r="J103" s="32">
        <v>-2.5057029340865413</v>
      </c>
      <c r="K103" s="32">
        <v>-8.4584977191634776E-3</v>
      </c>
      <c r="L103" s="18"/>
      <c r="M103" s="18"/>
      <c r="N103" s="18"/>
      <c r="O103" s="18"/>
    </row>
    <row r="104" spans="2:15" x14ac:dyDescent="0.2">
      <c r="B104" s="23" t="s">
        <v>3009</v>
      </c>
      <c r="C104" s="32" t="s">
        <v>3010</v>
      </c>
      <c r="D104" s="32" t="s">
        <v>191</v>
      </c>
      <c r="E104" s="94" t="s">
        <v>244</v>
      </c>
      <c r="F104" s="94" t="s">
        <v>3011</v>
      </c>
      <c r="G104" s="103">
        <v>12084500</v>
      </c>
      <c r="H104" s="94">
        <v>105.1662</v>
      </c>
      <c r="I104" s="124">
        <v>12708.815359999999</v>
      </c>
      <c r="J104" s="32">
        <v>0.31881997496560976</v>
      </c>
      <c r="K104" s="32">
        <v>1.076240121837694E-3</v>
      </c>
      <c r="L104" s="18"/>
      <c r="M104" s="18"/>
      <c r="N104" s="18"/>
      <c r="O104" s="18"/>
    </row>
    <row r="105" spans="2:15" x14ac:dyDescent="0.2">
      <c r="B105" s="23" t="s">
        <v>3014</v>
      </c>
      <c r="C105" s="32" t="s">
        <v>3015</v>
      </c>
      <c r="D105" s="32" t="s">
        <v>191</v>
      </c>
      <c r="E105" s="94" t="s">
        <v>244</v>
      </c>
      <c r="F105" s="94" t="s">
        <v>3016</v>
      </c>
      <c r="G105" s="103">
        <v>6706000</v>
      </c>
      <c r="H105" s="94">
        <v>105.1734</v>
      </c>
      <c r="I105" s="124">
        <v>7052.9301399999995</v>
      </c>
      <c r="J105" s="32">
        <v>0.17693348647949786</v>
      </c>
      <c r="K105" s="32">
        <v>5.9727411077804382E-4</v>
      </c>
      <c r="L105" s="18"/>
      <c r="M105" s="18"/>
      <c r="N105" s="18"/>
      <c r="O105" s="18"/>
    </row>
    <row r="106" spans="2:15" x14ac:dyDescent="0.2">
      <c r="B106" s="23" t="s">
        <v>3020</v>
      </c>
      <c r="C106" s="32" t="s">
        <v>3021</v>
      </c>
      <c r="D106" s="32" t="s">
        <v>191</v>
      </c>
      <c r="E106" s="94" t="s">
        <v>244</v>
      </c>
      <c r="F106" s="94" t="s">
        <v>3022</v>
      </c>
      <c r="G106" s="103">
        <v>33264000</v>
      </c>
      <c r="H106" s="94">
        <v>103.07040000000001</v>
      </c>
      <c r="I106" s="124">
        <v>34285.344840000005</v>
      </c>
      <c r="J106" s="32">
        <v>0.86010005448502325</v>
      </c>
      <c r="K106" s="32">
        <v>2.9034384923071984E-3</v>
      </c>
      <c r="L106" s="18"/>
      <c r="M106" s="18"/>
      <c r="N106" s="18"/>
      <c r="O106" s="18"/>
    </row>
    <row r="107" spans="2:15" x14ac:dyDescent="0.2">
      <c r="B107" s="23" t="s">
        <v>3023</v>
      </c>
      <c r="C107" s="32" t="s">
        <v>3024</v>
      </c>
      <c r="D107" s="32" t="s">
        <v>191</v>
      </c>
      <c r="E107" s="94" t="s">
        <v>128</v>
      </c>
      <c r="F107" s="94" t="s">
        <v>3011</v>
      </c>
      <c r="G107" s="103">
        <v>-2500000</v>
      </c>
      <c r="H107" s="94">
        <v>104.8073</v>
      </c>
      <c r="I107" s="124">
        <v>-10161.600199999999</v>
      </c>
      <c r="J107" s="32">
        <v>-0.25491920604742624</v>
      </c>
      <c r="K107" s="32">
        <v>-8.6053038993194858E-4</v>
      </c>
      <c r="L107" s="18"/>
      <c r="M107" s="18"/>
      <c r="N107" s="18"/>
      <c r="O107" s="18"/>
    </row>
    <row r="108" spans="2:15" x14ac:dyDescent="0.2">
      <c r="B108" s="23" t="s">
        <v>3027</v>
      </c>
      <c r="C108" s="32" t="s">
        <v>3028</v>
      </c>
      <c r="D108" s="32" t="s">
        <v>191</v>
      </c>
      <c r="E108" s="94" t="s">
        <v>128</v>
      </c>
      <c r="F108" s="94" t="s">
        <v>3016</v>
      </c>
      <c r="G108" s="103">
        <v>-1400000</v>
      </c>
      <c r="H108" s="94">
        <v>104.2157</v>
      </c>
      <c r="I108" s="124">
        <v>-5658.3725899999999</v>
      </c>
      <c r="J108" s="32">
        <v>-0.14194888794811261</v>
      </c>
      <c r="K108" s="32">
        <v>-4.791766528319969E-4</v>
      </c>
      <c r="L108" s="18"/>
      <c r="M108" s="18"/>
      <c r="N108" s="18"/>
      <c r="O108" s="18"/>
    </row>
    <row r="109" spans="2:15" x14ac:dyDescent="0.2">
      <c r="B109" s="23" t="s">
        <v>3031</v>
      </c>
      <c r="C109" s="32" t="s">
        <v>3032</v>
      </c>
      <c r="D109" s="32" t="s">
        <v>191</v>
      </c>
      <c r="E109" s="94" t="s">
        <v>128</v>
      </c>
      <c r="F109" s="94" t="s">
        <v>3022</v>
      </c>
      <c r="G109" s="103">
        <v>-6600000</v>
      </c>
      <c r="H109" s="94">
        <v>104.8073</v>
      </c>
      <c r="I109" s="124">
        <v>-26826.624540000001</v>
      </c>
      <c r="J109" s="32">
        <v>-0.67298670426624352</v>
      </c>
      <c r="K109" s="32">
        <v>-2.2718002304365588E-3</v>
      </c>
      <c r="L109" s="18"/>
      <c r="M109" s="18"/>
      <c r="N109" s="18"/>
      <c r="O109" s="18"/>
    </row>
    <row r="110" spans="2:15" x14ac:dyDescent="0.2">
      <c r="B110" s="23" t="s">
        <v>3033</v>
      </c>
      <c r="C110" s="32" t="s">
        <v>3034</v>
      </c>
      <c r="D110" s="32" t="s">
        <v>191</v>
      </c>
      <c r="E110" s="94" t="s">
        <v>244</v>
      </c>
      <c r="F110" s="94" t="s">
        <v>3035</v>
      </c>
      <c r="G110" s="103">
        <v>1275157.3404192452</v>
      </c>
      <c r="H110" s="94">
        <v>1</v>
      </c>
      <c r="I110" s="124">
        <v>1275.1713671499899</v>
      </c>
      <c r="J110" s="32">
        <v>3.198961443969095E-2</v>
      </c>
      <c r="K110" s="32">
        <v>1.0798729454083785E-4</v>
      </c>
      <c r="L110" s="18"/>
      <c r="M110" s="18"/>
      <c r="N110" s="18"/>
      <c r="O110" s="18"/>
    </row>
    <row r="111" spans="2:15" x14ac:dyDescent="0.2">
      <c r="B111" s="23" t="s">
        <v>3036</v>
      </c>
      <c r="C111" s="32" t="s">
        <v>3037</v>
      </c>
      <c r="D111" s="32" t="s">
        <v>191</v>
      </c>
      <c r="E111" s="94" t="s">
        <v>127</v>
      </c>
      <c r="F111" s="94" t="s">
        <v>3035</v>
      </c>
      <c r="G111" s="103">
        <v>-363707.17068432551</v>
      </c>
      <c r="H111" s="94">
        <v>0.99970000000000003</v>
      </c>
      <c r="I111" s="124">
        <v>-1256.6715655813584</v>
      </c>
      <c r="J111" s="32">
        <v>-3.1525518762328009E-2</v>
      </c>
      <c r="K111" s="32">
        <v>-1.0642064744351177E-4</v>
      </c>
      <c r="L111" s="18"/>
      <c r="M111" s="18"/>
      <c r="N111" s="18"/>
      <c r="O111" s="18"/>
    </row>
    <row r="112" spans="2:15" x14ac:dyDescent="0.2">
      <c r="B112" s="23" t="s">
        <v>3038</v>
      </c>
      <c r="C112" s="32" t="s">
        <v>3044</v>
      </c>
      <c r="D112" s="32" t="s">
        <v>191</v>
      </c>
      <c r="E112" s="94" t="s">
        <v>244</v>
      </c>
      <c r="F112" s="94" t="s">
        <v>2972</v>
      </c>
      <c r="G112" s="103">
        <v>107519510.7</v>
      </c>
      <c r="H112" s="94">
        <v>1.0002</v>
      </c>
      <c r="I112" s="124">
        <v>107549.8312</v>
      </c>
      <c r="J112" s="32">
        <v>2.698051196704109</v>
      </c>
      <c r="K112" s="32">
        <v>9.1078074671399941E-3</v>
      </c>
      <c r="L112" s="18"/>
      <c r="M112" s="18"/>
      <c r="N112" s="18"/>
      <c r="O112" s="18"/>
    </row>
    <row r="113" spans="2:15" x14ac:dyDescent="0.2">
      <c r="B113" s="23" t="s">
        <v>3040</v>
      </c>
      <c r="C113" s="32" t="s">
        <v>3045</v>
      </c>
      <c r="D113" s="32" t="s">
        <v>191</v>
      </c>
      <c r="E113" s="94" t="s">
        <v>127</v>
      </c>
      <c r="F113" s="94" t="s">
        <v>2972</v>
      </c>
      <c r="G113" s="103">
        <v>-30807000</v>
      </c>
      <c r="H113" s="94">
        <v>0.99929999999999997</v>
      </c>
      <c r="I113" s="124">
        <v>-106400.3195</v>
      </c>
      <c r="J113" s="32">
        <v>-2.6692139462574489</v>
      </c>
      <c r="K113" s="32">
        <v>-9.0104616031064597E-3</v>
      </c>
      <c r="L113" s="18"/>
      <c r="M113" s="18"/>
      <c r="N113" s="18"/>
      <c r="O113" s="18"/>
    </row>
    <row r="114" spans="2:15" x14ac:dyDescent="0.2">
      <c r="B114" s="23" t="s">
        <v>3051</v>
      </c>
      <c r="C114" s="32" t="s">
        <v>3052</v>
      </c>
      <c r="D114" s="32" t="s">
        <v>191</v>
      </c>
      <c r="E114" s="94" t="s">
        <v>244</v>
      </c>
      <c r="F114" s="94" t="s">
        <v>971</v>
      </c>
      <c r="G114" s="103">
        <v>455421500</v>
      </c>
      <c r="H114" s="94">
        <v>1.0003</v>
      </c>
      <c r="I114" s="124">
        <v>455573.61077999999</v>
      </c>
      <c r="J114" s="32">
        <v>11.428757367978006</v>
      </c>
      <c r="K114" s="32">
        <v>3.8580039483074639E-2</v>
      </c>
      <c r="L114" s="18"/>
      <c r="M114" s="18"/>
      <c r="N114" s="18"/>
      <c r="O114" s="18"/>
    </row>
    <row r="115" spans="2:15" x14ac:dyDescent="0.2">
      <c r="B115" s="23" t="s">
        <v>3053</v>
      </c>
      <c r="C115" s="32" t="s">
        <v>3054</v>
      </c>
      <c r="D115" s="32" t="s">
        <v>191</v>
      </c>
      <c r="E115" s="94" t="s">
        <v>127</v>
      </c>
      <c r="F115" s="94" t="s">
        <v>971</v>
      </c>
      <c r="G115" s="103">
        <v>-131000000</v>
      </c>
      <c r="H115" s="94">
        <v>0.99829999999999997</v>
      </c>
      <c r="I115" s="124">
        <v>-451975.85625000001</v>
      </c>
      <c r="J115" s="32">
        <v>-11.338502220138089</v>
      </c>
      <c r="K115" s="32">
        <v>-3.8275365312900114E-2</v>
      </c>
      <c r="L115" s="18"/>
      <c r="M115" s="18"/>
      <c r="N115" s="18"/>
      <c r="O115" s="18"/>
    </row>
    <row r="116" spans="2:15" x14ac:dyDescent="0.2">
      <c r="B116" s="23" t="s">
        <v>3068</v>
      </c>
      <c r="C116" s="32" t="s">
        <v>3069</v>
      </c>
      <c r="D116" s="32" t="s">
        <v>191</v>
      </c>
      <c r="E116" s="94" t="s">
        <v>244</v>
      </c>
      <c r="F116" s="94" t="s">
        <v>974</v>
      </c>
      <c r="G116" s="103">
        <v>45385600</v>
      </c>
      <c r="H116" s="94">
        <v>1.0019</v>
      </c>
      <c r="I116" s="124">
        <v>45473.557289999997</v>
      </c>
      <c r="J116" s="32">
        <v>1.1407733912340845</v>
      </c>
      <c r="K116" s="32">
        <v>3.8509070634718048E-3</v>
      </c>
      <c r="L116" s="18"/>
      <c r="M116" s="18"/>
      <c r="N116" s="18"/>
      <c r="O116" s="18"/>
    </row>
    <row r="117" spans="2:15" x14ac:dyDescent="0.2">
      <c r="B117" s="23" t="s">
        <v>3070</v>
      </c>
      <c r="C117" s="32" t="s">
        <v>3071</v>
      </c>
      <c r="D117" s="32" t="s">
        <v>191</v>
      </c>
      <c r="E117" s="94" t="s">
        <v>127</v>
      </c>
      <c r="F117" s="94" t="s">
        <v>974</v>
      </c>
      <c r="G117" s="103">
        <v>-13000000</v>
      </c>
      <c r="H117" s="94">
        <v>0.99409999999999998</v>
      </c>
      <c r="I117" s="124">
        <v>-44663.598720000002</v>
      </c>
      <c r="J117" s="32">
        <v>-1.1204543478224269</v>
      </c>
      <c r="K117" s="32">
        <v>-3.7823160984315918E-3</v>
      </c>
      <c r="L117" s="18"/>
      <c r="M117" s="18"/>
      <c r="N117" s="18"/>
      <c r="O117" s="18"/>
    </row>
    <row r="118" spans="2:15" x14ac:dyDescent="0.2">
      <c r="B118" s="23" t="s">
        <v>3089</v>
      </c>
      <c r="C118" s="32" t="s">
        <v>3090</v>
      </c>
      <c r="D118" s="32" t="s">
        <v>191</v>
      </c>
      <c r="E118" s="94" t="s">
        <v>244</v>
      </c>
      <c r="F118" s="94" t="s">
        <v>2900</v>
      </c>
      <c r="G118" s="103">
        <v>403650000</v>
      </c>
      <c r="H118" s="94">
        <v>1.0004</v>
      </c>
      <c r="I118" s="124">
        <v>403815.09285000002</v>
      </c>
      <c r="J118" s="32">
        <v>10.13031617395159</v>
      </c>
      <c r="K118" s="32">
        <v>3.4196893448988137E-2</v>
      </c>
      <c r="L118" s="26"/>
      <c r="M118" s="26"/>
    </row>
    <row r="119" spans="2:15" x14ac:dyDescent="0.2">
      <c r="B119" s="23" t="s">
        <v>3091</v>
      </c>
      <c r="C119" s="32" t="s">
        <v>3092</v>
      </c>
      <c r="D119" s="32" t="s">
        <v>191</v>
      </c>
      <c r="E119" s="94" t="s">
        <v>127</v>
      </c>
      <c r="F119" s="94" t="s">
        <v>2900</v>
      </c>
      <c r="G119" s="103">
        <v>-117000000</v>
      </c>
      <c r="H119" s="94">
        <v>0.998</v>
      </c>
      <c r="I119" s="124">
        <v>-403568.77017000003</v>
      </c>
      <c r="J119" s="32">
        <v>-10.124136794643096</v>
      </c>
      <c r="K119" s="32">
        <v>-3.4176033727320532E-2</v>
      </c>
      <c r="L119" s="26"/>
      <c r="M119" s="26"/>
    </row>
    <row r="120" spans="2:15" x14ac:dyDescent="0.2">
      <c r="B120" s="23" t="s">
        <v>3093</v>
      </c>
      <c r="C120" s="32" t="s">
        <v>3094</v>
      </c>
      <c r="D120" s="32" t="s">
        <v>191</v>
      </c>
      <c r="E120" s="94" t="s">
        <v>244</v>
      </c>
      <c r="F120" s="94" t="s">
        <v>2900</v>
      </c>
      <c r="G120" s="103">
        <v>20700000</v>
      </c>
      <c r="H120" s="94">
        <v>1.0004</v>
      </c>
      <c r="I120" s="124">
        <v>20710.2258</v>
      </c>
      <c r="J120" s="32">
        <v>0.51954753327127778</v>
      </c>
      <c r="K120" s="32">
        <v>1.753835845977556E-3</v>
      </c>
      <c r="L120" s="26"/>
      <c r="M120" s="26"/>
    </row>
    <row r="121" spans="2:15" x14ac:dyDescent="0.2">
      <c r="B121" s="23" t="s">
        <v>3095</v>
      </c>
      <c r="C121" s="32" t="s">
        <v>3096</v>
      </c>
      <c r="D121" s="32" t="s">
        <v>191</v>
      </c>
      <c r="E121" s="94" t="s">
        <v>127</v>
      </c>
      <c r="F121" s="94" t="s">
        <v>2900</v>
      </c>
      <c r="G121" s="103">
        <v>-6000000</v>
      </c>
      <c r="H121" s="94">
        <v>0.99770000000000003</v>
      </c>
      <c r="I121" s="124">
        <v>-20689.530620000001</v>
      </c>
      <c r="J121" s="32">
        <v>-0.51902836318479784</v>
      </c>
      <c r="K121" s="32">
        <v>-1.7520832842781585E-3</v>
      </c>
      <c r="L121" s="26"/>
      <c r="M121" s="26"/>
    </row>
    <row r="122" spans="2:15" x14ac:dyDescent="0.2">
      <c r="B122" s="23" t="s">
        <v>3097</v>
      </c>
      <c r="C122" s="32" t="s">
        <v>3101</v>
      </c>
      <c r="D122" s="32" t="s">
        <v>191</v>
      </c>
      <c r="E122" s="94" t="s">
        <v>244</v>
      </c>
      <c r="F122" s="94" t="s">
        <v>1371</v>
      </c>
      <c r="G122" s="103">
        <v>1507057.0324475712</v>
      </c>
      <c r="H122" s="94">
        <v>1.0008999999999999</v>
      </c>
      <c r="I122" s="124">
        <v>1508.414890615582</v>
      </c>
      <c r="J122" s="32">
        <v>3.7840883201234334E-2</v>
      </c>
      <c r="K122" s="32">
        <v>1.2773941391638143E-4</v>
      </c>
      <c r="L122" s="26"/>
      <c r="M122" s="26"/>
    </row>
    <row r="123" spans="2:15" x14ac:dyDescent="0.2">
      <c r="B123" s="23" t="s">
        <v>3099</v>
      </c>
      <c r="C123" s="32" t="s">
        <v>3102</v>
      </c>
      <c r="D123" s="32" t="s">
        <v>191</v>
      </c>
      <c r="E123" s="94" t="s">
        <v>127</v>
      </c>
      <c r="F123" s="94" t="s">
        <v>1371</v>
      </c>
      <c r="G123" s="103">
        <v>-436448.60482119059</v>
      </c>
      <c r="H123" s="94">
        <v>0.99680000000000002</v>
      </c>
      <c r="I123" s="124">
        <v>-1503.6512246726218</v>
      </c>
      <c r="J123" s="32">
        <v>-3.7721379391189282E-2</v>
      </c>
      <c r="K123" s="32">
        <v>-1.2733600508010374E-4</v>
      </c>
      <c r="L123" s="26"/>
      <c r="M123" s="26"/>
    </row>
    <row r="124" spans="2:15" s="160" customFormat="1" x14ac:dyDescent="0.2">
      <c r="B124" s="132" t="s">
        <v>3119</v>
      </c>
      <c r="C124" s="167" t="s">
        <v>238</v>
      </c>
      <c r="D124" s="167" t="s">
        <v>238</v>
      </c>
      <c r="E124" s="168" t="s">
        <v>238</v>
      </c>
      <c r="F124" s="168" t="s">
        <v>238</v>
      </c>
      <c r="G124" s="178" t="s">
        <v>238</v>
      </c>
      <c r="H124" s="168" t="s">
        <v>238</v>
      </c>
      <c r="I124" s="169">
        <v>5443.8665236589022</v>
      </c>
      <c r="J124" s="167">
        <v>0.13656767681524115</v>
      </c>
      <c r="K124" s="167">
        <v>4.6101130630406782E-4</v>
      </c>
      <c r="L124" s="200"/>
      <c r="M124" s="200"/>
      <c r="N124" s="175"/>
      <c r="O124" s="175"/>
    </row>
    <row r="125" spans="2:15" s="160" customFormat="1" x14ac:dyDescent="0.2">
      <c r="B125" s="132" t="s">
        <v>2406</v>
      </c>
      <c r="C125" s="167" t="s">
        <v>238</v>
      </c>
      <c r="D125" s="167" t="s">
        <v>238</v>
      </c>
      <c r="E125" s="168" t="s">
        <v>238</v>
      </c>
      <c r="F125" s="168" t="s">
        <v>238</v>
      </c>
      <c r="G125" s="178" t="s">
        <v>238</v>
      </c>
      <c r="H125" s="168" t="s">
        <v>238</v>
      </c>
      <c r="I125" s="169">
        <v>1396.1296152503583</v>
      </c>
      <c r="J125" s="167">
        <v>3.5024036180730668E-2</v>
      </c>
      <c r="K125" s="167">
        <v>1.1823058756109419E-4</v>
      </c>
      <c r="L125" s="200"/>
      <c r="M125" s="200"/>
      <c r="N125" s="175"/>
      <c r="O125" s="175"/>
    </row>
    <row r="126" spans="2:15" x14ac:dyDescent="0.2">
      <c r="B126" s="23" t="s">
        <v>3120</v>
      </c>
      <c r="C126" s="32" t="s">
        <v>3121</v>
      </c>
      <c r="D126" s="32" t="s">
        <v>191</v>
      </c>
      <c r="E126" s="94" t="s">
        <v>2</v>
      </c>
      <c r="F126" s="94" t="s">
        <v>2923</v>
      </c>
      <c r="G126" s="103">
        <v>2756.2423841457339</v>
      </c>
      <c r="H126" s="94">
        <v>324.3</v>
      </c>
      <c r="I126" s="124">
        <v>4075.685132716203</v>
      </c>
      <c r="J126" s="32">
        <v>0.10224476437592118</v>
      </c>
      <c r="K126" s="32">
        <v>3.4514750112842659E-4</v>
      </c>
      <c r="L126" s="26"/>
      <c r="M126" s="26"/>
    </row>
    <row r="127" spans="2:15" x14ac:dyDescent="0.2">
      <c r="B127" s="23" t="s">
        <v>3122</v>
      </c>
      <c r="C127" s="32" t="s">
        <v>3123</v>
      </c>
      <c r="D127" s="32" t="s">
        <v>191</v>
      </c>
      <c r="E127" s="94" t="s">
        <v>2</v>
      </c>
      <c r="F127" s="94" t="s">
        <v>2923</v>
      </c>
      <c r="G127" s="103">
        <v>-2756.2423841457339</v>
      </c>
      <c r="H127" s="94">
        <v>314.5</v>
      </c>
      <c r="I127" s="124">
        <v>-3952.5222763691218</v>
      </c>
      <c r="J127" s="32">
        <v>-9.9155036681799619E-2</v>
      </c>
      <c r="K127" s="32">
        <v>-3.3471751188347615E-4</v>
      </c>
      <c r="L127" s="26"/>
      <c r="M127" s="26"/>
    </row>
    <row r="128" spans="2:15" x14ac:dyDescent="0.2">
      <c r="B128" s="23" t="s">
        <v>3124</v>
      </c>
      <c r="C128" s="32" t="s">
        <v>3125</v>
      </c>
      <c r="D128" s="32" t="s">
        <v>191</v>
      </c>
      <c r="E128" s="94" t="s">
        <v>127</v>
      </c>
      <c r="F128" s="94" t="s">
        <v>3126</v>
      </c>
      <c r="G128" s="103">
        <v>31659.972222191773</v>
      </c>
      <c r="H128" s="94">
        <v>106.36</v>
      </c>
      <c r="I128" s="124">
        <v>11637.577654519217</v>
      </c>
      <c r="J128" s="32">
        <v>0.29194634679735854</v>
      </c>
      <c r="K128" s="32">
        <v>9.8552285464908909E-4</v>
      </c>
      <c r="L128" s="26"/>
      <c r="M128" s="26"/>
    </row>
    <row r="129" spans="2:15" x14ac:dyDescent="0.2">
      <c r="B129" s="23" t="s">
        <v>3127</v>
      </c>
      <c r="C129" s="32" t="s">
        <v>3128</v>
      </c>
      <c r="D129" s="32" t="s">
        <v>191</v>
      </c>
      <c r="E129" s="94" t="s">
        <v>127</v>
      </c>
      <c r="F129" s="94" t="s">
        <v>3126</v>
      </c>
      <c r="G129" s="103">
        <v>-31659.972222191773</v>
      </c>
      <c r="H129" s="94">
        <v>100.44</v>
      </c>
      <c r="I129" s="124">
        <v>-10989.829819480936</v>
      </c>
      <c r="J129" s="32">
        <v>-0.27569660654218708</v>
      </c>
      <c r="K129" s="32">
        <v>-9.3066863030526301E-4</v>
      </c>
      <c r="L129" s="26"/>
      <c r="M129" s="26"/>
    </row>
    <row r="130" spans="2:15" x14ac:dyDescent="0.2">
      <c r="B130" s="23" t="s">
        <v>3129</v>
      </c>
      <c r="C130" s="32" t="s">
        <v>3130</v>
      </c>
      <c r="D130" s="32" t="s">
        <v>191</v>
      </c>
      <c r="E130" s="94" t="s">
        <v>2</v>
      </c>
      <c r="F130" s="94" t="s">
        <v>3131</v>
      </c>
      <c r="G130" s="103">
        <v>23302.066679949206</v>
      </c>
      <c r="H130" s="94">
        <v>121.12</v>
      </c>
      <c r="I130" s="124">
        <v>12869.052498281708</v>
      </c>
      <c r="J130" s="32">
        <v>0.32283976744574344</v>
      </c>
      <c r="K130" s="32">
        <v>1.0898097294165417E-3</v>
      </c>
      <c r="L130" s="26"/>
      <c r="M130" s="26"/>
    </row>
    <row r="131" spans="2:15" x14ac:dyDescent="0.2">
      <c r="B131" s="23" t="s">
        <v>3132</v>
      </c>
      <c r="C131" s="32" t="s">
        <v>3133</v>
      </c>
      <c r="D131" s="32" t="s">
        <v>191</v>
      </c>
      <c r="E131" s="94" t="s">
        <v>2</v>
      </c>
      <c r="F131" s="94" t="s">
        <v>3131</v>
      </c>
      <c r="G131" s="103">
        <v>-23302.066679949206</v>
      </c>
      <c r="H131" s="94">
        <v>113.55</v>
      </c>
      <c r="I131" s="124">
        <v>-12064.736717010675</v>
      </c>
      <c r="J131" s="32">
        <v>-0.30266228197716272</v>
      </c>
      <c r="K131" s="32">
        <v>-1.0216966213171322E-3</v>
      </c>
      <c r="L131" s="26"/>
      <c r="M131" s="26"/>
    </row>
    <row r="132" spans="2:15" x14ac:dyDescent="0.2">
      <c r="B132" s="23" t="s">
        <v>3129</v>
      </c>
      <c r="C132" s="32" t="s">
        <v>3134</v>
      </c>
      <c r="D132" s="32" t="s">
        <v>191</v>
      </c>
      <c r="E132" s="94" t="s">
        <v>2</v>
      </c>
      <c r="F132" s="94" t="s">
        <v>3135</v>
      </c>
      <c r="G132" s="103">
        <v>10071.336110115873</v>
      </c>
      <c r="H132" s="94">
        <v>121.12</v>
      </c>
      <c r="I132" s="124">
        <v>5562.1054949335703</v>
      </c>
      <c r="J132" s="32">
        <v>0.13953388135861639</v>
      </c>
      <c r="K132" s="32">
        <v>4.7102431863023104E-4</v>
      </c>
      <c r="L132" s="26"/>
      <c r="M132" s="26"/>
    </row>
    <row r="133" spans="2:15" x14ac:dyDescent="0.2">
      <c r="B133" s="23" t="s">
        <v>3132</v>
      </c>
      <c r="C133" s="32" t="s">
        <v>3136</v>
      </c>
      <c r="D133" s="32" t="s">
        <v>191</v>
      </c>
      <c r="E133" s="94" t="s">
        <v>2</v>
      </c>
      <c r="F133" s="94" t="s">
        <v>3135</v>
      </c>
      <c r="G133" s="103">
        <v>-10071.336110115873</v>
      </c>
      <c r="H133" s="94">
        <v>125.02</v>
      </c>
      <c r="I133" s="124">
        <v>-5741.2023524396072</v>
      </c>
      <c r="J133" s="32">
        <v>-0.14402679859826806</v>
      </c>
      <c r="K133" s="32">
        <v>-4.8619105276579138E-4</v>
      </c>
      <c r="L133" s="26"/>
      <c r="M133" s="26"/>
    </row>
    <row r="134" spans="2:15" s="160" customFormat="1" x14ac:dyDescent="0.2">
      <c r="B134" s="132" t="s">
        <v>2429</v>
      </c>
      <c r="C134" s="167" t="s">
        <v>238</v>
      </c>
      <c r="D134" s="167" t="s">
        <v>238</v>
      </c>
      <c r="E134" s="168" t="s">
        <v>238</v>
      </c>
      <c r="F134" s="168" t="s">
        <v>238</v>
      </c>
      <c r="G134" s="178" t="s">
        <v>238</v>
      </c>
      <c r="H134" s="168" t="s">
        <v>238</v>
      </c>
      <c r="I134" s="169">
        <v>4047.7369082085538</v>
      </c>
      <c r="J134" s="167">
        <v>0.10154364062949341</v>
      </c>
      <c r="K134" s="167">
        <v>3.4278071872603756E-4</v>
      </c>
      <c r="L134" s="200"/>
      <c r="M134" s="200"/>
      <c r="N134" s="175"/>
      <c r="O134" s="175"/>
    </row>
    <row r="135" spans="2:15" x14ac:dyDescent="0.2">
      <c r="B135" s="23" t="s">
        <v>2966</v>
      </c>
      <c r="C135" s="32" t="s">
        <v>3137</v>
      </c>
      <c r="D135" s="32" t="s">
        <v>191</v>
      </c>
      <c r="E135" s="94" t="s">
        <v>127</v>
      </c>
      <c r="F135" s="94" t="s">
        <v>2965</v>
      </c>
      <c r="G135" s="103">
        <v>36920597.840000004</v>
      </c>
      <c r="H135" s="94">
        <v>0.99960000000000004</v>
      </c>
      <c r="I135" s="124">
        <v>127551.26820999999</v>
      </c>
      <c r="J135" s="32">
        <v>3.1998176844662236</v>
      </c>
      <c r="K135" s="32">
        <v>1.0801619863873985E-2</v>
      </c>
      <c r="L135" s="26"/>
      <c r="M135" s="26"/>
    </row>
    <row r="136" spans="2:15" x14ac:dyDescent="0.2">
      <c r="B136" s="23" t="s">
        <v>2963</v>
      </c>
      <c r="C136" s="32" t="s">
        <v>3138</v>
      </c>
      <c r="D136" s="32" t="s">
        <v>191</v>
      </c>
      <c r="E136" s="94" t="s">
        <v>128</v>
      </c>
      <c r="F136" s="94" t="s">
        <v>2965</v>
      </c>
      <c r="G136" s="103">
        <v>-32204000</v>
      </c>
      <c r="H136" s="94">
        <v>1.0004</v>
      </c>
      <c r="I136" s="124">
        <v>-124948.25617000001</v>
      </c>
      <c r="J136" s="32">
        <v>-3.1345171658954687</v>
      </c>
      <c r="K136" s="32">
        <v>-1.0581184999119244E-2</v>
      </c>
      <c r="L136" s="26"/>
      <c r="M136" s="26"/>
    </row>
    <row r="137" spans="2:15" x14ac:dyDescent="0.2">
      <c r="B137" s="23" t="s">
        <v>2963</v>
      </c>
      <c r="C137" s="32" t="s">
        <v>3139</v>
      </c>
      <c r="D137" s="32" t="s">
        <v>191</v>
      </c>
      <c r="E137" s="94" t="s">
        <v>128</v>
      </c>
      <c r="F137" s="94" t="s">
        <v>2965</v>
      </c>
      <c r="G137" s="103">
        <v>631845.93761428969</v>
      </c>
      <c r="H137" s="94">
        <v>1.0004</v>
      </c>
      <c r="I137" s="124">
        <v>2451.4982008339325</v>
      </c>
      <c r="J137" s="32">
        <v>6.1499563325004655E-2</v>
      </c>
      <c r="K137" s="32">
        <v>2.0760398570700454E-4</v>
      </c>
      <c r="L137" s="26"/>
      <c r="M137" s="26"/>
    </row>
    <row r="138" spans="2:15" x14ac:dyDescent="0.2">
      <c r="B138" s="23" t="s">
        <v>2966</v>
      </c>
      <c r="C138" s="32" t="s">
        <v>3140</v>
      </c>
      <c r="D138" s="32" t="s">
        <v>191</v>
      </c>
      <c r="E138" s="94" t="s">
        <v>127</v>
      </c>
      <c r="F138" s="94" t="s">
        <v>2965</v>
      </c>
      <c r="G138" s="103">
        <v>-724386.09363727854</v>
      </c>
      <c r="H138" s="94">
        <v>0.99960000000000004</v>
      </c>
      <c r="I138" s="124">
        <v>-2502.5695761095435</v>
      </c>
      <c r="J138" s="32">
        <v>-6.2780766499777152E-2</v>
      </c>
      <c r="K138" s="32">
        <v>-2.1192894138478079E-4</v>
      </c>
      <c r="L138" s="26"/>
      <c r="M138" s="26"/>
    </row>
    <row r="139" spans="2:15" x14ac:dyDescent="0.2">
      <c r="B139" s="23" t="s">
        <v>2963</v>
      </c>
      <c r="C139" s="32" t="s">
        <v>3141</v>
      </c>
      <c r="D139" s="32" t="s">
        <v>191</v>
      </c>
      <c r="E139" s="94" t="s">
        <v>128</v>
      </c>
      <c r="F139" s="94" t="s">
        <v>2965</v>
      </c>
      <c r="G139" s="103">
        <v>16080877.387483796</v>
      </c>
      <c r="H139" s="94">
        <v>1.0004</v>
      </c>
      <c r="I139" s="124">
        <v>62392.174492061939</v>
      </c>
      <c r="J139" s="32">
        <v>1.5652026523429752</v>
      </c>
      <c r="K139" s="32">
        <v>5.2836522976328314E-3</v>
      </c>
      <c r="L139" s="26"/>
      <c r="M139" s="26"/>
    </row>
    <row r="140" spans="2:15" x14ac:dyDescent="0.2">
      <c r="B140" s="23" t="s">
        <v>2966</v>
      </c>
      <c r="C140" s="32" t="s">
        <v>3142</v>
      </c>
      <c r="D140" s="32" t="s">
        <v>191</v>
      </c>
      <c r="E140" s="94" t="s">
        <v>127</v>
      </c>
      <c r="F140" s="94" t="s">
        <v>2965</v>
      </c>
      <c r="G140" s="103">
        <v>-18436082.689654671</v>
      </c>
      <c r="H140" s="94">
        <v>0.99960000000000004</v>
      </c>
      <c r="I140" s="124">
        <v>-63691.973193419813</v>
      </c>
      <c r="J140" s="32">
        <v>-1.5978100809418319</v>
      </c>
      <c r="K140" s="32">
        <v>-5.3937251465245376E-3</v>
      </c>
      <c r="L140" s="26"/>
      <c r="M140" s="26"/>
    </row>
    <row r="141" spans="2:15" x14ac:dyDescent="0.2">
      <c r="B141" s="23" t="s">
        <v>2963</v>
      </c>
      <c r="C141" s="32" t="s">
        <v>3143</v>
      </c>
      <c r="D141" s="32" t="s">
        <v>191</v>
      </c>
      <c r="E141" s="94" t="s">
        <v>128</v>
      </c>
      <c r="F141" s="94" t="s">
        <v>2965</v>
      </c>
      <c r="G141" s="103">
        <v>1369867.7389457191</v>
      </c>
      <c r="H141" s="94">
        <v>1.0004</v>
      </c>
      <c r="I141" s="124">
        <v>5314.9479930688485</v>
      </c>
      <c r="J141" s="32">
        <v>0.1333335592731224</v>
      </c>
      <c r="K141" s="32">
        <v>4.5009390046102816E-4</v>
      </c>
      <c r="L141" s="26"/>
      <c r="M141" s="26"/>
    </row>
    <row r="142" spans="2:15" x14ac:dyDescent="0.2">
      <c r="B142" s="23" t="s">
        <v>2966</v>
      </c>
      <c r="C142" s="32" t="s">
        <v>3144</v>
      </c>
      <c r="D142" s="32" t="s">
        <v>191</v>
      </c>
      <c r="E142" s="94" t="s">
        <v>127</v>
      </c>
      <c r="F142" s="94" t="s">
        <v>2965</v>
      </c>
      <c r="G142" s="103">
        <v>-1569854.7301544044</v>
      </c>
      <c r="H142" s="94">
        <v>0.99960000000000004</v>
      </c>
      <c r="I142" s="124">
        <v>-5423.4485200722984</v>
      </c>
      <c r="J142" s="32">
        <v>-0.13605546012092851</v>
      </c>
      <c r="K142" s="32">
        <v>-4.5928221716040992E-4</v>
      </c>
      <c r="L142" s="26"/>
      <c r="M142" s="26"/>
    </row>
    <row r="143" spans="2:15" x14ac:dyDescent="0.2">
      <c r="B143" s="23" t="s">
        <v>2963</v>
      </c>
      <c r="C143" s="32" t="s">
        <v>3145</v>
      </c>
      <c r="D143" s="32" t="s">
        <v>191</v>
      </c>
      <c r="E143" s="94" t="s">
        <v>128</v>
      </c>
      <c r="F143" s="94" t="s">
        <v>3126</v>
      </c>
      <c r="G143" s="103">
        <v>1130140.8846302181</v>
      </c>
      <c r="H143" s="94">
        <v>1.0004</v>
      </c>
      <c r="I143" s="124">
        <v>4384.8320942989239</v>
      </c>
      <c r="J143" s="32">
        <v>0.11000018640075557</v>
      </c>
      <c r="K143" s="32">
        <v>3.7132746788179837E-4</v>
      </c>
      <c r="L143" s="26"/>
      <c r="M143" s="26"/>
    </row>
    <row r="144" spans="2:15" x14ac:dyDescent="0.2">
      <c r="B144" s="23" t="s">
        <v>2966</v>
      </c>
      <c r="C144" s="32" t="s">
        <v>3146</v>
      </c>
      <c r="D144" s="32" t="s">
        <v>191</v>
      </c>
      <c r="E144" s="94" t="s">
        <v>127</v>
      </c>
      <c r="F144" s="94" t="s">
        <v>3126</v>
      </c>
      <c r="G144" s="103">
        <v>-1295480.4960516191</v>
      </c>
      <c r="H144" s="94">
        <v>0.99960000000000004</v>
      </c>
      <c r="I144" s="124">
        <v>-4475.5553777894393</v>
      </c>
      <c r="J144" s="32">
        <v>-0.11227611803969346</v>
      </c>
      <c r="K144" s="32">
        <v>-3.7901032697696329E-4</v>
      </c>
      <c r="L144" s="26"/>
      <c r="M144" s="26"/>
    </row>
    <row r="145" spans="2:13" x14ac:dyDescent="0.2">
      <c r="B145" s="23" t="s">
        <v>2966</v>
      </c>
      <c r="C145" s="32" t="s">
        <v>3147</v>
      </c>
      <c r="D145" s="32" t="s">
        <v>191</v>
      </c>
      <c r="E145" s="94" t="s">
        <v>127</v>
      </c>
      <c r="F145" s="94" t="s">
        <v>3148</v>
      </c>
      <c r="G145" s="103">
        <v>599882.94719982403</v>
      </c>
      <c r="H145" s="94">
        <v>0.99960000000000004</v>
      </c>
      <c r="I145" s="124">
        <v>2072.4428941469732</v>
      </c>
      <c r="J145" s="32">
        <v>5.1990384069093433E-2</v>
      </c>
      <c r="K145" s="32">
        <v>1.7550386324114494E-4</v>
      </c>
      <c r="L145" s="26"/>
      <c r="M145" s="26"/>
    </row>
    <row r="146" spans="2:13" x14ac:dyDescent="0.2">
      <c r="B146" s="23" t="s">
        <v>2963</v>
      </c>
      <c r="C146" s="32" t="s">
        <v>3149</v>
      </c>
      <c r="D146" s="32" t="s">
        <v>191</v>
      </c>
      <c r="E146" s="94" t="s">
        <v>128</v>
      </c>
      <c r="F146" s="94" t="s">
        <v>3148</v>
      </c>
      <c r="G146" s="103">
        <v>-523892.36033345625</v>
      </c>
      <c r="H146" s="94">
        <v>1.0004</v>
      </c>
      <c r="I146" s="124">
        <v>-2032.6492623968668</v>
      </c>
      <c r="J146" s="32">
        <v>-5.0992100254357166E-2</v>
      </c>
      <c r="K146" s="32">
        <v>-1.7213395803204927E-4</v>
      </c>
      <c r="L146" s="26"/>
      <c r="M146" s="26"/>
    </row>
    <row r="147" spans="2:13" x14ac:dyDescent="0.2">
      <c r="B147" s="23" t="s">
        <v>2966</v>
      </c>
      <c r="C147" s="32" t="s">
        <v>3150</v>
      </c>
      <c r="D147" s="32" t="s">
        <v>191</v>
      </c>
      <c r="E147" s="94" t="s">
        <v>127</v>
      </c>
      <c r="F147" s="94" t="s">
        <v>3148</v>
      </c>
      <c r="G147" s="103">
        <v>1317596.3257630283</v>
      </c>
      <c r="H147" s="94">
        <v>0.99960000000000004</v>
      </c>
      <c r="I147" s="124">
        <v>4551.9599399708841</v>
      </c>
      <c r="J147" s="32">
        <v>0.11419284276280303</v>
      </c>
      <c r="K147" s="32">
        <v>3.8548061181326092E-4</v>
      </c>
      <c r="L147" s="26"/>
      <c r="M147" s="26"/>
    </row>
    <row r="148" spans="2:13" x14ac:dyDescent="0.2">
      <c r="B148" s="23" t="s">
        <v>2963</v>
      </c>
      <c r="C148" s="32" t="s">
        <v>3151</v>
      </c>
      <c r="D148" s="32" t="s">
        <v>191</v>
      </c>
      <c r="E148" s="94" t="s">
        <v>128</v>
      </c>
      <c r="F148" s="94" t="s">
        <v>3148</v>
      </c>
      <c r="G148" s="103">
        <v>-1150688.9007144039</v>
      </c>
      <c r="H148" s="94">
        <v>1.0004</v>
      </c>
      <c r="I148" s="124">
        <v>-4464.5563138216676</v>
      </c>
      <c r="J148" s="32">
        <v>-0.11200018978048787</v>
      </c>
      <c r="K148" s="32">
        <v>-3.7807887635710197E-4</v>
      </c>
      <c r="L148" s="26"/>
      <c r="M148" s="26"/>
    </row>
    <row r="149" spans="2:13" x14ac:dyDescent="0.2">
      <c r="B149" s="23" t="s">
        <v>2966</v>
      </c>
      <c r="C149" s="32" t="s">
        <v>3152</v>
      </c>
      <c r="D149" s="32" t="s">
        <v>191</v>
      </c>
      <c r="E149" s="94" t="s">
        <v>127</v>
      </c>
      <c r="F149" s="94" t="s">
        <v>3148</v>
      </c>
      <c r="G149" s="103">
        <v>627514.49332721077</v>
      </c>
      <c r="H149" s="94">
        <v>0.99960000000000004</v>
      </c>
      <c r="I149" s="124">
        <v>2167.9028540315567</v>
      </c>
      <c r="J149" s="32">
        <v>5.4385142444166798E-2</v>
      </c>
      <c r="K149" s="32">
        <v>1.8358784557518409E-4</v>
      </c>
      <c r="L149" s="26"/>
      <c r="M149" s="26"/>
    </row>
    <row r="150" spans="2:13" x14ac:dyDescent="0.2">
      <c r="B150" s="23" t="s">
        <v>2963</v>
      </c>
      <c r="C150" s="32" t="s">
        <v>3153</v>
      </c>
      <c r="D150" s="32" t="s">
        <v>191</v>
      </c>
      <c r="E150" s="94" t="s">
        <v>128</v>
      </c>
      <c r="F150" s="94" t="s">
        <v>3148</v>
      </c>
      <c r="G150" s="103">
        <v>-547947.09557828761</v>
      </c>
      <c r="H150" s="94">
        <v>1.0004</v>
      </c>
      <c r="I150" s="124">
        <v>-2125.979197090553</v>
      </c>
      <c r="J150" s="32">
        <v>-5.3333423705812448E-2</v>
      </c>
      <c r="K150" s="32">
        <v>-1.8003756017281064E-4</v>
      </c>
      <c r="L150" s="26"/>
      <c r="M150" s="26"/>
    </row>
    <row r="151" spans="2:13" x14ac:dyDescent="0.2">
      <c r="B151" s="23" t="s">
        <v>2966</v>
      </c>
      <c r="C151" s="32" t="s">
        <v>3154</v>
      </c>
      <c r="D151" s="32" t="s">
        <v>191</v>
      </c>
      <c r="E151" s="94" t="s">
        <v>127</v>
      </c>
      <c r="F151" s="94" t="s">
        <v>3155</v>
      </c>
      <c r="G151" s="103">
        <v>7522535.4758707425</v>
      </c>
      <c r="H151" s="94">
        <v>0.99960000000000004</v>
      </c>
      <c r="I151" s="124">
        <v>25988.44537273571</v>
      </c>
      <c r="J151" s="32">
        <v>0.65195970422303129</v>
      </c>
      <c r="K151" s="32">
        <v>2.2008194172336566E-3</v>
      </c>
      <c r="L151" s="26"/>
      <c r="M151" s="26"/>
    </row>
    <row r="152" spans="2:13" x14ac:dyDescent="0.2">
      <c r="B152" s="23" t="s">
        <v>2963</v>
      </c>
      <c r="C152" s="32" t="s">
        <v>3156</v>
      </c>
      <c r="D152" s="32" t="s">
        <v>191</v>
      </c>
      <c r="E152" s="94" t="s">
        <v>128</v>
      </c>
      <c r="F152" s="94" t="s">
        <v>3155</v>
      </c>
      <c r="G152" s="103">
        <v>-6604218.8454156909</v>
      </c>
      <c r="H152" s="94">
        <v>1.0004</v>
      </c>
      <c r="I152" s="124">
        <v>-25623.699792158211</v>
      </c>
      <c r="J152" s="32">
        <v>-0.64280950622467636</v>
      </c>
      <c r="K152" s="32">
        <v>-2.1699311072723663E-3</v>
      </c>
      <c r="L152" s="26"/>
      <c r="M152" s="26"/>
    </row>
    <row r="153" spans="2:13" x14ac:dyDescent="0.2">
      <c r="B153" s="23" t="s">
        <v>2966</v>
      </c>
      <c r="C153" s="32" t="s">
        <v>3157</v>
      </c>
      <c r="D153" s="32" t="s">
        <v>191</v>
      </c>
      <c r="E153" s="94" t="s">
        <v>127</v>
      </c>
      <c r="F153" s="94" t="s">
        <v>1545</v>
      </c>
      <c r="G153" s="103">
        <v>451690.46776386356</v>
      </c>
      <c r="H153" s="94">
        <v>0.99960000000000004</v>
      </c>
      <c r="I153" s="124">
        <v>1560.4755971518971</v>
      </c>
      <c r="J153" s="32">
        <v>3.9146905256353719E-2</v>
      </c>
      <c r="K153" s="32">
        <v>1.3214815065213964E-4</v>
      </c>
      <c r="L153" s="26"/>
      <c r="M153" s="26"/>
    </row>
    <row r="154" spans="2:13" x14ac:dyDescent="0.2">
      <c r="B154" s="23" t="s">
        <v>2963</v>
      </c>
      <c r="C154" s="32" t="s">
        <v>3158</v>
      </c>
      <c r="D154" s="32" t="s">
        <v>191</v>
      </c>
      <c r="E154" s="94" t="s">
        <v>128</v>
      </c>
      <c r="F154" s="94" t="s">
        <v>1545</v>
      </c>
      <c r="G154" s="103">
        <v>-396888.15176776989</v>
      </c>
      <c r="H154" s="94">
        <v>1.0004</v>
      </c>
      <c r="I154" s="124">
        <v>-1539.885803450989</v>
      </c>
      <c r="J154" s="32">
        <v>-3.8630378945574848E-2</v>
      </c>
      <c r="K154" s="32">
        <v>-1.3040451354249811E-4</v>
      </c>
      <c r="L154" s="26"/>
      <c r="M154" s="26"/>
    </row>
    <row r="155" spans="2:13" x14ac:dyDescent="0.2">
      <c r="B155" s="23" t="s">
        <v>2966</v>
      </c>
      <c r="C155" s="32" t="s">
        <v>3159</v>
      </c>
      <c r="D155" s="32" t="s">
        <v>191</v>
      </c>
      <c r="E155" s="94" t="s">
        <v>127</v>
      </c>
      <c r="F155" s="94" t="s">
        <v>3160</v>
      </c>
      <c r="G155" s="103">
        <v>1445180.8892689452</v>
      </c>
      <c r="H155" s="94">
        <v>0.99960000000000004</v>
      </c>
      <c r="I155" s="124">
        <v>4992.7321333100417</v>
      </c>
      <c r="J155" s="32">
        <v>0.12525028404786762</v>
      </c>
      <c r="K155" s="32">
        <v>4.2280720013990121E-4</v>
      </c>
      <c r="L155" s="26"/>
      <c r="M155" s="26"/>
    </row>
    <row r="156" spans="2:13" x14ac:dyDescent="0.2">
      <c r="B156" s="23" t="s">
        <v>2963</v>
      </c>
      <c r="C156" s="32" t="s">
        <v>3161</v>
      </c>
      <c r="D156" s="32" t="s">
        <v>191</v>
      </c>
      <c r="E156" s="94" t="s">
        <v>128</v>
      </c>
      <c r="F156" s="94" t="s">
        <v>3160</v>
      </c>
      <c r="G156" s="103">
        <v>-1270042.0856568636</v>
      </c>
      <c r="H156" s="94">
        <v>1.0004</v>
      </c>
      <c r="I156" s="124">
        <v>-4927.6345751708022</v>
      </c>
      <c r="J156" s="32">
        <v>-0.12361721272938757</v>
      </c>
      <c r="K156" s="32">
        <v>-4.1729444368554102E-4</v>
      </c>
      <c r="L156" s="26"/>
      <c r="M156" s="26"/>
    </row>
    <row r="157" spans="2:13" x14ac:dyDescent="0.2">
      <c r="B157" s="23" t="s">
        <v>2966</v>
      </c>
      <c r="C157" s="32" t="s">
        <v>3162</v>
      </c>
      <c r="D157" s="32" t="s">
        <v>191</v>
      </c>
      <c r="E157" s="94" t="s">
        <v>127</v>
      </c>
      <c r="F157" s="94" t="s">
        <v>2688</v>
      </c>
      <c r="G157" s="103">
        <v>2541757.4517615801</v>
      </c>
      <c r="H157" s="94">
        <v>0.99960000000000004</v>
      </c>
      <c r="I157" s="124">
        <v>8781.1250459231414</v>
      </c>
      <c r="J157" s="32">
        <v>0.22028788584989759</v>
      </c>
      <c r="K157" s="32">
        <v>7.4362549313930308E-4</v>
      </c>
      <c r="L157" s="26"/>
      <c r="M157" s="26"/>
    </row>
    <row r="158" spans="2:13" x14ac:dyDescent="0.2">
      <c r="B158" s="23" t="s">
        <v>2963</v>
      </c>
      <c r="C158" s="32" t="s">
        <v>3163</v>
      </c>
      <c r="D158" s="32" t="s">
        <v>191</v>
      </c>
      <c r="E158" s="94" t="s">
        <v>128</v>
      </c>
      <c r="F158" s="94" t="s">
        <v>2688</v>
      </c>
      <c r="G158" s="103">
        <v>-2222573.6498995111</v>
      </c>
      <c r="H158" s="94">
        <v>1.0004</v>
      </c>
      <c r="I158" s="124">
        <v>-8623.3605069457917</v>
      </c>
      <c r="J158" s="32">
        <v>-0.21633012228638482</v>
      </c>
      <c r="K158" s="32">
        <v>-7.3026527648330708E-4</v>
      </c>
      <c r="L158" s="26"/>
      <c r="M158" s="26"/>
    </row>
    <row r="159" spans="2:13" x14ac:dyDescent="0.2">
      <c r="B159" s="23" t="s">
        <v>2966</v>
      </c>
      <c r="C159" s="32" t="s">
        <v>3164</v>
      </c>
      <c r="D159" s="32" t="s">
        <v>191</v>
      </c>
      <c r="E159" s="94" t="s">
        <v>127</v>
      </c>
      <c r="F159" s="94" t="s">
        <v>2688</v>
      </c>
      <c r="G159" s="103">
        <v>4175744.3850368815</v>
      </c>
      <c r="H159" s="94">
        <v>0.99960000000000004</v>
      </c>
      <c r="I159" s="124">
        <v>14426.134006057728</v>
      </c>
      <c r="J159" s="32">
        <v>0.36190152680460824</v>
      </c>
      <c r="K159" s="32">
        <v>1.2216704531874223E-3</v>
      </c>
      <c r="L159" s="26"/>
      <c r="M159" s="26"/>
    </row>
    <row r="160" spans="2:13" x14ac:dyDescent="0.2">
      <c r="B160" s="23" t="s">
        <v>2963</v>
      </c>
      <c r="C160" s="32" t="s">
        <v>3165</v>
      </c>
      <c r="D160" s="32" t="s">
        <v>191</v>
      </c>
      <c r="E160" s="94" t="s">
        <v>128</v>
      </c>
      <c r="F160" s="94" t="s">
        <v>2688</v>
      </c>
      <c r="G160" s="103">
        <v>-3651370.9962634831</v>
      </c>
      <c r="H160" s="94">
        <v>1.0004</v>
      </c>
      <c r="I160" s="124">
        <v>-14166.9494038145</v>
      </c>
      <c r="J160" s="32">
        <v>-0.35539948660196757</v>
      </c>
      <c r="K160" s="32">
        <v>-1.1997215256127356E-3</v>
      </c>
      <c r="L160" s="26"/>
      <c r="M160" s="26"/>
    </row>
    <row r="161" spans="2:13" x14ac:dyDescent="0.2">
      <c r="B161" s="23" t="s">
        <v>2966</v>
      </c>
      <c r="C161" s="32" t="s">
        <v>3166</v>
      </c>
      <c r="D161" s="32" t="s">
        <v>191</v>
      </c>
      <c r="E161" s="94" t="s">
        <v>127</v>
      </c>
      <c r="F161" s="94" t="s">
        <v>3167</v>
      </c>
      <c r="G161" s="103">
        <v>127115.65475870275</v>
      </c>
      <c r="H161" s="94">
        <v>0.99960000000000004</v>
      </c>
      <c r="I161" s="124">
        <v>439.15223128163325</v>
      </c>
      <c r="J161" s="32">
        <v>1.1016802071416828E-2</v>
      </c>
      <c r="K161" s="32">
        <v>3.7189402592740184E-5</v>
      </c>
      <c r="L161" s="26"/>
      <c r="M161" s="26"/>
    </row>
    <row r="162" spans="2:13" x14ac:dyDescent="0.2">
      <c r="B162" s="23" t="s">
        <v>2963</v>
      </c>
      <c r="C162" s="32" t="s">
        <v>3168</v>
      </c>
      <c r="D162" s="32" t="s">
        <v>191</v>
      </c>
      <c r="E162" s="94" t="s">
        <v>128</v>
      </c>
      <c r="F162" s="94" t="s">
        <v>3167</v>
      </c>
      <c r="G162" s="103">
        <v>-111128.68249497557</v>
      </c>
      <c r="H162" s="94">
        <v>1.0004</v>
      </c>
      <c r="I162" s="124">
        <v>-431.16802439475805</v>
      </c>
      <c r="J162" s="32">
        <v>-1.0816506090423537E-2</v>
      </c>
      <c r="K162" s="32">
        <v>-3.6513263743500659E-5</v>
      </c>
      <c r="L162" s="26"/>
      <c r="M162" s="26"/>
    </row>
    <row r="163" spans="2:13" x14ac:dyDescent="0.2">
      <c r="B163" s="23" t="s">
        <v>2963</v>
      </c>
      <c r="C163" s="32" t="s">
        <v>3169</v>
      </c>
      <c r="D163" s="32" t="s">
        <v>191</v>
      </c>
      <c r="E163" s="94" t="s">
        <v>128</v>
      </c>
      <c r="F163" s="94" t="s">
        <v>3167</v>
      </c>
      <c r="G163" s="103">
        <v>1438361.1258930049</v>
      </c>
      <c r="H163" s="94">
        <v>1.0004</v>
      </c>
      <c r="I163" s="124">
        <v>5580.6953926195511</v>
      </c>
      <c r="J163" s="32">
        <v>0.14000023723420113</v>
      </c>
      <c r="K163" s="32">
        <v>4.7259859547537909E-4</v>
      </c>
      <c r="L163" s="26"/>
      <c r="M163" s="26"/>
    </row>
    <row r="164" spans="2:13" x14ac:dyDescent="0.2">
      <c r="B164" s="23" t="s">
        <v>2966</v>
      </c>
      <c r="C164" s="32" t="s">
        <v>3170</v>
      </c>
      <c r="D164" s="32" t="s">
        <v>191</v>
      </c>
      <c r="E164" s="94" t="s">
        <v>127</v>
      </c>
      <c r="F164" s="94" t="s">
        <v>3167</v>
      </c>
      <c r="G164" s="103">
        <v>-1640774.4953342981</v>
      </c>
      <c r="H164" s="94">
        <v>0.99960000000000004</v>
      </c>
      <c r="I164" s="124">
        <v>-5668.4582576791672</v>
      </c>
      <c r="J164" s="32">
        <v>-0.14220190227131257</v>
      </c>
      <c r="K164" s="32">
        <v>-4.8003075291169474E-4</v>
      </c>
      <c r="L164" s="26"/>
      <c r="M164" s="26"/>
    </row>
    <row r="165" spans="2:13" x14ac:dyDescent="0.2">
      <c r="B165" s="23" t="s">
        <v>2963</v>
      </c>
      <c r="C165" s="32" t="s">
        <v>3171</v>
      </c>
      <c r="D165" s="32" t="s">
        <v>191</v>
      </c>
      <c r="E165" s="94" t="s">
        <v>128</v>
      </c>
      <c r="F165" s="94" t="s">
        <v>2969</v>
      </c>
      <c r="G165" s="103">
        <v>4921413.0819203462</v>
      </c>
      <c r="H165" s="94">
        <v>1.0004</v>
      </c>
      <c r="I165" s="124">
        <v>19094.583978985302</v>
      </c>
      <c r="J165" s="32">
        <v>0.47901669933135516</v>
      </c>
      <c r="K165" s="32">
        <v>1.6170159692982765E-3</v>
      </c>
      <c r="L165" s="26"/>
      <c r="M165" s="26"/>
    </row>
    <row r="166" spans="2:13" x14ac:dyDescent="0.2">
      <c r="B166" s="23" t="s">
        <v>2966</v>
      </c>
      <c r="C166" s="32" t="s">
        <v>3172</v>
      </c>
      <c r="D166" s="32" t="s">
        <v>191</v>
      </c>
      <c r="E166" s="94" t="s">
        <v>127</v>
      </c>
      <c r="F166" s="94" t="s">
        <v>2969</v>
      </c>
      <c r="G166" s="103">
        <v>-5611985.7655754099</v>
      </c>
      <c r="H166" s="94">
        <v>0.99960000000000004</v>
      </c>
      <c r="I166" s="124">
        <v>-19387.982411667064</v>
      </c>
      <c r="J166" s="32">
        <v>-0.48637704554088163</v>
      </c>
      <c r="K166" s="32">
        <v>-1.6418622792014215E-3</v>
      </c>
      <c r="L166" s="26"/>
      <c r="M166" s="26"/>
    </row>
    <row r="167" spans="2:13" x14ac:dyDescent="0.2">
      <c r="B167" s="23" t="s">
        <v>2966</v>
      </c>
      <c r="C167" s="32" t="s">
        <v>3173</v>
      </c>
      <c r="D167" s="32" t="s">
        <v>191</v>
      </c>
      <c r="E167" s="94" t="s">
        <v>127</v>
      </c>
      <c r="F167" s="94" t="s">
        <v>2969</v>
      </c>
      <c r="G167" s="103">
        <v>7805506.3765127072</v>
      </c>
      <c r="H167" s="94">
        <v>0.99960000000000004</v>
      </c>
      <c r="I167" s="124">
        <v>26966.037810299742</v>
      </c>
      <c r="J167" s="32">
        <v>0.6764840983260183</v>
      </c>
      <c r="K167" s="32">
        <v>2.2836063784340685E-3</v>
      </c>
      <c r="L167" s="26"/>
      <c r="M167" s="26"/>
    </row>
    <row r="168" spans="2:13" x14ac:dyDescent="0.2">
      <c r="B168" s="23" t="s">
        <v>2963</v>
      </c>
      <c r="C168" s="32" t="s">
        <v>3174</v>
      </c>
      <c r="D168" s="32" t="s">
        <v>191</v>
      </c>
      <c r="E168" s="94" t="s">
        <v>128</v>
      </c>
      <c r="F168" s="94" t="s">
        <v>2969</v>
      </c>
      <c r="G168" s="103">
        <v>-6849338.6947285952</v>
      </c>
      <c r="H168" s="94">
        <v>1.0004</v>
      </c>
      <c r="I168" s="124">
        <v>-26574.739966029178</v>
      </c>
      <c r="J168" s="32">
        <v>-0.66666779638279461</v>
      </c>
      <c r="K168" s="32">
        <v>-2.2504695023631443E-3</v>
      </c>
      <c r="L168" s="26"/>
      <c r="M168" s="26"/>
    </row>
    <row r="169" spans="2:13" x14ac:dyDescent="0.2">
      <c r="B169" s="23" t="s">
        <v>2966</v>
      </c>
      <c r="C169" s="32" t="s">
        <v>3175</v>
      </c>
      <c r="D169" s="32" t="s">
        <v>191</v>
      </c>
      <c r="E169" s="94" t="s">
        <v>127</v>
      </c>
      <c r="F169" s="94" t="s">
        <v>3035</v>
      </c>
      <c r="G169" s="103">
        <v>8332910.2505438952</v>
      </c>
      <c r="H169" s="94">
        <v>0.99960000000000004</v>
      </c>
      <c r="I169" s="124">
        <v>28788.083956258284</v>
      </c>
      <c r="J169" s="32">
        <v>0.72219289888574945</v>
      </c>
      <c r="K169" s="32">
        <v>2.4379055094366549E-3</v>
      </c>
      <c r="L169" s="26"/>
      <c r="M169" s="26"/>
    </row>
    <row r="170" spans="2:13" x14ac:dyDescent="0.2">
      <c r="B170" s="23" t="s">
        <v>2963</v>
      </c>
      <c r="C170" s="32" t="s">
        <v>3176</v>
      </c>
      <c r="D170" s="32" t="s">
        <v>191</v>
      </c>
      <c r="E170" s="94" t="s">
        <v>128</v>
      </c>
      <c r="F170" s="94" t="s">
        <v>3035</v>
      </c>
      <c r="G170" s="103">
        <v>-7328792.4033595966</v>
      </c>
      <c r="H170" s="94">
        <v>1.0004</v>
      </c>
      <c r="I170" s="124">
        <v>-28434.971763569032</v>
      </c>
      <c r="J170" s="32">
        <v>-0.71333454212752834</v>
      </c>
      <c r="K170" s="32">
        <v>-2.4080023675216045E-3</v>
      </c>
      <c r="L170" s="26"/>
      <c r="M170" s="26"/>
    </row>
    <row r="171" spans="2:13" x14ac:dyDescent="0.2">
      <c r="B171" s="23" t="s">
        <v>2963</v>
      </c>
      <c r="C171" s="32" t="s">
        <v>3177</v>
      </c>
      <c r="D171" s="32" t="s">
        <v>191</v>
      </c>
      <c r="E171" s="94" t="s">
        <v>128</v>
      </c>
      <c r="F171" s="94" t="s">
        <v>3035</v>
      </c>
      <c r="G171" s="103">
        <v>1227000</v>
      </c>
      <c r="H171" s="94">
        <v>1.0004</v>
      </c>
      <c r="I171" s="124">
        <v>4760.6356399999995</v>
      </c>
      <c r="J171" s="32">
        <v>0.1194277902834517</v>
      </c>
      <c r="K171" s="32">
        <v>4.0315221647995277E-4</v>
      </c>
      <c r="L171" s="26"/>
      <c r="M171" s="26"/>
    </row>
    <row r="172" spans="2:13" x14ac:dyDescent="0.2">
      <c r="B172" s="23" t="s">
        <v>2966</v>
      </c>
      <c r="C172" s="32" t="s">
        <v>3178</v>
      </c>
      <c r="D172" s="32" t="s">
        <v>191</v>
      </c>
      <c r="E172" s="94" t="s">
        <v>127</v>
      </c>
      <c r="F172" s="94" t="s">
        <v>3035</v>
      </c>
      <c r="G172" s="103">
        <v>-1396657.29</v>
      </c>
      <c r="H172" s="94">
        <v>0.99960000000000004</v>
      </c>
      <c r="I172" s="124">
        <v>-4825.0954400000001</v>
      </c>
      <c r="J172" s="32">
        <v>-0.1210448624683991</v>
      </c>
      <c r="K172" s="32">
        <v>-4.0861096468271474E-4</v>
      </c>
      <c r="L172" s="26"/>
      <c r="M172" s="26"/>
    </row>
    <row r="173" spans="2:13" x14ac:dyDescent="0.2">
      <c r="B173" s="23" t="s">
        <v>2963</v>
      </c>
      <c r="C173" s="32" t="s">
        <v>3179</v>
      </c>
      <c r="D173" s="32" t="s">
        <v>191</v>
      </c>
      <c r="E173" s="94" t="s">
        <v>128</v>
      </c>
      <c r="F173" s="94" t="s">
        <v>1322</v>
      </c>
      <c r="G173" s="103">
        <v>1937000</v>
      </c>
      <c r="H173" s="94">
        <v>1.0004</v>
      </c>
      <c r="I173" s="124">
        <v>7515.3636799999995</v>
      </c>
      <c r="J173" s="32">
        <v>0.18853433561214733</v>
      </c>
      <c r="K173" s="32">
        <v>6.3643508017869113E-4</v>
      </c>
      <c r="L173" s="26"/>
      <c r="M173" s="26"/>
    </row>
    <row r="174" spans="2:13" x14ac:dyDescent="0.2">
      <c r="B174" s="23" t="s">
        <v>2966</v>
      </c>
      <c r="C174" s="32" t="s">
        <v>3180</v>
      </c>
      <c r="D174" s="32" t="s">
        <v>191</v>
      </c>
      <c r="E174" s="94" t="s">
        <v>127</v>
      </c>
      <c r="F174" s="94" t="s">
        <v>1322</v>
      </c>
      <c r="G174" s="103">
        <v>-2196025.33</v>
      </c>
      <c r="H174" s="94">
        <v>0.99960000000000004</v>
      </c>
      <c r="I174" s="124">
        <v>-7586.70856</v>
      </c>
      <c r="J174" s="32">
        <v>-0.19032413050735969</v>
      </c>
      <c r="K174" s="32">
        <v>-6.4247688818114029E-4</v>
      </c>
      <c r="L174" s="26"/>
      <c r="M174" s="26"/>
    </row>
    <row r="175" spans="2:13" x14ac:dyDescent="0.2">
      <c r="B175" s="23" t="s">
        <v>2966</v>
      </c>
      <c r="C175" s="32" t="s">
        <v>3181</v>
      </c>
      <c r="D175" s="32" t="s">
        <v>191</v>
      </c>
      <c r="E175" s="94" t="s">
        <v>127</v>
      </c>
      <c r="F175" s="94" t="s">
        <v>2972</v>
      </c>
      <c r="G175" s="103">
        <v>2782217.8162116227</v>
      </c>
      <c r="H175" s="94">
        <v>0.99960000000000004</v>
      </c>
      <c r="I175" s="124">
        <v>9611.8544025684423</v>
      </c>
      <c r="J175" s="32">
        <v>0.24112799605579896</v>
      </c>
      <c r="K175" s="32">
        <v>8.1397542259253018E-4</v>
      </c>
      <c r="L175" s="26"/>
      <c r="M175" s="26"/>
    </row>
    <row r="176" spans="2:13" x14ac:dyDescent="0.2">
      <c r="B176" s="23" t="s">
        <v>2963</v>
      </c>
      <c r="C176" s="32" t="s">
        <v>3182</v>
      </c>
      <c r="D176" s="32" t="s">
        <v>191</v>
      </c>
      <c r="E176" s="94" t="s">
        <v>128</v>
      </c>
      <c r="F176" s="94" t="s">
        <v>2972</v>
      </c>
      <c r="G176" s="103">
        <v>-2465761.9301022943</v>
      </c>
      <c r="H176" s="94">
        <v>1.0004</v>
      </c>
      <c r="I176" s="124">
        <v>-9566.9063872499537</v>
      </c>
      <c r="J176" s="32">
        <v>-0.24000040668474726</v>
      </c>
      <c r="K176" s="32">
        <v>-8.1016902080664939E-4</v>
      </c>
      <c r="L176" s="26"/>
      <c r="M176" s="26"/>
    </row>
    <row r="177" spans="2:13" x14ac:dyDescent="0.2">
      <c r="B177" s="23" t="s">
        <v>2966</v>
      </c>
      <c r="C177" s="32" t="s">
        <v>3183</v>
      </c>
      <c r="D177" s="32" t="s">
        <v>191</v>
      </c>
      <c r="E177" s="94" t="s">
        <v>127</v>
      </c>
      <c r="F177" s="94" t="s">
        <v>477</v>
      </c>
      <c r="G177" s="103">
        <v>107868.4844610944</v>
      </c>
      <c r="H177" s="94">
        <v>0.99960000000000004</v>
      </c>
      <c r="I177" s="124">
        <v>372.65815709074184</v>
      </c>
      <c r="J177" s="32">
        <v>9.3486970224107967E-3</v>
      </c>
      <c r="K177" s="32">
        <v>3.1558382825631877E-5</v>
      </c>
      <c r="L177" s="26"/>
      <c r="M177" s="26"/>
    </row>
    <row r="178" spans="2:13" x14ac:dyDescent="0.2">
      <c r="B178" s="23" t="s">
        <v>2963</v>
      </c>
      <c r="C178" s="32" t="s">
        <v>3184</v>
      </c>
      <c r="D178" s="32" t="s">
        <v>191</v>
      </c>
      <c r="E178" s="94" t="s">
        <v>128</v>
      </c>
      <c r="F178" s="94" t="s">
        <v>477</v>
      </c>
      <c r="G178" s="103">
        <v>-95253.156424264773</v>
      </c>
      <c r="H178" s="94">
        <v>1.0004</v>
      </c>
      <c r="I178" s="124">
        <v>-369.57259301874376</v>
      </c>
      <c r="J178" s="32">
        <v>-9.2712909517171059E-3</v>
      </c>
      <c r="K178" s="32">
        <v>-3.1297083266332491E-5</v>
      </c>
      <c r="L178" s="26"/>
      <c r="M178" s="26"/>
    </row>
    <row r="179" spans="2:13" x14ac:dyDescent="0.2">
      <c r="B179" s="23" t="s">
        <v>2966</v>
      </c>
      <c r="C179" s="32" t="s">
        <v>3185</v>
      </c>
      <c r="D179" s="32" t="s">
        <v>191</v>
      </c>
      <c r="E179" s="94" t="s">
        <v>127</v>
      </c>
      <c r="F179" s="94" t="s">
        <v>477</v>
      </c>
      <c r="G179" s="103">
        <v>4495390.4400000004</v>
      </c>
      <c r="H179" s="94">
        <v>0.99960000000000004</v>
      </c>
      <c r="I179" s="124">
        <v>15530.429759999999</v>
      </c>
      <c r="J179" s="32">
        <v>0.38960446642985624</v>
      </c>
      <c r="K179" s="32">
        <v>1.3151872258449549E-3</v>
      </c>
      <c r="L179" s="26"/>
      <c r="M179" s="26"/>
    </row>
    <row r="180" spans="2:13" x14ac:dyDescent="0.2">
      <c r="B180" s="23" t="s">
        <v>2963</v>
      </c>
      <c r="C180" s="32" t="s">
        <v>3186</v>
      </c>
      <c r="D180" s="32" t="s">
        <v>191</v>
      </c>
      <c r="E180" s="94" t="s">
        <v>128</v>
      </c>
      <c r="F180" s="94" t="s">
        <v>477</v>
      </c>
      <c r="G180" s="103">
        <v>-3972000</v>
      </c>
      <c r="H180" s="94">
        <v>1.0004</v>
      </c>
      <c r="I180" s="124">
        <v>-15410.95744</v>
      </c>
      <c r="J180" s="32">
        <v>-0.38660732145666155</v>
      </c>
      <c r="K180" s="32">
        <v>-1.3050697679552346E-3</v>
      </c>
      <c r="L180" s="26"/>
      <c r="M180" s="26"/>
    </row>
    <row r="181" spans="2:13" x14ac:dyDescent="0.2">
      <c r="B181" s="23" t="s">
        <v>2966</v>
      </c>
      <c r="C181" s="32" t="s">
        <v>3187</v>
      </c>
      <c r="D181" s="32" t="s">
        <v>191</v>
      </c>
      <c r="E181" s="94" t="s">
        <v>127</v>
      </c>
      <c r="F181" s="94" t="s">
        <v>3188</v>
      </c>
      <c r="G181" s="103">
        <v>719104.17910934449</v>
      </c>
      <c r="H181" s="94">
        <v>0.99960000000000004</v>
      </c>
      <c r="I181" s="124">
        <v>2484.3219051200581</v>
      </c>
      <c r="J181" s="32">
        <v>6.2322995901711871E-2</v>
      </c>
      <c r="K181" s="32">
        <v>2.1038364584836206E-4</v>
      </c>
      <c r="L181" s="26"/>
      <c r="M181" s="26"/>
    </row>
    <row r="182" spans="2:13" x14ac:dyDescent="0.2">
      <c r="B182" s="23" t="s">
        <v>2963</v>
      </c>
      <c r="C182" s="32" t="s">
        <v>3189</v>
      </c>
      <c r="D182" s="32" t="s">
        <v>191</v>
      </c>
      <c r="E182" s="94" t="s">
        <v>128</v>
      </c>
      <c r="F182" s="94" t="s">
        <v>3188</v>
      </c>
      <c r="G182" s="103">
        <v>-635021.04282843182</v>
      </c>
      <c r="H182" s="94">
        <v>1.0004</v>
      </c>
      <c r="I182" s="124">
        <v>-2463.8172867916246</v>
      </c>
      <c r="J182" s="32">
        <v>-6.1808606344780692E-2</v>
      </c>
      <c r="K182" s="32">
        <v>-2.0864722177554992E-4</v>
      </c>
      <c r="L182" s="26"/>
      <c r="M182" s="26"/>
    </row>
    <row r="183" spans="2:13" x14ac:dyDescent="0.2">
      <c r="B183" s="23" t="s">
        <v>2963</v>
      </c>
      <c r="C183" s="32" t="s">
        <v>3190</v>
      </c>
      <c r="D183" s="32" t="s">
        <v>191</v>
      </c>
      <c r="E183" s="94" t="s">
        <v>128</v>
      </c>
      <c r="F183" s="94" t="s">
        <v>793</v>
      </c>
      <c r="G183" s="103">
        <v>4794537.0863100169</v>
      </c>
      <c r="H183" s="94">
        <v>1.0004</v>
      </c>
      <c r="I183" s="124">
        <v>18602.317976083439</v>
      </c>
      <c r="J183" s="32">
        <v>0.46666745746451971</v>
      </c>
      <c r="K183" s="32">
        <v>1.5753286516426005E-3</v>
      </c>
      <c r="L183" s="26"/>
      <c r="M183" s="26"/>
    </row>
    <row r="184" spans="2:13" x14ac:dyDescent="0.2">
      <c r="B184" s="23" t="s">
        <v>2966</v>
      </c>
      <c r="C184" s="32" t="s">
        <v>3191</v>
      </c>
      <c r="D184" s="32" t="s">
        <v>191</v>
      </c>
      <c r="E184" s="94" t="s">
        <v>127</v>
      </c>
      <c r="F184" s="94" t="s">
        <v>793</v>
      </c>
      <c r="G184" s="103">
        <v>-5441463.9753658269</v>
      </c>
      <c r="H184" s="94">
        <v>0.99960000000000004</v>
      </c>
      <c r="I184" s="124">
        <v>-18798.873029426537</v>
      </c>
      <c r="J184" s="32">
        <v>-0.47159834011652885</v>
      </c>
      <c r="K184" s="32">
        <v>-1.5919738249782363E-3</v>
      </c>
      <c r="L184" s="26"/>
      <c r="M184" s="26"/>
    </row>
    <row r="185" spans="2:13" x14ac:dyDescent="0.2">
      <c r="B185" s="23" t="s">
        <v>2966</v>
      </c>
      <c r="C185" s="32" t="s">
        <v>3192</v>
      </c>
      <c r="D185" s="32" t="s">
        <v>191</v>
      </c>
      <c r="E185" s="94" t="s">
        <v>127</v>
      </c>
      <c r="F185" s="94" t="s">
        <v>1495</v>
      </c>
      <c r="G185" s="103">
        <v>2625405.9</v>
      </c>
      <c r="H185" s="94">
        <v>0.99960000000000004</v>
      </c>
      <c r="I185" s="124">
        <v>9070.1091400000005</v>
      </c>
      <c r="J185" s="32">
        <v>0.22753749165729864</v>
      </c>
      <c r="K185" s="32">
        <v>7.6809797682943009E-4</v>
      </c>
      <c r="L185" s="26"/>
      <c r="M185" s="26"/>
    </row>
    <row r="186" spans="2:13" x14ac:dyDescent="0.2">
      <c r="B186" s="23" t="s">
        <v>2963</v>
      </c>
      <c r="C186" s="32" t="s">
        <v>3193</v>
      </c>
      <c r="D186" s="32" t="s">
        <v>191</v>
      </c>
      <c r="E186" s="94" t="s">
        <v>128</v>
      </c>
      <c r="F186" s="94" t="s">
        <v>1495</v>
      </c>
      <c r="G186" s="103">
        <v>-2338600</v>
      </c>
      <c r="H186" s="94">
        <v>1.0004</v>
      </c>
      <c r="I186" s="124">
        <v>-9073.5309799999995</v>
      </c>
      <c r="J186" s="32">
        <v>-0.2276233337214276</v>
      </c>
      <c r="K186" s="32">
        <v>-7.6838775375939468E-4</v>
      </c>
      <c r="L186" s="26"/>
      <c r="M186" s="26"/>
    </row>
    <row r="187" spans="2:13" x14ac:dyDescent="0.2">
      <c r="B187" s="23" t="s">
        <v>2963</v>
      </c>
      <c r="C187" s="32" t="s">
        <v>3194</v>
      </c>
      <c r="D187" s="32" t="s">
        <v>191</v>
      </c>
      <c r="E187" s="94" t="s">
        <v>128</v>
      </c>
      <c r="F187" s="94" t="s">
        <v>2569</v>
      </c>
      <c r="G187" s="103">
        <v>1587552.6070710795</v>
      </c>
      <c r="H187" s="94">
        <v>1.0004</v>
      </c>
      <c r="I187" s="124">
        <v>6159.5432185666141</v>
      </c>
      <c r="J187" s="32">
        <v>0.15452151590177793</v>
      </c>
      <c r="K187" s="32">
        <v>5.2161805457331598E-4</v>
      </c>
      <c r="L187" s="26"/>
      <c r="M187" s="26"/>
    </row>
    <row r="188" spans="2:13" x14ac:dyDescent="0.2">
      <c r="B188" s="23" t="s">
        <v>2966</v>
      </c>
      <c r="C188" s="32" t="s">
        <v>3195</v>
      </c>
      <c r="D188" s="32" t="s">
        <v>191</v>
      </c>
      <c r="E188" s="94" t="s">
        <v>127</v>
      </c>
      <c r="F188" s="94" t="s">
        <v>2569</v>
      </c>
      <c r="G188" s="103">
        <v>-1780487.8754084278</v>
      </c>
      <c r="H188" s="94">
        <v>0.99960000000000004</v>
      </c>
      <c r="I188" s="124">
        <v>-6151.1324251813503</v>
      </c>
      <c r="J188" s="32">
        <v>-0.15431051834924675</v>
      </c>
      <c r="K188" s="32">
        <v>-5.2090579044473332E-4</v>
      </c>
      <c r="L188" s="26"/>
      <c r="M188" s="26"/>
    </row>
    <row r="189" spans="2:13" x14ac:dyDescent="0.2">
      <c r="B189" s="23" t="s">
        <v>2963</v>
      </c>
      <c r="C189" s="32" t="s">
        <v>3196</v>
      </c>
      <c r="D189" s="32" t="s">
        <v>191</v>
      </c>
      <c r="E189" s="94" t="s">
        <v>128</v>
      </c>
      <c r="F189" s="94" t="s">
        <v>2569</v>
      </c>
      <c r="G189" s="103">
        <v>2739735.4778914382</v>
      </c>
      <c r="H189" s="94">
        <v>1.0004</v>
      </c>
      <c r="I189" s="124">
        <v>10629.895986137697</v>
      </c>
      <c r="J189" s="32">
        <v>0.26666711854624481</v>
      </c>
      <c r="K189" s="32">
        <v>9.0018780092205632E-4</v>
      </c>
      <c r="L189" s="26"/>
      <c r="M189" s="26"/>
    </row>
    <row r="190" spans="2:13" x14ac:dyDescent="0.2">
      <c r="B190" s="23" t="s">
        <v>2966</v>
      </c>
      <c r="C190" s="32" t="s">
        <v>3197</v>
      </c>
      <c r="D190" s="32" t="s">
        <v>191</v>
      </c>
      <c r="E190" s="94" t="s">
        <v>127</v>
      </c>
      <c r="F190" s="94" t="s">
        <v>2569</v>
      </c>
      <c r="G190" s="103">
        <v>-3072695.5305195847</v>
      </c>
      <c r="H190" s="94">
        <v>0.99960000000000004</v>
      </c>
      <c r="I190" s="124">
        <v>-10615.38097031591</v>
      </c>
      <c r="J190" s="32">
        <v>-0.26630298728382257</v>
      </c>
      <c r="K190" s="32">
        <v>-8.9895860355361523E-4</v>
      </c>
      <c r="L190" s="26"/>
      <c r="M190" s="26"/>
    </row>
    <row r="191" spans="2:13" x14ac:dyDescent="0.2">
      <c r="B191" s="23" t="s">
        <v>2966</v>
      </c>
      <c r="C191" s="32" t="s">
        <v>3198</v>
      </c>
      <c r="D191" s="32" t="s">
        <v>191</v>
      </c>
      <c r="E191" s="94" t="s">
        <v>127</v>
      </c>
      <c r="F191" s="94" t="s">
        <v>1561</v>
      </c>
      <c r="G191" s="103">
        <v>3285896</v>
      </c>
      <c r="H191" s="94">
        <v>0.99960000000000004</v>
      </c>
      <c r="I191" s="124">
        <v>11351.93432</v>
      </c>
      <c r="J191" s="32">
        <v>0.28478054902779282</v>
      </c>
      <c r="K191" s="32">
        <v>9.6133328162935111E-4</v>
      </c>
      <c r="L191" s="26"/>
      <c r="M191" s="26"/>
    </row>
    <row r="192" spans="2:13" x14ac:dyDescent="0.2">
      <c r="B192" s="23" t="s">
        <v>2963</v>
      </c>
      <c r="C192" s="32" t="s">
        <v>3199</v>
      </c>
      <c r="D192" s="32" t="s">
        <v>191</v>
      </c>
      <c r="E192" s="94" t="s">
        <v>128</v>
      </c>
      <c r="F192" s="94" t="s">
        <v>1561</v>
      </c>
      <c r="G192" s="103">
        <v>-2960000</v>
      </c>
      <c r="H192" s="94">
        <v>1.0004</v>
      </c>
      <c r="I192" s="124">
        <v>-11484.5</v>
      </c>
      <c r="J192" s="32">
        <v>-0.28810616086348945</v>
      </c>
      <c r="K192" s="32">
        <v>-9.7255954462501524E-4</v>
      </c>
      <c r="L192" s="26"/>
      <c r="M192" s="26"/>
    </row>
    <row r="193" spans="2:13" x14ac:dyDescent="0.2">
      <c r="B193" s="23" t="s">
        <v>2966</v>
      </c>
      <c r="C193" s="32" t="s">
        <v>3200</v>
      </c>
      <c r="D193" s="32" t="s">
        <v>191</v>
      </c>
      <c r="E193" s="94" t="s">
        <v>127</v>
      </c>
      <c r="F193" s="94" t="s">
        <v>3061</v>
      </c>
      <c r="G193" s="103">
        <v>3662938.6624055603</v>
      </c>
      <c r="H193" s="94">
        <v>0.99960000000000004</v>
      </c>
      <c r="I193" s="124">
        <v>12654.520757587024</v>
      </c>
      <c r="J193" s="32">
        <v>0.31745791223263825</v>
      </c>
      <c r="K193" s="32">
        <v>1.0716422086679124E-3</v>
      </c>
      <c r="L193" s="26"/>
      <c r="M193" s="26"/>
    </row>
    <row r="194" spans="2:13" x14ac:dyDescent="0.2">
      <c r="B194" s="23" t="s">
        <v>2963</v>
      </c>
      <c r="C194" s="32" t="s">
        <v>3201</v>
      </c>
      <c r="D194" s="32" t="s">
        <v>191</v>
      </c>
      <c r="E194" s="94" t="s">
        <v>128</v>
      </c>
      <c r="F194" s="94" t="s">
        <v>3061</v>
      </c>
      <c r="G194" s="103">
        <v>-3287682.5734697254</v>
      </c>
      <c r="H194" s="94">
        <v>1.0004</v>
      </c>
      <c r="I194" s="124">
        <v>-12755.875183228251</v>
      </c>
      <c r="J194" s="32">
        <v>-0.32000054225205726</v>
      </c>
      <c r="K194" s="32">
        <v>-1.0802253610948671E-3</v>
      </c>
      <c r="L194" s="26"/>
      <c r="M194" s="26"/>
    </row>
    <row r="195" spans="2:13" x14ac:dyDescent="0.2">
      <c r="B195" s="23" t="s">
        <v>2963</v>
      </c>
      <c r="C195" s="32" t="s">
        <v>3202</v>
      </c>
      <c r="D195" s="32" t="s">
        <v>191</v>
      </c>
      <c r="E195" s="94" t="s">
        <v>128</v>
      </c>
      <c r="F195" s="94" t="s">
        <v>3203</v>
      </c>
      <c r="G195" s="103">
        <v>5715189.3854558859</v>
      </c>
      <c r="H195" s="94">
        <v>1.0004</v>
      </c>
      <c r="I195" s="124">
        <v>22174.355589062387</v>
      </c>
      <c r="J195" s="32">
        <v>0.55627745730215716</v>
      </c>
      <c r="K195" s="32">
        <v>1.8778249966521553E-3</v>
      </c>
      <c r="L195" s="26"/>
      <c r="M195" s="26"/>
    </row>
    <row r="196" spans="2:13" x14ac:dyDescent="0.2">
      <c r="B196" s="23" t="s">
        <v>2966</v>
      </c>
      <c r="C196" s="32" t="s">
        <v>3204</v>
      </c>
      <c r="D196" s="32" t="s">
        <v>191</v>
      </c>
      <c r="E196" s="94" t="s">
        <v>127</v>
      </c>
      <c r="F196" s="94" t="s">
        <v>3203</v>
      </c>
      <c r="G196" s="103">
        <v>-6371264.5509592947</v>
      </c>
      <c r="H196" s="94">
        <v>0.99960000000000004</v>
      </c>
      <c r="I196" s="124">
        <v>-22011.09735762687</v>
      </c>
      <c r="J196" s="32">
        <v>-0.55218187610243152</v>
      </c>
      <c r="K196" s="32">
        <v>-1.8639995492037498E-3</v>
      </c>
      <c r="L196" s="26"/>
      <c r="M196" s="26"/>
    </row>
    <row r="197" spans="2:13" x14ac:dyDescent="0.2">
      <c r="B197" s="23" t="s">
        <v>2966</v>
      </c>
      <c r="C197" s="32" t="s">
        <v>3205</v>
      </c>
      <c r="D197" s="32" t="s">
        <v>191</v>
      </c>
      <c r="E197" s="94" t="s">
        <v>127</v>
      </c>
      <c r="F197" s="94" t="s">
        <v>3206</v>
      </c>
      <c r="G197" s="103">
        <v>1067426.9696735442</v>
      </c>
      <c r="H197" s="94">
        <v>0.99960000000000004</v>
      </c>
      <c r="I197" s="124">
        <v>3687.6884895588933</v>
      </c>
      <c r="J197" s="32">
        <v>9.2511278086751095E-2</v>
      </c>
      <c r="K197" s="32">
        <v>3.1229018573941463E-4</v>
      </c>
      <c r="L197" s="26"/>
      <c r="M197" s="26"/>
    </row>
    <row r="198" spans="2:13" x14ac:dyDescent="0.2">
      <c r="B198" s="23" t="s">
        <v>2963</v>
      </c>
      <c r="C198" s="32" t="s">
        <v>3207</v>
      </c>
      <c r="D198" s="32" t="s">
        <v>191</v>
      </c>
      <c r="E198" s="94" t="s">
        <v>128</v>
      </c>
      <c r="F198" s="94" t="s">
        <v>3206</v>
      </c>
      <c r="G198" s="103">
        <v>-958907.41726200329</v>
      </c>
      <c r="H198" s="94">
        <v>1.0004</v>
      </c>
      <c r="I198" s="124">
        <v>-3720.463595079701</v>
      </c>
      <c r="J198" s="32">
        <v>-9.3333491489467416E-2</v>
      </c>
      <c r="K198" s="32">
        <v>-3.1506573031691941E-4</v>
      </c>
      <c r="L198" s="26"/>
      <c r="M198" s="26"/>
    </row>
    <row r="199" spans="2:13" x14ac:dyDescent="0.2">
      <c r="B199" s="23" t="s">
        <v>2966</v>
      </c>
      <c r="C199" s="32" t="s">
        <v>3208</v>
      </c>
      <c r="D199" s="32" t="s">
        <v>191</v>
      </c>
      <c r="E199" s="94" t="s">
        <v>127</v>
      </c>
      <c r="F199" s="94" t="s">
        <v>3209</v>
      </c>
      <c r="G199" s="103">
        <v>4937791.0051102648</v>
      </c>
      <c r="H199" s="94">
        <v>0.99960000000000004</v>
      </c>
      <c r="I199" s="124">
        <v>17058.811116265919</v>
      </c>
      <c r="J199" s="32">
        <v>0.42794623880907229</v>
      </c>
      <c r="K199" s="32">
        <v>1.4446174906247316E-3</v>
      </c>
      <c r="L199" s="26"/>
      <c r="M199" s="26"/>
    </row>
    <row r="200" spans="2:13" x14ac:dyDescent="0.2">
      <c r="B200" s="23" t="s">
        <v>2963</v>
      </c>
      <c r="C200" s="32" t="s">
        <v>3210</v>
      </c>
      <c r="D200" s="32" t="s">
        <v>191</v>
      </c>
      <c r="E200" s="94" t="s">
        <v>128</v>
      </c>
      <c r="F200" s="94" t="s">
        <v>3209</v>
      </c>
      <c r="G200" s="103">
        <v>-4452070.1515735872</v>
      </c>
      <c r="H200" s="94">
        <v>1.0004</v>
      </c>
      <c r="I200" s="124">
        <v>-17273.580977644993</v>
      </c>
      <c r="J200" s="32">
        <v>-0.43333406764194354</v>
      </c>
      <c r="K200" s="32">
        <v>-1.4628051765128425E-3</v>
      </c>
      <c r="L200" s="26"/>
      <c r="M200" s="26"/>
    </row>
    <row r="201" spans="2:13" x14ac:dyDescent="0.2">
      <c r="B201" s="23" t="s">
        <v>2966</v>
      </c>
      <c r="C201" s="32" t="s">
        <v>3211</v>
      </c>
      <c r="D201" s="32" t="s">
        <v>191</v>
      </c>
      <c r="E201" s="94" t="s">
        <v>127</v>
      </c>
      <c r="F201" s="94" t="s">
        <v>2897</v>
      </c>
      <c r="G201" s="103">
        <v>226346.67117534851</v>
      </c>
      <c r="H201" s="94">
        <v>0.99960000000000004</v>
      </c>
      <c r="I201" s="124">
        <v>781.97013706826613</v>
      </c>
      <c r="J201" s="32">
        <v>1.9616910975718122E-2</v>
      </c>
      <c r="K201" s="32">
        <v>6.6220777606119008E-5</v>
      </c>
      <c r="L201" s="26"/>
      <c r="M201" s="26"/>
    </row>
    <row r="202" spans="2:13" x14ac:dyDescent="0.2">
      <c r="B202" s="23" t="s">
        <v>2963</v>
      </c>
      <c r="C202" s="32" t="s">
        <v>3212</v>
      </c>
      <c r="D202" s="32" t="s">
        <v>191</v>
      </c>
      <c r="E202" s="94" t="s">
        <v>128</v>
      </c>
      <c r="F202" s="94" t="s">
        <v>2897</v>
      </c>
      <c r="G202" s="103">
        <v>-205480.16084185784</v>
      </c>
      <c r="H202" s="94">
        <v>1.0004</v>
      </c>
      <c r="I202" s="124">
        <v>-797.24219865210716</v>
      </c>
      <c r="J202" s="32">
        <v>-2.0000033883236189E-2</v>
      </c>
      <c r="K202" s="32">
        <v>-6.751408504305275E-5</v>
      </c>
      <c r="L202" s="26"/>
      <c r="M202" s="26"/>
    </row>
    <row r="203" spans="2:13" x14ac:dyDescent="0.2">
      <c r="B203" s="23" t="s">
        <v>2966</v>
      </c>
      <c r="C203" s="32" t="s">
        <v>3213</v>
      </c>
      <c r="D203" s="32" t="s">
        <v>191</v>
      </c>
      <c r="E203" s="94" t="s">
        <v>127</v>
      </c>
      <c r="F203" s="94" t="s">
        <v>1333</v>
      </c>
      <c r="G203" s="103">
        <v>2108884.8086727988</v>
      </c>
      <c r="H203" s="94">
        <v>0.99960000000000004</v>
      </c>
      <c r="I203" s="124">
        <v>7285.6602436198236</v>
      </c>
      <c r="J203" s="32">
        <v>0.18277187532283187</v>
      </c>
      <c r="K203" s="32">
        <v>6.1698275143258073E-4</v>
      </c>
      <c r="L203" s="26"/>
      <c r="M203" s="26"/>
    </row>
    <row r="204" spans="2:13" x14ac:dyDescent="0.2">
      <c r="B204" s="23" t="s">
        <v>2963</v>
      </c>
      <c r="C204" s="32" t="s">
        <v>3214</v>
      </c>
      <c r="D204" s="32" t="s">
        <v>191</v>
      </c>
      <c r="E204" s="94" t="s">
        <v>128</v>
      </c>
      <c r="F204" s="94" t="s">
        <v>1333</v>
      </c>
      <c r="G204" s="103">
        <v>-1904116.1571345495</v>
      </c>
      <c r="H204" s="94">
        <v>1.0004</v>
      </c>
      <c r="I204" s="124">
        <v>-7387.7777102492619</v>
      </c>
      <c r="J204" s="32">
        <v>-0.18533364738671912</v>
      </c>
      <c r="K204" s="32">
        <v>-6.2563052163096874E-4</v>
      </c>
      <c r="L204" s="26"/>
      <c r="M204" s="26"/>
    </row>
    <row r="205" spans="2:13" x14ac:dyDescent="0.2">
      <c r="B205" s="23" t="s">
        <v>2963</v>
      </c>
      <c r="C205" s="32" t="s">
        <v>3215</v>
      </c>
      <c r="D205" s="32" t="s">
        <v>191</v>
      </c>
      <c r="E205" s="94" t="s">
        <v>128</v>
      </c>
      <c r="F205" s="94" t="s">
        <v>3216</v>
      </c>
      <c r="G205" s="103">
        <v>920780.51210122614</v>
      </c>
      <c r="H205" s="94">
        <v>1.0004</v>
      </c>
      <c r="I205" s="124">
        <v>3572.535065847856</v>
      </c>
      <c r="J205" s="32">
        <v>8.962247919993202E-2</v>
      </c>
      <c r="K205" s="32">
        <v>3.0253847157454741E-4</v>
      </c>
      <c r="L205" s="26"/>
      <c r="M205" s="26"/>
    </row>
    <row r="206" spans="2:13" x14ac:dyDescent="0.2">
      <c r="B206" s="23" t="s">
        <v>2966</v>
      </c>
      <c r="C206" s="32" t="s">
        <v>3217</v>
      </c>
      <c r="D206" s="32" t="s">
        <v>191</v>
      </c>
      <c r="E206" s="94" t="s">
        <v>127</v>
      </c>
      <c r="F206" s="94" t="s">
        <v>3216</v>
      </c>
      <c r="G206" s="103">
        <v>-1022457.700150004</v>
      </c>
      <c r="H206" s="94">
        <v>0.99960000000000004</v>
      </c>
      <c r="I206" s="124">
        <v>-3532.3311089007157</v>
      </c>
      <c r="J206" s="32">
        <v>-8.8613901753150565E-2</v>
      </c>
      <c r="K206" s="32">
        <v>-2.9913381816685575E-4</v>
      </c>
      <c r="L206" s="26"/>
      <c r="M206" s="26"/>
    </row>
    <row r="207" spans="2:13" x14ac:dyDescent="0.2">
      <c r="B207" s="23" t="s">
        <v>2966</v>
      </c>
      <c r="C207" s="32" t="s">
        <v>3218</v>
      </c>
      <c r="D207" s="32" t="s">
        <v>191</v>
      </c>
      <c r="E207" s="94" t="s">
        <v>127</v>
      </c>
      <c r="F207" s="94" t="s">
        <v>3219</v>
      </c>
      <c r="G207" s="103">
        <v>3146058.7972788224</v>
      </c>
      <c r="H207" s="94">
        <v>0.99960000000000004</v>
      </c>
      <c r="I207" s="124">
        <v>10868.832384301926</v>
      </c>
      <c r="J207" s="32">
        <v>0.2726612017336405</v>
      </c>
      <c r="K207" s="32">
        <v>9.2042201874546563E-4</v>
      </c>
      <c r="L207" s="26"/>
      <c r="M207" s="26"/>
    </row>
    <row r="208" spans="2:13" x14ac:dyDescent="0.2">
      <c r="B208" s="23" t="s">
        <v>2963</v>
      </c>
      <c r="C208" s="32" t="s">
        <v>3220</v>
      </c>
      <c r="D208" s="32" t="s">
        <v>191</v>
      </c>
      <c r="E208" s="94" t="s">
        <v>128</v>
      </c>
      <c r="F208" s="94" t="s">
        <v>3219</v>
      </c>
      <c r="G208" s="103">
        <v>-2808228.864838724</v>
      </c>
      <c r="H208" s="94">
        <v>1.0004</v>
      </c>
      <c r="I208" s="124">
        <v>-10895.6433856884</v>
      </c>
      <c r="J208" s="32">
        <v>-0.27333379650732353</v>
      </c>
      <c r="K208" s="32">
        <v>-9.2269249593640731E-4</v>
      </c>
      <c r="L208" s="26"/>
      <c r="M208" s="26"/>
    </row>
    <row r="209" spans="2:13" x14ac:dyDescent="0.2">
      <c r="B209" s="23" t="s">
        <v>3221</v>
      </c>
      <c r="C209" s="32" t="s">
        <v>3222</v>
      </c>
      <c r="D209" s="32" t="s">
        <v>191</v>
      </c>
      <c r="E209" s="94" t="s">
        <v>3</v>
      </c>
      <c r="F209" s="94" t="s">
        <v>1557</v>
      </c>
      <c r="G209" s="103">
        <v>4532618.3746235948</v>
      </c>
      <c r="H209" s="94">
        <v>0.99760000000000004</v>
      </c>
      <c r="I209" s="124">
        <v>10957.199528158282</v>
      </c>
      <c r="J209" s="32">
        <v>0.2748780260240255</v>
      </c>
      <c r="K209" s="32">
        <v>9.2790534925082078E-4</v>
      </c>
      <c r="L209" s="26"/>
      <c r="M209" s="26"/>
    </row>
    <row r="210" spans="2:13" x14ac:dyDescent="0.2">
      <c r="B210" s="23" t="s">
        <v>3223</v>
      </c>
      <c r="C210" s="32" t="s">
        <v>3224</v>
      </c>
      <c r="D210" s="32" t="s">
        <v>191</v>
      </c>
      <c r="E210" s="94" t="s">
        <v>127</v>
      </c>
      <c r="F210" s="94" t="s">
        <v>1557</v>
      </c>
      <c r="G210" s="103">
        <v>-3128707.8223595559</v>
      </c>
      <c r="H210" s="94">
        <v>0.99470000000000003</v>
      </c>
      <c r="I210" s="124">
        <v>-10755.582008037549</v>
      </c>
      <c r="J210" s="32">
        <v>-0.26982014368828583</v>
      </c>
      <c r="K210" s="32">
        <v>-9.108314632691023E-4</v>
      </c>
      <c r="L210" s="26"/>
      <c r="M210" s="26"/>
    </row>
    <row r="211" spans="2:13" x14ac:dyDescent="0.2">
      <c r="B211" s="23" t="s">
        <v>2966</v>
      </c>
      <c r="C211" s="32" t="s">
        <v>3225</v>
      </c>
      <c r="D211" s="32" t="s">
        <v>191</v>
      </c>
      <c r="E211" s="94" t="s">
        <v>127</v>
      </c>
      <c r="F211" s="94" t="s">
        <v>3226</v>
      </c>
      <c r="G211" s="103">
        <v>1729084.7314601075</v>
      </c>
      <c r="H211" s="94">
        <v>0.99960000000000004</v>
      </c>
      <c r="I211" s="124">
        <v>5973.5476463615114</v>
      </c>
      <c r="J211" s="32">
        <v>0.14985553390468442</v>
      </c>
      <c r="K211" s="32">
        <v>5.0586710598991543E-4</v>
      </c>
      <c r="L211" s="26"/>
      <c r="M211" s="26"/>
    </row>
    <row r="212" spans="2:13" x14ac:dyDescent="0.2">
      <c r="B212" s="23" t="s">
        <v>2963</v>
      </c>
      <c r="C212" s="32" t="s">
        <v>3227</v>
      </c>
      <c r="D212" s="32" t="s">
        <v>191</v>
      </c>
      <c r="E212" s="94" t="s">
        <v>128</v>
      </c>
      <c r="F212" s="94" t="s">
        <v>3226</v>
      </c>
      <c r="G212" s="103">
        <v>-1541101.2063139339</v>
      </c>
      <c r="H212" s="94">
        <v>1.0004</v>
      </c>
      <c r="I212" s="124">
        <v>-5979.3164922880715</v>
      </c>
      <c r="J212" s="32">
        <v>-0.15000025418441051</v>
      </c>
      <c r="K212" s="32">
        <v>-5.0635563802590717E-4</v>
      </c>
      <c r="L212" s="26"/>
      <c r="M212" s="26"/>
    </row>
    <row r="213" spans="2:13" x14ac:dyDescent="0.2">
      <c r="B213" s="23" t="s">
        <v>2998</v>
      </c>
      <c r="C213" s="32" t="s">
        <v>3228</v>
      </c>
      <c r="D213" s="32" t="s">
        <v>191</v>
      </c>
      <c r="E213" s="94" t="s">
        <v>318</v>
      </c>
      <c r="F213" s="94" t="s">
        <v>3229</v>
      </c>
      <c r="G213" s="103">
        <v>2877672589</v>
      </c>
      <c r="H213" s="94">
        <v>1.002</v>
      </c>
      <c r="I213" s="124">
        <v>91830.087379999997</v>
      </c>
      <c r="J213" s="32">
        <v>2.3036974989603878</v>
      </c>
      <c r="K213" s="32">
        <v>7.7765882681151257E-3</v>
      </c>
      <c r="L213" s="26"/>
      <c r="M213" s="26"/>
    </row>
    <row r="214" spans="2:13" x14ac:dyDescent="0.2">
      <c r="B214" s="23" t="s">
        <v>3001</v>
      </c>
      <c r="C214" s="32" t="s">
        <v>3230</v>
      </c>
      <c r="D214" s="32" t="s">
        <v>191</v>
      </c>
      <c r="E214" s="94" t="s">
        <v>127</v>
      </c>
      <c r="F214" s="94" t="s">
        <v>3229</v>
      </c>
      <c r="G214" s="103">
        <v>-26903439.399999999</v>
      </c>
      <c r="H214" s="94">
        <v>0.99350000000000005</v>
      </c>
      <c r="I214" s="124">
        <v>-92375.601309999998</v>
      </c>
      <c r="J214" s="32">
        <v>-2.3173825461169777</v>
      </c>
      <c r="K214" s="32">
        <v>-7.8227848617280302E-3</v>
      </c>
      <c r="L214" s="26"/>
      <c r="M214" s="26"/>
    </row>
    <row r="215" spans="2:13" x14ac:dyDescent="0.2">
      <c r="B215" s="23" t="s">
        <v>3001</v>
      </c>
      <c r="C215" s="32" t="s">
        <v>3231</v>
      </c>
      <c r="D215" s="32" t="s">
        <v>191</v>
      </c>
      <c r="E215" s="94" t="s">
        <v>127</v>
      </c>
      <c r="F215" s="94" t="s">
        <v>3229</v>
      </c>
      <c r="G215" s="103">
        <v>5491714.6048656609</v>
      </c>
      <c r="H215" s="94">
        <v>0.99350000000000005</v>
      </c>
      <c r="I215" s="124">
        <v>18856.341425604292</v>
      </c>
      <c r="J215" s="32">
        <v>0.47304002229631503</v>
      </c>
      <c r="K215" s="32">
        <v>1.5968405093978425E-3</v>
      </c>
      <c r="L215" s="26"/>
      <c r="M215" s="26"/>
    </row>
    <row r="216" spans="2:13" x14ac:dyDescent="0.2">
      <c r="B216" s="23" t="s">
        <v>2998</v>
      </c>
      <c r="C216" s="32" t="s">
        <v>3232</v>
      </c>
      <c r="D216" s="32" t="s">
        <v>191</v>
      </c>
      <c r="E216" s="94" t="s">
        <v>318</v>
      </c>
      <c r="F216" s="94" t="s">
        <v>3229</v>
      </c>
      <c r="G216" s="103">
        <v>-587410269.30602789</v>
      </c>
      <c r="H216" s="94">
        <v>1.002</v>
      </c>
      <c r="I216" s="124">
        <v>-18744.987379168819</v>
      </c>
      <c r="J216" s="32">
        <v>-0.47024653657075988</v>
      </c>
      <c r="K216" s="32">
        <v>-1.5874105437316457E-3</v>
      </c>
      <c r="L216" s="26"/>
      <c r="M216" s="26"/>
    </row>
    <row r="217" spans="2:13" x14ac:dyDescent="0.2">
      <c r="B217" s="23" t="s">
        <v>2963</v>
      </c>
      <c r="C217" s="32" t="s">
        <v>3233</v>
      </c>
      <c r="D217" s="32" t="s">
        <v>191</v>
      </c>
      <c r="E217" s="94" t="s">
        <v>128</v>
      </c>
      <c r="F217" s="94" t="s">
        <v>3234</v>
      </c>
      <c r="G217" s="103">
        <v>4794537.0863100169</v>
      </c>
      <c r="H217" s="94">
        <v>1.0004</v>
      </c>
      <c r="I217" s="124">
        <v>18602.317976083439</v>
      </c>
      <c r="J217" s="32">
        <v>0.46666745746451971</v>
      </c>
      <c r="K217" s="32">
        <v>1.5753286516426005E-3</v>
      </c>
      <c r="L217" s="26"/>
      <c r="M217" s="26"/>
    </row>
    <row r="218" spans="2:13" x14ac:dyDescent="0.2">
      <c r="B218" s="23" t="s">
        <v>2966</v>
      </c>
      <c r="C218" s="32" t="s">
        <v>3235</v>
      </c>
      <c r="D218" s="32" t="s">
        <v>191</v>
      </c>
      <c r="E218" s="94" t="s">
        <v>127</v>
      </c>
      <c r="F218" s="94" t="s">
        <v>3234</v>
      </c>
      <c r="G218" s="103">
        <v>-5309230.6425253963</v>
      </c>
      <c r="H218" s="94">
        <v>0.99960000000000004</v>
      </c>
      <c r="I218" s="124">
        <v>-18342.040521428265</v>
      </c>
      <c r="J218" s="32">
        <v>-0.4601380013959035</v>
      </c>
      <c r="K218" s="32">
        <v>-1.5532871763693544E-3</v>
      </c>
      <c r="L218" s="26"/>
      <c r="M218" s="26"/>
    </row>
    <row r="219" spans="2:13" x14ac:dyDescent="0.2">
      <c r="B219" s="23" t="s">
        <v>2966</v>
      </c>
      <c r="C219" s="32" t="s">
        <v>3236</v>
      </c>
      <c r="D219" s="32" t="s">
        <v>191</v>
      </c>
      <c r="E219" s="94" t="s">
        <v>127</v>
      </c>
      <c r="F219" s="94" t="s">
        <v>3237</v>
      </c>
      <c r="G219" s="103">
        <v>9920443.0553760063</v>
      </c>
      <c r="H219" s="94">
        <v>0.99960000000000004</v>
      </c>
      <c r="I219" s="124">
        <v>34272.60572535394</v>
      </c>
      <c r="J219" s="32">
        <v>0.85978047440635397</v>
      </c>
      <c r="K219" s="32">
        <v>2.9023596863044033E-3</v>
      </c>
      <c r="L219" s="26"/>
      <c r="M219" s="26"/>
    </row>
    <row r="220" spans="2:13" x14ac:dyDescent="0.2">
      <c r="B220" s="23" t="s">
        <v>2963</v>
      </c>
      <c r="C220" s="32" t="s">
        <v>3238</v>
      </c>
      <c r="D220" s="32" t="s">
        <v>191</v>
      </c>
      <c r="E220" s="94" t="s">
        <v>128</v>
      </c>
      <c r="F220" s="94" t="s">
        <v>3237</v>
      </c>
      <c r="G220" s="103">
        <v>-8979483.0287891887</v>
      </c>
      <c r="H220" s="94">
        <v>1.0004</v>
      </c>
      <c r="I220" s="124">
        <v>-34839.484095138228</v>
      </c>
      <c r="J220" s="32">
        <v>-0.87400148104966491</v>
      </c>
      <c r="K220" s="32">
        <v>-2.950365517570473E-3</v>
      </c>
      <c r="L220" s="26"/>
      <c r="M220" s="26"/>
    </row>
    <row r="221" spans="2:13" x14ac:dyDescent="0.2">
      <c r="B221" s="23" t="s">
        <v>2994</v>
      </c>
      <c r="C221" s="32" t="s">
        <v>3239</v>
      </c>
      <c r="D221" s="32" t="s">
        <v>191</v>
      </c>
      <c r="E221" s="94" t="s">
        <v>2</v>
      </c>
      <c r="F221" s="94" t="s">
        <v>1515</v>
      </c>
      <c r="G221" s="103">
        <v>21400000</v>
      </c>
      <c r="H221" s="94">
        <v>0.99870000000000003</v>
      </c>
      <c r="I221" s="124">
        <v>97452.973430000013</v>
      </c>
      <c r="J221" s="32">
        <v>2.4447561530453172</v>
      </c>
      <c r="K221" s="32">
        <v>8.2527597598009948E-3</v>
      </c>
      <c r="L221" s="26"/>
      <c r="M221" s="26"/>
    </row>
    <row r="222" spans="2:13" x14ac:dyDescent="0.2">
      <c r="B222" s="23" t="s">
        <v>2992</v>
      </c>
      <c r="C222" s="32" t="s">
        <v>3240</v>
      </c>
      <c r="D222" s="32" t="s">
        <v>191</v>
      </c>
      <c r="E222" s="94" t="s">
        <v>127</v>
      </c>
      <c r="F222" s="94" t="s">
        <v>1515</v>
      </c>
      <c r="G222" s="103">
        <v>-27672982</v>
      </c>
      <c r="H222" s="94">
        <v>0.99619999999999997</v>
      </c>
      <c r="I222" s="124">
        <v>-95281.383610000004</v>
      </c>
      <c r="J222" s="32">
        <v>-2.3902785174486052</v>
      </c>
      <c r="K222" s="32">
        <v>-8.0688596852264358E-3</v>
      </c>
      <c r="L222" s="26"/>
      <c r="M222" s="26"/>
    </row>
    <row r="223" spans="2:13" x14ac:dyDescent="0.2">
      <c r="B223" s="23" t="s">
        <v>2992</v>
      </c>
      <c r="C223" s="32" t="s">
        <v>3241</v>
      </c>
      <c r="D223" s="32" t="s">
        <v>191</v>
      </c>
      <c r="E223" s="94" t="s">
        <v>127</v>
      </c>
      <c r="F223" s="94" t="s">
        <v>1515</v>
      </c>
      <c r="G223" s="103">
        <v>6887519.4338330226</v>
      </c>
      <c r="H223" s="94">
        <v>0.99619999999999997</v>
      </c>
      <c r="I223" s="124">
        <v>23714.552386131334</v>
      </c>
      <c r="J223" s="32">
        <v>0.59491563799594249</v>
      </c>
      <c r="K223" s="32">
        <v>2.0082558465446434E-3</v>
      </c>
      <c r="L223" s="26"/>
      <c r="M223" s="26"/>
    </row>
    <row r="224" spans="2:13" x14ac:dyDescent="0.2">
      <c r="B224" s="23" t="s">
        <v>2994</v>
      </c>
      <c r="C224" s="32" t="s">
        <v>3242</v>
      </c>
      <c r="D224" s="32" t="s">
        <v>191</v>
      </c>
      <c r="E224" s="94" t="s">
        <v>2</v>
      </c>
      <c r="F224" s="94" t="s">
        <v>1515</v>
      </c>
      <c r="G224" s="103">
        <v>-5326238.9967234721</v>
      </c>
      <c r="H224" s="94">
        <v>0.99870000000000003</v>
      </c>
      <c r="I224" s="124">
        <v>-24255.038663903495</v>
      </c>
      <c r="J224" s="32">
        <v>-0.60847455884476787</v>
      </c>
      <c r="K224" s="32">
        <v>-2.0540266757654337E-3</v>
      </c>
      <c r="L224" s="26"/>
      <c r="M224" s="26"/>
    </row>
    <row r="225" spans="2:13" x14ac:dyDescent="0.2">
      <c r="B225" s="23" t="s">
        <v>2992</v>
      </c>
      <c r="C225" s="32" t="s">
        <v>3243</v>
      </c>
      <c r="D225" s="32" t="s">
        <v>191</v>
      </c>
      <c r="E225" s="94" t="s">
        <v>127</v>
      </c>
      <c r="F225" s="94" t="s">
        <v>1515</v>
      </c>
      <c r="G225" s="103">
        <v>6876641.0628784904</v>
      </c>
      <c r="H225" s="94">
        <v>0.99619999999999997</v>
      </c>
      <c r="I225" s="124">
        <v>23677.09685509207</v>
      </c>
      <c r="J225" s="32">
        <v>0.59397600899591418</v>
      </c>
      <c r="K225" s="32">
        <v>2.005083942307521E-3</v>
      </c>
      <c r="L225" s="26"/>
      <c r="M225" s="26"/>
    </row>
    <row r="226" spans="2:13" x14ac:dyDescent="0.2">
      <c r="B226" s="23" t="s">
        <v>2994</v>
      </c>
      <c r="C226" s="32" t="s">
        <v>3244</v>
      </c>
      <c r="D226" s="32" t="s">
        <v>191</v>
      </c>
      <c r="E226" s="94" t="s">
        <v>2</v>
      </c>
      <c r="F226" s="94" t="s">
        <v>1515</v>
      </c>
      <c r="G226" s="103">
        <v>-5317826.5625872808</v>
      </c>
      <c r="H226" s="94">
        <v>0.99870000000000003</v>
      </c>
      <c r="I226" s="124">
        <v>-24216.729471990242</v>
      </c>
      <c r="J226" s="32">
        <v>-0.60751351446252133</v>
      </c>
      <c r="K226" s="32">
        <v>-2.0507824796539699E-3</v>
      </c>
      <c r="L226" s="26"/>
      <c r="M226" s="26"/>
    </row>
    <row r="227" spans="2:13" x14ac:dyDescent="0.2">
      <c r="B227" s="23" t="s">
        <v>2963</v>
      </c>
      <c r="C227" s="32" t="s">
        <v>3245</v>
      </c>
      <c r="D227" s="32" t="s">
        <v>191</v>
      </c>
      <c r="E227" s="94" t="s">
        <v>128</v>
      </c>
      <c r="F227" s="94" t="s">
        <v>1515</v>
      </c>
      <c r="G227" s="103">
        <v>4246589.9907317292</v>
      </c>
      <c r="H227" s="94">
        <v>1.0004</v>
      </c>
      <c r="I227" s="124">
        <v>16476.338778307952</v>
      </c>
      <c r="J227" s="32">
        <v>0.41333403374152466</v>
      </c>
      <c r="K227" s="32">
        <v>1.3952910914117865E-3</v>
      </c>
      <c r="L227" s="26"/>
      <c r="M227" s="26"/>
    </row>
    <row r="228" spans="2:13" x14ac:dyDescent="0.2">
      <c r="B228" s="23" t="s">
        <v>2966</v>
      </c>
      <c r="C228" s="32" t="s">
        <v>3246</v>
      </c>
      <c r="D228" s="32" t="s">
        <v>191</v>
      </c>
      <c r="E228" s="94" t="s">
        <v>127</v>
      </c>
      <c r="F228" s="94" t="s">
        <v>1515</v>
      </c>
      <c r="G228" s="103">
        <v>-4692239.8841290884</v>
      </c>
      <c r="H228" s="94">
        <v>0.99960000000000004</v>
      </c>
      <c r="I228" s="124">
        <v>-16210.494492806612</v>
      </c>
      <c r="J228" s="32">
        <v>-0.40666492524892262</v>
      </c>
      <c r="K228" s="32">
        <v>-1.3727781916557373E-3</v>
      </c>
      <c r="L228" s="26"/>
      <c r="M228" s="26"/>
    </row>
    <row r="229" spans="2:13" x14ac:dyDescent="0.2">
      <c r="B229" s="23" t="s">
        <v>2963</v>
      </c>
      <c r="C229" s="32" t="s">
        <v>3247</v>
      </c>
      <c r="D229" s="32" t="s">
        <v>191</v>
      </c>
      <c r="E229" s="94" t="s">
        <v>128</v>
      </c>
      <c r="F229" s="94" t="s">
        <v>3248</v>
      </c>
      <c r="G229" s="103">
        <v>4794537.0863100169</v>
      </c>
      <c r="H229" s="94">
        <v>1.0004</v>
      </c>
      <c r="I229" s="124">
        <v>18602.317976083439</v>
      </c>
      <c r="J229" s="32">
        <v>0.46666745746451971</v>
      </c>
      <c r="K229" s="32">
        <v>1.5753286516426005E-3</v>
      </c>
      <c r="L229" s="26"/>
      <c r="M229" s="26"/>
    </row>
    <row r="230" spans="2:13" x14ac:dyDescent="0.2">
      <c r="B230" s="23" t="s">
        <v>2966</v>
      </c>
      <c r="C230" s="32" t="s">
        <v>3249</v>
      </c>
      <c r="D230" s="32" t="s">
        <v>191</v>
      </c>
      <c r="E230" s="94" t="s">
        <v>127</v>
      </c>
      <c r="F230" s="94" t="s">
        <v>3248</v>
      </c>
      <c r="G230" s="103">
        <v>-5301511.4378164373</v>
      </c>
      <c r="H230" s="94">
        <v>0.99960000000000004</v>
      </c>
      <c r="I230" s="124">
        <v>-18315.372634234081</v>
      </c>
      <c r="J230" s="32">
        <v>-0.45946899685954085</v>
      </c>
      <c r="K230" s="32">
        <v>-1.5510288187372688E-3</v>
      </c>
      <c r="L230" s="26"/>
      <c r="M230" s="26"/>
    </row>
    <row r="231" spans="2:13" x14ac:dyDescent="0.2">
      <c r="B231" s="23" t="s">
        <v>2994</v>
      </c>
      <c r="C231" s="32" t="s">
        <v>3250</v>
      </c>
      <c r="D231" s="32" t="s">
        <v>191</v>
      </c>
      <c r="E231" s="94" t="s">
        <v>2</v>
      </c>
      <c r="F231" s="94" t="s">
        <v>1371</v>
      </c>
      <c r="G231" s="103">
        <v>3767000</v>
      </c>
      <c r="H231" s="94">
        <v>0.99870000000000003</v>
      </c>
      <c r="I231" s="124">
        <v>17154.45565</v>
      </c>
      <c r="J231" s="32">
        <v>0.43034562750006489</v>
      </c>
      <c r="K231" s="32">
        <v>1.4527171035094274E-3</v>
      </c>
      <c r="L231" s="26"/>
      <c r="M231" s="26"/>
    </row>
    <row r="232" spans="2:13" x14ac:dyDescent="0.2">
      <c r="B232" s="23" t="s">
        <v>2992</v>
      </c>
      <c r="C232" s="32" t="s">
        <v>3251</v>
      </c>
      <c r="D232" s="32" t="s">
        <v>191</v>
      </c>
      <c r="E232" s="94" t="s">
        <v>127</v>
      </c>
      <c r="F232" s="94" t="s">
        <v>1371</v>
      </c>
      <c r="G232" s="103">
        <v>-4879771.8</v>
      </c>
      <c r="H232" s="94">
        <v>0.99619999999999997</v>
      </c>
      <c r="I232" s="124">
        <v>-16801.63738</v>
      </c>
      <c r="J232" s="32">
        <v>-0.42149464423982735</v>
      </c>
      <c r="K232" s="32">
        <v>-1.422838852300704E-3</v>
      </c>
      <c r="L232" s="26"/>
      <c r="M232" s="26"/>
    </row>
    <row r="233" spans="2:13" x14ac:dyDescent="0.2">
      <c r="B233" s="23" t="s">
        <v>2963</v>
      </c>
      <c r="C233" s="32" t="s">
        <v>3252</v>
      </c>
      <c r="D233" s="32" t="s">
        <v>191</v>
      </c>
      <c r="E233" s="94" t="s">
        <v>128</v>
      </c>
      <c r="F233" s="94" t="s">
        <v>1371</v>
      </c>
      <c r="G233" s="103">
        <v>2063818.3891924033</v>
      </c>
      <c r="H233" s="94">
        <v>1.0004</v>
      </c>
      <c r="I233" s="124">
        <v>8007.4061852478862</v>
      </c>
      <c r="J233" s="32">
        <v>0.20087797070018965</v>
      </c>
      <c r="K233" s="32">
        <v>6.781034710394196E-4</v>
      </c>
      <c r="L233" s="26"/>
      <c r="M233" s="26"/>
    </row>
    <row r="234" spans="2:13" x14ac:dyDescent="0.2">
      <c r="B234" s="23" t="s">
        <v>2966</v>
      </c>
      <c r="C234" s="32" t="s">
        <v>3253</v>
      </c>
      <c r="D234" s="32" t="s">
        <v>191</v>
      </c>
      <c r="E234" s="94" t="s">
        <v>127</v>
      </c>
      <c r="F234" s="94" t="s">
        <v>1371</v>
      </c>
      <c r="G234" s="103">
        <v>-2280261.3427589568</v>
      </c>
      <c r="H234" s="94">
        <v>0.99960000000000004</v>
      </c>
      <c r="I234" s="124">
        <v>-7877.7225482559043</v>
      </c>
      <c r="J234" s="32">
        <v>-0.19762465929955625</v>
      </c>
      <c r="K234" s="32">
        <v>-6.6712127251634609E-4</v>
      </c>
      <c r="L234" s="26"/>
      <c r="M234" s="26"/>
    </row>
    <row r="235" spans="2:13" x14ac:dyDescent="0.2">
      <c r="B235" s="23" t="s">
        <v>2963</v>
      </c>
      <c r="C235" s="32" t="s">
        <v>3254</v>
      </c>
      <c r="D235" s="32" t="s">
        <v>191</v>
      </c>
      <c r="E235" s="94" t="s">
        <v>128</v>
      </c>
      <c r="F235" s="94" t="s">
        <v>3131</v>
      </c>
      <c r="G235" s="103">
        <v>1476032.4887140123</v>
      </c>
      <c r="H235" s="94">
        <v>1.0004</v>
      </c>
      <c r="I235" s="124">
        <v>5726.8564625436711</v>
      </c>
      <c r="J235" s="32">
        <v>0.14366691011709007</v>
      </c>
      <c r="K235" s="32">
        <v>4.8497617774777296E-4</v>
      </c>
      <c r="L235" s="26"/>
      <c r="M235" s="26"/>
    </row>
    <row r="236" spans="2:13" x14ac:dyDescent="0.2">
      <c r="B236" s="23" t="s">
        <v>2966</v>
      </c>
      <c r="C236" s="32" t="s">
        <v>3255</v>
      </c>
      <c r="D236" s="32" t="s">
        <v>191</v>
      </c>
      <c r="E236" s="94" t="s">
        <v>127</v>
      </c>
      <c r="F236" s="94" t="s">
        <v>3131</v>
      </c>
      <c r="G236" s="103">
        <v>-1640639.6318553989</v>
      </c>
      <c r="H236" s="94">
        <v>0.99960000000000004</v>
      </c>
      <c r="I236" s="124">
        <v>-5667.9923389487303</v>
      </c>
      <c r="J236" s="32">
        <v>-0.14219021399087367</v>
      </c>
      <c r="K236" s="32">
        <v>-4.7999129680056181E-4</v>
      </c>
      <c r="L236" s="26"/>
      <c r="M236" s="26"/>
    </row>
    <row r="237" spans="2:13" x14ac:dyDescent="0.2">
      <c r="B237" s="23" t="s">
        <v>2992</v>
      </c>
      <c r="C237" s="32" t="s">
        <v>3256</v>
      </c>
      <c r="D237" s="32" t="s">
        <v>191</v>
      </c>
      <c r="E237" s="94" t="s">
        <v>127</v>
      </c>
      <c r="F237" s="94" t="s">
        <v>3131</v>
      </c>
      <c r="G237" s="103">
        <v>1645309.4082373844</v>
      </c>
      <c r="H237" s="94">
        <v>0.99619999999999997</v>
      </c>
      <c r="I237" s="124">
        <v>5664.9968868353408</v>
      </c>
      <c r="J237" s="32">
        <v>0.14211506851580388</v>
      </c>
      <c r="K237" s="32">
        <v>4.7973762833059414E-4</v>
      </c>
      <c r="L237" s="26"/>
      <c r="M237" s="26"/>
    </row>
    <row r="238" spans="2:13" x14ac:dyDescent="0.2">
      <c r="B238" s="23" t="s">
        <v>2994</v>
      </c>
      <c r="C238" s="32" t="s">
        <v>3257</v>
      </c>
      <c r="D238" s="32" t="s">
        <v>191</v>
      </c>
      <c r="E238" s="94" t="s">
        <v>2</v>
      </c>
      <c r="F238" s="94" t="s">
        <v>3131</v>
      </c>
      <c r="G238" s="103">
        <v>-1256853.6504826972</v>
      </c>
      <c r="H238" s="94">
        <v>0.99870000000000003</v>
      </c>
      <c r="I238" s="124">
        <v>-5723.5572614373186</v>
      </c>
      <c r="J238" s="32">
        <v>-0.14358414463625349</v>
      </c>
      <c r="K238" s="32">
        <v>-4.8469678643551551E-4</v>
      </c>
      <c r="L238" s="26"/>
      <c r="M238" s="26"/>
    </row>
    <row r="239" spans="2:13" x14ac:dyDescent="0.2">
      <c r="B239" s="23" t="s">
        <v>2966</v>
      </c>
      <c r="C239" s="32" t="s">
        <v>3258</v>
      </c>
      <c r="D239" s="32" t="s">
        <v>191</v>
      </c>
      <c r="E239" s="94" t="s">
        <v>127</v>
      </c>
      <c r="F239" s="94" t="s">
        <v>3259</v>
      </c>
      <c r="G239" s="103">
        <v>1164162.1695913863</v>
      </c>
      <c r="H239" s="94">
        <v>0.99960000000000004</v>
      </c>
      <c r="I239" s="124">
        <v>4021.8839840067881</v>
      </c>
      <c r="J239" s="32">
        <v>0.10089508068009505</v>
      </c>
      <c r="K239" s="32">
        <v>3.4059137585617865E-4</v>
      </c>
      <c r="L239" s="26"/>
      <c r="M239" s="26"/>
    </row>
    <row r="240" spans="2:13" x14ac:dyDescent="0.2">
      <c r="B240" s="23" t="s">
        <v>2963</v>
      </c>
      <c r="C240" s="32" t="s">
        <v>3260</v>
      </c>
      <c r="D240" s="32" t="s">
        <v>191</v>
      </c>
      <c r="E240" s="94" t="s">
        <v>128</v>
      </c>
      <c r="F240" s="94" t="s">
        <v>3259</v>
      </c>
      <c r="G240" s="103">
        <v>-1047784.7206669125</v>
      </c>
      <c r="H240" s="94">
        <v>1.0004</v>
      </c>
      <c r="I240" s="124">
        <v>-4065.2985247937336</v>
      </c>
      <c r="J240" s="32">
        <v>-0.10198420050871433</v>
      </c>
      <c r="K240" s="32">
        <v>-3.4426791606409854E-4</v>
      </c>
      <c r="L240" s="26"/>
      <c r="M240" s="26"/>
    </row>
    <row r="241" spans="2:13" x14ac:dyDescent="0.2">
      <c r="B241" s="23" t="s">
        <v>2963</v>
      </c>
      <c r="C241" s="32" t="s">
        <v>3261</v>
      </c>
      <c r="D241" s="32" t="s">
        <v>191</v>
      </c>
      <c r="E241" s="94" t="s">
        <v>128</v>
      </c>
      <c r="F241" s="94" t="s">
        <v>3262</v>
      </c>
      <c r="G241" s="103">
        <v>1369867.7389457191</v>
      </c>
      <c r="H241" s="94">
        <v>1.0004</v>
      </c>
      <c r="I241" s="124">
        <v>5314.9479930688485</v>
      </c>
      <c r="J241" s="32">
        <v>0.1333335592731224</v>
      </c>
      <c r="K241" s="32">
        <v>4.5009390046102816E-4</v>
      </c>
      <c r="L241" s="26"/>
      <c r="M241" s="26"/>
    </row>
    <row r="242" spans="2:13" x14ac:dyDescent="0.2">
      <c r="B242" s="23" t="s">
        <v>2966</v>
      </c>
      <c r="C242" s="32" t="s">
        <v>3263</v>
      </c>
      <c r="D242" s="32" t="s">
        <v>191</v>
      </c>
      <c r="E242" s="94" t="s">
        <v>127</v>
      </c>
      <c r="F242" s="94" t="s">
        <v>3262</v>
      </c>
      <c r="G242" s="103">
        <v>-1528799.7940182013</v>
      </c>
      <c r="H242" s="94">
        <v>0.99960000000000004</v>
      </c>
      <c r="I242" s="124">
        <v>-5281.6141657577618</v>
      </c>
      <c r="J242" s="32">
        <v>-0.13249732948397322</v>
      </c>
      <c r="K242" s="32">
        <v>-4.4727104078840164E-4</v>
      </c>
      <c r="L242" s="26"/>
      <c r="M242" s="26"/>
    </row>
    <row r="243" spans="2:13" x14ac:dyDescent="0.2">
      <c r="B243" s="23" t="s">
        <v>2992</v>
      </c>
      <c r="C243" s="32" t="s">
        <v>3264</v>
      </c>
      <c r="D243" s="32" t="s">
        <v>191</v>
      </c>
      <c r="E243" s="94" t="s">
        <v>127</v>
      </c>
      <c r="F243" s="94" t="s">
        <v>3265</v>
      </c>
      <c r="G243" s="103">
        <v>5403218.75</v>
      </c>
      <c r="H243" s="94">
        <v>0.99619999999999997</v>
      </c>
      <c r="I243" s="124">
        <v>18603.927769999998</v>
      </c>
      <c r="J243" s="32">
        <v>0.46670784159487644</v>
      </c>
      <c r="K243" s="32">
        <v>1.5754649762922089E-3</v>
      </c>
      <c r="L243" s="26"/>
      <c r="M243" s="26"/>
    </row>
    <row r="244" spans="2:13" x14ac:dyDescent="0.2">
      <c r="B244" s="23" t="s">
        <v>2994</v>
      </c>
      <c r="C244" s="32" t="s">
        <v>3266</v>
      </c>
      <c r="D244" s="32" t="s">
        <v>191</v>
      </c>
      <c r="E244" s="94" t="s">
        <v>2</v>
      </c>
      <c r="F244" s="94" t="s">
        <v>3265</v>
      </c>
      <c r="G244" s="103">
        <v>-4021000</v>
      </c>
      <c r="H244" s="94">
        <v>0.99870000000000003</v>
      </c>
      <c r="I244" s="124">
        <v>-18311.140469999998</v>
      </c>
      <c r="J244" s="32">
        <v>-0.45936282657876021</v>
      </c>
      <c r="K244" s="32">
        <v>-1.550670419876171E-3</v>
      </c>
      <c r="L244" s="26"/>
      <c r="M244" s="26"/>
    </row>
    <row r="245" spans="2:13" x14ac:dyDescent="0.2">
      <c r="B245" s="23" t="s">
        <v>2992</v>
      </c>
      <c r="C245" s="32" t="s">
        <v>3267</v>
      </c>
      <c r="D245" s="32" t="s">
        <v>191</v>
      </c>
      <c r="E245" s="94" t="s">
        <v>127</v>
      </c>
      <c r="F245" s="94" t="s">
        <v>3135</v>
      </c>
      <c r="G245" s="103">
        <v>2636780.85</v>
      </c>
      <c r="H245" s="94">
        <v>0.99619999999999997</v>
      </c>
      <c r="I245" s="124">
        <v>9078.7515299999995</v>
      </c>
      <c r="J245" s="32">
        <v>0.22775429916337941</v>
      </c>
      <c r="K245" s="32">
        <v>7.6882985360968788E-4</v>
      </c>
      <c r="L245" s="26"/>
      <c r="M245" s="26"/>
    </row>
    <row r="246" spans="2:13" x14ac:dyDescent="0.2">
      <c r="B246" s="23" t="s">
        <v>2994</v>
      </c>
      <c r="C246" s="32" t="s">
        <v>3268</v>
      </c>
      <c r="D246" s="32" t="s">
        <v>191</v>
      </c>
      <c r="E246" s="94" t="s">
        <v>2</v>
      </c>
      <c r="F246" s="94" t="s">
        <v>3135</v>
      </c>
      <c r="G246" s="103">
        <v>-1991000</v>
      </c>
      <c r="H246" s="94">
        <v>0.99870000000000003</v>
      </c>
      <c r="I246" s="124">
        <v>-9066.7696300000007</v>
      </c>
      <c r="J246" s="32">
        <v>-0.22745371496651845</v>
      </c>
      <c r="K246" s="32">
        <v>-7.6781517197724921E-4</v>
      </c>
      <c r="L246" s="26"/>
      <c r="M246" s="26"/>
    </row>
    <row r="247" spans="2:13" x14ac:dyDescent="0.2">
      <c r="B247" s="23" t="s">
        <v>2992</v>
      </c>
      <c r="C247" s="32" t="s">
        <v>3269</v>
      </c>
      <c r="D247" s="32" t="s">
        <v>191</v>
      </c>
      <c r="E247" s="94" t="s">
        <v>127</v>
      </c>
      <c r="F247" s="94" t="s">
        <v>3270</v>
      </c>
      <c r="G247" s="103">
        <v>2634359.44</v>
      </c>
      <c r="H247" s="94">
        <v>0.99619999999999997</v>
      </c>
      <c r="I247" s="124">
        <v>9070.4143199999999</v>
      </c>
      <c r="J247" s="32">
        <v>0.22754514756205479</v>
      </c>
      <c r="K247" s="32">
        <v>7.6812382085588555E-4</v>
      </c>
      <c r="L247" s="26"/>
      <c r="M247" s="26"/>
    </row>
    <row r="248" spans="2:13" x14ac:dyDescent="0.2">
      <c r="B248" s="23" t="s">
        <v>2994</v>
      </c>
      <c r="C248" s="32" t="s">
        <v>3271</v>
      </c>
      <c r="D248" s="32" t="s">
        <v>191</v>
      </c>
      <c r="E248" s="94" t="s">
        <v>2</v>
      </c>
      <c r="F248" s="94" t="s">
        <v>3270</v>
      </c>
      <c r="G248" s="103">
        <v>-2006000</v>
      </c>
      <c r="H248" s="94">
        <v>0.99870000000000003</v>
      </c>
      <c r="I248" s="124">
        <v>-9135.0777799999996</v>
      </c>
      <c r="J248" s="32">
        <v>-0.22916732886805416</v>
      </c>
      <c r="K248" s="32">
        <v>-7.735998159110884E-4</v>
      </c>
      <c r="L248" s="26"/>
      <c r="M248" s="26"/>
    </row>
    <row r="249" spans="2:13" x14ac:dyDescent="0.2">
      <c r="B249" s="23" t="s">
        <v>2963</v>
      </c>
      <c r="C249" s="32" t="s">
        <v>3272</v>
      </c>
      <c r="D249" s="32" t="s">
        <v>191</v>
      </c>
      <c r="E249" s="94" t="s">
        <v>128</v>
      </c>
      <c r="F249" s="94" t="s">
        <v>3004</v>
      </c>
      <c r="G249" s="103">
        <v>1712334.6736821488</v>
      </c>
      <c r="H249" s="94">
        <v>1.0004</v>
      </c>
      <c r="I249" s="124">
        <v>6643.6849915072944</v>
      </c>
      <c r="J249" s="32">
        <v>0.16666694909569865</v>
      </c>
      <c r="K249" s="32">
        <v>5.6261737559078608E-4</v>
      </c>
      <c r="L249" s="26"/>
      <c r="M249" s="26"/>
    </row>
    <row r="250" spans="2:13" x14ac:dyDescent="0.2">
      <c r="B250" s="23" t="s">
        <v>2966</v>
      </c>
      <c r="C250" s="32" t="s">
        <v>3273</v>
      </c>
      <c r="D250" s="32" t="s">
        <v>191</v>
      </c>
      <c r="E250" s="94" t="s">
        <v>127</v>
      </c>
      <c r="F250" s="94" t="s">
        <v>3004</v>
      </c>
      <c r="G250" s="103">
        <v>-1907592.1965221241</v>
      </c>
      <c r="H250" s="94">
        <v>0.99960000000000004</v>
      </c>
      <c r="I250" s="124">
        <v>-6590.245503062547</v>
      </c>
      <c r="J250" s="32">
        <v>-0.1653263381980257</v>
      </c>
      <c r="K250" s="32">
        <v>-5.5809187734995563E-4</v>
      </c>
      <c r="L250" s="26"/>
      <c r="M250" s="26"/>
    </row>
    <row r="251" spans="2:13" x14ac:dyDescent="0.2">
      <c r="B251" s="23" t="s">
        <v>2994</v>
      </c>
      <c r="C251" s="32" t="s">
        <v>3274</v>
      </c>
      <c r="D251" s="32" t="s">
        <v>191</v>
      </c>
      <c r="E251" s="94" t="s">
        <v>2</v>
      </c>
      <c r="F251" s="94" t="s">
        <v>3275</v>
      </c>
      <c r="G251" s="103">
        <v>890414.03031471733</v>
      </c>
      <c r="H251" s="94">
        <v>0.99870000000000003</v>
      </c>
      <c r="I251" s="124">
        <v>4054.8362073748772</v>
      </c>
      <c r="J251" s="32">
        <v>0.10172173735356767</v>
      </c>
      <c r="K251" s="32">
        <v>3.4338191957625794E-4</v>
      </c>
      <c r="L251" s="26"/>
      <c r="M251" s="26"/>
    </row>
    <row r="252" spans="2:13" x14ac:dyDescent="0.2">
      <c r="B252" s="23" t="s">
        <v>2992</v>
      </c>
      <c r="C252" s="32" t="s">
        <v>3276</v>
      </c>
      <c r="D252" s="32" t="s">
        <v>191</v>
      </c>
      <c r="E252" s="94" t="s">
        <v>127</v>
      </c>
      <c r="F252" s="94" t="s">
        <v>3275</v>
      </c>
      <c r="G252" s="103">
        <v>-1157297.8276209475</v>
      </c>
      <c r="H252" s="94">
        <v>0.99619999999999997</v>
      </c>
      <c r="I252" s="124">
        <v>-3984.7147031676982</v>
      </c>
      <c r="J252" s="32">
        <v>-9.9962632701984813E-2</v>
      </c>
      <c r="K252" s="32">
        <v>-3.3744371258421173E-4</v>
      </c>
      <c r="L252" s="26"/>
      <c r="M252" s="26"/>
    </row>
    <row r="253" spans="2:13" x14ac:dyDescent="0.2">
      <c r="B253" s="23" t="s">
        <v>2963</v>
      </c>
      <c r="C253" s="32" t="s">
        <v>3277</v>
      </c>
      <c r="D253" s="32" t="s">
        <v>191</v>
      </c>
      <c r="E253" s="94" t="s">
        <v>128</v>
      </c>
      <c r="F253" s="94" t="s">
        <v>3275</v>
      </c>
      <c r="G253" s="103">
        <v>3082202.4126278679</v>
      </c>
      <c r="H253" s="94">
        <v>1.0004</v>
      </c>
      <c r="I253" s="124">
        <v>11958.632984576143</v>
      </c>
      <c r="J253" s="32">
        <v>0.30000050836882103</v>
      </c>
      <c r="K253" s="32">
        <v>1.0127112760518143E-3</v>
      </c>
      <c r="L253" s="26"/>
      <c r="M253" s="26"/>
    </row>
    <row r="254" spans="2:13" x14ac:dyDescent="0.2">
      <c r="B254" s="23" t="s">
        <v>2966</v>
      </c>
      <c r="C254" s="32" t="s">
        <v>3278</v>
      </c>
      <c r="D254" s="32" t="s">
        <v>191</v>
      </c>
      <c r="E254" s="94" t="s">
        <v>127</v>
      </c>
      <c r="F254" s="94" t="s">
        <v>3275</v>
      </c>
      <c r="G254" s="103">
        <v>-3422754.9571991209</v>
      </c>
      <c r="H254" s="94">
        <v>0.99960000000000004</v>
      </c>
      <c r="I254" s="124">
        <v>-11824.747189871297</v>
      </c>
      <c r="J254" s="32">
        <v>-0.29664177944665898</v>
      </c>
      <c r="K254" s="32">
        <v>-1.0013732197559457E-3</v>
      </c>
      <c r="L254" s="26"/>
      <c r="M254" s="26"/>
    </row>
    <row r="255" spans="2:13" x14ac:dyDescent="0.2">
      <c r="B255" s="23" t="s">
        <v>2963</v>
      </c>
      <c r="C255" s="32" t="s">
        <v>3279</v>
      </c>
      <c r="D255" s="32" t="s">
        <v>191</v>
      </c>
      <c r="E255" s="94" t="s">
        <v>128</v>
      </c>
      <c r="F255" s="94" t="s">
        <v>3115</v>
      </c>
      <c r="G255" s="103">
        <v>1575347.8997875769</v>
      </c>
      <c r="H255" s="94">
        <v>1.0004</v>
      </c>
      <c r="I255" s="124">
        <v>6112.1901917209561</v>
      </c>
      <c r="J255" s="32">
        <v>0.15333359315635858</v>
      </c>
      <c r="K255" s="32">
        <v>5.1760798550408102E-4</v>
      </c>
      <c r="L255" s="26"/>
      <c r="M255" s="26"/>
    </row>
    <row r="256" spans="2:13" x14ac:dyDescent="0.2">
      <c r="B256" s="23" t="s">
        <v>2966</v>
      </c>
      <c r="C256" s="32" t="s">
        <v>3280</v>
      </c>
      <c r="D256" s="32" t="s">
        <v>191</v>
      </c>
      <c r="E256" s="94" t="s">
        <v>127</v>
      </c>
      <c r="F256" s="94" t="s">
        <v>3115</v>
      </c>
      <c r="G256" s="103">
        <v>-1750778.6419079213</v>
      </c>
      <c r="H256" s="94">
        <v>0.99960000000000004</v>
      </c>
      <c r="I256" s="124">
        <v>-6048.4945850218528</v>
      </c>
      <c r="J256" s="32">
        <v>-0.15173569192339681</v>
      </c>
      <c r="K256" s="32">
        <v>-5.122139526558164E-4</v>
      </c>
      <c r="L256" s="26"/>
      <c r="M256" s="26"/>
    </row>
    <row r="257" spans="2:15" x14ac:dyDescent="0.2">
      <c r="B257" s="23" t="s">
        <v>2963</v>
      </c>
      <c r="C257" s="32" t="s">
        <v>3281</v>
      </c>
      <c r="D257" s="32" t="s">
        <v>191</v>
      </c>
      <c r="E257" s="94" t="s">
        <v>128</v>
      </c>
      <c r="F257" s="94" t="s">
        <v>3007</v>
      </c>
      <c r="G257" s="103">
        <v>116438.75781038612</v>
      </c>
      <c r="H257" s="94">
        <v>1.0004</v>
      </c>
      <c r="I257" s="124">
        <v>451.77057889372708</v>
      </c>
      <c r="J257" s="32">
        <v>1.1333352525242535E-2</v>
      </c>
      <c r="K257" s="32">
        <v>3.8257981495394903E-5</v>
      </c>
      <c r="L257" s="26"/>
      <c r="M257" s="26"/>
    </row>
    <row r="258" spans="2:15" x14ac:dyDescent="0.2">
      <c r="B258" s="23" t="s">
        <v>2966</v>
      </c>
      <c r="C258" s="32" t="s">
        <v>3282</v>
      </c>
      <c r="D258" s="32" t="s">
        <v>191</v>
      </c>
      <c r="E258" s="94" t="s">
        <v>127</v>
      </c>
      <c r="F258" s="94" t="s">
        <v>3007</v>
      </c>
      <c r="G258" s="103">
        <v>-130533.66944333336</v>
      </c>
      <c r="H258" s="94">
        <v>0.99960000000000004</v>
      </c>
      <c r="I258" s="124">
        <v>-450.96060281210941</v>
      </c>
      <c r="J258" s="32">
        <v>-1.1313033042525296E-2</v>
      </c>
      <c r="K258" s="32">
        <v>-3.8189389047391487E-5</v>
      </c>
      <c r="L258" s="26"/>
      <c r="M258" s="26"/>
    </row>
    <row r="259" spans="2:15" s="160" customFormat="1" x14ac:dyDescent="0.2">
      <c r="B259" s="132" t="s">
        <v>2414</v>
      </c>
      <c r="C259" s="167" t="s">
        <v>238</v>
      </c>
      <c r="D259" s="167" t="s">
        <v>238</v>
      </c>
      <c r="E259" s="168" t="s">
        <v>238</v>
      </c>
      <c r="F259" s="168" t="s">
        <v>238</v>
      </c>
      <c r="G259" s="178" t="s">
        <v>238</v>
      </c>
      <c r="H259" s="168" t="s">
        <v>238</v>
      </c>
      <c r="I259" s="169">
        <v>0</v>
      </c>
      <c r="J259" s="167">
        <v>0</v>
      </c>
      <c r="K259" s="167">
        <v>0</v>
      </c>
      <c r="L259" s="200"/>
      <c r="M259" s="200"/>
      <c r="N259" s="175"/>
      <c r="O259" s="175"/>
    </row>
    <row r="260" spans="2:15" s="160" customFormat="1" x14ac:dyDescent="0.2">
      <c r="B260" s="132" t="s">
        <v>144</v>
      </c>
      <c r="C260" s="167" t="s">
        <v>238</v>
      </c>
      <c r="D260" s="167" t="s">
        <v>238</v>
      </c>
      <c r="E260" s="168" t="s">
        <v>238</v>
      </c>
      <c r="F260" s="168" t="s">
        <v>238</v>
      </c>
      <c r="G260" s="178" t="s">
        <v>238</v>
      </c>
      <c r="H260" s="168" t="s">
        <v>238</v>
      </c>
      <c r="I260" s="169">
        <v>0</v>
      </c>
      <c r="J260" s="167">
        <v>0</v>
      </c>
      <c r="K260" s="167">
        <v>0</v>
      </c>
      <c r="L260" s="200"/>
      <c r="M260" s="200"/>
      <c r="N260" s="175"/>
      <c r="O260" s="175"/>
    </row>
    <row r="261" spans="2:15" s="160" customFormat="1" x14ac:dyDescent="0.2">
      <c r="B261" s="114" t="s">
        <v>227</v>
      </c>
      <c r="C261" s="170"/>
      <c r="D261" s="114"/>
      <c r="E261" s="171"/>
      <c r="F261" s="171"/>
      <c r="G261" s="171"/>
      <c r="H261" s="172"/>
      <c r="I261" s="173"/>
      <c r="J261" s="173"/>
      <c r="K261" s="174"/>
      <c r="L261" s="191"/>
      <c r="M261" s="191"/>
      <c r="N261" s="175"/>
      <c r="O261" s="175"/>
    </row>
    <row r="262" spans="2:15" s="160" customFormat="1" x14ac:dyDescent="0.2">
      <c r="B262" s="114" t="s">
        <v>228</v>
      </c>
      <c r="C262" s="170"/>
      <c r="D262" s="114"/>
      <c r="E262" s="171"/>
      <c r="F262" s="171"/>
      <c r="G262" s="171"/>
      <c r="H262" s="172"/>
      <c r="I262" s="173"/>
      <c r="J262" s="173"/>
      <c r="K262" s="174"/>
      <c r="L262" s="191"/>
      <c r="M262" s="191"/>
      <c r="N262" s="175"/>
      <c r="O262" s="175"/>
    </row>
    <row r="263" spans="2:15" s="160" customFormat="1" x14ac:dyDescent="0.2">
      <c r="B263" s="114" t="s">
        <v>229</v>
      </c>
      <c r="C263" s="170"/>
      <c r="D263" s="114"/>
      <c r="E263" s="171"/>
      <c r="F263" s="171"/>
      <c r="G263" s="171"/>
      <c r="H263" s="172"/>
      <c r="I263" s="173"/>
      <c r="J263" s="173"/>
      <c r="K263" s="174"/>
      <c r="L263" s="191"/>
      <c r="M263" s="191"/>
      <c r="N263" s="175"/>
      <c r="O263" s="175"/>
    </row>
    <row r="264" spans="2:15" s="160" customFormat="1" x14ac:dyDescent="0.2">
      <c r="B264" s="114" t="s">
        <v>230</v>
      </c>
      <c r="C264" s="170"/>
      <c r="D264" s="114"/>
      <c r="E264" s="171"/>
      <c r="F264" s="171"/>
      <c r="G264" s="171"/>
      <c r="H264" s="172"/>
      <c r="I264" s="173"/>
      <c r="J264" s="173"/>
      <c r="K264" s="174"/>
      <c r="L264" s="191"/>
      <c r="M264" s="191"/>
      <c r="N264" s="175"/>
      <c r="O264" s="175"/>
    </row>
    <row r="265" spans="2:15" s="160" customFormat="1" x14ac:dyDescent="0.2">
      <c r="B265" s="114" t="s">
        <v>231</v>
      </c>
      <c r="C265" s="170"/>
      <c r="D265" s="114"/>
      <c r="E265" s="171"/>
      <c r="F265" s="171"/>
      <c r="G265" s="171"/>
      <c r="H265" s="172"/>
      <c r="I265" s="173"/>
      <c r="J265" s="173"/>
      <c r="K265" s="174"/>
      <c r="L265" s="191"/>
      <c r="M265" s="191"/>
      <c r="N265" s="175"/>
      <c r="O265" s="175"/>
    </row>
  </sheetData>
  <mergeCells count="2">
    <mergeCell ref="B7:K7"/>
    <mergeCell ref="B6:K6"/>
  </mergeCells>
  <phoneticPr fontId="3" type="noConversion"/>
  <conditionalFormatting sqref="J12:K260 C12:F260">
    <cfRule type="expression" dxfId="63" priority="344" stopIfTrue="1">
      <formula>OR(LEFT(#REF!,3)="TIR",LEFT(#REF!,2)="IR")</formula>
    </cfRule>
  </conditionalFormatting>
  <conditionalFormatting sqref="I12:J260 B12:B260">
    <cfRule type="expression" dxfId="62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8.5703125" style="93" bestFit="1" customWidth="1"/>
    <col min="6" max="6" width="9.85546875" style="93" bestFit="1" customWidth="1"/>
    <col min="7" max="7" width="13.5703125" style="93" bestFit="1" customWidth="1"/>
    <col min="8" max="8" width="6.42578125" style="45" bestFit="1" customWidth="1"/>
    <col min="9" max="9" width="10" style="95" bestFit="1" customWidth="1"/>
    <col min="10" max="10" width="11.5703125" style="97" bestFit="1" customWidth="1"/>
    <col min="11" max="11" width="13.42578125" style="97" bestFit="1" customWidth="1"/>
    <col min="12" max="12" width="12.42578125" style="97" bestFit="1" customWidth="1"/>
    <col min="13" max="14" width="8.85546875" style="95" bestFit="1" customWidth="1"/>
    <col min="15" max="15" width="12.42578125" style="99" bestFit="1" customWidth="1"/>
    <col min="16" max="16" width="15.28515625" style="99" bestFit="1" customWidth="1"/>
    <col min="17" max="17" width="20.57031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153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234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8" t="s">
        <v>28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30"/>
    </row>
    <row r="7" spans="1:17" s="10" customFormat="1" x14ac:dyDescent="0.2">
      <c r="B7" s="231" t="s">
        <v>34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3"/>
    </row>
    <row r="8" spans="1:17" s="10" customFormat="1" ht="31.5" customHeight="1" x14ac:dyDescent="0.2">
      <c r="B8" s="9" t="s">
        <v>219</v>
      </c>
      <c r="C8" s="4" t="s">
        <v>69</v>
      </c>
      <c r="D8" s="4" t="s">
        <v>27</v>
      </c>
      <c r="E8" s="4" t="s">
        <v>70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66</v>
      </c>
      <c r="K8" s="5" t="s">
        <v>71</v>
      </c>
      <c r="L8" s="5" t="s">
        <v>67</v>
      </c>
      <c r="M8" s="5" t="s">
        <v>68</v>
      </c>
      <c r="N8" s="5" t="s">
        <v>7</v>
      </c>
      <c r="O8" s="38" t="s">
        <v>17</v>
      </c>
      <c r="P8" s="38" t="s">
        <v>75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136</v>
      </c>
      <c r="M9" s="2"/>
      <c r="N9" s="2" t="s">
        <v>138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60" customFormat="1" ht="12.75" customHeight="1" thickBot="1" x14ac:dyDescent="0.25">
      <c r="B11" s="141" t="s">
        <v>57</v>
      </c>
      <c r="C11" s="101" t="s">
        <v>238</v>
      </c>
      <c r="D11" s="101" t="s">
        <v>238</v>
      </c>
      <c r="E11" s="142"/>
      <c r="F11" s="142" t="s">
        <v>238</v>
      </c>
      <c r="G11" s="142" t="s">
        <v>238</v>
      </c>
      <c r="H11" s="142" t="s">
        <v>238</v>
      </c>
      <c r="I11" s="142" t="s">
        <v>238</v>
      </c>
      <c r="J11" s="101" t="s">
        <v>238</v>
      </c>
      <c r="K11" s="101" t="s">
        <v>238</v>
      </c>
      <c r="L11" s="143" t="s">
        <v>238</v>
      </c>
      <c r="M11" s="142" t="s">
        <v>238</v>
      </c>
      <c r="N11" s="144">
        <v>1944.7711512000001</v>
      </c>
      <c r="O11" s="101" t="s">
        <v>238</v>
      </c>
      <c r="P11" s="101">
        <v>1</v>
      </c>
      <c r="Q11" s="120">
        <v>1.6469204103016576E-4</v>
      </c>
    </row>
    <row r="12" spans="1:17" s="160" customFormat="1" x14ac:dyDescent="0.2">
      <c r="B12" s="131" t="s">
        <v>140</v>
      </c>
      <c r="C12" s="163" t="s">
        <v>238</v>
      </c>
      <c r="D12" s="163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4" t="s">
        <v>238</v>
      </c>
      <c r="J12" s="163" t="s">
        <v>238</v>
      </c>
      <c r="K12" s="163" t="s">
        <v>238</v>
      </c>
      <c r="L12" s="176" t="s">
        <v>238</v>
      </c>
      <c r="M12" s="164" t="s">
        <v>238</v>
      </c>
      <c r="N12" s="165">
        <v>1944.7711505999998</v>
      </c>
      <c r="O12" s="163" t="s">
        <v>238</v>
      </c>
      <c r="P12" s="163">
        <v>0.99999999969148035</v>
      </c>
      <c r="Q12" s="163">
        <v>1.6469204097935503E-4</v>
      </c>
    </row>
    <row r="13" spans="1:17" s="160" customFormat="1" x14ac:dyDescent="0.2">
      <c r="B13" s="132" t="s">
        <v>2551</v>
      </c>
      <c r="C13" s="167" t="s">
        <v>238</v>
      </c>
      <c r="D13" s="167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8" t="s">
        <v>238</v>
      </c>
      <c r="J13" s="167" t="s">
        <v>238</v>
      </c>
      <c r="K13" s="167" t="s">
        <v>238</v>
      </c>
      <c r="L13" s="178" t="s">
        <v>238</v>
      </c>
      <c r="M13" s="164" t="s">
        <v>238</v>
      </c>
      <c r="N13" s="169">
        <v>0</v>
      </c>
      <c r="O13" s="167" t="s">
        <v>238</v>
      </c>
      <c r="P13" s="167">
        <v>0</v>
      </c>
      <c r="Q13" s="167">
        <v>0</v>
      </c>
    </row>
    <row r="14" spans="1:17" s="160" customFormat="1" x14ac:dyDescent="0.2">
      <c r="B14" s="132" t="s">
        <v>2552</v>
      </c>
      <c r="C14" s="167" t="s">
        <v>238</v>
      </c>
      <c r="D14" s="167" t="s">
        <v>238</v>
      </c>
      <c r="E14" s="168" t="s">
        <v>238</v>
      </c>
      <c r="F14" s="168" t="s">
        <v>238</v>
      </c>
      <c r="G14" s="168" t="s">
        <v>238</v>
      </c>
      <c r="H14" s="168" t="s">
        <v>238</v>
      </c>
      <c r="I14" s="168" t="s">
        <v>238</v>
      </c>
      <c r="J14" s="167" t="s">
        <v>238</v>
      </c>
      <c r="K14" s="167" t="s">
        <v>238</v>
      </c>
      <c r="L14" s="178" t="s">
        <v>238</v>
      </c>
      <c r="M14" s="164" t="s">
        <v>238</v>
      </c>
      <c r="N14" s="169">
        <v>1944.7711500999999</v>
      </c>
      <c r="O14" s="167" t="s">
        <v>238</v>
      </c>
      <c r="P14" s="167">
        <v>0.99999999943438078</v>
      </c>
      <c r="Q14" s="167">
        <v>1.6469204093701276E-4</v>
      </c>
    </row>
    <row r="15" spans="1:17" x14ac:dyDescent="0.2">
      <c r="B15" s="23" t="s">
        <v>3283</v>
      </c>
      <c r="C15" s="32" t="s">
        <v>3284</v>
      </c>
      <c r="D15" s="32" t="s">
        <v>3285</v>
      </c>
      <c r="E15" s="94" t="s">
        <v>599</v>
      </c>
      <c r="F15" s="94" t="s">
        <v>238</v>
      </c>
      <c r="G15" s="94" t="s">
        <v>3286</v>
      </c>
      <c r="H15" s="94">
        <v>0</v>
      </c>
      <c r="I15" s="94" t="s">
        <v>244</v>
      </c>
      <c r="J15" s="32">
        <v>0</v>
      </c>
      <c r="K15" s="32">
        <v>0</v>
      </c>
      <c r="L15" s="103">
        <v>1860769.35</v>
      </c>
      <c r="M15" s="100">
        <v>104.51430000000002</v>
      </c>
      <c r="N15" s="124">
        <v>1944.7711499999998</v>
      </c>
      <c r="O15" s="32" t="s">
        <v>238</v>
      </c>
      <c r="P15" s="32">
        <v>0.9999999993829608</v>
      </c>
      <c r="Q15" s="32">
        <v>1.646920409285443E-4</v>
      </c>
    </row>
    <row r="16" spans="1:17" s="160" customFormat="1" x14ac:dyDescent="0.2">
      <c r="B16" s="132" t="s">
        <v>2553</v>
      </c>
      <c r="C16" s="167" t="s">
        <v>238</v>
      </c>
      <c r="D16" s="167" t="s">
        <v>238</v>
      </c>
      <c r="E16" s="168" t="s">
        <v>238</v>
      </c>
      <c r="F16" s="168" t="s">
        <v>238</v>
      </c>
      <c r="G16" s="168" t="s">
        <v>238</v>
      </c>
      <c r="H16" s="168" t="s">
        <v>238</v>
      </c>
      <c r="I16" s="168" t="s">
        <v>238</v>
      </c>
      <c r="J16" s="167" t="s">
        <v>238</v>
      </c>
      <c r="K16" s="167" t="s">
        <v>238</v>
      </c>
      <c r="L16" s="178" t="s">
        <v>238</v>
      </c>
      <c r="M16" s="164" t="s">
        <v>238</v>
      </c>
      <c r="N16" s="169">
        <v>0</v>
      </c>
      <c r="O16" s="167" t="s">
        <v>238</v>
      </c>
      <c r="P16" s="167">
        <v>0</v>
      </c>
      <c r="Q16" s="167">
        <v>0</v>
      </c>
    </row>
    <row r="17" spans="2:17" s="160" customFormat="1" x14ac:dyDescent="0.2">
      <c r="B17" s="132" t="s">
        <v>2554</v>
      </c>
      <c r="C17" s="167" t="s">
        <v>238</v>
      </c>
      <c r="D17" s="167" t="s">
        <v>238</v>
      </c>
      <c r="E17" s="168" t="s">
        <v>238</v>
      </c>
      <c r="F17" s="168" t="s">
        <v>238</v>
      </c>
      <c r="G17" s="168" t="s">
        <v>238</v>
      </c>
      <c r="H17" s="168" t="s">
        <v>238</v>
      </c>
      <c r="I17" s="168" t="s">
        <v>238</v>
      </c>
      <c r="J17" s="167" t="s">
        <v>238</v>
      </c>
      <c r="K17" s="167" t="s">
        <v>238</v>
      </c>
      <c r="L17" s="178" t="s">
        <v>238</v>
      </c>
      <c r="M17" s="164" t="s">
        <v>238</v>
      </c>
      <c r="N17" s="169">
        <v>0</v>
      </c>
      <c r="O17" s="167" t="s">
        <v>238</v>
      </c>
      <c r="P17" s="167">
        <v>0</v>
      </c>
      <c r="Q17" s="167">
        <v>0</v>
      </c>
    </row>
    <row r="18" spans="2:17" s="160" customFormat="1" x14ac:dyDescent="0.2">
      <c r="B18" s="132" t="s">
        <v>2555</v>
      </c>
      <c r="C18" s="167" t="s">
        <v>238</v>
      </c>
      <c r="D18" s="167" t="s">
        <v>238</v>
      </c>
      <c r="E18" s="168" t="s">
        <v>238</v>
      </c>
      <c r="F18" s="168" t="s">
        <v>238</v>
      </c>
      <c r="G18" s="168" t="s">
        <v>238</v>
      </c>
      <c r="H18" s="168" t="s">
        <v>238</v>
      </c>
      <c r="I18" s="168" t="s">
        <v>238</v>
      </c>
      <c r="J18" s="167" t="s">
        <v>238</v>
      </c>
      <c r="K18" s="167" t="s">
        <v>238</v>
      </c>
      <c r="L18" s="178" t="s">
        <v>238</v>
      </c>
      <c r="M18" s="164" t="s">
        <v>238</v>
      </c>
      <c r="N18" s="169">
        <v>0</v>
      </c>
      <c r="O18" s="167" t="s">
        <v>238</v>
      </c>
      <c r="P18" s="167">
        <v>0</v>
      </c>
      <c r="Q18" s="167">
        <v>0</v>
      </c>
    </row>
    <row r="19" spans="2:17" s="160" customFormat="1" x14ac:dyDescent="0.2">
      <c r="B19" s="132" t="s">
        <v>2556</v>
      </c>
      <c r="C19" s="167" t="s">
        <v>238</v>
      </c>
      <c r="D19" s="167" t="s">
        <v>238</v>
      </c>
      <c r="E19" s="168" t="s">
        <v>238</v>
      </c>
      <c r="F19" s="168" t="s">
        <v>238</v>
      </c>
      <c r="G19" s="168" t="s">
        <v>238</v>
      </c>
      <c r="H19" s="168" t="s">
        <v>238</v>
      </c>
      <c r="I19" s="168" t="s">
        <v>238</v>
      </c>
      <c r="J19" s="167" t="s">
        <v>238</v>
      </c>
      <c r="K19" s="167" t="s">
        <v>238</v>
      </c>
      <c r="L19" s="178" t="s">
        <v>238</v>
      </c>
      <c r="M19" s="164" t="s">
        <v>238</v>
      </c>
      <c r="N19" s="169">
        <v>0</v>
      </c>
      <c r="O19" s="167" t="s">
        <v>238</v>
      </c>
      <c r="P19" s="167">
        <v>0</v>
      </c>
      <c r="Q19" s="167">
        <v>0</v>
      </c>
    </row>
    <row r="20" spans="2:17" s="160" customFormat="1" x14ac:dyDescent="0.2">
      <c r="B20" s="132" t="s">
        <v>2557</v>
      </c>
      <c r="C20" s="167" t="s">
        <v>238</v>
      </c>
      <c r="D20" s="167" t="s">
        <v>238</v>
      </c>
      <c r="E20" s="168" t="s">
        <v>238</v>
      </c>
      <c r="F20" s="168" t="s">
        <v>238</v>
      </c>
      <c r="G20" s="168" t="s">
        <v>238</v>
      </c>
      <c r="H20" s="168" t="s">
        <v>238</v>
      </c>
      <c r="I20" s="168" t="s">
        <v>238</v>
      </c>
      <c r="J20" s="167" t="s">
        <v>238</v>
      </c>
      <c r="K20" s="167" t="s">
        <v>238</v>
      </c>
      <c r="L20" s="178" t="s">
        <v>238</v>
      </c>
      <c r="M20" s="164" t="s">
        <v>238</v>
      </c>
      <c r="N20" s="169">
        <v>0</v>
      </c>
      <c r="O20" s="167" t="s">
        <v>238</v>
      </c>
      <c r="P20" s="167">
        <v>0</v>
      </c>
      <c r="Q20" s="167">
        <v>0</v>
      </c>
    </row>
    <row r="21" spans="2:17" s="160" customFormat="1" x14ac:dyDescent="0.2">
      <c r="B21" s="132" t="s">
        <v>544</v>
      </c>
      <c r="C21" s="167" t="s">
        <v>238</v>
      </c>
      <c r="D21" s="167" t="s">
        <v>238</v>
      </c>
      <c r="E21" s="168" t="s">
        <v>238</v>
      </c>
      <c r="F21" s="168" t="s">
        <v>238</v>
      </c>
      <c r="G21" s="168" t="s">
        <v>238</v>
      </c>
      <c r="H21" s="168" t="s">
        <v>238</v>
      </c>
      <c r="I21" s="168" t="s">
        <v>238</v>
      </c>
      <c r="J21" s="167" t="s">
        <v>238</v>
      </c>
      <c r="K21" s="167" t="s">
        <v>238</v>
      </c>
      <c r="L21" s="178" t="s">
        <v>238</v>
      </c>
      <c r="M21" s="164" t="s">
        <v>238</v>
      </c>
      <c r="N21" s="169">
        <v>0</v>
      </c>
      <c r="O21" s="167" t="s">
        <v>238</v>
      </c>
      <c r="P21" s="167">
        <v>0</v>
      </c>
      <c r="Q21" s="167">
        <v>0</v>
      </c>
    </row>
    <row r="22" spans="2:17" s="160" customFormat="1" x14ac:dyDescent="0.2">
      <c r="B22" s="132" t="s">
        <v>2551</v>
      </c>
      <c r="C22" s="167" t="s">
        <v>238</v>
      </c>
      <c r="D22" s="167" t="s">
        <v>238</v>
      </c>
      <c r="E22" s="168" t="s">
        <v>238</v>
      </c>
      <c r="F22" s="168" t="s">
        <v>238</v>
      </c>
      <c r="G22" s="168" t="s">
        <v>238</v>
      </c>
      <c r="H22" s="168" t="s">
        <v>238</v>
      </c>
      <c r="I22" s="168" t="s">
        <v>238</v>
      </c>
      <c r="J22" s="167" t="s">
        <v>238</v>
      </c>
      <c r="K22" s="167" t="s">
        <v>238</v>
      </c>
      <c r="L22" s="178" t="s">
        <v>238</v>
      </c>
      <c r="M22" s="164" t="s">
        <v>238</v>
      </c>
      <c r="N22" s="169">
        <v>0</v>
      </c>
      <c r="O22" s="167" t="s">
        <v>238</v>
      </c>
      <c r="P22" s="167">
        <v>0</v>
      </c>
      <c r="Q22" s="167">
        <v>0</v>
      </c>
    </row>
    <row r="23" spans="2:17" s="160" customFormat="1" x14ac:dyDescent="0.2">
      <c r="B23" s="132" t="s">
        <v>2552</v>
      </c>
      <c r="C23" s="167" t="s">
        <v>238</v>
      </c>
      <c r="D23" s="167" t="s">
        <v>238</v>
      </c>
      <c r="E23" s="168" t="s">
        <v>238</v>
      </c>
      <c r="F23" s="168" t="s">
        <v>238</v>
      </c>
      <c r="G23" s="168" t="s">
        <v>238</v>
      </c>
      <c r="H23" s="168" t="s">
        <v>238</v>
      </c>
      <c r="I23" s="168" t="s">
        <v>238</v>
      </c>
      <c r="J23" s="167" t="s">
        <v>238</v>
      </c>
      <c r="K23" s="167" t="s">
        <v>238</v>
      </c>
      <c r="L23" s="178" t="s">
        <v>238</v>
      </c>
      <c r="M23" s="164" t="s">
        <v>238</v>
      </c>
      <c r="N23" s="169">
        <v>0</v>
      </c>
      <c r="O23" s="167" t="s">
        <v>238</v>
      </c>
      <c r="P23" s="167">
        <v>0</v>
      </c>
      <c r="Q23" s="167">
        <v>0</v>
      </c>
    </row>
    <row r="24" spans="2:17" s="160" customFormat="1" x14ac:dyDescent="0.2">
      <c r="B24" s="132" t="s">
        <v>2553</v>
      </c>
      <c r="C24" s="167" t="s">
        <v>238</v>
      </c>
      <c r="D24" s="167" t="s">
        <v>238</v>
      </c>
      <c r="E24" s="168" t="s">
        <v>238</v>
      </c>
      <c r="F24" s="168" t="s">
        <v>238</v>
      </c>
      <c r="G24" s="168" t="s">
        <v>238</v>
      </c>
      <c r="H24" s="168" t="s">
        <v>238</v>
      </c>
      <c r="I24" s="168" t="s">
        <v>238</v>
      </c>
      <c r="J24" s="167" t="s">
        <v>238</v>
      </c>
      <c r="K24" s="167" t="s">
        <v>238</v>
      </c>
      <c r="L24" s="178" t="s">
        <v>238</v>
      </c>
      <c r="M24" s="164" t="s">
        <v>238</v>
      </c>
      <c r="N24" s="169">
        <v>0</v>
      </c>
      <c r="O24" s="167" t="s">
        <v>238</v>
      </c>
      <c r="P24" s="167">
        <v>0</v>
      </c>
      <c r="Q24" s="167">
        <v>0</v>
      </c>
    </row>
    <row r="25" spans="2:17" s="160" customFormat="1" x14ac:dyDescent="0.2">
      <c r="B25" s="132" t="s">
        <v>2554</v>
      </c>
      <c r="C25" s="167" t="s">
        <v>238</v>
      </c>
      <c r="D25" s="167" t="s">
        <v>238</v>
      </c>
      <c r="E25" s="168" t="s">
        <v>238</v>
      </c>
      <c r="F25" s="168" t="s">
        <v>238</v>
      </c>
      <c r="G25" s="168" t="s">
        <v>238</v>
      </c>
      <c r="H25" s="168" t="s">
        <v>238</v>
      </c>
      <c r="I25" s="168" t="s">
        <v>238</v>
      </c>
      <c r="J25" s="167" t="s">
        <v>238</v>
      </c>
      <c r="K25" s="167" t="s">
        <v>238</v>
      </c>
      <c r="L25" s="178" t="s">
        <v>238</v>
      </c>
      <c r="M25" s="164" t="s">
        <v>238</v>
      </c>
      <c r="N25" s="169">
        <v>0</v>
      </c>
      <c r="O25" s="167" t="s">
        <v>238</v>
      </c>
      <c r="P25" s="167">
        <v>0</v>
      </c>
      <c r="Q25" s="167">
        <v>0</v>
      </c>
    </row>
    <row r="26" spans="2:17" s="160" customFormat="1" x14ac:dyDescent="0.2">
      <c r="B26" s="132" t="s">
        <v>2555</v>
      </c>
      <c r="C26" s="167" t="s">
        <v>238</v>
      </c>
      <c r="D26" s="167" t="s">
        <v>238</v>
      </c>
      <c r="E26" s="168" t="s">
        <v>238</v>
      </c>
      <c r="F26" s="168" t="s">
        <v>238</v>
      </c>
      <c r="G26" s="168" t="s">
        <v>238</v>
      </c>
      <c r="H26" s="168" t="s">
        <v>238</v>
      </c>
      <c r="I26" s="168" t="s">
        <v>238</v>
      </c>
      <c r="J26" s="167" t="s">
        <v>238</v>
      </c>
      <c r="K26" s="167" t="s">
        <v>238</v>
      </c>
      <c r="L26" s="178" t="s">
        <v>238</v>
      </c>
      <c r="M26" s="164" t="s">
        <v>238</v>
      </c>
      <c r="N26" s="169">
        <v>0</v>
      </c>
      <c r="O26" s="167" t="s">
        <v>238</v>
      </c>
      <c r="P26" s="167">
        <v>0</v>
      </c>
      <c r="Q26" s="167">
        <v>0</v>
      </c>
    </row>
    <row r="27" spans="2:17" s="160" customFormat="1" x14ac:dyDescent="0.2">
      <c r="B27" s="132" t="s">
        <v>2556</v>
      </c>
      <c r="C27" s="167" t="s">
        <v>238</v>
      </c>
      <c r="D27" s="167" t="s">
        <v>238</v>
      </c>
      <c r="E27" s="168" t="s">
        <v>238</v>
      </c>
      <c r="F27" s="168" t="s">
        <v>238</v>
      </c>
      <c r="G27" s="168" t="s">
        <v>238</v>
      </c>
      <c r="H27" s="168" t="s">
        <v>238</v>
      </c>
      <c r="I27" s="168" t="s">
        <v>238</v>
      </c>
      <c r="J27" s="167" t="s">
        <v>238</v>
      </c>
      <c r="K27" s="167" t="s">
        <v>238</v>
      </c>
      <c r="L27" s="178" t="s">
        <v>238</v>
      </c>
      <c r="M27" s="164" t="s">
        <v>238</v>
      </c>
      <c r="N27" s="169">
        <v>0</v>
      </c>
      <c r="O27" s="167" t="s">
        <v>238</v>
      </c>
      <c r="P27" s="167">
        <v>0</v>
      </c>
      <c r="Q27" s="167">
        <v>0</v>
      </c>
    </row>
    <row r="28" spans="2:17" s="160" customFormat="1" x14ac:dyDescent="0.2">
      <c r="B28" s="132" t="s">
        <v>2557</v>
      </c>
      <c r="C28" s="167" t="s">
        <v>238</v>
      </c>
      <c r="D28" s="167" t="s">
        <v>238</v>
      </c>
      <c r="E28" s="168" t="s">
        <v>238</v>
      </c>
      <c r="F28" s="168" t="s">
        <v>238</v>
      </c>
      <c r="G28" s="168" t="s">
        <v>238</v>
      </c>
      <c r="H28" s="168" t="s">
        <v>238</v>
      </c>
      <c r="I28" s="168" t="s">
        <v>238</v>
      </c>
      <c r="J28" s="167" t="s">
        <v>238</v>
      </c>
      <c r="K28" s="167" t="s">
        <v>238</v>
      </c>
      <c r="L28" s="178" t="s">
        <v>238</v>
      </c>
      <c r="M28" s="164" t="s">
        <v>238</v>
      </c>
      <c r="N28" s="169">
        <v>0</v>
      </c>
      <c r="O28" s="167" t="s">
        <v>238</v>
      </c>
      <c r="P28" s="167">
        <v>0</v>
      </c>
      <c r="Q28" s="167">
        <v>0</v>
      </c>
    </row>
    <row r="29" spans="2:17" s="160" customFormat="1" x14ac:dyDescent="0.2">
      <c r="B29" s="114" t="s">
        <v>227</v>
      </c>
      <c r="C29" s="170"/>
      <c r="D29" s="114"/>
      <c r="E29" s="171"/>
      <c r="F29" s="171"/>
      <c r="G29" s="171"/>
      <c r="H29" s="172"/>
      <c r="I29" s="173"/>
      <c r="J29" s="174"/>
      <c r="K29" s="174"/>
      <c r="L29" s="174"/>
      <c r="M29" s="173"/>
      <c r="N29" s="173"/>
      <c r="O29" s="179"/>
      <c r="P29" s="179"/>
      <c r="Q29" s="179"/>
    </row>
    <row r="30" spans="2:17" s="160" customFormat="1" x14ac:dyDescent="0.2">
      <c r="B30" s="114" t="s">
        <v>228</v>
      </c>
      <c r="C30" s="170"/>
      <c r="D30" s="114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4" t="s">
        <v>229</v>
      </c>
      <c r="C31" s="170"/>
      <c r="D31" s="114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4" t="s">
        <v>230</v>
      </c>
      <c r="C32" s="170"/>
      <c r="D32" s="114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4" t="s">
        <v>231</v>
      </c>
      <c r="C33" s="170"/>
      <c r="D33" s="114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</sheetData>
  <mergeCells count="2">
    <mergeCell ref="B7:Q7"/>
    <mergeCell ref="B6:Q6"/>
  </mergeCells>
  <phoneticPr fontId="3" type="noConversion"/>
  <conditionalFormatting sqref="I12:I28 P12:Q28 C12:G28">
    <cfRule type="expression" dxfId="61" priority="351" stopIfTrue="1">
      <formula>OR(LEFT(#REF!,3)="TIR",LEFT(#REF!,2)="IR")</formula>
    </cfRule>
  </conditionalFormatting>
  <conditionalFormatting sqref="B12:B28 N12:N28">
    <cfRule type="expression" dxfId="60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268"/>
  <sheetViews>
    <sheetView rightToLeft="1" topLeftCell="A232" zoomScale="80" workbookViewId="0">
      <selection activeCell="I265" sqref="I265"/>
    </sheetView>
  </sheetViews>
  <sheetFormatPr defaultRowHeight="12.75" x14ac:dyDescent="0.2"/>
  <cols>
    <col min="1" max="1" width="5.7109375" style="18" bestFit="1" customWidth="1"/>
    <col min="2" max="2" width="38" style="13" bestFit="1" customWidth="1"/>
    <col min="3" max="3" width="13.5703125" style="13" bestFit="1" customWidth="1"/>
    <col min="4" max="4" width="12" style="12" bestFit="1" customWidth="1"/>
    <col min="5" max="5" width="12.42578125" style="12" bestFit="1" customWidth="1"/>
    <col min="6" max="6" width="10.42578125" style="12" bestFit="1" customWidth="1"/>
    <col min="7" max="7" width="13.5703125" style="93" bestFit="1" customWidth="1"/>
    <col min="8" max="8" width="10.42578125" style="93" bestFit="1" customWidth="1"/>
    <col min="9" max="9" width="6.42578125" style="93" bestFit="1" customWidth="1"/>
    <col min="10" max="10" width="12" style="93" bestFit="1" customWidth="1"/>
    <col min="11" max="11" width="18.140625" style="45" bestFit="1" customWidth="1"/>
    <col min="12" max="12" width="13.42578125" style="95" bestFit="1" customWidth="1"/>
    <col min="13" max="13" width="14.28515625" style="97" bestFit="1" customWidth="1"/>
    <col min="14" max="14" width="9.28515625" style="97" bestFit="1" customWidth="1"/>
    <col min="15" max="15" width="12.42578125" style="97" bestFit="1" customWidth="1"/>
    <col min="16" max="16" width="15.28515625" style="97" bestFit="1" customWidth="1"/>
    <col min="17" max="17" width="20.57031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223</v>
      </c>
      <c r="C2" s="13" t="s">
        <v>153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226</v>
      </c>
      <c r="C4" s="12" t="s">
        <v>234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28" t="s">
        <v>35</v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30"/>
      <c r="R7" s="16"/>
      <c r="S7" s="16"/>
      <c r="T7" s="16"/>
    </row>
    <row r="8" spans="1:20" s="10" customFormat="1" ht="33.75" customHeight="1" x14ac:dyDescent="0.2">
      <c r="B8" s="9" t="s">
        <v>219</v>
      </c>
      <c r="C8" s="4" t="s">
        <v>80</v>
      </c>
      <c r="D8" s="4" t="s">
        <v>69</v>
      </c>
      <c r="E8" s="4" t="s">
        <v>74</v>
      </c>
      <c r="F8" s="4" t="s">
        <v>70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36</v>
      </c>
      <c r="L8" s="5" t="s">
        <v>71</v>
      </c>
      <c r="M8" s="5" t="s">
        <v>67</v>
      </c>
      <c r="N8" s="5" t="s">
        <v>68</v>
      </c>
      <c r="O8" s="5" t="s">
        <v>29</v>
      </c>
      <c r="P8" s="38" t="s">
        <v>75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40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136</v>
      </c>
      <c r="N9" s="2"/>
      <c r="O9" s="2" t="s">
        <v>138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20" s="160" customFormat="1" ht="12.75" customHeight="1" thickBot="1" x14ac:dyDescent="0.25">
      <c r="B11" s="141" t="s">
        <v>123</v>
      </c>
      <c r="C11" s="101" t="s">
        <v>238</v>
      </c>
      <c r="D11" s="101" t="s">
        <v>238</v>
      </c>
      <c r="E11" s="101"/>
      <c r="F11" s="142" t="s">
        <v>238</v>
      </c>
      <c r="G11" s="142"/>
      <c r="H11" s="142" t="s">
        <v>238</v>
      </c>
      <c r="I11" s="143" t="s">
        <v>238</v>
      </c>
      <c r="J11" s="142" t="s">
        <v>238</v>
      </c>
      <c r="K11" s="101" t="s">
        <v>238</v>
      </c>
      <c r="L11" s="101" t="s">
        <v>238</v>
      </c>
      <c r="M11" s="153" t="s">
        <v>238</v>
      </c>
      <c r="N11" s="142" t="s">
        <v>238</v>
      </c>
      <c r="O11" s="144">
        <v>1131248.8329781033</v>
      </c>
      <c r="P11" s="101">
        <v>1</v>
      </c>
      <c r="Q11" s="120">
        <v>9.5799281628173985E-2</v>
      </c>
    </row>
    <row r="12" spans="1:20" s="160" customFormat="1" x14ac:dyDescent="0.2">
      <c r="B12" s="131" t="s">
        <v>140</v>
      </c>
      <c r="C12" s="163" t="s">
        <v>238</v>
      </c>
      <c r="D12" s="163" t="s">
        <v>238</v>
      </c>
      <c r="E12" s="163" t="s">
        <v>238</v>
      </c>
      <c r="F12" s="164" t="s">
        <v>238</v>
      </c>
      <c r="G12" s="164" t="s">
        <v>238</v>
      </c>
      <c r="H12" s="164" t="s">
        <v>238</v>
      </c>
      <c r="I12" s="176" t="s">
        <v>238</v>
      </c>
      <c r="J12" s="164" t="s">
        <v>238</v>
      </c>
      <c r="K12" s="163" t="s">
        <v>238</v>
      </c>
      <c r="L12" s="163" t="s">
        <v>238</v>
      </c>
      <c r="M12" s="201" t="s">
        <v>238</v>
      </c>
      <c r="N12" s="164" t="s">
        <v>238</v>
      </c>
      <c r="O12" s="217">
        <v>1073171.7151592951</v>
      </c>
      <c r="P12" s="163">
        <v>0.94866105835803105</v>
      </c>
      <c r="Q12" s="163">
        <v>9.0881047899322623E-2</v>
      </c>
    </row>
    <row r="13" spans="1:20" s="160" customFormat="1" x14ac:dyDescent="0.2">
      <c r="B13" s="132" t="s">
        <v>3287</v>
      </c>
      <c r="C13" s="167" t="s">
        <v>238</v>
      </c>
      <c r="D13" s="167" t="s">
        <v>238</v>
      </c>
      <c r="E13" s="167" t="s">
        <v>238</v>
      </c>
      <c r="F13" s="168" t="s">
        <v>599</v>
      </c>
      <c r="G13" s="168" t="s">
        <v>238</v>
      </c>
      <c r="H13" s="168" t="s">
        <v>238</v>
      </c>
      <c r="I13" s="178">
        <v>2.2539733159859816</v>
      </c>
      <c r="J13" s="168" t="s">
        <v>244</v>
      </c>
      <c r="K13" s="167">
        <v>1.58969829962698E-2</v>
      </c>
      <c r="L13" s="167">
        <v>1.58969829962698E-2</v>
      </c>
      <c r="M13" s="202" t="s">
        <v>238</v>
      </c>
      <c r="N13" s="168" t="s">
        <v>238</v>
      </c>
      <c r="O13" s="224">
        <f>154315.2541501-100</f>
        <v>154215.25415009999</v>
      </c>
      <c r="P13" s="167">
        <v>0.13641141511178642</v>
      </c>
      <c r="Q13" s="167">
        <v>1.3068115573591776E-2</v>
      </c>
    </row>
    <row r="14" spans="1:20" s="160" customFormat="1" x14ac:dyDescent="0.2">
      <c r="B14" s="132" t="s">
        <v>3288</v>
      </c>
      <c r="C14" s="167" t="s">
        <v>238</v>
      </c>
      <c r="D14" s="167" t="s">
        <v>238</v>
      </c>
      <c r="E14" s="167" t="s">
        <v>238</v>
      </c>
      <c r="F14" s="168" t="s">
        <v>238</v>
      </c>
      <c r="G14" s="168" t="s">
        <v>238</v>
      </c>
      <c r="H14" s="168" t="s">
        <v>238</v>
      </c>
      <c r="I14" s="178" t="s">
        <v>238</v>
      </c>
      <c r="J14" s="168" t="s">
        <v>238</v>
      </c>
      <c r="K14" s="167" t="s">
        <v>238</v>
      </c>
      <c r="L14" s="167" t="s">
        <v>238</v>
      </c>
      <c r="M14" s="202" t="s">
        <v>238</v>
      </c>
      <c r="N14" s="168" t="s">
        <v>238</v>
      </c>
      <c r="O14" s="169">
        <v>68826.14535748394</v>
      </c>
      <c r="P14" s="167">
        <v>6.0840854240966226E-2</v>
      </c>
      <c r="Q14" s="167">
        <v>5.8285101299290079E-3</v>
      </c>
    </row>
    <row r="15" spans="1:20" x14ac:dyDescent="0.2">
      <c r="B15" s="23" t="s">
        <v>3289</v>
      </c>
      <c r="C15" s="32" t="s">
        <v>238</v>
      </c>
      <c r="D15" s="32" t="s">
        <v>3290</v>
      </c>
      <c r="E15" s="32" t="s">
        <v>238</v>
      </c>
      <c r="F15" s="94" t="s">
        <v>3291</v>
      </c>
      <c r="G15" s="94" t="s">
        <v>3292</v>
      </c>
      <c r="H15" s="94" t="s">
        <v>3293</v>
      </c>
      <c r="I15" s="103">
        <v>5.32</v>
      </c>
      <c r="J15" s="94" t="s">
        <v>244</v>
      </c>
      <c r="K15" s="32">
        <v>3.6400000000000002E-2</v>
      </c>
      <c r="L15" s="32">
        <v>3.6400000000000002E-2</v>
      </c>
      <c r="M15" s="154">
        <v>25713944.507351343</v>
      </c>
      <c r="N15" s="94">
        <v>1.0984</v>
      </c>
      <c r="O15" s="124">
        <v>28244.428071632279</v>
      </c>
      <c r="P15" s="32">
        <v>2.4967475986053887E-2</v>
      </c>
      <c r="Q15" s="32">
        <v>2.3918662635326474E-3</v>
      </c>
      <c r="R15" s="18"/>
    </row>
    <row r="16" spans="1:20" x14ac:dyDescent="0.2">
      <c r="B16" s="23" t="s">
        <v>3294</v>
      </c>
      <c r="C16" s="32" t="s">
        <v>238</v>
      </c>
      <c r="D16" s="32" t="s">
        <v>3295</v>
      </c>
      <c r="E16" s="32" t="s">
        <v>238</v>
      </c>
      <c r="F16" s="94" t="s">
        <v>3291</v>
      </c>
      <c r="G16" s="94" t="s">
        <v>3292</v>
      </c>
      <c r="H16" s="94" t="s">
        <v>3293</v>
      </c>
      <c r="I16" s="103">
        <v>5.86</v>
      </c>
      <c r="J16" s="94" t="s">
        <v>244</v>
      </c>
      <c r="K16" s="32">
        <v>3.6299999999999999E-2</v>
      </c>
      <c r="L16" s="32">
        <v>3.6299999999999999E-2</v>
      </c>
      <c r="M16" s="154">
        <v>16462788.068767501</v>
      </c>
      <c r="N16" s="94">
        <v>1.0370999999999999</v>
      </c>
      <c r="O16" s="124">
        <v>17074.150166375304</v>
      </c>
      <c r="P16" s="32">
        <v>1.5093186988247524E-2</v>
      </c>
      <c r="Q16" s="32">
        <v>1.4459164709538154E-3</v>
      </c>
      <c r="R16" s="18"/>
    </row>
    <row r="17" spans="2:27" x14ac:dyDescent="0.2">
      <c r="B17" s="23" t="s">
        <v>3296</v>
      </c>
      <c r="C17" s="32" t="s">
        <v>238</v>
      </c>
      <c r="D17" s="32" t="s">
        <v>3297</v>
      </c>
      <c r="E17" s="32" t="s">
        <v>238</v>
      </c>
      <c r="F17" s="94" t="s">
        <v>599</v>
      </c>
      <c r="G17" s="94" t="s">
        <v>3112</v>
      </c>
      <c r="H17" s="94" t="s">
        <v>238</v>
      </c>
      <c r="I17" s="103">
        <v>6.4</v>
      </c>
      <c r="J17" s="94" t="s">
        <v>244</v>
      </c>
      <c r="K17" s="32">
        <v>5.2999999999999999E-2</v>
      </c>
      <c r="L17" s="32">
        <v>5.2999999999999999E-2</v>
      </c>
      <c r="M17" s="154">
        <v>2640045.8666579751</v>
      </c>
      <c r="N17" s="94">
        <v>111.104</v>
      </c>
      <c r="O17" s="124">
        <v>2933.1968228606092</v>
      </c>
      <c r="P17" s="32">
        <v>2.5928838442544361E-3</v>
      </c>
      <c r="Q17" s="32">
        <v>2.4839640962487315E-4</v>
      </c>
      <c r="R17" s="18"/>
    </row>
    <row r="18" spans="2:27" x14ac:dyDescent="0.2">
      <c r="B18" s="23" t="s">
        <v>3298</v>
      </c>
      <c r="C18" s="32" t="s">
        <v>238</v>
      </c>
      <c r="D18" s="32" t="s">
        <v>3299</v>
      </c>
      <c r="E18" s="32" t="s">
        <v>238</v>
      </c>
      <c r="F18" s="94" t="s">
        <v>599</v>
      </c>
      <c r="G18" s="94" t="s">
        <v>3112</v>
      </c>
      <c r="H18" s="94" t="s">
        <v>238</v>
      </c>
      <c r="I18" s="103">
        <v>8.5</v>
      </c>
      <c r="J18" s="94" t="s">
        <v>244</v>
      </c>
      <c r="K18" s="32">
        <v>0.05</v>
      </c>
      <c r="L18" s="32">
        <v>0.05</v>
      </c>
      <c r="M18" s="154">
        <v>2148170.6604063688</v>
      </c>
      <c r="N18" s="94">
        <v>112.41419999999999</v>
      </c>
      <c r="O18" s="124">
        <v>2414.8505804307647</v>
      </c>
      <c r="P18" s="32">
        <v>2.1346767484157103E-3</v>
      </c>
      <c r="Q18" s="32">
        <v>2.0450049900659135E-4</v>
      </c>
      <c r="R18" s="18"/>
    </row>
    <row r="19" spans="2:27" x14ac:dyDescent="0.2">
      <c r="B19" s="23" t="s">
        <v>3300</v>
      </c>
      <c r="C19" s="32" t="s">
        <v>238</v>
      </c>
      <c r="D19" s="32" t="s">
        <v>3301</v>
      </c>
      <c r="E19" s="32" t="s">
        <v>238</v>
      </c>
      <c r="F19" s="94" t="s">
        <v>599</v>
      </c>
      <c r="G19" s="94" t="s">
        <v>3112</v>
      </c>
      <c r="H19" s="94" t="s">
        <v>238</v>
      </c>
      <c r="I19" s="103">
        <v>8.1999999999999993</v>
      </c>
      <c r="J19" s="94" t="s">
        <v>244</v>
      </c>
      <c r="K19" s="32">
        <v>3.5000000000000003E-2</v>
      </c>
      <c r="L19" s="32">
        <v>3.5000000000000003E-2</v>
      </c>
      <c r="M19" s="154">
        <v>924948.45834542403</v>
      </c>
      <c r="N19" s="94">
        <v>104.1397</v>
      </c>
      <c r="O19" s="124">
        <v>963.23854925379953</v>
      </c>
      <c r="P19" s="32">
        <v>8.5148246890827427E-4</v>
      </c>
      <c r="Q19" s="32">
        <v>8.1571408840396673E-5</v>
      </c>
      <c r="R19" s="18"/>
    </row>
    <row r="20" spans="2:27" x14ac:dyDescent="0.2">
      <c r="B20" s="23" t="s">
        <v>3302</v>
      </c>
      <c r="C20" s="32" t="s">
        <v>238</v>
      </c>
      <c r="D20" s="32" t="s">
        <v>3303</v>
      </c>
      <c r="E20" s="32" t="s">
        <v>238</v>
      </c>
      <c r="F20" s="94" t="s">
        <v>599</v>
      </c>
      <c r="G20" s="94" t="s">
        <v>3112</v>
      </c>
      <c r="H20" s="94" t="s">
        <v>238</v>
      </c>
      <c r="I20" s="103">
        <v>9.19</v>
      </c>
      <c r="J20" s="94" t="s">
        <v>244</v>
      </c>
      <c r="K20" s="32">
        <v>4.2000000000000003E-2</v>
      </c>
      <c r="L20" s="32">
        <v>1.9799999999999998E-2</v>
      </c>
      <c r="M20" s="154">
        <v>5130747.389201696</v>
      </c>
      <c r="N20" s="94">
        <v>109.0056</v>
      </c>
      <c r="O20" s="124">
        <v>5592.8019760828665</v>
      </c>
      <c r="P20" s="32">
        <v>4.943918449276421E-3</v>
      </c>
      <c r="Q20" s="32">
        <v>4.7362383586895711E-4</v>
      </c>
      <c r="R20" s="18"/>
    </row>
    <row r="21" spans="2:27" x14ac:dyDescent="0.2">
      <c r="B21" s="23" t="s">
        <v>3304</v>
      </c>
      <c r="C21" s="32" t="s">
        <v>238</v>
      </c>
      <c r="D21" s="32" t="s">
        <v>3305</v>
      </c>
      <c r="E21" s="32" t="s">
        <v>238</v>
      </c>
      <c r="F21" s="94" t="s">
        <v>599</v>
      </c>
      <c r="G21" s="94" t="s">
        <v>3112</v>
      </c>
      <c r="H21" s="94" t="s">
        <v>238</v>
      </c>
      <c r="I21" s="103">
        <v>7.9</v>
      </c>
      <c r="J21" s="94" t="s">
        <v>244</v>
      </c>
      <c r="K21" s="32">
        <v>5.2999999999999999E-2</v>
      </c>
      <c r="L21" s="32">
        <v>5.2999999999999999E-2</v>
      </c>
      <c r="M21" s="154">
        <v>5458220.9571851054</v>
      </c>
      <c r="N21" s="94">
        <v>124.0497</v>
      </c>
      <c r="O21" s="124">
        <v>6770.9110888861396</v>
      </c>
      <c r="P21" s="32">
        <v>5.985341943788948E-3</v>
      </c>
      <c r="Q21" s="32">
        <v>5.7339145851395968E-4</v>
      </c>
      <c r="R21" s="18"/>
    </row>
    <row r="22" spans="2:27" x14ac:dyDescent="0.2">
      <c r="B22" s="23" t="s">
        <v>3306</v>
      </c>
      <c r="C22" s="32" t="s">
        <v>238</v>
      </c>
      <c r="D22" s="32" t="s">
        <v>3307</v>
      </c>
      <c r="E22" s="32" t="s">
        <v>238</v>
      </c>
      <c r="F22" s="94" t="s">
        <v>599</v>
      </c>
      <c r="G22" s="94" t="s">
        <v>3112</v>
      </c>
      <c r="H22" s="94" t="s">
        <v>238</v>
      </c>
      <c r="I22" s="103">
        <v>8.1999999999999993</v>
      </c>
      <c r="J22" s="94" t="s">
        <v>244</v>
      </c>
      <c r="K22" s="32">
        <v>5.2999999999999999E-2</v>
      </c>
      <c r="L22" s="32">
        <v>5.2999999999999999E-2</v>
      </c>
      <c r="M22" s="154">
        <v>3302906.4067097669</v>
      </c>
      <c r="N22" s="94">
        <v>128.79339999999999</v>
      </c>
      <c r="O22" s="124">
        <v>4253.9281018621623</v>
      </c>
      <c r="P22" s="32">
        <v>3.7603823118768265E-3</v>
      </c>
      <c r="Q22" s="32">
        <v>3.6024192412509206E-4</v>
      </c>
      <c r="R22" s="18"/>
    </row>
    <row r="23" spans="2:27" x14ac:dyDescent="0.2">
      <c r="B23" s="23" t="s">
        <v>3308</v>
      </c>
      <c r="C23" s="32" t="s">
        <v>238</v>
      </c>
      <c r="D23" s="32" t="s">
        <v>3309</v>
      </c>
      <c r="E23" s="32" t="s">
        <v>3310</v>
      </c>
      <c r="F23" s="94" t="s">
        <v>567</v>
      </c>
      <c r="G23" s="94" t="s">
        <v>3311</v>
      </c>
      <c r="H23" s="94" t="s">
        <v>243</v>
      </c>
      <c r="I23" s="103">
        <v>0</v>
      </c>
      <c r="J23" s="94" t="s">
        <v>244</v>
      </c>
      <c r="K23" s="32">
        <v>0</v>
      </c>
      <c r="L23" s="32">
        <v>0</v>
      </c>
      <c r="M23" s="154">
        <v>100000</v>
      </c>
      <c r="N23" s="94">
        <v>62.67</v>
      </c>
      <c r="O23" s="124">
        <v>62.67</v>
      </c>
      <c r="P23" s="32">
        <v>5.5398952178378116E-5</v>
      </c>
      <c r="Q23" s="32">
        <v>5.3071798216421884E-6</v>
      </c>
      <c r="R23" s="18"/>
    </row>
    <row r="24" spans="2:27" x14ac:dyDescent="0.2">
      <c r="B24" s="23" t="s">
        <v>3312</v>
      </c>
      <c r="C24" s="32" t="s">
        <v>238</v>
      </c>
      <c r="D24" s="32" t="s">
        <v>3313</v>
      </c>
      <c r="E24" s="32" t="s">
        <v>1040</v>
      </c>
      <c r="F24" s="94" t="s">
        <v>242</v>
      </c>
      <c r="G24" s="94" t="s">
        <v>3314</v>
      </c>
      <c r="H24" s="94" t="s">
        <v>243</v>
      </c>
      <c r="I24" s="103">
        <v>0</v>
      </c>
      <c r="J24" s="94" t="s">
        <v>244</v>
      </c>
      <c r="K24" s="32">
        <v>0</v>
      </c>
      <c r="L24" s="32">
        <v>0</v>
      </c>
      <c r="M24" s="154">
        <v>100000</v>
      </c>
      <c r="N24" s="94">
        <v>27.22</v>
      </c>
      <c r="O24" s="124">
        <v>27.22</v>
      </c>
      <c r="P24" s="32">
        <v>2.4061903275817013E-5</v>
      </c>
      <c r="Q24" s="32">
        <v>2.3051130484298765E-6</v>
      </c>
      <c r="R24" s="18"/>
    </row>
    <row r="25" spans="2:27" x14ac:dyDescent="0.2">
      <c r="B25" s="23" t="s">
        <v>3315</v>
      </c>
      <c r="C25" s="32" t="s">
        <v>238</v>
      </c>
      <c r="D25" s="32" t="s">
        <v>3316</v>
      </c>
      <c r="E25" s="32" t="s">
        <v>1040</v>
      </c>
      <c r="F25" s="94" t="s">
        <v>242</v>
      </c>
      <c r="G25" s="94" t="s">
        <v>3314</v>
      </c>
      <c r="H25" s="94" t="s">
        <v>243</v>
      </c>
      <c r="I25" s="103">
        <v>0</v>
      </c>
      <c r="J25" s="94" t="s">
        <v>244</v>
      </c>
      <c r="K25" s="32">
        <v>0</v>
      </c>
      <c r="L25" s="32">
        <v>0</v>
      </c>
      <c r="M25" s="154">
        <v>100000</v>
      </c>
      <c r="N25" s="94">
        <v>488.75</v>
      </c>
      <c r="O25" s="124">
        <v>488.75</v>
      </c>
      <c r="P25" s="32">
        <v>4.3204464460160048E-4</v>
      </c>
      <c r="Q25" s="32">
        <v>4.1389566584133065E-5</v>
      </c>
      <c r="R25" s="18"/>
    </row>
    <row r="26" spans="2:27" s="160" customFormat="1" x14ac:dyDescent="0.2">
      <c r="B26" s="132" t="s">
        <v>3317</v>
      </c>
      <c r="C26" s="167" t="s">
        <v>238</v>
      </c>
      <c r="D26" s="167" t="s">
        <v>238</v>
      </c>
      <c r="E26" s="167" t="s">
        <v>238</v>
      </c>
      <c r="F26" s="168" t="s">
        <v>238</v>
      </c>
      <c r="G26" s="168" t="s">
        <v>238</v>
      </c>
      <c r="H26" s="168" t="s">
        <v>238</v>
      </c>
      <c r="I26" s="178" t="s">
        <v>238</v>
      </c>
      <c r="J26" s="168" t="s">
        <v>238</v>
      </c>
      <c r="K26" s="167" t="s">
        <v>238</v>
      </c>
      <c r="L26" s="167" t="s">
        <v>238</v>
      </c>
      <c r="M26" s="202" t="s">
        <v>238</v>
      </c>
      <c r="N26" s="168" t="s">
        <v>238</v>
      </c>
      <c r="O26" s="169">
        <v>0</v>
      </c>
      <c r="P26" s="167">
        <v>0</v>
      </c>
      <c r="Q26" s="167">
        <v>0</v>
      </c>
    </row>
    <row r="27" spans="2:27" s="160" customFormat="1" x14ac:dyDescent="0.2">
      <c r="B27" s="132" t="s">
        <v>3332</v>
      </c>
      <c r="C27" s="167" t="s">
        <v>238</v>
      </c>
      <c r="D27" s="167" t="s">
        <v>238</v>
      </c>
      <c r="E27" s="167" t="s">
        <v>238</v>
      </c>
      <c r="F27" s="168" t="s">
        <v>238</v>
      </c>
      <c r="G27" s="168" t="s">
        <v>238</v>
      </c>
      <c r="H27" s="168" t="s">
        <v>238</v>
      </c>
      <c r="I27" s="178" t="s">
        <v>238</v>
      </c>
      <c r="J27" s="168" t="s">
        <v>238</v>
      </c>
      <c r="K27" s="167" t="s">
        <v>238</v>
      </c>
      <c r="L27" s="167" t="s">
        <v>238</v>
      </c>
      <c r="M27" s="202" t="s">
        <v>238</v>
      </c>
      <c r="N27" s="168" t="s">
        <v>238</v>
      </c>
      <c r="O27" s="169">
        <v>822673.51241111103</v>
      </c>
      <c r="P27" s="167">
        <v>0.72722595456329175</v>
      </c>
      <c r="Q27" s="167">
        <v>6.9667724028526445E-2</v>
      </c>
    </row>
    <row r="28" spans="2:27" s="160" customFormat="1" x14ac:dyDescent="0.2">
      <c r="B28" s="218" t="s">
        <v>3340</v>
      </c>
      <c r="C28" s="32" t="s">
        <v>238</v>
      </c>
      <c r="D28" s="32" t="s">
        <v>3341</v>
      </c>
      <c r="E28" s="32" t="s">
        <v>3342</v>
      </c>
      <c r="F28" s="94" t="s">
        <v>242</v>
      </c>
      <c r="G28" s="94" t="s">
        <v>3343</v>
      </c>
      <c r="H28" s="94" t="s">
        <v>243</v>
      </c>
      <c r="I28" s="103">
        <v>8.0399999999999991</v>
      </c>
      <c r="J28" s="94" t="s">
        <v>244</v>
      </c>
      <c r="K28" s="32">
        <v>3.0899999999999997E-2</v>
      </c>
      <c r="L28" s="32">
        <v>1.9099999999999999E-2</v>
      </c>
      <c r="M28" s="154">
        <v>52388862.229999997</v>
      </c>
      <c r="N28" s="94">
        <v>109.92</v>
      </c>
      <c r="O28" s="222">
        <v>57585.837359999998</v>
      </c>
      <c r="P28" s="32">
        <v>5.0904660125394921E-2</v>
      </c>
      <c r="Q28" s="32">
        <v>4.8766298715391867E-3</v>
      </c>
    </row>
    <row r="29" spans="2:27" x14ac:dyDescent="0.2">
      <c r="B29" s="218" t="s">
        <v>3540</v>
      </c>
      <c r="C29" s="32" t="s">
        <v>3328</v>
      </c>
      <c r="D29" s="32" t="s">
        <v>3541</v>
      </c>
      <c r="E29" s="32" t="s">
        <v>2628</v>
      </c>
      <c r="F29" s="94" t="s">
        <v>587</v>
      </c>
      <c r="G29" s="94" t="s">
        <v>3542</v>
      </c>
      <c r="H29" s="94" t="s">
        <v>346</v>
      </c>
      <c r="I29" s="103">
        <v>3.86</v>
      </c>
      <c r="J29" s="94" t="s">
        <v>244</v>
      </c>
      <c r="K29" s="32">
        <v>3.85E-2</v>
      </c>
      <c r="L29" s="32">
        <v>-1.9E-3</v>
      </c>
      <c r="M29" s="154">
        <v>4903899.0199999996</v>
      </c>
      <c r="N29" s="94">
        <v>155.66</v>
      </c>
      <c r="O29" s="222">
        <v>7633.4092099999998</v>
      </c>
      <c r="P29" s="32">
        <v>6.7477720086609391E-3</v>
      </c>
      <c r="Q29" s="32">
        <v>6.4643171102041859E-4</v>
      </c>
      <c r="R29" s="18"/>
    </row>
    <row r="30" spans="2:27" x14ac:dyDescent="0.2">
      <c r="B30" s="218" t="s">
        <v>3540</v>
      </c>
      <c r="C30" s="32" t="s">
        <v>3328</v>
      </c>
      <c r="D30" s="32" t="s">
        <v>3543</v>
      </c>
      <c r="E30" s="32" t="s">
        <v>2628</v>
      </c>
      <c r="F30" s="94" t="s">
        <v>587</v>
      </c>
      <c r="G30" s="94" t="s">
        <v>3542</v>
      </c>
      <c r="H30" s="94" t="s">
        <v>346</v>
      </c>
      <c r="I30" s="103">
        <v>3.86</v>
      </c>
      <c r="J30" s="94" t="s">
        <v>244</v>
      </c>
      <c r="K30" s="32">
        <v>3.85E-2</v>
      </c>
      <c r="L30" s="32">
        <v>-1.9E-3</v>
      </c>
      <c r="M30" s="154">
        <v>188708.72</v>
      </c>
      <c r="N30" s="94">
        <v>154.91999999999999</v>
      </c>
      <c r="O30" s="222">
        <v>292.34753999999998</v>
      </c>
      <c r="P30" s="32">
        <v>2.5842903124184588E-4</v>
      </c>
      <c r="Q30" s="32">
        <v>2.4757315544833769E-5</v>
      </c>
      <c r="R30" s="18"/>
    </row>
    <row r="31" spans="2:27" s="160" customFormat="1" x14ac:dyDescent="0.2">
      <c r="B31" s="218" t="s">
        <v>3540</v>
      </c>
      <c r="C31" s="32" t="s">
        <v>3328</v>
      </c>
      <c r="D31" s="32" t="s">
        <v>3544</v>
      </c>
      <c r="E31" s="32" t="s">
        <v>2628</v>
      </c>
      <c r="F31" s="94" t="s">
        <v>587</v>
      </c>
      <c r="G31" s="94" t="s">
        <v>3542</v>
      </c>
      <c r="H31" s="94" t="s">
        <v>346</v>
      </c>
      <c r="I31" s="103">
        <v>3.86</v>
      </c>
      <c r="J31" s="94" t="s">
        <v>244</v>
      </c>
      <c r="K31" s="32">
        <v>3.85E-2</v>
      </c>
      <c r="L31" s="32">
        <v>-1.9E-3</v>
      </c>
      <c r="M31" s="154">
        <v>2123080.4500000002</v>
      </c>
      <c r="N31" s="94">
        <v>156.38999999999999</v>
      </c>
      <c r="O31" s="222">
        <v>3320.2855099999997</v>
      </c>
      <c r="P31" s="32">
        <v>2.935062042237941E-3</v>
      </c>
      <c r="Q31" s="32">
        <v>2.8117683518051601E-4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2:27" x14ac:dyDescent="0.2">
      <c r="B32" s="218" t="s">
        <v>3540</v>
      </c>
      <c r="C32" s="32" t="s">
        <v>3328</v>
      </c>
      <c r="D32" s="32" t="s">
        <v>3545</v>
      </c>
      <c r="E32" s="32" t="s">
        <v>2628</v>
      </c>
      <c r="F32" s="94" t="s">
        <v>587</v>
      </c>
      <c r="G32" s="94" t="s">
        <v>3542</v>
      </c>
      <c r="H32" s="94" t="s">
        <v>346</v>
      </c>
      <c r="I32" s="103">
        <v>3.86</v>
      </c>
      <c r="J32" s="94" t="s">
        <v>244</v>
      </c>
      <c r="K32" s="32">
        <v>3.85E-2</v>
      </c>
      <c r="L32" s="32">
        <v>-1.9E-3</v>
      </c>
      <c r="M32" s="154">
        <v>2433012.83</v>
      </c>
      <c r="N32" s="94">
        <v>154.78</v>
      </c>
      <c r="O32" s="222">
        <v>3765.8172500000001</v>
      </c>
      <c r="P32" s="32">
        <v>3.328902660687113E-3</v>
      </c>
      <c r="Q32" s="32">
        <v>3.1890648350394249E-4</v>
      </c>
      <c r="R32" s="18"/>
    </row>
    <row r="33" spans="2:18" x14ac:dyDescent="0.2">
      <c r="B33" s="218" t="s">
        <v>3540</v>
      </c>
      <c r="C33" s="32" t="s">
        <v>3328</v>
      </c>
      <c r="D33" s="32" t="s">
        <v>3546</v>
      </c>
      <c r="E33" s="32" t="s">
        <v>2628</v>
      </c>
      <c r="F33" s="94" t="s">
        <v>587</v>
      </c>
      <c r="G33" s="94" t="s">
        <v>3542</v>
      </c>
      <c r="H33" s="94" t="s">
        <v>346</v>
      </c>
      <c r="I33" s="103">
        <v>3.86</v>
      </c>
      <c r="J33" s="94" t="s">
        <v>244</v>
      </c>
      <c r="K33" s="32">
        <v>3.85E-2</v>
      </c>
      <c r="L33" s="32">
        <v>-1.8999999999999998E-3</v>
      </c>
      <c r="M33" s="154">
        <v>2839302.05</v>
      </c>
      <c r="N33" s="94">
        <v>154.78</v>
      </c>
      <c r="O33" s="222">
        <v>4394.6717099999996</v>
      </c>
      <c r="P33" s="32">
        <v>3.8847966794632385E-3</v>
      </c>
      <c r="Q33" s="32">
        <v>3.7216073116409391E-4</v>
      </c>
      <c r="R33" s="18"/>
    </row>
    <row r="34" spans="2:18" x14ac:dyDescent="0.2">
      <c r="B34" s="218" t="s">
        <v>3540</v>
      </c>
      <c r="C34" s="32" t="s">
        <v>3328</v>
      </c>
      <c r="D34" s="32" t="s">
        <v>3547</v>
      </c>
      <c r="E34" s="32" t="s">
        <v>2628</v>
      </c>
      <c r="F34" s="94" t="s">
        <v>587</v>
      </c>
      <c r="G34" s="94" t="s">
        <v>3542</v>
      </c>
      <c r="H34" s="94" t="s">
        <v>346</v>
      </c>
      <c r="I34" s="103">
        <v>3.86</v>
      </c>
      <c r="J34" s="94" t="s">
        <v>244</v>
      </c>
      <c r="K34" s="32">
        <v>3.85E-2</v>
      </c>
      <c r="L34" s="32">
        <v>-1.8E-3</v>
      </c>
      <c r="M34" s="154">
        <v>2878502.49</v>
      </c>
      <c r="N34" s="94">
        <v>154.78</v>
      </c>
      <c r="O34" s="222">
        <v>4455.3461500000003</v>
      </c>
      <c r="P34" s="32">
        <v>3.9384315988825764E-3</v>
      </c>
      <c r="Q34" s="32">
        <v>3.7729891791465149E-4</v>
      </c>
      <c r="R34" s="18"/>
    </row>
    <row r="35" spans="2:18" x14ac:dyDescent="0.2">
      <c r="B35" s="218" t="s">
        <v>3540</v>
      </c>
      <c r="C35" s="32" t="s">
        <v>3328</v>
      </c>
      <c r="D35" s="32" t="s">
        <v>3548</v>
      </c>
      <c r="E35" s="32" t="s">
        <v>2628</v>
      </c>
      <c r="F35" s="94" t="s">
        <v>587</v>
      </c>
      <c r="G35" s="94" t="s">
        <v>3542</v>
      </c>
      <c r="H35" s="94" t="s">
        <v>346</v>
      </c>
      <c r="I35" s="103">
        <v>3.86</v>
      </c>
      <c r="J35" s="94" t="s">
        <v>244</v>
      </c>
      <c r="K35" s="32">
        <v>3.85E-2</v>
      </c>
      <c r="L35" s="32">
        <v>-1.9E-3</v>
      </c>
      <c r="M35" s="154">
        <v>2703573.49</v>
      </c>
      <c r="N35" s="94">
        <v>156</v>
      </c>
      <c r="O35" s="222">
        <v>4217.5746399999998</v>
      </c>
      <c r="P35" s="32">
        <v>3.7282466218302259E-3</v>
      </c>
      <c r="Q35" s="32">
        <v>3.5716334810400213E-4</v>
      </c>
      <c r="R35" s="18"/>
    </row>
    <row r="36" spans="2:18" x14ac:dyDescent="0.2">
      <c r="B36" s="218" t="s">
        <v>3540</v>
      </c>
      <c r="C36" s="32" t="s">
        <v>3328</v>
      </c>
      <c r="D36" s="32" t="s">
        <v>3549</v>
      </c>
      <c r="E36" s="32" t="s">
        <v>2628</v>
      </c>
      <c r="F36" s="94" t="s">
        <v>587</v>
      </c>
      <c r="G36" s="94" t="s">
        <v>3542</v>
      </c>
      <c r="H36" s="94" t="s">
        <v>346</v>
      </c>
      <c r="I36" s="103">
        <v>3.86</v>
      </c>
      <c r="J36" s="94" t="s">
        <v>244</v>
      </c>
      <c r="K36" s="32">
        <v>3.85E-2</v>
      </c>
      <c r="L36" s="32">
        <v>-1.9E-3</v>
      </c>
      <c r="M36" s="154">
        <v>686642.74</v>
      </c>
      <c r="N36" s="94">
        <v>153.68</v>
      </c>
      <c r="O36" s="222">
        <v>1055.2325600000001</v>
      </c>
      <c r="P36" s="32">
        <v>9.3280322528334954E-4</v>
      </c>
      <c r="Q36" s="32">
        <v>8.9361878882588641E-5</v>
      </c>
      <c r="R36" s="18"/>
    </row>
    <row r="37" spans="2:18" x14ac:dyDescent="0.2">
      <c r="B37" s="218" t="s">
        <v>3540</v>
      </c>
      <c r="C37" s="32" t="s">
        <v>3328</v>
      </c>
      <c r="D37" s="32" t="s">
        <v>3550</v>
      </c>
      <c r="E37" s="32" t="s">
        <v>2628</v>
      </c>
      <c r="F37" s="94" t="s">
        <v>587</v>
      </c>
      <c r="G37" s="94" t="s">
        <v>3542</v>
      </c>
      <c r="H37" s="94" t="s">
        <v>346</v>
      </c>
      <c r="I37" s="103">
        <v>3.86</v>
      </c>
      <c r="J37" s="94" t="s">
        <v>244</v>
      </c>
      <c r="K37" s="32">
        <v>3.85E-2</v>
      </c>
      <c r="L37" s="32">
        <v>-1.9E-3</v>
      </c>
      <c r="M37" s="154">
        <v>8899091.0500000007</v>
      </c>
      <c r="N37" s="94">
        <v>152.16999999999999</v>
      </c>
      <c r="O37" s="222">
        <v>13541.74685</v>
      </c>
      <c r="P37" s="32">
        <v>1.1970617299423208E-2</v>
      </c>
      <c r="Q37" s="32">
        <v>1.1467765379305354E-3</v>
      </c>
      <c r="R37" s="18"/>
    </row>
    <row r="38" spans="2:18" x14ac:dyDescent="0.2">
      <c r="B38" s="218" t="s">
        <v>3540</v>
      </c>
      <c r="C38" s="32" t="s">
        <v>3328</v>
      </c>
      <c r="D38" s="32" t="s">
        <v>3551</v>
      </c>
      <c r="E38" s="32" t="s">
        <v>2628</v>
      </c>
      <c r="F38" s="94" t="s">
        <v>587</v>
      </c>
      <c r="G38" s="94" t="s">
        <v>3542</v>
      </c>
      <c r="H38" s="94" t="s">
        <v>346</v>
      </c>
      <c r="I38" s="103">
        <v>3.86</v>
      </c>
      <c r="J38" s="94" t="s">
        <v>244</v>
      </c>
      <c r="K38" s="32">
        <v>3.85E-2</v>
      </c>
      <c r="L38" s="32">
        <v>-1.9000000000000002E-3</v>
      </c>
      <c r="M38" s="154">
        <v>5910624.8200000003</v>
      </c>
      <c r="N38" s="94">
        <v>152.62</v>
      </c>
      <c r="O38" s="222">
        <v>9020.7955999999995</v>
      </c>
      <c r="P38" s="32">
        <v>7.9741921821497308E-3</v>
      </c>
      <c r="Q38" s="32">
        <v>7.6392188261494541E-4</v>
      </c>
      <c r="R38" s="18"/>
    </row>
    <row r="39" spans="2:18" x14ac:dyDescent="0.2">
      <c r="B39" s="218" t="s">
        <v>3540</v>
      </c>
      <c r="C39" s="32" t="s">
        <v>3328</v>
      </c>
      <c r="D39" s="32" t="s">
        <v>3552</v>
      </c>
      <c r="E39" s="32" t="s">
        <v>2628</v>
      </c>
      <c r="F39" s="94" t="s">
        <v>587</v>
      </c>
      <c r="G39" s="94" t="s">
        <v>3542</v>
      </c>
      <c r="H39" s="94" t="s">
        <v>346</v>
      </c>
      <c r="I39" s="103">
        <v>3.86</v>
      </c>
      <c r="J39" s="94" t="s">
        <v>244</v>
      </c>
      <c r="K39" s="32">
        <v>3.85E-2</v>
      </c>
      <c r="L39" s="32">
        <v>-1.9E-3</v>
      </c>
      <c r="M39" s="154">
        <v>4382322.04</v>
      </c>
      <c r="N39" s="94">
        <v>149.96</v>
      </c>
      <c r="O39" s="222">
        <v>6571.7301299999999</v>
      </c>
      <c r="P39" s="32">
        <v>5.8092701962833343E-3</v>
      </c>
      <c r="Q39" s="32">
        <v>5.5652391158790473E-4</v>
      </c>
      <c r="R39" s="18"/>
    </row>
    <row r="40" spans="2:18" x14ac:dyDescent="0.2">
      <c r="B40" s="218" t="s">
        <v>3540</v>
      </c>
      <c r="C40" s="32" t="s">
        <v>3328</v>
      </c>
      <c r="D40" s="32" t="s">
        <v>3553</v>
      </c>
      <c r="E40" s="32" t="s">
        <v>2628</v>
      </c>
      <c r="F40" s="94" t="s">
        <v>587</v>
      </c>
      <c r="G40" s="94" t="s">
        <v>3542</v>
      </c>
      <c r="H40" s="94" t="s">
        <v>346</v>
      </c>
      <c r="I40" s="103">
        <v>3.86</v>
      </c>
      <c r="J40" s="94" t="s">
        <v>244</v>
      </c>
      <c r="K40" s="32">
        <v>3.85E-2</v>
      </c>
      <c r="L40" s="32">
        <v>-1.9E-3</v>
      </c>
      <c r="M40" s="154">
        <v>3410062.04</v>
      </c>
      <c r="N40" s="94">
        <v>145.6</v>
      </c>
      <c r="O40" s="222">
        <v>4965.05033</v>
      </c>
      <c r="P40" s="32">
        <v>4.3889992946371543E-3</v>
      </c>
      <c r="Q40" s="32">
        <v>4.2046297949280178E-4</v>
      </c>
      <c r="R40" s="18"/>
    </row>
    <row r="41" spans="2:18" x14ac:dyDescent="0.2">
      <c r="B41" s="218" t="s">
        <v>3540</v>
      </c>
      <c r="C41" s="32" t="s">
        <v>3328</v>
      </c>
      <c r="D41" s="32" t="s">
        <v>3554</v>
      </c>
      <c r="E41" s="32" t="s">
        <v>2628</v>
      </c>
      <c r="F41" s="94" t="s">
        <v>587</v>
      </c>
      <c r="G41" s="94" t="s">
        <v>3542</v>
      </c>
      <c r="H41" s="94" t="s">
        <v>346</v>
      </c>
      <c r="I41" s="103">
        <v>3.86</v>
      </c>
      <c r="J41" s="94" t="s">
        <v>244</v>
      </c>
      <c r="K41" s="32">
        <v>3.85E-2</v>
      </c>
      <c r="L41" s="32">
        <v>-1.9E-3</v>
      </c>
      <c r="M41" s="154">
        <v>4242517.34</v>
      </c>
      <c r="N41" s="94">
        <v>143.31</v>
      </c>
      <c r="O41" s="222">
        <v>6079.9515899999997</v>
      </c>
      <c r="P41" s="32">
        <v>5.3745483864889735E-3</v>
      </c>
      <c r="Q41" s="32">
        <v>5.1487787450150524E-4</v>
      </c>
      <c r="R41" s="18"/>
    </row>
    <row r="42" spans="2:18" x14ac:dyDescent="0.2">
      <c r="B42" s="218" t="s">
        <v>3540</v>
      </c>
      <c r="C42" s="32" t="s">
        <v>3328</v>
      </c>
      <c r="D42" s="32" t="s">
        <v>3555</v>
      </c>
      <c r="E42" s="32" t="s">
        <v>2628</v>
      </c>
      <c r="F42" s="94" t="s">
        <v>587</v>
      </c>
      <c r="G42" s="94" t="s">
        <v>3542</v>
      </c>
      <c r="H42" s="94" t="s">
        <v>346</v>
      </c>
      <c r="I42" s="103">
        <v>3.86</v>
      </c>
      <c r="J42" s="94" t="s">
        <v>244</v>
      </c>
      <c r="K42" s="32">
        <v>3.85E-2</v>
      </c>
      <c r="L42" s="32">
        <v>-1.8999999999999998E-3</v>
      </c>
      <c r="M42" s="154">
        <v>4085435.7</v>
      </c>
      <c r="N42" s="94">
        <v>143.05000000000001</v>
      </c>
      <c r="O42" s="222">
        <v>5844.21576</v>
      </c>
      <c r="P42" s="32">
        <v>5.1661629074256209E-3</v>
      </c>
      <c r="Q42" s="32">
        <v>4.9491469530549325E-4</v>
      </c>
      <c r="R42" s="18"/>
    </row>
    <row r="43" spans="2:18" x14ac:dyDescent="0.2">
      <c r="B43" s="218" t="s">
        <v>3540</v>
      </c>
      <c r="C43" s="32" t="s">
        <v>3328</v>
      </c>
      <c r="D43" s="32" t="s">
        <v>3556</v>
      </c>
      <c r="E43" s="32" t="s">
        <v>2628</v>
      </c>
      <c r="F43" s="94" t="s">
        <v>587</v>
      </c>
      <c r="G43" s="94" t="s">
        <v>3542</v>
      </c>
      <c r="H43" s="94" t="s">
        <v>346</v>
      </c>
      <c r="I43" s="103">
        <v>3.86</v>
      </c>
      <c r="J43" s="94" t="s">
        <v>244</v>
      </c>
      <c r="K43" s="32">
        <v>3.85E-2</v>
      </c>
      <c r="L43" s="32">
        <v>-1.9000000000000002E-3</v>
      </c>
      <c r="M43" s="154">
        <v>3599585.76</v>
      </c>
      <c r="N43" s="94">
        <v>142.62</v>
      </c>
      <c r="O43" s="222">
        <v>5133.7292099999995</v>
      </c>
      <c r="P43" s="32">
        <v>4.538107850670701E-3</v>
      </c>
      <c r="Q43" s="32">
        <v>4.3474747204542985E-4</v>
      </c>
      <c r="R43" s="18"/>
    </row>
    <row r="44" spans="2:18" x14ac:dyDescent="0.2">
      <c r="B44" s="218" t="s">
        <v>3540</v>
      </c>
      <c r="C44" s="32" t="s">
        <v>3328</v>
      </c>
      <c r="D44" s="32" t="s">
        <v>3557</v>
      </c>
      <c r="E44" s="32" t="s">
        <v>2628</v>
      </c>
      <c r="F44" s="94" t="s">
        <v>587</v>
      </c>
      <c r="G44" s="94" t="s">
        <v>3542</v>
      </c>
      <c r="H44" s="94" t="s">
        <v>346</v>
      </c>
      <c r="I44" s="103">
        <v>3.85</v>
      </c>
      <c r="J44" s="94" t="s">
        <v>244</v>
      </c>
      <c r="K44" s="32">
        <v>3.85E-2</v>
      </c>
      <c r="L44" s="32">
        <v>-1.9E-3</v>
      </c>
      <c r="M44" s="154">
        <v>3731868.19</v>
      </c>
      <c r="N44" s="94">
        <v>143.33000000000001</v>
      </c>
      <c r="O44" s="222">
        <v>5348.8866699999999</v>
      </c>
      <c r="P44" s="32">
        <v>4.7283024866585947E-3</v>
      </c>
      <c r="Q44" s="32">
        <v>4.5296798154260211E-4</v>
      </c>
      <c r="R44" s="18"/>
    </row>
    <row r="45" spans="2:18" x14ac:dyDescent="0.2">
      <c r="B45" s="218" t="s">
        <v>3540</v>
      </c>
      <c r="C45" s="32" t="s">
        <v>3328</v>
      </c>
      <c r="D45" s="32" t="s">
        <v>3558</v>
      </c>
      <c r="E45" s="32" t="s">
        <v>2628</v>
      </c>
      <c r="F45" s="94" t="s">
        <v>587</v>
      </c>
      <c r="G45" s="94" t="s">
        <v>3542</v>
      </c>
      <c r="H45" s="94" t="s">
        <v>346</v>
      </c>
      <c r="I45" s="103">
        <v>3.86</v>
      </c>
      <c r="J45" s="94" t="s">
        <v>244</v>
      </c>
      <c r="K45" s="32">
        <v>3.85E-2</v>
      </c>
      <c r="L45" s="32">
        <v>-1.8999999999999998E-3</v>
      </c>
      <c r="M45" s="154">
        <v>2647248.3199999998</v>
      </c>
      <c r="N45" s="94">
        <v>144.88999999999999</v>
      </c>
      <c r="O45" s="222">
        <v>3835.59809</v>
      </c>
      <c r="P45" s="32">
        <v>3.3905874447644553E-3</v>
      </c>
      <c r="Q45" s="32">
        <v>3.2481584150594088E-4</v>
      </c>
      <c r="R45" s="18"/>
    </row>
    <row r="46" spans="2:18" x14ac:dyDescent="0.2">
      <c r="B46" s="218" t="s">
        <v>3540</v>
      </c>
      <c r="C46" s="32" t="s">
        <v>3328</v>
      </c>
      <c r="D46" s="32" t="s">
        <v>3559</v>
      </c>
      <c r="E46" s="32" t="s">
        <v>2628</v>
      </c>
      <c r="F46" s="94" t="s">
        <v>587</v>
      </c>
      <c r="G46" s="94" t="s">
        <v>3542</v>
      </c>
      <c r="H46" s="94" t="s">
        <v>346</v>
      </c>
      <c r="I46" s="103">
        <v>3.86</v>
      </c>
      <c r="J46" s="94" t="s">
        <v>244</v>
      </c>
      <c r="K46" s="32">
        <v>3.85E-2</v>
      </c>
      <c r="L46" s="32">
        <v>-1.9E-3</v>
      </c>
      <c r="M46" s="154">
        <v>1595424.91</v>
      </c>
      <c r="N46" s="94">
        <v>145.91</v>
      </c>
      <c r="O46" s="222">
        <v>2327.8844800000002</v>
      </c>
      <c r="P46" s="32">
        <v>2.0578005582305506E-3</v>
      </c>
      <c r="Q46" s="32">
        <v>1.9713581521254217E-4</v>
      </c>
      <c r="R46" s="18"/>
    </row>
    <row r="47" spans="2:18" x14ac:dyDescent="0.2">
      <c r="B47" s="218" t="s">
        <v>3540</v>
      </c>
      <c r="C47" s="32" t="s">
        <v>3328</v>
      </c>
      <c r="D47" s="32" t="s">
        <v>3560</v>
      </c>
      <c r="E47" s="32" t="s">
        <v>2628</v>
      </c>
      <c r="F47" s="94" t="s">
        <v>587</v>
      </c>
      <c r="G47" s="94" t="s">
        <v>3542</v>
      </c>
      <c r="H47" s="94" t="s">
        <v>346</v>
      </c>
      <c r="I47" s="103">
        <v>3.86</v>
      </c>
      <c r="J47" s="94" t="s">
        <v>244</v>
      </c>
      <c r="K47" s="32">
        <v>3.85E-2</v>
      </c>
      <c r="L47" s="32">
        <v>-1.8999999999999998E-3</v>
      </c>
      <c r="M47" s="154">
        <v>1604270.89</v>
      </c>
      <c r="N47" s="94">
        <v>146.35</v>
      </c>
      <c r="O47" s="222">
        <v>2347.8504400000002</v>
      </c>
      <c r="P47" s="32">
        <v>2.0754500438414556E-3</v>
      </c>
      <c r="Q47" s="32">
        <v>1.9882662325517366E-4</v>
      </c>
      <c r="R47" s="18"/>
    </row>
    <row r="48" spans="2:18" x14ac:dyDescent="0.2">
      <c r="B48" s="218" t="s">
        <v>3540</v>
      </c>
      <c r="C48" s="32" t="s">
        <v>3328</v>
      </c>
      <c r="D48" s="32" t="s">
        <v>3561</v>
      </c>
      <c r="E48" s="32" t="s">
        <v>2628</v>
      </c>
      <c r="F48" s="94" t="s">
        <v>587</v>
      </c>
      <c r="G48" s="94" t="s">
        <v>3562</v>
      </c>
      <c r="H48" s="94" t="s">
        <v>346</v>
      </c>
      <c r="I48" s="103">
        <v>3.81</v>
      </c>
      <c r="J48" s="94" t="s">
        <v>244</v>
      </c>
      <c r="K48" s="32">
        <v>5.1699999999999996E-2</v>
      </c>
      <c r="L48" s="32">
        <v>-2E-3</v>
      </c>
      <c r="M48" s="154">
        <v>4903902.1100000003</v>
      </c>
      <c r="N48" s="94">
        <v>162.83000000000001</v>
      </c>
      <c r="O48" s="222">
        <v>7985.0237999999999</v>
      </c>
      <c r="P48" s="32">
        <v>7.0585918563812206E-3</v>
      </c>
      <c r="Q48" s="32">
        <v>6.7620802914780003E-4</v>
      </c>
      <c r="R48" s="18"/>
    </row>
    <row r="49" spans="2:18" x14ac:dyDescent="0.2">
      <c r="B49" s="218" t="s">
        <v>3540</v>
      </c>
      <c r="C49" s="32" t="s">
        <v>3328</v>
      </c>
      <c r="D49" s="32" t="s">
        <v>3563</v>
      </c>
      <c r="E49" s="32" t="s">
        <v>2628</v>
      </c>
      <c r="F49" s="94" t="s">
        <v>587</v>
      </c>
      <c r="G49" s="94" t="s">
        <v>3562</v>
      </c>
      <c r="H49" s="94" t="s">
        <v>346</v>
      </c>
      <c r="I49" s="103">
        <v>3.81</v>
      </c>
      <c r="J49" s="94" t="s">
        <v>244</v>
      </c>
      <c r="K49" s="32">
        <v>5.1699999999999996E-2</v>
      </c>
      <c r="L49" s="32">
        <v>-2.0000000000000005E-3</v>
      </c>
      <c r="M49" s="154">
        <v>188708.85</v>
      </c>
      <c r="N49" s="94">
        <v>162.07</v>
      </c>
      <c r="O49" s="222">
        <v>305.84042999999997</v>
      </c>
      <c r="P49" s="32">
        <v>2.7035646012102437E-4</v>
      </c>
      <c r="Q49" s="32">
        <v>2.5899954663130202E-5</v>
      </c>
      <c r="R49" s="18"/>
    </row>
    <row r="50" spans="2:18" x14ac:dyDescent="0.2">
      <c r="B50" s="218" t="s">
        <v>3540</v>
      </c>
      <c r="C50" s="32" t="s">
        <v>3328</v>
      </c>
      <c r="D50" s="32" t="s">
        <v>3564</v>
      </c>
      <c r="E50" s="32" t="s">
        <v>2628</v>
      </c>
      <c r="F50" s="94" t="s">
        <v>587</v>
      </c>
      <c r="G50" s="94" t="s">
        <v>3562</v>
      </c>
      <c r="H50" s="94" t="s">
        <v>346</v>
      </c>
      <c r="I50" s="103">
        <v>3.81</v>
      </c>
      <c r="J50" s="94" t="s">
        <v>244</v>
      </c>
      <c r="K50" s="32">
        <v>5.1699999999999996E-2</v>
      </c>
      <c r="L50" s="32">
        <v>-2E-3</v>
      </c>
      <c r="M50" s="154">
        <v>2123081.7999999998</v>
      </c>
      <c r="N50" s="94">
        <v>163.6</v>
      </c>
      <c r="O50" s="222">
        <v>3473.3618199999996</v>
      </c>
      <c r="P50" s="32">
        <v>3.0703782569711882E-3</v>
      </c>
      <c r="Q50" s="32">
        <v>2.9414003134460478E-4</v>
      </c>
      <c r="R50" s="18"/>
    </row>
    <row r="51" spans="2:18" x14ac:dyDescent="0.2">
      <c r="B51" s="218" t="s">
        <v>3540</v>
      </c>
      <c r="C51" s="32" t="s">
        <v>3328</v>
      </c>
      <c r="D51" s="32" t="s">
        <v>3565</v>
      </c>
      <c r="E51" s="32" t="s">
        <v>2628</v>
      </c>
      <c r="F51" s="94" t="s">
        <v>587</v>
      </c>
      <c r="G51" s="94" t="s">
        <v>3562</v>
      </c>
      <c r="H51" s="94" t="s">
        <v>346</v>
      </c>
      <c r="I51" s="103">
        <v>3.81</v>
      </c>
      <c r="J51" s="94" t="s">
        <v>244</v>
      </c>
      <c r="K51" s="32">
        <v>5.1699999999999996E-2</v>
      </c>
      <c r="L51" s="32">
        <v>-1.9E-3</v>
      </c>
      <c r="M51" s="154">
        <v>2433014.39</v>
      </c>
      <c r="N51" s="94">
        <v>161.91</v>
      </c>
      <c r="O51" s="222">
        <v>3939.2935899999998</v>
      </c>
      <c r="P51" s="32">
        <v>3.4822520697143995E-3</v>
      </c>
      <c r="Q51" s="32">
        <v>3.3359724672686153E-4</v>
      </c>
      <c r="R51" s="18"/>
    </row>
    <row r="52" spans="2:18" x14ac:dyDescent="0.2">
      <c r="B52" s="218" t="s">
        <v>3540</v>
      </c>
      <c r="C52" s="32" t="s">
        <v>3328</v>
      </c>
      <c r="D52" s="32" t="s">
        <v>3566</v>
      </c>
      <c r="E52" s="32" t="s">
        <v>2628</v>
      </c>
      <c r="F52" s="94" t="s">
        <v>587</v>
      </c>
      <c r="G52" s="94" t="s">
        <v>3562</v>
      </c>
      <c r="H52" s="94" t="s">
        <v>346</v>
      </c>
      <c r="I52" s="103">
        <v>3.81</v>
      </c>
      <c r="J52" s="94" t="s">
        <v>244</v>
      </c>
      <c r="K52" s="32">
        <v>5.1699999999999996E-2</v>
      </c>
      <c r="L52" s="32">
        <v>-1.9E-3</v>
      </c>
      <c r="M52" s="154">
        <v>2839303.85</v>
      </c>
      <c r="N52" s="94">
        <v>161.91</v>
      </c>
      <c r="O52" s="222">
        <v>4597.1168600000001</v>
      </c>
      <c r="P52" s="32">
        <v>4.0637539027534031E-3</v>
      </c>
      <c r="Q52" s="32">
        <v>3.893047045974644E-4</v>
      </c>
      <c r="R52" s="18"/>
    </row>
    <row r="53" spans="2:18" x14ac:dyDescent="0.2">
      <c r="B53" s="218" t="s">
        <v>3540</v>
      </c>
      <c r="C53" s="32" t="s">
        <v>3328</v>
      </c>
      <c r="D53" s="32" t="s">
        <v>3567</v>
      </c>
      <c r="E53" s="32" t="s">
        <v>2628</v>
      </c>
      <c r="F53" s="94" t="s">
        <v>587</v>
      </c>
      <c r="G53" s="94" t="s">
        <v>3562</v>
      </c>
      <c r="H53" s="94" t="s">
        <v>346</v>
      </c>
      <c r="I53" s="103">
        <v>3.81</v>
      </c>
      <c r="J53" s="94" t="s">
        <v>244</v>
      </c>
      <c r="K53" s="32">
        <v>5.1699999999999996E-2</v>
      </c>
      <c r="L53" s="32">
        <v>-1.8999999999999998E-3</v>
      </c>
      <c r="M53" s="154">
        <v>2878504.33</v>
      </c>
      <c r="N53" s="94">
        <v>161.91</v>
      </c>
      <c r="O53" s="222">
        <v>4660.5863600000002</v>
      </c>
      <c r="P53" s="32">
        <v>4.1198595959923623E-3</v>
      </c>
      <c r="Q53" s="32">
        <v>3.9467958970500742E-4</v>
      </c>
      <c r="R53" s="18"/>
    </row>
    <row r="54" spans="2:18" x14ac:dyDescent="0.2">
      <c r="B54" s="218" t="s">
        <v>3540</v>
      </c>
      <c r="C54" s="32" t="s">
        <v>3328</v>
      </c>
      <c r="D54" s="32" t="s">
        <v>3568</v>
      </c>
      <c r="E54" s="32" t="s">
        <v>2628</v>
      </c>
      <c r="F54" s="94" t="s">
        <v>587</v>
      </c>
      <c r="G54" s="94" t="s">
        <v>3562</v>
      </c>
      <c r="H54" s="94" t="s">
        <v>346</v>
      </c>
      <c r="I54" s="103">
        <v>3.81</v>
      </c>
      <c r="J54" s="94" t="s">
        <v>244</v>
      </c>
      <c r="K54" s="32">
        <v>5.1699999999999996E-2</v>
      </c>
      <c r="L54" s="32">
        <v>-2E-3</v>
      </c>
      <c r="M54" s="154">
        <v>2703575.23</v>
      </c>
      <c r="N54" s="94">
        <v>163.19</v>
      </c>
      <c r="O54" s="222">
        <v>4411.9644100000005</v>
      </c>
      <c r="P54" s="32">
        <v>3.9000830598738827E-3</v>
      </c>
      <c r="Q54" s="32">
        <v>3.7362515542612866E-4</v>
      </c>
      <c r="R54" s="18"/>
    </row>
    <row r="55" spans="2:18" x14ac:dyDescent="0.2">
      <c r="B55" s="218" t="s">
        <v>3540</v>
      </c>
      <c r="C55" s="32" t="s">
        <v>3328</v>
      </c>
      <c r="D55" s="32" t="s">
        <v>3569</v>
      </c>
      <c r="E55" s="32" t="s">
        <v>2628</v>
      </c>
      <c r="F55" s="94" t="s">
        <v>587</v>
      </c>
      <c r="G55" s="94" t="s">
        <v>3562</v>
      </c>
      <c r="H55" s="94" t="s">
        <v>346</v>
      </c>
      <c r="I55" s="103">
        <v>3.81</v>
      </c>
      <c r="J55" s="94" t="s">
        <v>244</v>
      </c>
      <c r="K55" s="32">
        <v>5.1699999999999996E-2</v>
      </c>
      <c r="L55" s="32">
        <v>-2E-3</v>
      </c>
      <c r="M55" s="154">
        <v>686643.18</v>
      </c>
      <c r="N55" s="94">
        <v>160.76</v>
      </c>
      <c r="O55" s="222">
        <v>1103.8475700000001</v>
      </c>
      <c r="P55" s="32">
        <v>9.7577786409205186E-4</v>
      </c>
      <c r="Q55" s="32">
        <v>9.347881840869257E-5</v>
      </c>
      <c r="R55" s="18"/>
    </row>
    <row r="56" spans="2:18" x14ac:dyDescent="0.2">
      <c r="B56" s="218" t="s">
        <v>3540</v>
      </c>
      <c r="C56" s="32" t="s">
        <v>3328</v>
      </c>
      <c r="D56" s="32" t="s">
        <v>3570</v>
      </c>
      <c r="E56" s="32" t="s">
        <v>2628</v>
      </c>
      <c r="F56" s="94" t="s">
        <v>587</v>
      </c>
      <c r="G56" s="94" t="s">
        <v>3562</v>
      </c>
      <c r="H56" s="94" t="s">
        <v>346</v>
      </c>
      <c r="I56" s="103">
        <v>3.81</v>
      </c>
      <c r="J56" s="94" t="s">
        <v>244</v>
      </c>
      <c r="K56" s="32">
        <v>5.1699999999999996E-2</v>
      </c>
      <c r="L56" s="32">
        <v>-1.8999999999999998E-3</v>
      </c>
      <c r="M56" s="154">
        <v>8899096.6699999999</v>
      </c>
      <c r="N56" s="94">
        <v>159.18</v>
      </c>
      <c r="O56" s="222">
        <v>14165.58207</v>
      </c>
      <c r="P56" s="32">
        <v>1.2522074416384562E-2</v>
      </c>
      <c r="Q56" s="32">
        <v>1.199605733584177E-3</v>
      </c>
      <c r="R56" s="18"/>
    </row>
    <row r="57" spans="2:18" x14ac:dyDescent="0.2">
      <c r="B57" s="218" t="s">
        <v>3540</v>
      </c>
      <c r="C57" s="32" t="s">
        <v>3328</v>
      </c>
      <c r="D57" s="32" t="s">
        <v>3571</v>
      </c>
      <c r="E57" s="32" t="s">
        <v>2628</v>
      </c>
      <c r="F57" s="94" t="s">
        <v>587</v>
      </c>
      <c r="G57" s="94" t="s">
        <v>3562</v>
      </c>
      <c r="H57" s="94" t="s">
        <v>346</v>
      </c>
      <c r="I57" s="103">
        <v>3.81</v>
      </c>
      <c r="J57" s="94" t="s">
        <v>244</v>
      </c>
      <c r="K57" s="32">
        <v>5.1699999999999996E-2</v>
      </c>
      <c r="L57" s="32">
        <v>-1.9E-3</v>
      </c>
      <c r="M57" s="154">
        <v>5910628.5499999998</v>
      </c>
      <c r="N57" s="94">
        <v>159.65</v>
      </c>
      <c r="O57" s="222">
        <v>9436.3184799999999</v>
      </c>
      <c r="P57" s="32">
        <v>8.341505604172102E-3</v>
      </c>
      <c r="Q57" s="32">
        <v>7.9911024457707486E-4</v>
      </c>
      <c r="R57" s="18"/>
    </row>
    <row r="58" spans="2:18" x14ac:dyDescent="0.2">
      <c r="B58" s="218" t="s">
        <v>3540</v>
      </c>
      <c r="C58" s="32" t="s">
        <v>3328</v>
      </c>
      <c r="D58" s="32" t="s">
        <v>3572</v>
      </c>
      <c r="E58" s="32" t="s">
        <v>2628</v>
      </c>
      <c r="F58" s="94" t="s">
        <v>587</v>
      </c>
      <c r="G58" s="94" t="s">
        <v>3562</v>
      </c>
      <c r="H58" s="94" t="s">
        <v>346</v>
      </c>
      <c r="I58" s="103">
        <v>3.81</v>
      </c>
      <c r="J58" s="94" t="s">
        <v>244</v>
      </c>
      <c r="K58" s="32">
        <v>5.1699999999999996E-2</v>
      </c>
      <c r="L58" s="32">
        <v>-2E-3</v>
      </c>
      <c r="M58" s="154">
        <v>4382324.84</v>
      </c>
      <c r="N58" s="94">
        <v>156.88</v>
      </c>
      <c r="O58" s="222">
        <v>6874.9912000000004</v>
      </c>
      <c r="P58" s="32">
        <v>6.0773465568145901E-3</v>
      </c>
      <c r="Q58" s="32">
        <v>5.8220543434829445E-4</v>
      </c>
      <c r="R58" s="18"/>
    </row>
    <row r="59" spans="2:18" x14ac:dyDescent="0.2">
      <c r="B59" s="218" t="s">
        <v>3540</v>
      </c>
      <c r="C59" s="32" t="s">
        <v>3328</v>
      </c>
      <c r="D59" s="32" t="s">
        <v>3573</v>
      </c>
      <c r="E59" s="32" t="s">
        <v>2628</v>
      </c>
      <c r="F59" s="94" t="s">
        <v>587</v>
      </c>
      <c r="G59" s="94" t="s">
        <v>3562</v>
      </c>
      <c r="H59" s="94" t="s">
        <v>346</v>
      </c>
      <c r="I59" s="103">
        <v>3.81</v>
      </c>
      <c r="J59" s="94" t="s">
        <v>244</v>
      </c>
      <c r="K59" s="32">
        <v>5.1699999999999996E-2</v>
      </c>
      <c r="L59" s="32">
        <v>-1.8999999999999996E-3</v>
      </c>
      <c r="M59" s="154">
        <v>3410064.21</v>
      </c>
      <c r="N59" s="94">
        <v>152.31</v>
      </c>
      <c r="O59" s="222">
        <v>5193.8687900000004</v>
      </c>
      <c r="P59" s="32">
        <v>4.5912699651823935E-3</v>
      </c>
      <c r="Q59" s="32">
        <v>4.3984036442548473E-4</v>
      </c>
      <c r="R59" s="18"/>
    </row>
    <row r="60" spans="2:18" x14ac:dyDescent="0.2">
      <c r="B60" s="218" t="s">
        <v>3540</v>
      </c>
      <c r="C60" s="32" t="s">
        <v>3328</v>
      </c>
      <c r="D60" s="32" t="s">
        <v>3574</v>
      </c>
      <c r="E60" s="32" t="s">
        <v>2628</v>
      </c>
      <c r="F60" s="94" t="s">
        <v>587</v>
      </c>
      <c r="G60" s="94" t="s">
        <v>3562</v>
      </c>
      <c r="H60" s="94" t="s">
        <v>346</v>
      </c>
      <c r="I60" s="103">
        <v>3.81</v>
      </c>
      <c r="J60" s="94" t="s">
        <v>244</v>
      </c>
      <c r="K60" s="32">
        <v>5.1699999999999996E-2</v>
      </c>
      <c r="L60" s="32">
        <v>-1.8999999999999998E-3</v>
      </c>
      <c r="M60" s="154">
        <v>4242520.04</v>
      </c>
      <c r="N60" s="94">
        <v>149.91999999999999</v>
      </c>
      <c r="O60" s="222">
        <v>6360.3860400000003</v>
      </c>
      <c r="P60" s="32">
        <v>5.6224464985796035E-3</v>
      </c>
      <c r="Q60" s="32">
        <v>5.3862633555676819E-4</v>
      </c>
      <c r="R60" s="18"/>
    </row>
    <row r="61" spans="2:18" x14ac:dyDescent="0.2">
      <c r="B61" s="218" t="s">
        <v>3540</v>
      </c>
      <c r="C61" s="32" t="s">
        <v>3328</v>
      </c>
      <c r="D61" s="32" t="s">
        <v>3575</v>
      </c>
      <c r="E61" s="32" t="s">
        <v>2628</v>
      </c>
      <c r="F61" s="94" t="s">
        <v>587</v>
      </c>
      <c r="G61" s="94" t="s">
        <v>3562</v>
      </c>
      <c r="H61" s="94" t="s">
        <v>346</v>
      </c>
      <c r="I61" s="103">
        <v>3.81</v>
      </c>
      <c r="J61" s="94" t="s">
        <v>244</v>
      </c>
      <c r="K61" s="32">
        <v>5.1699999999999996E-2</v>
      </c>
      <c r="L61" s="32">
        <v>-1.9E-3</v>
      </c>
      <c r="M61" s="154">
        <v>4085438.28</v>
      </c>
      <c r="N61" s="94">
        <v>149.63999999999999</v>
      </c>
      <c r="O61" s="222">
        <v>6113.4498400000002</v>
      </c>
      <c r="P61" s="32">
        <v>5.404160129744269E-3</v>
      </c>
      <c r="Q61" s="32">
        <v>5.1771465823312053E-4</v>
      </c>
      <c r="R61" s="18"/>
    </row>
    <row r="62" spans="2:18" x14ac:dyDescent="0.2">
      <c r="B62" s="218" t="s">
        <v>3540</v>
      </c>
      <c r="C62" s="32" t="s">
        <v>3328</v>
      </c>
      <c r="D62" s="32" t="s">
        <v>3576</v>
      </c>
      <c r="E62" s="32" t="s">
        <v>2628</v>
      </c>
      <c r="F62" s="94" t="s">
        <v>587</v>
      </c>
      <c r="G62" s="94" t="s">
        <v>3562</v>
      </c>
      <c r="H62" s="94" t="s">
        <v>346</v>
      </c>
      <c r="I62" s="103">
        <v>3.81</v>
      </c>
      <c r="J62" s="94" t="s">
        <v>244</v>
      </c>
      <c r="K62" s="32">
        <v>5.1699999999999996E-2</v>
      </c>
      <c r="L62" s="32">
        <v>-1.9E-3</v>
      </c>
      <c r="M62" s="154">
        <v>3599588.03</v>
      </c>
      <c r="N62" s="94">
        <v>149.19</v>
      </c>
      <c r="O62" s="222">
        <v>5370.2253799999999</v>
      </c>
      <c r="P62" s="32">
        <v>4.7471654541843371E-3</v>
      </c>
      <c r="Q62" s="32">
        <v>4.5477504028094382E-4</v>
      </c>
      <c r="R62" s="18"/>
    </row>
    <row r="63" spans="2:18" x14ac:dyDescent="0.2">
      <c r="B63" s="218" t="s">
        <v>3540</v>
      </c>
      <c r="C63" s="32" t="s">
        <v>3328</v>
      </c>
      <c r="D63" s="32" t="s">
        <v>3577</v>
      </c>
      <c r="E63" s="32" t="s">
        <v>2628</v>
      </c>
      <c r="F63" s="94" t="s">
        <v>587</v>
      </c>
      <c r="G63" s="94" t="s">
        <v>3562</v>
      </c>
      <c r="H63" s="94" t="s">
        <v>346</v>
      </c>
      <c r="I63" s="103">
        <v>3.81</v>
      </c>
      <c r="J63" s="94" t="s">
        <v>244</v>
      </c>
      <c r="K63" s="32">
        <v>5.1699999999999996E-2</v>
      </c>
      <c r="L63" s="32">
        <v>-1.9E-3</v>
      </c>
      <c r="M63" s="154">
        <v>3731870.56</v>
      </c>
      <c r="N63" s="94">
        <v>149.93</v>
      </c>
      <c r="O63" s="222">
        <v>5595.1935300000005</v>
      </c>
      <c r="P63" s="32">
        <v>4.9460325322680807E-3</v>
      </c>
      <c r="Q63" s="32">
        <v>4.7382636350086049E-4</v>
      </c>
      <c r="R63" s="18"/>
    </row>
    <row r="64" spans="2:18" x14ac:dyDescent="0.2">
      <c r="B64" s="218" t="s">
        <v>3540</v>
      </c>
      <c r="C64" s="32" t="s">
        <v>3328</v>
      </c>
      <c r="D64" s="32" t="s">
        <v>3578</v>
      </c>
      <c r="E64" s="32" t="s">
        <v>2628</v>
      </c>
      <c r="F64" s="94" t="s">
        <v>587</v>
      </c>
      <c r="G64" s="94" t="s">
        <v>3562</v>
      </c>
      <c r="H64" s="94" t="s">
        <v>346</v>
      </c>
      <c r="I64" s="103">
        <v>3.81</v>
      </c>
      <c r="J64" s="94" t="s">
        <v>244</v>
      </c>
      <c r="K64" s="32">
        <v>5.1699999999999996E-2</v>
      </c>
      <c r="L64" s="32">
        <v>-1.9E-3</v>
      </c>
      <c r="M64" s="154">
        <v>2647250.0099999998</v>
      </c>
      <c r="N64" s="94">
        <v>151.57</v>
      </c>
      <c r="O64" s="222">
        <v>4012.4368399999998</v>
      </c>
      <c r="P64" s="32">
        <v>3.5469091529906267E-3</v>
      </c>
      <c r="Q64" s="32">
        <v>3.3979134885689713E-4</v>
      </c>
      <c r="R64" s="18"/>
    </row>
    <row r="65" spans="2:18" x14ac:dyDescent="0.2">
      <c r="B65" s="218" t="s">
        <v>3540</v>
      </c>
      <c r="C65" s="32" t="s">
        <v>3328</v>
      </c>
      <c r="D65" s="32" t="s">
        <v>3579</v>
      </c>
      <c r="E65" s="32" t="s">
        <v>2628</v>
      </c>
      <c r="F65" s="94" t="s">
        <v>587</v>
      </c>
      <c r="G65" s="94" t="s">
        <v>3562</v>
      </c>
      <c r="H65" s="94" t="s">
        <v>346</v>
      </c>
      <c r="I65" s="103">
        <v>3.81</v>
      </c>
      <c r="J65" s="94" t="s">
        <v>244</v>
      </c>
      <c r="K65" s="32">
        <v>5.1699999999999996E-2</v>
      </c>
      <c r="L65" s="32">
        <v>-2E-3</v>
      </c>
      <c r="M65" s="154">
        <v>1595425.92</v>
      </c>
      <c r="N65" s="94">
        <v>152.63999999999999</v>
      </c>
      <c r="O65" s="222">
        <v>2435.25812</v>
      </c>
      <c r="P65" s="32">
        <v>2.1527165810098451E-3</v>
      </c>
      <c r="Q65" s="32">
        <v>2.0622870200980197E-4</v>
      </c>
      <c r="R65" s="18"/>
    </row>
    <row r="66" spans="2:18" x14ac:dyDescent="0.2">
      <c r="B66" s="218" t="s">
        <v>3540</v>
      </c>
      <c r="C66" s="32" t="s">
        <v>3328</v>
      </c>
      <c r="D66" s="32" t="s">
        <v>3580</v>
      </c>
      <c r="E66" s="32" t="s">
        <v>2628</v>
      </c>
      <c r="F66" s="94" t="s">
        <v>587</v>
      </c>
      <c r="G66" s="94" t="s">
        <v>3562</v>
      </c>
      <c r="H66" s="94" t="s">
        <v>346</v>
      </c>
      <c r="I66" s="103">
        <v>3.81</v>
      </c>
      <c r="J66" s="94" t="s">
        <v>244</v>
      </c>
      <c r="K66" s="32">
        <v>5.1699999999999996E-2</v>
      </c>
      <c r="L66" s="32">
        <v>-1.8999999999999998E-3</v>
      </c>
      <c r="M66" s="154">
        <v>1604271.91</v>
      </c>
      <c r="N66" s="94">
        <v>153.1</v>
      </c>
      <c r="O66" s="222">
        <v>2456.1402899999998</v>
      </c>
      <c r="P66" s="32">
        <v>2.1711759768485361E-3</v>
      </c>
      <c r="Q66" s="32">
        <v>2.0799709887043866E-4</v>
      </c>
      <c r="R66" s="18"/>
    </row>
    <row r="67" spans="2:18" x14ac:dyDescent="0.2">
      <c r="B67" s="218" t="s">
        <v>3540</v>
      </c>
      <c r="C67" s="32" t="s">
        <v>3328</v>
      </c>
      <c r="D67" s="32" t="s">
        <v>3639</v>
      </c>
      <c r="E67" s="32" t="s">
        <v>2628</v>
      </c>
      <c r="F67" s="94" t="s">
        <v>587</v>
      </c>
      <c r="G67" s="94" t="s">
        <v>3640</v>
      </c>
      <c r="H67" s="94" t="s">
        <v>346</v>
      </c>
      <c r="I67" s="103">
        <v>3.88</v>
      </c>
      <c r="J67" s="94" t="s">
        <v>127</v>
      </c>
      <c r="K67" s="32">
        <v>9.849999999999999E-2</v>
      </c>
      <c r="L67" s="32">
        <v>2.7399999999999997E-2</v>
      </c>
      <c r="M67" s="154">
        <v>198956.36</v>
      </c>
      <c r="N67" s="94">
        <v>129.28</v>
      </c>
      <c r="O67" s="222">
        <v>888.92045999999993</v>
      </c>
      <c r="P67" s="32">
        <v>7.8578685262361376E-4</v>
      </c>
      <c r="Q67" s="32">
        <v>7.527781599420602E-5</v>
      </c>
      <c r="R67" s="18"/>
    </row>
    <row r="68" spans="2:18" x14ac:dyDescent="0.2">
      <c r="B68" s="218" t="s">
        <v>3410</v>
      </c>
      <c r="C68" s="32" t="s">
        <v>3328</v>
      </c>
      <c r="D68" s="32" t="s">
        <v>3411</v>
      </c>
      <c r="E68" s="32" t="s">
        <v>3412</v>
      </c>
      <c r="F68" s="94" t="s">
        <v>587</v>
      </c>
      <c r="G68" s="94" t="s">
        <v>3413</v>
      </c>
      <c r="H68" s="94" t="s">
        <v>346</v>
      </c>
      <c r="I68" s="103">
        <v>5.53</v>
      </c>
      <c r="J68" s="94" t="s">
        <v>244</v>
      </c>
      <c r="K68" s="32">
        <v>5.3600000000000002E-2</v>
      </c>
      <c r="L68" s="32">
        <v>1.8E-3</v>
      </c>
      <c r="M68" s="154">
        <v>9741972.4900000002</v>
      </c>
      <c r="N68" s="94">
        <v>138.16</v>
      </c>
      <c r="O68" s="222">
        <v>13459.509189999999</v>
      </c>
      <c r="P68" s="32">
        <v>1.1897920950394937E-2</v>
      </c>
      <c r="Q68" s="32">
        <v>1.1398122799166361E-3</v>
      </c>
      <c r="R68" s="18"/>
    </row>
    <row r="69" spans="2:18" x14ac:dyDescent="0.2">
      <c r="B69" s="218" t="s">
        <v>3410</v>
      </c>
      <c r="C69" s="32" t="s">
        <v>3328</v>
      </c>
      <c r="D69" s="32" t="s">
        <v>3414</v>
      </c>
      <c r="E69" s="32" t="s">
        <v>3412</v>
      </c>
      <c r="F69" s="94" t="s">
        <v>587</v>
      </c>
      <c r="G69" s="94" t="s">
        <v>3415</v>
      </c>
      <c r="H69" s="94" t="s">
        <v>346</v>
      </c>
      <c r="I69" s="103">
        <v>5.53</v>
      </c>
      <c r="J69" s="94" t="s">
        <v>244</v>
      </c>
      <c r="K69" s="32">
        <v>5.1299999999999998E-2</v>
      </c>
      <c r="L69" s="32">
        <v>2.9999999999999996E-3</v>
      </c>
      <c r="M69" s="154">
        <v>9884440.3200000003</v>
      </c>
      <c r="N69" s="94">
        <v>133.9</v>
      </c>
      <c r="O69" s="222">
        <v>13235.265579999999</v>
      </c>
      <c r="P69" s="32">
        <v>1.1699694350319992E-2</v>
      </c>
      <c r="Q69" s="32">
        <v>1.120822314029861E-3</v>
      </c>
      <c r="R69" s="18"/>
    </row>
    <row r="70" spans="2:18" x14ac:dyDescent="0.2">
      <c r="B70" s="218" t="s">
        <v>3410</v>
      </c>
      <c r="C70" s="32" t="s">
        <v>3328</v>
      </c>
      <c r="D70" s="32" t="s">
        <v>3416</v>
      </c>
      <c r="E70" s="32" t="s">
        <v>3412</v>
      </c>
      <c r="F70" s="94" t="s">
        <v>587</v>
      </c>
      <c r="G70" s="94" t="s">
        <v>3417</v>
      </c>
      <c r="H70" s="94" t="s">
        <v>346</v>
      </c>
      <c r="I70" s="103">
        <v>5.56</v>
      </c>
      <c r="J70" s="94" t="s">
        <v>244</v>
      </c>
      <c r="K70" s="32">
        <v>4.8499999999999995E-2</v>
      </c>
      <c r="L70" s="32">
        <v>2.0000000000000005E-3</v>
      </c>
      <c r="M70" s="154">
        <v>4276430.13</v>
      </c>
      <c r="N70" s="94">
        <v>132.9</v>
      </c>
      <c r="O70" s="222">
        <v>5683.3756399999993</v>
      </c>
      <c r="P70" s="32">
        <v>5.0239836491482222E-3</v>
      </c>
      <c r="Q70" s="32">
        <v>4.8129402450009179E-4</v>
      </c>
      <c r="R70" s="18"/>
    </row>
    <row r="71" spans="2:18" x14ac:dyDescent="0.2">
      <c r="B71" s="218" t="s">
        <v>3410</v>
      </c>
      <c r="C71" s="32" t="s">
        <v>3328</v>
      </c>
      <c r="D71" s="32" t="s">
        <v>3418</v>
      </c>
      <c r="E71" s="32" t="s">
        <v>3412</v>
      </c>
      <c r="F71" s="94" t="s">
        <v>587</v>
      </c>
      <c r="G71" s="94" t="s">
        <v>3419</v>
      </c>
      <c r="H71" s="94" t="s">
        <v>346</v>
      </c>
      <c r="I71" s="103">
        <v>5.56</v>
      </c>
      <c r="J71" s="94" t="s">
        <v>244</v>
      </c>
      <c r="K71" s="32">
        <v>4.8499999999999995E-2</v>
      </c>
      <c r="L71" s="32">
        <v>1.8999999999999998E-3</v>
      </c>
      <c r="M71" s="154">
        <v>3244552.51</v>
      </c>
      <c r="N71" s="94">
        <v>132.96</v>
      </c>
      <c r="O71" s="222">
        <v>4313.9570100000001</v>
      </c>
      <c r="P71" s="32">
        <v>3.8134465948072285E-3</v>
      </c>
      <c r="Q71" s="32">
        <v>3.6532544430993883E-4</v>
      </c>
      <c r="R71" s="18"/>
    </row>
    <row r="72" spans="2:18" x14ac:dyDescent="0.2">
      <c r="B72" s="218" t="s">
        <v>3410</v>
      </c>
      <c r="C72" s="32" t="s">
        <v>3328</v>
      </c>
      <c r="D72" s="32" t="s">
        <v>3420</v>
      </c>
      <c r="E72" s="32" t="s">
        <v>3412</v>
      </c>
      <c r="F72" s="94" t="s">
        <v>587</v>
      </c>
      <c r="G72" s="94" t="s">
        <v>3421</v>
      </c>
      <c r="H72" s="94" t="s">
        <v>346</v>
      </c>
      <c r="I72" s="103">
        <v>5.57</v>
      </c>
      <c r="J72" s="94" t="s">
        <v>244</v>
      </c>
      <c r="K72" s="32">
        <v>4.9800000000000004E-2</v>
      </c>
      <c r="L72" s="32">
        <v>-2.0000000000000001E-4</v>
      </c>
      <c r="M72" s="154">
        <v>16332497.52</v>
      </c>
      <c r="N72" s="94">
        <v>138.24</v>
      </c>
      <c r="O72" s="222">
        <v>22578.044570000002</v>
      </c>
      <c r="P72" s="32">
        <v>1.9958513027201526E-2</v>
      </c>
      <c r="Q72" s="32">
        <v>1.9120112103724585E-3</v>
      </c>
      <c r="R72" s="18"/>
    </row>
    <row r="73" spans="2:18" x14ac:dyDescent="0.2">
      <c r="B73" s="218" t="s">
        <v>3410</v>
      </c>
      <c r="C73" s="32" t="s">
        <v>3328</v>
      </c>
      <c r="D73" s="32" t="s">
        <v>3422</v>
      </c>
      <c r="E73" s="32" t="s">
        <v>3412</v>
      </c>
      <c r="F73" s="94" t="s">
        <v>587</v>
      </c>
      <c r="G73" s="94" t="s">
        <v>3419</v>
      </c>
      <c r="H73" s="94" t="s">
        <v>346</v>
      </c>
      <c r="I73" s="103">
        <v>5.6</v>
      </c>
      <c r="J73" s="94" t="s">
        <v>244</v>
      </c>
      <c r="K73" s="32">
        <v>4.8499999999999995E-2</v>
      </c>
      <c r="L73" s="32">
        <v>-1.5E-3</v>
      </c>
      <c r="M73" s="154">
        <v>5600244.8499999996</v>
      </c>
      <c r="N73" s="94">
        <v>134.1</v>
      </c>
      <c r="O73" s="222">
        <v>7509.9283399999995</v>
      </c>
      <c r="P73" s="32">
        <v>6.6386175358338359E-3</v>
      </c>
      <c r="Q73" s="32">
        <v>6.3597479093708013E-4</v>
      </c>
      <c r="R73" s="18"/>
    </row>
    <row r="74" spans="2:18" x14ac:dyDescent="0.2">
      <c r="B74" s="218" t="s">
        <v>3410</v>
      </c>
      <c r="C74" s="32" t="s">
        <v>3328</v>
      </c>
      <c r="D74" s="32" t="s">
        <v>3423</v>
      </c>
      <c r="E74" s="32" t="s">
        <v>3412</v>
      </c>
      <c r="F74" s="94" t="s">
        <v>587</v>
      </c>
      <c r="G74" s="94" t="s">
        <v>3424</v>
      </c>
      <c r="H74" s="94" t="s">
        <v>346</v>
      </c>
      <c r="I74" s="103">
        <v>5.58</v>
      </c>
      <c r="J74" s="94" t="s">
        <v>244</v>
      </c>
      <c r="K74" s="32">
        <v>4.8499999999999995E-2</v>
      </c>
      <c r="L74" s="32">
        <v>5.0000000000000012E-4</v>
      </c>
      <c r="M74" s="154">
        <v>2189533.4500000002</v>
      </c>
      <c r="N74" s="94">
        <v>131.79</v>
      </c>
      <c r="O74" s="222">
        <v>2885.5861299999997</v>
      </c>
      <c r="P74" s="32">
        <v>2.5507970005179698E-3</v>
      </c>
      <c r="Q74" s="32">
        <v>2.4436452022892245E-4</v>
      </c>
      <c r="R74" s="18"/>
    </row>
    <row r="75" spans="2:18" x14ac:dyDescent="0.2">
      <c r="B75" s="218" t="s">
        <v>3410</v>
      </c>
      <c r="C75" s="32" t="s">
        <v>3328</v>
      </c>
      <c r="D75" s="32" t="s">
        <v>3425</v>
      </c>
      <c r="E75" s="32" t="s">
        <v>3412</v>
      </c>
      <c r="F75" s="94" t="s">
        <v>587</v>
      </c>
      <c r="G75" s="94" t="s">
        <v>1053</v>
      </c>
      <c r="H75" s="94" t="s">
        <v>346</v>
      </c>
      <c r="I75" s="103">
        <v>5.56</v>
      </c>
      <c r="J75" s="94" t="s">
        <v>244</v>
      </c>
      <c r="K75" s="32">
        <v>4.8600000000000004E-2</v>
      </c>
      <c r="L75" s="32">
        <v>2E-3</v>
      </c>
      <c r="M75" s="154">
        <v>7213111.4500000002</v>
      </c>
      <c r="N75" s="94">
        <v>132.97</v>
      </c>
      <c r="O75" s="222">
        <v>9591.2742899999994</v>
      </c>
      <c r="P75" s="32">
        <v>8.4784832570834121E-3</v>
      </c>
      <c r="Q75" s="32">
        <v>8.1223260532509178E-4</v>
      </c>
      <c r="R75" s="18"/>
    </row>
    <row r="76" spans="2:18" x14ac:dyDescent="0.2">
      <c r="B76" s="218" t="s">
        <v>3392</v>
      </c>
      <c r="C76" s="32" t="s">
        <v>3328</v>
      </c>
      <c r="D76" s="32" t="s">
        <v>3396</v>
      </c>
      <c r="E76" s="32" t="s">
        <v>3397</v>
      </c>
      <c r="F76" s="94" t="s">
        <v>587</v>
      </c>
      <c r="G76" s="94" t="s">
        <v>3395</v>
      </c>
      <c r="H76" s="94" t="s">
        <v>346</v>
      </c>
      <c r="I76" s="103">
        <v>6.48</v>
      </c>
      <c r="J76" s="94" t="s">
        <v>244</v>
      </c>
      <c r="K76" s="32">
        <v>0.05</v>
      </c>
      <c r="L76" s="32">
        <v>1E-3</v>
      </c>
      <c r="M76" s="154">
        <v>5269437.21</v>
      </c>
      <c r="N76" s="94">
        <v>137.76</v>
      </c>
      <c r="O76" s="222">
        <v>7259.1767</v>
      </c>
      <c r="P76" s="32">
        <v>6.4169583988781982E-3</v>
      </c>
      <c r="Q76" s="32">
        <v>6.1474000485040893E-4</v>
      </c>
      <c r="R76" s="18"/>
    </row>
    <row r="77" spans="2:18" x14ac:dyDescent="0.2">
      <c r="B77" s="218" t="s">
        <v>3392</v>
      </c>
      <c r="C77" s="32" t="s">
        <v>3328</v>
      </c>
      <c r="D77" s="32" t="s">
        <v>3398</v>
      </c>
      <c r="E77" s="32" t="s">
        <v>3397</v>
      </c>
      <c r="F77" s="94" t="s">
        <v>587</v>
      </c>
      <c r="G77" s="94" t="s">
        <v>3399</v>
      </c>
      <c r="H77" s="94" t="s">
        <v>346</v>
      </c>
      <c r="I77" s="103">
        <v>6.48</v>
      </c>
      <c r="J77" s="94" t="s">
        <v>244</v>
      </c>
      <c r="K77" s="32">
        <v>0.05</v>
      </c>
      <c r="L77" s="32">
        <v>1E-3</v>
      </c>
      <c r="M77" s="154">
        <v>661590.38</v>
      </c>
      <c r="N77" s="94">
        <v>137.99</v>
      </c>
      <c r="O77" s="222">
        <v>912.92856000000006</v>
      </c>
      <c r="P77" s="32">
        <v>8.0700950435161312E-4</v>
      </c>
      <c r="Q77" s="32">
        <v>7.73109307839933E-5</v>
      </c>
      <c r="R77" s="18"/>
    </row>
    <row r="78" spans="2:18" x14ac:dyDescent="0.2">
      <c r="B78" s="218" t="s">
        <v>3392</v>
      </c>
      <c r="C78" s="32" t="s">
        <v>3328</v>
      </c>
      <c r="D78" s="32" t="s">
        <v>3402</v>
      </c>
      <c r="E78" s="32" t="s">
        <v>3397</v>
      </c>
      <c r="F78" s="94" t="s">
        <v>587</v>
      </c>
      <c r="G78" s="94" t="s">
        <v>3403</v>
      </c>
      <c r="H78" s="94" t="s">
        <v>346</v>
      </c>
      <c r="I78" s="103">
        <v>6.48</v>
      </c>
      <c r="J78" s="94" t="s">
        <v>244</v>
      </c>
      <c r="K78" s="32">
        <v>0.05</v>
      </c>
      <c r="L78" s="32">
        <v>1.2000000000000001E-3</v>
      </c>
      <c r="M78" s="154">
        <v>1257360.72</v>
      </c>
      <c r="N78" s="94">
        <v>137.58000000000001</v>
      </c>
      <c r="O78" s="222">
        <v>1729.8768700000001</v>
      </c>
      <c r="P78" s="32">
        <v>1.5291745012862999E-3</v>
      </c>
      <c r="Q78" s="32">
        <v>1.4649381870734875E-4</v>
      </c>
      <c r="R78" s="18"/>
    </row>
    <row r="79" spans="2:18" x14ac:dyDescent="0.2">
      <c r="B79" s="218" t="s">
        <v>3392</v>
      </c>
      <c r="C79" s="32" t="s">
        <v>3328</v>
      </c>
      <c r="D79" s="32" t="s">
        <v>3428</v>
      </c>
      <c r="E79" s="32" t="s">
        <v>3397</v>
      </c>
      <c r="F79" s="94" t="s">
        <v>587</v>
      </c>
      <c r="G79" s="94" t="s">
        <v>3429</v>
      </c>
      <c r="H79" s="94" t="s">
        <v>346</v>
      </c>
      <c r="I79" s="103">
        <v>6.47</v>
      </c>
      <c r="J79" s="94" t="s">
        <v>244</v>
      </c>
      <c r="K79" s="32">
        <v>0.05</v>
      </c>
      <c r="L79" s="32">
        <v>2.0999999999999994E-3</v>
      </c>
      <c r="M79" s="154">
        <v>494466.81</v>
      </c>
      <c r="N79" s="94">
        <v>134.63999999999999</v>
      </c>
      <c r="O79" s="222">
        <v>665.75010999999995</v>
      </c>
      <c r="P79" s="32">
        <v>5.8850899164895431E-4</v>
      </c>
      <c r="Q79" s="32">
        <v>5.6378738631690867E-5</v>
      </c>
      <c r="R79" s="18"/>
    </row>
    <row r="80" spans="2:18" x14ac:dyDescent="0.2">
      <c r="B80" s="218" t="s">
        <v>3392</v>
      </c>
      <c r="C80" s="32" t="s">
        <v>3328</v>
      </c>
      <c r="D80" s="32" t="s">
        <v>3433</v>
      </c>
      <c r="E80" s="32" t="s">
        <v>3397</v>
      </c>
      <c r="F80" s="94" t="s">
        <v>587</v>
      </c>
      <c r="G80" s="94" t="s">
        <v>3434</v>
      </c>
      <c r="H80" s="94" t="s">
        <v>346</v>
      </c>
      <c r="I80" s="103">
        <v>6.46</v>
      </c>
      <c r="J80" s="94" t="s">
        <v>244</v>
      </c>
      <c r="K80" s="32">
        <v>0.05</v>
      </c>
      <c r="L80" s="32">
        <v>2.9999999999999996E-3</v>
      </c>
      <c r="M80" s="154">
        <v>370582.38</v>
      </c>
      <c r="N80" s="94">
        <v>133.54</v>
      </c>
      <c r="O80" s="222">
        <v>494.87571000000003</v>
      </c>
      <c r="P80" s="32">
        <v>4.3745964245302244E-4</v>
      </c>
      <c r="Q80" s="32">
        <v>4.19083194883174E-5</v>
      </c>
      <c r="R80" s="18"/>
    </row>
    <row r="81" spans="2:18" x14ac:dyDescent="0.2">
      <c r="B81" s="218" t="s">
        <v>3392</v>
      </c>
      <c r="C81" s="32" t="s">
        <v>3328</v>
      </c>
      <c r="D81" s="32" t="s">
        <v>3446</v>
      </c>
      <c r="E81" s="32" t="s">
        <v>3397</v>
      </c>
      <c r="F81" s="94" t="s">
        <v>587</v>
      </c>
      <c r="G81" s="94" t="s">
        <v>733</v>
      </c>
      <c r="H81" s="94" t="s">
        <v>346</v>
      </c>
      <c r="I81" s="103">
        <v>2</v>
      </c>
      <c r="J81" s="94" t="s">
        <v>244</v>
      </c>
      <c r="K81" s="32">
        <v>0.05</v>
      </c>
      <c r="L81" s="32">
        <v>-3.0000000000000003E-4</v>
      </c>
      <c r="M81" s="154">
        <v>133942.13</v>
      </c>
      <c r="N81" s="94">
        <v>110.74</v>
      </c>
      <c r="O81" s="222">
        <v>148.32751000000002</v>
      </c>
      <c r="P81" s="32">
        <v>1.3111837614852246E-4</v>
      </c>
      <c r="Q81" s="32">
        <v>1.2561046243281154E-5</v>
      </c>
      <c r="R81" s="18"/>
    </row>
    <row r="82" spans="2:18" x14ac:dyDescent="0.2">
      <c r="B82" s="218" t="s">
        <v>3430</v>
      </c>
      <c r="C82" s="32" t="s">
        <v>3328</v>
      </c>
      <c r="D82" s="32" t="s">
        <v>3431</v>
      </c>
      <c r="E82" s="32" t="s">
        <v>3432</v>
      </c>
      <c r="F82" s="94" t="s">
        <v>572</v>
      </c>
      <c r="G82" s="94" t="s">
        <v>705</v>
      </c>
      <c r="H82" s="94" t="s">
        <v>243</v>
      </c>
      <c r="I82" s="103">
        <v>4.8499999999999996</v>
      </c>
      <c r="J82" s="94" t="s">
        <v>244</v>
      </c>
      <c r="K82" s="32">
        <v>3.4799999999999998E-2</v>
      </c>
      <c r="L82" s="32">
        <v>1.0500000000000001E-2</v>
      </c>
      <c r="M82" s="154">
        <v>3644251.23</v>
      </c>
      <c r="N82" s="94">
        <v>116.11</v>
      </c>
      <c r="O82" s="222">
        <v>4231.3400999999994</v>
      </c>
      <c r="P82" s="32">
        <v>3.7404149968143234E-3</v>
      </c>
      <c r="Q82" s="32">
        <v>3.5832906968606085E-4</v>
      </c>
      <c r="R82" s="18"/>
    </row>
    <row r="83" spans="2:18" x14ac:dyDescent="0.2">
      <c r="B83" s="218" t="s">
        <v>3633</v>
      </c>
      <c r="C83" s="32" t="s">
        <v>3328</v>
      </c>
      <c r="D83" s="32" t="s">
        <v>3634</v>
      </c>
      <c r="E83" s="32" t="s">
        <v>1386</v>
      </c>
      <c r="F83" s="94" t="s">
        <v>572</v>
      </c>
      <c r="G83" s="94" t="s">
        <v>3635</v>
      </c>
      <c r="H83" s="94" t="s">
        <v>243</v>
      </c>
      <c r="I83" s="103">
        <v>1.6</v>
      </c>
      <c r="J83" s="94" t="s">
        <v>127</v>
      </c>
      <c r="K83" s="32">
        <v>4.6593800000000005E-2</v>
      </c>
      <c r="L83" s="32">
        <v>4.0099999999999997E-2</v>
      </c>
      <c r="M83" s="154">
        <v>2118912</v>
      </c>
      <c r="N83" s="94">
        <v>102.29</v>
      </c>
      <c r="O83" s="222">
        <v>7490.6556500000006</v>
      </c>
      <c r="P83" s="32">
        <v>6.6215808862142627E-3</v>
      </c>
      <c r="Q83" s="32">
        <v>6.3434269214217407E-4</v>
      </c>
      <c r="R83" s="18"/>
    </row>
    <row r="84" spans="2:18" x14ac:dyDescent="0.2">
      <c r="B84" s="218" t="s">
        <v>3442</v>
      </c>
      <c r="C84" s="32" t="s">
        <v>3328</v>
      </c>
      <c r="D84" s="32" t="s">
        <v>3443</v>
      </c>
      <c r="E84" s="32" t="s">
        <v>3444</v>
      </c>
      <c r="F84" s="94" t="s">
        <v>567</v>
      </c>
      <c r="G84" s="94" t="s">
        <v>3445</v>
      </c>
      <c r="H84" s="94" t="s">
        <v>243</v>
      </c>
      <c r="I84" s="103">
        <v>5.65</v>
      </c>
      <c r="J84" s="94" t="s">
        <v>244</v>
      </c>
      <c r="K84" s="32">
        <v>5.5E-2</v>
      </c>
      <c r="L84" s="32">
        <v>4.7999999999999996E-3</v>
      </c>
      <c r="M84" s="154">
        <v>698480.93</v>
      </c>
      <c r="N84" s="94">
        <v>129.09</v>
      </c>
      <c r="O84" s="222">
        <v>901.66903000000002</v>
      </c>
      <c r="P84" s="32">
        <v>7.9705631839308412E-4</v>
      </c>
      <c r="Q84" s="32">
        <v>7.635742271925458E-5</v>
      </c>
      <c r="R84" s="18"/>
    </row>
    <row r="85" spans="2:18" x14ac:dyDescent="0.2">
      <c r="B85" s="218" t="s">
        <v>3442</v>
      </c>
      <c r="C85" s="32" t="s">
        <v>3328</v>
      </c>
      <c r="D85" s="32" t="s">
        <v>3447</v>
      </c>
      <c r="E85" s="32" t="s">
        <v>3444</v>
      </c>
      <c r="F85" s="94" t="s">
        <v>567</v>
      </c>
      <c r="G85" s="94" t="s">
        <v>3448</v>
      </c>
      <c r="H85" s="94" t="s">
        <v>243</v>
      </c>
      <c r="I85" s="103">
        <v>5.67</v>
      </c>
      <c r="J85" s="94" t="s">
        <v>244</v>
      </c>
      <c r="K85" s="32">
        <v>5.5E-2</v>
      </c>
      <c r="L85" s="32">
        <v>3.6000000000000003E-3</v>
      </c>
      <c r="M85" s="154">
        <v>25288929.280000001</v>
      </c>
      <c r="N85" s="94">
        <v>137.33000000000001</v>
      </c>
      <c r="O85" s="222">
        <v>34729.28658</v>
      </c>
      <c r="P85" s="32">
        <v>3.069995350940815E-2</v>
      </c>
      <c r="Q85" s="32">
        <v>2.9410334922196396E-3</v>
      </c>
      <c r="R85" s="18"/>
    </row>
    <row r="86" spans="2:18" x14ac:dyDescent="0.2">
      <c r="B86" s="218" t="s">
        <v>3442</v>
      </c>
      <c r="C86" s="32" t="s">
        <v>3328</v>
      </c>
      <c r="D86" s="32" t="s">
        <v>3449</v>
      </c>
      <c r="E86" s="32" t="s">
        <v>3444</v>
      </c>
      <c r="F86" s="94" t="s">
        <v>567</v>
      </c>
      <c r="G86" s="94" t="s">
        <v>3450</v>
      </c>
      <c r="H86" s="94" t="s">
        <v>243</v>
      </c>
      <c r="I86" s="103">
        <v>5.62</v>
      </c>
      <c r="J86" s="94" t="s">
        <v>244</v>
      </c>
      <c r="K86" s="32">
        <v>5.5899999999999998E-2</v>
      </c>
      <c r="L86" s="32">
        <v>6.8999999999999999E-3</v>
      </c>
      <c r="M86" s="154">
        <v>985248.97</v>
      </c>
      <c r="N86" s="94">
        <v>132.36000000000001</v>
      </c>
      <c r="O86" s="222">
        <v>1304.0755300000001</v>
      </c>
      <c r="P86" s="32">
        <v>1.1527751383989644E-3</v>
      </c>
      <c r="Q86" s="32">
        <v>1.1043503013743963E-4</v>
      </c>
      <c r="R86" s="18"/>
    </row>
    <row r="87" spans="2:18" x14ac:dyDescent="0.2">
      <c r="B87" s="218" t="s">
        <v>3442</v>
      </c>
      <c r="C87" s="32" t="s">
        <v>3328</v>
      </c>
      <c r="D87" s="32" t="s">
        <v>3451</v>
      </c>
      <c r="E87" s="32" t="s">
        <v>3444</v>
      </c>
      <c r="F87" s="94" t="s">
        <v>567</v>
      </c>
      <c r="G87" s="94" t="s">
        <v>3450</v>
      </c>
      <c r="H87" s="94" t="s">
        <v>243</v>
      </c>
      <c r="I87" s="103">
        <v>5.65</v>
      </c>
      <c r="J87" s="94" t="s">
        <v>244</v>
      </c>
      <c r="K87" s="32">
        <v>5.6600000000000004E-2</v>
      </c>
      <c r="L87" s="32">
        <v>3.5999999999999995E-3</v>
      </c>
      <c r="M87" s="154">
        <v>1010832.93</v>
      </c>
      <c r="N87" s="94">
        <v>135.46</v>
      </c>
      <c r="O87" s="222">
        <v>1369.2742800000001</v>
      </c>
      <c r="P87" s="32">
        <v>1.2104094519994116E-3</v>
      </c>
      <c r="Q87" s="32">
        <v>1.1595635597749538E-4</v>
      </c>
      <c r="R87" s="18"/>
    </row>
    <row r="88" spans="2:18" x14ac:dyDescent="0.2">
      <c r="B88" s="218" t="s">
        <v>3442</v>
      </c>
      <c r="C88" s="32" t="s">
        <v>3328</v>
      </c>
      <c r="D88" s="32" t="s">
        <v>3452</v>
      </c>
      <c r="E88" s="32" t="s">
        <v>3444</v>
      </c>
      <c r="F88" s="94" t="s">
        <v>567</v>
      </c>
      <c r="G88" s="94" t="s">
        <v>3450</v>
      </c>
      <c r="H88" s="94" t="s">
        <v>243</v>
      </c>
      <c r="I88" s="103">
        <v>5.63</v>
      </c>
      <c r="J88" s="94" t="s">
        <v>244</v>
      </c>
      <c r="K88" s="32">
        <v>5.5300000000000002E-2</v>
      </c>
      <c r="L88" s="32">
        <v>6.899999999999999E-3</v>
      </c>
      <c r="M88" s="154">
        <v>3727434.83</v>
      </c>
      <c r="N88" s="94">
        <v>132.12</v>
      </c>
      <c r="O88" s="222">
        <v>4924.6868899999999</v>
      </c>
      <c r="P88" s="32">
        <v>4.3533188688781813E-3</v>
      </c>
      <c r="Q88" s="32">
        <v>4.1704482033690473E-4</v>
      </c>
      <c r="R88" s="18"/>
    </row>
    <row r="89" spans="2:18" x14ac:dyDescent="0.2">
      <c r="B89" s="218" t="s">
        <v>3442</v>
      </c>
      <c r="C89" s="32" t="s">
        <v>3328</v>
      </c>
      <c r="D89" s="32" t="s">
        <v>3453</v>
      </c>
      <c r="E89" s="32" t="s">
        <v>3444</v>
      </c>
      <c r="F89" s="94" t="s">
        <v>567</v>
      </c>
      <c r="G89" s="94" t="s">
        <v>3450</v>
      </c>
      <c r="H89" s="94" t="s">
        <v>243</v>
      </c>
      <c r="I89" s="103">
        <v>5.63</v>
      </c>
      <c r="J89" s="94" t="s">
        <v>244</v>
      </c>
      <c r="K89" s="32">
        <v>5.5500000000000001E-2</v>
      </c>
      <c r="L89" s="32">
        <v>6.899999999999999E-3</v>
      </c>
      <c r="M89" s="154">
        <v>2169265.88</v>
      </c>
      <c r="N89" s="94">
        <v>132.19999999999999</v>
      </c>
      <c r="O89" s="222">
        <v>2867.7694900000001</v>
      </c>
      <c r="P89" s="32">
        <v>2.5350474682483133E-3</v>
      </c>
      <c r="Q89" s="32">
        <v>2.4285572635150964E-4</v>
      </c>
      <c r="R89" s="18"/>
    </row>
    <row r="90" spans="2:18" x14ac:dyDescent="0.2">
      <c r="B90" s="218" t="s">
        <v>3442</v>
      </c>
      <c r="C90" s="32" t="s">
        <v>3328</v>
      </c>
      <c r="D90" s="32" t="s">
        <v>3454</v>
      </c>
      <c r="E90" s="32" t="s">
        <v>3444</v>
      </c>
      <c r="F90" s="94" t="s">
        <v>567</v>
      </c>
      <c r="G90" s="94" t="s">
        <v>3450</v>
      </c>
      <c r="H90" s="94" t="s">
        <v>243</v>
      </c>
      <c r="I90" s="103">
        <v>5.63</v>
      </c>
      <c r="J90" s="94" t="s">
        <v>244</v>
      </c>
      <c r="K90" s="32">
        <v>5.5E-2</v>
      </c>
      <c r="L90" s="32">
        <v>6.9999999999999993E-3</v>
      </c>
      <c r="M90" s="154">
        <v>1527989.98</v>
      </c>
      <c r="N90" s="94">
        <v>130.30000000000001</v>
      </c>
      <c r="O90" s="222">
        <v>1990.9709399999999</v>
      </c>
      <c r="P90" s="32">
        <v>1.7599761272315386E-3</v>
      </c>
      <c r="Q90" s="32">
        <v>1.6860444867151714E-4</v>
      </c>
      <c r="R90" s="18"/>
    </row>
    <row r="91" spans="2:18" x14ac:dyDescent="0.2">
      <c r="B91" s="218" t="s">
        <v>3442</v>
      </c>
      <c r="C91" s="32" t="s">
        <v>3328</v>
      </c>
      <c r="D91" s="32" t="s">
        <v>3455</v>
      </c>
      <c r="E91" s="32" t="s">
        <v>3444</v>
      </c>
      <c r="F91" s="94" t="s">
        <v>567</v>
      </c>
      <c r="G91" s="94" t="s">
        <v>3450</v>
      </c>
      <c r="H91" s="94" t="s">
        <v>243</v>
      </c>
      <c r="I91" s="103">
        <v>5.63</v>
      </c>
      <c r="J91" s="94" t="s">
        <v>244</v>
      </c>
      <c r="K91" s="32">
        <v>5.5E-2</v>
      </c>
      <c r="L91" s="32">
        <v>6.9999999999999993E-3</v>
      </c>
      <c r="M91" s="154">
        <v>2811606.36</v>
      </c>
      <c r="N91" s="94">
        <v>130.30000000000001</v>
      </c>
      <c r="O91" s="222">
        <v>3663.5230799999999</v>
      </c>
      <c r="P91" s="32">
        <v>3.2384767817664672E-3</v>
      </c>
      <c r="Q91" s="32">
        <v>3.1024374926274834E-4</v>
      </c>
      <c r="R91" s="18"/>
    </row>
    <row r="92" spans="2:18" x14ac:dyDescent="0.2">
      <c r="B92" s="218" t="s">
        <v>3442</v>
      </c>
      <c r="C92" s="32" t="s">
        <v>3328</v>
      </c>
      <c r="D92" s="32" t="s">
        <v>3456</v>
      </c>
      <c r="E92" s="32" t="s">
        <v>3444</v>
      </c>
      <c r="F92" s="94" t="s">
        <v>567</v>
      </c>
      <c r="G92" s="94" t="s">
        <v>3450</v>
      </c>
      <c r="H92" s="94" t="s">
        <v>243</v>
      </c>
      <c r="I92" s="103">
        <v>5.53</v>
      </c>
      <c r="J92" s="94" t="s">
        <v>244</v>
      </c>
      <c r="K92" s="32">
        <v>5.5E-2</v>
      </c>
      <c r="L92" s="32">
        <v>1.6399999999999998E-2</v>
      </c>
      <c r="M92" s="154">
        <v>1246783.3700000001</v>
      </c>
      <c r="N92" s="94">
        <v>124.04</v>
      </c>
      <c r="O92" s="222">
        <v>1546.51009</v>
      </c>
      <c r="P92" s="32">
        <v>1.3670821528528681E-3</v>
      </c>
      <c r="Q92" s="32">
        <v>1.3096548817000228E-4</v>
      </c>
      <c r="R92" s="18"/>
    </row>
    <row r="93" spans="2:18" x14ac:dyDescent="0.2">
      <c r="B93" s="218" t="s">
        <v>3442</v>
      </c>
      <c r="C93" s="32" t="s">
        <v>3328</v>
      </c>
      <c r="D93" s="32" t="s">
        <v>3457</v>
      </c>
      <c r="E93" s="32" t="s">
        <v>3444</v>
      </c>
      <c r="F93" s="94" t="s">
        <v>567</v>
      </c>
      <c r="G93" s="94" t="s">
        <v>3450</v>
      </c>
      <c r="H93" s="94" t="s">
        <v>243</v>
      </c>
      <c r="I93" s="103">
        <v>5.63</v>
      </c>
      <c r="J93" s="94" t="s">
        <v>244</v>
      </c>
      <c r="K93" s="32">
        <v>5.5E-2</v>
      </c>
      <c r="L93" s="32">
        <v>7.0000000000000001E-3</v>
      </c>
      <c r="M93" s="154">
        <v>1572253.7</v>
      </c>
      <c r="N93" s="94">
        <v>129.19</v>
      </c>
      <c r="O93" s="222">
        <v>2031.1945499999999</v>
      </c>
      <c r="P93" s="32">
        <v>1.7955329462331618E-3</v>
      </c>
      <c r="Q93" s="32">
        <v>1.7201076638885565E-4</v>
      </c>
      <c r="R93" s="18"/>
    </row>
    <row r="94" spans="2:18" x14ac:dyDescent="0.2">
      <c r="B94" s="218" t="s">
        <v>3442</v>
      </c>
      <c r="C94" s="32" t="s">
        <v>3328</v>
      </c>
      <c r="D94" s="32" t="s">
        <v>3458</v>
      </c>
      <c r="E94" s="32" t="s">
        <v>3444</v>
      </c>
      <c r="F94" s="94" t="s">
        <v>567</v>
      </c>
      <c r="G94" s="94" t="s">
        <v>3450</v>
      </c>
      <c r="H94" s="94" t="s">
        <v>243</v>
      </c>
      <c r="I94" s="103">
        <v>5.67</v>
      </c>
      <c r="J94" s="94" t="s">
        <v>244</v>
      </c>
      <c r="K94" s="32">
        <v>5.5E-2</v>
      </c>
      <c r="L94" s="32">
        <v>3.7000000000000002E-3</v>
      </c>
      <c r="M94" s="154">
        <v>359474.26</v>
      </c>
      <c r="N94" s="94">
        <v>131.63</v>
      </c>
      <c r="O94" s="222">
        <v>473.17596000000003</v>
      </c>
      <c r="P94" s="32">
        <v>4.1827752321682077E-4</v>
      </c>
      <c r="Q94" s="32">
        <v>4.0070686245383294E-5</v>
      </c>
      <c r="R94" s="18"/>
    </row>
    <row r="95" spans="2:18" x14ac:dyDescent="0.2">
      <c r="B95" s="218" t="s">
        <v>3442</v>
      </c>
      <c r="C95" s="32" t="s">
        <v>3328</v>
      </c>
      <c r="D95" s="32" t="s">
        <v>3459</v>
      </c>
      <c r="E95" s="32" t="s">
        <v>3444</v>
      </c>
      <c r="F95" s="94" t="s">
        <v>567</v>
      </c>
      <c r="G95" s="94" t="s">
        <v>3450</v>
      </c>
      <c r="H95" s="94" t="s">
        <v>243</v>
      </c>
      <c r="I95" s="103">
        <v>5.63</v>
      </c>
      <c r="J95" s="94" t="s">
        <v>244</v>
      </c>
      <c r="K95" s="32">
        <v>5.0999999999999997E-2</v>
      </c>
      <c r="L95" s="32">
        <v>6.8999999999999999E-3</v>
      </c>
      <c r="M95" s="154">
        <v>3172367.98</v>
      </c>
      <c r="N95" s="94">
        <v>129.43</v>
      </c>
      <c r="O95" s="222">
        <v>4105.9958699999997</v>
      </c>
      <c r="P95" s="32">
        <v>3.6296133532271904E-3</v>
      </c>
      <c r="Q95" s="32">
        <v>3.4771435182719259E-4</v>
      </c>
      <c r="R95" s="18"/>
    </row>
    <row r="96" spans="2:18" x14ac:dyDescent="0.2">
      <c r="B96" s="218" t="s">
        <v>3442</v>
      </c>
      <c r="C96" s="32" t="s">
        <v>3328</v>
      </c>
      <c r="D96" s="32" t="s">
        <v>3460</v>
      </c>
      <c r="E96" s="32" t="s">
        <v>3444</v>
      </c>
      <c r="F96" s="94" t="s">
        <v>567</v>
      </c>
      <c r="G96" s="94" t="s">
        <v>3450</v>
      </c>
      <c r="H96" s="94" t="s">
        <v>243</v>
      </c>
      <c r="I96" s="103">
        <v>5.67</v>
      </c>
      <c r="J96" s="94" t="s">
        <v>244</v>
      </c>
      <c r="K96" s="32">
        <v>5.5E-2</v>
      </c>
      <c r="L96" s="32">
        <v>3.7000000000000002E-3</v>
      </c>
      <c r="M96" s="154">
        <v>863107.86</v>
      </c>
      <c r="N96" s="94">
        <v>132.5</v>
      </c>
      <c r="O96" s="222">
        <v>1143.6179099999999</v>
      </c>
      <c r="P96" s="32">
        <v>1.0109340020173403E-3</v>
      </c>
      <c r="Q96" s="32">
        <v>9.6846751166756198E-5</v>
      </c>
      <c r="R96" s="18"/>
    </row>
    <row r="97" spans="2:18" x14ac:dyDescent="0.2">
      <c r="B97" s="218" t="s">
        <v>3442</v>
      </c>
      <c r="C97" s="32" t="s">
        <v>3328</v>
      </c>
      <c r="D97" s="32" t="s">
        <v>3461</v>
      </c>
      <c r="E97" s="32" t="s">
        <v>3444</v>
      </c>
      <c r="F97" s="94" t="s">
        <v>567</v>
      </c>
      <c r="G97" s="94" t="s">
        <v>3450</v>
      </c>
      <c r="H97" s="94" t="s">
        <v>243</v>
      </c>
      <c r="I97" s="103">
        <v>5.63</v>
      </c>
      <c r="J97" s="94" t="s">
        <v>244</v>
      </c>
      <c r="K97" s="32">
        <v>5.5E-2</v>
      </c>
      <c r="L97" s="32">
        <v>6.9999999999999993E-3</v>
      </c>
      <c r="M97" s="154">
        <v>1746527.89</v>
      </c>
      <c r="N97" s="94">
        <v>129.79</v>
      </c>
      <c r="O97" s="222">
        <v>2266.8185400000002</v>
      </c>
      <c r="P97" s="32">
        <v>2.0038195611061255E-3</v>
      </c>
      <c r="Q97" s="32">
        <v>1.9196447446644975E-4</v>
      </c>
      <c r="R97" s="18"/>
    </row>
    <row r="98" spans="2:18" x14ac:dyDescent="0.2">
      <c r="B98" s="218" t="s">
        <v>3442</v>
      </c>
      <c r="C98" s="32" t="s">
        <v>3328</v>
      </c>
      <c r="D98" s="32" t="s">
        <v>3462</v>
      </c>
      <c r="E98" s="32" t="s">
        <v>3444</v>
      </c>
      <c r="F98" s="94" t="s">
        <v>567</v>
      </c>
      <c r="G98" s="94" t="s">
        <v>3450</v>
      </c>
      <c r="H98" s="94" t="s">
        <v>243</v>
      </c>
      <c r="I98" s="103">
        <v>5.63</v>
      </c>
      <c r="J98" s="94" t="s">
        <v>244</v>
      </c>
      <c r="K98" s="32">
        <v>5.5E-2</v>
      </c>
      <c r="L98" s="32">
        <v>7.0000000000000001E-3</v>
      </c>
      <c r="M98" s="154">
        <v>2707356.21</v>
      </c>
      <c r="N98" s="94">
        <v>130.02000000000001</v>
      </c>
      <c r="O98" s="222">
        <v>3520.1045399999998</v>
      </c>
      <c r="P98" s="32">
        <v>3.1116978310890648E-3</v>
      </c>
      <c r="Q98" s="32">
        <v>2.9809841686227945E-4</v>
      </c>
      <c r="R98" s="18"/>
    </row>
    <row r="99" spans="2:18" x14ac:dyDescent="0.2">
      <c r="B99" s="218" t="s">
        <v>3442</v>
      </c>
      <c r="C99" s="32" t="s">
        <v>3328</v>
      </c>
      <c r="D99" s="32" t="s">
        <v>3463</v>
      </c>
      <c r="E99" s="32" t="s">
        <v>3444</v>
      </c>
      <c r="F99" s="94" t="s">
        <v>567</v>
      </c>
      <c r="G99" s="94" t="s">
        <v>3450</v>
      </c>
      <c r="H99" s="94" t="s">
        <v>243</v>
      </c>
      <c r="I99" s="103">
        <v>5.67</v>
      </c>
      <c r="J99" s="94" t="s">
        <v>244</v>
      </c>
      <c r="K99" s="32">
        <v>5.5E-2</v>
      </c>
      <c r="L99" s="32">
        <v>3.7000000000000006E-3</v>
      </c>
      <c r="M99" s="154">
        <v>1185067.45</v>
      </c>
      <c r="N99" s="94">
        <v>132.21</v>
      </c>
      <c r="O99" s="222">
        <v>1566.7776699999999</v>
      </c>
      <c r="P99" s="32">
        <v>1.3849982641531942E-3</v>
      </c>
      <c r="Q99" s="32">
        <v>1.3268183876214397E-4</v>
      </c>
      <c r="R99" s="18"/>
    </row>
    <row r="100" spans="2:18" x14ac:dyDescent="0.2">
      <c r="B100" s="218" t="s">
        <v>3442</v>
      </c>
      <c r="C100" s="32" t="s">
        <v>3328</v>
      </c>
      <c r="D100" s="32" t="s">
        <v>3464</v>
      </c>
      <c r="E100" s="32" t="s">
        <v>3444</v>
      </c>
      <c r="F100" s="94" t="s">
        <v>567</v>
      </c>
      <c r="G100" s="94" t="s">
        <v>3450</v>
      </c>
      <c r="H100" s="94" t="s">
        <v>243</v>
      </c>
      <c r="I100" s="103">
        <v>5.67</v>
      </c>
      <c r="J100" s="94" t="s">
        <v>244</v>
      </c>
      <c r="K100" s="32">
        <v>5.5E-2</v>
      </c>
      <c r="L100" s="32">
        <v>3.7000000000000002E-3</v>
      </c>
      <c r="M100" s="154">
        <v>434044.11</v>
      </c>
      <c r="N100" s="94">
        <v>131.68</v>
      </c>
      <c r="O100" s="222">
        <v>571.54928000000007</v>
      </c>
      <c r="P100" s="32">
        <v>5.0523745381053848E-4</v>
      </c>
      <c r="Q100" s="32">
        <v>4.8401385126697324E-5</v>
      </c>
      <c r="R100" s="18"/>
    </row>
    <row r="101" spans="2:18" x14ac:dyDescent="0.2">
      <c r="B101" s="218" t="s">
        <v>3442</v>
      </c>
      <c r="C101" s="32" t="s">
        <v>3328</v>
      </c>
      <c r="D101" s="32" t="s">
        <v>3465</v>
      </c>
      <c r="E101" s="32" t="s">
        <v>3444</v>
      </c>
      <c r="F101" s="94" t="s">
        <v>567</v>
      </c>
      <c r="G101" s="94" t="s">
        <v>3450</v>
      </c>
      <c r="H101" s="94" t="s">
        <v>243</v>
      </c>
      <c r="I101" s="103">
        <v>5.67</v>
      </c>
      <c r="J101" s="94" t="s">
        <v>244</v>
      </c>
      <c r="K101" s="32">
        <v>5.5E-2</v>
      </c>
      <c r="L101" s="32">
        <v>3.7000000000000002E-3</v>
      </c>
      <c r="M101" s="154">
        <v>715045.67</v>
      </c>
      <c r="N101" s="94">
        <v>131.55000000000001</v>
      </c>
      <c r="O101" s="222">
        <v>940.64256999999998</v>
      </c>
      <c r="P101" s="32">
        <v>8.315081020005854E-4</v>
      </c>
      <c r="Q101" s="32">
        <v>7.9657878839662502E-5</v>
      </c>
      <c r="R101" s="18"/>
    </row>
    <row r="102" spans="2:18" x14ac:dyDescent="0.2">
      <c r="B102" s="218" t="s">
        <v>3442</v>
      </c>
      <c r="C102" s="32" t="s">
        <v>3328</v>
      </c>
      <c r="D102" s="32" t="s">
        <v>3466</v>
      </c>
      <c r="E102" s="32" t="s">
        <v>3444</v>
      </c>
      <c r="F102" s="94" t="s">
        <v>567</v>
      </c>
      <c r="G102" s="94" t="s">
        <v>3450</v>
      </c>
      <c r="H102" s="94" t="s">
        <v>243</v>
      </c>
      <c r="I102" s="103">
        <v>5.66</v>
      </c>
      <c r="J102" s="94" t="s">
        <v>244</v>
      </c>
      <c r="K102" s="32">
        <v>5.5E-2</v>
      </c>
      <c r="L102" s="32">
        <v>4.0999999999999986E-3</v>
      </c>
      <c r="M102" s="154">
        <v>627951.71</v>
      </c>
      <c r="N102" s="94">
        <v>130.24</v>
      </c>
      <c r="O102" s="222">
        <v>817.84430000000009</v>
      </c>
      <c r="P102" s="32">
        <v>7.2295703311088446E-4</v>
      </c>
      <c r="Q102" s="32">
        <v>6.9258764420058726E-5</v>
      </c>
      <c r="R102" s="18"/>
    </row>
    <row r="103" spans="2:18" x14ac:dyDescent="0.2">
      <c r="B103" s="218" t="s">
        <v>3442</v>
      </c>
      <c r="C103" s="32" t="s">
        <v>3328</v>
      </c>
      <c r="D103" s="32" t="s">
        <v>3467</v>
      </c>
      <c r="E103" s="32" t="s">
        <v>3444</v>
      </c>
      <c r="F103" s="94" t="s">
        <v>567</v>
      </c>
      <c r="G103" s="94" t="s">
        <v>3450</v>
      </c>
      <c r="H103" s="94" t="s">
        <v>243</v>
      </c>
      <c r="I103" s="103">
        <v>5.49</v>
      </c>
      <c r="J103" s="94" t="s">
        <v>244</v>
      </c>
      <c r="K103" s="32">
        <v>5.5E-2</v>
      </c>
      <c r="L103" s="32">
        <v>1.9699999999999999E-2</v>
      </c>
      <c r="M103" s="154">
        <v>1957746.59</v>
      </c>
      <c r="N103" s="94">
        <v>119.14</v>
      </c>
      <c r="O103" s="222">
        <v>2332.4592799999996</v>
      </c>
      <c r="P103" s="32">
        <v>2.0618445845019028E-3</v>
      </c>
      <c r="Q103" s="32">
        <v>1.9752323002422312E-4</v>
      </c>
      <c r="R103" s="18"/>
    </row>
    <row r="104" spans="2:18" x14ac:dyDescent="0.2">
      <c r="B104" s="218" t="s">
        <v>3442</v>
      </c>
      <c r="C104" s="32" t="s">
        <v>3328</v>
      </c>
      <c r="D104" s="32" t="s">
        <v>3468</v>
      </c>
      <c r="E104" s="32" t="s">
        <v>3444</v>
      </c>
      <c r="F104" s="94" t="s">
        <v>567</v>
      </c>
      <c r="G104" s="94" t="s">
        <v>3450</v>
      </c>
      <c r="H104" s="94" t="s">
        <v>243</v>
      </c>
      <c r="I104" s="103">
        <v>5.49</v>
      </c>
      <c r="J104" s="94" t="s">
        <v>244</v>
      </c>
      <c r="K104" s="32">
        <v>5.5E-2</v>
      </c>
      <c r="L104" s="32">
        <v>1.9699999999999999E-2</v>
      </c>
      <c r="M104" s="154">
        <v>1432473.56</v>
      </c>
      <c r="N104" s="94">
        <v>118.91</v>
      </c>
      <c r="O104" s="222">
        <v>1703.3543100000002</v>
      </c>
      <c r="P104" s="32">
        <v>1.5057291201934619E-3</v>
      </c>
      <c r="Q104" s="32">
        <v>1.4424776804115611E-4</v>
      </c>
      <c r="R104" s="18"/>
    </row>
    <row r="105" spans="2:18" x14ac:dyDescent="0.2">
      <c r="B105" s="218" t="s">
        <v>3442</v>
      </c>
      <c r="C105" s="32" t="s">
        <v>3328</v>
      </c>
      <c r="D105" s="32" t="s">
        <v>3469</v>
      </c>
      <c r="E105" s="32" t="s">
        <v>3444</v>
      </c>
      <c r="F105" s="94" t="s">
        <v>567</v>
      </c>
      <c r="G105" s="94" t="s">
        <v>697</v>
      </c>
      <c r="H105" s="94" t="s">
        <v>243</v>
      </c>
      <c r="I105" s="103">
        <v>5.65</v>
      </c>
      <c r="J105" s="94" t="s">
        <v>244</v>
      </c>
      <c r="K105" s="32">
        <v>5.5E-2</v>
      </c>
      <c r="L105" s="32">
        <v>5.5000000000000005E-3</v>
      </c>
      <c r="M105" s="154">
        <v>180386.99</v>
      </c>
      <c r="N105" s="94">
        <v>128.53</v>
      </c>
      <c r="O105" s="222">
        <v>231.85139000000001</v>
      </c>
      <c r="P105" s="32">
        <v>2.0495171640498634E-4</v>
      </c>
      <c r="Q105" s="32">
        <v>1.9634227200058933E-5</v>
      </c>
      <c r="R105" s="18"/>
    </row>
    <row r="106" spans="2:18" x14ac:dyDescent="0.2">
      <c r="B106" s="218" t="s">
        <v>3442</v>
      </c>
      <c r="C106" s="32" t="s">
        <v>3328</v>
      </c>
      <c r="D106" s="32" t="s">
        <v>3472</v>
      </c>
      <c r="E106" s="32" t="s">
        <v>3444</v>
      </c>
      <c r="F106" s="94" t="s">
        <v>567</v>
      </c>
      <c r="G106" s="94" t="s">
        <v>3473</v>
      </c>
      <c r="H106" s="94" t="s">
        <v>243</v>
      </c>
      <c r="I106" s="103">
        <v>5.63</v>
      </c>
      <c r="J106" s="94" t="s">
        <v>244</v>
      </c>
      <c r="K106" s="32">
        <v>5.5E-2</v>
      </c>
      <c r="L106" s="32">
        <v>7.0000000000000001E-3</v>
      </c>
      <c r="M106" s="154">
        <v>2052243.86</v>
      </c>
      <c r="N106" s="94">
        <v>127.6</v>
      </c>
      <c r="O106" s="222">
        <v>2618.6631600000001</v>
      </c>
      <c r="P106" s="32">
        <v>2.3148427504726429E-3</v>
      </c>
      <c r="Q106" s="32">
        <v>2.2176027257746558E-4</v>
      </c>
      <c r="R106" s="18"/>
    </row>
    <row r="107" spans="2:18" x14ac:dyDescent="0.2">
      <c r="B107" s="218" t="s">
        <v>3442</v>
      </c>
      <c r="C107" s="32" t="s">
        <v>3328</v>
      </c>
      <c r="D107" s="32" t="s">
        <v>3474</v>
      </c>
      <c r="E107" s="32" t="s">
        <v>3444</v>
      </c>
      <c r="F107" s="94" t="s">
        <v>567</v>
      </c>
      <c r="G107" s="94" t="s">
        <v>3475</v>
      </c>
      <c r="H107" s="94" t="s">
        <v>243</v>
      </c>
      <c r="I107" s="103">
        <v>5.63</v>
      </c>
      <c r="J107" s="94" t="s">
        <v>244</v>
      </c>
      <c r="K107" s="32">
        <v>5.5E-2</v>
      </c>
      <c r="L107" s="32">
        <v>6.9999999999999993E-3</v>
      </c>
      <c r="M107" s="154">
        <v>396948.07</v>
      </c>
      <c r="N107" s="94">
        <v>127.47</v>
      </c>
      <c r="O107" s="222">
        <v>505.98970000000003</v>
      </c>
      <c r="P107" s="32">
        <v>4.4728417413518251E-4</v>
      </c>
      <c r="Q107" s="32">
        <v>4.2849502565801565E-5</v>
      </c>
      <c r="R107" s="18"/>
    </row>
    <row r="108" spans="2:18" x14ac:dyDescent="0.2">
      <c r="B108" s="218" t="s">
        <v>3442</v>
      </c>
      <c r="C108" s="32" t="s">
        <v>3328</v>
      </c>
      <c r="D108" s="32" t="s">
        <v>3476</v>
      </c>
      <c r="E108" s="32" t="s">
        <v>3444</v>
      </c>
      <c r="F108" s="94" t="s">
        <v>567</v>
      </c>
      <c r="G108" s="94" t="s">
        <v>3477</v>
      </c>
      <c r="H108" s="94" t="s">
        <v>243</v>
      </c>
      <c r="I108" s="103">
        <v>5.63</v>
      </c>
      <c r="J108" s="94" t="s">
        <v>244</v>
      </c>
      <c r="K108" s="32">
        <v>5.5E-2</v>
      </c>
      <c r="L108" s="32">
        <v>6.9999999999999993E-3</v>
      </c>
      <c r="M108" s="154">
        <v>382059.84</v>
      </c>
      <c r="N108" s="94">
        <v>128.24</v>
      </c>
      <c r="O108" s="222">
        <v>489.95353</v>
      </c>
      <c r="P108" s="32">
        <v>4.331085396217895E-4</v>
      </c>
      <c r="Q108" s="32">
        <v>4.1491486962794964E-5</v>
      </c>
      <c r="R108" s="18"/>
    </row>
    <row r="109" spans="2:18" x14ac:dyDescent="0.2">
      <c r="B109" s="218" t="s">
        <v>3442</v>
      </c>
      <c r="C109" s="32" t="s">
        <v>3328</v>
      </c>
      <c r="D109" s="32" t="s">
        <v>3478</v>
      </c>
      <c r="E109" s="32" t="s">
        <v>3444</v>
      </c>
      <c r="F109" s="94" t="s">
        <v>567</v>
      </c>
      <c r="G109" s="94" t="s">
        <v>3479</v>
      </c>
      <c r="H109" s="94" t="s">
        <v>243</v>
      </c>
      <c r="I109" s="103">
        <v>5.63</v>
      </c>
      <c r="J109" s="94" t="s">
        <v>244</v>
      </c>
      <c r="K109" s="32">
        <v>5.5E-2</v>
      </c>
      <c r="L109" s="32">
        <v>6.9999999999999993E-3</v>
      </c>
      <c r="M109" s="154">
        <v>760891.66</v>
      </c>
      <c r="N109" s="94">
        <v>128.49</v>
      </c>
      <c r="O109" s="222">
        <v>977.66968999999995</v>
      </c>
      <c r="P109" s="32">
        <v>8.642392915678914E-4</v>
      </c>
      <c r="Q109" s="32">
        <v>8.2793503287045996E-5</v>
      </c>
      <c r="R109" s="18"/>
    </row>
    <row r="110" spans="2:18" x14ac:dyDescent="0.2">
      <c r="B110" s="218" t="s">
        <v>3442</v>
      </c>
      <c r="C110" s="32" t="s">
        <v>3328</v>
      </c>
      <c r="D110" s="32" t="s">
        <v>3480</v>
      </c>
      <c r="E110" s="32" t="s">
        <v>3444</v>
      </c>
      <c r="F110" s="94" t="s">
        <v>567</v>
      </c>
      <c r="G110" s="94" t="s">
        <v>3481</v>
      </c>
      <c r="H110" s="94" t="s">
        <v>243</v>
      </c>
      <c r="I110" s="103">
        <v>5.63</v>
      </c>
      <c r="J110" s="94" t="s">
        <v>244</v>
      </c>
      <c r="K110" s="32">
        <v>5.5E-2</v>
      </c>
      <c r="L110" s="32">
        <v>7.0000000000000001E-3</v>
      </c>
      <c r="M110" s="154">
        <v>479018.84</v>
      </c>
      <c r="N110" s="94">
        <v>127.98</v>
      </c>
      <c r="O110" s="222">
        <v>613.04831000000001</v>
      </c>
      <c r="P110" s="32">
        <v>5.4192171706918019E-4</v>
      </c>
      <c r="Q110" s="32">
        <v>5.1915711193934019E-5</v>
      </c>
      <c r="R110" s="18"/>
    </row>
    <row r="111" spans="2:18" x14ac:dyDescent="0.2">
      <c r="B111" s="218" t="s">
        <v>3442</v>
      </c>
      <c r="C111" s="32" t="s">
        <v>3328</v>
      </c>
      <c r="D111" s="32" t="s">
        <v>3482</v>
      </c>
      <c r="E111" s="32" t="s">
        <v>3444</v>
      </c>
      <c r="F111" s="94" t="s">
        <v>567</v>
      </c>
      <c r="G111" s="94" t="s">
        <v>3483</v>
      </c>
      <c r="H111" s="94" t="s">
        <v>243</v>
      </c>
      <c r="I111" s="103">
        <v>5.63</v>
      </c>
      <c r="J111" s="94" t="s">
        <v>244</v>
      </c>
      <c r="K111" s="32">
        <v>5.5E-2</v>
      </c>
      <c r="L111" s="32">
        <v>7.0000000000000001E-3</v>
      </c>
      <c r="M111" s="154">
        <v>269328.34000000003</v>
      </c>
      <c r="N111" s="94">
        <v>127.86</v>
      </c>
      <c r="O111" s="222">
        <v>344.36321000000004</v>
      </c>
      <c r="P111" s="32">
        <v>3.044097814390104E-4</v>
      </c>
      <c r="Q111" s="32">
        <v>2.9162238382446649E-5</v>
      </c>
      <c r="R111" s="18"/>
    </row>
    <row r="112" spans="2:18" x14ac:dyDescent="0.2">
      <c r="B112" s="218" t="s">
        <v>3442</v>
      </c>
      <c r="C112" s="32" t="s">
        <v>3328</v>
      </c>
      <c r="D112" s="32" t="s">
        <v>3484</v>
      </c>
      <c r="E112" s="32" t="s">
        <v>3444</v>
      </c>
      <c r="F112" s="94" t="s">
        <v>567</v>
      </c>
      <c r="G112" s="94" t="s">
        <v>3485</v>
      </c>
      <c r="H112" s="94" t="s">
        <v>243</v>
      </c>
      <c r="I112" s="103">
        <v>5.63</v>
      </c>
      <c r="J112" s="94" t="s">
        <v>244</v>
      </c>
      <c r="K112" s="32">
        <v>5.5E-2</v>
      </c>
      <c r="L112" s="32">
        <v>6.9999999999999993E-3</v>
      </c>
      <c r="M112" s="154">
        <v>800687.73</v>
      </c>
      <c r="N112" s="94">
        <v>127.48</v>
      </c>
      <c r="O112" s="222">
        <v>1020.7167099999999</v>
      </c>
      <c r="P112" s="32">
        <v>9.022919451884704E-4</v>
      </c>
      <c r="Q112" s="32">
        <v>8.6438920167943199E-5</v>
      </c>
      <c r="R112" s="18"/>
    </row>
    <row r="113" spans="2:18" x14ac:dyDescent="0.2">
      <c r="B113" s="218" t="s">
        <v>3442</v>
      </c>
      <c r="C113" s="32" t="s">
        <v>3328</v>
      </c>
      <c r="D113" s="32" t="s">
        <v>3487</v>
      </c>
      <c r="E113" s="32" t="s">
        <v>3444</v>
      </c>
      <c r="F113" s="94" t="s">
        <v>567</v>
      </c>
      <c r="G113" s="94" t="s">
        <v>3488</v>
      </c>
      <c r="H113" s="94" t="s">
        <v>243</v>
      </c>
      <c r="I113" s="103">
        <v>5.63</v>
      </c>
      <c r="J113" s="94" t="s">
        <v>244</v>
      </c>
      <c r="K113" s="32">
        <v>5.5E-2</v>
      </c>
      <c r="L113" s="32">
        <v>6.9999999999999993E-3</v>
      </c>
      <c r="M113" s="154">
        <v>314267.76</v>
      </c>
      <c r="N113" s="94">
        <v>127.48</v>
      </c>
      <c r="O113" s="222">
        <v>400.62853999999999</v>
      </c>
      <c r="P113" s="32">
        <v>3.5414714103643597E-4</v>
      </c>
      <c r="Q113" s="32">
        <v>3.3927041701962185E-5</v>
      </c>
      <c r="R113" s="18"/>
    </row>
    <row r="114" spans="2:18" x14ac:dyDescent="0.2">
      <c r="B114" s="218" t="s">
        <v>3442</v>
      </c>
      <c r="C114" s="32" t="s">
        <v>3328</v>
      </c>
      <c r="D114" s="32" t="s">
        <v>3495</v>
      </c>
      <c r="E114" s="32" t="s">
        <v>3444</v>
      </c>
      <c r="F114" s="94" t="s">
        <v>567</v>
      </c>
      <c r="G114" s="94" t="s">
        <v>3496</v>
      </c>
      <c r="H114" s="94" t="s">
        <v>243</v>
      </c>
      <c r="I114" s="103">
        <v>5.63</v>
      </c>
      <c r="J114" s="94" t="s">
        <v>244</v>
      </c>
      <c r="K114" s="32">
        <v>5.5E-2</v>
      </c>
      <c r="L114" s="32">
        <v>6.8999999999999999E-3</v>
      </c>
      <c r="M114" s="154">
        <v>2091689.93</v>
      </c>
      <c r="N114" s="94">
        <v>127.73</v>
      </c>
      <c r="O114" s="222">
        <v>2671.7155400000001</v>
      </c>
      <c r="P114" s="32">
        <v>2.3617399303444975E-3</v>
      </c>
      <c r="Q114" s="32">
        <v>2.2625298871957656E-4</v>
      </c>
      <c r="R114" s="18"/>
    </row>
    <row r="115" spans="2:18" x14ac:dyDescent="0.2">
      <c r="B115" s="218" t="s">
        <v>3442</v>
      </c>
      <c r="C115" s="32" t="s">
        <v>3328</v>
      </c>
      <c r="D115" s="32" t="s">
        <v>3503</v>
      </c>
      <c r="E115" s="32" t="s">
        <v>3444</v>
      </c>
      <c r="F115" s="94" t="s">
        <v>567</v>
      </c>
      <c r="G115" s="94" t="s">
        <v>3504</v>
      </c>
      <c r="H115" s="94" t="s">
        <v>243</v>
      </c>
      <c r="I115" s="103">
        <v>5.63</v>
      </c>
      <c r="J115" s="94" t="s">
        <v>244</v>
      </c>
      <c r="K115" s="32">
        <v>5.0999999999999997E-2</v>
      </c>
      <c r="L115" s="32">
        <v>6.8999999999999999E-3</v>
      </c>
      <c r="M115" s="154">
        <v>4086370.51</v>
      </c>
      <c r="N115" s="94">
        <v>128.88999999999999</v>
      </c>
      <c r="O115" s="222">
        <v>5266.9229500000001</v>
      </c>
      <c r="P115" s="32">
        <v>4.6558482947862169E-3</v>
      </c>
      <c r="Q115" s="32">
        <v>4.4602692201027838E-4</v>
      </c>
      <c r="R115" s="18"/>
    </row>
    <row r="116" spans="2:18" x14ac:dyDescent="0.2">
      <c r="B116" s="218" t="s">
        <v>3442</v>
      </c>
      <c r="C116" s="32" t="s">
        <v>3328</v>
      </c>
      <c r="D116" s="32" t="s">
        <v>3538</v>
      </c>
      <c r="E116" s="32" t="s">
        <v>3444</v>
      </c>
      <c r="F116" s="94" t="s">
        <v>567</v>
      </c>
      <c r="G116" s="94" t="s">
        <v>3539</v>
      </c>
      <c r="H116" s="94" t="s">
        <v>243</v>
      </c>
      <c r="I116" s="103">
        <v>5.63</v>
      </c>
      <c r="J116" s="94" t="s">
        <v>244</v>
      </c>
      <c r="K116" s="32">
        <v>5.0999999999999997E-2</v>
      </c>
      <c r="L116" s="32">
        <v>6.899999999999999E-3</v>
      </c>
      <c r="M116" s="154">
        <v>5022901.33</v>
      </c>
      <c r="N116" s="94">
        <v>129.4</v>
      </c>
      <c r="O116" s="222">
        <v>6499.6343200000001</v>
      </c>
      <c r="P116" s="32">
        <v>5.7455390277744564E-3</v>
      </c>
      <c r="Q116" s="32">
        <v>5.5041851142743014E-4</v>
      </c>
      <c r="R116" s="18"/>
    </row>
    <row r="117" spans="2:18" x14ac:dyDescent="0.2">
      <c r="B117" s="218" t="s">
        <v>3614</v>
      </c>
      <c r="C117" s="32" t="s">
        <v>238</v>
      </c>
      <c r="D117" s="32" t="s">
        <v>3617</v>
      </c>
      <c r="E117" s="32" t="s">
        <v>3616</v>
      </c>
      <c r="F117" s="94" t="s">
        <v>567</v>
      </c>
      <c r="G117" s="94" t="s">
        <v>3048</v>
      </c>
      <c r="H117" s="94" t="s">
        <v>243</v>
      </c>
      <c r="I117" s="103">
        <v>10.61</v>
      </c>
      <c r="J117" s="94" t="s">
        <v>244</v>
      </c>
      <c r="K117" s="32">
        <v>2.98E-2</v>
      </c>
      <c r="L117" s="32">
        <v>1.9199999999999998E-2</v>
      </c>
      <c r="M117" s="154">
        <v>27894136.460000001</v>
      </c>
      <c r="N117" s="94">
        <v>111.74</v>
      </c>
      <c r="O117" s="222">
        <v>31168.908079999997</v>
      </c>
      <c r="P117" s="32">
        <v>2.7552654350984251E-2</v>
      </c>
      <c r="Q117" s="32">
        <v>2.6395244937736737E-3</v>
      </c>
      <c r="R117" s="18"/>
    </row>
    <row r="118" spans="2:18" x14ac:dyDescent="0.2">
      <c r="B118" s="218" t="s">
        <v>3636</v>
      </c>
      <c r="C118" s="32" t="s">
        <v>3328</v>
      </c>
      <c r="D118" s="32" t="s">
        <v>3637</v>
      </c>
      <c r="E118" s="32" t="s">
        <v>3638</v>
      </c>
      <c r="F118" s="94" t="s">
        <v>345</v>
      </c>
      <c r="G118" s="94" t="s">
        <v>2828</v>
      </c>
      <c r="H118" s="94" t="s">
        <v>346</v>
      </c>
      <c r="I118" s="103">
        <v>2.86</v>
      </c>
      <c r="J118" s="94" t="s">
        <v>127</v>
      </c>
      <c r="K118" s="32">
        <v>4.1593800000000007E-2</v>
      </c>
      <c r="L118" s="32">
        <v>4.2800000000000005E-2</v>
      </c>
      <c r="M118" s="154">
        <v>1513567.92</v>
      </c>
      <c r="N118" s="94">
        <v>100</v>
      </c>
      <c r="O118" s="222">
        <v>5230.8907300000001</v>
      </c>
      <c r="P118" s="32">
        <v>4.6239965757394509E-3</v>
      </c>
      <c r="Q118" s="32">
        <v>4.4297555020697581E-4</v>
      </c>
      <c r="R118" s="18"/>
    </row>
    <row r="119" spans="2:18" x14ac:dyDescent="0.2">
      <c r="B119" s="218" t="s">
        <v>3636</v>
      </c>
      <c r="C119" s="32" t="s">
        <v>3328</v>
      </c>
      <c r="D119" s="32" t="s">
        <v>3658</v>
      </c>
      <c r="E119" s="32" t="s">
        <v>3638</v>
      </c>
      <c r="F119" s="94" t="s">
        <v>345</v>
      </c>
      <c r="G119" s="94" t="s">
        <v>3659</v>
      </c>
      <c r="H119" s="94" t="s">
        <v>346</v>
      </c>
      <c r="I119" s="103">
        <v>6.03</v>
      </c>
      <c r="J119" s="94" t="s">
        <v>128</v>
      </c>
      <c r="K119" s="32">
        <v>8.6199999999999992E-3</v>
      </c>
      <c r="L119" s="32">
        <v>9.0000000000000011E-3</v>
      </c>
      <c r="M119" s="154">
        <v>2230208.25</v>
      </c>
      <c r="N119" s="94">
        <v>99.86</v>
      </c>
      <c r="O119" s="222">
        <v>8637.084789999999</v>
      </c>
      <c r="P119" s="32">
        <v>7.6349999559886216E-3</v>
      </c>
      <c r="Q119" s="32">
        <v>7.3142751101485E-4</v>
      </c>
      <c r="R119" s="18"/>
    </row>
    <row r="120" spans="2:18" x14ac:dyDescent="0.2">
      <c r="B120" s="218" t="s">
        <v>3636</v>
      </c>
      <c r="C120" s="32" t="s">
        <v>3328</v>
      </c>
      <c r="D120" s="32" t="s">
        <v>3660</v>
      </c>
      <c r="E120" s="32" t="s">
        <v>3638</v>
      </c>
      <c r="F120" s="94" t="s">
        <v>345</v>
      </c>
      <c r="G120" s="94" t="s">
        <v>3659</v>
      </c>
      <c r="H120" s="94" t="s">
        <v>346</v>
      </c>
      <c r="I120" s="103">
        <v>6.04</v>
      </c>
      <c r="J120" s="94" t="s">
        <v>128</v>
      </c>
      <c r="K120" s="32">
        <v>9.1199995231628413E-3</v>
      </c>
      <c r="L120" s="32">
        <v>9.300000000000001E-3</v>
      </c>
      <c r="M120" s="154">
        <v>74088.84</v>
      </c>
      <c r="N120" s="94">
        <v>100</v>
      </c>
      <c r="O120" s="222">
        <v>287.33136999999999</v>
      </c>
      <c r="P120" s="32">
        <v>2.5399484324202759E-4</v>
      </c>
      <c r="Q120" s="32">
        <v>2.4332523519846902E-5</v>
      </c>
      <c r="R120" s="18"/>
    </row>
    <row r="121" spans="2:18" x14ac:dyDescent="0.2">
      <c r="B121" s="218" t="s">
        <v>3636</v>
      </c>
      <c r="C121" s="32" t="s">
        <v>238</v>
      </c>
      <c r="D121" s="32" t="s">
        <v>3661</v>
      </c>
      <c r="E121" s="32" t="s">
        <v>3638</v>
      </c>
      <c r="F121" s="94" t="s">
        <v>345</v>
      </c>
      <c r="G121" s="94" t="s">
        <v>3662</v>
      </c>
      <c r="H121" s="94" t="s">
        <v>346</v>
      </c>
      <c r="I121" s="103">
        <v>6.03</v>
      </c>
      <c r="J121" s="94" t="s">
        <v>128</v>
      </c>
      <c r="K121" s="32">
        <v>8.6199999999999992E-3</v>
      </c>
      <c r="L121" s="32">
        <v>9.0000000000000011E-3</v>
      </c>
      <c r="M121" s="154">
        <v>724462.34</v>
      </c>
      <c r="N121" s="94">
        <v>99.86</v>
      </c>
      <c r="O121" s="222">
        <v>2805.6763900000001</v>
      </c>
      <c r="P121" s="32">
        <v>2.4801584834468573E-3</v>
      </c>
      <c r="Q121" s="32">
        <v>2.3759740103823038E-4</v>
      </c>
      <c r="R121" s="18"/>
    </row>
    <row r="122" spans="2:18" x14ac:dyDescent="0.2">
      <c r="B122" s="218" t="s">
        <v>3388</v>
      </c>
      <c r="C122" s="32" t="s">
        <v>3328</v>
      </c>
      <c r="D122" s="32" t="s">
        <v>3389</v>
      </c>
      <c r="E122" s="32" t="s">
        <v>3390</v>
      </c>
      <c r="F122" s="94" t="s">
        <v>345</v>
      </c>
      <c r="G122" s="94" t="s">
        <v>3391</v>
      </c>
      <c r="H122" s="94" t="s">
        <v>346</v>
      </c>
      <c r="I122" s="103">
        <v>4.18</v>
      </c>
      <c r="J122" s="94" t="s">
        <v>244</v>
      </c>
      <c r="K122" s="32">
        <v>5.5E-2</v>
      </c>
      <c r="L122" s="32">
        <v>1.4900000000000002E-2</v>
      </c>
      <c r="M122" s="154">
        <v>356976.57</v>
      </c>
      <c r="N122" s="94">
        <v>140.02000000000001</v>
      </c>
      <c r="O122" s="222">
        <v>499.83859000000001</v>
      </c>
      <c r="P122" s="32">
        <v>4.4184672322192351E-4</v>
      </c>
      <c r="Q122" s="32">
        <v>4.2328598674422894E-5</v>
      </c>
      <c r="R122" s="18"/>
    </row>
    <row r="123" spans="2:18" x14ac:dyDescent="0.2">
      <c r="B123" s="218" t="s">
        <v>3388</v>
      </c>
      <c r="C123" s="32" t="s">
        <v>3328</v>
      </c>
      <c r="D123" s="32" t="s">
        <v>3529</v>
      </c>
      <c r="E123" s="32" t="s">
        <v>3390</v>
      </c>
      <c r="F123" s="94" t="s">
        <v>345</v>
      </c>
      <c r="G123" s="94" t="s">
        <v>3530</v>
      </c>
      <c r="H123" s="94" t="s">
        <v>346</v>
      </c>
      <c r="I123" s="103">
        <v>4.33</v>
      </c>
      <c r="J123" s="94" t="s">
        <v>244</v>
      </c>
      <c r="K123" s="32">
        <v>2.5600000000000001E-2</v>
      </c>
      <c r="L123" s="32">
        <v>6.0999999999999995E-3</v>
      </c>
      <c r="M123" s="154">
        <v>3375923.92</v>
      </c>
      <c r="N123" s="94">
        <v>109.52</v>
      </c>
      <c r="O123" s="222">
        <v>3697.31187</v>
      </c>
      <c r="P123" s="32">
        <v>3.2683453562259417E-3</v>
      </c>
      <c r="Q123" s="32">
        <v>3.1310513723922361E-4</v>
      </c>
      <c r="R123" s="18"/>
    </row>
    <row r="124" spans="2:18" x14ac:dyDescent="0.2">
      <c r="B124" s="218" t="s">
        <v>3406</v>
      </c>
      <c r="C124" s="32" t="s">
        <v>3328</v>
      </c>
      <c r="D124" s="32" t="s">
        <v>3407</v>
      </c>
      <c r="E124" s="32" t="s">
        <v>3408</v>
      </c>
      <c r="F124" s="94" t="s">
        <v>345</v>
      </c>
      <c r="G124" s="94" t="s">
        <v>3409</v>
      </c>
      <c r="H124" s="94" t="s">
        <v>346</v>
      </c>
      <c r="I124" s="103">
        <v>6.79</v>
      </c>
      <c r="J124" s="94" t="s">
        <v>244</v>
      </c>
      <c r="K124" s="32">
        <v>4.8000000000000001E-2</v>
      </c>
      <c r="L124" s="32">
        <v>1.7000000000000001E-3</v>
      </c>
      <c r="M124" s="154">
        <v>125284.06</v>
      </c>
      <c r="N124" s="94">
        <v>137.69999999999999</v>
      </c>
      <c r="O124" s="222">
        <v>172.51614999999998</v>
      </c>
      <c r="P124" s="32">
        <v>1.5250062141132766E-4</v>
      </c>
      <c r="Q124" s="32">
        <v>1.4609449979055319E-5</v>
      </c>
      <c r="R124" s="18"/>
    </row>
    <row r="125" spans="2:18" x14ac:dyDescent="0.2">
      <c r="B125" s="218" t="s">
        <v>3406</v>
      </c>
      <c r="C125" s="32" t="s">
        <v>3328</v>
      </c>
      <c r="D125" s="32" t="s">
        <v>3486</v>
      </c>
      <c r="E125" s="32" t="s">
        <v>3408</v>
      </c>
      <c r="F125" s="94" t="s">
        <v>345</v>
      </c>
      <c r="G125" s="94" t="s">
        <v>723</v>
      </c>
      <c r="H125" s="94" t="s">
        <v>346</v>
      </c>
      <c r="I125" s="103">
        <v>6.71</v>
      </c>
      <c r="J125" s="94" t="s">
        <v>244</v>
      </c>
      <c r="K125" s="32">
        <v>4.8000000000000001E-2</v>
      </c>
      <c r="L125" s="32">
        <v>6.8000000000000005E-3</v>
      </c>
      <c r="M125" s="154">
        <v>205715.25</v>
      </c>
      <c r="N125" s="94">
        <v>131.41</v>
      </c>
      <c r="O125" s="222">
        <v>270.33040999999997</v>
      </c>
      <c r="P125" s="32">
        <v>2.3896635481013799E-4</v>
      </c>
      <c r="Q125" s="32">
        <v>2.2892805124114558E-5</v>
      </c>
      <c r="R125" s="18"/>
    </row>
    <row r="126" spans="2:18" x14ac:dyDescent="0.2">
      <c r="B126" s="218" t="s">
        <v>3406</v>
      </c>
      <c r="C126" s="32" t="s">
        <v>3328</v>
      </c>
      <c r="D126" s="32" t="s">
        <v>3493</v>
      </c>
      <c r="E126" s="32" t="s">
        <v>3408</v>
      </c>
      <c r="F126" s="94" t="s">
        <v>345</v>
      </c>
      <c r="G126" s="94" t="s">
        <v>3494</v>
      </c>
      <c r="H126" s="94" t="s">
        <v>346</v>
      </c>
      <c r="I126" s="103">
        <v>6.73</v>
      </c>
      <c r="J126" s="94" t="s">
        <v>244</v>
      </c>
      <c r="K126" s="32">
        <v>4.8000000000000001E-2</v>
      </c>
      <c r="L126" s="32">
        <v>5.3000000000000009E-3</v>
      </c>
      <c r="M126" s="154">
        <v>278166.83</v>
      </c>
      <c r="N126" s="94">
        <v>132.97</v>
      </c>
      <c r="O126" s="222">
        <v>369.87842999999998</v>
      </c>
      <c r="P126" s="32">
        <v>3.2696469531488077E-4</v>
      </c>
      <c r="Q126" s="32">
        <v>3.1322982928940358E-5</v>
      </c>
      <c r="R126" s="18"/>
    </row>
    <row r="127" spans="2:18" x14ac:dyDescent="0.2">
      <c r="B127" s="218" t="s">
        <v>3406</v>
      </c>
      <c r="C127" s="32" t="s">
        <v>3328</v>
      </c>
      <c r="D127" s="32" t="s">
        <v>3521</v>
      </c>
      <c r="E127" s="32" t="s">
        <v>3408</v>
      </c>
      <c r="F127" s="94" t="s">
        <v>345</v>
      </c>
      <c r="G127" s="94" t="s">
        <v>3522</v>
      </c>
      <c r="H127" s="94" t="s">
        <v>346</v>
      </c>
      <c r="I127" s="103">
        <v>6.7</v>
      </c>
      <c r="J127" s="94" t="s">
        <v>244</v>
      </c>
      <c r="K127" s="32">
        <v>4.8000000000000001E-2</v>
      </c>
      <c r="L127" s="32">
        <v>8.5000000000000006E-3</v>
      </c>
      <c r="M127" s="154">
        <v>98236.1</v>
      </c>
      <c r="N127" s="94">
        <v>131.1</v>
      </c>
      <c r="O127" s="222">
        <v>128.78752</v>
      </c>
      <c r="P127" s="32">
        <v>1.1384543899237139E-4</v>
      </c>
      <c r="Q127" s="32">
        <v>1.0906311272113288E-5</v>
      </c>
      <c r="R127" s="18"/>
    </row>
    <row r="128" spans="2:18" x14ac:dyDescent="0.2">
      <c r="B128" s="218" t="s">
        <v>3406</v>
      </c>
      <c r="C128" s="32" t="s">
        <v>3328</v>
      </c>
      <c r="D128" s="32" t="s">
        <v>3527</v>
      </c>
      <c r="E128" s="32" t="s">
        <v>3408</v>
      </c>
      <c r="F128" s="94" t="s">
        <v>345</v>
      </c>
      <c r="G128" s="94" t="s">
        <v>3528</v>
      </c>
      <c r="H128" s="94" t="s">
        <v>346</v>
      </c>
      <c r="I128" s="103">
        <v>6.7</v>
      </c>
      <c r="J128" s="94" t="s">
        <v>244</v>
      </c>
      <c r="K128" s="32">
        <v>4.8000000000000001E-2</v>
      </c>
      <c r="L128" s="32">
        <v>7.6E-3</v>
      </c>
      <c r="M128" s="154">
        <v>51060.58</v>
      </c>
      <c r="N128" s="94">
        <v>130.93</v>
      </c>
      <c r="O128" s="222">
        <v>66.853610000000003</v>
      </c>
      <c r="P128" s="32">
        <v>5.909717477807469E-5</v>
      </c>
      <c r="Q128" s="32">
        <v>5.6614668899941986E-6</v>
      </c>
      <c r="R128" s="18"/>
    </row>
    <row r="129" spans="2:18" x14ac:dyDescent="0.2">
      <c r="B129" s="218" t="s">
        <v>3406</v>
      </c>
      <c r="C129" s="32" t="s">
        <v>3328</v>
      </c>
      <c r="D129" s="32" t="s">
        <v>3531</v>
      </c>
      <c r="E129" s="32" t="s">
        <v>3408</v>
      </c>
      <c r="F129" s="94" t="s">
        <v>345</v>
      </c>
      <c r="G129" s="94" t="s">
        <v>3532</v>
      </c>
      <c r="H129" s="94" t="s">
        <v>346</v>
      </c>
      <c r="I129" s="103">
        <v>6.69</v>
      </c>
      <c r="J129" s="94" t="s">
        <v>244</v>
      </c>
      <c r="K129" s="32">
        <v>4.8000000000000001E-2</v>
      </c>
      <c r="L129" s="32">
        <v>8.0000000000000002E-3</v>
      </c>
      <c r="M129" s="154">
        <v>75869.02</v>
      </c>
      <c r="N129" s="94">
        <v>131.74</v>
      </c>
      <c r="O129" s="222">
        <v>99.949839999999995</v>
      </c>
      <c r="P129" s="32">
        <v>8.8353540871175104E-5</v>
      </c>
      <c r="Q129" s="32">
        <v>8.4642057447640846E-6</v>
      </c>
      <c r="R129" s="18"/>
    </row>
    <row r="130" spans="2:18" x14ac:dyDescent="0.2">
      <c r="B130" s="218" t="s">
        <v>3406</v>
      </c>
      <c r="C130" s="32" t="s">
        <v>3328</v>
      </c>
      <c r="D130" s="32" t="s">
        <v>3533</v>
      </c>
      <c r="E130" s="32" t="s">
        <v>3408</v>
      </c>
      <c r="F130" s="94" t="s">
        <v>345</v>
      </c>
      <c r="G130" s="94" t="s">
        <v>3532</v>
      </c>
      <c r="H130" s="94" t="s">
        <v>346</v>
      </c>
      <c r="I130" s="103">
        <v>6.69</v>
      </c>
      <c r="J130" s="94" t="s">
        <v>244</v>
      </c>
      <c r="K130" s="32">
        <v>4.8000000000000001E-2</v>
      </c>
      <c r="L130" s="32">
        <v>8.0000000000000002E-3</v>
      </c>
      <c r="M130" s="154">
        <v>10118.120000000001</v>
      </c>
      <c r="N130" s="94">
        <v>131.74</v>
      </c>
      <c r="O130" s="222">
        <v>13.329610000000001</v>
      </c>
      <c r="P130" s="32">
        <v>1.1783092818676092E-5</v>
      </c>
      <c r="Q130" s="32">
        <v>1.1288118273872655E-6</v>
      </c>
      <c r="R130" s="18"/>
    </row>
    <row r="131" spans="2:18" x14ac:dyDescent="0.2">
      <c r="B131" s="218" t="s">
        <v>3357</v>
      </c>
      <c r="C131" s="32" t="s">
        <v>238</v>
      </c>
      <c r="D131" s="32" t="s">
        <v>3358</v>
      </c>
      <c r="E131" s="32" t="s">
        <v>3359</v>
      </c>
      <c r="F131" s="94" t="s">
        <v>642</v>
      </c>
      <c r="G131" s="94" t="s">
        <v>3360</v>
      </c>
      <c r="H131" s="94" t="s">
        <v>346</v>
      </c>
      <c r="I131" s="103">
        <v>0</v>
      </c>
      <c r="J131" s="94" t="s">
        <v>244</v>
      </c>
      <c r="K131" s="32">
        <v>0</v>
      </c>
      <c r="L131" s="32">
        <v>0</v>
      </c>
      <c r="M131" s="154">
        <v>-64508.170378161783</v>
      </c>
      <c r="N131" s="94">
        <v>75</v>
      </c>
      <c r="O131" s="222">
        <v>-48.381127297510147</v>
      </c>
      <c r="P131" s="32">
        <v>-4.2767891455094759E-5</v>
      </c>
      <c r="Q131" s="32">
        <v>-4.0971332781497986E-6</v>
      </c>
      <c r="R131" s="18"/>
    </row>
    <row r="132" spans="2:18" x14ac:dyDescent="0.2">
      <c r="B132" s="218" t="s">
        <v>3614</v>
      </c>
      <c r="C132" s="32" t="s">
        <v>238</v>
      </c>
      <c r="D132" s="32" t="s">
        <v>3615</v>
      </c>
      <c r="E132" s="32" t="s">
        <v>3616</v>
      </c>
      <c r="F132" s="94" t="s">
        <v>838</v>
      </c>
      <c r="G132" s="94" t="s">
        <v>3048</v>
      </c>
      <c r="H132" s="94" t="s">
        <v>243</v>
      </c>
      <c r="I132" s="103">
        <v>4.8099999999999996</v>
      </c>
      <c r="J132" s="94" t="s">
        <v>244</v>
      </c>
      <c r="K132" s="32">
        <v>2.1099999999999997E-2</v>
      </c>
      <c r="L132" s="32">
        <v>1.95E-2</v>
      </c>
      <c r="M132" s="154">
        <v>4942848.93</v>
      </c>
      <c r="N132" s="94">
        <v>100.82</v>
      </c>
      <c r="O132" s="222">
        <v>4983.3802900000001</v>
      </c>
      <c r="P132" s="32">
        <v>4.4052025909108354E-3</v>
      </c>
      <c r="Q132" s="32">
        <v>4.2201524363582888E-4</v>
      </c>
      <c r="R132" s="18"/>
    </row>
    <row r="133" spans="2:18" x14ac:dyDescent="0.2">
      <c r="B133" s="218" t="s">
        <v>3392</v>
      </c>
      <c r="C133" s="32" t="s">
        <v>3328</v>
      </c>
      <c r="D133" s="32" t="s">
        <v>3393</v>
      </c>
      <c r="E133" s="32" t="s">
        <v>3394</v>
      </c>
      <c r="F133" s="94" t="s">
        <v>642</v>
      </c>
      <c r="G133" s="94" t="s">
        <v>3395</v>
      </c>
      <c r="H133" s="94" t="s">
        <v>346</v>
      </c>
      <c r="I133" s="103">
        <v>6.56</v>
      </c>
      <c r="J133" s="94" t="s">
        <v>244</v>
      </c>
      <c r="K133" s="32">
        <v>0.05</v>
      </c>
      <c r="L133" s="32">
        <v>1.1000000000000001E-3</v>
      </c>
      <c r="M133" s="154">
        <v>751080.05</v>
      </c>
      <c r="N133" s="94">
        <v>138.15</v>
      </c>
      <c r="O133" s="222">
        <v>1037.61708</v>
      </c>
      <c r="P133" s="32">
        <v>9.1723151419161215E-4</v>
      </c>
      <c r="Q133" s="32">
        <v>8.787012014627872E-5</v>
      </c>
      <c r="R133" s="18"/>
    </row>
    <row r="134" spans="2:18" x14ac:dyDescent="0.2">
      <c r="B134" s="218" t="s">
        <v>3392</v>
      </c>
      <c r="C134" s="32" t="s">
        <v>3328</v>
      </c>
      <c r="D134" s="32" t="s">
        <v>3400</v>
      </c>
      <c r="E134" s="32" t="s">
        <v>3394</v>
      </c>
      <c r="F134" s="94" t="s">
        <v>642</v>
      </c>
      <c r="G134" s="94" t="s">
        <v>3401</v>
      </c>
      <c r="H134" s="94" t="s">
        <v>346</v>
      </c>
      <c r="I134" s="103">
        <v>6.55</v>
      </c>
      <c r="J134" s="94" t="s">
        <v>244</v>
      </c>
      <c r="K134" s="32">
        <v>0.05</v>
      </c>
      <c r="L134" s="32">
        <v>1.1999999999999999E-3</v>
      </c>
      <c r="M134" s="154">
        <v>3894907.73</v>
      </c>
      <c r="N134" s="94">
        <v>137.97999999999999</v>
      </c>
      <c r="O134" s="222">
        <v>5374.1936799999994</v>
      </c>
      <c r="P134" s="32">
        <v>4.7506733473059179E-3</v>
      </c>
      <c r="Q134" s="32">
        <v>4.5511109392201964E-4</v>
      </c>
      <c r="R134" s="18"/>
    </row>
    <row r="135" spans="2:18" x14ac:dyDescent="0.2">
      <c r="B135" s="218" t="s">
        <v>3392</v>
      </c>
      <c r="C135" s="32" t="s">
        <v>3328</v>
      </c>
      <c r="D135" s="32" t="s">
        <v>3404</v>
      </c>
      <c r="E135" s="32" t="s">
        <v>3394</v>
      </c>
      <c r="F135" s="94" t="s">
        <v>642</v>
      </c>
      <c r="G135" s="94" t="s">
        <v>3405</v>
      </c>
      <c r="H135" s="94" t="s">
        <v>346</v>
      </c>
      <c r="I135" s="103">
        <v>6.55</v>
      </c>
      <c r="J135" s="94" t="s">
        <v>244</v>
      </c>
      <c r="K135" s="32">
        <v>0.05</v>
      </c>
      <c r="L135" s="32">
        <v>6.9999999999999999E-4</v>
      </c>
      <c r="M135" s="154">
        <v>1619692.92</v>
      </c>
      <c r="N135" s="94">
        <v>137.88</v>
      </c>
      <c r="O135" s="222">
        <v>2233.2325900000001</v>
      </c>
      <c r="P135" s="32">
        <v>1.9741302929089754E-3</v>
      </c>
      <c r="Q135" s="32">
        <v>1.8912026390109656E-4</v>
      </c>
      <c r="R135" s="18"/>
    </row>
    <row r="136" spans="2:18" x14ac:dyDescent="0.2">
      <c r="B136" s="218" t="s">
        <v>3392</v>
      </c>
      <c r="C136" s="32" t="s">
        <v>3328</v>
      </c>
      <c r="D136" s="32" t="s">
        <v>3426</v>
      </c>
      <c r="E136" s="32" t="s">
        <v>3394</v>
      </c>
      <c r="F136" s="94" t="s">
        <v>642</v>
      </c>
      <c r="G136" s="94" t="s">
        <v>3427</v>
      </c>
      <c r="H136" s="94" t="s">
        <v>346</v>
      </c>
      <c r="I136" s="103">
        <v>6.55</v>
      </c>
      <c r="J136" s="94" t="s">
        <v>244</v>
      </c>
      <c r="K136" s="32">
        <v>0.05</v>
      </c>
      <c r="L136" s="32">
        <v>1.7000000000000001E-3</v>
      </c>
      <c r="M136" s="154">
        <v>2540434.7200000002</v>
      </c>
      <c r="N136" s="94">
        <v>136.88</v>
      </c>
      <c r="O136" s="222">
        <v>3477.3470400000001</v>
      </c>
      <c r="P136" s="32">
        <v>3.0739011070142763E-3</v>
      </c>
      <c r="Q136" s="32">
        <v>2.9447751784801644E-4</v>
      </c>
      <c r="R136" s="18"/>
    </row>
    <row r="137" spans="2:18" x14ac:dyDescent="0.2">
      <c r="B137" s="218" t="s">
        <v>3392</v>
      </c>
      <c r="C137" s="32" t="s">
        <v>3328</v>
      </c>
      <c r="D137" s="32" t="s">
        <v>3439</v>
      </c>
      <c r="E137" s="32" t="s">
        <v>3394</v>
      </c>
      <c r="F137" s="94" t="s">
        <v>642</v>
      </c>
      <c r="G137" s="94" t="s">
        <v>3440</v>
      </c>
      <c r="H137" s="94" t="s">
        <v>346</v>
      </c>
      <c r="I137" s="103">
        <v>6.52</v>
      </c>
      <c r="J137" s="94" t="s">
        <v>244</v>
      </c>
      <c r="K137" s="32">
        <v>0.05</v>
      </c>
      <c r="L137" s="32">
        <v>3.4000000000000002E-3</v>
      </c>
      <c r="M137" s="154">
        <v>397393.85</v>
      </c>
      <c r="N137" s="94">
        <v>133.63999999999999</v>
      </c>
      <c r="O137" s="222">
        <v>531.07713999999999</v>
      </c>
      <c r="P137" s="32">
        <v>4.6946093955464849E-4</v>
      </c>
      <c r="Q137" s="32">
        <v>4.4974020761822932E-5</v>
      </c>
      <c r="R137" s="18"/>
    </row>
    <row r="138" spans="2:18" x14ac:dyDescent="0.2">
      <c r="B138" s="218" t="s">
        <v>3392</v>
      </c>
      <c r="C138" s="32" t="s">
        <v>3328</v>
      </c>
      <c r="D138" s="32" t="s">
        <v>3441</v>
      </c>
      <c r="E138" s="32" t="s">
        <v>3394</v>
      </c>
      <c r="F138" s="94" t="s">
        <v>642</v>
      </c>
      <c r="G138" s="94" t="s">
        <v>3440</v>
      </c>
      <c r="H138" s="94" t="s">
        <v>346</v>
      </c>
      <c r="I138" s="103">
        <v>2.25</v>
      </c>
      <c r="J138" s="94" t="s">
        <v>244</v>
      </c>
      <c r="K138" s="32">
        <v>0.05</v>
      </c>
      <c r="L138" s="32">
        <v>8.0000000000000004E-4</v>
      </c>
      <c r="M138" s="154">
        <v>234517.06</v>
      </c>
      <c r="N138" s="94">
        <v>111.79</v>
      </c>
      <c r="O138" s="222">
        <v>262.16662000000002</v>
      </c>
      <c r="P138" s="32">
        <v>2.3174973742056849E-4</v>
      </c>
      <c r="Q138" s="32">
        <v>2.2201458362408416E-5</v>
      </c>
      <c r="R138" s="18"/>
    </row>
    <row r="139" spans="2:18" x14ac:dyDescent="0.2">
      <c r="B139" s="218" t="s">
        <v>3392</v>
      </c>
      <c r="C139" s="32" t="s">
        <v>3328</v>
      </c>
      <c r="D139" s="32" t="s">
        <v>3470</v>
      </c>
      <c r="E139" s="32" t="s">
        <v>3394</v>
      </c>
      <c r="F139" s="94" t="s">
        <v>642</v>
      </c>
      <c r="G139" s="94" t="s">
        <v>3471</v>
      </c>
      <c r="H139" s="94" t="s">
        <v>346</v>
      </c>
      <c r="I139" s="103">
        <v>6.52</v>
      </c>
      <c r="J139" s="94" t="s">
        <v>244</v>
      </c>
      <c r="K139" s="32">
        <v>0.05</v>
      </c>
      <c r="L139" s="32">
        <v>3.7999999999999996E-3</v>
      </c>
      <c r="M139" s="154">
        <v>652409.24</v>
      </c>
      <c r="N139" s="94">
        <v>132.91999999999999</v>
      </c>
      <c r="O139" s="222">
        <v>867.18236000000002</v>
      </c>
      <c r="P139" s="32">
        <v>7.6657083279995329E-4</v>
      </c>
      <c r="Q139" s="32">
        <v>7.3436935099346608E-5</v>
      </c>
      <c r="R139" s="18"/>
    </row>
    <row r="140" spans="2:18" x14ac:dyDescent="0.2">
      <c r="B140" s="218" t="s">
        <v>3505</v>
      </c>
      <c r="C140" s="32" t="s">
        <v>3328</v>
      </c>
      <c r="D140" s="32" t="s">
        <v>3506</v>
      </c>
      <c r="E140" s="32" t="s">
        <v>3507</v>
      </c>
      <c r="F140" s="94" t="s">
        <v>642</v>
      </c>
      <c r="G140" s="94" t="s">
        <v>3508</v>
      </c>
      <c r="H140" s="94" t="s">
        <v>346</v>
      </c>
      <c r="I140" s="103">
        <v>6.05</v>
      </c>
      <c r="J140" s="94" t="s">
        <v>244</v>
      </c>
      <c r="K140" s="32">
        <v>4.7E-2</v>
      </c>
      <c r="L140" s="32">
        <v>7.000000000000001E-4</v>
      </c>
      <c r="M140" s="154">
        <v>464514.82</v>
      </c>
      <c r="N140" s="94">
        <v>133.32</v>
      </c>
      <c r="O140" s="222">
        <v>619.29115000000002</v>
      </c>
      <c r="P140" s="32">
        <v>5.4744025535890834E-4</v>
      </c>
      <c r="Q140" s="32">
        <v>5.2444383197727552E-5</v>
      </c>
      <c r="R140" s="18"/>
    </row>
    <row r="141" spans="2:18" x14ac:dyDescent="0.2">
      <c r="B141" s="218" t="s">
        <v>3505</v>
      </c>
      <c r="C141" s="32" t="s">
        <v>3328</v>
      </c>
      <c r="D141" s="32" t="s">
        <v>3509</v>
      </c>
      <c r="E141" s="32" t="s">
        <v>3507</v>
      </c>
      <c r="F141" s="94" t="s">
        <v>642</v>
      </c>
      <c r="G141" s="94" t="s">
        <v>3510</v>
      </c>
      <c r="H141" s="94" t="s">
        <v>346</v>
      </c>
      <c r="I141" s="103">
        <v>6.06</v>
      </c>
      <c r="J141" s="94" t="s">
        <v>244</v>
      </c>
      <c r="K141" s="32">
        <v>4.6100000000000002E-2</v>
      </c>
      <c r="L141" s="32">
        <v>7.0000000000000021E-4</v>
      </c>
      <c r="M141" s="154">
        <v>692563.2</v>
      </c>
      <c r="N141" s="94">
        <v>132.22</v>
      </c>
      <c r="O141" s="222">
        <v>915.70706000000007</v>
      </c>
      <c r="P141" s="32">
        <v>8.0946563948210018E-4</v>
      </c>
      <c r="Q141" s="32">
        <v>7.7546226765075677E-5</v>
      </c>
      <c r="R141" s="18"/>
    </row>
    <row r="142" spans="2:18" x14ac:dyDescent="0.2">
      <c r="B142" s="218" t="s">
        <v>3505</v>
      </c>
      <c r="C142" s="32" t="s">
        <v>3328</v>
      </c>
      <c r="D142" s="32" t="s">
        <v>3511</v>
      </c>
      <c r="E142" s="32" t="s">
        <v>3507</v>
      </c>
      <c r="F142" s="94" t="s">
        <v>642</v>
      </c>
      <c r="G142" s="94" t="s">
        <v>3512</v>
      </c>
      <c r="H142" s="94" t="s">
        <v>346</v>
      </c>
      <c r="I142" s="103">
        <v>6.04</v>
      </c>
      <c r="J142" s="94" t="s">
        <v>244</v>
      </c>
      <c r="K142" s="32">
        <v>4.7699999999999992E-2</v>
      </c>
      <c r="L142" s="32">
        <v>4.0000000000000002E-4</v>
      </c>
      <c r="M142" s="154">
        <v>785923.44</v>
      </c>
      <c r="N142" s="94">
        <v>132.18</v>
      </c>
      <c r="O142" s="222">
        <v>1038.8335999999999</v>
      </c>
      <c r="P142" s="32">
        <v>9.1830689209657535E-4</v>
      </c>
      <c r="Q142" s="32">
        <v>8.7973140577053002E-5</v>
      </c>
      <c r="R142" s="18"/>
    </row>
    <row r="143" spans="2:18" x14ac:dyDescent="0.2">
      <c r="B143" s="218" t="s">
        <v>3505</v>
      </c>
      <c r="C143" s="32" t="s">
        <v>3328</v>
      </c>
      <c r="D143" s="32" t="s">
        <v>3513</v>
      </c>
      <c r="E143" s="32" t="s">
        <v>3507</v>
      </c>
      <c r="F143" s="94" t="s">
        <v>642</v>
      </c>
      <c r="G143" s="94" t="s">
        <v>3514</v>
      </c>
      <c r="H143" s="94" t="s">
        <v>346</v>
      </c>
      <c r="I143" s="103">
        <v>6.04</v>
      </c>
      <c r="J143" s="94" t="s">
        <v>244</v>
      </c>
      <c r="K143" s="32">
        <v>4.7800000000000002E-2</v>
      </c>
      <c r="L143" s="32">
        <v>5.9999999999999995E-4</v>
      </c>
      <c r="M143" s="154">
        <v>839315.74</v>
      </c>
      <c r="N143" s="94">
        <v>132.25</v>
      </c>
      <c r="O143" s="222">
        <v>1109.99506</v>
      </c>
      <c r="P143" s="32">
        <v>9.8121211500200962E-4</v>
      </c>
      <c r="Q143" s="32">
        <v>9.3999415742053758E-5</v>
      </c>
      <c r="R143" s="18"/>
    </row>
    <row r="144" spans="2:18" x14ac:dyDescent="0.2">
      <c r="B144" s="218" t="s">
        <v>3505</v>
      </c>
      <c r="C144" s="32" t="s">
        <v>3328</v>
      </c>
      <c r="D144" s="32" t="s">
        <v>3515</v>
      </c>
      <c r="E144" s="32" t="s">
        <v>3507</v>
      </c>
      <c r="F144" s="94" t="s">
        <v>642</v>
      </c>
      <c r="G144" s="94" t="s">
        <v>3516</v>
      </c>
      <c r="H144" s="94" t="s">
        <v>346</v>
      </c>
      <c r="I144" s="103">
        <v>6.06</v>
      </c>
      <c r="J144" s="94" t="s">
        <v>244</v>
      </c>
      <c r="K144" s="32">
        <v>4.5899999999999996E-2</v>
      </c>
      <c r="L144" s="32">
        <v>5.9999999999999984E-4</v>
      </c>
      <c r="M144" s="154">
        <v>383274.44</v>
      </c>
      <c r="N144" s="94">
        <v>130.32</v>
      </c>
      <c r="O144" s="222">
        <v>499.48325</v>
      </c>
      <c r="P144" s="32">
        <v>4.415326101906954E-4</v>
      </c>
      <c r="Q144" s="32">
        <v>4.2298506871681191E-5</v>
      </c>
      <c r="R144" s="18"/>
    </row>
    <row r="145" spans="2:18" x14ac:dyDescent="0.2">
      <c r="B145" s="218" t="s">
        <v>3505</v>
      </c>
      <c r="C145" s="32" t="s">
        <v>3328</v>
      </c>
      <c r="D145" s="32" t="s">
        <v>3517</v>
      </c>
      <c r="E145" s="32" t="s">
        <v>3507</v>
      </c>
      <c r="F145" s="94" t="s">
        <v>642</v>
      </c>
      <c r="G145" s="94" t="s">
        <v>3518</v>
      </c>
      <c r="H145" s="94" t="s">
        <v>346</v>
      </c>
      <c r="I145" s="103">
        <v>6.09</v>
      </c>
      <c r="J145" s="94" t="s">
        <v>244</v>
      </c>
      <c r="K145" s="32">
        <v>4.2000000000000003E-2</v>
      </c>
      <c r="L145" s="32">
        <v>5.9999999999999995E-4</v>
      </c>
      <c r="M145" s="154">
        <v>492516.12</v>
      </c>
      <c r="N145" s="94">
        <v>128.69</v>
      </c>
      <c r="O145" s="222">
        <v>633.81898999999999</v>
      </c>
      <c r="P145" s="32">
        <v>5.6028255811006722E-4</v>
      </c>
      <c r="Q145" s="32">
        <v>5.3674666575740095E-5</v>
      </c>
      <c r="R145" s="18"/>
    </row>
    <row r="146" spans="2:18" x14ac:dyDescent="0.2">
      <c r="B146" s="218" t="s">
        <v>3505</v>
      </c>
      <c r="C146" s="32" t="s">
        <v>3328</v>
      </c>
      <c r="D146" s="32" t="s">
        <v>3519</v>
      </c>
      <c r="E146" s="32" t="s">
        <v>3507</v>
      </c>
      <c r="F146" s="94" t="s">
        <v>642</v>
      </c>
      <c r="G146" s="94" t="s">
        <v>3520</v>
      </c>
      <c r="H146" s="94" t="s">
        <v>346</v>
      </c>
      <c r="I146" s="103">
        <v>2.98</v>
      </c>
      <c r="J146" s="94" t="s">
        <v>244</v>
      </c>
      <c r="K146" s="32">
        <v>4.5199999999999997E-2</v>
      </c>
      <c r="L146" s="32">
        <v>-1.2999999999999999E-3</v>
      </c>
      <c r="M146" s="154">
        <v>753704.59</v>
      </c>
      <c r="N146" s="94">
        <v>114.93</v>
      </c>
      <c r="O146" s="222">
        <v>866.23268000000007</v>
      </c>
      <c r="P146" s="32">
        <v>7.6573133580131348E-4</v>
      </c>
      <c r="Q146" s="32">
        <v>7.3356511889947904E-5</v>
      </c>
      <c r="R146" s="18"/>
    </row>
    <row r="147" spans="2:18" x14ac:dyDescent="0.2">
      <c r="B147" s="218" t="s">
        <v>3641</v>
      </c>
      <c r="C147" s="32" t="s">
        <v>3328</v>
      </c>
      <c r="D147" s="32" t="s">
        <v>3642</v>
      </c>
      <c r="E147" s="32" t="s">
        <v>3643</v>
      </c>
      <c r="F147" s="94" t="s">
        <v>593</v>
      </c>
      <c r="G147" s="94" t="s">
        <v>3644</v>
      </c>
      <c r="H147" s="94" t="s">
        <v>243</v>
      </c>
      <c r="I147" s="103">
        <v>1.1000000000000001</v>
      </c>
      <c r="J147" s="94" t="s">
        <v>127</v>
      </c>
      <c r="K147" s="32">
        <v>5.1593800000000002E-2</v>
      </c>
      <c r="L147" s="32">
        <v>5.1799999999999999E-2</v>
      </c>
      <c r="M147" s="154">
        <v>2149673.58</v>
      </c>
      <c r="N147" s="94">
        <v>101.18</v>
      </c>
      <c r="O147" s="222">
        <v>7516.9372999999996</v>
      </c>
      <c r="P147" s="32">
        <v>6.6448133079713848E-3</v>
      </c>
      <c r="Q147" s="32">
        <v>6.365683414569891E-4</v>
      </c>
      <c r="R147" s="18"/>
    </row>
    <row r="148" spans="2:18" x14ac:dyDescent="0.2">
      <c r="B148" s="218" t="s">
        <v>3641</v>
      </c>
      <c r="C148" s="32" t="s">
        <v>238</v>
      </c>
      <c r="D148" s="32" t="s">
        <v>3645</v>
      </c>
      <c r="E148" s="32" t="s">
        <v>3643</v>
      </c>
      <c r="F148" s="94" t="s">
        <v>593</v>
      </c>
      <c r="G148" s="94" t="s">
        <v>947</v>
      </c>
      <c r="H148" s="94" t="s">
        <v>243</v>
      </c>
      <c r="I148" s="103">
        <v>1.1000000000000001</v>
      </c>
      <c r="J148" s="94" t="s">
        <v>127</v>
      </c>
      <c r="K148" s="32">
        <v>5.1593800000000002E-2</v>
      </c>
      <c r="L148" s="32">
        <v>5.1799999999999992E-2</v>
      </c>
      <c r="M148" s="154">
        <v>1074836.81</v>
      </c>
      <c r="N148" s="94">
        <v>101.18</v>
      </c>
      <c r="O148" s="222">
        <v>3758.4687200000003</v>
      </c>
      <c r="P148" s="32">
        <v>3.3224067158642095E-3</v>
      </c>
      <c r="Q148" s="32">
        <v>3.1828417665641205E-4</v>
      </c>
      <c r="R148" s="18"/>
    </row>
    <row r="149" spans="2:18" x14ac:dyDescent="0.2">
      <c r="B149" s="218" t="s">
        <v>3641</v>
      </c>
      <c r="C149" s="32" t="s">
        <v>238</v>
      </c>
      <c r="D149" s="32" t="s">
        <v>3655</v>
      </c>
      <c r="E149" s="32" t="s">
        <v>3643</v>
      </c>
      <c r="F149" s="94" t="s">
        <v>593</v>
      </c>
      <c r="G149" s="94" t="s">
        <v>1322</v>
      </c>
      <c r="H149" s="94" t="s">
        <v>243</v>
      </c>
      <c r="I149" s="103">
        <v>1.1000000000000001</v>
      </c>
      <c r="J149" s="94" t="s">
        <v>127</v>
      </c>
      <c r="K149" s="32">
        <v>5.1593800000000002E-2</v>
      </c>
      <c r="L149" s="32">
        <v>5.1799999999999999E-2</v>
      </c>
      <c r="M149" s="154">
        <v>1074836.71</v>
      </c>
      <c r="N149" s="94">
        <v>101.18</v>
      </c>
      <c r="O149" s="222">
        <v>3758.46837</v>
      </c>
      <c r="P149" s="32">
        <v>3.322406406471625E-3</v>
      </c>
      <c r="Q149" s="32">
        <v>3.1828414701682472E-4</v>
      </c>
      <c r="R149" s="18"/>
    </row>
    <row r="150" spans="2:18" x14ac:dyDescent="0.2">
      <c r="B150" s="218" t="s">
        <v>3641</v>
      </c>
      <c r="C150" s="32" t="s">
        <v>238</v>
      </c>
      <c r="D150" s="32" t="s">
        <v>3656</v>
      </c>
      <c r="E150" s="32" t="s">
        <v>3643</v>
      </c>
      <c r="F150" s="94" t="s">
        <v>593</v>
      </c>
      <c r="G150" s="94" t="s">
        <v>3657</v>
      </c>
      <c r="H150" s="94" t="s">
        <v>243</v>
      </c>
      <c r="I150" s="103">
        <v>1.1000000000000001</v>
      </c>
      <c r="J150" s="94" t="s">
        <v>127</v>
      </c>
      <c r="K150" s="32">
        <v>5.1593800000000002E-2</v>
      </c>
      <c r="L150" s="32">
        <v>5.1799999999999999E-2</v>
      </c>
      <c r="M150" s="154">
        <v>418954.44</v>
      </c>
      <c r="N150" s="94">
        <v>101.18</v>
      </c>
      <c r="O150" s="222">
        <v>1464.9918400000001</v>
      </c>
      <c r="P150" s="32">
        <v>1.2950217470220865E-3</v>
      </c>
      <c r="Q150" s="32">
        <v>1.2406215305757877E-4</v>
      </c>
      <c r="R150" s="18"/>
    </row>
    <row r="151" spans="2:18" x14ac:dyDescent="0.2">
      <c r="B151" s="218" t="s">
        <v>3641</v>
      </c>
      <c r="C151" s="32" t="s">
        <v>3328</v>
      </c>
      <c r="D151" s="32" t="s">
        <v>3673</v>
      </c>
      <c r="E151" s="32" t="s">
        <v>3643</v>
      </c>
      <c r="F151" s="94" t="s">
        <v>593</v>
      </c>
      <c r="G151" s="94" t="s">
        <v>3674</v>
      </c>
      <c r="H151" s="94" t="s">
        <v>243</v>
      </c>
      <c r="I151" s="103">
        <v>0</v>
      </c>
      <c r="J151" s="94" t="s">
        <v>127</v>
      </c>
      <c r="K151" s="32">
        <v>5.0308800000000001E-2</v>
      </c>
      <c r="L151" s="32">
        <v>0</v>
      </c>
      <c r="M151" s="154">
        <v>-132919.54999999999</v>
      </c>
      <c r="N151" s="94">
        <v>34.451999999999998</v>
      </c>
      <c r="O151" s="222">
        <v>-158.26239000000001</v>
      </c>
      <c r="P151" s="32">
        <v>-1.3990059957309442E-4</v>
      </c>
      <c r="Q151" s="32">
        <v>-1.3402376938453271E-5</v>
      </c>
      <c r="R151" s="18"/>
    </row>
    <row r="152" spans="2:18" x14ac:dyDescent="0.2">
      <c r="B152" s="218" t="s">
        <v>3380</v>
      </c>
      <c r="C152" s="32" t="s">
        <v>3328</v>
      </c>
      <c r="D152" s="32" t="s">
        <v>3381</v>
      </c>
      <c r="E152" s="32" t="s">
        <v>3382</v>
      </c>
      <c r="F152" s="94" t="s">
        <v>2561</v>
      </c>
      <c r="G152" s="94" t="s">
        <v>3383</v>
      </c>
      <c r="H152" s="94" t="s">
        <v>3293</v>
      </c>
      <c r="I152" s="103">
        <v>1.59</v>
      </c>
      <c r="J152" s="94" t="s">
        <v>244</v>
      </c>
      <c r="K152" s="32">
        <v>4.0500000000000001E-2</v>
      </c>
      <c r="L152" s="32">
        <v>1.1999999999999999E-3</v>
      </c>
      <c r="M152" s="154">
        <v>11072589.699999999</v>
      </c>
      <c r="N152" s="94">
        <v>110.45</v>
      </c>
      <c r="O152" s="222">
        <v>12229.67532</v>
      </c>
      <c r="P152" s="32">
        <v>1.0810773866439621E-2</v>
      </c>
      <c r="Q152" s="32">
        <v>1.0356643702495527E-3</v>
      </c>
      <c r="R152" s="18"/>
    </row>
    <row r="153" spans="2:18" x14ac:dyDescent="0.2">
      <c r="B153" s="218" t="s">
        <v>3435</v>
      </c>
      <c r="C153" s="32" t="s">
        <v>238</v>
      </c>
      <c r="D153" s="32" t="s">
        <v>3436</v>
      </c>
      <c r="E153" s="32" t="s">
        <v>719</v>
      </c>
      <c r="F153" s="94" t="s">
        <v>2561</v>
      </c>
      <c r="G153" s="94" t="s">
        <v>3437</v>
      </c>
      <c r="H153" s="94" t="s">
        <v>3293</v>
      </c>
      <c r="I153" s="103">
        <v>6.27</v>
      </c>
      <c r="J153" s="94" t="s">
        <v>244</v>
      </c>
      <c r="K153" s="32">
        <v>3.95E-2</v>
      </c>
      <c r="L153" s="32">
        <v>1.4000000000000002E-3</v>
      </c>
      <c r="M153" s="154">
        <v>54921.19</v>
      </c>
      <c r="N153" s="94">
        <v>127.24</v>
      </c>
      <c r="O153" s="222">
        <v>69.881720000000001</v>
      </c>
      <c r="P153" s="32">
        <v>6.17739598599459E-5</v>
      </c>
      <c r="Q153" s="32">
        <v>5.9179009779104725E-6</v>
      </c>
      <c r="R153" s="18"/>
    </row>
    <row r="154" spans="2:18" x14ac:dyDescent="0.2">
      <c r="B154" s="218" t="s">
        <v>3435</v>
      </c>
      <c r="C154" s="32" t="s">
        <v>238</v>
      </c>
      <c r="D154" s="32" t="s">
        <v>3438</v>
      </c>
      <c r="E154" s="32" t="s">
        <v>719</v>
      </c>
      <c r="F154" s="94" t="s">
        <v>2561</v>
      </c>
      <c r="G154" s="94" t="s">
        <v>3437</v>
      </c>
      <c r="H154" s="94" t="s">
        <v>3293</v>
      </c>
      <c r="I154" s="103">
        <v>5.88</v>
      </c>
      <c r="J154" s="94" t="s">
        <v>244</v>
      </c>
      <c r="K154" s="32">
        <v>3.95E-2</v>
      </c>
      <c r="L154" s="32">
        <v>1E-3</v>
      </c>
      <c r="M154" s="154">
        <v>307225.36</v>
      </c>
      <c r="N154" s="94">
        <v>125.81</v>
      </c>
      <c r="O154" s="222">
        <v>386.52021999999999</v>
      </c>
      <c r="P154" s="32">
        <v>3.4167568507669036E-4</v>
      </c>
      <c r="Q154" s="32">
        <v>3.2732285180161147E-5</v>
      </c>
      <c r="R154" s="18"/>
    </row>
    <row r="155" spans="2:18" x14ac:dyDescent="0.2">
      <c r="B155" s="218" t="s">
        <v>3489</v>
      </c>
      <c r="C155" s="32" t="s">
        <v>238</v>
      </c>
      <c r="D155" s="32" t="s">
        <v>3490</v>
      </c>
      <c r="E155" s="32" t="s">
        <v>3491</v>
      </c>
      <c r="F155" s="94" t="s">
        <v>2561</v>
      </c>
      <c r="G155" s="94" t="s">
        <v>3492</v>
      </c>
      <c r="H155" s="94" t="s">
        <v>3293</v>
      </c>
      <c r="I155" s="103">
        <v>2.2599999999999998</v>
      </c>
      <c r="J155" s="94" t="s">
        <v>244</v>
      </c>
      <c r="K155" s="32">
        <v>2.2799999999999997E-2</v>
      </c>
      <c r="L155" s="32">
        <v>6.5999999999999991E-3</v>
      </c>
      <c r="M155" s="154">
        <v>12047642.199999999</v>
      </c>
      <c r="N155" s="94">
        <v>104.33</v>
      </c>
      <c r="O155" s="222">
        <v>12569.3051</v>
      </c>
      <c r="P155" s="32">
        <v>1.1110999396048255E-2</v>
      </c>
      <c r="Q155" s="32">
        <v>1.0644257603124978E-3</v>
      </c>
      <c r="R155" s="18"/>
    </row>
    <row r="156" spans="2:18" x14ac:dyDescent="0.2">
      <c r="B156" s="218" t="s">
        <v>3500</v>
      </c>
      <c r="C156" s="32" t="s">
        <v>3328</v>
      </c>
      <c r="D156" s="32" t="s">
        <v>3501</v>
      </c>
      <c r="E156" s="32" t="s">
        <v>3502</v>
      </c>
      <c r="F156" s="94" t="s">
        <v>2561</v>
      </c>
      <c r="G156" s="94" t="s">
        <v>740</v>
      </c>
      <c r="H156" s="94" t="s">
        <v>3293</v>
      </c>
      <c r="I156" s="103">
        <v>3.53</v>
      </c>
      <c r="J156" s="94" t="s">
        <v>244</v>
      </c>
      <c r="K156" s="32">
        <v>0.03</v>
      </c>
      <c r="L156" s="32">
        <v>1.2000000000000002E-2</v>
      </c>
      <c r="M156" s="154">
        <v>8257179.8499999996</v>
      </c>
      <c r="N156" s="94">
        <v>107.42</v>
      </c>
      <c r="O156" s="222">
        <v>8869.8625900000006</v>
      </c>
      <c r="P156" s="32">
        <v>7.8407705992052813E-3</v>
      </c>
      <c r="Q156" s="32">
        <v>7.5114019081517342E-4</v>
      </c>
      <c r="R156" s="18"/>
    </row>
    <row r="157" spans="2:18" x14ac:dyDescent="0.2">
      <c r="B157" s="218" t="s">
        <v>3500</v>
      </c>
      <c r="C157" s="32" t="s">
        <v>3328</v>
      </c>
      <c r="D157" s="32" t="s">
        <v>3589</v>
      </c>
      <c r="E157" s="32" t="s">
        <v>3502</v>
      </c>
      <c r="F157" s="94" t="s">
        <v>2561</v>
      </c>
      <c r="G157" s="94" t="s">
        <v>3588</v>
      </c>
      <c r="H157" s="94" t="s">
        <v>3293</v>
      </c>
      <c r="I157" s="103">
        <v>3.5</v>
      </c>
      <c r="J157" s="94" t="s">
        <v>244</v>
      </c>
      <c r="K157" s="32">
        <v>0.03</v>
      </c>
      <c r="L157" s="32">
        <v>1.4399999999999998E-2</v>
      </c>
      <c r="M157" s="154">
        <v>2282667.5099999998</v>
      </c>
      <c r="N157" s="94">
        <v>107.88</v>
      </c>
      <c r="O157" s="222">
        <v>2462.5417000000002</v>
      </c>
      <c r="P157" s="32">
        <v>2.1768346876585598E-3</v>
      </c>
      <c r="Q157" s="32">
        <v>2.0853919930098055E-4</v>
      </c>
      <c r="R157" s="18"/>
    </row>
    <row r="158" spans="2:18" x14ac:dyDescent="0.2">
      <c r="B158" s="218" t="s">
        <v>3623</v>
      </c>
      <c r="C158" s="32" t="s">
        <v>238</v>
      </c>
      <c r="D158" s="32" t="s">
        <v>3624</v>
      </c>
      <c r="E158" s="32" t="s">
        <v>3625</v>
      </c>
      <c r="F158" s="94" t="s">
        <v>3626</v>
      </c>
      <c r="G158" s="94" t="s">
        <v>3115</v>
      </c>
      <c r="H158" s="94" t="s">
        <v>3293</v>
      </c>
      <c r="I158" s="103">
        <v>9.5</v>
      </c>
      <c r="J158" s="94" t="s">
        <v>244</v>
      </c>
      <c r="K158" s="32">
        <v>1.24E-2</v>
      </c>
      <c r="L158" s="32">
        <v>1.55E-2</v>
      </c>
      <c r="M158" s="154">
        <v>32651685.585315038</v>
      </c>
      <c r="N158" s="94">
        <v>97.200699999999998</v>
      </c>
      <c r="O158" s="222">
        <v>31737.66695016397</v>
      </c>
      <c r="P158" s="32">
        <v>2.8055425141621595E-2</v>
      </c>
      <c r="Q158" s="32">
        <v>2.6876895743403605E-3</v>
      </c>
      <c r="R158" s="18"/>
    </row>
    <row r="159" spans="2:18" x14ac:dyDescent="0.2">
      <c r="B159" s="218" t="s">
        <v>3614</v>
      </c>
      <c r="C159" s="32" t="s">
        <v>238</v>
      </c>
      <c r="D159" s="32" t="s">
        <v>3618</v>
      </c>
      <c r="E159" s="32" t="s">
        <v>3616</v>
      </c>
      <c r="F159" s="94" t="s">
        <v>988</v>
      </c>
      <c r="G159" s="94" t="s">
        <v>3048</v>
      </c>
      <c r="H159" s="94" t="s">
        <v>243</v>
      </c>
      <c r="I159" s="103">
        <v>9.49</v>
      </c>
      <c r="J159" s="94" t="s">
        <v>244</v>
      </c>
      <c r="K159" s="32">
        <v>4.4500000000000005E-2</v>
      </c>
      <c r="L159" s="32">
        <v>3.8699999999999991E-2</v>
      </c>
      <c r="M159" s="154">
        <v>10958505.374374121</v>
      </c>
      <c r="N159" s="94">
        <v>106.46</v>
      </c>
      <c r="O159" s="222">
        <v>11666.424820757968</v>
      </c>
      <c r="P159" s="32">
        <v>1.0312872358988577E-2</v>
      </c>
      <c r="Q159" s="32">
        <v>9.8796576351415765E-4</v>
      </c>
      <c r="R159" s="18"/>
    </row>
    <row r="160" spans="2:18" x14ac:dyDescent="0.2">
      <c r="B160" s="218" t="s">
        <v>3384</v>
      </c>
      <c r="C160" s="32" t="s">
        <v>238</v>
      </c>
      <c r="D160" s="32" t="s">
        <v>3385</v>
      </c>
      <c r="E160" s="32" t="s">
        <v>3386</v>
      </c>
      <c r="F160" s="94" t="s">
        <v>1476</v>
      </c>
      <c r="G160" s="94" t="s">
        <v>3387</v>
      </c>
      <c r="H160" s="94" t="s">
        <v>3293</v>
      </c>
      <c r="I160" s="103">
        <v>0.03</v>
      </c>
      <c r="J160" s="94" t="s">
        <v>244</v>
      </c>
      <c r="K160" s="32">
        <v>4.6500000000000007E-2</v>
      </c>
      <c r="L160" s="32">
        <v>-2.0999999999999999E-3</v>
      </c>
      <c r="M160" s="154">
        <v>20480256.48</v>
      </c>
      <c r="N160" s="94">
        <v>103.84</v>
      </c>
      <c r="O160" s="222">
        <v>21266.69832</v>
      </c>
      <c r="P160" s="32">
        <v>1.8799310726371057E-2</v>
      </c>
      <c r="Q160" s="32">
        <v>1.800960462691173E-3</v>
      </c>
      <c r="R160" s="18"/>
    </row>
    <row r="161" spans="2:18" x14ac:dyDescent="0.2">
      <c r="B161" s="218" t="s">
        <v>3497</v>
      </c>
      <c r="C161" s="32" t="s">
        <v>3328</v>
      </c>
      <c r="D161" s="32" t="s">
        <v>3498</v>
      </c>
      <c r="E161" s="32" t="s">
        <v>3499</v>
      </c>
      <c r="F161" s="94" t="s">
        <v>1476</v>
      </c>
      <c r="G161" s="94" t="s">
        <v>740</v>
      </c>
      <c r="H161" s="94" t="s">
        <v>3293</v>
      </c>
      <c r="I161" s="103">
        <v>3.53</v>
      </c>
      <c r="J161" s="94" t="s">
        <v>244</v>
      </c>
      <c r="K161" s="32">
        <v>0.03</v>
      </c>
      <c r="L161" s="32">
        <v>1.2000000000000002E-2</v>
      </c>
      <c r="M161" s="154">
        <v>8257179.8499999996</v>
      </c>
      <c r="N161" s="94">
        <v>107.42</v>
      </c>
      <c r="O161" s="222">
        <v>8869.8625900000006</v>
      </c>
      <c r="P161" s="32">
        <v>7.8407705992052813E-3</v>
      </c>
      <c r="Q161" s="32">
        <v>7.5114019081517342E-4</v>
      </c>
      <c r="R161" s="18"/>
    </row>
    <row r="162" spans="2:18" x14ac:dyDescent="0.2">
      <c r="B162" s="218" t="s">
        <v>3497</v>
      </c>
      <c r="C162" s="32" t="s">
        <v>3328</v>
      </c>
      <c r="D162" s="32" t="s">
        <v>3587</v>
      </c>
      <c r="E162" s="32" t="s">
        <v>3499</v>
      </c>
      <c r="F162" s="94" t="s">
        <v>1476</v>
      </c>
      <c r="G162" s="94" t="s">
        <v>3588</v>
      </c>
      <c r="H162" s="94" t="s">
        <v>3293</v>
      </c>
      <c r="I162" s="103">
        <v>3.5</v>
      </c>
      <c r="J162" s="94" t="s">
        <v>244</v>
      </c>
      <c r="K162" s="32">
        <v>0.03</v>
      </c>
      <c r="L162" s="32">
        <v>1.4399999999999998E-2</v>
      </c>
      <c r="M162" s="154">
        <v>2282667.5099999998</v>
      </c>
      <c r="N162" s="94">
        <v>107.88</v>
      </c>
      <c r="O162" s="222">
        <v>2462.5417000000002</v>
      </c>
      <c r="P162" s="32">
        <v>2.1768346876585598E-3</v>
      </c>
      <c r="Q162" s="32">
        <v>2.0853919930098055E-4</v>
      </c>
      <c r="R162" s="18"/>
    </row>
    <row r="163" spans="2:18" x14ac:dyDescent="0.2">
      <c r="B163" s="218" t="s">
        <v>3534</v>
      </c>
      <c r="C163" s="32" t="s">
        <v>3328</v>
      </c>
      <c r="D163" s="32" t="s">
        <v>3535</v>
      </c>
      <c r="E163" s="32" t="s">
        <v>3536</v>
      </c>
      <c r="F163" s="94" t="s">
        <v>599</v>
      </c>
      <c r="G163" s="94" t="s">
        <v>3537</v>
      </c>
      <c r="H163" s="94" t="s">
        <v>238</v>
      </c>
      <c r="I163" s="103">
        <v>8.86</v>
      </c>
      <c r="J163" s="94" t="s">
        <v>244</v>
      </c>
      <c r="K163" s="32">
        <v>4.4999999999999998E-2</v>
      </c>
      <c r="L163" s="32">
        <v>1.11E-2</v>
      </c>
      <c r="M163" s="154">
        <v>33688214.450000003</v>
      </c>
      <c r="N163" s="94">
        <v>135.03</v>
      </c>
      <c r="O163" s="222">
        <v>45489.195970000001</v>
      </c>
      <c r="P163" s="32">
        <v>4.0211485434416792E-2</v>
      </c>
      <c r="Q163" s="32">
        <v>3.8522314178189108E-3</v>
      </c>
      <c r="R163" s="18"/>
    </row>
    <row r="164" spans="2:18" x14ac:dyDescent="0.2">
      <c r="B164" s="218" t="s">
        <v>3663</v>
      </c>
      <c r="C164" s="32" t="s">
        <v>238</v>
      </c>
      <c r="D164" s="32" t="s">
        <v>3664</v>
      </c>
      <c r="E164" s="32" t="s">
        <v>238</v>
      </c>
      <c r="F164" s="94" t="s">
        <v>599</v>
      </c>
      <c r="G164" s="94" t="s">
        <v>3665</v>
      </c>
      <c r="H164" s="94" t="s">
        <v>238</v>
      </c>
      <c r="I164" s="103">
        <v>0</v>
      </c>
      <c r="J164" s="94" t="s">
        <v>244</v>
      </c>
      <c r="K164" s="32">
        <v>0</v>
      </c>
      <c r="L164" s="32">
        <v>0</v>
      </c>
      <c r="M164" s="154">
        <v>109731.68</v>
      </c>
      <c r="N164" s="94">
        <v>150.57329999999999</v>
      </c>
      <c r="O164" s="222">
        <v>16522.66676</v>
      </c>
      <c r="P164" s="32">
        <v>1.4605687341575198E-2</v>
      </c>
      <c r="Q164" s="32">
        <v>1.3992143550086182E-3</v>
      </c>
      <c r="R164" s="18"/>
    </row>
    <row r="165" spans="2:18" x14ac:dyDescent="0.2">
      <c r="B165" s="218" t="s">
        <v>3663</v>
      </c>
      <c r="C165" s="32" t="s">
        <v>238</v>
      </c>
      <c r="D165" s="32" t="s">
        <v>3666</v>
      </c>
      <c r="E165" s="32" t="s">
        <v>238</v>
      </c>
      <c r="F165" s="94" t="s">
        <v>599</v>
      </c>
      <c r="G165" s="94" t="s">
        <v>3665</v>
      </c>
      <c r="H165" s="94" t="s">
        <v>238</v>
      </c>
      <c r="I165" s="103">
        <v>0</v>
      </c>
      <c r="J165" s="94" t="s">
        <v>244</v>
      </c>
      <c r="K165" s="32">
        <v>0</v>
      </c>
      <c r="L165" s="32">
        <v>0</v>
      </c>
      <c r="M165" s="154">
        <v>-109731.68</v>
      </c>
      <c r="N165" s="94">
        <v>167.9667</v>
      </c>
      <c r="O165" s="222">
        <v>-18431.27289</v>
      </c>
      <c r="P165" s="32">
        <v>-1.629285472187246E-2</v>
      </c>
      <c r="Q165" s="32">
        <v>-1.5608437780275841E-3</v>
      </c>
      <c r="R165" s="18"/>
    </row>
    <row r="166" spans="2:18" x14ac:dyDescent="0.2">
      <c r="B166" s="218" t="s">
        <v>3663</v>
      </c>
      <c r="C166" s="32" t="s">
        <v>238</v>
      </c>
      <c r="D166" s="32" t="s">
        <v>3667</v>
      </c>
      <c r="E166" s="32" t="s">
        <v>238</v>
      </c>
      <c r="F166" s="94" t="s">
        <v>599</v>
      </c>
      <c r="G166" s="94" t="s">
        <v>3668</v>
      </c>
      <c r="H166" s="94" t="s">
        <v>238</v>
      </c>
      <c r="I166" s="103">
        <v>1.83</v>
      </c>
      <c r="J166" s="94" t="s">
        <v>244</v>
      </c>
      <c r="K166" s="32">
        <v>0.05</v>
      </c>
      <c r="L166" s="32">
        <v>4.0999999999999995E-3</v>
      </c>
      <c r="M166" s="154">
        <v>156000.12</v>
      </c>
      <c r="N166" s="94">
        <v>11814.91</v>
      </c>
      <c r="O166" s="222">
        <v>18431.27377</v>
      </c>
      <c r="P166" s="32">
        <v>1.6292855499773815E-2</v>
      </c>
      <c r="Q166" s="32">
        <v>1.560843852549975E-3</v>
      </c>
      <c r="R166" s="18"/>
    </row>
    <row r="167" spans="2:18" x14ac:dyDescent="0.2">
      <c r="B167" s="218" t="s">
        <v>3663</v>
      </c>
      <c r="C167" s="32" t="s">
        <v>238</v>
      </c>
      <c r="D167" s="32" t="s">
        <v>3669</v>
      </c>
      <c r="E167" s="32" t="s">
        <v>238</v>
      </c>
      <c r="F167" s="94" t="s">
        <v>599</v>
      </c>
      <c r="G167" s="94" t="s">
        <v>1551</v>
      </c>
      <c r="H167" s="94" t="s">
        <v>238</v>
      </c>
      <c r="I167" s="103">
        <v>0</v>
      </c>
      <c r="J167" s="94" t="s">
        <v>244</v>
      </c>
      <c r="K167" s="32">
        <v>0</v>
      </c>
      <c r="L167" s="32">
        <v>0</v>
      </c>
      <c r="M167" s="154">
        <v>-89435.13</v>
      </c>
      <c r="N167" s="94">
        <v>10.569100000000001</v>
      </c>
      <c r="O167" s="222">
        <v>-945.24936000000002</v>
      </c>
      <c r="P167" s="32">
        <v>-8.3558040675414896E-4</v>
      </c>
      <c r="Q167" s="32">
        <v>-8.00480027096249E-5</v>
      </c>
      <c r="R167" s="18"/>
    </row>
    <row r="168" spans="2:18" x14ac:dyDescent="0.2">
      <c r="B168" s="218" t="s">
        <v>3333</v>
      </c>
      <c r="C168" s="32" t="s">
        <v>238</v>
      </c>
      <c r="D168" s="32" t="s">
        <v>3334</v>
      </c>
      <c r="E168" s="32" t="s">
        <v>238</v>
      </c>
      <c r="F168" s="94" t="s">
        <v>599</v>
      </c>
      <c r="G168" s="94" t="s">
        <v>3335</v>
      </c>
      <c r="H168" s="94" t="s">
        <v>238</v>
      </c>
      <c r="I168" s="103">
        <v>3.98</v>
      </c>
      <c r="J168" s="94" t="s">
        <v>244</v>
      </c>
      <c r="K168" s="32">
        <v>3.78E-2</v>
      </c>
      <c r="L168" s="32">
        <v>2.1400000000000002E-2</v>
      </c>
      <c r="M168" s="154">
        <v>2116690.27</v>
      </c>
      <c r="N168" s="94">
        <v>108.01</v>
      </c>
      <c r="O168" s="222">
        <v>2286.2371600000001</v>
      </c>
      <c r="P168" s="32">
        <v>2.0209852097538058E-3</v>
      </c>
      <c r="Q168" s="32">
        <v>1.9360893127557912E-4</v>
      </c>
      <c r="R168" s="18"/>
    </row>
    <row r="169" spans="2:18" x14ac:dyDescent="0.2">
      <c r="B169" s="218" t="s">
        <v>3333</v>
      </c>
      <c r="C169" s="32" t="s">
        <v>238</v>
      </c>
      <c r="D169" s="32" t="s">
        <v>3336</v>
      </c>
      <c r="E169" s="32" t="s">
        <v>238</v>
      </c>
      <c r="F169" s="94" t="s">
        <v>599</v>
      </c>
      <c r="G169" s="94" t="s">
        <v>3335</v>
      </c>
      <c r="H169" s="94" t="s">
        <v>238</v>
      </c>
      <c r="I169" s="103">
        <v>3.89</v>
      </c>
      <c r="J169" s="94" t="s">
        <v>244</v>
      </c>
      <c r="K169" s="32">
        <v>1.72E-2</v>
      </c>
      <c r="L169" s="32">
        <v>1.61E-2</v>
      </c>
      <c r="M169" s="154">
        <v>19323492.640000001</v>
      </c>
      <c r="N169" s="94">
        <v>100.61</v>
      </c>
      <c r="O169" s="222">
        <v>19441.36594</v>
      </c>
      <c r="P169" s="32">
        <v>1.7185755576709896E-2</v>
      </c>
      <c r="Q169" s="32">
        <v>1.6463830384861929E-3</v>
      </c>
      <c r="R169" s="18"/>
    </row>
    <row r="170" spans="2:18" x14ac:dyDescent="0.2">
      <c r="B170" s="218" t="s">
        <v>3333</v>
      </c>
      <c r="C170" s="32" t="s">
        <v>238</v>
      </c>
      <c r="D170" s="32" t="s">
        <v>3581</v>
      </c>
      <c r="E170" s="32" t="s">
        <v>238</v>
      </c>
      <c r="F170" s="94" t="s">
        <v>599</v>
      </c>
      <c r="G170" s="94" t="s">
        <v>3335</v>
      </c>
      <c r="H170" s="94" t="s">
        <v>238</v>
      </c>
      <c r="I170" s="103">
        <v>3.73</v>
      </c>
      <c r="J170" s="94" t="s">
        <v>244</v>
      </c>
      <c r="K170" s="32">
        <v>2.8300000000000002E-2</v>
      </c>
      <c r="L170" s="32">
        <v>1.1500000000000002E-2</v>
      </c>
      <c r="M170" s="154">
        <v>12274355.640000001</v>
      </c>
      <c r="N170" s="94">
        <v>113.42</v>
      </c>
      <c r="O170" s="222">
        <v>13921.57416</v>
      </c>
      <c r="P170" s="32">
        <v>1.2306376593866035E-2</v>
      </c>
      <c r="Q170" s="32">
        <v>1.178942037138141E-3</v>
      </c>
      <c r="R170" s="18"/>
    </row>
    <row r="171" spans="2:18" x14ac:dyDescent="0.2">
      <c r="B171" s="218" t="s">
        <v>3337</v>
      </c>
      <c r="C171" s="32" t="s">
        <v>238</v>
      </c>
      <c r="D171" s="32" t="s">
        <v>3338</v>
      </c>
      <c r="E171" s="32" t="s">
        <v>3339</v>
      </c>
      <c r="F171" s="94" t="s">
        <v>599</v>
      </c>
      <c r="G171" s="94" t="s">
        <v>3335</v>
      </c>
      <c r="H171" s="94" t="s">
        <v>238</v>
      </c>
      <c r="I171" s="103">
        <v>0.75</v>
      </c>
      <c r="J171" s="94" t="s">
        <v>244</v>
      </c>
      <c r="K171" s="32">
        <v>3.7499999999999999E-2</v>
      </c>
      <c r="L171" s="32">
        <v>3.3199999999999993E-2</v>
      </c>
      <c r="M171" s="154">
        <v>199865.48</v>
      </c>
      <c r="N171" s="94">
        <v>100.34</v>
      </c>
      <c r="O171" s="222">
        <v>200.54501999999999</v>
      </c>
      <c r="P171" s="32">
        <v>1.7727754862919867E-4</v>
      </c>
      <c r="Q171" s="32">
        <v>1.6983061807480917E-5</v>
      </c>
      <c r="R171" s="18"/>
    </row>
    <row r="172" spans="2:18" x14ac:dyDescent="0.2">
      <c r="B172" s="218" t="s">
        <v>3337</v>
      </c>
      <c r="C172" s="32" t="s">
        <v>238</v>
      </c>
      <c r="D172" s="32" t="s">
        <v>3344</v>
      </c>
      <c r="E172" s="32" t="s">
        <v>3339</v>
      </c>
      <c r="F172" s="94" t="s">
        <v>599</v>
      </c>
      <c r="G172" s="94" t="s">
        <v>3345</v>
      </c>
      <c r="H172" s="94" t="s">
        <v>238</v>
      </c>
      <c r="I172" s="103">
        <v>0.75</v>
      </c>
      <c r="J172" s="94" t="s">
        <v>244</v>
      </c>
      <c r="K172" s="32">
        <v>3.7499999999999999E-2</v>
      </c>
      <c r="L172" s="32">
        <v>3.4599999999999999E-2</v>
      </c>
      <c r="M172" s="154">
        <v>274815.03999999998</v>
      </c>
      <c r="N172" s="94">
        <v>100.24</v>
      </c>
      <c r="O172" s="222">
        <v>275.47459000000003</v>
      </c>
      <c r="P172" s="32">
        <v>2.4351370093774244E-4</v>
      </c>
      <c r="Q172" s="32">
        <v>2.3328437616453726E-5</v>
      </c>
      <c r="R172" s="18"/>
    </row>
    <row r="173" spans="2:18" x14ac:dyDescent="0.2">
      <c r="B173" s="218" t="s">
        <v>3337</v>
      </c>
      <c r="C173" s="32" t="s">
        <v>238</v>
      </c>
      <c r="D173" s="32" t="s">
        <v>3346</v>
      </c>
      <c r="E173" s="32" t="s">
        <v>3339</v>
      </c>
      <c r="F173" s="94" t="s">
        <v>599</v>
      </c>
      <c r="G173" s="94" t="s">
        <v>3347</v>
      </c>
      <c r="H173" s="94" t="s">
        <v>238</v>
      </c>
      <c r="I173" s="103">
        <v>0.75</v>
      </c>
      <c r="J173" s="94" t="s">
        <v>244</v>
      </c>
      <c r="K173" s="32">
        <v>3.7499999999999999E-2</v>
      </c>
      <c r="L173" s="32">
        <v>3.8199999999999991E-2</v>
      </c>
      <c r="M173" s="154">
        <v>199865.48</v>
      </c>
      <c r="N173" s="94">
        <v>99.98</v>
      </c>
      <c r="O173" s="222">
        <v>199.82550000000001</v>
      </c>
      <c r="P173" s="32">
        <v>1.7664150819404013E-4</v>
      </c>
      <c r="Q173" s="32">
        <v>1.6922129590706257E-5</v>
      </c>
      <c r="R173" s="18"/>
    </row>
    <row r="174" spans="2:18" x14ac:dyDescent="0.2">
      <c r="B174" s="218" t="s">
        <v>3337</v>
      </c>
      <c r="C174" s="32" t="s">
        <v>238</v>
      </c>
      <c r="D174" s="32" t="s">
        <v>3348</v>
      </c>
      <c r="E174" s="32" t="s">
        <v>3339</v>
      </c>
      <c r="F174" s="94" t="s">
        <v>599</v>
      </c>
      <c r="G174" s="94" t="s">
        <v>3349</v>
      </c>
      <c r="H174" s="94" t="s">
        <v>238</v>
      </c>
      <c r="I174" s="103">
        <v>0.75</v>
      </c>
      <c r="J174" s="94" t="s">
        <v>244</v>
      </c>
      <c r="K174" s="32">
        <v>3.7499999999999999E-2</v>
      </c>
      <c r="L174" s="32">
        <v>3.4200000000000001E-2</v>
      </c>
      <c r="M174" s="154">
        <v>199865.48</v>
      </c>
      <c r="N174" s="94">
        <v>100.27</v>
      </c>
      <c r="O174" s="222">
        <v>200.40510999999998</v>
      </c>
      <c r="P174" s="32">
        <v>1.7715387115354404E-4</v>
      </c>
      <c r="Q174" s="32">
        <v>1.6971213594159613E-5</v>
      </c>
      <c r="R174" s="18"/>
    </row>
    <row r="175" spans="2:18" x14ac:dyDescent="0.2">
      <c r="B175" s="218" t="s">
        <v>3337</v>
      </c>
      <c r="C175" s="32" t="s">
        <v>238</v>
      </c>
      <c r="D175" s="32" t="s">
        <v>3350</v>
      </c>
      <c r="E175" s="32" t="s">
        <v>3339</v>
      </c>
      <c r="F175" s="94" t="s">
        <v>599</v>
      </c>
      <c r="G175" s="94" t="s">
        <v>3351</v>
      </c>
      <c r="H175" s="94" t="s">
        <v>238</v>
      </c>
      <c r="I175" s="103">
        <v>0.75</v>
      </c>
      <c r="J175" s="94" t="s">
        <v>244</v>
      </c>
      <c r="K175" s="32">
        <v>3.7499999999999999E-2</v>
      </c>
      <c r="L175" s="32">
        <v>3.2500000000000001E-2</v>
      </c>
      <c r="M175" s="154">
        <v>199865.48</v>
      </c>
      <c r="N175" s="94">
        <v>100.39</v>
      </c>
      <c r="O175" s="222">
        <v>200.64495000000002</v>
      </c>
      <c r="P175" s="32">
        <v>1.7736588463193023E-4</v>
      </c>
      <c r="Q175" s="32">
        <v>1.6991524333084502E-5</v>
      </c>
      <c r="R175" s="18"/>
    </row>
    <row r="176" spans="2:18" x14ac:dyDescent="0.2">
      <c r="B176" s="218" t="s">
        <v>3337</v>
      </c>
      <c r="C176" s="32" t="s">
        <v>238</v>
      </c>
      <c r="D176" s="32" t="s">
        <v>3352</v>
      </c>
      <c r="E176" s="32" t="s">
        <v>3339</v>
      </c>
      <c r="F176" s="94" t="s">
        <v>599</v>
      </c>
      <c r="G176" s="94" t="s">
        <v>3353</v>
      </c>
      <c r="H176" s="94" t="s">
        <v>238</v>
      </c>
      <c r="I176" s="103">
        <v>0.75</v>
      </c>
      <c r="J176" s="94" t="s">
        <v>244</v>
      </c>
      <c r="K176" s="32">
        <v>3.7499999999999999E-2</v>
      </c>
      <c r="L176" s="32">
        <v>3.1200000000000002E-2</v>
      </c>
      <c r="M176" s="154">
        <v>199865.48</v>
      </c>
      <c r="N176" s="94">
        <v>100.49</v>
      </c>
      <c r="O176" s="222">
        <v>200.84482</v>
      </c>
      <c r="P176" s="32">
        <v>1.7754256547718143E-4</v>
      </c>
      <c r="Q176" s="32">
        <v>1.7008450231137024E-5</v>
      </c>
      <c r="R176" s="18"/>
    </row>
    <row r="177" spans="2:18" x14ac:dyDescent="0.2">
      <c r="B177" s="218" t="s">
        <v>3337</v>
      </c>
      <c r="C177" s="32" t="s">
        <v>90</v>
      </c>
      <c r="D177" s="32" t="s">
        <v>3354</v>
      </c>
      <c r="E177" s="32" t="s">
        <v>3339</v>
      </c>
      <c r="F177" s="94" t="s">
        <v>599</v>
      </c>
      <c r="G177" s="94" t="s">
        <v>3355</v>
      </c>
      <c r="H177" s="94" t="s">
        <v>238</v>
      </c>
      <c r="I177" s="103">
        <v>0.75</v>
      </c>
      <c r="J177" s="94" t="s">
        <v>244</v>
      </c>
      <c r="K177" s="32">
        <v>3.7499999999999999E-2</v>
      </c>
      <c r="L177" s="32">
        <v>3.4099999999999998E-2</v>
      </c>
      <c r="M177" s="154">
        <v>199865.48</v>
      </c>
      <c r="N177" s="94">
        <v>100.28</v>
      </c>
      <c r="O177" s="222">
        <v>200.42510000000001</v>
      </c>
      <c r="P177" s="32">
        <v>1.7717154189000561E-4</v>
      </c>
      <c r="Q177" s="32">
        <v>1.6972906438018475E-5</v>
      </c>
      <c r="R177" s="18"/>
    </row>
    <row r="178" spans="2:18" x14ac:dyDescent="0.2">
      <c r="B178" s="218" t="s">
        <v>3337</v>
      </c>
      <c r="C178" s="32" t="s">
        <v>238</v>
      </c>
      <c r="D178" s="32" t="s">
        <v>3356</v>
      </c>
      <c r="E178" s="32" t="s">
        <v>3339</v>
      </c>
      <c r="F178" s="94" t="s">
        <v>599</v>
      </c>
      <c r="G178" s="94" t="s">
        <v>932</v>
      </c>
      <c r="H178" s="94" t="s">
        <v>238</v>
      </c>
      <c r="I178" s="103">
        <v>0.75</v>
      </c>
      <c r="J178" s="94" t="s">
        <v>244</v>
      </c>
      <c r="K178" s="32">
        <v>3.7499999999999999E-2</v>
      </c>
      <c r="L178" s="32">
        <v>3.3500000000000002E-2</v>
      </c>
      <c r="M178" s="154">
        <v>199865.48</v>
      </c>
      <c r="N178" s="94">
        <v>100.32</v>
      </c>
      <c r="O178" s="222">
        <v>200.50504000000001</v>
      </c>
      <c r="P178" s="32">
        <v>1.7724220715627559E-4</v>
      </c>
      <c r="Q178" s="32">
        <v>1.6979676119763202E-5</v>
      </c>
      <c r="R178" s="18"/>
    </row>
    <row r="179" spans="2:18" x14ac:dyDescent="0.2">
      <c r="B179" s="218" t="s">
        <v>3337</v>
      </c>
      <c r="C179" s="32" t="s">
        <v>238</v>
      </c>
      <c r="D179" s="32" t="s">
        <v>3361</v>
      </c>
      <c r="E179" s="32" t="s">
        <v>3339</v>
      </c>
      <c r="F179" s="94" t="s">
        <v>599</v>
      </c>
      <c r="G179" s="94" t="s">
        <v>3362</v>
      </c>
      <c r="H179" s="94" t="s">
        <v>238</v>
      </c>
      <c r="I179" s="103">
        <v>0.75</v>
      </c>
      <c r="J179" s="94" t="s">
        <v>244</v>
      </c>
      <c r="K179" s="32">
        <v>3.7499999999999999E-2</v>
      </c>
      <c r="L179" s="32">
        <v>3.0399999999999996E-2</v>
      </c>
      <c r="M179" s="154">
        <v>199865.48</v>
      </c>
      <c r="N179" s="94">
        <v>100.55</v>
      </c>
      <c r="O179" s="222">
        <v>200.96473999999998</v>
      </c>
      <c r="P179" s="32">
        <v>1.7764857221637452E-4</v>
      </c>
      <c r="Q179" s="32">
        <v>1.7018605600599466E-5</v>
      </c>
      <c r="R179" s="18"/>
    </row>
    <row r="180" spans="2:18" x14ac:dyDescent="0.2">
      <c r="B180" s="218" t="s">
        <v>3337</v>
      </c>
      <c r="C180" s="32" t="s">
        <v>238</v>
      </c>
      <c r="D180" s="32" t="s">
        <v>3363</v>
      </c>
      <c r="E180" s="32" t="s">
        <v>3339</v>
      </c>
      <c r="F180" s="94" t="s">
        <v>599</v>
      </c>
      <c r="G180" s="94" t="s">
        <v>3364</v>
      </c>
      <c r="H180" s="94" t="s">
        <v>238</v>
      </c>
      <c r="I180" s="103">
        <v>0.75</v>
      </c>
      <c r="J180" s="94" t="s">
        <v>244</v>
      </c>
      <c r="K180" s="32">
        <v>3.7499999999999999E-2</v>
      </c>
      <c r="L180" s="32">
        <v>2.9000000000000001E-2</v>
      </c>
      <c r="M180" s="154">
        <v>199865.48</v>
      </c>
      <c r="N180" s="94">
        <v>100.65</v>
      </c>
      <c r="O180" s="222">
        <v>201.16460000000001</v>
      </c>
      <c r="P180" s="32">
        <v>1.778252442218376E-4</v>
      </c>
      <c r="Q180" s="32">
        <v>1.7035530651806641E-5</v>
      </c>
      <c r="R180" s="18"/>
    </row>
    <row r="181" spans="2:18" x14ac:dyDescent="0.2">
      <c r="B181" s="218" t="s">
        <v>3337</v>
      </c>
      <c r="C181" s="32" t="s">
        <v>238</v>
      </c>
      <c r="D181" s="32" t="s">
        <v>3365</v>
      </c>
      <c r="E181" s="32" t="s">
        <v>3339</v>
      </c>
      <c r="F181" s="94" t="s">
        <v>599</v>
      </c>
      <c r="G181" s="94" t="s">
        <v>3366</v>
      </c>
      <c r="H181" s="94" t="s">
        <v>238</v>
      </c>
      <c r="I181" s="103">
        <v>0.75</v>
      </c>
      <c r="J181" s="94" t="s">
        <v>244</v>
      </c>
      <c r="K181" s="32">
        <v>3.7499999999999999E-2</v>
      </c>
      <c r="L181" s="32">
        <v>3.0399999999999996E-2</v>
      </c>
      <c r="M181" s="154">
        <v>199865.48</v>
      </c>
      <c r="N181" s="94">
        <v>100.55</v>
      </c>
      <c r="O181" s="222">
        <v>200.96473999999998</v>
      </c>
      <c r="P181" s="32">
        <v>1.7764857221637452E-4</v>
      </c>
      <c r="Q181" s="32">
        <v>1.7018605600599466E-5</v>
      </c>
      <c r="R181" s="18"/>
    </row>
    <row r="182" spans="2:18" x14ac:dyDescent="0.2">
      <c r="B182" s="218" t="s">
        <v>3337</v>
      </c>
      <c r="C182" s="32" t="s">
        <v>238</v>
      </c>
      <c r="D182" s="32" t="s">
        <v>3367</v>
      </c>
      <c r="E182" s="32" t="s">
        <v>3339</v>
      </c>
      <c r="F182" s="94" t="s">
        <v>599</v>
      </c>
      <c r="G182" s="94" t="s">
        <v>3368</v>
      </c>
      <c r="H182" s="94" t="s">
        <v>238</v>
      </c>
      <c r="I182" s="103">
        <v>0.75</v>
      </c>
      <c r="J182" s="94" t="s">
        <v>244</v>
      </c>
      <c r="K182" s="32">
        <v>3.7499999999999999E-2</v>
      </c>
      <c r="L182" s="32">
        <v>3.2400000000000005E-2</v>
      </c>
      <c r="M182" s="154">
        <v>299798.21999999997</v>
      </c>
      <c r="N182" s="94">
        <v>100.4</v>
      </c>
      <c r="O182" s="222">
        <v>300.99741</v>
      </c>
      <c r="P182" s="32">
        <v>2.6607533305258768E-4</v>
      </c>
      <c r="Q182" s="32">
        <v>2.5489825765415041E-5</v>
      </c>
      <c r="R182" s="18"/>
    </row>
    <row r="183" spans="2:18" x14ac:dyDescent="0.2">
      <c r="B183" s="218" t="s">
        <v>3337</v>
      </c>
      <c r="C183" s="32" t="s">
        <v>238</v>
      </c>
      <c r="D183" s="32" t="s">
        <v>3369</v>
      </c>
      <c r="E183" s="32" t="s">
        <v>3339</v>
      </c>
      <c r="F183" s="94" t="s">
        <v>599</v>
      </c>
      <c r="G183" s="94" t="s">
        <v>3370</v>
      </c>
      <c r="H183" s="94" t="s">
        <v>238</v>
      </c>
      <c r="I183" s="103">
        <v>0.75</v>
      </c>
      <c r="J183" s="94" t="s">
        <v>244</v>
      </c>
      <c r="K183" s="32">
        <v>3.7499999999999999E-2</v>
      </c>
      <c r="L183" s="32">
        <v>3.3599999999999998E-2</v>
      </c>
      <c r="M183" s="154">
        <v>199865.48</v>
      </c>
      <c r="N183" s="94">
        <v>100.31</v>
      </c>
      <c r="O183" s="222">
        <v>200.48506</v>
      </c>
      <c r="P183" s="32">
        <v>1.7722454525960214E-4</v>
      </c>
      <c r="Q183" s="32">
        <v>1.6977984122749696E-5</v>
      </c>
      <c r="R183" s="18"/>
    </row>
    <row r="184" spans="2:18" x14ac:dyDescent="0.2">
      <c r="B184" s="218" t="s">
        <v>3337</v>
      </c>
      <c r="C184" s="32" t="s">
        <v>238</v>
      </c>
      <c r="D184" s="32" t="s">
        <v>3371</v>
      </c>
      <c r="E184" s="32" t="s">
        <v>3339</v>
      </c>
      <c r="F184" s="94" t="s">
        <v>599</v>
      </c>
      <c r="G184" s="94" t="s">
        <v>1484</v>
      </c>
      <c r="H184" s="94" t="s">
        <v>238</v>
      </c>
      <c r="I184" s="103">
        <v>0.75</v>
      </c>
      <c r="J184" s="94" t="s">
        <v>244</v>
      </c>
      <c r="K184" s="32">
        <v>3.7499999999999999E-2</v>
      </c>
      <c r="L184" s="32">
        <v>3.3000000000000002E-2</v>
      </c>
      <c r="M184" s="154">
        <v>199865.48</v>
      </c>
      <c r="N184" s="94">
        <v>100.36</v>
      </c>
      <c r="O184" s="222">
        <v>200.58499</v>
      </c>
      <c r="P184" s="32">
        <v>1.7731288126233367E-4</v>
      </c>
      <c r="Q184" s="32">
        <v>1.6986446648353282E-5</v>
      </c>
      <c r="R184" s="18"/>
    </row>
    <row r="185" spans="2:18" x14ac:dyDescent="0.2">
      <c r="B185" s="218" t="s">
        <v>3337</v>
      </c>
      <c r="C185" s="32" t="s">
        <v>238</v>
      </c>
      <c r="D185" s="32" t="s">
        <v>3372</v>
      </c>
      <c r="E185" s="32" t="s">
        <v>3339</v>
      </c>
      <c r="F185" s="94" t="s">
        <v>599</v>
      </c>
      <c r="G185" s="94" t="s">
        <v>532</v>
      </c>
      <c r="H185" s="94" t="s">
        <v>238</v>
      </c>
      <c r="I185" s="103">
        <v>0.75</v>
      </c>
      <c r="J185" s="94" t="s">
        <v>244</v>
      </c>
      <c r="K185" s="32">
        <v>3.7499999999999999E-2</v>
      </c>
      <c r="L185" s="32">
        <v>3.4300000000000004E-2</v>
      </c>
      <c r="M185" s="154">
        <v>199865.48</v>
      </c>
      <c r="N185" s="94">
        <v>100.26</v>
      </c>
      <c r="O185" s="222">
        <v>200.38513</v>
      </c>
      <c r="P185" s="32">
        <v>1.7713620925687061E-4</v>
      </c>
      <c r="Q185" s="32">
        <v>1.696952159714611E-5</v>
      </c>
      <c r="R185" s="18"/>
    </row>
    <row r="186" spans="2:18" x14ac:dyDescent="0.2">
      <c r="B186" s="218" t="s">
        <v>3337</v>
      </c>
      <c r="C186" s="32" t="s">
        <v>238</v>
      </c>
      <c r="D186" s="32" t="s">
        <v>3373</v>
      </c>
      <c r="E186" s="32" t="s">
        <v>3339</v>
      </c>
      <c r="F186" s="94" t="s">
        <v>599</v>
      </c>
      <c r="G186" s="94" t="s">
        <v>3374</v>
      </c>
      <c r="H186" s="94" t="s">
        <v>238</v>
      </c>
      <c r="I186" s="103">
        <v>0.75</v>
      </c>
      <c r="J186" s="94" t="s">
        <v>244</v>
      </c>
      <c r="K186" s="32">
        <v>3.7499999999999999E-2</v>
      </c>
      <c r="L186" s="32">
        <v>3.5299999999999998E-2</v>
      </c>
      <c r="M186" s="154">
        <v>199865.48</v>
      </c>
      <c r="N186" s="94">
        <v>100.19</v>
      </c>
      <c r="O186" s="222">
        <v>200.24521999999999</v>
      </c>
      <c r="P186" s="32">
        <v>1.7701253178121598E-4</v>
      </c>
      <c r="Q186" s="32">
        <v>1.6957673383824806E-5</v>
      </c>
      <c r="R186" s="18"/>
    </row>
    <row r="187" spans="2:18" x14ac:dyDescent="0.2">
      <c r="B187" s="218" t="s">
        <v>3337</v>
      </c>
      <c r="C187" s="32" t="s">
        <v>238</v>
      </c>
      <c r="D187" s="32" t="s">
        <v>3375</v>
      </c>
      <c r="E187" s="32" t="s">
        <v>3339</v>
      </c>
      <c r="F187" s="94" t="s">
        <v>599</v>
      </c>
      <c r="G187" s="94" t="s">
        <v>1561</v>
      </c>
      <c r="H187" s="94" t="s">
        <v>238</v>
      </c>
      <c r="I187" s="103">
        <v>0.75</v>
      </c>
      <c r="J187" s="94" t="s">
        <v>244</v>
      </c>
      <c r="K187" s="32">
        <v>3.7499999999999999E-2</v>
      </c>
      <c r="L187" s="32">
        <v>3.209999999999999E-2</v>
      </c>
      <c r="M187" s="154">
        <v>199865.48</v>
      </c>
      <c r="N187" s="94">
        <v>100.42</v>
      </c>
      <c r="O187" s="222">
        <v>200.70491000000001</v>
      </c>
      <c r="P187" s="32">
        <v>1.7741888800152679E-4</v>
      </c>
      <c r="Q187" s="32">
        <v>1.6996602017815723E-5</v>
      </c>
      <c r="R187" s="18"/>
    </row>
    <row r="188" spans="2:18" x14ac:dyDescent="0.2">
      <c r="B188" s="218" t="s">
        <v>3337</v>
      </c>
      <c r="C188" s="32" t="s">
        <v>238</v>
      </c>
      <c r="D188" s="32" t="s">
        <v>3376</v>
      </c>
      <c r="E188" s="32" t="s">
        <v>3339</v>
      </c>
      <c r="F188" s="94" t="s">
        <v>599</v>
      </c>
      <c r="G188" s="94" t="s">
        <v>2897</v>
      </c>
      <c r="H188" s="94" t="s">
        <v>238</v>
      </c>
      <c r="I188" s="103">
        <v>0.75</v>
      </c>
      <c r="J188" s="94" t="s">
        <v>244</v>
      </c>
      <c r="K188" s="32">
        <v>3.7499999999999999E-2</v>
      </c>
      <c r="L188" s="32">
        <v>3.2300000000000002E-2</v>
      </c>
      <c r="M188" s="154">
        <v>199865.48</v>
      </c>
      <c r="N188" s="94">
        <v>100.41</v>
      </c>
      <c r="O188" s="222">
        <v>200.68492000000001</v>
      </c>
      <c r="P188" s="32">
        <v>1.7740121726506522E-4</v>
      </c>
      <c r="Q188" s="32">
        <v>1.6994909173956864E-5</v>
      </c>
      <c r="R188" s="18"/>
    </row>
    <row r="189" spans="2:18" x14ac:dyDescent="0.2">
      <c r="B189" s="218" t="s">
        <v>3337</v>
      </c>
      <c r="C189" s="32" t="s">
        <v>238</v>
      </c>
      <c r="D189" s="32" t="s">
        <v>3377</v>
      </c>
      <c r="E189" s="32" t="s">
        <v>3339</v>
      </c>
      <c r="F189" s="94" t="s">
        <v>599</v>
      </c>
      <c r="G189" s="94" t="s">
        <v>3378</v>
      </c>
      <c r="H189" s="94" t="s">
        <v>238</v>
      </c>
      <c r="I189" s="103">
        <v>0.75</v>
      </c>
      <c r="J189" s="94" t="s">
        <v>244</v>
      </c>
      <c r="K189" s="32">
        <v>3.7499999999999999E-2</v>
      </c>
      <c r="L189" s="32">
        <v>3.7599999999999995E-2</v>
      </c>
      <c r="M189" s="154">
        <v>199865.48</v>
      </c>
      <c r="N189" s="94">
        <v>100.02</v>
      </c>
      <c r="O189" s="222">
        <v>199.90545</v>
      </c>
      <c r="P189" s="32">
        <v>1.7671218230009826E-4</v>
      </c>
      <c r="Q189" s="32">
        <v>1.6928900119296334E-5</v>
      </c>
      <c r="R189" s="18"/>
    </row>
    <row r="190" spans="2:18" x14ac:dyDescent="0.2">
      <c r="B190" s="218" t="s">
        <v>3337</v>
      </c>
      <c r="C190" s="32" t="s">
        <v>238</v>
      </c>
      <c r="D190" s="32" t="s">
        <v>3379</v>
      </c>
      <c r="E190" s="32" t="s">
        <v>3339</v>
      </c>
      <c r="F190" s="94" t="s">
        <v>599</v>
      </c>
      <c r="G190" s="94" t="s">
        <v>3112</v>
      </c>
      <c r="H190" s="94" t="s">
        <v>238</v>
      </c>
      <c r="I190" s="103">
        <v>0.75</v>
      </c>
      <c r="J190" s="94" t="s">
        <v>244</v>
      </c>
      <c r="K190" s="32">
        <v>3.7499999999999999E-2</v>
      </c>
      <c r="L190" s="32">
        <v>3.7400000000000003E-2</v>
      </c>
      <c r="M190" s="154">
        <v>199865.48</v>
      </c>
      <c r="N190" s="94">
        <v>100.04</v>
      </c>
      <c r="O190" s="222">
        <v>199.94542000000001</v>
      </c>
      <c r="P190" s="32">
        <v>1.7674751493323325E-4</v>
      </c>
      <c r="Q190" s="32">
        <v>1.6932284960168699E-5</v>
      </c>
      <c r="R190" s="18"/>
    </row>
    <row r="191" spans="2:18" x14ac:dyDescent="0.2">
      <c r="B191" s="218" t="s">
        <v>3594</v>
      </c>
      <c r="C191" s="32" t="s">
        <v>3328</v>
      </c>
      <c r="D191" s="32" t="s">
        <v>3595</v>
      </c>
      <c r="E191" s="32" t="s">
        <v>3596</v>
      </c>
      <c r="F191" s="94" t="s">
        <v>599</v>
      </c>
      <c r="G191" s="94" t="s">
        <v>3593</v>
      </c>
      <c r="H191" s="94" t="s">
        <v>238</v>
      </c>
      <c r="I191" s="103">
        <v>9.7899999999999991</v>
      </c>
      <c r="J191" s="94" t="s">
        <v>244</v>
      </c>
      <c r="K191" s="32">
        <v>3.0099999999999998E-2</v>
      </c>
      <c r="L191" s="32">
        <v>1.46E-2</v>
      </c>
      <c r="M191" s="154">
        <v>2238101.0966506363</v>
      </c>
      <c r="N191" s="94">
        <v>116.23</v>
      </c>
      <c r="O191" s="222">
        <v>2601.3449038761732</v>
      </c>
      <c r="P191" s="32">
        <v>2.2995337789900069E-3</v>
      </c>
      <c r="Q191" s="32">
        <v>2.2029368410696288E-4</v>
      </c>
      <c r="R191" s="18"/>
    </row>
    <row r="192" spans="2:18" x14ac:dyDescent="0.2">
      <c r="B192" s="218" t="s">
        <v>3590</v>
      </c>
      <c r="C192" s="32" t="s">
        <v>3328</v>
      </c>
      <c r="D192" s="32" t="s">
        <v>3591</v>
      </c>
      <c r="E192" s="32" t="s">
        <v>3592</v>
      </c>
      <c r="F192" s="94" t="s">
        <v>599</v>
      </c>
      <c r="G192" s="94" t="s">
        <v>3593</v>
      </c>
      <c r="H192" s="94" t="s">
        <v>238</v>
      </c>
      <c r="I192" s="103">
        <v>9.76</v>
      </c>
      <c r="J192" s="94" t="s">
        <v>244</v>
      </c>
      <c r="K192" s="32">
        <v>3.0099999999999998E-2</v>
      </c>
      <c r="L192" s="32">
        <v>1.4800000000000002E-2</v>
      </c>
      <c r="M192" s="154">
        <v>2518762.6002346142</v>
      </c>
      <c r="N192" s="94">
        <v>115.99</v>
      </c>
      <c r="O192" s="222">
        <v>2921.5127398194345</v>
      </c>
      <c r="P192" s="32">
        <v>2.5825553624027331E-3</v>
      </c>
      <c r="Q192" s="32">
        <v>2.4740694848317035E-4</v>
      </c>
      <c r="R192" s="18"/>
    </row>
    <row r="193" spans="2:18" x14ac:dyDescent="0.2">
      <c r="B193" s="218" t="s">
        <v>3597</v>
      </c>
      <c r="C193" s="32" t="s">
        <v>238</v>
      </c>
      <c r="D193" s="32" t="s">
        <v>3598</v>
      </c>
      <c r="E193" s="32" t="s">
        <v>3599</v>
      </c>
      <c r="F193" s="94" t="s">
        <v>599</v>
      </c>
      <c r="G193" s="94" t="s">
        <v>3600</v>
      </c>
      <c r="H193" s="94" t="s">
        <v>238</v>
      </c>
      <c r="I193" s="103">
        <v>7.38</v>
      </c>
      <c r="J193" s="94" t="s">
        <v>244</v>
      </c>
      <c r="K193" s="32">
        <v>2.2700000000000001E-2</v>
      </c>
      <c r="L193" s="32">
        <v>9.300000000000001E-3</v>
      </c>
      <c r="M193" s="154">
        <v>700451.31820576044</v>
      </c>
      <c r="N193" s="94">
        <v>110.95</v>
      </c>
      <c r="O193" s="222">
        <v>777.15073726443018</v>
      </c>
      <c r="P193" s="32">
        <v>6.8698478584814835E-4</v>
      </c>
      <c r="Q193" s="32">
        <v>6.5812648973737569E-5</v>
      </c>
      <c r="R193" s="18"/>
    </row>
    <row r="194" spans="2:18" x14ac:dyDescent="0.2">
      <c r="B194" s="218" t="s">
        <v>3601</v>
      </c>
      <c r="C194" s="32" t="s">
        <v>238</v>
      </c>
      <c r="D194" s="32" t="s">
        <v>3602</v>
      </c>
      <c r="E194" s="32" t="s">
        <v>3603</v>
      </c>
      <c r="F194" s="94" t="s">
        <v>599</v>
      </c>
      <c r="G194" s="94" t="s">
        <v>3604</v>
      </c>
      <c r="H194" s="94" t="s">
        <v>238</v>
      </c>
      <c r="I194" s="103">
        <v>7.05</v>
      </c>
      <c r="J194" s="94" t="s">
        <v>244</v>
      </c>
      <c r="K194" s="32">
        <v>2.2099999999999998E-2</v>
      </c>
      <c r="L194" s="32">
        <v>9.7999999999999997E-3</v>
      </c>
      <c r="M194" s="154">
        <v>164389.88993292296</v>
      </c>
      <c r="N194" s="94">
        <v>109.63</v>
      </c>
      <c r="O194" s="222">
        <v>180.22063560351887</v>
      </c>
      <c r="P194" s="32">
        <v>1.5931122344592708E-4</v>
      </c>
      <c r="Q194" s="32">
        <v>1.5261900761425323E-5</v>
      </c>
      <c r="R194" s="18"/>
    </row>
    <row r="195" spans="2:18" x14ac:dyDescent="0.2">
      <c r="B195" s="218" t="s">
        <v>3605</v>
      </c>
      <c r="C195" s="32" t="s">
        <v>238</v>
      </c>
      <c r="D195" s="32" t="s">
        <v>3606</v>
      </c>
      <c r="E195" s="32" t="s">
        <v>3607</v>
      </c>
      <c r="F195" s="94" t="s">
        <v>599</v>
      </c>
      <c r="G195" s="94" t="s">
        <v>3604</v>
      </c>
      <c r="H195" s="94" t="s">
        <v>238</v>
      </c>
      <c r="I195" s="103">
        <v>7.18</v>
      </c>
      <c r="J195" s="94" t="s">
        <v>244</v>
      </c>
      <c r="K195" s="32">
        <v>2.23E-2</v>
      </c>
      <c r="L195" s="32">
        <v>0.01</v>
      </c>
      <c r="M195" s="154">
        <v>199713.20535122434</v>
      </c>
      <c r="N195" s="94">
        <v>109.84</v>
      </c>
      <c r="O195" s="222">
        <v>219.36498429189584</v>
      </c>
      <c r="P195" s="32">
        <v>1.9391399831494182E-4</v>
      </c>
      <c r="Q195" s="32">
        <v>1.8576821736218367E-5</v>
      </c>
      <c r="R195" s="18"/>
    </row>
    <row r="196" spans="2:18" x14ac:dyDescent="0.2">
      <c r="B196" s="218" t="s">
        <v>3608</v>
      </c>
      <c r="C196" s="32" t="s">
        <v>238</v>
      </c>
      <c r="D196" s="32" t="s">
        <v>3609</v>
      </c>
      <c r="E196" s="32" t="s">
        <v>3610</v>
      </c>
      <c r="F196" s="94" t="s">
        <v>599</v>
      </c>
      <c r="G196" s="94" t="s">
        <v>1319</v>
      </c>
      <c r="H196" s="94" t="s">
        <v>238</v>
      </c>
      <c r="I196" s="103">
        <v>10.39</v>
      </c>
      <c r="J196" s="94" t="s">
        <v>244</v>
      </c>
      <c r="K196" s="32">
        <v>2.4300000000000002E-2</v>
      </c>
      <c r="L196" s="32">
        <v>1.44E-2</v>
      </c>
      <c r="M196" s="154">
        <v>640637.9406864529</v>
      </c>
      <c r="N196" s="94">
        <v>110.61</v>
      </c>
      <c r="O196" s="222">
        <v>708.60962608118837</v>
      </c>
      <c r="P196" s="32">
        <v>6.2639589577804611E-4</v>
      </c>
      <c r="Q196" s="32">
        <v>6.0008276830373361E-5</v>
      </c>
      <c r="R196" s="18"/>
    </row>
    <row r="197" spans="2:18" x14ac:dyDescent="0.2">
      <c r="B197" s="218" t="s">
        <v>3646</v>
      </c>
      <c r="C197" s="32" t="s">
        <v>3328</v>
      </c>
      <c r="D197" s="32" t="s">
        <v>3647</v>
      </c>
      <c r="E197" s="32" t="s">
        <v>238</v>
      </c>
      <c r="F197" s="94" t="s">
        <v>599</v>
      </c>
      <c r="G197" s="94" t="s">
        <v>3648</v>
      </c>
      <c r="H197" s="94" t="s">
        <v>238</v>
      </c>
      <c r="I197" s="103">
        <v>4.99</v>
      </c>
      <c r="J197" s="94" t="s">
        <v>127</v>
      </c>
      <c r="K197" s="32">
        <v>5.5308799999999998E-2</v>
      </c>
      <c r="L197" s="32">
        <v>6.1500000000000013E-2</v>
      </c>
      <c r="M197" s="154">
        <v>3497867.9529427434</v>
      </c>
      <c r="N197" s="94">
        <v>102.66</v>
      </c>
      <c r="O197" s="222">
        <v>12410.189246951843</v>
      </c>
      <c r="P197" s="32">
        <v>1.0970344353223352E-2</v>
      </c>
      <c r="Q197" s="32">
        <v>1.0509511082524921E-3</v>
      </c>
      <c r="R197" s="18"/>
    </row>
    <row r="198" spans="2:18" x14ac:dyDescent="0.2">
      <c r="B198" s="218" t="s">
        <v>3646</v>
      </c>
      <c r="C198" s="32" t="s">
        <v>238</v>
      </c>
      <c r="D198" s="32" t="s">
        <v>3649</v>
      </c>
      <c r="E198" s="32" t="s">
        <v>238</v>
      </c>
      <c r="F198" s="94" t="s">
        <v>599</v>
      </c>
      <c r="G198" s="94" t="s">
        <v>3650</v>
      </c>
      <c r="H198" s="94" t="s">
        <v>238</v>
      </c>
      <c r="I198" s="103">
        <v>0</v>
      </c>
      <c r="J198" s="94" t="s">
        <v>127</v>
      </c>
      <c r="K198" s="32">
        <v>5.6593800000000007E-2</v>
      </c>
      <c r="L198" s="32">
        <v>0</v>
      </c>
      <c r="M198" s="154">
        <v>-37601.417183504091</v>
      </c>
      <c r="N198" s="94">
        <v>87.987099999999998</v>
      </c>
      <c r="O198" s="222">
        <v>-114.33972999859846</v>
      </c>
      <c r="P198" s="32">
        <v>-1.010738987439129E-4</v>
      </c>
      <c r="Q198" s="32">
        <v>-9.6828068910256528E-6</v>
      </c>
      <c r="R198" s="18"/>
    </row>
    <row r="199" spans="2:18" x14ac:dyDescent="0.2">
      <c r="B199" s="218" t="s">
        <v>3611</v>
      </c>
      <c r="C199" s="32" t="s">
        <v>238</v>
      </c>
      <c r="D199" s="32" t="s">
        <v>3612</v>
      </c>
      <c r="E199" s="32" t="s">
        <v>238</v>
      </c>
      <c r="F199" s="94" t="s">
        <v>599</v>
      </c>
      <c r="G199" s="94" t="s">
        <v>3613</v>
      </c>
      <c r="H199" s="94" t="s">
        <v>238</v>
      </c>
      <c r="I199" s="103">
        <v>1.69</v>
      </c>
      <c r="J199" s="94" t="s">
        <v>244</v>
      </c>
      <c r="K199" s="32">
        <v>3.5000000000000003E-2</v>
      </c>
      <c r="L199" s="32">
        <v>2.7799999999999998E-2</v>
      </c>
      <c r="M199" s="154">
        <v>15061059.475953422</v>
      </c>
      <c r="N199" s="94">
        <v>101.28</v>
      </c>
      <c r="O199" s="222">
        <v>15253.84103710407</v>
      </c>
      <c r="P199" s="32">
        <v>1.3484072285800383E-2</v>
      </c>
      <c r="Q199" s="32">
        <v>1.2917644384020466E-3</v>
      </c>
      <c r="R199" s="18"/>
    </row>
    <row r="200" spans="2:18" x14ac:dyDescent="0.2">
      <c r="B200" s="218" t="s">
        <v>3651</v>
      </c>
      <c r="C200" s="32" t="s">
        <v>238</v>
      </c>
      <c r="D200" s="32" t="s">
        <v>3652</v>
      </c>
      <c r="E200" s="32" t="s">
        <v>238</v>
      </c>
      <c r="F200" s="94" t="s">
        <v>599</v>
      </c>
      <c r="G200" s="94" t="s">
        <v>3653</v>
      </c>
      <c r="H200" s="94" t="s">
        <v>238</v>
      </c>
      <c r="I200" s="103">
        <v>5.12</v>
      </c>
      <c r="J200" s="94" t="s">
        <v>127</v>
      </c>
      <c r="K200" s="32">
        <v>5.6593800000000007E-2</v>
      </c>
      <c r="L200" s="32">
        <v>5.6600000000000004E-2</v>
      </c>
      <c r="M200" s="154">
        <v>2183688.5894679292</v>
      </c>
      <c r="N200" s="94">
        <v>102.19</v>
      </c>
      <c r="O200" s="222">
        <v>7712.1032929703815</v>
      </c>
      <c r="P200" s="32">
        <v>6.8173359106746215E-3</v>
      </c>
      <c r="Q200" s="32">
        <v>6.5309588286058208E-4</v>
      </c>
      <c r="R200" s="18"/>
    </row>
    <row r="201" spans="2:18" x14ac:dyDescent="0.2">
      <c r="B201" s="218" t="s">
        <v>3651</v>
      </c>
      <c r="C201" s="32" t="s">
        <v>238</v>
      </c>
      <c r="D201" s="32" t="s">
        <v>3654</v>
      </c>
      <c r="E201" s="32" t="s">
        <v>238</v>
      </c>
      <c r="F201" s="94" t="s">
        <v>599</v>
      </c>
      <c r="G201" s="94" t="s">
        <v>532</v>
      </c>
      <c r="H201" s="94" t="s">
        <v>238</v>
      </c>
      <c r="I201" s="103">
        <v>0</v>
      </c>
      <c r="J201" s="94" t="s">
        <v>127</v>
      </c>
      <c r="K201" s="32">
        <v>3.7499999999999999E-2</v>
      </c>
      <c r="L201" s="32">
        <v>0</v>
      </c>
      <c r="M201" s="154">
        <v>-22677.609162722882</v>
      </c>
      <c r="N201" s="94">
        <v>91.944100000000006</v>
      </c>
      <c r="O201" s="222">
        <v>-72.060102181201628</v>
      </c>
      <c r="P201" s="32">
        <v>-6.3699603553621023E-5</v>
      </c>
      <c r="Q201" s="32">
        <v>-6.1023762604363728E-6</v>
      </c>
      <c r="R201" s="18"/>
    </row>
    <row r="202" spans="2:18" x14ac:dyDescent="0.2">
      <c r="B202" s="218" t="s">
        <v>3619</v>
      </c>
      <c r="C202" s="32" t="s">
        <v>238</v>
      </c>
      <c r="D202" s="32" t="s">
        <v>3620</v>
      </c>
      <c r="E202" s="32" t="s">
        <v>3621</v>
      </c>
      <c r="F202" s="94" t="s">
        <v>599</v>
      </c>
      <c r="G202" s="94" t="s">
        <v>3622</v>
      </c>
      <c r="H202" s="94" t="s">
        <v>238</v>
      </c>
      <c r="I202" s="103">
        <v>7.95</v>
      </c>
      <c r="J202" s="94" t="s">
        <v>244</v>
      </c>
      <c r="K202" s="32">
        <v>1.8200000000000001E-2</v>
      </c>
      <c r="L202" s="32">
        <v>1.9E-2</v>
      </c>
      <c r="M202" s="154">
        <v>7723040.2094992455</v>
      </c>
      <c r="N202" s="94">
        <v>99.27</v>
      </c>
      <c r="O202" s="222">
        <v>7666.6620154640532</v>
      </c>
      <c r="P202" s="32">
        <v>6.7771667841468181E-3</v>
      </c>
      <c r="Q202" s="32">
        <v>6.4924770939558723E-4</v>
      </c>
      <c r="R202" s="18"/>
    </row>
    <row r="203" spans="2:18" x14ac:dyDescent="0.2">
      <c r="B203" s="218" t="s">
        <v>3627</v>
      </c>
      <c r="C203" s="32" t="s">
        <v>238</v>
      </c>
      <c r="D203" s="32" t="s">
        <v>3628</v>
      </c>
      <c r="E203" s="32" t="s">
        <v>3629</v>
      </c>
      <c r="F203" s="94" t="s">
        <v>599</v>
      </c>
      <c r="G203" s="94" t="s">
        <v>3007</v>
      </c>
      <c r="H203" s="94" t="s">
        <v>238</v>
      </c>
      <c r="I203" s="103">
        <v>10.31</v>
      </c>
      <c r="J203" s="94" t="s">
        <v>244</v>
      </c>
      <c r="K203" s="32">
        <v>1.7899999999999999E-2</v>
      </c>
      <c r="L203" s="32">
        <v>1.8000000000000006E-2</v>
      </c>
      <c r="M203" s="154">
        <v>1951091.5302124829</v>
      </c>
      <c r="N203" s="94">
        <v>100</v>
      </c>
      <c r="O203" s="222">
        <v>1951.0915302124829</v>
      </c>
      <c r="P203" s="32">
        <v>1.7247235739250026E-3</v>
      </c>
      <c r="Q203" s="32">
        <v>1.6522727938919209E-4</v>
      </c>
      <c r="R203" s="18"/>
    </row>
    <row r="204" spans="2:18" x14ac:dyDescent="0.2">
      <c r="B204" s="218" t="s">
        <v>3630</v>
      </c>
      <c r="C204" s="32" t="s">
        <v>238</v>
      </c>
      <c r="D204" s="32" t="s">
        <v>3631</v>
      </c>
      <c r="E204" s="32" t="s">
        <v>3632</v>
      </c>
      <c r="F204" s="94" t="s">
        <v>599</v>
      </c>
      <c r="G204" s="94" t="s">
        <v>3007</v>
      </c>
      <c r="H204" s="94" t="s">
        <v>238</v>
      </c>
      <c r="I204" s="103">
        <v>10.31</v>
      </c>
      <c r="J204" s="94" t="s">
        <v>244</v>
      </c>
      <c r="K204" s="32">
        <v>1.7899999999999999E-2</v>
      </c>
      <c r="L204" s="32">
        <v>1.8000000000000006E-2</v>
      </c>
      <c r="M204" s="154">
        <v>1289196.3214312629</v>
      </c>
      <c r="N204" s="94">
        <v>100</v>
      </c>
      <c r="O204" s="222">
        <v>1289.196321431263</v>
      </c>
      <c r="P204" s="32">
        <v>1.139622233277669E-3</v>
      </c>
      <c r="Q204" s="32">
        <v>1.0917499127549601E-4</v>
      </c>
      <c r="R204" s="18"/>
    </row>
    <row r="205" spans="2:18" x14ac:dyDescent="0.2">
      <c r="B205" s="218" t="s">
        <v>3670</v>
      </c>
      <c r="C205" s="32" t="s">
        <v>238</v>
      </c>
      <c r="D205" s="32" t="s">
        <v>3671</v>
      </c>
      <c r="E205" s="32" t="s">
        <v>3672</v>
      </c>
      <c r="F205" s="94" t="s">
        <v>599</v>
      </c>
      <c r="G205" s="94" t="s">
        <v>3131</v>
      </c>
      <c r="H205" s="94" t="s">
        <v>238</v>
      </c>
      <c r="I205" s="103">
        <v>0</v>
      </c>
      <c r="J205" s="94" t="s">
        <v>244</v>
      </c>
      <c r="K205" s="32">
        <v>0</v>
      </c>
      <c r="L205" s="32">
        <v>0</v>
      </c>
      <c r="M205" s="154">
        <v>-32287.636583512049</v>
      </c>
      <c r="N205" s="94">
        <v>98.518900000000002</v>
      </c>
      <c r="O205" s="222">
        <v>-31.809431504518574</v>
      </c>
      <c r="P205" s="32">
        <v>-2.8118863487158428E-5</v>
      </c>
      <c r="Q205" s="32">
        <v>-2.6937669222704686E-6</v>
      </c>
      <c r="R205" s="18"/>
    </row>
    <row r="206" spans="2:18" x14ac:dyDescent="0.2">
      <c r="B206" s="218" t="s">
        <v>3384</v>
      </c>
      <c r="C206" s="32" t="s">
        <v>238</v>
      </c>
      <c r="D206" s="32" t="s">
        <v>3582</v>
      </c>
      <c r="E206" s="32" t="s">
        <v>3583</v>
      </c>
      <c r="F206" s="94" t="s">
        <v>599</v>
      </c>
      <c r="G206" s="94" t="s">
        <v>3584</v>
      </c>
      <c r="H206" s="94" t="s">
        <v>238</v>
      </c>
      <c r="I206" s="103">
        <v>1.32</v>
      </c>
      <c r="J206" s="94" t="s">
        <v>244</v>
      </c>
      <c r="K206" s="32">
        <v>5.7500000000000002E-2</v>
      </c>
      <c r="L206" s="32">
        <v>3.85E-2</v>
      </c>
      <c r="M206" s="154">
        <v>3604854</v>
      </c>
      <c r="N206" s="94">
        <v>105.27</v>
      </c>
      <c r="O206" s="222">
        <v>3794.8298</v>
      </c>
      <c r="P206" s="32">
        <v>3.3545491401832483E-3</v>
      </c>
      <c r="Q206" s="32">
        <v>3.2136339781596395E-4</v>
      </c>
      <c r="R206" s="18"/>
    </row>
    <row r="207" spans="2:18" x14ac:dyDescent="0.2">
      <c r="B207" s="218" t="s">
        <v>3384</v>
      </c>
      <c r="C207" s="32" t="s">
        <v>238</v>
      </c>
      <c r="D207" s="32" t="s">
        <v>3585</v>
      </c>
      <c r="E207" s="32" t="s">
        <v>3586</v>
      </c>
      <c r="F207" s="94" t="s">
        <v>599</v>
      </c>
      <c r="G207" s="94" t="s">
        <v>3584</v>
      </c>
      <c r="H207" s="94" t="s">
        <v>238</v>
      </c>
      <c r="I207" s="103">
        <v>1.32</v>
      </c>
      <c r="J207" s="94" t="s">
        <v>244</v>
      </c>
      <c r="K207" s="32">
        <v>6.0999999999999999E-2</v>
      </c>
      <c r="L207" s="32">
        <v>4.1200000000000001E-2</v>
      </c>
      <c r="M207" s="154">
        <v>2403236</v>
      </c>
      <c r="N207" s="94">
        <v>105.42</v>
      </c>
      <c r="O207" s="222">
        <v>2533.4913900000001</v>
      </c>
      <c r="P207" s="32">
        <v>2.2395527103708747E-3</v>
      </c>
      <c r="Q207" s="32">
        <v>2.1454754082195977E-4</v>
      </c>
      <c r="R207" s="18"/>
    </row>
    <row r="208" spans="2:18" x14ac:dyDescent="0.2">
      <c r="B208" s="218" t="s">
        <v>3523</v>
      </c>
      <c r="C208" s="32" t="s">
        <v>238</v>
      </c>
      <c r="D208" s="32" t="s">
        <v>3524</v>
      </c>
      <c r="E208" s="32" t="s">
        <v>3525</v>
      </c>
      <c r="F208" s="94" t="s">
        <v>599</v>
      </c>
      <c r="G208" s="94" t="s">
        <v>3526</v>
      </c>
      <c r="H208" s="94" t="s">
        <v>238</v>
      </c>
      <c r="I208" s="103">
        <v>2.3199999999999998</v>
      </c>
      <c r="J208" s="94" t="s">
        <v>244</v>
      </c>
      <c r="K208" s="32">
        <v>4.4299999999999999E-2</v>
      </c>
      <c r="L208" s="32">
        <v>4.8999999999999998E-3</v>
      </c>
      <c r="M208" s="154">
        <v>4956114.91</v>
      </c>
      <c r="N208" s="94">
        <v>110.35</v>
      </c>
      <c r="O208" s="222">
        <v>5469.0727999999999</v>
      </c>
      <c r="P208" s="32">
        <v>4.8345444791330541E-3</v>
      </c>
      <c r="Q208" s="32">
        <v>4.6314588810040115E-4</v>
      </c>
      <c r="R208" s="18"/>
    </row>
    <row r="209" spans="2:27" x14ac:dyDescent="0.2">
      <c r="B209" s="132" t="s">
        <v>3318</v>
      </c>
      <c r="C209" s="167" t="s">
        <v>238</v>
      </c>
      <c r="D209" s="167" t="s">
        <v>238</v>
      </c>
      <c r="E209" s="167" t="s">
        <v>238</v>
      </c>
      <c r="F209" s="168" t="s">
        <v>238</v>
      </c>
      <c r="G209" s="168" t="s">
        <v>238</v>
      </c>
      <c r="H209" s="168" t="s">
        <v>238</v>
      </c>
      <c r="I209" s="178" t="s">
        <v>238</v>
      </c>
      <c r="J209" s="168" t="s">
        <v>238</v>
      </c>
      <c r="K209" s="167" t="s">
        <v>238</v>
      </c>
      <c r="L209" s="167" t="s">
        <v>238</v>
      </c>
      <c r="M209" s="202" t="s">
        <v>238</v>
      </c>
      <c r="N209" s="168" t="s">
        <v>238</v>
      </c>
      <c r="O209" s="169">
        <v>0</v>
      </c>
      <c r="P209" s="167">
        <v>0</v>
      </c>
      <c r="Q209" s="167">
        <v>0</v>
      </c>
      <c r="R209" s="18"/>
    </row>
    <row r="210" spans="2:27" x14ac:dyDescent="0.2">
      <c r="B210" s="132" t="s">
        <v>3319</v>
      </c>
      <c r="C210" s="167" t="s">
        <v>238</v>
      </c>
      <c r="D210" s="167" t="s">
        <v>238</v>
      </c>
      <c r="E210" s="167" t="s">
        <v>238</v>
      </c>
      <c r="F210" s="168" t="s">
        <v>238</v>
      </c>
      <c r="G210" s="168" t="s">
        <v>238</v>
      </c>
      <c r="H210" s="168" t="s">
        <v>238</v>
      </c>
      <c r="I210" s="178">
        <v>0</v>
      </c>
      <c r="J210" s="168" t="s">
        <v>238</v>
      </c>
      <c r="K210" s="167">
        <v>0</v>
      </c>
      <c r="L210" s="167">
        <v>0</v>
      </c>
      <c r="M210" s="202">
        <v>0</v>
      </c>
      <c r="N210" s="168" t="s">
        <v>238</v>
      </c>
      <c r="O210" s="169">
        <v>0</v>
      </c>
      <c r="P210" s="167">
        <v>0</v>
      </c>
      <c r="Q210" s="167">
        <v>0</v>
      </c>
      <c r="R210" s="18"/>
    </row>
    <row r="211" spans="2:27" x14ac:dyDescent="0.2">
      <c r="B211" s="132" t="s">
        <v>3320</v>
      </c>
      <c r="C211" s="167" t="s">
        <v>238</v>
      </c>
      <c r="D211" s="167" t="s">
        <v>238</v>
      </c>
      <c r="E211" s="167" t="s">
        <v>238</v>
      </c>
      <c r="F211" s="168" t="s">
        <v>238</v>
      </c>
      <c r="G211" s="168" t="s">
        <v>238</v>
      </c>
      <c r="H211" s="168" t="s">
        <v>238</v>
      </c>
      <c r="I211" s="178" t="s">
        <v>238</v>
      </c>
      <c r="J211" s="168" t="s">
        <v>238</v>
      </c>
      <c r="K211" s="167" t="s">
        <v>238</v>
      </c>
      <c r="L211" s="167" t="s">
        <v>238</v>
      </c>
      <c r="M211" s="202" t="s">
        <v>238</v>
      </c>
      <c r="N211" s="168" t="s">
        <v>238</v>
      </c>
      <c r="O211" s="169">
        <v>0</v>
      </c>
      <c r="P211" s="167">
        <v>0</v>
      </c>
      <c r="Q211" s="167">
        <v>0</v>
      </c>
      <c r="R211" s="18"/>
    </row>
    <row r="212" spans="2:27" x14ac:dyDescent="0.2">
      <c r="B212" s="132" t="s">
        <v>3321</v>
      </c>
      <c r="C212" s="167" t="s">
        <v>238</v>
      </c>
      <c r="D212" s="167" t="s">
        <v>238</v>
      </c>
      <c r="E212" s="167" t="s">
        <v>238</v>
      </c>
      <c r="F212" s="168" t="s">
        <v>238</v>
      </c>
      <c r="G212" s="168" t="s">
        <v>238</v>
      </c>
      <c r="H212" s="168" t="s">
        <v>238</v>
      </c>
      <c r="I212" s="178" t="s">
        <v>238</v>
      </c>
      <c r="J212" s="168" t="s">
        <v>238</v>
      </c>
      <c r="K212" s="167" t="s">
        <v>238</v>
      </c>
      <c r="L212" s="167" t="s">
        <v>238</v>
      </c>
      <c r="M212" s="202" t="s">
        <v>238</v>
      </c>
      <c r="N212" s="168" t="s">
        <v>238</v>
      </c>
      <c r="O212" s="169">
        <v>0</v>
      </c>
      <c r="P212" s="167">
        <v>0</v>
      </c>
      <c r="Q212" s="167">
        <v>0</v>
      </c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</row>
    <row r="213" spans="2:27" s="160" customFormat="1" x14ac:dyDescent="0.2">
      <c r="B213" s="132" t="s">
        <v>3322</v>
      </c>
      <c r="C213" s="167" t="s">
        <v>238</v>
      </c>
      <c r="D213" s="167" t="s">
        <v>238</v>
      </c>
      <c r="E213" s="167" t="s">
        <v>238</v>
      </c>
      <c r="F213" s="168" t="s">
        <v>599</v>
      </c>
      <c r="G213" s="168" t="s">
        <v>238</v>
      </c>
      <c r="H213" s="168" t="s">
        <v>238</v>
      </c>
      <c r="I213" s="178">
        <v>0</v>
      </c>
      <c r="J213" s="168" t="s">
        <v>244</v>
      </c>
      <c r="K213" s="167">
        <v>1.2999999999999999E-2</v>
      </c>
      <c r="L213" s="167">
        <v>0</v>
      </c>
      <c r="M213" s="202">
        <v>0</v>
      </c>
      <c r="N213" s="168" t="s">
        <v>238</v>
      </c>
      <c r="O213" s="169">
        <v>100</v>
      </c>
      <c r="P213" s="167">
        <f>O213/$O$11</f>
        <v>8.8397881248409316E-5</v>
      </c>
      <c r="Q213" s="167">
        <f>O213/'סכום נכסי הקרן'!$C$42</f>
        <v>8.468453521050244E-6</v>
      </c>
    </row>
    <row r="214" spans="2:27" s="160" customFormat="1" x14ac:dyDescent="0.2">
      <c r="B214" s="218" t="s">
        <v>3941</v>
      </c>
      <c r="C214" s="219"/>
      <c r="D214" s="223">
        <v>5836840810</v>
      </c>
      <c r="E214" s="223">
        <v>5836840810</v>
      </c>
      <c r="F214" s="220" t="s">
        <v>599</v>
      </c>
      <c r="G214" s="220"/>
      <c r="H214" s="220"/>
      <c r="I214" s="221"/>
      <c r="J214" s="220" t="s">
        <v>244</v>
      </c>
      <c r="K214" s="219">
        <v>1.2999999999999999E-2</v>
      </c>
      <c r="L214" s="167"/>
      <c r="M214" s="202"/>
      <c r="N214" s="220"/>
      <c r="O214" s="222">
        <v>100</v>
      </c>
      <c r="P214" s="219">
        <f>O214/$O$11</f>
        <v>8.8397881248409316E-5</v>
      </c>
      <c r="Q214" s="219">
        <f>O214/'סכום נכסי הקרן'!$C$42</f>
        <v>8.468453521050244E-6</v>
      </c>
    </row>
    <row r="215" spans="2:27" s="160" customFormat="1" x14ac:dyDescent="0.2">
      <c r="B215" s="132" t="s">
        <v>3323</v>
      </c>
      <c r="C215" s="167" t="s">
        <v>238</v>
      </c>
      <c r="D215" s="167" t="s">
        <v>238</v>
      </c>
      <c r="E215" s="167" t="s">
        <v>238</v>
      </c>
      <c r="F215" s="168" t="s">
        <v>238</v>
      </c>
      <c r="G215" s="168" t="s">
        <v>238</v>
      </c>
      <c r="H215" s="168" t="s">
        <v>238</v>
      </c>
      <c r="I215" s="178" t="s">
        <v>238</v>
      </c>
      <c r="J215" s="168" t="s">
        <v>238</v>
      </c>
      <c r="K215" s="167" t="s">
        <v>238</v>
      </c>
      <c r="L215" s="167" t="s">
        <v>238</v>
      </c>
      <c r="M215" s="202" t="s">
        <v>238</v>
      </c>
      <c r="N215" s="168" t="s">
        <v>238</v>
      </c>
      <c r="O215" s="169">
        <v>27356.803240100002</v>
      </c>
      <c r="P215" s="167">
        <v>2.4182834441544589E-2</v>
      </c>
      <c r="Q215" s="167">
        <v>2.3166981672330359E-3</v>
      </c>
    </row>
    <row r="216" spans="2:27" s="160" customFormat="1" x14ac:dyDescent="0.2">
      <c r="B216" s="218" t="s">
        <v>3324</v>
      </c>
      <c r="C216" s="32" t="s">
        <v>238</v>
      </c>
      <c r="D216" s="32" t="s">
        <v>3325</v>
      </c>
      <c r="E216" s="32" t="s">
        <v>1588</v>
      </c>
      <c r="F216" s="94" t="s">
        <v>253</v>
      </c>
      <c r="G216" s="94" t="s">
        <v>3326</v>
      </c>
      <c r="H216" s="94" t="s">
        <v>243</v>
      </c>
      <c r="I216" s="103">
        <v>1.88</v>
      </c>
      <c r="J216" s="94" t="s">
        <v>244</v>
      </c>
      <c r="K216" s="32">
        <v>3.5499999999999997E-2</v>
      </c>
      <c r="L216" s="32">
        <v>-5.5000000000000005E-3</v>
      </c>
      <c r="M216" s="154">
        <v>8543475.6999999993</v>
      </c>
      <c r="N216" s="94">
        <v>112.42</v>
      </c>
      <c r="O216" s="222">
        <v>9604.5753800000002</v>
      </c>
      <c r="P216" s="32">
        <v>8.4902411388263575E-3</v>
      </c>
      <c r="Q216" s="32">
        <v>8.1335900194953487E-4</v>
      </c>
    </row>
    <row r="217" spans="2:27" s="160" customFormat="1" x14ac:dyDescent="0.2">
      <c r="B217" s="218" t="s">
        <v>3327</v>
      </c>
      <c r="C217" s="32" t="s">
        <v>3328</v>
      </c>
      <c r="D217" s="32" t="s">
        <v>3329</v>
      </c>
      <c r="E217" s="32" t="s">
        <v>3330</v>
      </c>
      <c r="F217" s="94" t="s">
        <v>572</v>
      </c>
      <c r="G217" s="94" t="s">
        <v>3331</v>
      </c>
      <c r="H217" s="94" t="s">
        <v>243</v>
      </c>
      <c r="I217" s="103">
        <v>2</v>
      </c>
      <c r="J217" s="94" t="s">
        <v>244</v>
      </c>
      <c r="K217" s="32">
        <v>4.4999999999999998E-2</v>
      </c>
      <c r="L217" s="32">
        <v>-2.0999999999999999E-3</v>
      </c>
      <c r="M217" s="154">
        <v>15814902.33</v>
      </c>
      <c r="N217" s="94">
        <v>112.25</v>
      </c>
      <c r="O217" s="222">
        <v>17752.227859999999</v>
      </c>
      <c r="P217" s="32">
        <v>1.5692593302629832E-2</v>
      </c>
      <c r="Q217" s="32">
        <v>1.5033391652750322E-3</v>
      </c>
    </row>
    <row r="218" spans="2:27" x14ac:dyDescent="0.2">
      <c r="B218" s="132" t="s">
        <v>544</v>
      </c>
      <c r="C218" s="167" t="s">
        <v>238</v>
      </c>
      <c r="D218" s="167" t="s">
        <v>238</v>
      </c>
      <c r="E218" s="167" t="s">
        <v>238</v>
      </c>
      <c r="F218" s="168" t="s">
        <v>238</v>
      </c>
      <c r="G218" s="168" t="s">
        <v>238</v>
      </c>
      <c r="H218" s="168" t="s">
        <v>238</v>
      </c>
      <c r="I218" s="178" t="s">
        <v>238</v>
      </c>
      <c r="J218" s="168" t="s">
        <v>238</v>
      </c>
      <c r="K218" s="167" t="s">
        <v>238</v>
      </c>
      <c r="L218" s="167" t="s">
        <v>238</v>
      </c>
      <c r="M218" s="202" t="s">
        <v>238</v>
      </c>
      <c r="N218" s="168" t="s">
        <v>238</v>
      </c>
      <c r="O218" s="169">
        <v>58077.117818808678</v>
      </c>
      <c r="P218" s="167">
        <v>5.1338941641969255E-2</v>
      </c>
      <c r="Q218" s="167">
        <v>4.9182337288514021E-3</v>
      </c>
      <c r="R218" s="18"/>
    </row>
    <row r="219" spans="2:27" x14ac:dyDescent="0.2">
      <c r="B219" s="132" t="s">
        <v>3288</v>
      </c>
      <c r="C219" s="167" t="s">
        <v>238</v>
      </c>
      <c r="D219" s="167" t="s">
        <v>238</v>
      </c>
      <c r="E219" s="167" t="s">
        <v>238</v>
      </c>
      <c r="F219" s="168" t="s">
        <v>238</v>
      </c>
      <c r="G219" s="168" t="s">
        <v>238</v>
      </c>
      <c r="H219" s="168" t="s">
        <v>238</v>
      </c>
      <c r="I219" s="178" t="s">
        <v>238</v>
      </c>
      <c r="J219" s="168" t="s">
        <v>238</v>
      </c>
      <c r="K219" s="167" t="s">
        <v>238</v>
      </c>
      <c r="L219" s="167" t="s">
        <v>238</v>
      </c>
      <c r="M219" s="202" t="s">
        <v>238</v>
      </c>
      <c r="N219" s="168" t="s">
        <v>238</v>
      </c>
      <c r="O219" s="169">
        <v>0</v>
      </c>
      <c r="P219" s="167">
        <v>0</v>
      </c>
      <c r="Q219" s="167">
        <v>0</v>
      </c>
      <c r="R219" s="18"/>
    </row>
    <row r="220" spans="2:27" x14ac:dyDescent="0.2">
      <c r="B220" s="132" t="s">
        <v>3317</v>
      </c>
      <c r="C220" s="167" t="s">
        <v>238</v>
      </c>
      <c r="D220" s="167" t="s">
        <v>238</v>
      </c>
      <c r="E220" s="167" t="s">
        <v>238</v>
      </c>
      <c r="F220" s="168" t="s">
        <v>238</v>
      </c>
      <c r="G220" s="168" t="s">
        <v>238</v>
      </c>
      <c r="H220" s="168" t="s">
        <v>238</v>
      </c>
      <c r="I220" s="178" t="s">
        <v>238</v>
      </c>
      <c r="J220" s="168" t="s">
        <v>238</v>
      </c>
      <c r="K220" s="167" t="s">
        <v>238</v>
      </c>
      <c r="L220" s="167" t="s">
        <v>238</v>
      </c>
      <c r="M220" s="202" t="s">
        <v>238</v>
      </c>
      <c r="N220" s="168" t="s">
        <v>238</v>
      </c>
      <c r="O220" s="169">
        <v>0</v>
      </c>
      <c r="P220" s="167">
        <v>0</v>
      </c>
      <c r="Q220" s="167">
        <v>0</v>
      </c>
      <c r="R220" s="18"/>
    </row>
    <row r="221" spans="2:27" x14ac:dyDescent="0.2">
      <c r="B221" s="132" t="s">
        <v>3332</v>
      </c>
      <c r="C221" s="167" t="s">
        <v>238</v>
      </c>
      <c r="D221" s="167" t="s">
        <v>238</v>
      </c>
      <c r="E221" s="167" t="s">
        <v>238</v>
      </c>
      <c r="F221" s="168" t="s">
        <v>238</v>
      </c>
      <c r="G221" s="168" t="s">
        <v>238</v>
      </c>
      <c r="H221" s="168" t="s">
        <v>238</v>
      </c>
      <c r="I221" s="178" t="s">
        <v>238</v>
      </c>
      <c r="J221" s="168" t="s">
        <v>238</v>
      </c>
      <c r="K221" s="167" t="s">
        <v>238</v>
      </c>
      <c r="L221" s="167" t="s">
        <v>238</v>
      </c>
      <c r="M221" s="202" t="s">
        <v>238</v>
      </c>
      <c r="N221" s="168" t="s">
        <v>238</v>
      </c>
      <c r="O221" s="169">
        <v>58077.117818508668</v>
      </c>
      <c r="P221" s="167">
        <v>5.1338941641704057E-2</v>
      </c>
      <c r="Q221" s="167">
        <v>4.9182337288259962E-3</v>
      </c>
      <c r="R221" s="18"/>
    </row>
    <row r="222" spans="2:27" x14ac:dyDescent="0.2">
      <c r="B222" s="218" t="s">
        <v>3675</v>
      </c>
      <c r="C222" s="32" t="s">
        <v>238</v>
      </c>
      <c r="D222" s="32" t="s">
        <v>3676</v>
      </c>
      <c r="E222" s="32" t="s">
        <v>238</v>
      </c>
      <c r="F222" s="94" t="s">
        <v>599</v>
      </c>
      <c r="G222" s="94" t="s">
        <v>1197</v>
      </c>
      <c r="H222" s="94" t="s">
        <v>238</v>
      </c>
      <c r="I222" s="103">
        <v>2.36</v>
      </c>
      <c r="J222" s="94" t="s">
        <v>127</v>
      </c>
      <c r="K222" s="32">
        <v>4.2593799046325688E-2</v>
      </c>
      <c r="L222" s="32">
        <v>3.6500000000000005E-2</v>
      </c>
      <c r="M222" s="154">
        <v>3624097</v>
      </c>
      <c r="N222" s="94">
        <v>102.79</v>
      </c>
      <c r="O222" s="222">
        <v>12874.323359999999</v>
      </c>
      <c r="P222" s="32">
        <v>1.1380629075309019E-2</v>
      </c>
      <c r="Q222" s="32">
        <v>1.090256089891314E-3</v>
      </c>
      <c r="R222" s="18"/>
    </row>
    <row r="223" spans="2:27" x14ac:dyDescent="0.2">
      <c r="B223" s="218" t="s">
        <v>3677</v>
      </c>
      <c r="C223" s="32" t="s">
        <v>238</v>
      </c>
      <c r="D223" s="32" t="s">
        <v>3678</v>
      </c>
      <c r="E223" s="32" t="s">
        <v>238</v>
      </c>
      <c r="F223" s="94" t="s">
        <v>599</v>
      </c>
      <c r="G223" s="94" t="s">
        <v>3662</v>
      </c>
      <c r="H223" s="94" t="s">
        <v>238</v>
      </c>
      <c r="I223" s="103">
        <v>1.01</v>
      </c>
      <c r="J223" s="94" t="s">
        <v>127</v>
      </c>
      <c r="K223" s="32">
        <v>3.9808800476837158E-2</v>
      </c>
      <c r="L223" s="32">
        <v>4.1500000000000002E-2</v>
      </c>
      <c r="M223" s="154">
        <v>2078067.3570206279</v>
      </c>
      <c r="N223" s="94">
        <v>100.22</v>
      </c>
      <c r="O223" s="222">
        <v>7197.6007472865786</v>
      </c>
      <c r="P223" s="32">
        <v>6.3625265613210108E-3</v>
      </c>
      <c r="Q223" s="32">
        <v>6.0952547391472894E-4</v>
      </c>
      <c r="R223" s="18"/>
    </row>
    <row r="224" spans="2:27" x14ac:dyDescent="0.2">
      <c r="B224" s="218" t="s">
        <v>3677</v>
      </c>
      <c r="C224" s="32" t="s">
        <v>238</v>
      </c>
      <c r="D224" s="32" t="s">
        <v>3679</v>
      </c>
      <c r="E224" s="32" t="s">
        <v>238</v>
      </c>
      <c r="F224" s="94" t="s">
        <v>599</v>
      </c>
      <c r="G224" s="94" t="s">
        <v>3680</v>
      </c>
      <c r="H224" s="94" t="s">
        <v>238</v>
      </c>
      <c r="I224" s="103">
        <v>1.01</v>
      </c>
      <c r="J224" s="94" t="s">
        <v>127</v>
      </c>
      <c r="K224" s="32">
        <v>3.9808800476837158E-2</v>
      </c>
      <c r="L224" s="32">
        <v>4.1500000000000009E-2</v>
      </c>
      <c r="M224" s="154">
        <v>2459.4397118241068</v>
      </c>
      <c r="N224" s="94">
        <v>100.22</v>
      </c>
      <c r="O224" s="222">
        <v>8.5185230738196918</v>
      </c>
      <c r="P224" s="32">
        <v>7.5301939109134772E-6</v>
      </c>
      <c r="Q224" s="32">
        <v>7.2138716718636114E-7</v>
      </c>
      <c r="R224" s="18"/>
    </row>
    <row r="225" spans="2:18" x14ac:dyDescent="0.2">
      <c r="B225" s="218" t="s">
        <v>3677</v>
      </c>
      <c r="C225" s="32" t="s">
        <v>238</v>
      </c>
      <c r="D225" s="32" t="s">
        <v>3698</v>
      </c>
      <c r="E225" s="32" t="s">
        <v>238</v>
      </c>
      <c r="F225" s="94" t="s">
        <v>599</v>
      </c>
      <c r="G225" s="94" t="s">
        <v>3699</v>
      </c>
      <c r="H225" s="94" t="s">
        <v>238</v>
      </c>
      <c r="I225" s="103">
        <v>1.01</v>
      </c>
      <c r="J225" s="94" t="s">
        <v>127</v>
      </c>
      <c r="K225" s="32">
        <v>3.9808800476837158E-2</v>
      </c>
      <c r="L225" s="32">
        <v>4.1500000000000002E-2</v>
      </c>
      <c r="M225" s="154">
        <v>1722.2345900470796</v>
      </c>
      <c r="N225" s="94">
        <v>100.22</v>
      </c>
      <c r="O225" s="222">
        <v>5.9651365409211934</v>
      </c>
      <c r="P225" s="32">
        <v>5.2730543157489871E-6</v>
      </c>
      <c r="Q225" s="32">
        <v>5.0515481543509556E-7</v>
      </c>
      <c r="R225" s="18"/>
    </row>
    <row r="226" spans="2:18" x14ac:dyDescent="0.2">
      <c r="B226" s="218" t="s">
        <v>3677</v>
      </c>
      <c r="C226" s="32" t="s">
        <v>238</v>
      </c>
      <c r="D226" s="32" t="s">
        <v>3706</v>
      </c>
      <c r="E226" s="32" t="s">
        <v>238</v>
      </c>
      <c r="F226" s="94" t="s">
        <v>599</v>
      </c>
      <c r="G226" s="94" t="s">
        <v>3707</v>
      </c>
      <c r="H226" s="94" t="s">
        <v>238</v>
      </c>
      <c r="I226" s="103">
        <v>1.01</v>
      </c>
      <c r="J226" s="94" t="s">
        <v>127</v>
      </c>
      <c r="K226" s="32">
        <v>3.9808800476837158E-2</v>
      </c>
      <c r="L226" s="32">
        <v>4.1500000000000009E-2</v>
      </c>
      <c r="M226" s="154">
        <v>43244.158948947494</v>
      </c>
      <c r="N226" s="94">
        <v>100.22</v>
      </c>
      <c r="O226" s="222">
        <v>149.78060654743061</v>
      </c>
      <c r="P226" s="32">
        <v>1.3240288270894486E-4</v>
      </c>
      <c r="Q226" s="32">
        <v>1.26841010490163E-5</v>
      </c>
      <c r="R226" s="18"/>
    </row>
    <row r="227" spans="2:18" x14ac:dyDescent="0.2">
      <c r="B227" s="218" t="s">
        <v>3677</v>
      </c>
      <c r="C227" s="32" t="s">
        <v>238</v>
      </c>
      <c r="D227" s="32" t="s">
        <v>3712</v>
      </c>
      <c r="E227" s="32" t="s">
        <v>238</v>
      </c>
      <c r="F227" s="94" t="s">
        <v>599</v>
      </c>
      <c r="G227" s="94" t="s">
        <v>3604</v>
      </c>
      <c r="H227" s="94" t="s">
        <v>238</v>
      </c>
      <c r="I227" s="103">
        <v>1.01</v>
      </c>
      <c r="J227" s="94" t="s">
        <v>127</v>
      </c>
      <c r="K227" s="32">
        <v>3.9808800476837158E-2</v>
      </c>
      <c r="L227" s="32">
        <v>4.1500000000000002E-2</v>
      </c>
      <c r="M227" s="154">
        <v>4160.7024928513511</v>
      </c>
      <c r="N227" s="94">
        <v>100.22</v>
      </c>
      <c r="O227" s="222">
        <v>14.411021963853168</v>
      </c>
      <c r="P227" s="32">
        <v>1.2739038082289105E-5</v>
      </c>
      <c r="Q227" s="32">
        <v>1.2203906969172477E-6</v>
      </c>
      <c r="R227" s="18"/>
    </row>
    <row r="228" spans="2:18" x14ac:dyDescent="0.2">
      <c r="B228" s="218" t="s">
        <v>3677</v>
      </c>
      <c r="C228" s="32" t="s">
        <v>238</v>
      </c>
      <c r="D228" s="32" t="s">
        <v>3717</v>
      </c>
      <c r="E228" s="32" t="s">
        <v>238</v>
      </c>
      <c r="F228" s="94" t="s">
        <v>599</v>
      </c>
      <c r="G228" s="94" t="s">
        <v>3718</v>
      </c>
      <c r="H228" s="94" t="s">
        <v>238</v>
      </c>
      <c r="I228" s="103">
        <v>1.01</v>
      </c>
      <c r="J228" s="94" t="s">
        <v>127</v>
      </c>
      <c r="K228" s="32">
        <v>3.9808800476837158E-2</v>
      </c>
      <c r="L228" s="32">
        <v>4.1500000000000002E-2</v>
      </c>
      <c r="M228" s="154">
        <v>3108.1871801001516</v>
      </c>
      <c r="N228" s="94">
        <v>100.22</v>
      </c>
      <c r="O228" s="222">
        <v>10.765526361663079</v>
      </c>
      <c r="P228" s="32">
        <v>9.5164972089491278E-6</v>
      </c>
      <c r="Q228" s="32">
        <v>9.1167359623384931E-7</v>
      </c>
      <c r="R228" s="18"/>
    </row>
    <row r="229" spans="2:18" x14ac:dyDescent="0.2">
      <c r="B229" s="218" t="s">
        <v>3677</v>
      </c>
      <c r="C229" s="32" t="s">
        <v>238</v>
      </c>
      <c r="D229" s="32" t="s">
        <v>3725</v>
      </c>
      <c r="E229" s="32" t="s">
        <v>238</v>
      </c>
      <c r="F229" s="94" t="s">
        <v>599</v>
      </c>
      <c r="G229" s="94" t="s">
        <v>1327</v>
      </c>
      <c r="H229" s="94" t="s">
        <v>238</v>
      </c>
      <c r="I229" s="103">
        <v>1.01</v>
      </c>
      <c r="J229" s="94" t="s">
        <v>127</v>
      </c>
      <c r="K229" s="32">
        <v>3.9808800476837158E-2</v>
      </c>
      <c r="L229" s="32">
        <v>4.1500000000000002E-2</v>
      </c>
      <c r="M229" s="154">
        <v>16734.955264404427</v>
      </c>
      <c r="N229" s="94">
        <v>100.22</v>
      </c>
      <c r="O229" s="222">
        <v>57.963244158133286</v>
      </c>
      <c r="P229" s="32">
        <v>5.1238279738632208E-5</v>
      </c>
      <c r="Q229" s="32">
        <v>4.9085903908243883E-6</v>
      </c>
      <c r="R229" s="18"/>
    </row>
    <row r="230" spans="2:18" x14ac:dyDescent="0.2">
      <c r="B230" s="218" t="s">
        <v>3681</v>
      </c>
      <c r="C230" s="32" t="s">
        <v>3328</v>
      </c>
      <c r="D230" s="32" t="s">
        <v>3682</v>
      </c>
      <c r="E230" s="32" t="s">
        <v>238</v>
      </c>
      <c r="F230" s="94" t="s">
        <v>599</v>
      </c>
      <c r="G230" s="94" t="s">
        <v>3683</v>
      </c>
      <c r="H230" s="94" t="s">
        <v>238</v>
      </c>
      <c r="I230" s="103">
        <v>3.05</v>
      </c>
      <c r="J230" s="94" t="s">
        <v>127</v>
      </c>
      <c r="K230" s="32">
        <v>5.4093800000000004E-2</v>
      </c>
      <c r="L230" s="32">
        <v>5.3200000000000004E-2</v>
      </c>
      <c r="M230" s="154">
        <v>2947649.4413591116</v>
      </c>
      <c r="N230" s="94">
        <v>101</v>
      </c>
      <c r="O230" s="222">
        <v>10288.947235160416</v>
      </c>
      <c r="P230" s="32">
        <v>9.0952113586485975E-3</v>
      </c>
      <c r="Q230" s="32">
        <v>8.7131471441494396E-4</v>
      </c>
      <c r="R230" s="18"/>
    </row>
    <row r="231" spans="2:18" x14ac:dyDescent="0.2">
      <c r="B231" s="218" t="s">
        <v>3681</v>
      </c>
      <c r="C231" s="32" t="s">
        <v>3328</v>
      </c>
      <c r="D231" s="32" t="s">
        <v>3687</v>
      </c>
      <c r="E231" s="32" t="s">
        <v>238</v>
      </c>
      <c r="F231" s="94" t="s">
        <v>599</v>
      </c>
      <c r="G231" s="94" t="s">
        <v>3688</v>
      </c>
      <c r="H231" s="94" t="s">
        <v>238</v>
      </c>
      <c r="I231" s="103">
        <v>3.05</v>
      </c>
      <c r="J231" s="94" t="s">
        <v>127</v>
      </c>
      <c r="K231" s="32">
        <v>5.4093800000000004E-2</v>
      </c>
      <c r="L231" s="32">
        <v>5.3200000000000011E-2</v>
      </c>
      <c r="M231" s="154">
        <v>48828.00056577244</v>
      </c>
      <c r="N231" s="94">
        <v>101</v>
      </c>
      <c r="O231" s="222">
        <v>170.4370674596185</v>
      </c>
      <c r="P231" s="32">
        <v>1.5066275649622482E-4</v>
      </c>
      <c r="Q231" s="32">
        <v>1.4433383840458843E-5</v>
      </c>
      <c r="R231" s="18"/>
    </row>
    <row r="232" spans="2:18" x14ac:dyDescent="0.2">
      <c r="B232" s="218" t="s">
        <v>3681</v>
      </c>
      <c r="C232" s="32" t="s">
        <v>3328</v>
      </c>
      <c r="D232" s="32" t="s">
        <v>3691</v>
      </c>
      <c r="E232" s="32" t="s">
        <v>238</v>
      </c>
      <c r="F232" s="94" t="s">
        <v>599</v>
      </c>
      <c r="G232" s="94" t="s">
        <v>1470</v>
      </c>
      <c r="H232" s="94" t="s">
        <v>238</v>
      </c>
      <c r="I232" s="103">
        <v>3.05</v>
      </c>
      <c r="J232" s="94" t="s">
        <v>127</v>
      </c>
      <c r="K232" s="32">
        <v>5.4093800000000004E-2</v>
      </c>
      <c r="L232" s="32">
        <v>5.3200000000000004E-2</v>
      </c>
      <c r="M232" s="154">
        <v>20073.295676967449</v>
      </c>
      <c r="N232" s="94">
        <v>101</v>
      </c>
      <c r="O232" s="222">
        <v>70.067043379751127</v>
      </c>
      <c r="P232" s="32">
        <v>6.1937781801103836E-5</v>
      </c>
      <c r="Q232" s="32">
        <v>5.9335950021883358E-6</v>
      </c>
      <c r="R232" s="18"/>
    </row>
    <row r="233" spans="2:18" x14ac:dyDescent="0.2">
      <c r="B233" s="218" t="s">
        <v>3681</v>
      </c>
      <c r="C233" s="32" t="s">
        <v>3328</v>
      </c>
      <c r="D233" s="32" t="s">
        <v>3692</v>
      </c>
      <c r="E233" s="32" t="s">
        <v>238</v>
      </c>
      <c r="F233" s="94" t="s">
        <v>599</v>
      </c>
      <c r="G233" s="94" t="s">
        <v>3693</v>
      </c>
      <c r="H233" s="94" t="s">
        <v>238</v>
      </c>
      <c r="I233" s="103">
        <v>3.05</v>
      </c>
      <c r="J233" s="94" t="s">
        <v>127</v>
      </c>
      <c r="K233" s="32">
        <v>5.4093800000000004E-2</v>
      </c>
      <c r="L233" s="32">
        <v>5.3200000000000004E-2</v>
      </c>
      <c r="M233" s="154">
        <v>14971.998167630501</v>
      </c>
      <c r="N233" s="94">
        <v>101</v>
      </c>
      <c r="O233" s="222">
        <v>52.260658216137706</v>
      </c>
      <c r="P233" s="32">
        <v>4.6197314589538473E-5</v>
      </c>
      <c r="Q233" s="32">
        <v>4.425669550828547E-6</v>
      </c>
      <c r="R233" s="18"/>
    </row>
    <row r="234" spans="2:18" x14ac:dyDescent="0.2">
      <c r="B234" s="218" t="s">
        <v>3681</v>
      </c>
      <c r="C234" s="32" t="s">
        <v>3328</v>
      </c>
      <c r="D234" s="32" t="s">
        <v>3697</v>
      </c>
      <c r="E234" s="32" t="s">
        <v>238</v>
      </c>
      <c r="F234" s="94" t="s">
        <v>599</v>
      </c>
      <c r="G234" s="94" t="s">
        <v>3360</v>
      </c>
      <c r="H234" s="94" t="s">
        <v>238</v>
      </c>
      <c r="I234" s="103">
        <v>3.05</v>
      </c>
      <c r="J234" s="94" t="s">
        <v>127</v>
      </c>
      <c r="K234" s="32">
        <v>5.4093800000000004E-2</v>
      </c>
      <c r="L234" s="32">
        <v>5.3200000000000011E-2</v>
      </c>
      <c r="M234" s="154">
        <v>116144.89224123304</v>
      </c>
      <c r="N234" s="94">
        <v>101</v>
      </c>
      <c r="O234" s="222">
        <v>405.41071557986959</v>
      </c>
      <c r="P234" s="32">
        <v>3.5837448292661955E-4</v>
      </c>
      <c r="Q234" s="32">
        <v>3.4332018018238454E-5</v>
      </c>
      <c r="R234" s="18"/>
    </row>
    <row r="235" spans="2:18" x14ac:dyDescent="0.2">
      <c r="B235" s="218" t="s">
        <v>3684</v>
      </c>
      <c r="C235" s="32" t="s">
        <v>3328</v>
      </c>
      <c r="D235" s="32" t="s">
        <v>3685</v>
      </c>
      <c r="E235" s="32" t="s">
        <v>238</v>
      </c>
      <c r="F235" s="94" t="s">
        <v>599</v>
      </c>
      <c r="G235" s="94" t="s">
        <v>3686</v>
      </c>
      <c r="H235" s="94" t="s">
        <v>238</v>
      </c>
      <c r="I235" s="103">
        <v>5.42</v>
      </c>
      <c r="J235" s="94" t="s">
        <v>127</v>
      </c>
      <c r="K235" s="32">
        <v>5.0308800000000001E-2</v>
      </c>
      <c r="L235" s="32">
        <v>5.0500000000000003E-2</v>
      </c>
      <c r="M235" s="154">
        <v>237040.97401730291</v>
      </c>
      <c r="N235" s="94">
        <v>101</v>
      </c>
      <c r="O235" s="222">
        <v>827.40574153814794</v>
      </c>
      <c r="P235" s="32">
        <v>7.3140914484741242E-4</v>
      </c>
      <c r="Q235" s="32">
        <v>7.0068470652659174E-5</v>
      </c>
      <c r="R235" s="18"/>
    </row>
    <row r="236" spans="2:18" x14ac:dyDescent="0.2">
      <c r="B236" s="218" t="s">
        <v>3684</v>
      </c>
      <c r="C236" s="32" t="s">
        <v>3328</v>
      </c>
      <c r="D236" s="32" t="s">
        <v>3689</v>
      </c>
      <c r="E236" s="32" t="s">
        <v>238</v>
      </c>
      <c r="F236" s="94" t="s">
        <v>599</v>
      </c>
      <c r="G236" s="94" t="s">
        <v>3690</v>
      </c>
      <c r="H236" s="94" t="s">
        <v>238</v>
      </c>
      <c r="I236" s="103">
        <v>0</v>
      </c>
      <c r="J236" s="94" t="s">
        <v>244</v>
      </c>
      <c r="K236" s="32">
        <v>5.1593800000000002E-2</v>
      </c>
      <c r="L236" s="32">
        <v>0</v>
      </c>
      <c r="M236" s="154">
        <v>-293859.44090300007</v>
      </c>
      <c r="N236" s="94">
        <v>83.277000000000001</v>
      </c>
      <c r="O236" s="222">
        <v>-244.7174057020197</v>
      </c>
      <c r="P236" s="32">
        <v>-2.163250016866594E-4</v>
      </c>
      <c r="Q236" s="32">
        <v>-2.0723779759795498E-5</v>
      </c>
      <c r="R236" s="18"/>
    </row>
    <row r="237" spans="2:18" x14ac:dyDescent="0.2">
      <c r="B237" s="218" t="s">
        <v>3684</v>
      </c>
      <c r="C237" s="32" t="s">
        <v>3328</v>
      </c>
      <c r="D237" s="32" t="s">
        <v>3694</v>
      </c>
      <c r="E237" s="32" t="s">
        <v>238</v>
      </c>
      <c r="F237" s="94" t="s">
        <v>599</v>
      </c>
      <c r="G237" s="94" t="s">
        <v>3695</v>
      </c>
      <c r="H237" s="94" t="s">
        <v>238</v>
      </c>
      <c r="I237" s="103">
        <v>5.42</v>
      </c>
      <c r="J237" s="94" t="s">
        <v>127</v>
      </c>
      <c r="K237" s="32">
        <v>5.0308800000000001E-2</v>
      </c>
      <c r="L237" s="32">
        <v>5.0499999999999989E-2</v>
      </c>
      <c r="M237" s="154">
        <v>124204.61190593084</v>
      </c>
      <c r="N237" s="94">
        <v>101</v>
      </c>
      <c r="O237" s="222">
        <v>433.5436492548547</v>
      </c>
      <c r="P237" s="32">
        <v>3.8324340022832663E-4</v>
      </c>
      <c r="Q237" s="32">
        <v>3.6714442430612465E-5</v>
      </c>
      <c r="R237" s="18"/>
    </row>
    <row r="238" spans="2:18" x14ac:dyDescent="0.2">
      <c r="B238" s="218" t="s">
        <v>3684</v>
      </c>
      <c r="C238" s="32" t="s">
        <v>3328</v>
      </c>
      <c r="D238" s="32" t="s">
        <v>3696</v>
      </c>
      <c r="E238" s="32" t="s">
        <v>238</v>
      </c>
      <c r="F238" s="94" t="s">
        <v>599</v>
      </c>
      <c r="G238" s="94" t="s">
        <v>938</v>
      </c>
      <c r="H238" s="94" t="s">
        <v>238</v>
      </c>
      <c r="I238" s="103">
        <v>5.42</v>
      </c>
      <c r="J238" s="94" t="s">
        <v>127</v>
      </c>
      <c r="K238" s="32">
        <v>5.0308800000000001E-2</v>
      </c>
      <c r="L238" s="32">
        <v>5.0500000000000003E-2</v>
      </c>
      <c r="M238" s="154">
        <v>266768.08406673704</v>
      </c>
      <c r="N238" s="94">
        <v>101</v>
      </c>
      <c r="O238" s="222">
        <v>931.17000298425614</v>
      </c>
      <c r="P238" s="32">
        <v>8.2313455345883215E-4</v>
      </c>
      <c r="Q238" s="32">
        <v>7.8855698904683899E-5</v>
      </c>
      <c r="R238" s="18"/>
    </row>
    <row r="239" spans="2:18" x14ac:dyDescent="0.2">
      <c r="B239" s="218" t="s">
        <v>3684</v>
      </c>
      <c r="C239" s="32" t="s">
        <v>3328</v>
      </c>
      <c r="D239" s="32" t="s">
        <v>3700</v>
      </c>
      <c r="E239" s="32" t="s">
        <v>238</v>
      </c>
      <c r="F239" s="94" t="s">
        <v>599</v>
      </c>
      <c r="G239" s="94" t="s">
        <v>926</v>
      </c>
      <c r="H239" s="94" t="s">
        <v>238</v>
      </c>
      <c r="I239" s="103">
        <v>5.42</v>
      </c>
      <c r="J239" s="94" t="s">
        <v>127</v>
      </c>
      <c r="K239" s="32">
        <v>5.0308800000000001E-2</v>
      </c>
      <c r="L239" s="32">
        <v>5.0499999999999989E-2</v>
      </c>
      <c r="M239" s="154">
        <v>270626.54692632885</v>
      </c>
      <c r="N239" s="94">
        <v>101</v>
      </c>
      <c r="O239" s="222">
        <v>944.63819868125518</v>
      </c>
      <c r="P239" s="32">
        <v>8.3504015309736877E-4</v>
      </c>
      <c r="Q239" s="32">
        <v>7.9996246797408354E-5</v>
      </c>
      <c r="R239" s="18"/>
    </row>
    <row r="240" spans="2:18" x14ac:dyDescent="0.2">
      <c r="B240" s="218" t="s">
        <v>3684</v>
      </c>
      <c r="C240" s="32" t="s">
        <v>238</v>
      </c>
      <c r="D240" s="32" t="s">
        <v>3708</v>
      </c>
      <c r="E240" s="32" t="s">
        <v>238</v>
      </c>
      <c r="F240" s="94" t="s">
        <v>599</v>
      </c>
      <c r="G240" s="94" t="s">
        <v>3709</v>
      </c>
      <c r="H240" s="94" t="s">
        <v>238</v>
      </c>
      <c r="I240" s="103">
        <v>5.42</v>
      </c>
      <c r="J240" s="94" t="s">
        <v>127</v>
      </c>
      <c r="K240" s="32">
        <v>5.0308800000000001E-2</v>
      </c>
      <c r="L240" s="32">
        <v>5.0499999999999989E-2</v>
      </c>
      <c r="M240" s="154">
        <v>195168.43612826333</v>
      </c>
      <c r="N240" s="94">
        <v>101</v>
      </c>
      <c r="O240" s="222">
        <v>681.247135866804</v>
      </c>
      <c r="P240" s="32">
        <v>6.022080341717271E-4</v>
      </c>
      <c r="Q240" s="32">
        <v>5.7691097064366304E-5</v>
      </c>
      <c r="R240" s="18"/>
    </row>
    <row r="241" spans="2:18" x14ac:dyDescent="0.2">
      <c r="B241" s="218" t="s">
        <v>3684</v>
      </c>
      <c r="C241" s="32" t="s">
        <v>238</v>
      </c>
      <c r="D241" s="32" t="s">
        <v>3710</v>
      </c>
      <c r="E241" s="32" t="s">
        <v>238</v>
      </c>
      <c r="F241" s="94" t="s">
        <v>599</v>
      </c>
      <c r="G241" s="94" t="s">
        <v>3711</v>
      </c>
      <c r="H241" s="94" t="s">
        <v>238</v>
      </c>
      <c r="I241" s="103">
        <v>5.42</v>
      </c>
      <c r="J241" s="94" t="s">
        <v>127</v>
      </c>
      <c r="K241" s="32">
        <v>5.0308800000000001E-2</v>
      </c>
      <c r="L241" s="32">
        <v>5.0499999999999989E-2</v>
      </c>
      <c r="M241" s="154">
        <v>172969.9498224633</v>
      </c>
      <c r="N241" s="94">
        <v>101</v>
      </c>
      <c r="O241" s="222">
        <v>603.76198709500852</v>
      </c>
      <c r="P241" s="32">
        <v>5.3371280437528197E-4</v>
      </c>
      <c r="Q241" s="32">
        <v>5.1129303254910168E-5</v>
      </c>
      <c r="R241" s="18"/>
    </row>
    <row r="242" spans="2:18" x14ac:dyDescent="0.2">
      <c r="B242" s="218" t="s">
        <v>3684</v>
      </c>
      <c r="C242" s="32" t="s">
        <v>238</v>
      </c>
      <c r="D242" s="32" t="s">
        <v>3713</v>
      </c>
      <c r="E242" s="32" t="s">
        <v>238</v>
      </c>
      <c r="F242" s="94" t="s">
        <v>599</v>
      </c>
      <c r="G242" s="94" t="s">
        <v>3714</v>
      </c>
      <c r="H242" s="94" t="s">
        <v>238</v>
      </c>
      <c r="I242" s="103">
        <v>5.42</v>
      </c>
      <c r="J242" s="94" t="s">
        <v>127</v>
      </c>
      <c r="K242" s="32">
        <v>5.0308800000000001E-2</v>
      </c>
      <c r="L242" s="32">
        <v>5.0500000000000003E-2</v>
      </c>
      <c r="M242" s="154">
        <v>119213.47983145851</v>
      </c>
      <c r="N242" s="94">
        <v>101</v>
      </c>
      <c r="O242" s="222">
        <v>416.12180332142901</v>
      </c>
      <c r="P242" s="32">
        <v>3.6784285754881614E-4</v>
      </c>
      <c r="Q242" s="32">
        <v>3.5239081505231329E-5</v>
      </c>
      <c r="R242" s="18"/>
    </row>
    <row r="243" spans="2:18" x14ac:dyDescent="0.2">
      <c r="B243" s="218" t="s">
        <v>3684</v>
      </c>
      <c r="C243" s="32" t="s">
        <v>238</v>
      </c>
      <c r="D243" s="32" t="s">
        <v>3715</v>
      </c>
      <c r="E243" s="32" t="s">
        <v>238</v>
      </c>
      <c r="F243" s="94" t="s">
        <v>599</v>
      </c>
      <c r="G243" s="94" t="s">
        <v>3716</v>
      </c>
      <c r="H243" s="94" t="s">
        <v>238</v>
      </c>
      <c r="I243" s="103">
        <v>5.42</v>
      </c>
      <c r="J243" s="94" t="s">
        <v>127</v>
      </c>
      <c r="K243" s="32">
        <v>5.0308800000000001E-2</v>
      </c>
      <c r="L243" s="32">
        <v>5.0500000000000003E-2</v>
      </c>
      <c r="M243" s="154">
        <v>347101.74428129318</v>
      </c>
      <c r="N243" s="94">
        <v>101</v>
      </c>
      <c r="O243" s="222">
        <v>1211.5794637488218</v>
      </c>
      <c r="P243" s="32">
        <v>1.0710105755947978E-3</v>
      </c>
      <c r="Q243" s="32">
        <v>1.0260204375815876E-4</v>
      </c>
      <c r="R243" s="18"/>
    </row>
    <row r="244" spans="2:18" x14ac:dyDescent="0.2">
      <c r="B244" s="218" t="s">
        <v>3684</v>
      </c>
      <c r="C244" s="32" t="s">
        <v>238</v>
      </c>
      <c r="D244" s="32" t="s">
        <v>3719</v>
      </c>
      <c r="E244" s="32" t="s">
        <v>238</v>
      </c>
      <c r="F244" s="94" t="s">
        <v>599</v>
      </c>
      <c r="G244" s="94" t="s">
        <v>3720</v>
      </c>
      <c r="H244" s="94" t="s">
        <v>238</v>
      </c>
      <c r="I244" s="103">
        <v>5.42</v>
      </c>
      <c r="J244" s="94" t="s">
        <v>127</v>
      </c>
      <c r="K244" s="32">
        <v>5.0308800000000001E-2</v>
      </c>
      <c r="L244" s="32">
        <v>5.0500000000000003E-2</v>
      </c>
      <c r="M244" s="154">
        <v>315439.47321775032</v>
      </c>
      <c r="N244" s="94">
        <v>101</v>
      </c>
      <c r="O244" s="222">
        <v>1101.0604072980173</v>
      </c>
      <c r="P244" s="32">
        <v>9.7331407131655322E-4</v>
      </c>
      <c r="Q244" s="32">
        <v>9.3242788830719101E-5</v>
      </c>
      <c r="R244" s="18"/>
    </row>
    <row r="245" spans="2:18" x14ac:dyDescent="0.2">
      <c r="B245" s="218" t="s">
        <v>3684</v>
      </c>
      <c r="C245" s="32" t="s">
        <v>238</v>
      </c>
      <c r="D245" s="32" t="s">
        <v>3721</v>
      </c>
      <c r="E245" s="32" t="s">
        <v>238</v>
      </c>
      <c r="F245" s="94" t="s">
        <v>599</v>
      </c>
      <c r="G245" s="94" t="s">
        <v>3722</v>
      </c>
      <c r="H245" s="94" t="s">
        <v>238</v>
      </c>
      <c r="I245" s="103">
        <v>5.42</v>
      </c>
      <c r="J245" s="94" t="s">
        <v>127</v>
      </c>
      <c r="K245" s="32">
        <v>5.0308800000000001E-2</v>
      </c>
      <c r="L245" s="32">
        <v>5.0500000000000003E-2</v>
      </c>
      <c r="M245" s="154">
        <v>366415.88691619143</v>
      </c>
      <c r="N245" s="94">
        <v>101</v>
      </c>
      <c r="O245" s="222">
        <v>1278.9966382186258</v>
      </c>
      <c r="P245" s="32">
        <v>1.1306059294236479E-3</v>
      </c>
      <c r="Q245" s="32">
        <v>1.0831123584333946E-4</v>
      </c>
      <c r="R245" s="18"/>
    </row>
    <row r="246" spans="2:18" x14ac:dyDescent="0.2">
      <c r="B246" s="218" t="s">
        <v>3684</v>
      </c>
      <c r="C246" s="32" t="s">
        <v>238</v>
      </c>
      <c r="D246" s="32" t="s">
        <v>3724</v>
      </c>
      <c r="E246" s="32" t="s">
        <v>238</v>
      </c>
      <c r="F246" s="94" t="s">
        <v>599</v>
      </c>
      <c r="G246" s="94" t="s">
        <v>971</v>
      </c>
      <c r="H246" s="94" t="s">
        <v>238</v>
      </c>
      <c r="I246" s="103">
        <v>5.42</v>
      </c>
      <c r="J246" s="94" t="s">
        <v>127</v>
      </c>
      <c r="K246" s="32">
        <v>5.0308800000000001E-2</v>
      </c>
      <c r="L246" s="32">
        <v>5.0499999999999989E-2</v>
      </c>
      <c r="M246" s="154">
        <v>244801.50391035611</v>
      </c>
      <c r="N246" s="94">
        <v>101</v>
      </c>
      <c r="O246" s="222">
        <v>854.4943372628436</v>
      </c>
      <c r="P246" s="32">
        <v>7.5535488952799062E-4</v>
      </c>
      <c r="Q246" s="32">
        <v>7.2362455791110227E-5</v>
      </c>
      <c r="R246" s="18"/>
    </row>
    <row r="247" spans="2:18" x14ac:dyDescent="0.2">
      <c r="B247" s="218" t="s">
        <v>3684</v>
      </c>
      <c r="C247" s="32" t="s">
        <v>238</v>
      </c>
      <c r="D247" s="32" t="s">
        <v>3728</v>
      </c>
      <c r="E247" s="32" t="s">
        <v>238</v>
      </c>
      <c r="F247" s="94" t="s">
        <v>599</v>
      </c>
      <c r="G247" s="94" t="s">
        <v>1498</v>
      </c>
      <c r="H247" s="94" t="s">
        <v>238</v>
      </c>
      <c r="I247" s="103">
        <v>5.42</v>
      </c>
      <c r="J247" s="94" t="s">
        <v>127</v>
      </c>
      <c r="K247" s="32">
        <v>5.0308800000000001E-2</v>
      </c>
      <c r="L247" s="32">
        <v>4.9699999999999994E-2</v>
      </c>
      <c r="M247" s="154">
        <v>393417.07693200448</v>
      </c>
      <c r="N247" s="94">
        <v>101</v>
      </c>
      <c r="O247" s="222">
        <v>1373.2459118429774</v>
      </c>
      <c r="P247" s="32">
        <v>1.2139202903995907E-3</v>
      </c>
      <c r="Q247" s="32">
        <v>1.1629269177414515E-4</v>
      </c>
      <c r="R247" s="18"/>
    </row>
    <row r="248" spans="2:18" x14ac:dyDescent="0.2">
      <c r="B248" s="218" t="s">
        <v>3684</v>
      </c>
      <c r="C248" s="32" t="s">
        <v>238</v>
      </c>
      <c r="D248" s="32" t="s">
        <v>3730</v>
      </c>
      <c r="E248" s="32" t="s">
        <v>238</v>
      </c>
      <c r="F248" s="94" t="s">
        <v>599</v>
      </c>
      <c r="G248" s="94" t="s">
        <v>2897</v>
      </c>
      <c r="H248" s="94" t="s">
        <v>238</v>
      </c>
      <c r="I248" s="103">
        <v>5.42</v>
      </c>
      <c r="J248" s="94" t="s">
        <v>127</v>
      </c>
      <c r="K248" s="32">
        <v>5.0308800000000001E-2</v>
      </c>
      <c r="L248" s="32">
        <v>4.9699999999999994E-2</v>
      </c>
      <c r="M248" s="154">
        <v>323566.22178240935</v>
      </c>
      <c r="N248" s="94">
        <v>101</v>
      </c>
      <c r="O248" s="222">
        <v>1129.4273101783178</v>
      </c>
      <c r="P248" s="32">
        <v>9.9838981243853282E-4</v>
      </c>
      <c r="Q248" s="32">
        <v>9.564502681649882E-5</v>
      </c>
      <c r="R248" s="18"/>
    </row>
    <row r="249" spans="2:18" x14ac:dyDescent="0.2">
      <c r="B249" s="218" t="s">
        <v>3684</v>
      </c>
      <c r="C249" s="32" t="s">
        <v>238</v>
      </c>
      <c r="D249" s="32" t="s">
        <v>3732</v>
      </c>
      <c r="E249" s="32" t="s">
        <v>238</v>
      </c>
      <c r="F249" s="94" t="s">
        <v>599</v>
      </c>
      <c r="G249" s="94" t="s">
        <v>1557</v>
      </c>
      <c r="H249" s="94" t="s">
        <v>238</v>
      </c>
      <c r="I249" s="103">
        <v>5.42</v>
      </c>
      <c r="J249" s="94" t="s">
        <v>127</v>
      </c>
      <c r="K249" s="32">
        <v>5.0308800000000001E-2</v>
      </c>
      <c r="L249" s="32">
        <v>4.9699999999999994E-2</v>
      </c>
      <c r="M249" s="154">
        <v>282168.63494404795</v>
      </c>
      <c r="N249" s="94">
        <v>101</v>
      </c>
      <c r="O249" s="222">
        <v>984.92654978082919</v>
      </c>
      <c r="P249" s="32">
        <v>8.7065420185931236E-4</v>
      </c>
      <c r="Q249" s="32">
        <v>8.3408047084673317E-5</v>
      </c>
      <c r="R249" s="18"/>
    </row>
    <row r="250" spans="2:18" x14ac:dyDescent="0.2">
      <c r="B250" s="218" t="s">
        <v>3684</v>
      </c>
      <c r="C250" s="32" t="s">
        <v>238</v>
      </c>
      <c r="D250" s="32" t="s">
        <v>3734</v>
      </c>
      <c r="E250" s="32" t="s">
        <v>238</v>
      </c>
      <c r="F250" s="94" t="s">
        <v>599</v>
      </c>
      <c r="G250" s="94" t="s">
        <v>3735</v>
      </c>
      <c r="H250" s="94" t="s">
        <v>238</v>
      </c>
      <c r="I250" s="103">
        <v>5.42</v>
      </c>
      <c r="J250" s="94" t="s">
        <v>127</v>
      </c>
      <c r="K250" s="32">
        <v>5.0308800000000001E-2</v>
      </c>
      <c r="L250" s="32">
        <v>4.9699999999999987E-2</v>
      </c>
      <c r="M250" s="154">
        <v>417631.08134852053</v>
      </c>
      <c r="N250" s="94">
        <v>101</v>
      </c>
      <c r="O250" s="222">
        <v>1457.766346638025</v>
      </c>
      <c r="P250" s="32">
        <v>1.2886345639803562E-3</v>
      </c>
      <c r="Q250" s="32">
        <v>1.2345026551055334E-4</v>
      </c>
      <c r="R250" s="18"/>
    </row>
    <row r="251" spans="2:18" x14ac:dyDescent="0.2">
      <c r="B251" s="218" t="s">
        <v>3684</v>
      </c>
      <c r="C251" s="32" t="s">
        <v>238</v>
      </c>
      <c r="D251" s="32" t="s">
        <v>3737</v>
      </c>
      <c r="E251" s="32" t="s">
        <v>238</v>
      </c>
      <c r="F251" s="94" t="s">
        <v>599</v>
      </c>
      <c r="G251" s="94" t="s">
        <v>3007</v>
      </c>
      <c r="H251" s="94" t="s">
        <v>238</v>
      </c>
      <c r="I251" s="103">
        <v>5.42</v>
      </c>
      <c r="J251" s="94" t="s">
        <v>127</v>
      </c>
      <c r="K251" s="32">
        <v>5.0308800000000001E-2</v>
      </c>
      <c r="L251" s="32">
        <v>4.9699999999999994E-2</v>
      </c>
      <c r="M251" s="154">
        <v>158490.37937506457</v>
      </c>
      <c r="N251" s="94">
        <v>101</v>
      </c>
      <c r="O251" s="222">
        <v>553.22017819058078</v>
      </c>
      <c r="P251" s="32">
        <v>4.8903491615914796E-4</v>
      </c>
      <c r="Q251" s="32">
        <v>4.684919365914067E-5</v>
      </c>
      <c r="R251" s="18"/>
    </row>
    <row r="252" spans="2:18" x14ac:dyDescent="0.2">
      <c r="B252" s="218" t="s">
        <v>3701</v>
      </c>
      <c r="C252" s="32" t="s">
        <v>238</v>
      </c>
      <c r="D252" s="32" t="s">
        <v>3702</v>
      </c>
      <c r="E252" s="32" t="s">
        <v>238</v>
      </c>
      <c r="F252" s="94" t="s">
        <v>599</v>
      </c>
      <c r="G252" s="94" t="s">
        <v>3703</v>
      </c>
      <c r="H252" s="94" t="s">
        <v>238</v>
      </c>
      <c r="I252" s="103">
        <v>1.89</v>
      </c>
      <c r="J252" s="94" t="s">
        <v>127</v>
      </c>
      <c r="K252" s="32">
        <v>4.2808800000000001E-2</v>
      </c>
      <c r="L252" s="32">
        <v>3.4799999999999998E-2</v>
      </c>
      <c r="M252" s="154">
        <v>1905905.2209427166</v>
      </c>
      <c r="N252" s="94">
        <v>101.23</v>
      </c>
      <c r="O252" s="222">
        <v>6667.8261872744752</v>
      </c>
      <c r="P252" s="32">
        <v>5.8942170748772288E-3</v>
      </c>
      <c r="Q252" s="32">
        <v>5.6466176153375548E-4</v>
      </c>
      <c r="R252" s="18"/>
    </row>
    <row r="253" spans="2:18" x14ac:dyDescent="0.2">
      <c r="B253" s="218" t="s">
        <v>3704</v>
      </c>
      <c r="C253" s="32" t="s">
        <v>238</v>
      </c>
      <c r="D253" s="32" t="s">
        <v>3705</v>
      </c>
      <c r="E253" s="32" t="s">
        <v>238</v>
      </c>
      <c r="F253" s="94" t="s">
        <v>599</v>
      </c>
      <c r="G253" s="94" t="s">
        <v>3703</v>
      </c>
      <c r="H253" s="94" t="s">
        <v>238</v>
      </c>
      <c r="I253" s="103">
        <v>2.29</v>
      </c>
      <c r="J253" s="94" t="s">
        <v>127</v>
      </c>
      <c r="K253" s="32">
        <v>6.0308799999999996E-2</v>
      </c>
      <c r="L253" s="32">
        <v>5.7300000000000004E-2</v>
      </c>
      <c r="M253" s="154">
        <v>557825.91159027908</v>
      </c>
      <c r="N253" s="94">
        <v>101.48</v>
      </c>
      <c r="O253" s="222">
        <v>1956.3784755302643</v>
      </c>
      <c r="P253" s="32">
        <v>1.7293971215686832E-3</v>
      </c>
      <c r="Q253" s="32">
        <v>1.6567500189611174E-4</v>
      </c>
      <c r="R253" s="18"/>
    </row>
    <row r="254" spans="2:18" x14ac:dyDescent="0.2">
      <c r="B254" s="218" t="s">
        <v>3704</v>
      </c>
      <c r="C254" s="32" t="s">
        <v>238</v>
      </c>
      <c r="D254" s="32" t="s">
        <v>3723</v>
      </c>
      <c r="E254" s="32" t="s">
        <v>238</v>
      </c>
      <c r="F254" s="94" t="s">
        <v>599</v>
      </c>
      <c r="G254" s="94" t="s">
        <v>2688</v>
      </c>
      <c r="H254" s="94" t="s">
        <v>238</v>
      </c>
      <c r="I254" s="103">
        <v>2.29</v>
      </c>
      <c r="J254" s="94" t="s">
        <v>127</v>
      </c>
      <c r="K254" s="32">
        <v>6.0308799999999996E-2</v>
      </c>
      <c r="L254" s="32">
        <v>5.7300000000000004E-2</v>
      </c>
      <c r="M254" s="154">
        <v>8560.2586362694365</v>
      </c>
      <c r="N254" s="94">
        <v>101.48</v>
      </c>
      <c r="O254" s="222">
        <v>30.022100792607326</v>
      </c>
      <c r="P254" s="32">
        <v>2.6538901006926772E-5</v>
      </c>
      <c r="Q254" s="32">
        <v>2.5424076516648081E-6</v>
      </c>
      <c r="R254" s="18"/>
    </row>
    <row r="255" spans="2:18" x14ac:dyDescent="0.2">
      <c r="B255" s="218" t="s">
        <v>3704</v>
      </c>
      <c r="C255" s="32" t="s">
        <v>238</v>
      </c>
      <c r="D255" s="32" t="s">
        <v>3726</v>
      </c>
      <c r="E255" s="32" t="s">
        <v>238</v>
      </c>
      <c r="F255" s="94" t="s">
        <v>599</v>
      </c>
      <c r="G255" s="94" t="s">
        <v>477</v>
      </c>
      <c r="H255" s="94" t="s">
        <v>238</v>
      </c>
      <c r="I255" s="103">
        <v>2.29</v>
      </c>
      <c r="J255" s="94" t="s">
        <v>127</v>
      </c>
      <c r="K255" s="32">
        <v>6.0308799999999996E-2</v>
      </c>
      <c r="L255" s="32">
        <v>5.7300000000000011E-2</v>
      </c>
      <c r="M255" s="154">
        <v>3354.949859751136</v>
      </c>
      <c r="N255" s="94">
        <v>101.48</v>
      </c>
      <c r="O255" s="222">
        <v>11.7663077769796</v>
      </c>
      <c r="P255" s="32">
        <v>1.0401166776016777E-5</v>
      </c>
      <c r="Q255" s="32">
        <v>9.964243052372377E-7</v>
      </c>
      <c r="R255" s="18"/>
    </row>
    <row r="256" spans="2:18" x14ac:dyDescent="0.2">
      <c r="B256" s="218" t="s">
        <v>3704</v>
      </c>
      <c r="C256" s="32" t="s">
        <v>238</v>
      </c>
      <c r="D256" s="32" t="s">
        <v>3727</v>
      </c>
      <c r="E256" s="32" t="s">
        <v>238</v>
      </c>
      <c r="F256" s="94" t="s">
        <v>599</v>
      </c>
      <c r="G256" s="94" t="s">
        <v>3188</v>
      </c>
      <c r="H256" s="94" t="s">
        <v>238</v>
      </c>
      <c r="I256" s="103">
        <v>2.29</v>
      </c>
      <c r="J256" s="94" t="s">
        <v>127</v>
      </c>
      <c r="K256" s="32">
        <v>6.0308799999999996E-2</v>
      </c>
      <c r="L256" s="32">
        <v>5.7300000000000011E-2</v>
      </c>
      <c r="M256" s="154">
        <v>36253.887794242488</v>
      </c>
      <c r="N256" s="94">
        <v>101.48</v>
      </c>
      <c r="O256" s="222">
        <v>127.14777891988284</v>
      </c>
      <c r="P256" s="32">
        <v>1.1239594261958804E-4</v>
      </c>
      <c r="Q256" s="32">
        <v>1.0767450560877999E-5</v>
      </c>
      <c r="R256" s="18"/>
    </row>
    <row r="257" spans="2:18" x14ac:dyDescent="0.2">
      <c r="B257" s="218" t="s">
        <v>3704</v>
      </c>
      <c r="C257" s="32" t="s">
        <v>238</v>
      </c>
      <c r="D257" s="32" t="s">
        <v>3729</v>
      </c>
      <c r="E257" s="32" t="s">
        <v>238</v>
      </c>
      <c r="F257" s="94" t="s">
        <v>599</v>
      </c>
      <c r="G257" s="94" t="s">
        <v>1501</v>
      </c>
      <c r="H257" s="94" t="s">
        <v>238</v>
      </c>
      <c r="I257" s="103">
        <v>2.29</v>
      </c>
      <c r="J257" s="94" t="s">
        <v>127</v>
      </c>
      <c r="K257" s="32">
        <v>6.0308799999999996E-2</v>
      </c>
      <c r="L257" s="32">
        <v>5.7300000000000004E-2</v>
      </c>
      <c r="M257" s="154">
        <v>81763.197534031104</v>
      </c>
      <c r="N257" s="94">
        <v>101.48</v>
      </c>
      <c r="O257" s="222">
        <v>286.75569972955122</v>
      </c>
      <c r="P257" s="32">
        <v>2.5348596291997386E-4</v>
      </c>
      <c r="Q257" s="32">
        <v>2.4283773150559445E-5</v>
      </c>
      <c r="R257" s="18"/>
    </row>
    <row r="258" spans="2:18" s="160" customFormat="1" x14ac:dyDescent="0.2">
      <c r="B258" s="218" t="s">
        <v>3704</v>
      </c>
      <c r="C258" s="32" t="s">
        <v>238</v>
      </c>
      <c r="D258" s="32" t="s">
        <v>3731</v>
      </c>
      <c r="E258" s="32" t="s">
        <v>238</v>
      </c>
      <c r="F258" s="94" t="s">
        <v>599</v>
      </c>
      <c r="G258" s="94" t="s">
        <v>3219</v>
      </c>
      <c r="H258" s="94" t="s">
        <v>238</v>
      </c>
      <c r="I258" s="103">
        <v>2.29</v>
      </c>
      <c r="J258" s="94" t="s">
        <v>127</v>
      </c>
      <c r="K258" s="32">
        <v>6.0308799999999996E-2</v>
      </c>
      <c r="L258" s="32">
        <v>5.7300000000000011E-2</v>
      </c>
      <c r="M258" s="154">
        <v>31195.409875312136</v>
      </c>
      <c r="N258" s="94">
        <v>101.48</v>
      </c>
      <c r="O258" s="222">
        <v>109.40694390598638</v>
      </c>
      <c r="P258" s="32">
        <v>9.6713420351527627E-5</v>
      </c>
      <c r="Q258" s="32">
        <v>9.2650761934799686E-6</v>
      </c>
    </row>
    <row r="259" spans="2:18" s="160" customFormat="1" x14ac:dyDescent="0.2">
      <c r="B259" s="218" t="s">
        <v>3704</v>
      </c>
      <c r="C259" s="32" t="s">
        <v>238</v>
      </c>
      <c r="D259" s="32" t="s">
        <v>3733</v>
      </c>
      <c r="E259" s="32" t="s">
        <v>238</v>
      </c>
      <c r="F259" s="94" t="s">
        <v>599</v>
      </c>
      <c r="G259" s="94" t="s">
        <v>2900</v>
      </c>
      <c r="H259" s="94" t="s">
        <v>238</v>
      </c>
      <c r="I259" s="103">
        <v>2.29</v>
      </c>
      <c r="J259" s="94" t="s">
        <v>127</v>
      </c>
      <c r="K259" s="32">
        <v>6.0308799999999996E-2</v>
      </c>
      <c r="L259" s="32">
        <v>5.7300000000000004E-2</v>
      </c>
      <c r="M259" s="154">
        <v>65528.805546757896</v>
      </c>
      <c r="N259" s="94">
        <v>101.48</v>
      </c>
      <c r="O259" s="222">
        <v>229.81927115770165</v>
      </c>
      <c r="P259" s="32">
        <v>2.0315536640394489E-4</v>
      </c>
      <c r="Q259" s="32">
        <v>1.9462138160406392E-5</v>
      </c>
      <c r="R259" s="175"/>
    </row>
    <row r="260" spans="2:18" s="160" customFormat="1" x14ac:dyDescent="0.2">
      <c r="B260" s="218" t="s">
        <v>3704</v>
      </c>
      <c r="C260" s="32" t="s">
        <v>238</v>
      </c>
      <c r="D260" s="32" t="s">
        <v>3736</v>
      </c>
      <c r="E260" s="32" t="s">
        <v>238</v>
      </c>
      <c r="F260" s="94" t="s">
        <v>599</v>
      </c>
      <c r="G260" s="94" t="s">
        <v>3135</v>
      </c>
      <c r="H260" s="94" t="s">
        <v>238</v>
      </c>
      <c r="I260" s="103">
        <v>2.29</v>
      </c>
      <c r="J260" s="94" t="s">
        <v>127</v>
      </c>
      <c r="K260" s="32">
        <v>6.0308799999999996E-2</v>
      </c>
      <c r="L260" s="32">
        <v>5.7300000000000004E-2</v>
      </c>
      <c r="M260" s="154">
        <v>118732.1587797281</v>
      </c>
      <c r="N260" s="94">
        <v>101.23</v>
      </c>
      <c r="O260" s="222">
        <v>415.38550139424558</v>
      </c>
      <c r="P260" s="32">
        <v>3.6719198224559481E-4</v>
      </c>
      <c r="Q260" s="32">
        <v>3.5176728118753201E-5</v>
      </c>
      <c r="R260" s="175"/>
    </row>
    <row r="261" spans="2:18" s="160" customFormat="1" x14ac:dyDescent="0.2">
      <c r="B261" s="218" t="s">
        <v>3738</v>
      </c>
      <c r="C261" s="32" t="s">
        <v>238</v>
      </c>
      <c r="D261" s="32" t="s">
        <v>3739</v>
      </c>
      <c r="E261" s="32" t="s">
        <v>238</v>
      </c>
      <c r="F261" s="94" t="s">
        <v>599</v>
      </c>
      <c r="G261" s="94" t="s">
        <v>3740</v>
      </c>
      <c r="H261" s="94" t="s">
        <v>238</v>
      </c>
      <c r="I261" s="103">
        <f ca="1">C256</f>
        <v>6</v>
      </c>
      <c r="J261" s="94" t="s">
        <v>127</v>
      </c>
      <c r="K261" s="32">
        <f ca="1">D256</f>
        <v>0.09</v>
      </c>
      <c r="L261" s="32">
        <f ca="1">E256</f>
        <v>0.09</v>
      </c>
      <c r="M261" s="154">
        <v>572292.84</v>
      </c>
      <c r="N261" s="94">
        <v>1.2124999999999999</v>
      </c>
      <c r="O261" s="222">
        <v>2398.2704100000001</v>
      </c>
      <c r="P261" s="32">
        <v>2.120020229047539E-3</v>
      </c>
      <c r="Q261" s="32">
        <v>2.0309641497995114E-4</v>
      </c>
      <c r="R261" s="175"/>
    </row>
    <row r="262" spans="2:18" s="160" customFormat="1" x14ac:dyDescent="0.2">
      <c r="B262" s="132" t="s">
        <v>3323</v>
      </c>
      <c r="C262" s="167" t="s">
        <v>238</v>
      </c>
      <c r="D262" s="167" t="s">
        <v>238</v>
      </c>
      <c r="E262" s="167" t="s">
        <v>238</v>
      </c>
      <c r="F262" s="168" t="s">
        <v>238</v>
      </c>
      <c r="G262" s="168" t="s">
        <v>238</v>
      </c>
      <c r="H262" s="168" t="s">
        <v>238</v>
      </c>
      <c r="I262" s="178" t="s">
        <v>238</v>
      </c>
      <c r="J262" s="168" t="s">
        <v>238</v>
      </c>
      <c r="K262" s="167" t="s">
        <v>238</v>
      </c>
      <c r="L262" s="167" t="s">
        <v>238</v>
      </c>
      <c r="M262" s="202" t="s">
        <v>238</v>
      </c>
      <c r="N262" s="168" t="s">
        <v>238</v>
      </c>
      <c r="O262" s="169">
        <v>0</v>
      </c>
      <c r="P262" s="167">
        <v>0</v>
      </c>
      <c r="Q262" s="167">
        <v>0</v>
      </c>
      <c r="R262" s="175"/>
    </row>
    <row r="263" spans="2:18" s="160" customFormat="1" x14ac:dyDescent="0.2">
      <c r="B263" s="114" t="s">
        <v>227</v>
      </c>
      <c r="C263" s="114"/>
      <c r="D263" s="170"/>
      <c r="E263" s="170"/>
      <c r="F263" s="170"/>
      <c r="G263" s="171"/>
      <c r="H263" s="171"/>
      <c r="I263" s="171"/>
      <c r="J263" s="171"/>
      <c r="K263" s="172"/>
      <c r="L263" s="173"/>
      <c r="M263" s="174"/>
      <c r="N263" s="174"/>
      <c r="O263" s="174"/>
      <c r="P263" s="174"/>
      <c r="Q263" s="173"/>
      <c r="R263" s="175"/>
    </row>
    <row r="264" spans="2:18" s="160" customFormat="1" x14ac:dyDescent="0.2">
      <c r="B264" s="114" t="s">
        <v>228</v>
      </c>
      <c r="C264" s="114"/>
      <c r="D264" s="170"/>
      <c r="E264" s="170"/>
      <c r="F264" s="170"/>
      <c r="G264" s="171"/>
      <c r="H264" s="171"/>
      <c r="I264" s="171"/>
      <c r="J264" s="171"/>
      <c r="K264" s="172"/>
      <c r="L264" s="173"/>
      <c r="M264" s="174"/>
      <c r="N264" s="174"/>
      <c r="O264" s="174"/>
      <c r="P264" s="174"/>
      <c r="Q264" s="173"/>
      <c r="R264" s="175"/>
    </row>
    <row r="265" spans="2:18" s="160" customFormat="1" x14ac:dyDescent="0.2">
      <c r="B265" s="114" t="s">
        <v>229</v>
      </c>
      <c r="C265" s="114"/>
      <c r="D265" s="170"/>
      <c r="E265" s="170"/>
      <c r="F265" s="170"/>
      <c r="G265" s="171"/>
      <c r="H265" s="171"/>
      <c r="I265" s="171"/>
      <c r="J265" s="171"/>
      <c r="K265" s="172"/>
      <c r="L265" s="173"/>
      <c r="M265" s="174"/>
      <c r="N265" s="174"/>
      <c r="O265" s="174"/>
      <c r="P265" s="174"/>
      <c r="Q265" s="173"/>
      <c r="R265" s="175"/>
    </row>
    <row r="266" spans="2:18" s="160" customFormat="1" x14ac:dyDescent="0.2">
      <c r="B266" s="114" t="s">
        <v>230</v>
      </c>
      <c r="C266" s="114"/>
      <c r="D266" s="170"/>
      <c r="E266" s="170"/>
      <c r="F266" s="170"/>
      <c r="G266" s="171"/>
      <c r="H266" s="171"/>
      <c r="I266" s="171"/>
      <c r="J266" s="171"/>
      <c r="K266" s="172"/>
      <c r="L266" s="173"/>
      <c r="M266" s="174"/>
      <c r="N266" s="174"/>
      <c r="O266" s="174"/>
      <c r="P266" s="174"/>
      <c r="Q266" s="173"/>
      <c r="R266" s="175"/>
    </row>
    <row r="267" spans="2:18" s="160" customFormat="1" x14ac:dyDescent="0.2">
      <c r="B267" s="114" t="s">
        <v>231</v>
      </c>
      <c r="C267" s="114"/>
      <c r="D267" s="170"/>
      <c r="E267" s="170"/>
      <c r="F267" s="170"/>
      <c r="G267" s="171"/>
      <c r="H267" s="171"/>
      <c r="I267" s="171"/>
      <c r="J267" s="171"/>
      <c r="K267" s="172"/>
      <c r="L267" s="173"/>
      <c r="M267" s="174"/>
      <c r="N267" s="174"/>
      <c r="O267" s="174"/>
      <c r="P267" s="174"/>
      <c r="Q267" s="173"/>
      <c r="R267" s="175"/>
    </row>
    <row r="268" spans="2:18" x14ac:dyDescent="0.2">
      <c r="B268" s="151"/>
      <c r="C268" s="151"/>
      <c r="D268" s="106"/>
      <c r="E268" s="106"/>
      <c r="F268" s="106"/>
    </row>
  </sheetData>
  <sortState ref="B221:AA260">
    <sortCondition ref="B221:B260" customList="א,ב,ג,ד,ה,ו,ז,ח,ט,י,כ,ל,מ,נ,ס,ע,פ,צ,ק,ר,ש,ת"/>
  </sortState>
  <mergeCells count="1">
    <mergeCell ref="B7:Q7"/>
  </mergeCells>
  <phoneticPr fontId="3" type="noConversion"/>
  <conditionalFormatting sqref="J12 J17:J25 C12:H25 P12:Q25">
    <cfRule type="expression" dxfId="59" priority="365" stopIfTrue="1">
      <formula>OR(LEFT(#REF!,3)="TIR",LEFT(#REF!,2)="IR")</formula>
    </cfRule>
  </conditionalFormatting>
  <conditionalFormatting sqref="B12:B25 O12:P25">
    <cfRule type="expression" dxfId="58" priority="368" stopIfTrue="1">
      <formula>#REF!&gt;0</formula>
    </cfRule>
  </conditionalFormatting>
  <conditionalFormatting sqref="J13:J16">
    <cfRule type="expression" dxfId="57" priority="6" stopIfTrue="1">
      <formula>OR(LEFT(#REF!,3)="TIR",LEFT(#REF!,2)="IR")</formula>
    </cfRule>
  </conditionalFormatting>
  <conditionalFormatting sqref="P26:Q212 J26:J212 C26:H212 C215:H262 J215:J260 P215:Q262 J262">
    <cfRule type="expression" dxfId="56" priority="4" stopIfTrue="1">
      <formula>OR(LEFT(#REF!,3)="TIR",LEFT(#REF!,2)="IR")</formula>
    </cfRule>
  </conditionalFormatting>
  <conditionalFormatting sqref="B26:B212 O26:P212 O215:P262 B215:B262">
    <cfRule type="expression" dxfId="55" priority="5" stopIfTrue="1">
      <formula>#REF!&gt;0</formula>
    </cfRule>
  </conditionalFormatting>
  <conditionalFormatting sqref="J213:J214 C213:H214 P213:Q214">
    <cfRule type="expression" dxfId="54" priority="2" stopIfTrue="1">
      <formula>OR(LEFT(#REF!,3)="TIR",LEFT(#REF!,2)="IR")</formula>
    </cfRule>
  </conditionalFormatting>
  <conditionalFormatting sqref="B213:B214 O213:P214">
    <cfRule type="expression" dxfId="53" priority="3" stopIfTrue="1">
      <formula>#REF!&gt;0</formula>
    </cfRule>
  </conditionalFormatting>
  <conditionalFormatting sqref="J261">
    <cfRule type="expression" dxfId="1" priority="1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8.85546875" style="13" bestFit="1" customWidth="1"/>
    <col min="3" max="3" width="13.5703125" style="13" bestFit="1" customWidth="1"/>
    <col min="4" max="4" width="12.42578125" style="12" bestFit="1" customWidth="1"/>
    <col min="5" max="5" width="6.28515625" style="12" bestFit="1" customWidth="1"/>
    <col min="6" max="6" width="10.28515625" style="93" bestFit="1" customWidth="1"/>
    <col min="7" max="7" width="6.42578125" style="93" bestFit="1" customWidth="1"/>
    <col min="8" max="8" width="10" style="93" bestFit="1" customWidth="1"/>
    <col min="9" max="9" width="17.7109375" style="45" bestFit="1" customWidth="1"/>
    <col min="10" max="10" width="13.42578125" style="95" bestFit="1" customWidth="1"/>
    <col min="11" max="11" width="13.5703125" style="97" bestFit="1" customWidth="1"/>
    <col min="12" max="12" width="7.140625" style="97" bestFit="1" customWidth="1"/>
    <col min="13" max="13" width="9.85546875" style="97" bestFit="1" customWidth="1"/>
    <col min="14" max="14" width="15.28515625" style="97" bestFit="1" customWidth="1"/>
    <col min="15" max="15" width="20.57031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223</v>
      </c>
      <c r="C2" s="13" t="s">
        <v>153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226</v>
      </c>
      <c r="C4" s="12" t="s">
        <v>234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70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28" t="s">
        <v>37</v>
      </c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30"/>
      <c r="P7" s="16"/>
      <c r="Q7" s="16"/>
      <c r="R7" s="16"/>
    </row>
    <row r="8" spans="1:18" s="10" customFormat="1" ht="30.75" customHeight="1" x14ac:dyDescent="0.2">
      <c r="B8" s="9" t="s">
        <v>219</v>
      </c>
      <c r="C8" s="4" t="s">
        <v>69</v>
      </c>
      <c r="D8" s="4" t="s">
        <v>74</v>
      </c>
      <c r="E8" s="4" t="s">
        <v>70</v>
      </c>
      <c r="F8" s="4" t="s">
        <v>5</v>
      </c>
      <c r="G8" s="4" t="s">
        <v>14</v>
      </c>
      <c r="H8" s="4" t="s">
        <v>6</v>
      </c>
      <c r="I8" s="5" t="s">
        <v>89</v>
      </c>
      <c r="J8" s="5" t="s">
        <v>71</v>
      </c>
      <c r="K8" s="5" t="s">
        <v>67</v>
      </c>
      <c r="L8" s="5" t="s">
        <v>68</v>
      </c>
      <c r="M8" s="5" t="s">
        <v>29</v>
      </c>
      <c r="N8" s="38" t="s">
        <v>75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136</v>
      </c>
      <c r="L9" s="2"/>
      <c r="M9" s="2" t="s">
        <v>138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60" customFormat="1" ht="12.75" customHeight="1" thickBot="1" x14ac:dyDescent="0.25">
      <c r="B11" s="141" t="s">
        <v>124</v>
      </c>
      <c r="C11" s="101" t="s">
        <v>238</v>
      </c>
      <c r="D11" s="142" t="s">
        <v>238</v>
      </c>
      <c r="E11" s="142"/>
      <c r="F11" s="142" t="s">
        <v>238</v>
      </c>
      <c r="G11" s="142" t="s">
        <v>238</v>
      </c>
      <c r="H11" s="142" t="s">
        <v>238</v>
      </c>
      <c r="I11" s="101" t="s">
        <v>238</v>
      </c>
      <c r="J11" s="101" t="s">
        <v>238</v>
      </c>
      <c r="K11" s="143" t="s">
        <v>238</v>
      </c>
      <c r="L11" s="142" t="s">
        <v>238</v>
      </c>
      <c r="M11" s="144">
        <v>50070.843420600002</v>
      </c>
      <c r="N11" s="101">
        <v>1</v>
      </c>
      <c r="O11" s="120">
        <v>4.2402261026713555E-3</v>
      </c>
    </row>
    <row r="12" spans="1:18" s="160" customFormat="1" x14ac:dyDescent="0.2">
      <c r="B12" s="131" t="s">
        <v>140</v>
      </c>
      <c r="C12" s="163" t="s">
        <v>238</v>
      </c>
      <c r="D12" s="164" t="s">
        <v>238</v>
      </c>
      <c r="E12" s="164" t="s">
        <v>238</v>
      </c>
      <c r="F12" s="164" t="s">
        <v>238</v>
      </c>
      <c r="G12" s="164" t="s">
        <v>238</v>
      </c>
      <c r="H12" s="164" t="s">
        <v>238</v>
      </c>
      <c r="I12" s="163" t="s">
        <v>238</v>
      </c>
      <c r="J12" s="163" t="s">
        <v>238</v>
      </c>
      <c r="K12" s="176" t="s">
        <v>238</v>
      </c>
      <c r="L12" s="164" t="s">
        <v>238</v>
      </c>
      <c r="M12" s="165">
        <v>50070.843420500001</v>
      </c>
      <c r="N12" s="163">
        <v>0.99999999999800282</v>
      </c>
      <c r="O12" s="163">
        <v>4.2402261026628866E-3</v>
      </c>
    </row>
    <row r="13" spans="1:18" s="160" customFormat="1" x14ac:dyDescent="0.2">
      <c r="B13" s="132" t="s">
        <v>3741</v>
      </c>
      <c r="C13" s="167" t="s">
        <v>238</v>
      </c>
      <c r="D13" s="168" t="s">
        <v>238</v>
      </c>
      <c r="E13" s="168" t="s">
        <v>238</v>
      </c>
      <c r="F13" s="168" t="s">
        <v>238</v>
      </c>
      <c r="G13" s="168" t="s">
        <v>238</v>
      </c>
      <c r="H13" s="168" t="s">
        <v>238</v>
      </c>
      <c r="I13" s="167" t="s">
        <v>238</v>
      </c>
      <c r="J13" s="167" t="s">
        <v>238</v>
      </c>
      <c r="K13" s="178" t="s">
        <v>238</v>
      </c>
      <c r="L13" s="168" t="s">
        <v>238</v>
      </c>
      <c r="M13" s="169">
        <v>50070.843420100005</v>
      </c>
      <c r="N13" s="167">
        <v>0.9999999999900141</v>
      </c>
      <c r="O13" s="167">
        <v>4.2402261026290135E-3</v>
      </c>
    </row>
    <row r="14" spans="1:18" x14ac:dyDescent="0.2">
      <c r="B14" s="23" t="s">
        <v>3744</v>
      </c>
      <c r="C14" s="32" t="s">
        <v>3745</v>
      </c>
      <c r="D14" s="94" t="s">
        <v>3746</v>
      </c>
      <c r="E14" s="94" t="s">
        <v>242</v>
      </c>
      <c r="F14" s="94" t="s">
        <v>243</v>
      </c>
      <c r="G14" s="94">
        <v>7.14</v>
      </c>
      <c r="H14" s="94" t="s">
        <v>244</v>
      </c>
      <c r="I14" s="32">
        <v>5.2999999999999999E-2</v>
      </c>
      <c r="J14" s="32">
        <v>-5.0000000000000001E-4</v>
      </c>
      <c r="K14" s="103">
        <v>23810030.629999999</v>
      </c>
      <c r="L14" s="94">
        <v>177.69</v>
      </c>
      <c r="M14" s="124">
        <v>42308.043420000002</v>
      </c>
      <c r="N14" s="32">
        <v>0.84496366607225448</v>
      </c>
      <c r="O14" s="32">
        <v>3.582836992688456E-3</v>
      </c>
      <c r="P14" s="18"/>
    </row>
    <row r="15" spans="1:18" x14ac:dyDescent="0.2">
      <c r="B15" s="23" t="s">
        <v>3742</v>
      </c>
      <c r="C15" s="32" t="s">
        <v>3743</v>
      </c>
      <c r="D15" s="94" t="s">
        <v>251</v>
      </c>
      <c r="E15" s="94" t="s">
        <v>658</v>
      </c>
      <c r="F15" s="94" t="s">
        <v>346</v>
      </c>
      <c r="G15" s="94">
        <v>3.91</v>
      </c>
      <c r="H15" s="94" t="s">
        <v>244</v>
      </c>
      <c r="I15" s="32">
        <v>2.5000000000000001E-2</v>
      </c>
      <c r="J15" s="32">
        <v>-2.3999999999999998E-3</v>
      </c>
      <c r="K15" s="103">
        <v>6000000</v>
      </c>
      <c r="L15" s="94">
        <v>129.38</v>
      </c>
      <c r="M15" s="124">
        <v>7762.8</v>
      </c>
      <c r="N15" s="32">
        <v>0.15503633391576246</v>
      </c>
      <c r="O15" s="32">
        <v>6.5738910993208837E-4</v>
      </c>
      <c r="P15" s="18"/>
    </row>
    <row r="16" spans="1:18" s="160" customFormat="1" x14ac:dyDescent="0.2">
      <c r="B16" s="132" t="s">
        <v>2578</v>
      </c>
      <c r="C16" s="167" t="s">
        <v>238</v>
      </c>
      <c r="D16" s="168" t="s">
        <v>238</v>
      </c>
      <c r="E16" s="168" t="s">
        <v>238</v>
      </c>
      <c r="F16" s="168" t="s">
        <v>238</v>
      </c>
      <c r="G16" s="168" t="s">
        <v>238</v>
      </c>
      <c r="H16" s="168" t="s">
        <v>238</v>
      </c>
      <c r="I16" s="167" t="s">
        <v>238</v>
      </c>
      <c r="J16" s="167" t="s">
        <v>238</v>
      </c>
      <c r="K16" s="178" t="s">
        <v>238</v>
      </c>
      <c r="L16" s="168" t="s">
        <v>238</v>
      </c>
      <c r="M16" s="169">
        <v>0</v>
      </c>
      <c r="N16" s="167">
        <v>0</v>
      </c>
      <c r="O16" s="167">
        <v>0</v>
      </c>
    </row>
    <row r="17" spans="2:16" s="160" customFormat="1" x14ac:dyDescent="0.2">
      <c r="B17" s="132" t="s">
        <v>3747</v>
      </c>
      <c r="C17" s="167" t="s">
        <v>238</v>
      </c>
      <c r="D17" s="168" t="s">
        <v>238</v>
      </c>
      <c r="E17" s="168" t="s">
        <v>238</v>
      </c>
      <c r="F17" s="168" t="s">
        <v>238</v>
      </c>
      <c r="G17" s="168" t="s">
        <v>238</v>
      </c>
      <c r="H17" s="168" t="s">
        <v>238</v>
      </c>
      <c r="I17" s="167" t="s">
        <v>238</v>
      </c>
      <c r="J17" s="167" t="s">
        <v>238</v>
      </c>
      <c r="K17" s="178" t="s">
        <v>238</v>
      </c>
      <c r="L17" s="168" t="s">
        <v>238</v>
      </c>
      <c r="M17" s="169">
        <v>0</v>
      </c>
      <c r="N17" s="167">
        <v>0</v>
      </c>
      <c r="O17" s="167">
        <v>0</v>
      </c>
    </row>
    <row r="18" spans="2:16" s="160" customFormat="1" x14ac:dyDescent="0.2">
      <c r="B18" s="132" t="s">
        <v>3748</v>
      </c>
      <c r="C18" s="167" t="s">
        <v>238</v>
      </c>
      <c r="D18" s="168" t="s">
        <v>238</v>
      </c>
      <c r="E18" s="168" t="s">
        <v>238</v>
      </c>
      <c r="F18" s="168" t="s">
        <v>238</v>
      </c>
      <c r="G18" s="168" t="s">
        <v>238</v>
      </c>
      <c r="H18" s="168" t="s">
        <v>238</v>
      </c>
      <c r="I18" s="167" t="s">
        <v>238</v>
      </c>
      <c r="J18" s="167" t="s">
        <v>238</v>
      </c>
      <c r="K18" s="178" t="s">
        <v>238</v>
      </c>
      <c r="L18" s="168" t="s">
        <v>238</v>
      </c>
      <c r="M18" s="169">
        <v>0</v>
      </c>
      <c r="N18" s="167">
        <v>0</v>
      </c>
      <c r="O18" s="167">
        <v>0</v>
      </c>
    </row>
    <row r="19" spans="2:16" s="160" customFormat="1" x14ac:dyDescent="0.2">
      <c r="B19" s="132" t="s">
        <v>144</v>
      </c>
      <c r="C19" s="167" t="s">
        <v>238</v>
      </c>
      <c r="D19" s="168" t="s">
        <v>238</v>
      </c>
      <c r="E19" s="168" t="s">
        <v>238</v>
      </c>
      <c r="F19" s="168" t="s">
        <v>238</v>
      </c>
      <c r="G19" s="168" t="s">
        <v>238</v>
      </c>
      <c r="H19" s="168" t="s">
        <v>238</v>
      </c>
      <c r="I19" s="167" t="s">
        <v>238</v>
      </c>
      <c r="J19" s="167" t="s">
        <v>238</v>
      </c>
      <c r="K19" s="178" t="s">
        <v>238</v>
      </c>
      <c r="L19" s="168" t="s">
        <v>238</v>
      </c>
      <c r="M19" s="169">
        <v>0</v>
      </c>
      <c r="N19" s="167">
        <v>0</v>
      </c>
      <c r="O19" s="167">
        <v>0</v>
      </c>
    </row>
    <row r="20" spans="2:16" s="160" customFormat="1" x14ac:dyDescent="0.2">
      <c r="B20" s="132" t="s">
        <v>558</v>
      </c>
      <c r="C20" s="167" t="s">
        <v>238</v>
      </c>
      <c r="D20" s="168" t="s">
        <v>238</v>
      </c>
      <c r="E20" s="168" t="s">
        <v>238</v>
      </c>
      <c r="F20" s="168" t="s">
        <v>238</v>
      </c>
      <c r="G20" s="168" t="s">
        <v>238</v>
      </c>
      <c r="H20" s="168" t="s">
        <v>238</v>
      </c>
      <c r="I20" s="167" t="s">
        <v>238</v>
      </c>
      <c r="J20" s="167" t="s">
        <v>238</v>
      </c>
      <c r="K20" s="178" t="s">
        <v>238</v>
      </c>
      <c r="L20" s="168" t="s">
        <v>238</v>
      </c>
      <c r="M20" s="169">
        <v>0</v>
      </c>
      <c r="N20" s="167">
        <v>0</v>
      </c>
      <c r="O20" s="167">
        <v>0</v>
      </c>
    </row>
    <row r="21" spans="2:16" s="160" customFormat="1" x14ac:dyDescent="0.2">
      <c r="B21" s="114" t="s">
        <v>227</v>
      </c>
      <c r="C21" s="114"/>
      <c r="D21" s="170"/>
      <c r="E21" s="170"/>
      <c r="F21" s="171"/>
      <c r="G21" s="171"/>
      <c r="H21" s="171"/>
      <c r="I21" s="172"/>
      <c r="J21" s="173"/>
      <c r="K21" s="174"/>
      <c r="L21" s="174"/>
      <c r="M21" s="174"/>
      <c r="N21" s="174"/>
      <c r="O21" s="173"/>
      <c r="P21" s="175"/>
    </row>
    <row r="22" spans="2:16" s="160" customFormat="1" x14ac:dyDescent="0.2">
      <c r="B22" s="114" t="s">
        <v>228</v>
      </c>
      <c r="C22" s="114"/>
      <c r="D22" s="170"/>
      <c r="E22" s="170"/>
      <c r="F22" s="171"/>
      <c r="G22" s="171"/>
      <c r="H22" s="171"/>
      <c r="I22" s="172"/>
      <c r="J22" s="173"/>
      <c r="K22" s="174"/>
      <c r="L22" s="174"/>
      <c r="M22" s="174"/>
      <c r="N22" s="174"/>
      <c r="O22" s="173"/>
      <c r="P22" s="175"/>
    </row>
    <row r="23" spans="2:16" s="160" customFormat="1" x14ac:dyDescent="0.2">
      <c r="B23" s="114" t="s">
        <v>229</v>
      </c>
      <c r="C23" s="114"/>
      <c r="D23" s="170"/>
      <c r="E23" s="170"/>
      <c r="F23" s="171"/>
      <c r="G23" s="171"/>
      <c r="H23" s="171"/>
      <c r="I23" s="172"/>
      <c r="J23" s="173"/>
      <c r="K23" s="174"/>
      <c r="L23" s="174"/>
      <c r="M23" s="174"/>
      <c r="N23" s="174"/>
      <c r="O23" s="173"/>
      <c r="P23" s="175"/>
    </row>
    <row r="24" spans="2:16" s="160" customFormat="1" x14ac:dyDescent="0.2">
      <c r="B24" s="114" t="s">
        <v>230</v>
      </c>
      <c r="C24" s="114"/>
      <c r="D24" s="170"/>
      <c r="E24" s="170"/>
      <c r="F24" s="171"/>
      <c r="G24" s="171"/>
      <c r="H24" s="171"/>
      <c r="I24" s="172"/>
      <c r="J24" s="173"/>
      <c r="K24" s="174"/>
      <c r="L24" s="174"/>
      <c r="M24" s="174"/>
      <c r="N24" s="174"/>
      <c r="O24" s="173"/>
      <c r="P24" s="175"/>
    </row>
    <row r="25" spans="2:16" s="160" customFormat="1" x14ac:dyDescent="0.2">
      <c r="B25" s="114" t="s">
        <v>231</v>
      </c>
      <c r="C25" s="114"/>
      <c r="D25" s="170"/>
      <c r="E25" s="170"/>
      <c r="F25" s="171"/>
      <c r="G25" s="171"/>
      <c r="H25" s="171"/>
      <c r="I25" s="172"/>
      <c r="J25" s="173"/>
      <c r="K25" s="174"/>
      <c r="L25" s="174"/>
      <c r="M25" s="174"/>
      <c r="N25" s="174"/>
      <c r="O25" s="173"/>
      <c r="P25" s="175"/>
    </row>
  </sheetData>
  <mergeCells count="1">
    <mergeCell ref="B7:O7"/>
  </mergeCells>
  <phoneticPr fontId="3" type="noConversion"/>
  <conditionalFormatting sqref="H12:H20 N12:O20 C12:F20">
    <cfRule type="expression" dxfId="52" priority="367" stopIfTrue="1">
      <formula>OR(LEFT(#REF!,3)="TIR",LEFT(#REF!,2)="IR")</formula>
    </cfRule>
  </conditionalFormatting>
  <conditionalFormatting sqref="B11:B20 M11:N20">
    <cfRule type="expression" dxfId="51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6"/>
  <sheetViews>
    <sheetView rightToLeft="1" zoomScale="85" zoomScaleNormal="85" workbookViewId="0">
      <selection activeCell="B41" sqref="B41"/>
    </sheetView>
  </sheetViews>
  <sheetFormatPr defaultRowHeight="12.75" x14ac:dyDescent="0.2"/>
  <cols>
    <col min="1" max="1" width="5.28515625" style="18" bestFit="1" customWidth="1"/>
    <col min="2" max="2" width="42" style="13" bestFit="1" customWidth="1"/>
    <col min="3" max="3" width="12.7109375" style="12" bestFit="1" customWidth="1"/>
    <col min="4" max="4" width="8" style="13" bestFit="1" customWidth="1"/>
    <col min="5" max="5" width="15" style="14" bestFit="1" customWidth="1"/>
    <col min="6" max="6" width="11.85546875" style="93" bestFit="1" customWidth="1"/>
    <col min="7" max="7" width="11.7109375" style="93" bestFit="1" customWidth="1"/>
    <col min="8" max="8" width="15.28515625" style="93" bestFit="1" customWidth="1"/>
    <col min="9" max="9" width="18.5703125" style="93" bestFit="1" customWidth="1"/>
    <col min="10" max="10" width="41.2851562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8" t="s">
        <v>38</v>
      </c>
      <c r="C7" s="239"/>
      <c r="D7" s="239"/>
      <c r="E7" s="239"/>
      <c r="F7" s="239"/>
      <c r="G7" s="239"/>
      <c r="H7" s="239"/>
      <c r="I7" s="239"/>
      <c r="J7" s="240"/>
      <c r="K7" s="15"/>
      <c r="L7" s="15"/>
      <c r="M7" s="15"/>
    </row>
    <row r="8" spans="1:18" s="10" customFormat="1" ht="33" customHeight="1" x14ac:dyDescent="0.2">
      <c r="B8" s="126" t="s">
        <v>219</v>
      </c>
      <c r="C8" s="127" t="s">
        <v>39</v>
      </c>
      <c r="D8" s="127" t="s">
        <v>41</v>
      </c>
      <c r="E8" s="127" t="s">
        <v>42</v>
      </c>
      <c r="F8" s="127" t="s">
        <v>6</v>
      </c>
      <c r="G8" s="128" t="s">
        <v>82</v>
      </c>
      <c r="H8" s="129" t="s">
        <v>75</v>
      </c>
      <c r="I8" s="129" t="s">
        <v>8</v>
      </c>
      <c r="J8" s="130" t="s">
        <v>139</v>
      </c>
    </row>
    <row r="9" spans="1:18" s="10" customFormat="1" x14ac:dyDescent="0.2">
      <c r="B9" s="34"/>
      <c r="C9" s="3" t="s">
        <v>40</v>
      </c>
      <c r="D9" s="3"/>
      <c r="E9" s="37" t="s">
        <v>9</v>
      </c>
      <c r="F9" s="37"/>
      <c r="G9" s="2" t="s">
        <v>138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66">
        <v>8</v>
      </c>
    </row>
    <row r="11" spans="1:18" s="160" customFormat="1" ht="12.75" customHeight="1" thickBot="1" x14ac:dyDescent="0.25">
      <c r="B11" s="192" t="s">
        <v>73</v>
      </c>
      <c r="C11" s="104"/>
      <c r="D11" s="104" t="s">
        <v>238</v>
      </c>
      <c r="E11" s="203"/>
      <c r="F11" s="193"/>
      <c r="G11" s="196">
        <v>82560.838370400015</v>
      </c>
      <c r="H11" s="104">
        <v>1</v>
      </c>
      <c r="I11" s="104">
        <v>6.9916262239867405E-3</v>
      </c>
      <c r="J11" s="121"/>
    </row>
    <row r="12" spans="1:18" s="160" customFormat="1" x14ac:dyDescent="0.2">
      <c r="B12" s="131" t="s">
        <v>3749</v>
      </c>
      <c r="C12" s="163"/>
      <c r="D12" s="163" t="s">
        <v>238</v>
      </c>
      <c r="E12" s="183"/>
      <c r="F12" s="164" t="s">
        <v>238</v>
      </c>
      <c r="G12" s="165">
        <v>46418.240850199996</v>
      </c>
      <c r="H12" s="163">
        <v>0.56223073513315991</v>
      </c>
      <c r="I12" s="163">
        <v>3.9309071516883442E-3</v>
      </c>
      <c r="J12" s="163" t="s">
        <v>238</v>
      </c>
    </row>
    <row r="13" spans="1:18" s="160" customFormat="1" x14ac:dyDescent="0.2">
      <c r="B13" s="132" t="s">
        <v>3750</v>
      </c>
      <c r="C13" s="163"/>
      <c r="D13" s="163" t="s">
        <v>238</v>
      </c>
      <c r="E13" s="183"/>
      <c r="F13" s="164" t="s">
        <v>238</v>
      </c>
      <c r="G13" s="165">
        <v>46418.240850099995</v>
      </c>
      <c r="H13" s="163">
        <v>0.56223073513194866</v>
      </c>
      <c r="I13" s="163">
        <v>3.9309071516798761E-3</v>
      </c>
      <c r="J13" s="163" t="s">
        <v>238</v>
      </c>
    </row>
    <row r="14" spans="1:18" x14ac:dyDescent="0.2">
      <c r="B14" s="23" t="s">
        <v>3751</v>
      </c>
      <c r="C14" s="241">
        <v>43830</v>
      </c>
      <c r="D14" s="242" t="s">
        <v>3940</v>
      </c>
      <c r="E14" s="216">
        <v>7.2010896700253763E-2</v>
      </c>
      <c r="F14" s="100" t="s">
        <v>244</v>
      </c>
      <c r="G14" s="125">
        <v>33860.749619999995</v>
      </c>
      <c r="H14" s="41">
        <v>0.41013088394388042</v>
      </c>
      <c r="I14" s="41">
        <v>2.8674818434488965E-3</v>
      </c>
      <c r="J14" s="41" t="s">
        <v>3752</v>
      </c>
      <c r="K14" s="18"/>
      <c r="L14" s="18"/>
      <c r="M14" s="18"/>
      <c r="N14" s="18"/>
      <c r="O14" s="18"/>
      <c r="P14" s="18"/>
      <c r="Q14" s="18"/>
    </row>
    <row r="15" spans="1:18" x14ac:dyDescent="0.2">
      <c r="B15" s="23" t="s">
        <v>3753</v>
      </c>
      <c r="C15" s="241">
        <v>43830</v>
      </c>
      <c r="D15" s="242" t="s">
        <v>3940</v>
      </c>
      <c r="E15" s="216">
        <v>5.9990826754595605E-2</v>
      </c>
      <c r="F15" s="100" t="s">
        <v>244</v>
      </c>
      <c r="G15" s="125">
        <v>12557.49123</v>
      </c>
      <c r="H15" s="41">
        <v>0.15209985118685707</v>
      </c>
      <c r="I15" s="41">
        <v>1.0634253082225105E-3</v>
      </c>
      <c r="J15" s="41" t="s">
        <v>3754</v>
      </c>
      <c r="K15" s="18"/>
      <c r="L15" s="18"/>
      <c r="M15" s="18"/>
      <c r="N15" s="18"/>
      <c r="O15" s="18"/>
      <c r="P15" s="18"/>
      <c r="Q15" s="18"/>
    </row>
    <row r="16" spans="1:18" s="160" customFormat="1" x14ac:dyDescent="0.2">
      <c r="B16" s="132" t="s">
        <v>3755</v>
      </c>
      <c r="C16" s="241"/>
      <c r="D16" s="242"/>
      <c r="E16" s="216"/>
      <c r="F16" s="164" t="s">
        <v>238</v>
      </c>
      <c r="G16" s="165">
        <v>0</v>
      </c>
      <c r="H16" s="163">
        <v>0</v>
      </c>
      <c r="I16" s="163">
        <v>0</v>
      </c>
      <c r="J16" s="163" t="s">
        <v>238</v>
      </c>
    </row>
    <row r="17" spans="2:17" s="160" customFormat="1" x14ac:dyDescent="0.2">
      <c r="B17" s="132" t="s">
        <v>3756</v>
      </c>
      <c r="C17" s="241"/>
      <c r="D17" s="242"/>
      <c r="E17" s="216"/>
      <c r="F17" s="164" t="s">
        <v>238</v>
      </c>
      <c r="G17" s="165">
        <v>36142.597520199997</v>
      </c>
      <c r="H17" s="163">
        <v>0.43776926486683987</v>
      </c>
      <c r="I17" s="163">
        <v>3.0607190722983946E-3</v>
      </c>
      <c r="J17" s="163" t="s">
        <v>238</v>
      </c>
    </row>
    <row r="18" spans="2:17" s="160" customFormat="1" x14ac:dyDescent="0.2">
      <c r="B18" s="132" t="s">
        <v>3750</v>
      </c>
      <c r="C18" s="241"/>
      <c r="D18" s="242"/>
      <c r="E18" s="216"/>
      <c r="F18" s="164" t="s">
        <v>238</v>
      </c>
      <c r="G18" s="165">
        <v>36142.597520099996</v>
      </c>
      <c r="H18" s="163">
        <v>0.43776926486562862</v>
      </c>
      <c r="I18" s="163">
        <v>3.0607190722899262E-3</v>
      </c>
      <c r="J18" s="163" t="s">
        <v>238</v>
      </c>
    </row>
    <row r="19" spans="2:17" x14ac:dyDescent="0.2">
      <c r="B19" s="23" t="s">
        <v>3757</v>
      </c>
      <c r="C19" s="241">
        <v>43830</v>
      </c>
      <c r="D19" s="242" t="s">
        <v>3940</v>
      </c>
      <c r="E19" s="216">
        <v>5.9066238248924541E-2</v>
      </c>
      <c r="F19" s="100" t="s">
        <v>2</v>
      </c>
      <c r="G19" s="125">
        <v>9786.935230000001</v>
      </c>
      <c r="H19" s="41">
        <v>0.11854210086980954</v>
      </c>
      <c r="I19" s="41">
        <v>8.2880206108784183E-4</v>
      </c>
      <c r="J19" s="41" t="s">
        <v>3758</v>
      </c>
      <c r="K19" s="18"/>
      <c r="L19" s="18"/>
      <c r="M19" s="18"/>
      <c r="N19" s="18"/>
      <c r="O19" s="18"/>
      <c r="P19" s="18"/>
      <c r="Q19" s="18"/>
    </row>
    <row r="20" spans="2:17" x14ac:dyDescent="0.2">
      <c r="B20" s="23" t="s">
        <v>3759</v>
      </c>
      <c r="C20" s="241">
        <v>43830</v>
      </c>
      <c r="D20" s="242" t="s">
        <v>3940</v>
      </c>
      <c r="E20" s="216">
        <v>4.734050787231673E-2</v>
      </c>
      <c r="F20" s="100" t="s">
        <v>127</v>
      </c>
      <c r="G20" s="125">
        <v>26355.66229</v>
      </c>
      <c r="H20" s="41">
        <v>0.31922716399460788</v>
      </c>
      <c r="I20" s="41">
        <v>2.2319170111936163E-3</v>
      </c>
      <c r="J20" s="41" t="s">
        <v>3760</v>
      </c>
      <c r="K20" s="18"/>
      <c r="L20" s="18"/>
      <c r="M20" s="18"/>
      <c r="N20" s="18"/>
      <c r="O20" s="18"/>
      <c r="P20" s="18"/>
      <c r="Q20" s="18"/>
    </row>
    <row r="21" spans="2:17" s="160" customFormat="1" x14ac:dyDescent="0.2">
      <c r="B21" s="132" t="s">
        <v>3755</v>
      </c>
      <c r="C21" s="163"/>
      <c r="D21" s="163" t="s">
        <v>238</v>
      </c>
      <c r="E21" s="183"/>
      <c r="F21" s="164" t="s">
        <v>238</v>
      </c>
      <c r="G21" s="165">
        <v>0</v>
      </c>
      <c r="H21" s="163">
        <v>0</v>
      </c>
      <c r="I21" s="163">
        <v>0</v>
      </c>
      <c r="J21" s="163" t="s">
        <v>238</v>
      </c>
    </row>
    <row r="22" spans="2:17" s="160" customFormat="1" x14ac:dyDescent="0.2">
      <c r="B22" s="114" t="s">
        <v>227</v>
      </c>
      <c r="C22" s="170"/>
      <c r="D22" s="114"/>
      <c r="E22" s="189"/>
      <c r="F22" s="171"/>
      <c r="G22" s="171"/>
      <c r="H22" s="171"/>
      <c r="I22" s="171"/>
      <c r="J22" s="171"/>
      <c r="K22" s="190"/>
      <c r="L22" s="175"/>
      <c r="M22" s="191"/>
      <c r="N22" s="191"/>
      <c r="O22" s="191"/>
      <c r="P22" s="175"/>
      <c r="Q22" s="175"/>
    </row>
    <row r="23" spans="2:17" s="160" customFormat="1" x14ac:dyDescent="0.2">
      <c r="B23" s="114" t="s">
        <v>228</v>
      </c>
      <c r="C23" s="170"/>
      <c r="D23" s="114"/>
      <c r="E23" s="189"/>
      <c r="F23" s="171"/>
      <c r="G23" s="171"/>
      <c r="H23" s="171"/>
      <c r="I23" s="171"/>
      <c r="J23" s="171"/>
      <c r="K23" s="190"/>
      <c r="L23" s="175"/>
      <c r="M23" s="191"/>
      <c r="N23" s="191"/>
      <c r="O23" s="191"/>
      <c r="P23" s="175"/>
      <c r="Q23" s="175"/>
    </row>
    <row r="24" spans="2:17" s="160" customFormat="1" x14ac:dyDescent="0.2">
      <c r="B24" s="114" t="s">
        <v>229</v>
      </c>
      <c r="C24" s="170"/>
      <c r="D24" s="114"/>
      <c r="E24" s="189"/>
      <c r="F24" s="171"/>
      <c r="G24" s="171"/>
      <c r="H24" s="171"/>
      <c r="I24" s="171"/>
      <c r="J24" s="171"/>
      <c r="K24" s="190"/>
      <c r="L24" s="175"/>
      <c r="M24" s="191"/>
      <c r="N24" s="191"/>
      <c r="O24" s="191"/>
      <c r="P24" s="175"/>
      <c r="Q24" s="175"/>
    </row>
    <row r="25" spans="2:17" s="160" customFormat="1" x14ac:dyDescent="0.2">
      <c r="B25" s="114" t="s">
        <v>230</v>
      </c>
      <c r="C25" s="170"/>
      <c r="D25" s="114"/>
      <c r="E25" s="189"/>
      <c r="F25" s="171"/>
      <c r="G25" s="171"/>
      <c r="H25" s="171"/>
      <c r="I25" s="171"/>
      <c r="J25" s="171"/>
      <c r="K25" s="190"/>
      <c r="L25" s="175"/>
      <c r="M25" s="191"/>
      <c r="N25" s="191"/>
      <c r="O25" s="191"/>
      <c r="P25" s="175"/>
      <c r="Q25" s="175"/>
    </row>
    <row r="26" spans="2:17" s="160" customFormat="1" x14ac:dyDescent="0.2">
      <c r="B26" s="114" t="s">
        <v>231</v>
      </c>
      <c r="C26" s="170"/>
      <c r="D26" s="114"/>
      <c r="E26" s="189"/>
      <c r="F26" s="171"/>
      <c r="G26" s="171"/>
      <c r="H26" s="171"/>
      <c r="I26" s="171"/>
      <c r="J26" s="171"/>
      <c r="K26" s="190"/>
      <c r="L26" s="175"/>
      <c r="M26" s="191"/>
      <c r="N26" s="191"/>
      <c r="O26" s="191"/>
      <c r="P26" s="175"/>
      <c r="Q26" s="175"/>
    </row>
  </sheetData>
  <mergeCells count="1">
    <mergeCell ref="B7:J7"/>
  </mergeCells>
  <phoneticPr fontId="3" type="noConversion"/>
  <conditionalFormatting sqref="L1:L6 L22:L55556">
    <cfRule type="expression" dxfId="50" priority="386" stopIfTrue="1">
      <formula>LEFT(#REF!,3)="TIR"</formula>
    </cfRule>
  </conditionalFormatting>
  <conditionalFormatting sqref="H11:J21 C11:F13 C21:F21 F14:F20">
    <cfRule type="expression" dxfId="49" priority="388" stopIfTrue="1">
      <formula>LEFT(#REF!,3)="TIR"</formula>
    </cfRule>
  </conditionalFormatting>
  <conditionalFormatting sqref="B11:B21 G11:J21">
    <cfRule type="expression" dxfId="48" priority="390" stopIfTrue="1">
      <formula>#REF!&gt;0</formula>
    </cfRule>
    <cfRule type="expression" dxfId="47" priority="391" stopIfTrue="1">
      <formula>LEFT(#REF!,3)="TIR"</formula>
    </cfRule>
  </conditionalFormatting>
  <conditionalFormatting sqref="C14:E20">
    <cfRule type="expression" dxfId="3" priority="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4.5703125" style="13" bestFit="1" customWidth="1"/>
    <col min="5" max="5" width="10.5703125" style="14" bestFit="1" customWidth="1"/>
    <col min="6" max="6" width="12.28515625" style="93" bestFit="1" customWidth="1"/>
    <col min="7" max="7" width="6.140625" style="93" bestFit="1" customWidth="1"/>
    <col min="8" max="8" width="7" style="93" bestFit="1" customWidth="1"/>
    <col min="9" max="9" width="8.42578125" style="93" bestFit="1" customWidth="1"/>
    <col min="10" max="10" width="15.28515625" style="93" bestFit="1" customWidth="1"/>
    <col min="11" max="11" width="15.570312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153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234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8" t="s">
        <v>86</v>
      </c>
      <c r="C7" s="229"/>
      <c r="D7" s="229"/>
      <c r="E7" s="229"/>
      <c r="F7" s="229"/>
      <c r="G7" s="229"/>
      <c r="H7" s="229"/>
      <c r="I7" s="229"/>
      <c r="J7" s="229"/>
      <c r="K7" s="230"/>
      <c r="L7" s="15"/>
      <c r="M7" s="15"/>
      <c r="N7" s="15"/>
    </row>
    <row r="8" spans="1:19" s="10" customFormat="1" ht="33" customHeight="1" x14ac:dyDescent="0.2">
      <c r="B8" s="9" t="s">
        <v>219</v>
      </c>
      <c r="C8" s="4" t="s">
        <v>74</v>
      </c>
      <c r="D8" s="4" t="s">
        <v>70</v>
      </c>
      <c r="E8" s="4" t="s">
        <v>83</v>
      </c>
      <c r="F8" s="4" t="s">
        <v>84</v>
      </c>
      <c r="G8" s="5" t="s">
        <v>6</v>
      </c>
      <c r="H8" s="38" t="s">
        <v>71</v>
      </c>
      <c r="I8" s="38" t="s">
        <v>29</v>
      </c>
      <c r="J8" s="38" t="s">
        <v>75</v>
      </c>
      <c r="K8" s="6" t="s">
        <v>85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138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60" customFormat="1" ht="12.75" customHeight="1" thickBot="1" x14ac:dyDescent="0.25">
      <c r="B11" s="141" t="s">
        <v>125</v>
      </c>
      <c r="C11" s="104"/>
      <c r="D11" s="104"/>
      <c r="E11" s="203"/>
      <c r="F11" s="193"/>
      <c r="G11" s="149"/>
      <c r="H11" s="149"/>
      <c r="I11" s="196">
        <v>2.0000000000000002E-7</v>
      </c>
      <c r="J11" s="104">
        <v>1</v>
      </c>
      <c r="K11" s="120">
        <v>1.693690704210049E-14</v>
      </c>
    </row>
    <row r="12" spans="1:19" s="160" customFormat="1" x14ac:dyDescent="0.2">
      <c r="B12" s="131" t="s">
        <v>3761</v>
      </c>
      <c r="C12" s="163" t="s">
        <v>238</v>
      </c>
      <c r="D12" s="163" t="s">
        <v>238</v>
      </c>
      <c r="E12" s="163" t="s">
        <v>238</v>
      </c>
      <c r="F12" s="163" t="s">
        <v>238</v>
      </c>
      <c r="G12" s="177" t="s">
        <v>238</v>
      </c>
      <c r="H12" s="204" t="s">
        <v>238</v>
      </c>
      <c r="I12" s="165">
        <v>0</v>
      </c>
      <c r="J12" s="163">
        <v>0</v>
      </c>
      <c r="K12" s="163">
        <v>0</v>
      </c>
    </row>
    <row r="13" spans="1:19" s="160" customFormat="1" x14ac:dyDescent="0.2">
      <c r="B13" s="131" t="s">
        <v>3762</v>
      </c>
      <c r="C13" s="163" t="s">
        <v>238</v>
      </c>
      <c r="D13" s="163" t="s">
        <v>238</v>
      </c>
      <c r="E13" s="163" t="s">
        <v>238</v>
      </c>
      <c r="F13" s="163" t="s">
        <v>238</v>
      </c>
      <c r="G13" s="177" t="s">
        <v>238</v>
      </c>
      <c r="H13" s="204" t="s">
        <v>238</v>
      </c>
      <c r="I13" s="165">
        <v>0</v>
      </c>
      <c r="J13" s="163">
        <v>0</v>
      </c>
      <c r="K13" s="163">
        <v>0</v>
      </c>
    </row>
    <row r="14" spans="1:19" s="160" customFormat="1" x14ac:dyDescent="0.2">
      <c r="B14" s="114" t="s">
        <v>227</v>
      </c>
      <c r="C14" s="170"/>
      <c r="D14" s="114"/>
      <c r="E14" s="189"/>
      <c r="F14" s="171"/>
      <c r="G14" s="171"/>
      <c r="H14" s="171"/>
      <c r="I14" s="171"/>
      <c r="J14" s="171"/>
      <c r="K14" s="171"/>
      <c r="L14" s="190"/>
      <c r="M14" s="175"/>
      <c r="N14" s="191"/>
      <c r="O14" s="191"/>
      <c r="P14" s="191"/>
      <c r="Q14" s="175"/>
      <c r="R14" s="175"/>
    </row>
    <row r="15" spans="1:19" s="160" customFormat="1" x14ac:dyDescent="0.2">
      <c r="B15" s="114" t="s">
        <v>228</v>
      </c>
      <c r="C15" s="170"/>
      <c r="D15" s="114"/>
      <c r="E15" s="189"/>
      <c r="F15" s="171"/>
      <c r="G15" s="171"/>
      <c r="H15" s="171"/>
      <c r="I15" s="171"/>
      <c r="J15" s="171"/>
      <c r="K15" s="171"/>
      <c r="L15" s="190"/>
      <c r="M15" s="175"/>
      <c r="N15" s="191"/>
      <c r="O15" s="191"/>
      <c r="P15" s="191"/>
      <c r="Q15" s="175"/>
      <c r="R15" s="175"/>
    </row>
    <row r="16" spans="1:19" s="160" customFormat="1" x14ac:dyDescent="0.2">
      <c r="B16" s="114" t="s">
        <v>229</v>
      </c>
      <c r="C16" s="170"/>
      <c r="D16" s="114"/>
      <c r="E16" s="189"/>
      <c r="F16" s="171"/>
      <c r="G16" s="171"/>
      <c r="H16" s="171"/>
      <c r="I16" s="171"/>
      <c r="J16" s="171"/>
      <c r="K16" s="171"/>
      <c r="L16" s="190"/>
      <c r="M16" s="175"/>
      <c r="N16" s="191"/>
      <c r="O16" s="191"/>
      <c r="P16" s="191"/>
      <c r="Q16" s="175"/>
      <c r="R16" s="175"/>
    </row>
    <row r="17" spans="2:18" s="160" customFormat="1" x14ac:dyDescent="0.2">
      <c r="B17" s="114" t="s">
        <v>230</v>
      </c>
      <c r="C17" s="170"/>
      <c r="D17" s="114"/>
      <c r="E17" s="189"/>
      <c r="F17" s="171"/>
      <c r="G17" s="171"/>
      <c r="H17" s="171"/>
      <c r="I17" s="171"/>
      <c r="J17" s="171"/>
      <c r="K17" s="171"/>
      <c r="L17" s="190"/>
      <c r="M17" s="175"/>
      <c r="N17" s="191"/>
      <c r="O17" s="191"/>
      <c r="P17" s="191"/>
      <c r="Q17" s="175"/>
      <c r="R17" s="175"/>
    </row>
    <row r="18" spans="2:18" s="160" customFormat="1" x14ac:dyDescent="0.2">
      <c r="B18" s="114" t="s">
        <v>231</v>
      </c>
      <c r="C18" s="170"/>
      <c r="D18" s="114"/>
      <c r="E18" s="189"/>
      <c r="F18" s="171"/>
      <c r="G18" s="171"/>
      <c r="H18" s="171"/>
      <c r="I18" s="171"/>
      <c r="J18" s="171"/>
      <c r="K18" s="171"/>
      <c r="L18" s="190"/>
      <c r="M18" s="175"/>
      <c r="N18" s="191"/>
      <c r="O18" s="191"/>
      <c r="P18" s="191"/>
      <c r="Q18" s="175"/>
      <c r="R18" s="175"/>
    </row>
  </sheetData>
  <mergeCells count="1">
    <mergeCell ref="B7:K7"/>
  </mergeCells>
  <conditionalFormatting sqref="M1:M6 M14:M55548">
    <cfRule type="expression" dxfId="38" priority="389" stopIfTrue="1">
      <formula>LEFT(#REF!,3)="TIR"</formula>
    </cfRule>
  </conditionalFormatting>
  <conditionalFormatting sqref="J11:K13 C11:F13">
    <cfRule type="expression" dxfId="37" priority="391" stopIfTrue="1">
      <formula>LEFT(#REF!,3)="TIR"</formula>
    </cfRule>
  </conditionalFormatting>
  <conditionalFormatting sqref="B11:B13 G11:K13">
    <cfRule type="expression" dxfId="36" priority="393" stopIfTrue="1">
      <formula>#REF!&gt;0</formula>
    </cfRule>
    <cfRule type="expression" dxfId="35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40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9.28515625" style="13" bestFit="1" customWidth="1"/>
    <col min="6" max="6" width="10.85546875" style="14" bestFit="1" customWidth="1"/>
    <col min="7" max="7" width="13.42578125" style="14" bestFit="1" customWidth="1"/>
    <col min="8" max="8" width="12.5703125" style="14" bestFit="1" customWidth="1"/>
    <col min="9" max="9" width="9.28515625" style="14" bestFit="1" customWidth="1"/>
    <col min="10" max="10" width="13.85546875" style="14" bestFit="1" customWidth="1"/>
    <col min="11" max="11" width="19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153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234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8" t="s">
        <v>87</v>
      </c>
      <c r="C7" s="229"/>
      <c r="D7" s="229"/>
      <c r="E7" s="229"/>
      <c r="F7" s="229"/>
      <c r="G7" s="229"/>
      <c r="H7" s="229"/>
      <c r="I7" s="229"/>
      <c r="J7" s="229"/>
      <c r="K7" s="230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219</v>
      </c>
      <c r="C8" s="4" t="s">
        <v>81</v>
      </c>
      <c r="D8" s="4" t="s">
        <v>70</v>
      </c>
      <c r="E8" s="4" t="s">
        <v>5</v>
      </c>
      <c r="F8" s="5" t="s">
        <v>66</v>
      </c>
      <c r="G8" s="5" t="s">
        <v>6</v>
      </c>
      <c r="H8" s="5" t="s">
        <v>71</v>
      </c>
      <c r="I8" s="5" t="s">
        <v>29</v>
      </c>
      <c r="J8" s="38" t="s">
        <v>75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138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60" customFormat="1" ht="12.75" customHeight="1" thickBot="1" x14ac:dyDescent="0.25">
      <c r="B11" s="108" t="s">
        <v>126</v>
      </c>
      <c r="C11" s="161"/>
      <c r="D11" s="161"/>
      <c r="E11" s="161" t="s">
        <v>238</v>
      </c>
      <c r="F11" s="161" t="s">
        <v>238</v>
      </c>
      <c r="G11" s="161" t="s">
        <v>238</v>
      </c>
      <c r="H11" s="161" t="s">
        <v>238</v>
      </c>
      <c r="I11" s="134">
        <v>28899.049170133938</v>
      </c>
      <c r="J11" s="113">
        <v>1</v>
      </c>
      <c r="K11" s="92">
        <v>2.4473025469982489E-3</v>
      </c>
    </row>
    <row r="12" spans="1:21" s="160" customFormat="1" x14ac:dyDescent="0.2">
      <c r="B12" s="131" t="s">
        <v>140</v>
      </c>
      <c r="C12" s="205"/>
      <c r="D12" s="164" t="s">
        <v>238</v>
      </c>
      <c r="E12" s="183" t="s">
        <v>238</v>
      </c>
      <c r="F12" s="184" t="s">
        <v>238</v>
      </c>
      <c r="G12" s="177" t="s">
        <v>238</v>
      </c>
      <c r="H12" s="184" t="s">
        <v>238</v>
      </c>
      <c r="I12" s="165">
        <v>28286.079670033934</v>
      </c>
      <c r="J12" s="163">
        <v>0.97878928484839278</v>
      </c>
      <c r="K12" s="163">
        <v>2.3953935097840661E-3</v>
      </c>
    </row>
    <row r="13" spans="1:21" x14ac:dyDescent="0.2">
      <c r="B13" s="23" t="s">
        <v>3796</v>
      </c>
      <c r="C13" s="31" t="s">
        <v>3797</v>
      </c>
      <c r="D13" s="100" t="s">
        <v>599</v>
      </c>
      <c r="E13" s="33" t="s">
        <v>238</v>
      </c>
      <c r="F13" s="24">
        <v>0</v>
      </c>
      <c r="G13" s="102" t="s">
        <v>244</v>
      </c>
      <c r="H13" s="24">
        <v>0</v>
      </c>
      <c r="I13" s="125">
        <v>806.42727000000002</v>
      </c>
      <c r="J13" s="112">
        <v>2.7904975878355602E-2</v>
      </c>
      <c r="K13" s="41">
        <v>6.8291918541024357E-5</v>
      </c>
      <c r="L13" s="18"/>
      <c r="M13" s="18"/>
      <c r="N13" s="18"/>
      <c r="O13" s="18"/>
      <c r="P13" s="18"/>
      <c r="Q13" s="18"/>
    </row>
    <row r="14" spans="1:21" x14ac:dyDescent="0.2">
      <c r="B14" s="23" t="s">
        <v>3798</v>
      </c>
      <c r="C14" s="31" t="s">
        <v>3799</v>
      </c>
      <c r="D14" s="100" t="s">
        <v>599</v>
      </c>
      <c r="E14" s="33" t="s">
        <v>238</v>
      </c>
      <c r="F14" s="24">
        <v>0</v>
      </c>
      <c r="G14" s="102" t="s">
        <v>244</v>
      </c>
      <c r="H14" s="24">
        <v>0</v>
      </c>
      <c r="I14" s="125">
        <v>-9613.0632299999997</v>
      </c>
      <c r="J14" s="112">
        <v>-0.33264288985447776</v>
      </c>
      <c r="K14" s="41">
        <v>-8.1407779158172125E-4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3777</v>
      </c>
      <c r="C15" s="31" t="s">
        <v>3778</v>
      </c>
      <c r="D15" s="100" t="s">
        <v>599</v>
      </c>
      <c r="E15" s="33" t="s">
        <v>238</v>
      </c>
      <c r="F15" s="24">
        <v>5.3499999999999999E-2</v>
      </c>
      <c r="G15" s="102" t="s">
        <v>244</v>
      </c>
      <c r="H15" s="24">
        <v>0</v>
      </c>
      <c r="I15" s="125">
        <v>9145.6222699999998</v>
      </c>
      <c r="J15" s="112">
        <v>0.31646793000551904</v>
      </c>
      <c r="K15" s="41">
        <v>7.7449277114577028E-4</v>
      </c>
      <c r="L15" s="18"/>
      <c r="M15" s="18"/>
      <c r="N15" s="18"/>
      <c r="O15" s="18"/>
      <c r="P15" s="18"/>
      <c r="Q15" s="18"/>
    </row>
    <row r="16" spans="1:21" x14ac:dyDescent="0.2">
      <c r="B16" s="23" t="s">
        <v>3763</v>
      </c>
      <c r="C16" s="31" t="s">
        <v>3764</v>
      </c>
      <c r="D16" s="100" t="s">
        <v>599</v>
      </c>
      <c r="E16" s="33" t="s">
        <v>238</v>
      </c>
      <c r="F16" s="24">
        <v>5.33E-2</v>
      </c>
      <c r="G16" s="102" t="s">
        <v>244</v>
      </c>
      <c r="H16" s="24">
        <v>0</v>
      </c>
      <c r="I16" s="125">
        <v>2005.2962</v>
      </c>
      <c r="J16" s="112">
        <v>6.9389694733361568E-2</v>
      </c>
      <c r="K16" s="41">
        <v>1.6981757665638674E-4</v>
      </c>
      <c r="L16" s="18"/>
      <c r="M16" s="18"/>
      <c r="N16" s="18"/>
      <c r="O16" s="18"/>
      <c r="P16" s="18"/>
      <c r="Q16" s="18"/>
    </row>
    <row r="17" spans="2:17" x14ac:dyDescent="0.2">
      <c r="B17" s="23" t="s">
        <v>3765</v>
      </c>
      <c r="C17" s="31" t="s">
        <v>3766</v>
      </c>
      <c r="D17" s="100" t="s">
        <v>599</v>
      </c>
      <c r="E17" s="33" t="s">
        <v>238</v>
      </c>
      <c r="F17" s="24">
        <v>6.6000000000000003E-2</v>
      </c>
      <c r="G17" s="102" t="s">
        <v>244</v>
      </c>
      <c r="H17" s="24">
        <v>0</v>
      </c>
      <c r="I17" s="125">
        <v>2005.2963</v>
      </c>
      <c r="J17" s="112">
        <v>6.9389698193683028E-2</v>
      </c>
      <c r="K17" s="41">
        <v>1.6981758512484027E-4</v>
      </c>
      <c r="L17" s="18"/>
      <c r="M17" s="18"/>
      <c r="N17" s="18"/>
      <c r="O17" s="18"/>
      <c r="P17" s="18"/>
      <c r="Q17" s="18"/>
    </row>
    <row r="18" spans="2:17" x14ac:dyDescent="0.2">
      <c r="B18" s="23" t="s">
        <v>3767</v>
      </c>
      <c r="C18" s="31" t="s">
        <v>3768</v>
      </c>
      <c r="D18" s="100" t="s">
        <v>599</v>
      </c>
      <c r="E18" s="33" t="s">
        <v>238</v>
      </c>
      <c r="F18" s="24">
        <v>6.6000000000000003E-2</v>
      </c>
      <c r="G18" s="102" t="s">
        <v>244</v>
      </c>
      <c r="H18" s="24">
        <v>0</v>
      </c>
      <c r="I18" s="125">
        <v>2005.2963</v>
      </c>
      <c r="J18" s="112">
        <v>6.9389698193683028E-2</v>
      </c>
      <c r="K18" s="41">
        <v>1.6981758512484027E-4</v>
      </c>
      <c r="L18" s="18"/>
      <c r="M18" s="18"/>
      <c r="N18" s="18"/>
      <c r="O18" s="18"/>
      <c r="P18" s="18"/>
      <c r="Q18" s="18"/>
    </row>
    <row r="19" spans="2:17" x14ac:dyDescent="0.2">
      <c r="B19" s="23" t="s">
        <v>3769</v>
      </c>
      <c r="C19" s="31" t="s">
        <v>3770</v>
      </c>
      <c r="D19" s="100" t="s">
        <v>599</v>
      </c>
      <c r="E19" s="33" t="s">
        <v>238</v>
      </c>
      <c r="F19" s="24">
        <v>6.6000000000000003E-2</v>
      </c>
      <c r="G19" s="102" t="s">
        <v>244</v>
      </c>
      <c r="H19" s="24">
        <v>0</v>
      </c>
      <c r="I19" s="125">
        <v>2005.2963</v>
      </c>
      <c r="J19" s="112">
        <v>6.9389698193683028E-2</v>
      </c>
      <c r="K19" s="41">
        <v>1.6981758512484027E-4</v>
      </c>
      <c r="L19" s="18"/>
      <c r="M19" s="18"/>
      <c r="N19" s="18"/>
      <c r="O19" s="18"/>
      <c r="P19" s="18"/>
      <c r="Q19" s="18"/>
    </row>
    <row r="20" spans="2:17" x14ac:dyDescent="0.2">
      <c r="B20" s="23" t="s">
        <v>3771</v>
      </c>
      <c r="C20" s="31" t="s">
        <v>3772</v>
      </c>
      <c r="D20" s="100" t="s">
        <v>599</v>
      </c>
      <c r="E20" s="33" t="s">
        <v>238</v>
      </c>
      <c r="F20" s="24">
        <v>5.7500000000000002E-2</v>
      </c>
      <c r="G20" s="102" t="s">
        <v>244</v>
      </c>
      <c r="H20" s="24">
        <v>0</v>
      </c>
      <c r="I20" s="125">
        <v>955.8</v>
      </c>
      <c r="J20" s="112">
        <v>3.3073752509054269E-2</v>
      </c>
      <c r="K20" s="41">
        <v>8.0941478754198228E-5</v>
      </c>
      <c r="L20" s="18"/>
      <c r="M20" s="18"/>
      <c r="N20" s="18"/>
      <c r="O20" s="18"/>
      <c r="P20" s="18"/>
      <c r="Q20" s="18"/>
    </row>
    <row r="21" spans="2:17" x14ac:dyDescent="0.2">
      <c r="B21" s="23" t="s">
        <v>3773</v>
      </c>
      <c r="C21" s="31" t="s">
        <v>3774</v>
      </c>
      <c r="D21" s="100" t="s">
        <v>599</v>
      </c>
      <c r="E21" s="33" t="s">
        <v>238</v>
      </c>
      <c r="F21" s="24">
        <v>6.6000000000000003E-2</v>
      </c>
      <c r="G21" s="102" t="s">
        <v>244</v>
      </c>
      <c r="H21" s="24">
        <v>0</v>
      </c>
      <c r="I21" s="125">
        <v>2005.2963</v>
      </c>
      <c r="J21" s="112">
        <v>6.9389698193683028E-2</v>
      </c>
      <c r="K21" s="41">
        <v>1.6981758512484027E-4</v>
      </c>
      <c r="L21" s="18"/>
      <c r="M21" s="18"/>
      <c r="N21" s="18"/>
      <c r="O21" s="18"/>
      <c r="P21" s="18"/>
      <c r="Q21" s="18"/>
    </row>
    <row r="22" spans="2:17" x14ac:dyDescent="0.2">
      <c r="B22" s="23" t="s">
        <v>3792</v>
      </c>
      <c r="C22" s="31" t="s">
        <v>3793</v>
      </c>
      <c r="D22" s="100" t="s">
        <v>599</v>
      </c>
      <c r="E22" s="33" t="s">
        <v>238</v>
      </c>
      <c r="F22" s="24">
        <v>0</v>
      </c>
      <c r="G22" s="102" t="s">
        <v>244</v>
      </c>
      <c r="H22" s="24">
        <v>0</v>
      </c>
      <c r="I22" s="125">
        <v>0.01</v>
      </c>
      <c r="J22" s="112">
        <v>3.4603214594114115E-7</v>
      </c>
      <c r="K22" s="41">
        <v>8.4684535210502442E-10</v>
      </c>
      <c r="L22" s="18"/>
      <c r="M22" s="18"/>
      <c r="N22" s="18"/>
      <c r="O22" s="18"/>
      <c r="P22" s="18"/>
      <c r="Q22" s="18"/>
    </row>
    <row r="23" spans="2:17" x14ac:dyDescent="0.2">
      <c r="B23" s="23" t="s">
        <v>3779</v>
      </c>
      <c r="C23" s="31" t="s">
        <v>3780</v>
      </c>
      <c r="D23" s="100" t="s">
        <v>599</v>
      </c>
      <c r="E23" s="33" t="s">
        <v>238</v>
      </c>
      <c r="F23" s="24">
        <v>6.4399999999999999E-2</v>
      </c>
      <c r="G23" s="102" t="s">
        <v>244</v>
      </c>
      <c r="H23" s="24">
        <v>0</v>
      </c>
      <c r="I23" s="125">
        <v>75.959630000000004</v>
      </c>
      <c r="J23" s="112">
        <v>2.6284473773795082E-3</v>
      </c>
      <c r="K23" s="41">
        <v>6.4326059613117377E-6</v>
      </c>
      <c r="L23" s="18"/>
      <c r="M23" s="18"/>
      <c r="N23" s="18"/>
      <c r="O23" s="18"/>
      <c r="P23" s="18"/>
      <c r="Q23" s="18"/>
    </row>
    <row r="24" spans="2:17" x14ac:dyDescent="0.2">
      <c r="B24" s="23" t="s">
        <v>3781</v>
      </c>
      <c r="C24" s="31" t="s">
        <v>3782</v>
      </c>
      <c r="D24" s="100" t="s">
        <v>599</v>
      </c>
      <c r="E24" s="33" t="s">
        <v>238</v>
      </c>
      <c r="F24" s="24">
        <v>1E-3</v>
      </c>
      <c r="G24" s="102" t="s">
        <v>244</v>
      </c>
      <c r="H24" s="24">
        <v>0</v>
      </c>
      <c r="I24" s="125">
        <v>51.057000000000002</v>
      </c>
      <c r="J24" s="112">
        <v>1.7667363275316844E-3</v>
      </c>
      <c r="K24" s="41">
        <v>4.3237383142426229E-6</v>
      </c>
      <c r="L24" s="18"/>
      <c r="M24" s="18"/>
      <c r="N24" s="18"/>
      <c r="O24" s="18"/>
      <c r="P24" s="18"/>
      <c r="Q24" s="18"/>
    </row>
    <row r="25" spans="2:17" x14ac:dyDescent="0.2">
      <c r="B25" s="23" t="s">
        <v>3787</v>
      </c>
      <c r="C25" s="31" t="s">
        <v>3788</v>
      </c>
      <c r="D25" s="100" t="s">
        <v>599</v>
      </c>
      <c r="E25" s="33" t="s">
        <v>238</v>
      </c>
      <c r="F25" s="24">
        <v>6.7500000000000004E-2</v>
      </c>
      <c r="G25" s="102" t="s">
        <v>244</v>
      </c>
      <c r="H25" s="24">
        <v>0</v>
      </c>
      <c r="I25" s="125">
        <v>2225.5930899999998</v>
      </c>
      <c r="J25" s="112">
        <v>7.7012675292447513E-2</v>
      </c>
      <c r="K25" s="41">
        <v>1.884733163943559E-4</v>
      </c>
      <c r="L25" s="18"/>
      <c r="M25" s="18"/>
      <c r="N25" s="18"/>
      <c r="O25" s="18"/>
      <c r="P25" s="18"/>
      <c r="Q25" s="18"/>
    </row>
    <row r="26" spans="2:17" x14ac:dyDescent="0.2">
      <c r="B26" s="23" t="s">
        <v>3787</v>
      </c>
      <c r="C26" s="31" t="s">
        <v>3789</v>
      </c>
      <c r="D26" s="100" t="s">
        <v>599</v>
      </c>
      <c r="E26" s="33" t="s">
        <v>238</v>
      </c>
      <c r="F26" s="24">
        <v>6.5999999046325683E-2</v>
      </c>
      <c r="G26" s="102" t="s">
        <v>244</v>
      </c>
      <c r="H26" s="24">
        <v>0</v>
      </c>
      <c r="I26" s="125">
        <v>173.06800000000001</v>
      </c>
      <c r="J26" s="112">
        <v>5.9887091433741416E-3</v>
      </c>
      <c r="K26" s="41">
        <v>1.4656183139811237E-5</v>
      </c>
      <c r="L26" s="18"/>
      <c r="M26" s="18"/>
      <c r="N26" s="18"/>
      <c r="O26" s="18"/>
      <c r="P26" s="18"/>
      <c r="Q26" s="18"/>
    </row>
    <row r="27" spans="2:17" x14ac:dyDescent="0.2">
      <c r="B27" s="23" t="s">
        <v>3794</v>
      </c>
      <c r="C27" s="31" t="s">
        <v>3795</v>
      </c>
      <c r="D27" s="100" t="s">
        <v>599</v>
      </c>
      <c r="E27" s="33" t="s">
        <v>238</v>
      </c>
      <c r="F27" s="24">
        <v>0</v>
      </c>
      <c r="G27" s="102" t="s">
        <v>244</v>
      </c>
      <c r="H27" s="24">
        <v>0</v>
      </c>
      <c r="I27" s="125">
        <v>0.01</v>
      </c>
      <c r="J27" s="112">
        <v>3.4603214594114115E-7</v>
      </c>
      <c r="K27" s="41">
        <v>8.4684535210502442E-10</v>
      </c>
      <c r="L27" s="18"/>
      <c r="M27" s="18"/>
      <c r="N27" s="18"/>
      <c r="O27" s="18"/>
      <c r="P27" s="18"/>
      <c r="Q27" s="18"/>
    </row>
    <row r="28" spans="2:17" x14ac:dyDescent="0.2">
      <c r="B28" s="23" t="s">
        <v>3775</v>
      </c>
      <c r="C28" s="31" t="s">
        <v>3776</v>
      </c>
      <c r="D28" s="100" t="s">
        <v>599</v>
      </c>
      <c r="E28" s="33" t="s">
        <v>238</v>
      </c>
      <c r="F28" s="24">
        <v>6.4000000000000001E-2</v>
      </c>
      <c r="G28" s="102" t="s">
        <v>244</v>
      </c>
      <c r="H28" s="24">
        <v>0</v>
      </c>
      <c r="I28" s="125">
        <v>9.1799999999999989E-3</v>
      </c>
      <c r="J28" s="112">
        <v>3.1765750997396752E-7</v>
      </c>
      <c r="K28" s="41">
        <v>7.7740403323241234E-10</v>
      </c>
      <c r="L28" s="18"/>
      <c r="M28" s="18"/>
      <c r="N28" s="18"/>
      <c r="O28" s="18"/>
      <c r="P28" s="18"/>
      <c r="Q28" s="18"/>
    </row>
    <row r="29" spans="2:17" x14ac:dyDescent="0.2">
      <c r="B29" s="23" t="s">
        <v>3783</v>
      </c>
      <c r="C29" s="31" t="s">
        <v>3784</v>
      </c>
      <c r="D29" s="100" t="s">
        <v>599</v>
      </c>
      <c r="E29" s="33" t="s">
        <v>238</v>
      </c>
      <c r="F29" s="24">
        <v>1.0800000000000001E-2</v>
      </c>
      <c r="G29" s="102" t="s">
        <v>244</v>
      </c>
      <c r="H29" s="24">
        <v>0</v>
      </c>
      <c r="I29" s="125">
        <v>9429.6151399999999</v>
      </c>
      <c r="J29" s="112">
        <v>0.32629499622932739</v>
      </c>
      <c r="K29" s="41">
        <v>7.9854257534481689E-4</v>
      </c>
      <c r="L29" s="18"/>
      <c r="M29" s="18"/>
      <c r="N29" s="18"/>
      <c r="O29" s="18"/>
      <c r="P29" s="18"/>
      <c r="Q29" s="18"/>
    </row>
    <row r="30" spans="2:17" x14ac:dyDescent="0.2">
      <c r="B30" s="23" t="s">
        <v>3790</v>
      </c>
      <c r="C30" s="31" t="s">
        <v>3791</v>
      </c>
      <c r="D30" s="100" t="s">
        <v>599</v>
      </c>
      <c r="E30" s="33" t="s">
        <v>238</v>
      </c>
      <c r="F30" s="24">
        <v>0.03</v>
      </c>
      <c r="G30" s="102" t="s">
        <v>127</v>
      </c>
      <c r="H30" s="24">
        <v>0</v>
      </c>
      <c r="I30" s="125">
        <v>4672.0717100000002</v>
      </c>
      <c r="J30" s="112">
        <v>0.16166869998021968</v>
      </c>
      <c r="K30" s="41">
        <v>3.9565222123148737E-4</v>
      </c>
      <c r="L30" s="18"/>
      <c r="M30" s="18"/>
      <c r="N30" s="18"/>
      <c r="O30" s="18"/>
      <c r="P30" s="18"/>
      <c r="Q30" s="18"/>
    </row>
    <row r="31" spans="2:17" x14ac:dyDescent="0.2">
      <c r="B31" s="23" t="s">
        <v>3785</v>
      </c>
      <c r="C31" s="31" t="s">
        <v>3786</v>
      </c>
      <c r="D31" s="100" t="s">
        <v>599</v>
      </c>
      <c r="E31" s="33" t="s">
        <v>238</v>
      </c>
      <c r="F31" s="24">
        <v>6.7799999999999999E-2</v>
      </c>
      <c r="G31" s="102" t="s">
        <v>244</v>
      </c>
      <c r="H31" s="24">
        <v>0</v>
      </c>
      <c r="I31" s="125">
        <v>337.41820993393344</v>
      </c>
      <c r="J31" s="112">
        <v>1.1675754726305746E-2</v>
      </c>
      <c r="K31" s="41">
        <v>2.857410427981489E-5</v>
      </c>
      <c r="L31" s="18"/>
      <c r="M31" s="18"/>
      <c r="N31" s="18"/>
      <c r="O31" s="18"/>
      <c r="P31" s="18"/>
      <c r="Q31" s="18"/>
    </row>
    <row r="32" spans="2:17" s="160" customFormat="1" x14ac:dyDescent="0.2">
      <c r="B32" s="132" t="s">
        <v>544</v>
      </c>
      <c r="C32" s="206" t="s">
        <v>238</v>
      </c>
      <c r="D32" s="164" t="s">
        <v>238</v>
      </c>
      <c r="E32" s="186" t="s">
        <v>238</v>
      </c>
      <c r="F32" s="187" t="s">
        <v>238</v>
      </c>
      <c r="G32" s="177" t="s">
        <v>238</v>
      </c>
      <c r="H32" s="187" t="s">
        <v>238</v>
      </c>
      <c r="I32" s="165">
        <v>612.96950010000012</v>
      </c>
      <c r="J32" s="163">
        <v>2.1210715151607155E-2</v>
      </c>
      <c r="K32" s="163">
        <v>5.1909037214182542E-5</v>
      </c>
    </row>
    <row r="33" spans="2:17" x14ac:dyDescent="0.2">
      <c r="B33" s="23" t="s">
        <v>3800</v>
      </c>
      <c r="C33" s="31" t="s">
        <v>3801</v>
      </c>
      <c r="D33" s="100" t="s">
        <v>599</v>
      </c>
      <c r="E33" s="33" t="s">
        <v>238</v>
      </c>
      <c r="F33" s="24">
        <v>0</v>
      </c>
      <c r="G33" s="102" t="s">
        <v>2</v>
      </c>
      <c r="H33" s="24">
        <v>0</v>
      </c>
      <c r="I33" s="125">
        <v>356.64833000000004</v>
      </c>
      <c r="J33" s="112">
        <v>1.2341178697622426E-2</v>
      </c>
      <c r="K33" s="41">
        <v>3.0202598059651898E-5</v>
      </c>
      <c r="L33" s="18"/>
      <c r="M33" s="18"/>
      <c r="N33" s="18"/>
      <c r="O33" s="18"/>
      <c r="P33" s="18"/>
      <c r="Q33" s="18"/>
    </row>
    <row r="34" spans="2:17" x14ac:dyDescent="0.2">
      <c r="B34" s="23" t="s">
        <v>3802</v>
      </c>
      <c r="C34" s="31" t="s">
        <v>3803</v>
      </c>
      <c r="D34" s="100" t="s">
        <v>599</v>
      </c>
      <c r="E34" s="33" t="s">
        <v>238</v>
      </c>
      <c r="F34" s="24">
        <v>0</v>
      </c>
      <c r="G34" s="102" t="s">
        <v>127</v>
      </c>
      <c r="H34" s="24">
        <v>0</v>
      </c>
      <c r="I34" s="125">
        <v>255.79407</v>
      </c>
      <c r="J34" s="112">
        <v>8.8512970961118469E-3</v>
      </c>
      <c r="K34" s="41">
        <v>2.1661801927552725E-5</v>
      </c>
      <c r="L34" s="18"/>
      <c r="M34" s="18"/>
      <c r="N34" s="18"/>
      <c r="O34" s="18"/>
      <c r="P34" s="18"/>
      <c r="Q34" s="18"/>
    </row>
    <row r="35" spans="2:17" x14ac:dyDescent="0.2">
      <c r="B35" s="23" t="s">
        <v>3804</v>
      </c>
      <c r="C35" s="31" t="s">
        <v>3805</v>
      </c>
      <c r="D35" s="100" t="s">
        <v>599</v>
      </c>
      <c r="E35" s="33" t="s">
        <v>238</v>
      </c>
      <c r="F35" s="24">
        <v>0</v>
      </c>
      <c r="G35" s="102" t="s">
        <v>127</v>
      </c>
      <c r="H35" s="24">
        <v>0</v>
      </c>
      <c r="I35" s="125">
        <v>0.52710000000000001</v>
      </c>
      <c r="J35" s="112">
        <v>1.8239354412557549E-5</v>
      </c>
      <c r="K35" s="41">
        <v>4.4637218509455836E-8</v>
      </c>
      <c r="L35" s="18"/>
      <c r="M35" s="18"/>
      <c r="N35" s="18"/>
      <c r="O35" s="18"/>
      <c r="P35" s="18"/>
      <c r="Q35" s="18"/>
    </row>
    <row r="36" spans="2:17" s="160" customFormat="1" x14ac:dyDescent="0.2">
      <c r="B36" s="114" t="s">
        <v>227</v>
      </c>
      <c r="C36" s="114"/>
      <c r="D36" s="170"/>
      <c r="E36" s="114"/>
      <c r="F36" s="189"/>
      <c r="G36" s="189"/>
      <c r="H36" s="189"/>
      <c r="I36" s="189"/>
      <c r="J36" s="189"/>
      <c r="K36" s="172"/>
      <c r="L36" s="175"/>
      <c r="M36" s="191"/>
      <c r="N36" s="191"/>
      <c r="O36" s="191"/>
      <c r="P36" s="175"/>
      <c r="Q36" s="175"/>
    </row>
    <row r="37" spans="2:17" s="160" customFormat="1" x14ac:dyDescent="0.2">
      <c r="B37" s="114" t="s">
        <v>228</v>
      </c>
      <c r="C37" s="114"/>
      <c r="D37" s="170"/>
      <c r="E37" s="114"/>
      <c r="F37" s="189"/>
      <c r="G37" s="189"/>
      <c r="H37" s="189"/>
      <c r="I37" s="189"/>
      <c r="J37" s="189"/>
      <c r="K37" s="172"/>
      <c r="L37" s="175"/>
      <c r="M37" s="191"/>
      <c r="N37" s="191"/>
      <c r="O37" s="191"/>
      <c r="P37" s="175"/>
      <c r="Q37" s="175"/>
    </row>
    <row r="38" spans="2:17" s="160" customFormat="1" x14ac:dyDescent="0.2">
      <c r="B38" s="114" t="s">
        <v>229</v>
      </c>
      <c r="C38" s="114"/>
      <c r="D38" s="170"/>
      <c r="E38" s="114"/>
      <c r="F38" s="189"/>
      <c r="G38" s="189"/>
      <c r="H38" s="189"/>
      <c r="I38" s="189"/>
      <c r="J38" s="189"/>
      <c r="K38" s="172"/>
      <c r="L38" s="175"/>
      <c r="M38" s="191"/>
      <c r="N38" s="191"/>
      <c r="O38" s="191"/>
      <c r="P38" s="175"/>
      <c r="Q38" s="175"/>
    </row>
    <row r="39" spans="2:17" s="160" customFormat="1" x14ac:dyDescent="0.2">
      <c r="B39" s="114" t="s">
        <v>230</v>
      </c>
      <c r="C39" s="114"/>
      <c r="D39" s="170"/>
      <c r="E39" s="114"/>
      <c r="F39" s="189"/>
      <c r="G39" s="189"/>
      <c r="H39" s="189"/>
      <c r="I39" s="189"/>
      <c r="J39" s="189"/>
      <c r="K39" s="172"/>
      <c r="L39" s="175"/>
      <c r="M39" s="191"/>
      <c r="N39" s="191"/>
      <c r="O39" s="191"/>
      <c r="P39" s="175"/>
      <c r="Q39" s="175"/>
    </row>
    <row r="40" spans="2:17" s="160" customFormat="1" x14ac:dyDescent="0.2">
      <c r="B40" s="114" t="s">
        <v>231</v>
      </c>
      <c r="C40" s="114"/>
      <c r="D40" s="170"/>
      <c r="E40" s="114"/>
      <c r="F40" s="189"/>
      <c r="G40" s="189"/>
      <c r="H40" s="189"/>
      <c r="I40" s="189"/>
      <c r="J40" s="189"/>
      <c r="K40" s="172"/>
      <c r="L40" s="175"/>
      <c r="M40" s="191"/>
      <c r="N40" s="191"/>
      <c r="O40" s="191"/>
      <c r="P40" s="175"/>
      <c r="Q40" s="175"/>
    </row>
  </sheetData>
  <mergeCells count="1">
    <mergeCell ref="B7:K7"/>
  </mergeCells>
  <phoneticPr fontId="3" type="noConversion"/>
  <conditionalFormatting sqref="M7:U7 L1:L7 L36:L55570 F12:H35">
    <cfRule type="expression" dxfId="34" priority="404" stopIfTrue="1">
      <formula>LEFT(#REF!,3)="TIR"</formula>
    </cfRule>
  </conditionalFormatting>
  <conditionalFormatting sqref="F8:G8">
    <cfRule type="expression" dxfId="33" priority="408" stopIfTrue="1">
      <formula>LEFT(#REF!,3)="TIR"</formula>
    </cfRule>
  </conditionalFormatting>
  <conditionalFormatting sqref="K12:K35 C12:E35">
    <cfRule type="expression" dxfId="32" priority="409" stopIfTrue="1">
      <formula>LEFT(#REF!,3)="TIR"</formula>
    </cfRule>
  </conditionalFormatting>
  <conditionalFormatting sqref="G12:G35 B12:B35 I12:K35">
    <cfRule type="expression" dxfId="31" priority="411" stopIfTrue="1">
      <formula>#REF!&gt;0</formula>
    </cfRule>
    <cfRule type="expression" dxfId="30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74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49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222</v>
      </c>
      <c r="C1" t="s">
        <v>232</v>
      </c>
    </row>
    <row r="2" spans="1:4" x14ac:dyDescent="0.2">
      <c r="B2" t="s">
        <v>223</v>
      </c>
      <c r="C2" t="s">
        <v>153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234</v>
      </c>
    </row>
    <row r="7" spans="1:4" ht="13.5" thickBot="1" x14ac:dyDescent="0.25"/>
    <row r="8" spans="1:4" x14ac:dyDescent="0.2">
      <c r="B8" s="228" t="s">
        <v>131</v>
      </c>
      <c r="C8" s="229"/>
      <c r="D8" s="230"/>
    </row>
    <row r="9" spans="1:4" ht="38.25" x14ac:dyDescent="0.2">
      <c r="B9" s="9" t="s">
        <v>219</v>
      </c>
      <c r="C9" s="4" t="s">
        <v>63</v>
      </c>
      <c r="D9" s="65" t="s">
        <v>64</v>
      </c>
    </row>
    <row r="10" spans="1:4" x14ac:dyDescent="0.2">
      <c r="B10" s="34"/>
      <c r="C10" s="3" t="s">
        <v>10</v>
      </c>
      <c r="D10" s="66" t="s">
        <v>40</v>
      </c>
    </row>
    <row r="11" spans="1:4" s="155" customFormat="1" x14ac:dyDescent="0.2">
      <c r="B11" s="207"/>
      <c r="C11" s="208">
        <v>1</v>
      </c>
      <c r="D11" s="209">
        <v>2</v>
      </c>
    </row>
    <row r="12" spans="1:4" s="155" customFormat="1" ht="13.5" thickBot="1" x14ac:dyDescent="0.25">
      <c r="B12" s="108" t="s">
        <v>3869</v>
      </c>
      <c r="C12" s="210">
        <v>323680.27445761004</v>
      </c>
      <c r="D12" s="158" t="s">
        <v>238</v>
      </c>
    </row>
    <row r="13" spans="1:4" s="155" customFormat="1" x14ac:dyDescent="0.2">
      <c r="B13" s="157" t="s">
        <v>140</v>
      </c>
      <c r="C13" s="211">
        <v>155495.22554571004</v>
      </c>
      <c r="D13" s="212" t="s">
        <v>238</v>
      </c>
    </row>
    <row r="14" spans="1:4" x14ac:dyDescent="0.2">
      <c r="B14" s="67" t="s">
        <v>3870</v>
      </c>
      <c r="C14" s="156">
        <v>6609.9670300000007</v>
      </c>
      <c r="D14" s="50" t="s">
        <v>238</v>
      </c>
    </row>
    <row r="15" spans="1:4" x14ac:dyDescent="0.2">
      <c r="B15" s="67" t="s">
        <v>3871</v>
      </c>
      <c r="C15" s="156">
        <v>2.7642800000000003</v>
      </c>
      <c r="D15" s="50" t="s">
        <v>3872</v>
      </c>
    </row>
    <row r="16" spans="1:4" x14ac:dyDescent="0.2">
      <c r="B16" s="67" t="s">
        <v>3873</v>
      </c>
      <c r="C16" s="156">
        <v>889.50364000000002</v>
      </c>
      <c r="D16" s="50" t="s">
        <v>3874</v>
      </c>
    </row>
    <row r="17" spans="2:4" x14ac:dyDescent="0.2">
      <c r="B17" s="67" t="s">
        <v>3875</v>
      </c>
      <c r="C17" s="156">
        <v>351.93347999999997</v>
      </c>
      <c r="D17" s="50" t="s">
        <v>233</v>
      </c>
    </row>
    <row r="18" spans="2:4" x14ac:dyDescent="0.2">
      <c r="B18" s="67" t="s">
        <v>3876</v>
      </c>
      <c r="C18" s="156">
        <v>1292.5440000000001</v>
      </c>
      <c r="D18" s="50" t="s">
        <v>3877</v>
      </c>
    </row>
    <row r="19" spans="2:4" x14ac:dyDescent="0.2">
      <c r="B19" s="67" t="s">
        <v>3878</v>
      </c>
      <c r="C19" s="156">
        <v>7645.4410900000003</v>
      </c>
      <c r="D19" s="50" t="s">
        <v>3874</v>
      </c>
    </row>
    <row r="20" spans="2:4" x14ac:dyDescent="0.2">
      <c r="B20" s="67" t="s">
        <v>3879</v>
      </c>
      <c r="C20" s="156">
        <v>14719.96038</v>
      </c>
      <c r="D20" s="50" t="s">
        <v>233</v>
      </c>
    </row>
    <row r="21" spans="2:4" x14ac:dyDescent="0.2">
      <c r="B21" s="67" t="s">
        <v>3880</v>
      </c>
      <c r="C21" s="156">
        <v>2390.4911000000002</v>
      </c>
      <c r="D21" s="50" t="s">
        <v>3874</v>
      </c>
    </row>
    <row r="22" spans="2:4" x14ac:dyDescent="0.2">
      <c r="B22" s="67" t="s">
        <v>3881</v>
      </c>
      <c r="C22" s="156">
        <v>41521.686520000003</v>
      </c>
      <c r="D22" s="50" t="s">
        <v>3874</v>
      </c>
    </row>
    <row r="23" spans="2:4" x14ac:dyDescent="0.2">
      <c r="B23" s="67" t="s">
        <v>3882</v>
      </c>
      <c r="C23" s="156">
        <v>1031.3608100000001</v>
      </c>
      <c r="D23" s="50" t="s">
        <v>233</v>
      </c>
    </row>
    <row r="24" spans="2:4" x14ac:dyDescent="0.2">
      <c r="B24" s="67" t="s">
        <v>3883</v>
      </c>
      <c r="C24" s="156">
        <v>1072.3667600000001</v>
      </c>
      <c r="D24" s="50" t="s">
        <v>3877</v>
      </c>
    </row>
    <row r="25" spans="2:4" x14ac:dyDescent="0.2">
      <c r="B25" s="67" t="s">
        <v>3884</v>
      </c>
      <c r="C25" s="156">
        <v>2001.5024900000001</v>
      </c>
      <c r="D25" s="50" t="s">
        <v>233</v>
      </c>
    </row>
    <row r="26" spans="2:4" x14ac:dyDescent="0.2">
      <c r="B26" s="67" t="s">
        <v>3885</v>
      </c>
      <c r="C26" s="156">
        <v>3761.5938500000002</v>
      </c>
      <c r="D26" s="50" t="s">
        <v>233</v>
      </c>
    </row>
    <row r="27" spans="2:4" x14ac:dyDescent="0.2">
      <c r="B27" s="67" t="s">
        <v>3886</v>
      </c>
      <c r="C27" s="156">
        <v>480.63470000000001</v>
      </c>
      <c r="D27" s="50" t="s">
        <v>233</v>
      </c>
    </row>
    <row r="28" spans="2:4" x14ac:dyDescent="0.2">
      <c r="B28" s="67" t="s">
        <v>3887</v>
      </c>
      <c r="C28" s="156">
        <v>2090.2668699999999</v>
      </c>
      <c r="D28" s="50" t="s">
        <v>3874</v>
      </c>
    </row>
    <row r="29" spans="2:4" x14ac:dyDescent="0.2">
      <c r="B29" s="67" t="s">
        <v>3888</v>
      </c>
      <c r="C29" s="156">
        <v>7001.5733499999997</v>
      </c>
      <c r="D29" s="50" t="s">
        <v>233</v>
      </c>
    </row>
    <row r="30" spans="2:4" x14ac:dyDescent="0.2">
      <c r="B30" s="67" t="s">
        <v>3889</v>
      </c>
      <c r="C30" s="156">
        <v>1921.8970900000002</v>
      </c>
      <c r="D30" s="50" t="s">
        <v>3890</v>
      </c>
    </row>
    <row r="31" spans="2:4" x14ac:dyDescent="0.2">
      <c r="B31" s="67" t="s">
        <v>3891</v>
      </c>
      <c r="C31" s="156">
        <v>731.4973</v>
      </c>
      <c r="D31" s="50" t="s">
        <v>3890</v>
      </c>
    </row>
    <row r="32" spans="2:4" x14ac:dyDescent="0.2">
      <c r="B32" s="67" t="s">
        <v>3892</v>
      </c>
      <c r="C32" s="156">
        <v>936.05700999999999</v>
      </c>
      <c r="D32" s="50" t="s">
        <v>3893</v>
      </c>
    </row>
    <row r="33" spans="2:4" x14ac:dyDescent="0.2">
      <c r="B33" s="67" t="s">
        <v>3894</v>
      </c>
      <c r="C33" s="156">
        <v>2883.1828799999998</v>
      </c>
      <c r="D33" s="50" t="s">
        <v>3874</v>
      </c>
    </row>
    <row r="34" spans="2:4" x14ac:dyDescent="0.2">
      <c r="B34" s="67" t="s">
        <v>3895</v>
      </c>
      <c r="C34" s="156">
        <v>25396.040980000002</v>
      </c>
      <c r="D34" s="50" t="s">
        <v>3893</v>
      </c>
    </row>
    <row r="35" spans="2:4" x14ac:dyDescent="0.2">
      <c r="B35" s="67" t="s">
        <v>3896</v>
      </c>
      <c r="C35" s="156">
        <v>1510.293999</v>
      </c>
      <c r="D35" s="50" t="s">
        <v>3893</v>
      </c>
    </row>
    <row r="36" spans="2:4" x14ac:dyDescent="0.2">
      <c r="B36" s="67" t="s">
        <v>3897</v>
      </c>
      <c r="C36" s="156">
        <v>25803.26815</v>
      </c>
      <c r="D36" s="50" t="s">
        <v>3898</v>
      </c>
    </row>
    <row r="37" spans="2:4" x14ac:dyDescent="0.2">
      <c r="B37" s="67" t="s">
        <v>3899</v>
      </c>
      <c r="C37" s="156">
        <v>63.600496759999999</v>
      </c>
      <c r="D37" s="50" t="s">
        <v>3874</v>
      </c>
    </row>
    <row r="38" spans="2:4" x14ac:dyDescent="0.2">
      <c r="B38" s="67" t="s">
        <v>3900</v>
      </c>
      <c r="C38" s="156">
        <v>96.254977150000002</v>
      </c>
      <c r="D38" s="50" t="s">
        <v>3874</v>
      </c>
    </row>
    <row r="39" spans="2:4" x14ac:dyDescent="0.2">
      <c r="B39" s="67" t="s">
        <v>3901</v>
      </c>
      <c r="C39" s="156">
        <v>2298.2127530000002</v>
      </c>
      <c r="D39" s="50" t="s">
        <v>3874</v>
      </c>
    </row>
    <row r="40" spans="2:4" x14ac:dyDescent="0.2">
      <c r="B40" s="67" t="s">
        <v>3902</v>
      </c>
      <c r="C40" s="156">
        <v>991.3295597</v>
      </c>
      <c r="D40" s="50" t="s">
        <v>3874</v>
      </c>
    </row>
    <row r="41" spans="2:4" s="155" customFormat="1" x14ac:dyDescent="0.2">
      <c r="B41" s="213" t="s">
        <v>544</v>
      </c>
      <c r="C41" s="214">
        <v>168185.04891190003</v>
      </c>
      <c r="D41" s="215" t="s">
        <v>238</v>
      </c>
    </row>
    <row r="42" spans="2:4" x14ac:dyDescent="0.2">
      <c r="B42" s="67" t="s">
        <v>3903</v>
      </c>
      <c r="C42" s="156">
        <v>2548.5622599999997</v>
      </c>
      <c r="D42" s="50" t="s">
        <v>3874</v>
      </c>
    </row>
    <row r="43" spans="2:4" x14ac:dyDescent="0.2">
      <c r="B43" s="67" t="s">
        <v>3904</v>
      </c>
      <c r="C43" s="156">
        <v>418.80990000000003</v>
      </c>
      <c r="D43" s="50" t="s">
        <v>233</v>
      </c>
    </row>
    <row r="44" spans="2:4" x14ac:dyDescent="0.2">
      <c r="B44" s="67" t="s">
        <v>3905</v>
      </c>
      <c r="C44" s="156">
        <v>1609.06456</v>
      </c>
      <c r="D44" s="50" t="s">
        <v>233</v>
      </c>
    </row>
    <row r="45" spans="2:4" x14ac:dyDescent="0.2">
      <c r="B45" s="67" t="s">
        <v>3906</v>
      </c>
      <c r="C45" s="156">
        <v>687.53107999999997</v>
      </c>
      <c r="D45" s="50" t="s">
        <v>233</v>
      </c>
    </row>
    <row r="46" spans="2:4" x14ac:dyDescent="0.2">
      <c r="B46" s="67" t="s">
        <v>3907</v>
      </c>
      <c r="C46" s="156">
        <v>2031.0779299999999</v>
      </c>
      <c r="D46" s="50" t="s">
        <v>3874</v>
      </c>
    </row>
    <row r="47" spans="2:4" x14ac:dyDescent="0.2">
      <c r="B47" s="67" t="s">
        <v>3908</v>
      </c>
      <c r="C47" s="156">
        <v>462.63496999999995</v>
      </c>
      <c r="D47" s="50" t="s">
        <v>233</v>
      </c>
    </row>
    <row r="48" spans="2:4" x14ac:dyDescent="0.2">
      <c r="B48" s="67" t="s">
        <v>3909</v>
      </c>
      <c r="C48" s="156">
        <v>406.83803999999998</v>
      </c>
      <c r="D48" s="50" t="s">
        <v>3890</v>
      </c>
    </row>
    <row r="49" spans="2:4" x14ac:dyDescent="0.2">
      <c r="B49" s="67" t="s">
        <v>3910</v>
      </c>
      <c r="C49" s="156">
        <v>1729.06565</v>
      </c>
      <c r="D49" s="50" t="s">
        <v>3890</v>
      </c>
    </row>
    <row r="50" spans="2:4" x14ac:dyDescent="0.2">
      <c r="B50" s="67" t="s">
        <v>3911</v>
      </c>
      <c r="C50" s="156">
        <v>684.65021999999999</v>
      </c>
      <c r="D50" s="50" t="s">
        <v>3890</v>
      </c>
    </row>
    <row r="51" spans="2:4" x14ac:dyDescent="0.2">
      <c r="B51" s="67" t="s">
        <v>3912</v>
      </c>
      <c r="C51" s="156">
        <v>388.74678</v>
      </c>
      <c r="D51" s="50" t="s">
        <v>3890</v>
      </c>
    </row>
    <row r="52" spans="2:4" x14ac:dyDescent="0.2">
      <c r="B52" s="67" t="s">
        <v>3913</v>
      </c>
      <c r="C52" s="156">
        <v>305.93498999999997</v>
      </c>
      <c r="D52" s="50" t="s">
        <v>3890</v>
      </c>
    </row>
    <row r="53" spans="2:4" x14ac:dyDescent="0.2">
      <c r="B53" s="67" t="s">
        <v>3914</v>
      </c>
      <c r="C53" s="156">
        <v>397.47315999999995</v>
      </c>
      <c r="D53" s="50" t="s">
        <v>233</v>
      </c>
    </row>
    <row r="54" spans="2:4" x14ac:dyDescent="0.2">
      <c r="B54" s="67" t="s">
        <v>3915</v>
      </c>
      <c r="C54" s="156">
        <v>1594.5749499999999</v>
      </c>
      <c r="D54" s="50" t="s">
        <v>3893</v>
      </c>
    </row>
    <row r="55" spans="2:4" x14ac:dyDescent="0.2">
      <c r="B55" s="67" t="s">
        <v>3916</v>
      </c>
      <c r="C55" s="156">
        <v>425.27852000000001</v>
      </c>
      <c r="D55" s="50" t="s">
        <v>3893</v>
      </c>
    </row>
    <row r="56" spans="2:4" x14ac:dyDescent="0.2">
      <c r="B56" s="67" t="s">
        <v>3917</v>
      </c>
      <c r="C56" s="156">
        <v>655.78380000000004</v>
      </c>
      <c r="D56" s="50" t="s">
        <v>3893</v>
      </c>
    </row>
    <row r="57" spans="2:4" x14ac:dyDescent="0.2">
      <c r="B57" s="67" t="s">
        <v>3918</v>
      </c>
      <c r="C57" s="156">
        <v>4895.31095</v>
      </c>
      <c r="D57" s="50" t="s">
        <v>3893</v>
      </c>
    </row>
    <row r="58" spans="2:4" x14ac:dyDescent="0.2">
      <c r="B58" s="67" t="s">
        <v>3919</v>
      </c>
      <c r="C58" s="156">
        <v>1091.70362</v>
      </c>
      <c r="D58" s="50" t="s">
        <v>3874</v>
      </c>
    </row>
    <row r="59" spans="2:4" x14ac:dyDescent="0.2">
      <c r="B59" s="67" t="s">
        <v>3920</v>
      </c>
      <c r="C59" s="156">
        <v>62955.360000000001</v>
      </c>
      <c r="D59" s="50" t="s">
        <v>3921</v>
      </c>
    </row>
    <row r="60" spans="2:4" x14ac:dyDescent="0.2">
      <c r="B60" s="67" t="s">
        <v>3922</v>
      </c>
      <c r="C60" s="156">
        <v>1154.8728500000002</v>
      </c>
      <c r="D60" s="50" t="s">
        <v>3890</v>
      </c>
    </row>
    <row r="61" spans="2:4" x14ac:dyDescent="0.2">
      <c r="B61" s="67" t="s">
        <v>3923</v>
      </c>
      <c r="C61" s="156">
        <v>6587.0707699999994</v>
      </c>
      <c r="D61" s="50" t="s">
        <v>3921</v>
      </c>
    </row>
    <row r="62" spans="2:4" x14ac:dyDescent="0.2">
      <c r="B62" s="67" t="s">
        <v>3924</v>
      </c>
      <c r="C62" s="156">
        <v>6773.7599900000005</v>
      </c>
      <c r="D62" s="50" t="s">
        <v>3921</v>
      </c>
    </row>
    <row r="63" spans="2:4" x14ac:dyDescent="0.2">
      <c r="B63" s="67" t="s">
        <v>3925</v>
      </c>
      <c r="C63" s="156">
        <v>3301.8361299999997</v>
      </c>
      <c r="D63" s="50" t="s">
        <v>3921</v>
      </c>
    </row>
    <row r="64" spans="2:4" x14ac:dyDescent="0.2">
      <c r="B64" s="67" t="s">
        <v>3926</v>
      </c>
      <c r="C64" s="156">
        <v>5353.4120599999997</v>
      </c>
      <c r="D64" s="50" t="s">
        <v>3898</v>
      </c>
    </row>
    <row r="65" spans="2:4" x14ac:dyDescent="0.2">
      <c r="B65" s="67" t="s">
        <v>3927</v>
      </c>
      <c r="C65" s="156">
        <v>905.3500600000001</v>
      </c>
      <c r="D65" s="50" t="s">
        <v>3928</v>
      </c>
    </row>
    <row r="66" spans="2:4" x14ac:dyDescent="0.2">
      <c r="B66" s="67" t="s">
        <v>3929</v>
      </c>
      <c r="C66" s="156">
        <v>2991.2604700000002</v>
      </c>
      <c r="D66" s="50" t="s">
        <v>3930</v>
      </c>
    </row>
    <row r="67" spans="2:4" x14ac:dyDescent="0.2">
      <c r="B67" s="67" t="s">
        <v>3931</v>
      </c>
      <c r="C67" s="156">
        <v>9566.8468200000007</v>
      </c>
      <c r="D67" s="50" t="s">
        <v>3932</v>
      </c>
    </row>
    <row r="68" spans="2:4" x14ac:dyDescent="0.2">
      <c r="B68" s="67" t="s">
        <v>3933</v>
      </c>
      <c r="C68" s="156">
        <v>14486.301730000001</v>
      </c>
      <c r="D68" s="50" t="s">
        <v>3932</v>
      </c>
    </row>
    <row r="69" spans="2:4" x14ac:dyDescent="0.2">
      <c r="B69" s="67" t="s">
        <v>3934</v>
      </c>
      <c r="C69" s="156">
        <v>27682.560000000001</v>
      </c>
      <c r="D69" s="50" t="s">
        <v>3935</v>
      </c>
    </row>
    <row r="70" spans="2:4" x14ac:dyDescent="0.2">
      <c r="B70" s="67" t="s">
        <v>3936</v>
      </c>
      <c r="C70" s="156">
        <v>1210.2254599999999</v>
      </c>
      <c r="D70" s="50" t="s">
        <v>3874</v>
      </c>
    </row>
    <row r="71" spans="2:4" x14ac:dyDescent="0.2">
      <c r="B71" s="67" t="s">
        <v>3937</v>
      </c>
      <c r="C71" s="156">
        <v>368.11994780000003</v>
      </c>
      <c r="D71" s="50" t="s">
        <v>3890</v>
      </c>
    </row>
    <row r="72" spans="2:4" x14ac:dyDescent="0.2">
      <c r="B72" s="67" t="s">
        <v>3938</v>
      </c>
      <c r="C72" s="156">
        <v>1049.912562</v>
      </c>
      <c r="D72" s="50" t="s">
        <v>3921</v>
      </c>
    </row>
    <row r="73" spans="2:4" x14ac:dyDescent="0.2">
      <c r="B73" s="67" t="s">
        <v>3939</v>
      </c>
      <c r="C73" s="156">
        <v>3465.1186819999998</v>
      </c>
      <c r="D73" s="50" t="s">
        <v>3893</v>
      </c>
    </row>
    <row r="74" spans="2:4" x14ac:dyDescent="0.2">
      <c r="B74" t="s">
        <v>3868</v>
      </c>
    </row>
  </sheetData>
  <mergeCells count="1">
    <mergeCell ref="B8:D8"/>
  </mergeCells>
  <phoneticPr fontId="3" type="noConversion"/>
  <conditionalFormatting sqref="B12:D73">
    <cfRule type="expression" dxfId="29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8" t="s">
        <v>100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30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2.75" customHeight="1" thickBot="1" x14ac:dyDescent="0.25">
      <c r="B10" s="138" t="s">
        <v>118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1" t="s">
        <v>148</v>
      </c>
      <c r="P21" s="46"/>
      <c r="R21" s="26"/>
      <c r="S21" s="26"/>
      <c r="T21" s="26"/>
    </row>
    <row r="22" spans="2:22" x14ac:dyDescent="0.2">
      <c r="B22" s="151" t="s">
        <v>149</v>
      </c>
      <c r="P22" s="46"/>
      <c r="R22" s="26"/>
      <c r="S22" s="26"/>
      <c r="T22" s="26"/>
    </row>
    <row r="23" spans="2:22" x14ac:dyDescent="0.2">
      <c r="B23" s="151" t="s">
        <v>150</v>
      </c>
      <c r="P23" s="46"/>
      <c r="R23" s="26"/>
      <c r="S23" s="26"/>
      <c r="T23" s="26"/>
    </row>
    <row r="24" spans="2:22" x14ac:dyDescent="0.2">
      <c r="B24" s="151" t="s">
        <v>151</v>
      </c>
      <c r="P24" s="46"/>
      <c r="R24" s="26"/>
      <c r="S24" s="26"/>
      <c r="T24" s="26"/>
    </row>
    <row r="25" spans="2:22" x14ac:dyDescent="0.2">
      <c r="B25" s="151" t="s">
        <v>152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8" priority="11" stopIfTrue="1">
      <formula>LEFT(#REF!,3)="TIR"</formula>
    </cfRule>
  </conditionalFormatting>
  <conditionalFormatting sqref="R6:Z6">
    <cfRule type="expression" dxfId="27" priority="9" stopIfTrue="1">
      <formula>LEFT(#REF!,3)="TIR"</formula>
    </cfRule>
  </conditionalFormatting>
  <conditionalFormatting sqref="P11:P20 C11:J20">
    <cfRule type="expression" dxfId="26" priority="7" stopIfTrue="1">
      <formula>LEFT(#REF!,3)="TIR"</formula>
    </cfRule>
  </conditionalFormatting>
  <conditionalFormatting sqref="N11:O20 B11:B20">
    <cfRule type="expression" dxfId="25" priority="5" stopIfTrue="1">
      <formula>#REF!&gt;0</formula>
    </cfRule>
    <cfRule type="expression" dxfId="24" priority="6" stopIfTrue="1">
      <formula>LEFT(#REF!,3)="TIR"</formula>
    </cfRule>
  </conditionalFormatting>
  <conditionalFormatting sqref="L11:L20">
    <cfRule type="expression" dxfId="23" priority="3" stopIfTrue="1">
      <formula>#REF!&gt;0</formula>
    </cfRule>
    <cfRule type="expression" dxfId="22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8" t="s">
        <v>119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30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B10" s="138" t="s">
        <v>121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1" t="s">
        <v>148</v>
      </c>
      <c r="P20" s="46"/>
      <c r="R20" s="26"/>
      <c r="S20" s="26"/>
      <c r="T20" s="26"/>
    </row>
    <row r="21" spans="2:22" x14ac:dyDescent="0.2">
      <c r="B21" s="151" t="s">
        <v>149</v>
      </c>
      <c r="P21" s="46"/>
      <c r="R21" s="26"/>
      <c r="S21" s="26"/>
      <c r="T21" s="26"/>
    </row>
    <row r="22" spans="2:22" x14ac:dyDescent="0.2">
      <c r="B22" s="151" t="s">
        <v>150</v>
      </c>
      <c r="P22" s="46"/>
      <c r="R22" s="26"/>
      <c r="S22" s="26"/>
      <c r="T22" s="26"/>
    </row>
    <row r="23" spans="2:22" x14ac:dyDescent="0.2">
      <c r="B23" s="151" t="s">
        <v>151</v>
      </c>
      <c r="P23" s="46"/>
      <c r="R23" s="26"/>
      <c r="S23" s="26"/>
      <c r="T23" s="26"/>
    </row>
    <row r="24" spans="2:22" x14ac:dyDescent="0.2">
      <c r="B24" s="151" t="s">
        <v>152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21" priority="11" stopIfTrue="1">
      <formula>LEFT(#REF!,3)="TIR"</formula>
    </cfRule>
  </conditionalFormatting>
  <conditionalFormatting sqref="R6:Z6">
    <cfRule type="expression" dxfId="20" priority="9" stopIfTrue="1">
      <formula>LEFT(#REF!,3)="TIR"</formula>
    </cfRule>
  </conditionalFormatting>
  <conditionalFormatting sqref="P11:P19 C11:J19">
    <cfRule type="expression" dxfId="19" priority="7" stopIfTrue="1">
      <formula>LEFT(#REF!,3)="TIR"</formula>
    </cfRule>
  </conditionalFormatting>
  <conditionalFormatting sqref="B19 N11:O19">
    <cfRule type="expression" dxfId="18" priority="5" stopIfTrue="1">
      <formula>#REF!&gt;0</formula>
    </cfRule>
    <cfRule type="expression" dxfId="17" priority="6" stopIfTrue="1">
      <formula>LEFT(#REF!,3)="TIR"</formula>
    </cfRule>
  </conditionalFormatting>
  <conditionalFormatting sqref="L11:L19">
    <cfRule type="expression" dxfId="16" priority="3" stopIfTrue="1">
      <formula>#REF!&gt;0</formula>
    </cfRule>
    <cfRule type="expression" dxfId="15" priority="4" stopIfTrue="1">
      <formula>LEFT(#REF!,3)="TIR"</formula>
    </cfRule>
  </conditionalFormatting>
  <conditionalFormatting sqref="B11:B18">
    <cfRule type="expression" dxfId="14" priority="1" stopIfTrue="1">
      <formula>#REF!&gt;0</formula>
    </cfRule>
    <cfRule type="expression" dxfId="13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153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234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8" t="s">
        <v>120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30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 t="s">
        <v>219</v>
      </c>
      <c r="C7" s="126" t="s">
        <v>101</v>
      </c>
      <c r="D7" s="127" t="s">
        <v>19</v>
      </c>
      <c r="E7" s="127" t="s">
        <v>70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102</v>
      </c>
      <c r="K7" s="129" t="s">
        <v>103</v>
      </c>
      <c r="L7" s="129" t="s">
        <v>67</v>
      </c>
      <c r="M7" s="137" t="s">
        <v>104</v>
      </c>
      <c r="N7" s="127" t="s">
        <v>17</v>
      </c>
      <c r="O7" s="127" t="s">
        <v>75</v>
      </c>
      <c r="P7" s="136" t="s">
        <v>105</v>
      </c>
    </row>
    <row r="8" spans="1:26" s="10" customFormat="1" x14ac:dyDescent="0.2">
      <c r="B8" s="34"/>
      <c r="C8" s="3"/>
      <c r="D8" s="3"/>
      <c r="E8" s="3"/>
      <c r="F8" s="3"/>
      <c r="G8" s="3" t="s">
        <v>40</v>
      </c>
      <c r="H8" s="3" t="s">
        <v>16</v>
      </c>
      <c r="I8" s="3"/>
      <c r="J8" s="35" t="s">
        <v>9</v>
      </c>
      <c r="K8" s="2" t="s">
        <v>9</v>
      </c>
      <c r="L8" s="2" t="s">
        <v>136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49</v>
      </c>
      <c r="D9" s="29" t="s">
        <v>50</v>
      </c>
      <c r="E9" s="29" t="s">
        <v>106</v>
      </c>
      <c r="F9" s="29" t="s">
        <v>107</v>
      </c>
      <c r="G9" s="29" t="s">
        <v>108</v>
      </c>
      <c r="H9" s="29" t="s">
        <v>109</v>
      </c>
      <c r="I9" s="29" t="s">
        <v>110</v>
      </c>
      <c r="J9" s="29" t="s">
        <v>111</v>
      </c>
      <c r="K9" s="29" t="s">
        <v>112</v>
      </c>
      <c r="L9" s="29" t="s">
        <v>113</v>
      </c>
      <c r="M9" s="29" t="s">
        <v>114</v>
      </c>
      <c r="N9" s="29" t="s">
        <v>115</v>
      </c>
      <c r="O9" s="29" t="s">
        <v>116</v>
      </c>
      <c r="P9" s="30" t="s">
        <v>117</v>
      </c>
    </row>
    <row r="10" spans="1:26" ht="13.5" thickBot="1" x14ac:dyDescent="0.25">
      <c r="A10" s="78"/>
      <c r="B10" s="138" t="s">
        <v>122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1" t="s">
        <v>140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2" t="s">
        <v>141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8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2" t="s">
        <v>142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8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2" t="s">
        <v>143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8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2" t="s">
        <v>144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8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2" t="s">
        <v>145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8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2" t="s">
        <v>146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8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2" t="s">
        <v>147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8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8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8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1" t="s">
        <v>148</v>
      </c>
      <c r="P21" s="46"/>
      <c r="R21" s="26"/>
      <c r="S21" s="26"/>
      <c r="T21" s="26"/>
    </row>
    <row r="22" spans="1:22" x14ac:dyDescent="0.2">
      <c r="B22" s="151" t="s">
        <v>149</v>
      </c>
      <c r="P22" s="46"/>
      <c r="R22" s="26"/>
      <c r="S22" s="26"/>
      <c r="T22" s="26"/>
    </row>
    <row r="23" spans="1:22" x14ac:dyDescent="0.2">
      <c r="B23" s="151" t="s">
        <v>150</v>
      </c>
      <c r="P23" s="46"/>
      <c r="R23" s="26"/>
      <c r="S23" s="26"/>
      <c r="T23" s="26"/>
    </row>
    <row r="24" spans="1:22" x14ac:dyDescent="0.2">
      <c r="B24" s="151" t="s">
        <v>151</v>
      </c>
      <c r="P24" s="46"/>
      <c r="R24" s="26"/>
      <c r="S24" s="26"/>
      <c r="T24" s="26"/>
    </row>
    <row r="25" spans="1:22" x14ac:dyDescent="0.2">
      <c r="B25" s="151" t="s">
        <v>152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12" priority="13" stopIfTrue="1">
      <formula>LEFT($A1,3)="TIR"</formula>
    </cfRule>
  </conditionalFormatting>
  <conditionalFormatting sqref="R6:Z6">
    <cfRule type="expression" dxfId="11" priority="11" stopIfTrue="1">
      <formula>LEFT($A6,3)="TIR"</formula>
    </cfRule>
  </conditionalFormatting>
  <conditionalFormatting sqref="P11:P20 C11:J20">
    <cfRule type="expression" dxfId="10" priority="9" stopIfTrue="1">
      <formula>LEFT($A11,3)="TIR"</formula>
    </cfRule>
  </conditionalFormatting>
  <conditionalFormatting sqref="B20 N11:O20 L11:L20">
    <cfRule type="expression" dxfId="9" priority="7" stopIfTrue="1">
      <formula>#REF!&gt;0</formula>
    </cfRule>
    <cfRule type="expression" dxfId="8" priority="8" stopIfTrue="1">
      <formula>LEFT($A11,3)="TIR"</formula>
    </cfRule>
  </conditionalFormatting>
  <conditionalFormatting sqref="B19">
    <cfRule type="expression" dxfId="7" priority="3" stopIfTrue="1">
      <formula>#REF!&gt;0</formula>
    </cfRule>
    <cfRule type="expression" dxfId="6" priority="4" stopIfTrue="1">
      <formula>LEFT(#REF!,3)="TIR"</formula>
    </cfRule>
  </conditionalFormatting>
  <conditionalFormatting sqref="B11:B18">
    <cfRule type="expression" dxfId="5" priority="1" stopIfTrue="1">
      <formula>#REF!&gt;0</formula>
    </cfRule>
    <cfRule type="expression" dxfId="4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154</v>
      </c>
    </row>
    <row r="2" spans="1:1" x14ac:dyDescent="0.2">
      <c r="A2" t="s">
        <v>155</v>
      </c>
    </row>
    <row r="3" spans="1:1" x14ac:dyDescent="0.2">
      <c r="A3" t="s">
        <v>156</v>
      </c>
    </row>
    <row r="4" spans="1:1" x14ac:dyDescent="0.2">
      <c r="A4" t="s">
        <v>157</v>
      </c>
    </row>
    <row r="5" spans="1:1" x14ac:dyDescent="0.2">
      <c r="A5" t="s">
        <v>158</v>
      </c>
    </row>
    <row r="6" spans="1:1" x14ac:dyDescent="0.2">
      <c r="A6" t="s">
        <v>159</v>
      </c>
    </row>
    <row r="7" spans="1:1" x14ac:dyDescent="0.2">
      <c r="A7" t="s">
        <v>160</v>
      </c>
    </row>
    <row r="8" spans="1:1" x14ac:dyDescent="0.2">
      <c r="A8" t="s">
        <v>161</v>
      </c>
    </row>
    <row r="9" spans="1:1" x14ac:dyDescent="0.2">
      <c r="A9" t="s">
        <v>162</v>
      </c>
    </row>
    <row r="10" spans="1:1" x14ac:dyDescent="0.2">
      <c r="A10" t="s">
        <v>163</v>
      </c>
    </row>
    <row r="11" spans="1:1" x14ac:dyDescent="0.2">
      <c r="A11" t="s">
        <v>164</v>
      </c>
    </row>
    <row r="12" spans="1:1" x14ac:dyDescent="0.2">
      <c r="A12" t="s">
        <v>165</v>
      </c>
    </row>
    <row r="13" spans="1:1" x14ac:dyDescent="0.2">
      <c r="A13" t="s">
        <v>166</v>
      </c>
    </row>
    <row r="14" spans="1:1" x14ac:dyDescent="0.2">
      <c r="A14" t="s">
        <v>167</v>
      </c>
    </row>
    <row r="15" spans="1:1" x14ac:dyDescent="0.2">
      <c r="A15" t="s">
        <v>168</v>
      </c>
    </row>
    <row r="16" spans="1:1" x14ac:dyDescent="0.2">
      <c r="A16" t="s">
        <v>169</v>
      </c>
    </row>
    <row r="17" spans="1:1" x14ac:dyDescent="0.2">
      <c r="A17" t="s">
        <v>170</v>
      </c>
    </row>
    <row r="18" spans="1:1" x14ac:dyDescent="0.2">
      <c r="A18" t="s">
        <v>171</v>
      </c>
    </row>
    <row r="19" spans="1:1" x14ac:dyDescent="0.2">
      <c r="A19" t="s">
        <v>172</v>
      </c>
    </row>
    <row r="20" spans="1:1" x14ac:dyDescent="0.2">
      <c r="A20" t="s">
        <v>173</v>
      </c>
    </row>
    <row r="21" spans="1:1" x14ac:dyDescent="0.2">
      <c r="A21" t="s">
        <v>174</v>
      </c>
    </row>
    <row r="22" spans="1:1" x14ac:dyDescent="0.2">
      <c r="A22" t="s">
        <v>175</v>
      </c>
    </row>
    <row r="23" spans="1:1" x14ac:dyDescent="0.2">
      <c r="A23" t="s">
        <v>176</v>
      </c>
    </row>
    <row r="24" spans="1:1" x14ac:dyDescent="0.2">
      <c r="A24" t="s">
        <v>177</v>
      </c>
    </row>
    <row r="25" spans="1:1" x14ac:dyDescent="0.2">
      <c r="A25" t="s">
        <v>178</v>
      </c>
    </row>
    <row r="26" spans="1:1" x14ac:dyDescent="0.2">
      <c r="A26" t="s">
        <v>179</v>
      </c>
    </row>
    <row r="27" spans="1:1" x14ac:dyDescent="0.2">
      <c r="A27" t="s">
        <v>180</v>
      </c>
    </row>
    <row r="28" spans="1:1" x14ac:dyDescent="0.2">
      <c r="A28" t="s">
        <v>181</v>
      </c>
    </row>
    <row r="29" spans="1:1" x14ac:dyDescent="0.2">
      <c r="A29" t="s">
        <v>182</v>
      </c>
    </row>
    <row r="30" spans="1:1" x14ac:dyDescent="0.2">
      <c r="A30" t="s">
        <v>183</v>
      </c>
    </row>
    <row r="31" spans="1:1" x14ac:dyDescent="0.2">
      <c r="A31" t="s">
        <v>184</v>
      </c>
    </row>
    <row r="32" spans="1:1" x14ac:dyDescent="0.2">
      <c r="A32" t="s">
        <v>185</v>
      </c>
    </row>
    <row r="33" spans="1:1" x14ac:dyDescent="0.2">
      <c r="A33" t="s">
        <v>186</v>
      </c>
    </row>
    <row r="34" spans="1:1" x14ac:dyDescent="0.2">
      <c r="A34" t="s">
        <v>187</v>
      </c>
    </row>
    <row r="35" spans="1:1" x14ac:dyDescent="0.2">
      <c r="A35" t="s">
        <v>188</v>
      </c>
    </row>
    <row r="36" spans="1:1" x14ac:dyDescent="0.2">
      <c r="A36" t="s">
        <v>189</v>
      </c>
    </row>
    <row r="37" spans="1:1" x14ac:dyDescent="0.2">
      <c r="A37" t="s">
        <v>190</v>
      </c>
    </row>
    <row r="38" spans="1:1" x14ac:dyDescent="0.2">
      <c r="A38" t="s">
        <v>191</v>
      </c>
    </row>
    <row r="39" spans="1:1" x14ac:dyDescent="0.2">
      <c r="A39" t="s">
        <v>192</v>
      </c>
    </row>
    <row r="40" spans="1:1" x14ac:dyDescent="0.2">
      <c r="A40" t="s">
        <v>193</v>
      </c>
    </row>
    <row r="41" spans="1:1" x14ac:dyDescent="0.2">
      <c r="A41" t="s">
        <v>194</v>
      </c>
    </row>
    <row r="42" spans="1:1" x14ac:dyDescent="0.2">
      <c r="A42" t="s">
        <v>195</v>
      </c>
    </row>
    <row r="43" spans="1:1" x14ac:dyDescent="0.2">
      <c r="A43" t="s">
        <v>196</v>
      </c>
    </row>
    <row r="44" spans="1:1" x14ac:dyDescent="0.2">
      <c r="A44" t="s">
        <v>197</v>
      </c>
    </row>
    <row r="45" spans="1:1" x14ac:dyDescent="0.2">
      <c r="A45" t="s">
        <v>198</v>
      </c>
    </row>
    <row r="46" spans="1:1" x14ac:dyDescent="0.2">
      <c r="A46" t="s">
        <v>199</v>
      </c>
    </row>
    <row r="47" spans="1:1" x14ac:dyDescent="0.2">
      <c r="A47" t="s">
        <v>200</v>
      </c>
    </row>
    <row r="48" spans="1:1" x14ac:dyDescent="0.2">
      <c r="A48" t="s">
        <v>201</v>
      </c>
    </row>
    <row r="49" spans="1:1" x14ac:dyDescent="0.2">
      <c r="A49" t="s">
        <v>202</v>
      </c>
    </row>
    <row r="50" spans="1:1" x14ac:dyDescent="0.2">
      <c r="A50" t="s">
        <v>203</v>
      </c>
    </row>
    <row r="51" spans="1:1" x14ac:dyDescent="0.2">
      <c r="A51" t="s">
        <v>204</v>
      </c>
    </row>
    <row r="52" spans="1:1" x14ac:dyDescent="0.2">
      <c r="A52" t="s">
        <v>205</v>
      </c>
    </row>
    <row r="53" spans="1:1" x14ac:dyDescent="0.2">
      <c r="A53" t="s">
        <v>206</v>
      </c>
    </row>
    <row r="54" spans="1:1" x14ac:dyDescent="0.2">
      <c r="A54" t="s">
        <v>207</v>
      </c>
    </row>
    <row r="55" spans="1:1" x14ac:dyDescent="0.2">
      <c r="A55" t="s">
        <v>208</v>
      </c>
    </row>
    <row r="56" spans="1:1" x14ac:dyDescent="0.2">
      <c r="A56" t="s">
        <v>209</v>
      </c>
    </row>
    <row r="57" spans="1:1" x14ac:dyDescent="0.2">
      <c r="A5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קטיה פרימק</cp:lastModifiedBy>
  <cp:lastPrinted>2008-08-19T12:49:13Z</cp:lastPrinted>
  <dcterms:created xsi:type="dcterms:W3CDTF">2006-06-20T08:20:07Z</dcterms:created>
  <dcterms:modified xsi:type="dcterms:W3CDTF">2020-03-26T13:05:47Z</dcterms:modified>
</cp:coreProperties>
</file>