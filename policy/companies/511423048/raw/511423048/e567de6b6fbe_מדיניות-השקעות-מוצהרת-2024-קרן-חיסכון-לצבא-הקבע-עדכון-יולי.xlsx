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090D19AB-D6CF-4D64-9A5F-BA84925DCB4D}" xr6:coauthVersionLast="36" xr6:coauthVersionMax="36" xr10:uidLastSave="{00000000-0000-0000-0000-000000000000}"/>
  <bookViews>
    <workbookView xWindow="-120" yWindow="-120" windowWidth="29040" windowHeight="15840" xr2:uid="{CD8286DE-B4A9-4740-BFB0-F28BA814C969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וקיימות'!$A$1:$G$16</definedName>
    <definedName name="_xlnm.Print_Area" localSheetId="0">'כללי וגילאים'!$A$1:$G$16</definedName>
    <definedName name="_xlnm.Print_Area" localSheetId="1">'ניהול אקטיבי'!$A$1:$Q$16</definedName>
    <definedName name="_xlnm.Print_Area" localSheetId="2">סחיר!$A$1:$L$16</definedName>
    <definedName name="_xlnm.Print_Area" localSheetId="3">'עוקבי מדדים'!$A$1:$Q$16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<sst xmlns="http://schemas.openxmlformats.org/spreadsheetml/2006/main" count="295" uniqueCount="47">
  <si>
    <t>קרן חיסכון לצבא הקבע</t>
  </si>
  <si>
    <t>אפיק השקעה</t>
  </si>
  <si>
    <t>טווח סטיה</t>
  </si>
  <si>
    <t>מניות סחירות (כולל קרנות סל, קרנות נאמנות ונגזרים)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</si>
  <si>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</si>
  <si>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</si>
  <si>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</si>
  <si>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>אג"ח קונצרני בחו"ל (כולל קרנות סל, קרנות נאמנות, קרנות חוב)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</si>
  <si>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</si>
  <si>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</si>
  <si>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</si>
  <si>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</si>
  <si>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</si>
  <si>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</si>
  <si>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2024</t>
  </si>
  <si>
    <t>הערה</t>
  </si>
  <si>
    <t>קרן חיסכון לצבא הקבע - קרן החיסכון לצבא הקבע כללי (438)</t>
  </si>
  <si>
    <t>BM</t>
  </si>
  <si>
    <t>חשיפה ליום 23/07/2024</t>
  </si>
  <si>
    <t>שיעור חשיפה צפוי 2024</t>
  </si>
  <si>
    <t>מינימום</t>
  </si>
  <si>
    <t>מקסימום</t>
  </si>
  <si>
    <t xml:space="preserve">ת"א 125 - 40%
MSCI AC - 60%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</si>
  <si>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</si>
  <si>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</si>
  <si>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>-</t>
  </si>
  <si>
    <t xml:space="preserve">אג"ח ממשלתי כללי
</t>
  </si>
  <si>
    <t/>
  </si>
  <si>
    <t>קרן חיסכון לצבא הקבע - קחצ"ק מסלול כספי (15304)</t>
  </si>
  <si>
    <t xml:space="preserve">מק"מ
</t>
  </si>
  <si>
    <t>קרן חיסכון לצבא הקבע - קחצ"ק אשראי ואג"ח (1410)</t>
  </si>
  <si>
    <t>קרן חיסכון לצבא הקבע - קחצ"ק מסלול מנייתי (1411)</t>
  </si>
  <si>
    <t>קרן חיסכון לצבא הקבע - קחצ"ק מסלול מניות סחיר (15305)</t>
  </si>
  <si>
    <t xml:space="preserve">ת"א 125
</t>
  </si>
  <si>
    <t>קרן חיסכון לצבא הקבע - קחצ"ק מסלול משולב סחיר (15306)</t>
  </si>
  <si>
    <t xml:space="preserve">MSCI AC
</t>
  </si>
  <si>
    <t>קרן חיסכון לצבא הקבע - קחצ"ק מסלול עוקב מדדים גמיש (15307)</t>
  </si>
  <si>
    <t xml:space="preserve">ת"א 125 - 35%
MSCI AC - 38%
S&amp;P 500 - 27%
</t>
  </si>
  <si>
    <t xml:space="preserve">תל בונד מאגר - 58%
תל בונד שקלי - 13%
תל בונד צמודות - 13%
תל בונד תשואות - 6%
תל בונד גלובל - 10%
</t>
  </si>
  <si>
    <t xml:space="preserve">iBoxx USD Liquid Investment Grade index TR
</t>
  </si>
  <si>
    <t xml:space="preserve">אג"ח ממשלתי כללי - 42%
מק"מ - 33%
ממשלתי שקלי כללי - 25%
</t>
  </si>
  <si>
    <t>קרן חיסכון לצבא הקבע - קחצ"ק מסלול עוקב מדד 500 S&amp;P (13649)</t>
  </si>
  <si>
    <t xml:space="preserve">S&amp;P 500
</t>
  </si>
  <si>
    <t>קרן חיסכון לצבא הקבע - קחצ"ק מסלול עוקב מדדי מניות (15308)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</si>
  <si>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</si>
  <si>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קרן חיסכון לצבא הקבע - קחצ"ק מסלול קיימות (14274)</t>
  </si>
  <si>
    <t xml:space="preserve">MSCI ACWI IMI SDG Impact Select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</si>
</sst>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0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/>
    <xf numFmtId="0" fontId="3" fillId="0" borderId="2" xfId="0" applyFont="1" applyFill="1" applyBorder="1" applyAlignment="1">
      <alignment readingOrder="2"/>
    </xf>
    <xf numFmtId="0" fontId="3" fillId="0" borderId="12" xfId="0" applyFont="1" applyFill="1" applyBorder="1" applyAlignment="1">
      <alignment readingOrder="2"/>
    </xf>
    <xf numFmtId="0" fontId="3" fillId="0" borderId="3" xfId="0" applyFont="1" applyFill="1" applyBorder="1" applyAlignment="1">
      <alignment horizontal="right" vertical="top" wrapText="1"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5" fillId="0" borderId="3" xfId="0" applyFont="1" applyFill="1" applyBorder="1" applyAlignment="1">
      <alignment horizontal="center" vertical="top" wrapText="1" readingOrder="2"/>
    </xf>
    <xf numFmtId="0" fontId="5" fillId="0" borderId="13" xfId="0" applyFont="1" applyFill="1" applyBorder="1" applyAlignment="1">
      <alignment horizontal="right" vertical="top" wrapText="1" readingOrder="2"/>
    </xf>
    <xf numFmtId="0" fontId="5" fillId="0" borderId="4" xfId="0" applyFont="1" applyFill="1" applyBorder="1" applyAlignment="1">
      <alignment horizontal="right" vertical="top" wrapText="1" readingOrder="2"/>
    </xf>
    <xf numFmtId="0" fontId="5" fillId="0" borderId="14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Fill="1" applyBorder="1" applyAlignment="1" applyProtection="1">
      <alignment horizontal="center" vertical="center"/>
      <protection locked="0"/>
    </xf>
    <xf numFmtId="165" fontId="9" fillId="0" borderId="15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Fill="1" applyBorder="1" applyAlignment="1">
      <alignment horizontal="center" vertical="center" wrapText="1" readingOrder="1"/>
    </xf>
    <xf numFmtId="165" fontId="6" fillId="0" borderId="6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3" fillId="0" borderId="7" xfId="0" applyFont="1" applyFill="1" applyBorder="1" applyAlignment="1" applyProtection="1">
      <alignment horizontal="right" vertical="center" wrapText="1" readingOrder="2"/>
      <protection locked="0"/>
    </xf>
    <xf numFmtId="165" fontId="9" fillId="0" borderId="5" xfId="0" applyNumberFormat="1" applyFont="1" applyFill="1" applyBorder="1" applyAlignment="1">
      <alignment horizontal="center" vertical="center" wrapText="1" readingOrder="1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165" fontId="9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9" xfId="0" applyFont="1" applyFill="1" applyBorder="1" applyAlignment="1" applyProtection="1">
      <alignment horizontal="right" vertical="center" wrapText="1" readingOrder="2"/>
      <protection locked="0"/>
    </xf>
    <xf numFmtId="0" fontId="3" fillId="0" borderId="10" xfId="0" applyFont="1" applyFill="1" applyBorder="1" applyAlignment="1" applyProtection="1">
      <alignment horizontal="right" vertical="top" wrapText="1" readingOrder="2"/>
      <protection locked="0"/>
    </xf>
    <xf numFmtId="0" fontId="5" fillId="0" borderId="9" xfId="0" applyFont="1" applyFill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Fill="1" applyBorder="1" applyAlignment="1">
      <alignment horizontal="center" vertical="center" wrapText="1" readingOrder="1"/>
    </xf>
    <xf numFmtId="165" fontId="5" fillId="0" borderId="10" xfId="0" applyNumberFormat="1" applyFont="1" applyFill="1" applyBorder="1" applyAlignment="1">
      <alignment horizontal="center" vertical="center" wrapText="1" readingOrder="1"/>
    </xf>
    <xf numFmtId="165" fontId="7" fillId="0" borderId="10" xfId="0" applyNumberFormat="1" applyFont="1" applyFill="1" applyBorder="1" applyAlignment="1">
      <alignment horizontal="center" vertical="center" wrapText="1" readingOrder="1"/>
    </xf>
    <xf numFmtId="165" fontId="7" fillId="0" borderId="18" xfId="0" applyNumberFormat="1" applyFont="1" applyFill="1" applyBorder="1" applyAlignment="1">
      <alignment horizontal="center" vertical="center" wrapText="1" readingOrder="1"/>
    </xf>
    <xf numFmtId="0" fontId="3" fillId="0" borderId="6" xfId="0" applyFont="1" applyFill="1" applyBorder="1" applyAlignment="1" applyProtection="1">
      <alignment horizontal="right" vertical="top" wrapText="1" readingOrder="2"/>
      <protection locked="0"/>
    </xf>
    <xf numFmtId="165" fontId="5" fillId="0" borderId="7" xfId="0" applyNumberFormat="1" applyFont="1" applyFill="1" applyBorder="1" applyAlignment="1">
      <alignment horizontal="center" vertical="center" wrapText="1" readingOrder="1"/>
    </xf>
    <xf numFmtId="165" fontId="5" fillId="0" borderId="19" xfId="0" applyNumberFormat="1" applyFont="1" applyFill="1" applyBorder="1" applyAlignment="1">
      <alignment horizontal="center" vertical="center" wrapText="1" readingOrder="1"/>
    </xf>
    <xf numFmtId="165" fontId="7" fillId="0" borderId="6" xfId="0" applyNumberFormat="1" applyFont="1" applyFill="1" applyBorder="1" applyAlignment="1">
      <alignment horizontal="center" vertical="center" wrapText="1" readingOrder="1"/>
    </xf>
    <xf numFmtId="165" fontId="7" fillId="0" borderId="17" xfId="0" applyNumberFormat="1" applyFont="1" applyFill="1" applyBorder="1" applyAlignment="1">
      <alignment horizontal="center" vertical="center" wrapText="1" readingOrder="1"/>
    </xf>
    <xf numFmtId="0" fontId="3" fillId="0" borderId="3" xfId="0" applyFont="1" applyFill="1" applyBorder="1" applyAlignment="1" applyProtection="1">
      <alignment horizontal="right" vertical="center" wrapText="1" readingOrder="2"/>
      <protection locked="0"/>
    </xf>
    <xf numFmtId="164" fontId="4" fillId="0" borderId="4" xfId="0" applyNumberFormat="1" applyFont="1" applyFill="1" applyBorder="1" applyAlignment="1" applyProtection="1">
      <alignment horizontal="center" vertical="center"/>
      <protection locked="0"/>
    </xf>
    <xf numFmtId="166" fontId="9" fillId="0" borderId="20" xfId="0" applyNumberFormat="1" applyFont="1" applyFill="1" applyBorder="1" applyAlignment="1">
      <alignment horizontal="center" vertical="center" wrapText="1" readingOrder="1"/>
    </xf>
    <xf numFmtId="166" fontId="9" fillId="0" borderId="13" xfId="0" applyNumberFormat="1" applyFont="1" applyFill="1" applyBorder="1" applyAlignment="1">
      <alignment horizontal="center" vertical="center" wrapText="1" readingOrder="1"/>
    </xf>
    <xf numFmtId="166" fontId="6" fillId="0" borderId="21" xfId="0" applyNumberFormat="1" applyFont="1" applyFill="1" applyBorder="1" applyAlignment="1">
      <alignment horizontal="center" vertical="center" wrapText="1" readingOrder="1"/>
    </xf>
    <xf numFmtId="166" fontId="6" fillId="0" borderId="4" xfId="0" applyNumberFormat="1" applyFont="1" applyFill="1" applyBorder="1" applyAlignment="1">
      <alignment horizontal="center" vertical="center" wrapText="1" readingOrder="1"/>
    </xf>
    <xf numFmtId="166" fontId="6" fillId="0" borderId="14" xfId="0" applyNumberFormat="1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 applyProtection="1">
      <alignment horizontal="right" vertical="top" wrapText="1" readingOrder="2"/>
      <protection locked="0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/>
    <xf numFmtId="0" fontId="9" fillId="0" borderId="0" xfId="0" applyFont="1" applyFill="1" applyAlignment="1">
      <alignment horizontal="center" vertical="center" wrapText="1" readingOrder="2"/>
    </xf>
    <xf numFmtId="0" fontId="6" fillId="0" borderId="0" xfId="0" applyFont="1" applyFill="1" applyAlignment="1" applyProtection="1">
      <alignment horizontal="center" vertical="center" wrapText="1" readingOrder="2"/>
      <protection locked="0"/>
    </xf>
    <xf numFmtId="0" fontId="6" fillId="0" borderId="0" xfId="0" applyFont="1" applyFill="1" applyAlignment="1">
      <alignment horizontal="center" vertical="center" wrapText="1" readingOrder="2"/>
    </xf>
  </cellXfs>
  <cellStyles count="1">
    <cellStyle name="Normal" xfId="0" builtinId="0"/>
  </cellStyles>
  <dxfs count="29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1F1E-B753-44CE-BF6D-EA385C9ED502}">
  <dimension ref="A1:G16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</cols>
  <sheetData>
    <row r="1" spans="1:7" ht="36.75" thickBot="1" x14ac:dyDescent="0.3">
      <c r="A1" s="1" t="s">
        <v>0</v>
      </c>
      <c r="B1" s="2">
        <v>2024</v>
      </c>
      <c r="C1" s="3" t="s">
        <v>16</v>
      </c>
      <c r="D1" s="4"/>
      <c r="E1" s="4"/>
      <c r="F1" s="5"/>
      <c r="G1" s="6"/>
    </row>
    <row r="2" spans="1:7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</row>
    <row r="3" spans="1:7" ht="45" x14ac:dyDescent="0.2">
      <c r="A3" s="13" t="s">
        <v>3</v>
      </c>
      <c r="B3" s="14">
        <v>0.06</v>
      </c>
      <c r="C3" s="15" t="s">
        <v>22</v>
      </c>
      <c r="D3" s="16">
        <v>0.41642889844430125</v>
      </c>
      <c r="E3" s="17">
        <v>0.39</v>
      </c>
      <c r="F3" s="17">
        <v>0.33</v>
      </c>
      <c r="G3" s="18">
        <v>0.45</v>
      </c>
    </row>
    <row r="4" spans="1:7" ht="30" x14ac:dyDescent="0.2">
      <c r="A4" s="19" t="s">
        <v>4</v>
      </c>
      <c r="B4" s="14"/>
      <c r="C4" s="20"/>
      <c r="D4" s="16">
        <v>0.14018042164126035</v>
      </c>
      <c r="E4" s="17">
        <v>0.156</v>
      </c>
      <c r="F4" s="17"/>
      <c r="G4" s="18"/>
    </row>
    <row r="5" spans="1:7" ht="15" x14ac:dyDescent="0.2">
      <c r="A5" s="19" t="s">
        <v>5</v>
      </c>
      <c r="B5" s="14"/>
      <c r="C5" s="20"/>
      <c r="D5" s="16">
        <v>0.27624847680304071</v>
      </c>
      <c r="E5" s="17">
        <v>0.23400000000000001</v>
      </c>
      <c r="F5" s="17"/>
      <c r="G5" s="18"/>
    </row>
    <row r="6" spans="1:7" ht="45" x14ac:dyDescent="0.2">
      <c r="A6" s="13" t="s">
        <v>6</v>
      </c>
      <c r="B6" s="21">
        <v>0.06</v>
      </c>
      <c r="C6" s="22" t="s">
        <v>23</v>
      </c>
      <c r="D6" s="16">
        <v>0.17509252254958591</v>
      </c>
      <c r="E6" s="17">
        <v>0.22</v>
      </c>
      <c r="F6" s="17">
        <v>0.16</v>
      </c>
      <c r="G6" s="18">
        <v>0.28000000000000003</v>
      </c>
    </row>
    <row r="7" spans="1:7" ht="63.75" x14ac:dyDescent="0.2">
      <c r="A7" s="13" t="s">
        <v>7</v>
      </c>
      <c r="B7" s="21">
        <v>0.06</v>
      </c>
      <c r="C7" s="22" t="s">
        <v>24</v>
      </c>
      <c r="D7" s="16">
        <v>7.6572622608821986E-2</v>
      </c>
      <c r="E7" s="17">
        <v>7.0000000000000007E-2</v>
      </c>
      <c r="F7" s="17">
        <v>1.0000000000000009E-2</v>
      </c>
      <c r="G7" s="18">
        <v>0.13</v>
      </c>
    </row>
    <row r="8" spans="1:7" ht="15" x14ac:dyDescent="0.2">
      <c r="A8" s="13" t="s">
        <v>8</v>
      </c>
      <c r="B8" s="21">
        <v>0.05</v>
      </c>
      <c r="C8" s="22"/>
      <c r="D8" s="16">
        <v>6.093756894783825E-2</v>
      </c>
      <c r="E8" s="17">
        <v>0.05</v>
      </c>
      <c r="F8" s="17" t="s">
        <v>25</v>
      </c>
      <c r="G8" s="18">
        <v>0.1</v>
      </c>
    </row>
    <row r="9" spans="1:7" ht="15" x14ac:dyDescent="0.2">
      <c r="A9" s="13" t="s">
        <v>9</v>
      </c>
      <c r="B9" s="21">
        <v>0.05</v>
      </c>
      <c r="C9" s="22"/>
      <c r="D9" s="16">
        <v>9.7353025172824556E-2</v>
      </c>
      <c r="E9" s="17">
        <v>0.08</v>
      </c>
      <c r="F9" s="17">
        <v>0.03</v>
      </c>
      <c r="G9" s="18">
        <v>0.13</v>
      </c>
    </row>
    <row r="10" spans="1:7" ht="15" x14ac:dyDescent="0.2">
      <c r="A10" s="13" t="s">
        <v>10</v>
      </c>
      <c r="B10" s="21">
        <v>0.05</v>
      </c>
      <c r="C10" s="22"/>
      <c r="D10" s="16">
        <v>4.0289491872583003E-2</v>
      </c>
      <c r="E10" s="17">
        <v>0.04</v>
      </c>
      <c r="F10" s="17" t="s">
        <v>25</v>
      </c>
      <c r="G10" s="18">
        <v>0.09</v>
      </c>
    </row>
    <row r="11" spans="1:7" ht="30" x14ac:dyDescent="0.2">
      <c r="A11" s="13" t="s">
        <v>11</v>
      </c>
      <c r="B11" s="21">
        <v>0.05</v>
      </c>
      <c r="C11" s="22" t="s">
        <v>26</v>
      </c>
      <c r="D11" s="16">
        <v>0.13326935624206313</v>
      </c>
      <c r="E11" s="17">
        <v>0.15</v>
      </c>
      <c r="F11" s="17">
        <v>9.9999999999999992E-2</v>
      </c>
      <c r="G11" s="18">
        <v>0.2</v>
      </c>
    </row>
    <row r="12" spans="1: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</row>
    <row r="13" spans="1:7" ht="15" x14ac:dyDescent="0.2">
      <c r="A13" s="19"/>
      <c r="B13" s="30"/>
      <c r="C13" s="31"/>
      <c r="D13" s="32"/>
      <c r="E13" s="33"/>
      <c r="F13" s="33"/>
      <c r="G13" s="34"/>
    </row>
    <row r="14" spans="1:7" ht="15" x14ac:dyDescent="0.2">
      <c r="A14" s="13" t="s">
        <v>13</v>
      </c>
      <c r="B14" s="21">
        <v>0.06</v>
      </c>
      <c r="C14" s="20"/>
      <c r="D14" s="16">
        <v>0.24732851792056951</v>
      </c>
      <c r="E14" s="17">
        <v>0.23</v>
      </c>
      <c r="F14" s="17">
        <v>0.17</v>
      </c>
      <c r="G14" s="18">
        <v>0.29000000000000004</v>
      </c>
    </row>
    <row r="15" spans="1:7" ht="30.75" thickBot="1" x14ac:dyDescent="0.25">
      <c r="A15" s="35" t="s">
        <v>14</v>
      </c>
      <c r="B15" s="36"/>
      <c r="C15" s="37"/>
      <c r="D15" s="38"/>
      <c r="E15" s="39">
        <v>3.0000000000000001E-3</v>
      </c>
      <c r="F15" s="40"/>
      <c r="G15" s="41"/>
    </row>
    <row r="16" spans="1:7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</row>
  </sheetData>
  <conditionalFormatting sqref="E12">
    <cfRule type="expression" dxfId="28" priority="3">
      <formula>AND(E12&lt;&gt;0,E12&lt;&gt;1)</formula>
    </cfRule>
  </conditionalFormatting>
  <conditionalFormatting sqref="D12">
    <cfRule type="expression" dxfId="27" priority="2">
      <formula>AND(D12&lt;&gt;0,D12&lt;&gt;1)</formula>
    </cfRule>
  </conditionalFormatting>
  <conditionalFormatting sqref="D12">
    <cfRule type="expression" dxfId="26" priority="1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812B-1B71-415B-A8EA-ABB24313A8A3}">
  <dimension ref="A1:Q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</cols>
  <sheetData>
    <row r="1" spans="1:17" ht="36.75" thickBot="1" x14ac:dyDescent="0.3">
      <c r="A1" s="1" t="s">
        <v>0</v>
      </c>
      <c r="B1" s="2">
        <v>2024</v>
      </c>
      <c r="C1" s="3" t="s">
        <v>28</v>
      </c>
      <c r="D1" s="4"/>
      <c r="E1" s="4"/>
      <c r="F1" s="5"/>
      <c r="G1" s="6"/>
      <c r="H1" s="3" t="s">
        <v>30</v>
      </c>
      <c r="I1" s="4"/>
      <c r="J1" s="4"/>
      <c r="K1" s="5"/>
      <c r="L1" s="6"/>
      <c r="M1" s="3" t="s">
        <v>31</v>
      </c>
      <c r="N1" s="4"/>
      <c r="O1" s="4"/>
      <c r="P1" s="5"/>
      <c r="Q1" s="6"/>
    </row>
    <row r="2" spans="1:17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</row>
    <row r="3" spans="1:17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27</v>
      </c>
      <c r="I3" s="16">
        <v>3.3597120132906809E-7</v>
      </c>
      <c r="J3" s="17" t="s">
        <v>25</v>
      </c>
      <c r="K3" s="17" t="s">
        <v>25</v>
      </c>
      <c r="L3" s="18" t="s">
        <v>25</v>
      </c>
      <c r="M3" s="15" t="s">
        <v>22</v>
      </c>
      <c r="N3" s="16">
        <v>0.94554560546751276</v>
      </c>
      <c r="O3" s="17">
        <v>0.99</v>
      </c>
      <c r="P3" s="17">
        <v>0.92999999999999994</v>
      </c>
      <c r="Q3" s="18">
        <v>1.05</v>
      </c>
    </row>
    <row r="4" spans="1:17" ht="30" x14ac:dyDescent="0.2">
      <c r="A4" s="19" t="s">
        <v>4</v>
      </c>
      <c r="B4" s="14"/>
      <c r="C4" s="20"/>
      <c r="D4" s="16">
        <v>0</v>
      </c>
      <c r="E4" s="17" t="s">
        <v>25</v>
      </c>
      <c r="F4" s="17"/>
      <c r="G4" s="18"/>
      <c r="H4" s="20"/>
      <c r="I4" s="16">
        <v>3.3597120132906809E-7</v>
      </c>
      <c r="J4" s="17" t="s">
        <v>25</v>
      </c>
      <c r="K4" s="17"/>
      <c r="L4" s="18"/>
      <c r="M4" s="20"/>
      <c r="N4" s="16">
        <v>0.34938463609141135</v>
      </c>
      <c r="O4" s="17">
        <v>0.39600000000000002</v>
      </c>
      <c r="P4" s="17"/>
      <c r="Q4" s="18"/>
    </row>
    <row r="5" spans="1:17" ht="15" x14ac:dyDescent="0.2">
      <c r="A5" s="19" t="s">
        <v>5</v>
      </c>
      <c r="B5" s="14"/>
      <c r="C5" s="20"/>
      <c r="D5" s="16">
        <v>0</v>
      </c>
      <c r="E5" s="17" t="s">
        <v>25</v>
      </c>
      <c r="F5" s="17"/>
      <c r="G5" s="18"/>
      <c r="H5" s="20"/>
      <c r="I5" s="16">
        <v>0</v>
      </c>
      <c r="J5" s="17" t="s">
        <v>25</v>
      </c>
      <c r="K5" s="17"/>
      <c r="L5" s="18"/>
      <c r="M5" s="20"/>
      <c r="N5" s="16">
        <v>0.59616096937610075</v>
      </c>
      <c r="O5" s="17">
        <v>0.59399999999999997</v>
      </c>
      <c r="P5" s="17"/>
      <c r="Q5" s="18"/>
    </row>
    <row r="6" spans="1:17" ht="45" x14ac:dyDescent="0.2">
      <c r="A6" s="13" t="s">
        <v>6</v>
      </c>
      <c r="B6" s="21">
        <v>0.06</v>
      </c>
      <c r="C6" s="22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2" t="s">
        <v>23</v>
      </c>
      <c r="I6" s="16">
        <v>0.35563368064162754</v>
      </c>
      <c r="J6" s="17">
        <v>0.39</v>
      </c>
      <c r="K6" s="17">
        <v>0.33</v>
      </c>
      <c r="L6" s="18">
        <v>0.45</v>
      </c>
      <c r="M6" s="22" t="s">
        <v>27</v>
      </c>
      <c r="N6" s="16">
        <v>5.4732078991707249E-6</v>
      </c>
      <c r="O6" s="17">
        <v>0</v>
      </c>
      <c r="P6" s="17" t="s">
        <v>25</v>
      </c>
      <c r="Q6" s="18">
        <v>0.06</v>
      </c>
    </row>
    <row r="7" spans="1:17" ht="63.75" x14ac:dyDescent="0.2">
      <c r="A7" s="13" t="s">
        <v>7</v>
      </c>
      <c r="B7" s="21">
        <v>0.06</v>
      </c>
      <c r="C7" s="22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2" t="s">
        <v>24</v>
      </c>
      <c r="I7" s="16">
        <v>0.11439924368214341</v>
      </c>
      <c r="J7" s="17">
        <v>0.12</v>
      </c>
      <c r="K7" s="17">
        <v>0.06</v>
      </c>
      <c r="L7" s="18">
        <v>0.18</v>
      </c>
      <c r="M7" s="22" t="s">
        <v>27</v>
      </c>
      <c r="N7" s="16">
        <v>3.5955762635961932E-4</v>
      </c>
      <c r="O7" s="17" t="s">
        <v>25</v>
      </c>
      <c r="P7" s="17" t="s">
        <v>25</v>
      </c>
      <c r="Q7" s="18" t="s">
        <v>25</v>
      </c>
    </row>
    <row r="8" spans="1:17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0.13082044621755159</v>
      </c>
      <c r="J8" s="17">
        <v>0.09</v>
      </c>
      <c r="K8" s="17">
        <v>3.9999999999999994E-2</v>
      </c>
      <c r="L8" s="18">
        <v>0.14000000000000001</v>
      </c>
      <c r="M8" s="22"/>
      <c r="N8" s="16">
        <v>0</v>
      </c>
      <c r="O8" s="17" t="s">
        <v>25</v>
      </c>
      <c r="P8" s="17" t="s">
        <v>25</v>
      </c>
      <c r="Q8" s="18" t="s">
        <v>25</v>
      </c>
    </row>
    <row r="9" spans="1:17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2.4211752593148261E-4</v>
      </c>
      <c r="J9" s="17">
        <v>0</v>
      </c>
      <c r="K9" s="17" t="s">
        <v>25</v>
      </c>
      <c r="L9" s="18">
        <v>0.05</v>
      </c>
      <c r="M9" s="22"/>
      <c r="N9" s="16">
        <v>0.11009451947625157</v>
      </c>
      <c r="O9" s="17">
        <v>0.09</v>
      </c>
      <c r="P9" s="17">
        <v>3.9999999999999994E-2</v>
      </c>
      <c r="Q9" s="18">
        <v>0.14000000000000001</v>
      </c>
    </row>
    <row r="10" spans="1:17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6.1238179153821445E-2</v>
      </c>
      <c r="J10" s="17">
        <v>0.05</v>
      </c>
      <c r="K10" s="17" t="s">
        <v>25</v>
      </c>
      <c r="L10" s="18">
        <v>0.1</v>
      </c>
      <c r="M10" s="22"/>
      <c r="N10" s="16">
        <v>3.5294307122756781E-2</v>
      </c>
      <c r="O10" s="17">
        <v>0.03</v>
      </c>
      <c r="P10" s="17" t="s">
        <v>25</v>
      </c>
      <c r="Q10" s="18">
        <v>0.08</v>
      </c>
    </row>
    <row r="11" spans="1:17" ht="30" x14ac:dyDescent="0.2">
      <c r="A11" s="13" t="s">
        <v>11</v>
      </c>
      <c r="B11" s="21">
        <v>0.05</v>
      </c>
      <c r="C11" s="22" t="s">
        <v>29</v>
      </c>
      <c r="D11" s="16">
        <v>0.99999999999999967</v>
      </c>
      <c r="E11" s="17">
        <v>1</v>
      </c>
      <c r="F11" s="17">
        <v>0.95</v>
      </c>
      <c r="G11" s="18">
        <v>1.05</v>
      </c>
      <c r="H11" s="22" t="s">
        <v>26</v>
      </c>
      <c r="I11" s="16">
        <v>0.33754785653841235</v>
      </c>
      <c r="J11" s="17">
        <v>0.35</v>
      </c>
      <c r="K11" s="17">
        <v>0.3</v>
      </c>
      <c r="L11" s="18">
        <v>0.39999999999999997</v>
      </c>
      <c r="M11" s="22" t="s">
        <v>29</v>
      </c>
      <c r="N11" s="16">
        <v>-9.1272528893733704E-2</v>
      </c>
      <c r="O11" s="17">
        <v>-0.11</v>
      </c>
      <c r="P11" s="17">
        <v>-0.16</v>
      </c>
      <c r="Q11" s="18">
        <v>-0.06</v>
      </c>
    </row>
    <row r="12" spans="1:1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</row>
    <row r="13" spans="1:17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</row>
    <row r="14" spans="1:17" ht="15" x14ac:dyDescent="0.2">
      <c r="A14" s="13" t="s">
        <v>13</v>
      </c>
      <c r="B14" s="21">
        <v>0.06</v>
      </c>
      <c r="C14" s="20"/>
      <c r="D14" s="16">
        <v>0</v>
      </c>
      <c r="E14" s="17">
        <v>0</v>
      </c>
      <c r="F14" s="17" t="s">
        <v>25</v>
      </c>
      <c r="G14" s="18">
        <v>0.06</v>
      </c>
      <c r="H14" s="20"/>
      <c r="I14" s="16">
        <v>0.10974372637437564</v>
      </c>
      <c r="J14" s="17">
        <v>0.11</v>
      </c>
      <c r="K14" s="17">
        <v>0.05</v>
      </c>
      <c r="L14" s="18">
        <v>0.16999999999999998</v>
      </c>
      <c r="M14" s="20"/>
      <c r="N14" s="16">
        <v>0.32087311762706922</v>
      </c>
      <c r="O14" s="17">
        <v>0.31</v>
      </c>
      <c r="P14" s="17">
        <v>0.25</v>
      </c>
      <c r="Q14" s="18">
        <v>0.37</v>
      </c>
    </row>
    <row r="15" spans="1:17" ht="30.75" thickBot="1" x14ac:dyDescent="0.25">
      <c r="A15" s="35" t="s">
        <v>14</v>
      </c>
      <c r="B15" s="36"/>
      <c r="C15" s="37"/>
      <c r="D15" s="38"/>
      <c r="E15" s="39">
        <v>5.0000000000000001E-4</v>
      </c>
      <c r="F15" s="40"/>
      <c r="G15" s="41"/>
      <c r="H15" s="37"/>
      <c r="I15" s="38"/>
      <c r="J15" s="39">
        <v>2.5999999999999999E-3</v>
      </c>
      <c r="K15" s="40"/>
      <c r="L15" s="41"/>
      <c r="M15" s="37"/>
      <c r="N15" s="38"/>
      <c r="O15" s="39">
        <v>3.3E-3</v>
      </c>
      <c r="P15" s="40"/>
      <c r="Q15" s="41"/>
    </row>
    <row r="16" spans="1:17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</row>
  </sheetData>
  <conditionalFormatting sqref="E12">
    <cfRule type="expression" dxfId="25" priority="9">
      <formula>AND(E12&lt;&gt;0,E12&lt;&gt;1)</formula>
    </cfRule>
  </conditionalFormatting>
  <conditionalFormatting sqref="D12">
    <cfRule type="expression" dxfId="24" priority="8">
      <formula>AND(D12&lt;&gt;0,D12&lt;&gt;1)</formula>
    </cfRule>
  </conditionalFormatting>
  <conditionalFormatting sqref="D12">
    <cfRule type="expression" dxfId="23" priority="7">
      <formula>AND(D12&lt;&gt;0,D12&lt;&gt;1)</formula>
    </cfRule>
  </conditionalFormatting>
  <conditionalFormatting sqref="J12">
    <cfRule type="expression" dxfId="22" priority="6">
      <formula>AND(J12&lt;&gt;0,J12&lt;&gt;1)</formula>
    </cfRule>
  </conditionalFormatting>
  <conditionalFormatting sqref="I12">
    <cfRule type="expression" dxfId="21" priority="5">
      <formula>AND(I12&lt;&gt;0,I12&lt;&gt;1)</formula>
    </cfRule>
  </conditionalFormatting>
  <conditionalFormatting sqref="I12">
    <cfRule type="expression" dxfId="20" priority="4">
      <formula>AND(I12&lt;&gt;0,I12&lt;&gt;1)</formula>
    </cfRule>
  </conditionalFormatting>
  <conditionalFormatting sqref="O12">
    <cfRule type="expression" dxfId="19" priority="3">
      <formula>AND(O12&lt;&gt;0,O12&lt;&gt;1)</formula>
    </cfRule>
  </conditionalFormatting>
  <conditionalFormatting sqref="N12">
    <cfRule type="expression" dxfId="18" priority="2">
      <formula>AND(N12&lt;&gt;0,N12&lt;&gt;1)</formula>
    </cfRule>
  </conditionalFormatting>
  <conditionalFormatting sqref="N12">
    <cfRule type="expression" dxfId="17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A6C2-8062-4367-963F-52F79C635BF7}">
  <dimension ref="A1:L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</cols>
  <sheetData>
    <row r="1" spans="1:12" ht="36.75" thickBot="1" x14ac:dyDescent="0.3">
      <c r="A1" s="1" t="s">
        <v>0</v>
      </c>
      <c r="B1" s="2">
        <v>2024</v>
      </c>
      <c r="C1" s="3" t="s">
        <v>32</v>
      </c>
      <c r="D1" s="4"/>
      <c r="E1" s="4"/>
      <c r="F1" s="5"/>
      <c r="G1" s="6"/>
      <c r="H1" s="3" t="s">
        <v>34</v>
      </c>
      <c r="I1" s="4"/>
      <c r="J1" s="4"/>
      <c r="K1" s="5"/>
      <c r="L1" s="6"/>
    </row>
    <row r="2" spans="1:12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</row>
    <row r="3" spans="1:12" ht="45" x14ac:dyDescent="0.2">
      <c r="A3" s="13" t="s">
        <v>3</v>
      </c>
      <c r="B3" s="14">
        <v>0.06</v>
      </c>
      <c r="C3" s="15" t="s">
        <v>33</v>
      </c>
      <c r="D3" s="16">
        <v>0.96761747036218404</v>
      </c>
      <c r="E3" s="17">
        <v>0.99</v>
      </c>
      <c r="F3" s="17">
        <v>0.92999999999999994</v>
      </c>
      <c r="G3" s="18">
        <v>1.05</v>
      </c>
      <c r="H3" s="15" t="s">
        <v>35</v>
      </c>
      <c r="I3" s="16">
        <v>0.45439244529499484</v>
      </c>
      <c r="J3" s="17">
        <v>0.45</v>
      </c>
      <c r="K3" s="17">
        <v>0.39</v>
      </c>
      <c r="L3" s="18">
        <v>0.51</v>
      </c>
    </row>
    <row r="4" spans="1:12" ht="30" x14ac:dyDescent="0.2">
      <c r="A4" s="19" t="s">
        <v>4</v>
      </c>
      <c r="B4" s="14"/>
      <c r="C4" s="20"/>
      <c r="D4" s="16">
        <v>0.96761747036218404</v>
      </c>
      <c r="E4" s="17">
        <v>0.99</v>
      </c>
      <c r="F4" s="17"/>
      <c r="G4" s="18"/>
      <c r="H4" s="20"/>
      <c r="I4" s="16">
        <v>0</v>
      </c>
      <c r="J4" s="17">
        <v>0</v>
      </c>
      <c r="K4" s="17"/>
      <c r="L4" s="18"/>
    </row>
    <row r="5" spans="1:12" ht="15" x14ac:dyDescent="0.2">
      <c r="A5" s="19" t="s">
        <v>5</v>
      </c>
      <c r="B5" s="14"/>
      <c r="C5" s="20"/>
      <c r="D5" s="16">
        <v>0</v>
      </c>
      <c r="E5" s="17">
        <v>0</v>
      </c>
      <c r="F5" s="17"/>
      <c r="G5" s="18"/>
      <c r="H5" s="20"/>
      <c r="I5" s="16">
        <v>0.45439244529499484</v>
      </c>
      <c r="J5" s="17">
        <v>0.45</v>
      </c>
      <c r="K5" s="17"/>
      <c r="L5" s="18"/>
    </row>
    <row r="6" spans="1:12" ht="45" x14ac:dyDescent="0.2">
      <c r="A6" s="13" t="s">
        <v>6</v>
      </c>
      <c r="B6" s="21">
        <v>0.06</v>
      </c>
      <c r="C6" s="22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2" t="s">
        <v>27</v>
      </c>
      <c r="I6" s="16">
        <v>0</v>
      </c>
      <c r="J6" s="17" t="s">
        <v>25</v>
      </c>
      <c r="K6" s="17" t="s">
        <v>25</v>
      </c>
      <c r="L6" s="18" t="s">
        <v>25</v>
      </c>
    </row>
    <row r="7" spans="1:12" ht="63.75" x14ac:dyDescent="0.2">
      <c r="A7" s="13" t="s">
        <v>7</v>
      </c>
      <c r="B7" s="21">
        <v>0.06</v>
      </c>
      <c r="C7" s="22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2" t="s">
        <v>24</v>
      </c>
      <c r="I7" s="16">
        <v>0.51061234714789117</v>
      </c>
      <c r="J7" s="17">
        <v>0.5</v>
      </c>
      <c r="K7" s="17">
        <v>0.44</v>
      </c>
      <c r="L7" s="18">
        <v>0.56000000000000005</v>
      </c>
    </row>
    <row r="8" spans="1:12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 t="s">
        <v>25</v>
      </c>
      <c r="K8" s="17" t="s">
        <v>25</v>
      </c>
      <c r="L8" s="18" t="s">
        <v>25</v>
      </c>
    </row>
    <row r="9" spans="1:12" ht="15" x14ac:dyDescent="0.2">
      <c r="A9" s="13" t="s">
        <v>9</v>
      </c>
      <c r="B9" s="21">
        <v>0.05</v>
      </c>
      <c r="C9" s="22"/>
      <c r="D9" s="16">
        <v>5.5286559172376951E-10</v>
      </c>
      <c r="E9" s="17" t="s">
        <v>25</v>
      </c>
      <c r="F9" s="17" t="s">
        <v>25</v>
      </c>
      <c r="G9" s="18" t="s">
        <v>25</v>
      </c>
      <c r="H9" s="22"/>
      <c r="I9" s="16">
        <v>0</v>
      </c>
      <c r="J9" s="17" t="s">
        <v>25</v>
      </c>
      <c r="K9" s="17" t="s">
        <v>25</v>
      </c>
      <c r="L9" s="18" t="s">
        <v>25</v>
      </c>
    </row>
    <row r="10" spans="1:12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</row>
    <row r="11" spans="1:12" ht="30" x14ac:dyDescent="0.2">
      <c r="A11" s="13" t="s">
        <v>11</v>
      </c>
      <c r="B11" s="21">
        <v>0.05</v>
      </c>
      <c r="C11" s="22" t="s">
        <v>29</v>
      </c>
      <c r="D11" s="16">
        <v>3.2449950526909854E-2</v>
      </c>
      <c r="E11" s="17">
        <v>0.01</v>
      </c>
      <c r="F11" s="17">
        <v>-0.04</v>
      </c>
      <c r="G11" s="18">
        <v>6.0000000000000005E-2</v>
      </c>
      <c r="H11" s="22" t="s">
        <v>29</v>
      </c>
      <c r="I11" s="16">
        <v>3.4994826954867712E-2</v>
      </c>
      <c r="J11" s="17">
        <v>0.05</v>
      </c>
      <c r="K11" s="17">
        <v>0</v>
      </c>
      <c r="L11" s="18">
        <v>0.1</v>
      </c>
    </row>
    <row r="12" spans="1:1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</row>
    <row r="13" spans="1:1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</row>
    <row r="14" spans="1:12" ht="15" x14ac:dyDescent="0.2">
      <c r="A14" s="13" t="s">
        <v>13</v>
      </c>
      <c r="B14" s="21">
        <v>0.06</v>
      </c>
      <c r="C14" s="20"/>
      <c r="D14" s="16">
        <v>0.2360118851874031</v>
      </c>
      <c r="E14" s="17">
        <v>0.25</v>
      </c>
      <c r="F14" s="17">
        <v>0.19</v>
      </c>
      <c r="G14" s="18">
        <v>0.31</v>
      </c>
      <c r="H14" s="20"/>
      <c r="I14" s="16">
        <v>0.80386715233243677</v>
      </c>
      <c r="J14" s="17">
        <v>0.9</v>
      </c>
      <c r="K14" s="17">
        <v>0.84000000000000008</v>
      </c>
      <c r="L14" s="18">
        <v>0.96</v>
      </c>
    </row>
    <row r="15" spans="1:12" ht="30.75" thickBot="1" x14ac:dyDescent="0.25">
      <c r="A15" s="35" t="s">
        <v>14</v>
      </c>
      <c r="B15" s="36"/>
      <c r="C15" s="37"/>
      <c r="D15" s="38"/>
      <c r="E15" s="39">
        <v>5.0000000000000001E-4</v>
      </c>
      <c r="F15" s="40"/>
      <c r="G15" s="41"/>
      <c r="H15" s="37"/>
      <c r="I15" s="38"/>
      <c r="J15" s="39">
        <v>2.5999999999999999E-3</v>
      </c>
      <c r="K15" s="40"/>
      <c r="L15" s="41"/>
    </row>
    <row r="16" spans="1:12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</row>
  </sheetData>
  <conditionalFormatting sqref="J12 E12">
    <cfRule type="expression" dxfId="16" priority="5">
      <formula>AND(E12&lt;&gt;0,E12&lt;&gt;1)</formula>
    </cfRule>
  </conditionalFormatting>
  <conditionalFormatting sqref="D12">
    <cfRule type="expression" dxfId="15" priority="4">
      <formula>AND(D12&lt;&gt;0,D12&lt;&gt;1)</formula>
    </cfRule>
  </conditionalFormatting>
  <conditionalFormatting sqref="D12">
    <cfRule type="expression" dxfId="14" priority="3">
      <formula>AND(D12&lt;&gt;0,D12&lt;&gt;1)</formula>
    </cfRule>
  </conditionalFormatting>
  <conditionalFormatting sqref="I12">
    <cfRule type="expression" dxfId="13" priority="2">
      <formula>AND(I12&lt;&gt;0,I12&lt;&gt;1)</formula>
    </cfRule>
  </conditionalFormatting>
  <conditionalFormatting sqref="I12">
    <cfRule type="expression" dxfId="12" priority="1">
      <formula>AND(I12&lt;&gt;0,I12&lt;&gt;1)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7D80-CFAF-43EB-87C0-031B10904182}">
  <dimension ref="A1:Q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</cols>
  <sheetData>
    <row r="1" spans="1:17" ht="36.75" thickBot="1" x14ac:dyDescent="0.3">
      <c r="A1" s="1" t="s">
        <v>0</v>
      </c>
      <c r="B1" s="2">
        <v>2024</v>
      </c>
      <c r="C1" s="3" t="s">
        <v>36</v>
      </c>
      <c r="D1" s="4"/>
      <c r="E1" s="4"/>
      <c r="F1" s="5"/>
      <c r="G1" s="6"/>
      <c r="H1" s="3" t="s">
        <v>41</v>
      </c>
      <c r="I1" s="4"/>
      <c r="J1" s="4"/>
      <c r="K1" s="5"/>
      <c r="L1" s="6"/>
      <c r="M1" s="3" t="s">
        <v>43</v>
      </c>
      <c r="N1" s="4"/>
      <c r="O1" s="4"/>
      <c r="P1" s="5"/>
      <c r="Q1" s="6"/>
    </row>
    <row r="2" spans="1:17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</row>
    <row r="3" spans="1:17" ht="89.25" x14ac:dyDescent="0.2">
      <c r="A3" s="13" t="s">
        <v>3</v>
      </c>
      <c r="B3" s="14">
        <v>0.06</v>
      </c>
      <c r="C3" s="15" t="s">
        <v>37</v>
      </c>
      <c r="D3" s="16">
        <v>0.47588436411129803</v>
      </c>
      <c r="E3" s="17">
        <v>0.5</v>
      </c>
      <c r="F3" s="17">
        <v>0.44</v>
      </c>
      <c r="G3" s="18">
        <v>0.56000000000000005</v>
      </c>
      <c r="H3" s="15" t="s">
        <v>42</v>
      </c>
      <c r="I3" s="16">
        <v>0.99081237668912214</v>
      </c>
      <c r="J3" s="17">
        <v>1</v>
      </c>
      <c r="K3" s="17">
        <v>0.94</v>
      </c>
      <c r="L3" s="18">
        <v>1</v>
      </c>
      <c r="M3" s="15" t="s">
        <v>44</v>
      </c>
      <c r="N3" s="16">
        <v>0.95758706877732624</v>
      </c>
      <c r="O3" s="17">
        <v>0.95</v>
      </c>
      <c r="P3" s="17">
        <v>0.8899999999999999</v>
      </c>
      <c r="Q3" s="18">
        <v>1</v>
      </c>
    </row>
    <row r="4" spans="1:17" ht="30" x14ac:dyDescent="0.2">
      <c r="A4" s="19" t="s">
        <v>4</v>
      </c>
      <c r="B4" s="14"/>
      <c r="C4" s="20"/>
      <c r="D4" s="16">
        <v>0.16885422232128716</v>
      </c>
      <c r="E4" s="17">
        <v>0.17499999999999999</v>
      </c>
      <c r="F4" s="17"/>
      <c r="G4" s="18"/>
      <c r="H4" s="20"/>
      <c r="I4" s="16">
        <v>0</v>
      </c>
      <c r="J4" s="17">
        <v>0</v>
      </c>
      <c r="K4" s="17"/>
      <c r="L4" s="18"/>
      <c r="M4" s="20"/>
      <c r="N4" s="16">
        <v>0</v>
      </c>
      <c r="O4" s="17">
        <v>0</v>
      </c>
      <c r="P4" s="17"/>
      <c r="Q4" s="18"/>
    </row>
    <row r="5" spans="1:17" ht="15" x14ac:dyDescent="0.2">
      <c r="A5" s="19" t="s">
        <v>5</v>
      </c>
      <c r="B5" s="14"/>
      <c r="C5" s="20"/>
      <c r="D5" s="16">
        <v>0.30703014179001081</v>
      </c>
      <c r="E5" s="17">
        <v>0.32500000000000001</v>
      </c>
      <c r="F5" s="17"/>
      <c r="G5" s="18"/>
      <c r="H5" s="20"/>
      <c r="I5" s="16">
        <v>0.99081237668912214</v>
      </c>
      <c r="J5" s="17">
        <v>1</v>
      </c>
      <c r="K5" s="17"/>
      <c r="L5" s="18"/>
      <c r="M5" s="20"/>
      <c r="N5" s="16">
        <v>0.95758706877732624</v>
      </c>
      <c r="O5" s="17">
        <v>0.95</v>
      </c>
      <c r="P5" s="17"/>
      <c r="Q5" s="18"/>
    </row>
    <row r="6" spans="1:17" ht="76.5" x14ac:dyDescent="0.2">
      <c r="A6" s="13" t="s">
        <v>6</v>
      </c>
      <c r="B6" s="21">
        <v>0.06</v>
      </c>
      <c r="C6" s="22" t="s">
        <v>38</v>
      </c>
      <c r="D6" s="16">
        <v>0.30565528971059541</v>
      </c>
      <c r="E6" s="17">
        <v>0.31</v>
      </c>
      <c r="F6" s="17">
        <v>0.25</v>
      </c>
      <c r="G6" s="18">
        <v>0.37</v>
      </c>
      <c r="H6" s="22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22" t="s">
        <v>27</v>
      </c>
      <c r="N6" s="16">
        <v>0</v>
      </c>
      <c r="O6" s="17" t="s">
        <v>25</v>
      </c>
      <c r="P6" s="17" t="s">
        <v>25</v>
      </c>
      <c r="Q6" s="18" t="s">
        <v>25</v>
      </c>
    </row>
    <row r="7" spans="1:17" ht="45" x14ac:dyDescent="0.2">
      <c r="A7" s="13" t="s">
        <v>7</v>
      </c>
      <c r="B7" s="21">
        <v>0.06</v>
      </c>
      <c r="C7" s="22" t="s">
        <v>39</v>
      </c>
      <c r="D7" s="16">
        <v>8.7768150217167426E-2</v>
      </c>
      <c r="E7" s="17">
        <v>0.09</v>
      </c>
      <c r="F7" s="17">
        <v>0.03</v>
      </c>
      <c r="G7" s="18">
        <v>0.15</v>
      </c>
      <c r="H7" s="22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22" t="s">
        <v>27</v>
      </c>
      <c r="N7" s="16">
        <v>0</v>
      </c>
      <c r="O7" s="17" t="s">
        <v>25</v>
      </c>
      <c r="P7" s="17" t="s">
        <v>25</v>
      </c>
      <c r="Q7" s="18" t="s">
        <v>25</v>
      </c>
    </row>
    <row r="8" spans="1:17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 t="s">
        <v>25</v>
      </c>
      <c r="K8" s="17" t="s">
        <v>25</v>
      </c>
      <c r="L8" s="18" t="s">
        <v>25</v>
      </c>
      <c r="M8" s="22"/>
      <c r="N8" s="16">
        <v>0</v>
      </c>
      <c r="O8" s="17" t="s">
        <v>25</v>
      </c>
      <c r="P8" s="17" t="s">
        <v>25</v>
      </c>
      <c r="Q8" s="18" t="s">
        <v>25</v>
      </c>
    </row>
    <row r="9" spans="1:17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0</v>
      </c>
      <c r="J9" s="17" t="s">
        <v>25</v>
      </c>
      <c r="K9" s="17" t="s">
        <v>25</v>
      </c>
      <c r="L9" s="18" t="s">
        <v>25</v>
      </c>
      <c r="M9" s="22"/>
      <c r="N9" s="16">
        <v>0</v>
      </c>
      <c r="O9" s="17" t="s">
        <v>25</v>
      </c>
      <c r="P9" s="17" t="s">
        <v>25</v>
      </c>
      <c r="Q9" s="18" t="s">
        <v>25</v>
      </c>
    </row>
    <row r="10" spans="1:17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  <c r="M10" s="22"/>
      <c r="N10" s="16">
        <v>0</v>
      </c>
      <c r="O10" s="17">
        <v>0</v>
      </c>
      <c r="P10" s="17" t="s">
        <v>25</v>
      </c>
      <c r="Q10" s="18">
        <v>0.05</v>
      </c>
    </row>
    <row r="11" spans="1:17" ht="51" x14ac:dyDescent="0.2">
      <c r="A11" s="13" t="s">
        <v>11</v>
      </c>
      <c r="B11" s="21">
        <v>0.05</v>
      </c>
      <c r="C11" s="22" t="s">
        <v>40</v>
      </c>
      <c r="D11" s="16">
        <v>0.13069270556073395</v>
      </c>
      <c r="E11" s="17">
        <v>0.1</v>
      </c>
      <c r="F11" s="17">
        <v>0.05</v>
      </c>
      <c r="G11" s="18">
        <v>0.15000000000000002</v>
      </c>
      <c r="H11" s="22" t="s">
        <v>29</v>
      </c>
      <c r="I11" s="16">
        <v>8.3058676066420142E-3</v>
      </c>
      <c r="J11" s="17">
        <v>0</v>
      </c>
      <c r="K11" s="17">
        <v>-0.05</v>
      </c>
      <c r="L11" s="18">
        <v>0.05</v>
      </c>
      <c r="M11" s="22" t="s">
        <v>29</v>
      </c>
      <c r="N11" s="16">
        <v>4.241293122267361E-2</v>
      </c>
      <c r="O11" s="17">
        <v>0.05</v>
      </c>
      <c r="P11" s="17">
        <v>0</v>
      </c>
      <c r="Q11" s="18">
        <v>0.1</v>
      </c>
    </row>
    <row r="12" spans="1:1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</row>
    <row r="13" spans="1:17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</row>
    <row r="14" spans="1:17" ht="15" x14ac:dyDescent="0.2">
      <c r="A14" s="13" t="s">
        <v>13</v>
      </c>
      <c r="B14" s="21">
        <v>0.06</v>
      </c>
      <c r="C14" s="20"/>
      <c r="D14" s="16">
        <v>0.24410119294032878</v>
      </c>
      <c r="E14" s="17">
        <v>0.25</v>
      </c>
      <c r="F14" s="17">
        <v>0.19</v>
      </c>
      <c r="G14" s="18">
        <v>0.31</v>
      </c>
      <c r="H14" s="20"/>
      <c r="I14" s="16">
        <v>0.98647417462157383</v>
      </c>
      <c r="J14" s="17">
        <v>1</v>
      </c>
      <c r="K14" s="17">
        <v>0.94</v>
      </c>
      <c r="L14" s="18">
        <v>1.06</v>
      </c>
      <c r="M14" s="20"/>
      <c r="N14" s="16">
        <v>0.96934625893944371</v>
      </c>
      <c r="O14" s="17">
        <v>0.95</v>
      </c>
      <c r="P14" s="17">
        <v>0.8899999999999999</v>
      </c>
      <c r="Q14" s="18">
        <v>1.01</v>
      </c>
    </row>
    <row r="15" spans="1:17" ht="30.75" thickBot="1" x14ac:dyDescent="0.25">
      <c r="A15" s="35" t="s">
        <v>14</v>
      </c>
      <c r="B15" s="36"/>
      <c r="C15" s="37"/>
      <c r="D15" s="38"/>
      <c r="E15" s="39">
        <v>1.5E-3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4.0000000000000001E-3</v>
      </c>
      <c r="P15" s="40"/>
      <c r="Q15" s="41"/>
    </row>
    <row r="16" spans="1:17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</row>
  </sheetData>
  <conditionalFormatting sqref="E12">
    <cfRule type="expression" dxfId="11" priority="9">
      <formula>AND(E12&lt;&gt;0,E12&lt;&gt;1)</formula>
    </cfRule>
  </conditionalFormatting>
  <conditionalFormatting sqref="D12">
    <cfRule type="expression" dxfId="10" priority="8">
      <formula>AND(D12&lt;&gt;0,D12&lt;&gt;1)</formula>
    </cfRule>
  </conditionalFormatting>
  <conditionalFormatting sqref="D12">
    <cfRule type="expression" dxfId="9" priority="7">
      <formula>AND(D12&lt;&gt;0,D12&lt;&gt;1)</formula>
    </cfRule>
  </conditionalFormatting>
  <conditionalFormatting sqref="J12">
    <cfRule type="expression" dxfId="8" priority="6">
      <formula>AND(J12&lt;&gt;0,J12&lt;&gt;1)</formula>
    </cfRule>
  </conditionalFormatting>
  <conditionalFormatting sqref="I12">
    <cfRule type="expression" dxfId="7" priority="5">
      <formula>AND(I12&lt;&gt;0,I12&lt;&gt;1)</formula>
    </cfRule>
  </conditionalFormatting>
  <conditionalFormatting sqref="I12">
    <cfRule type="expression" dxfId="6" priority="4">
      <formula>AND(I12&lt;&gt;0,I12&lt;&gt;1)</formula>
    </cfRule>
  </conditionalFormatting>
  <conditionalFormatting sqref="O12">
    <cfRule type="expression" dxfId="5" priority="3">
      <formula>AND(O12&lt;&gt;0,O12&lt;&gt;1)</formula>
    </cfRule>
  </conditionalFormatting>
  <conditionalFormatting sqref="N12">
    <cfRule type="expression" dxfId="4" priority="2">
      <formula>AND(N12&lt;&gt;0,N12&lt;&gt;1)</formula>
    </cfRule>
  </conditionalFormatting>
  <conditionalFormatting sqref="N12">
    <cfRule type="expression" dxfId="3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4E52-C19A-4054-8024-0EAD3EDCECAB}">
  <dimension ref="A1:G16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</cols>
  <sheetData>
    <row r="1" spans="1:7" ht="36.75" thickBot="1" x14ac:dyDescent="0.3">
      <c r="A1" s="1" t="s">
        <v>0</v>
      </c>
      <c r="B1" s="2">
        <v>2024</v>
      </c>
      <c r="C1" s="3" t="s">
        <v>45</v>
      </c>
      <c r="D1" s="4"/>
      <c r="E1" s="4"/>
      <c r="F1" s="5"/>
      <c r="G1" s="6"/>
    </row>
    <row r="2" spans="1:7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</row>
    <row r="3" spans="1:7" ht="45" x14ac:dyDescent="0.2">
      <c r="A3" s="13" t="s">
        <v>3</v>
      </c>
      <c r="B3" s="14">
        <v>0.06</v>
      </c>
      <c r="C3" s="15" t="s">
        <v>46</v>
      </c>
      <c r="D3" s="16">
        <v>0.86163509960517648</v>
      </c>
      <c r="E3" s="17">
        <v>0.85</v>
      </c>
      <c r="F3" s="17">
        <v>0.79</v>
      </c>
      <c r="G3" s="18">
        <v>0.90999999999999992</v>
      </c>
    </row>
    <row r="4" spans="1:7" ht="30" x14ac:dyDescent="0.2">
      <c r="A4" s="19" t="s">
        <v>4</v>
      </c>
      <c r="B4" s="14"/>
      <c r="C4" s="20"/>
      <c r="D4" s="16">
        <v>0</v>
      </c>
      <c r="E4" s="17">
        <v>0</v>
      </c>
      <c r="F4" s="17"/>
      <c r="G4" s="18"/>
    </row>
    <row r="5" spans="1:7" ht="15" x14ac:dyDescent="0.2">
      <c r="A5" s="19" t="s">
        <v>5</v>
      </c>
      <c r="B5" s="14"/>
      <c r="C5" s="20"/>
      <c r="D5" s="16">
        <v>0.86163509960517648</v>
      </c>
      <c r="E5" s="17">
        <v>0.85</v>
      </c>
      <c r="F5" s="17"/>
      <c r="G5" s="18"/>
    </row>
    <row r="6" spans="1:7" ht="45" x14ac:dyDescent="0.2">
      <c r="A6" s="13" t="s">
        <v>6</v>
      </c>
      <c r="B6" s="21">
        <v>0.06</v>
      </c>
      <c r="C6" s="22" t="s">
        <v>27</v>
      </c>
      <c r="D6" s="16">
        <v>0</v>
      </c>
      <c r="E6" s="17" t="s">
        <v>25</v>
      </c>
      <c r="F6" s="17" t="s">
        <v>25</v>
      </c>
      <c r="G6" s="18" t="s">
        <v>25</v>
      </c>
    </row>
    <row r="7" spans="1:7" ht="45" x14ac:dyDescent="0.2">
      <c r="A7" s="13" t="s">
        <v>7</v>
      </c>
      <c r="B7" s="21">
        <v>0.06</v>
      </c>
      <c r="C7" s="22" t="s">
        <v>27</v>
      </c>
      <c r="D7" s="16">
        <v>0</v>
      </c>
      <c r="E7" s="17" t="s">
        <v>25</v>
      </c>
      <c r="F7" s="17" t="s">
        <v>25</v>
      </c>
      <c r="G7" s="18" t="s">
        <v>25</v>
      </c>
    </row>
    <row r="8" spans="1:7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</row>
    <row r="9" spans="1:7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</row>
    <row r="10" spans="1:7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</row>
    <row r="11" spans="1:7" ht="30" x14ac:dyDescent="0.2">
      <c r="A11" s="13" t="s">
        <v>11</v>
      </c>
      <c r="B11" s="21">
        <v>0.05</v>
      </c>
      <c r="C11" s="22" t="s">
        <v>29</v>
      </c>
      <c r="D11" s="16">
        <v>0.13836489217637593</v>
      </c>
      <c r="E11" s="17">
        <v>0.15</v>
      </c>
      <c r="F11" s="17">
        <v>9.9999999999999992E-2</v>
      </c>
      <c r="G11" s="18">
        <v>0.2</v>
      </c>
    </row>
    <row r="12" spans="1: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</row>
    <row r="13" spans="1:7" ht="15" x14ac:dyDescent="0.2">
      <c r="A13" s="19"/>
      <c r="B13" s="30"/>
      <c r="C13" s="31"/>
      <c r="D13" s="32"/>
      <c r="E13" s="33"/>
      <c r="F13" s="33"/>
      <c r="G13" s="34"/>
    </row>
    <row r="14" spans="1:7" ht="15" x14ac:dyDescent="0.2">
      <c r="A14" s="13" t="s">
        <v>13</v>
      </c>
      <c r="B14" s="21">
        <v>0.06</v>
      </c>
      <c r="C14" s="20"/>
      <c r="D14" s="16">
        <v>0.29938119955805409</v>
      </c>
      <c r="E14" s="17">
        <v>0.28000000000000003</v>
      </c>
      <c r="F14" s="17">
        <v>0.22000000000000003</v>
      </c>
      <c r="G14" s="18">
        <v>0.34</v>
      </c>
    </row>
    <row r="15" spans="1:7" ht="30.75" thickBot="1" x14ac:dyDescent="0.25">
      <c r="A15" s="35" t="s">
        <v>14</v>
      </c>
      <c r="B15" s="36"/>
      <c r="C15" s="37"/>
      <c r="D15" s="38"/>
      <c r="E15" s="39">
        <v>0.01</v>
      </c>
      <c r="F15" s="40"/>
      <c r="G15" s="41"/>
    </row>
    <row r="16" spans="1:7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</row>
  </sheetData>
  <conditionalFormatting sqref="E12">
    <cfRule type="expression" dxfId="2" priority="3">
      <formula>AND(E12&lt;&gt;0,E12&lt;&gt;1)</formula>
    </cfRule>
  </conditionalFormatting>
  <conditionalFormatting sqref="D12">
    <cfRule type="expression" dxfId="1" priority="2">
      <formula>AND(D12&lt;&gt;0,D12&lt;&gt;1)</formula>
    </cfRule>
  </conditionalFormatting>
  <conditionalFormatting sqref="D12">
    <cfRule type="expression" dxfId="0" priority="1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CUSTOMERS-1583-16301</_dlc_DocId>
    <_dlc_DocIdUrl xmlns="21e3d994-461f-4904-b5d3-a3b49fb448a4">
      <Url>https://www-edit.harel-ext.com/long-term-savings/study-funds/plans/regular-army/_layouts/15/DocIdRedir.aspx?ID=CUSTOMERS-1583-16301</Url>
      <Description>CUSTOMERS-1583-16301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DA15E5-9313-445E-B0B0-829ED5738129}">
  <ds:schemaRefs>
    <ds:schemaRef ds:uri="http://schemas.microsoft.com/office/2006/metadata/properties"/>
    <ds:schemaRef ds:uri="http://purl.org/dc/terms/"/>
    <ds:schemaRef ds:uri="21e3d994-461f-4904-b5d3-a3b49fb448a4"/>
    <ds:schemaRef ds:uri="http://schemas.microsoft.com/sharepoint/v3"/>
    <ds:schemaRef ds:uri="http://schemas.microsoft.com/office/2006/documentManagement/types"/>
    <ds:schemaRef ds:uri="0B10FADA-9D34-4C2D-8090-B9DB555D658B"/>
    <ds:schemaRef ds:uri="http://schemas.openxmlformats.org/package/2006/metadata/core-properties"/>
    <ds:schemaRef ds:uri="0b10fada-9d34-4c2d-8090-b9db555d658b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3E19295-7D17-4D12-8B1D-79AF3B910B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413069-2B8E-4FAB-B78B-8C81FBF997B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06BF5AD-0D0D-4BD4-84BD-CCC96B64F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מירי הדר דגן</dc:creator>
  <cp:lastModifiedBy>קארין לרנר</cp:lastModifiedBy>
  <dcterms:created xsi:type="dcterms:W3CDTF">2024-07-25T12:27:33Z</dcterms:created>
  <dcterms:modified xsi:type="dcterms:W3CDTF">2025-05-07T09:24:17Z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11170024-9527-4198-9baf-4f33c81c4cc5</vt:lpwstr>
  </property>
</Properties>
</file>