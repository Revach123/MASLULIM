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H:\סלייס\חומר לאתר סלייס\"/>
    </mc:Choice>
  </mc:AlternateContent>
  <xr:revisionPtr revIDLastSave="0" documentId="8_{0CE9CBF6-568E-4EB9-82C2-43A696477516}" xr6:coauthVersionLast="36" xr6:coauthVersionMax="36" xr10:uidLastSave="{00000000-0000-0000-0000-000000000000}"/>
  <bookViews>
    <workbookView xWindow="0" yWindow="0" windowWidth="28800" windowHeight="11685" xr2:uid="{00000000-000D-0000-FFFF-FFFF00000000}"/>
  </bookViews>
  <sheets>
    <sheet name="חסכון לכל ילד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D43" i="1"/>
  <c r="D14" i="1"/>
  <c r="C43" i="1"/>
  <c r="C28" i="1"/>
  <c r="C14" i="1" l="1"/>
</calcChain>
</file>

<file path=xl/sharedStrings.xml><?xml version="1.0" encoding="utf-8"?>
<sst xmlns="http://schemas.openxmlformats.org/spreadsheetml/2006/main" count="103" uniqueCount="49">
  <si>
    <t>קידוד קופה</t>
  </si>
  <si>
    <t>שם הקופה</t>
  </si>
  <si>
    <t>טווח סטייה מותר</t>
  </si>
  <si>
    <t>גבולות שיעור החשיפה הצפויה</t>
  </si>
  <si>
    <t>מדדי ייחוס</t>
  </si>
  <si>
    <t>+/-6%</t>
  </si>
  <si>
    <t>+/-5%</t>
  </si>
  <si>
    <t>מדד ממשלתי כללי</t>
  </si>
  <si>
    <t>מזומן</t>
  </si>
  <si>
    <t>אחר</t>
  </si>
  <si>
    <t>0%-6%</t>
  </si>
  <si>
    <t>סה"כ</t>
  </si>
  <si>
    <t>מטח</t>
  </si>
  <si>
    <t>75% - דולר
25% - יורו</t>
  </si>
  <si>
    <t>20%-30%</t>
  </si>
  <si>
    <t>0%-5%</t>
  </si>
  <si>
    <t xml:space="preserve"> </t>
  </si>
  <si>
    <t>מסלולים כלליים</t>
  </si>
  <si>
    <t>קל גמל חסכון לכל ילד חוסכים המעדיפים סיכון מועט</t>
  </si>
  <si>
    <t>קל גמל חסכון לכל ילד חוסכים המעדיפים סיכון מוגבר</t>
  </si>
  <si>
    <t>קל גמל חסכון לכל ילד חוסכים המעדיפים סיכון בינוני</t>
  </si>
  <si>
    <t xml:space="preserve">מדד קונצרני כללי - מאגר
</t>
  </si>
  <si>
    <t>מדד ת"א 125 - 50%
S&amp;P 500 - 50%</t>
  </si>
  <si>
    <t>50% מדד קונצרני כללי - מאגר  
LQD -50%</t>
  </si>
  <si>
    <t>21%-9%</t>
  </si>
  <si>
    <t>26%-14%</t>
  </si>
  <si>
    <t>41%-29%</t>
  </si>
  <si>
    <t>24%-36%</t>
  </si>
  <si>
    <t>תל גוב- מק"מ</t>
  </si>
  <si>
    <t>מהות השינוי</t>
  </si>
  <si>
    <t>91%-103%</t>
  </si>
  <si>
    <t>39%-51%</t>
  </si>
  <si>
    <t>17%-33%</t>
  </si>
  <si>
    <t>מניות(קרנות סל, ETF )</t>
  </si>
  <si>
    <t>אג"ח ממשלתי(קרנות סל,קרנות נאמנות,אג"ח)</t>
  </si>
  <si>
    <t>אג"ח קונצרני(קרנות סל)</t>
  </si>
  <si>
    <t>השקעות ESG</t>
  </si>
  <si>
    <t>הקופה אינה מתחשבת בהשקעות הקופה בשיקולי ESG וכך גם לא בשיקולי האקלים וכי הקופה אינה נוקטת במדיניות של הימנעות גורפת מהשקעות בענפים מסוימים בשל שיקולי ESG</t>
  </si>
  <si>
    <t>שיעור חשיפה צפוי בשנת 2025</t>
  </si>
  <si>
    <t>9%-21%</t>
  </si>
  <si>
    <t>50%-60%</t>
  </si>
  <si>
    <t>הורדת חשיפה ב-5%</t>
  </si>
  <si>
    <t>הגדלת חשיפה ב-5%</t>
  </si>
  <si>
    <t>514767490000000000113420011344</t>
  </si>
  <si>
    <t>514767490000000000113420011345</t>
  </si>
  <si>
    <t>514767490000000000113420011343</t>
  </si>
  <si>
    <t>מדיניות השקעות צפויה לשנת 2025</t>
  </si>
  <si>
    <t>מגבלת עמלת ניהול חיצוני לשנת 2025</t>
  </si>
  <si>
    <t>שיעור חשיפה ליום 31.12.24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</si>
</sst>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name val="Arial"/>
      <family val="2"/>
    </font>
    <font>
      <b/>
      <i/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charset val="177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7" xfId="0" applyFont="1" applyFill="1" applyBorder="1" applyAlignment="1">
      <alignment horizontal="center" vertical="center" readingOrder="2"/>
    </xf>
    <xf numFmtId="0" fontId="8" fillId="0" borderId="8" xfId="3" applyFont="1" applyFill="1" applyBorder="1" applyAlignment="1">
      <alignment horizontal="center" vertical="center" wrapText="1" readingOrder="2"/>
    </xf>
    <xf numFmtId="0" fontId="8" fillId="0" borderId="8" xfId="3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 readingOrder="2"/>
    </xf>
    <xf numFmtId="0" fontId="6" fillId="3" borderId="5" xfId="0" applyFont="1" applyFill="1" applyBorder="1" applyAlignment="1">
      <alignment horizontal="center" vertical="center" readingOrder="2"/>
    </xf>
    <xf numFmtId="0" fontId="3" fillId="0" borderId="13" xfId="0" applyFont="1" applyFill="1" applyBorder="1" applyAlignment="1">
      <alignment horizontal="center" vertical="center" readingOrder="2"/>
    </xf>
    <xf numFmtId="0" fontId="8" fillId="0" borderId="14" xfId="3" applyFont="1" applyFill="1" applyBorder="1" applyAlignment="1">
      <alignment horizontal="center" vertical="center" readingOrder="2"/>
    </xf>
    <xf numFmtId="0" fontId="3" fillId="0" borderId="16" xfId="0" applyFont="1" applyFill="1" applyBorder="1" applyAlignment="1">
      <alignment horizontal="center" vertical="center"/>
    </xf>
    <xf numFmtId="0" fontId="8" fillId="0" borderId="17" xfId="3" applyFont="1" applyFill="1" applyBorder="1" applyAlignment="1">
      <alignment horizontal="center" vertical="center" wrapText="1" readingOrder="2"/>
    </xf>
    <xf numFmtId="0" fontId="6" fillId="2" borderId="19" xfId="0" applyFont="1" applyFill="1" applyBorder="1" applyAlignment="1">
      <alignment horizontal="center" vertical="center" readingOrder="2"/>
    </xf>
    <xf numFmtId="0" fontId="6" fillId="2" borderId="19" xfId="0" applyFont="1" applyFill="1" applyBorder="1" applyAlignment="1">
      <alignment horizontal="center" vertical="center"/>
    </xf>
    <xf numFmtId="0" fontId="10" fillId="2" borderId="20" xfId="3" applyFont="1" applyFill="1" applyBorder="1" applyAlignment="1">
      <alignment horizontal="center" vertical="center" readingOrder="2"/>
    </xf>
    <xf numFmtId="0" fontId="3" fillId="0" borderId="7" xfId="0" applyFont="1" applyFill="1" applyBorder="1" applyAlignment="1">
      <alignment horizontal="center" vertical="center" readingOrder="1"/>
    </xf>
    <xf numFmtId="0" fontId="3" fillId="0" borderId="13" xfId="0" applyFont="1" applyFill="1" applyBorder="1" applyAlignment="1">
      <alignment horizontal="center" vertical="center" readingOrder="1"/>
    </xf>
    <xf numFmtId="0" fontId="6" fillId="2" borderId="19" xfId="0" applyFont="1" applyFill="1" applyBorder="1" applyAlignment="1">
      <alignment horizontal="center" vertical="center" readingOrder="1"/>
    </xf>
    <xf numFmtId="0" fontId="3" fillId="0" borderId="16" xfId="0" applyFont="1" applyFill="1" applyBorder="1" applyAlignment="1">
      <alignment horizontal="center" vertical="center" readingOrder="1"/>
    </xf>
    <xf numFmtId="0" fontId="9" fillId="0" borderId="0" xfId="0" applyFont="1" applyFill="1"/>
    <xf numFmtId="9" fontId="9" fillId="0" borderId="0" xfId="1" applyFont="1" applyFill="1"/>
    <xf numFmtId="10" fontId="6" fillId="2" borderId="20" xfId="3" applyNumberFormat="1" applyFont="1" applyFill="1" applyBorder="1" applyAlignment="1">
      <alignment horizontal="center" vertical="center" readingOrder="2"/>
    </xf>
    <xf numFmtId="0" fontId="8" fillId="0" borderId="8" xfId="3" applyFont="1" applyBorder="1" applyAlignment="1">
      <alignment horizontal="center" vertical="center" wrapText="1" readingOrder="2"/>
    </xf>
    <xf numFmtId="10" fontId="0" fillId="0" borderId="0" xfId="0" applyNumberFormat="1"/>
    <xf numFmtId="9" fontId="0" fillId="0" borderId="0" xfId="1" applyFont="1"/>
    <xf numFmtId="0" fontId="6" fillId="3" borderId="22" xfId="0" applyFont="1" applyFill="1" applyBorder="1" applyAlignment="1">
      <alignment horizontal="center" vertical="center" wrapText="1" readingOrder="2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3" fillId="0" borderId="16" xfId="0" applyFont="1" applyBorder="1" applyAlignment="1">
      <alignment horizontal="center" vertical="center" readingOrder="1"/>
    </xf>
    <xf numFmtId="0" fontId="3" fillId="0" borderId="7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1"/>
    </xf>
    <xf numFmtId="0" fontId="8" fillId="0" borderId="8" xfId="3" applyFont="1" applyBorder="1" applyAlignment="1">
      <alignment horizontal="center" vertical="center" readingOrder="2"/>
    </xf>
    <xf numFmtId="0" fontId="3" fillId="0" borderId="13" xfId="0" applyFont="1" applyBorder="1" applyAlignment="1">
      <alignment horizontal="center" vertical="center" readingOrder="1"/>
    </xf>
    <xf numFmtId="0" fontId="3" fillId="0" borderId="13" xfId="0" applyFont="1" applyBorder="1" applyAlignment="1">
      <alignment horizontal="center" vertical="center" readingOrder="2"/>
    </xf>
    <xf numFmtId="0" fontId="8" fillId="0" borderId="14" xfId="3" applyFont="1" applyBorder="1" applyAlignment="1">
      <alignment horizontal="center" vertical="center" readingOrder="2"/>
    </xf>
    <xf numFmtId="0" fontId="3" fillId="0" borderId="16" xfId="0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 wrapText="1" readingOrder="2"/>
    </xf>
    <xf numFmtId="0" fontId="4" fillId="2" borderId="26" xfId="2" applyFont="1" applyFill="1" applyBorder="1" applyAlignment="1">
      <alignment horizontal="center" vertical="center"/>
    </xf>
    <xf numFmtId="0" fontId="4" fillId="2" borderId="27" xfId="2" applyFont="1" applyFill="1" applyBorder="1" applyAlignment="1">
      <alignment horizontal="center" vertical="center"/>
    </xf>
    <xf numFmtId="164" fontId="3" fillId="0" borderId="13" xfId="1" applyNumberFormat="1" applyFont="1" applyFill="1" applyBorder="1" applyAlignment="1">
      <alignment horizontal="center" vertical="center" readingOrder="2"/>
    </xf>
    <xf numFmtId="164" fontId="6" fillId="2" borderId="19" xfId="1" applyNumberFormat="1" applyFont="1" applyFill="1" applyBorder="1" applyAlignment="1">
      <alignment horizontal="center" vertical="center" readingOrder="2"/>
    </xf>
    <xf numFmtId="164" fontId="3" fillId="0" borderId="16" xfId="1" applyNumberFormat="1" applyFont="1" applyFill="1" applyBorder="1" applyAlignment="1">
      <alignment horizontal="center" vertical="center" readingOrder="2"/>
    </xf>
    <xf numFmtId="164" fontId="3" fillId="0" borderId="7" xfId="1" applyNumberFormat="1" applyFont="1" applyFill="1" applyBorder="1" applyAlignment="1">
      <alignment horizontal="center" vertical="center" readingOrder="2"/>
    </xf>
    <xf numFmtId="0" fontId="12" fillId="0" borderId="0" xfId="0" applyFont="1"/>
    <xf numFmtId="0" fontId="0" fillId="0" borderId="0" xfId="0" applyBorder="1" applyAlignment="1">
      <alignment horizontal="right" wrapText="1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 readingOrder="2"/>
    </xf>
    <xf numFmtId="0" fontId="6" fillId="3" borderId="21" xfId="0" applyFont="1" applyFill="1" applyBorder="1" applyAlignment="1">
      <alignment vertical="center" readingOrder="2"/>
    </xf>
    <xf numFmtId="0" fontId="6" fillId="3" borderId="28" xfId="0" applyFont="1" applyFill="1" applyBorder="1" applyAlignment="1">
      <alignment horizontal="center" vertical="center" readingOrder="2"/>
    </xf>
    <xf numFmtId="0" fontId="6" fillId="3" borderId="28" xfId="0" applyFont="1" applyFill="1" applyBorder="1" applyAlignment="1">
      <alignment horizontal="center" vertical="center" wrapText="1" readingOrder="2"/>
    </xf>
    <xf numFmtId="0" fontId="6" fillId="3" borderId="29" xfId="0" applyFont="1" applyFill="1" applyBorder="1" applyAlignment="1">
      <alignment horizontal="center" vertical="center" readingOrder="2"/>
    </xf>
    <xf numFmtId="0" fontId="6" fillId="3" borderId="31" xfId="0" applyFont="1" applyFill="1" applyBorder="1" applyAlignment="1">
      <alignment horizontal="center" vertical="center" wrapText="1" readingOrder="2"/>
    </xf>
    <xf numFmtId="164" fontId="3" fillId="0" borderId="25" xfId="1" applyNumberFormat="1" applyFont="1" applyFill="1" applyBorder="1" applyAlignment="1">
      <alignment horizontal="center" vertical="center" readingOrder="2"/>
    </xf>
    <xf numFmtId="164" fontId="6" fillId="2" borderId="21" xfId="1" applyNumberFormat="1" applyFont="1" applyFill="1" applyBorder="1" applyAlignment="1">
      <alignment horizontal="center" vertical="center" readingOrder="2"/>
    </xf>
    <xf numFmtId="164" fontId="3" fillId="0" borderId="30" xfId="1" applyNumberFormat="1" applyFont="1" applyFill="1" applyBorder="1" applyAlignment="1">
      <alignment horizontal="center" vertical="center" readingOrder="2"/>
    </xf>
    <xf numFmtId="0" fontId="6" fillId="3" borderId="22" xfId="2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 readingOrder="2"/>
    </xf>
    <xf numFmtId="0" fontId="4" fillId="2" borderId="22" xfId="2" applyFont="1" applyFill="1" applyBorder="1" applyAlignment="1">
      <alignment horizontal="center" vertical="center"/>
    </xf>
    <xf numFmtId="0" fontId="4" fillId="2" borderId="24" xfId="2" applyFont="1" applyFill="1" applyBorder="1" applyAlignment="1">
      <alignment horizontal="center" vertical="center"/>
    </xf>
    <xf numFmtId="164" fontId="3" fillId="0" borderId="32" xfId="1" applyNumberFormat="1" applyFont="1" applyFill="1" applyBorder="1" applyAlignment="1">
      <alignment horizontal="center" vertical="center" readingOrder="2"/>
    </xf>
    <xf numFmtId="0" fontId="6" fillId="3" borderId="33" xfId="0" applyFont="1" applyFill="1" applyBorder="1" applyAlignment="1">
      <alignment horizontal="center" vertical="center" readingOrder="2"/>
    </xf>
    <xf numFmtId="0" fontId="11" fillId="0" borderId="0" xfId="0" applyFont="1" applyFill="1" applyBorder="1" applyAlignment="1">
      <alignment vertical="center" wrapText="1"/>
    </xf>
    <xf numFmtId="49" fontId="5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wrapText="1"/>
    </xf>
    <xf numFmtId="49" fontId="5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/>
    <xf numFmtId="0" fontId="0" fillId="0" borderId="28" xfId="0" applyBorder="1"/>
    <xf numFmtId="0" fontId="0" fillId="0" borderId="0" xfId="0" applyFill="1" applyBorder="1"/>
    <xf numFmtId="0" fontId="6" fillId="3" borderId="3" xfId="0" applyFont="1" applyFill="1" applyBorder="1" applyAlignment="1">
      <alignment horizontal="center" vertical="center" wrapText="1" readingOrder="2"/>
    </xf>
    <xf numFmtId="164" fontId="3" fillId="0" borderId="6" xfId="1" applyNumberFormat="1" applyFont="1" applyFill="1" applyBorder="1" applyAlignment="1">
      <alignment horizontal="center" vertical="center" readingOrder="2"/>
    </xf>
    <xf numFmtId="164" fontId="6" fillId="2" borderId="18" xfId="1" applyNumberFormat="1" applyFont="1" applyFill="1" applyBorder="1" applyAlignment="1">
      <alignment horizontal="center" vertical="center" readingOrder="2"/>
    </xf>
    <xf numFmtId="164" fontId="3" fillId="0" borderId="15" xfId="1" applyNumberFormat="1" applyFont="1" applyFill="1" applyBorder="1" applyAlignment="1">
      <alignment horizontal="center" vertical="center" readingOrder="2"/>
    </xf>
    <xf numFmtId="0" fontId="0" fillId="0" borderId="0" xfId="0" applyBorder="1"/>
    <xf numFmtId="164" fontId="3" fillId="0" borderId="12" xfId="1" applyNumberFormat="1" applyFont="1" applyFill="1" applyBorder="1" applyAlignment="1">
      <alignment horizontal="center" vertical="center" readingOrder="2"/>
    </xf>
    <xf numFmtId="0" fontId="6" fillId="3" borderId="18" xfId="0" applyFont="1" applyFill="1" applyBorder="1" applyAlignment="1">
      <alignment vertical="center" readingOrder="2"/>
    </xf>
    <xf numFmtId="9" fontId="9" fillId="0" borderId="0" xfId="1" applyFont="1" applyFill="1" applyBorder="1"/>
    <xf numFmtId="0" fontId="9" fillId="0" borderId="0" xfId="0" applyFont="1" applyBorder="1"/>
    <xf numFmtId="0" fontId="9" fillId="0" borderId="34" xfId="0" applyFont="1" applyBorder="1"/>
    <xf numFmtId="0" fontId="0" fillId="0" borderId="0" xfId="0" applyFill="1" applyBorder="1" applyAlignment="1">
      <alignment horizontal="center" wrapText="1"/>
    </xf>
    <xf numFmtId="0" fontId="0" fillId="0" borderId="34" xfId="0" applyBorder="1"/>
    <xf numFmtId="49" fontId="5" fillId="2" borderId="9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0" xfId="0" applyBorder="1" applyAlignment="1">
      <alignment horizontal="right" wrapText="1"/>
    </xf>
    <xf numFmtId="0" fontId="0" fillId="0" borderId="11" xfId="0" applyBorder="1" applyAlignment="1">
      <alignment horizontal="right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</cellXfs>
  <cellStyles count="6">
    <cellStyle name="Normal" xfId="0" builtinId="0"/>
    <cellStyle name="Normal 2" xfId="3" xr:uid="{00000000-0005-0000-0000-000001000000}"/>
    <cellStyle name="Normal 3" xfId="2" xr:uid="{00000000-0005-0000-0000-000002000000}"/>
    <cellStyle name="Normal 4" xfId="4" xr:uid="{00000000-0005-0000-0000-000003000000}"/>
    <cellStyle name="Percent" xfId="1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6"/>
  <sheetViews>
    <sheetView rightToLeft="1" tabSelected="1" zoomScaleNormal="100" workbookViewId="0">
      <selection activeCell="C35" sqref="C35:G46"/>
    </sheetView>
  </sheetViews>
  <sheetFormatPr defaultRowHeight="15" x14ac:dyDescent="0.25"/>
  <cols>
    <col min="2" max="2" width="32.42578125" bestFit="1" customWidth="1"/>
    <col min="3" max="3" width="13.42578125" customWidth="1"/>
    <col min="4" max="4" width="11" customWidth="1"/>
    <col min="5" max="5" width="12.85546875" customWidth="1"/>
    <col min="6" max="6" width="16.42578125" customWidth="1"/>
    <col min="7" max="7" width="45.7109375" customWidth="1"/>
    <col min="8" max="8" width="14.7109375" customWidth="1"/>
    <col min="9" max="9" width="31.42578125" bestFit="1" customWidth="1"/>
  </cols>
  <sheetData>
    <row r="1" spans="2:11" ht="15.75" thickBot="1" x14ac:dyDescent="0.3">
      <c r="H1" s="43"/>
    </row>
    <row r="2" spans="2:11" ht="28.5" customHeight="1" thickBot="1" x14ac:dyDescent="0.3">
      <c r="B2" s="91" t="s">
        <v>46</v>
      </c>
      <c r="C2" s="92"/>
      <c r="D2" s="92"/>
      <c r="E2" s="92"/>
      <c r="F2" s="92"/>
      <c r="G2" s="93"/>
      <c r="H2" s="61"/>
    </row>
    <row r="3" spans="2:11" ht="15.75" thickBot="1" x14ac:dyDescent="0.3">
      <c r="H3" s="65"/>
    </row>
    <row r="4" spans="2:11" ht="28.5" customHeight="1" thickBot="1" x14ac:dyDescent="0.3">
      <c r="B4" s="91" t="s">
        <v>17</v>
      </c>
      <c r="C4" s="92"/>
      <c r="D4" s="92"/>
      <c r="E4" s="92"/>
      <c r="F4" s="92"/>
      <c r="G4" s="93"/>
      <c r="H4" s="45"/>
    </row>
    <row r="5" spans="2:11" ht="15.75" thickBot="1" x14ac:dyDescent="0.3"/>
    <row r="6" spans="2:11" ht="15.75" thickBot="1" x14ac:dyDescent="0.3">
      <c r="B6" s="4" t="s">
        <v>0</v>
      </c>
      <c r="C6" s="80" t="s">
        <v>45</v>
      </c>
      <c r="D6" s="81"/>
      <c r="E6" s="81"/>
      <c r="F6" s="81"/>
      <c r="G6" s="81"/>
      <c r="H6" s="82"/>
      <c r="I6" s="43"/>
    </row>
    <row r="7" spans="2:11" ht="15.75" thickBot="1" x14ac:dyDescent="0.3">
      <c r="B7" s="5" t="s">
        <v>1</v>
      </c>
      <c r="C7" s="86" t="s">
        <v>18</v>
      </c>
      <c r="D7" s="87"/>
      <c r="E7" s="87"/>
      <c r="F7" s="87"/>
      <c r="G7" s="87"/>
      <c r="H7" s="88"/>
    </row>
    <row r="8" spans="2:11" ht="50.25" customHeight="1" x14ac:dyDescent="0.25">
      <c r="B8" s="55"/>
      <c r="C8" s="51" t="s">
        <v>48</v>
      </c>
      <c r="D8" s="6" t="s">
        <v>38</v>
      </c>
      <c r="E8" s="6" t="s">
        <v>2</v>
      </c>
      <c r="F8" s="6" t="s">
        <v>3</v>
      </c>
      <c r="G8" s="7" t="s">
        <v>16</v>
      </c>
      <c r="H8" s="25" t="s">
        <v>29</v>
      </c>
    </row>
    <row r="9" spans="2:11" ht="30" x14ac:dyDescent="0.25">
      <c r="B9" s="56" t="s">
        <v>33</v>
      </c>
      <c r="C9" s="52">
        <v>0.19370000000000001</v>
      </c>
      <c r="D9" s="42">
        <v>0.15</v>
      </c>
      <c r="E9" s="15" t="s">
        <v>5</v>
      </c>
      <c r="F9" s="1" t="s">
        <v>39</v>
      </c>
      <c r="G9" s="2" t="s">
        <v>22</v>
      </c>
      <c r="H9" s="26" t="s">
        <v>41</v>
      </c>
      <c r="I9" s="24"/>
      <c r="J9" s="23"/>
      <c r="K9" s="23"/>
    </row>
    <row r="10" spans="2:11" ht="30" x14ac:dyDescent="0.25">
      <c r="B10" s="56" t="s">
        <v>34</v>
      </c>
      <c r="C10" s="52">
        <v>0.5252</v>
      </c>
      <c r="D10" s="42">
        <v>0.55000000000000004</v>
      </c>
      <c r="E10" s="15" t="s">
        <v>6</v>
      </c>
      <c r="F10" s="1" t="s">
        <v>40</v>
      </c>
      <c r="G10" s="2" t="s">
        <v>7</v>
      </c>
      <c r="H10" s="26" t="s">
        <v>42</v>
      </c>
      <c r="I10" s="24"/>
      <c r="J10" s="23"/>
      <c r="K10" s="23"/>
    </row>
    <row r="11" spans="2:11" ht="25.5" x14ac:dyDescent="0.25">
      <c r="B11" s="56" t="s">
        <v>35</v>
      </c>
      <c r="C11" s="52">
        <v>0.2712</v>
      </c>
      <c r="D11" s="42">
        <v>0.3</v>
      </c>
      <c r="E11" s="15" t="s">
        <v>5</v>
      </c>
      <c r="F11" s="1" t="s">
        <v>27</v>
      </c>
      <c r="G11" s="2" t="s">
        <v>21</v>
      </c>
      <c r="H11" s="26"/>
      <c r="I11" s="24"/>
      <c r="J11" s="23"/>
      <c r="K11" s="23"/>
    </row>
    <row r="12" spans="2:11" x14ac:dyDescent="0.25">
      <c r="B12" s="56" t="s">
        <v>8</v>
      </c>
      <c r="C12" s="52">
        <v>8.9999999999999998E-4</v>
      </c>
      <c r="D12" s="42">
        <v>0</v>
      </c>
      <c r="E12" s="15"/>
      <c r="F12" s="1"/>
      <c r="G12" s="3" t="s">
        <v>28</v>
      </c>
      <c r="H12" s="26"/>
      <c r="I12" s="24"/>
      <c r="J12" s="23"/>
      <c r="K12" s="23"/>
    </row>
    <row r="13" spans="2:11" ht="15.75" thickBot="1" x14ac:dyDescent="0.3">
      <c r="B13" s="60" t="s">
        <v>9</v>
      </c>
      <c r="C13" s="59">
        <v>9.1000000000000004E-3</v>
      </c>
      <c r="D13" s="39">
        <v>0</v>
      </c>
      <c r="E13" s="16" t="s">
        <v>6</v>
      </c>
      <c r="F13" s="8" t="s">
        <v>15</v>
      </c>
      <c r="G13" s="9"/>
      <c r="H13" s="26"/>
      <c r="I13" s="24"/>
      <c r="J13" s="23"/>
      <c r="K13" s="23"/>
    </row>
    <row r="14" spans="2:11" ht="15.75" thickBot="1" x14ac:dyDescent="0.3">
      <c r="B14" s="48" t="s">
        <v>11</v>
      </c>
      <c r="C14" s="53">
        <f>SUM(C9:C13)</f>
        <v>1.0001</v>
      </c>
      <c r="D14" s="40">
        <f>SUM(D9:D13)</f>
        <v>1</v>
      </c>
      <c r="E14" s="17"/>
      <c r="F14" s="13"/>
      <c r="G14" s="14"/>
      <c r="H14" s="27"/>
    </row>
    <row r="15" spans="2:11" ht="26.25" thickBot="1" x14ac:dyDescent="0.3">
      <c r="B15" s="50" t="s">
        <v>12</v>
      </c>
      <c r="C15" s="54">
        <v>0.17369999999999999</v>
      </c>
      <c r="D15" s="41">
        <v>0.15</v>
      </c>
      <c r="E15" s="18" t="s">
        <v>5</v>
      </c>
      <c r="F15" s="10" t="s">
        <v>24</v>
      </c>
      <c r="G15" s="11" t="s">
        <v>13</v>
      </c>
      <c r="H15" s="66"/>
    </row>
    <row r="16" spans="2:11" ht="15.75" thickBot="1" x14ac:dyDescent="0.3">
      <c r="B16" s="48" t="s">
        <v>47</v>
      </c>
      <c r="C16" s="47"/>
      <c r="D16" s="21">
        <v>4.0000000000000001E-3</v>
      </c>
      <c r="E16" s="20"/>
      <c r="F16" s="19"/>
      <c r="G16" s="19"/>
    </row>
    <row r="17" spans="2:11" ht="26.45" customHeight="1" thickBot="1" x14ac:dyDescent="0.3">
      <c r="B17" s="49" t="s">
        <v>36</v>
      </c>
      <c r="C17" s="89" t="s">
        <v>37</v>
      </c>
      <c r="D17" s="89"/>
      <c r="E17" s="89"/>
      <c r="F17" s="89"/>
      <c r="G17" s="89"/>
      <c r="H17" s="90"/>
      <c r="I17" s="43"/>
    </row>
    <row r="18" spans="2:11" ht="26.45" customHeight="1" x14ac:dyDescent="0.25">
      <c r="B18" s="46"/>
      <c r="C18" s="44"/>
      <c r="D18" s="44"/>
      <c r="E18" s="44"/>
      <c r="F18" s="44"/>
      <c r="G18" s="44"/>
      <c r="H18" s="44"/>
      <c r="I18" s="43"/>
    </row>
    <row r="19" spans="2:11" ht="15.75" thickBot="1" x14ac:dyDescent="0.3">
      <c r="B19" s="19"/>
      <c r="C19" s="19"/>
      <c r="D19" s="19"/>
      <c r="E19" s="20"/>
      <c r="F19" s="19"/>
      <c r="G19" s="19"/>
      <c r="H19" s="67"/>
    </row>
    <row r="20" spans="2:11" ht="15.75" thickBot="1" x14ac:dyDescent="0.3">
      <c r="B20" s="37" t="s">
        <v>0</v>
      </c>
      <c r="C20" s="80" t="s">
        <v>43</v>
      </c>
      <c r="D20" s="81"/>
      <c r="E20" s="81"/>
      <c r="F20" s="81"/>
      <c r="G20" s="82"/>
      <c r="H20" s="62"/>
      <c r="I20" s="43"/>
    </row>
    <row r="21" spans="2:11" ht="15.75" thickBot="1" x14ac:dyDescent="0.3">
      <c r="B21" s="38" t="s">
        <v>1</v>
      </c>
      <c r="C21" s="80" t="s">
        <v>20</v>
      </c>
      <c r="D21" s="81"/>
      <c r="E21" s="81"/>
      <c r="F21" s="81"/>
      <c r="G21" s="82"/>
      <c r="H21" s="64"/>
    </row>
    <row r="22" spans="2:11" ht="38.25" x14ac:dyDescent="0.25">
      <c r="B22" s="55"/>
      <c r="C22" s="68" t="s">
        <v>48</v>
      </c>
      <c r="D22" s="6" t="s">
        <v>38</v>
      </c>
      <c r="E22" s="6" t="s">
        <v>2</v>
      </c>
      <c r="F22" s="6" t="s">
        <v>3</v>
      </c>
      <c r="G22" s="7" t="s">
        <v>4</v>
      </c>
      <c r="H22" s="67"/>
    </row>
    <row r="23" spans="2:11" ht="25.5" x14ac:dyDescent="0.25">
      <c r="B23" s="56" t="s">
        <v>33</v>
      </c>
      <c r="C23" s="69">
        <v>0.44619999999999999</v>
      </c>
      <c r="D23" s="42">
        <v>0.45</v>
      </c>
      <c r="E23" s="30" t="s">
        <v>5</v>
      </c>
      <c r="F23" s="29" t="s">
        <v>31</v>
      </c>
      <c r="G23" s="22" t="s">
        <v>22</v>
      </c>
      <c r="H23" s="67"/>
      <c r="I23" s="24"/>
      <c r="J23" s="23"/>
      <c r="K23" s="23"/>
    </row>
    <row r="24" spans="2:11" x14ac:dyDescent="0.25">
      <c r="B24" s="56" t="s">
        <v>34</v>
      </c>
      <c r="C24" s="69">
        <v>0.2442</v>
      </c>
      <c r="D24" s="42">
        <v>0.25</v>
      </c>
      <c r="E24" s="30" t="s">
        <v>6</v>
      </c>
      <c r="F24" s="29" t="s">
        <v>14</v>
      </c>
      <c r="G24" s="22" t="s">
        <v>7</v>
      </c>
      <c r="H24" s="67"/>
      <c r="I24" s="24"/>
      <c r="J24" s="23"/>
      <c r="K24" s="23"/>
    </row>
    <row r="25" spans="2:11" ht="25.5" x14ac:dyDescent="0.25">
      <c r="B25" s="56" t="s">
        <v>35</v>
      </c>
      <c r="C25" s="69">
        <v>0.26129999999999998</v>
      </c>
      <c r="D25" s="42">
        <v>0.27</v>
      </c>
      <c r="E25" s="30" t="s">
        <v>5</v>
      </c>
      <c r="F25" s="29" t="s">
        <v>32</v>
      </c>
      <c r="G25" s="22" t="s">
        <v>21</v>
      </c>
      <c r="H25" s="67"/>
      <c r="I25" s="24"/>
      <c r="J25" s="23"/>
      <c r="K25" s="23"/>
    </row>
    <row r="26" spans="2:11" x14ac:dyDescent="0.25">
      <c r="B26" s="56" t="s">
        <v>8</v>
      </c>
      <c r="C26" s="69">
        <v>4.8399999999999999E-2</v>
      </c>
      <c r="D26" s="42">
        <v>0.03</v>
      </c>
      <c r="E26" s="30"/>
      <c r="F26" s="29"/>
      <c r="G26" s="31"/>
      <c r="H26" s="67"/>
      <c r="I26" s="24"/>
      <c r="J26" s="23"/>
      <c r="K26" s="23"/>
    </row>
    <row r="27" spans="2:11" ht="15.75" thickBot="1" x14ac:dyDescent="0.3">
      <c r="B27" s="60" t="s">
        <v>9</v>
      </c>
      <c r="C27" s="73"/>
      <c r="D27" s="39">
        <v>0</v>
      </c>
      <c r="E27" s="32" t="s">
        <v>6</v>
      </c>
      <c r="F27" s="33" t="s">
        <v>15</v>
      </c>
      <c r="G27" s="34"/>
      <c r="H27" s="67"/>
      <c r="I27" s="24"/>
      <c r="J27" s="23"/>
      <c r="K27" s="23"/>
    </row>
    <row r="28" spans="2:11" ht="15.75" thickBot="1" x14ac:dyDescent="0.3">
      <c r="B28" s="48" t="s">
        <v>11</v>
      </c>
      <c r="C28" s="70">
        <f>SUM(C23:C27)</f>
        <v>1.0001</v>
      </c>
      <c r="D28" s="40">
        <f>SUM(D23:D27)</f>
        <v>1</v>
      </c>
      <c r="E28" s="17"/>
      <c r="F28" s="12"/>
      <c r="G28" s="14"/>
      <c r="H28" s="67"/>
      <c r="I28" s="24"/>
      <c r="J28" s="23"/>
      <c r="K28" s="23"/>
    </row>
    <row r="29" spans="2:11" ht="15.75" thickBot="1" x14ac:dyDescent="0.3">
      <c r="B29" s="50" t="s">
        <v>12</v>
      </c>
      <c r="C29" s="71">
        <v>0.21490000000000001</v>
      </c>
      <c r="D29" s="41">
        <v>0.2</v>
      </c>
      <c r="E29" s="28" t="s">
        <v>5</v>
      </c>
      <c r="F29" s="35" t="s">
        <v>25</v>
      </c>
      <c r="G29" s="36"/>
      <c r="H29" s="67"/>
      <c r="I29" s="24"/>
      <c r="J29" s="23"/>
      <c r="K29" s="23"/>
    </row>
    <row r="30" spans="2:11" ht="15.75" thickBot="1" x14ac:dyDescent="0.3">
      <c r="B30" s="48" t="s">
        <v>47</v>
      </c>
      <c r="C30" s="74"/>
      <c r="D30" s="21">
        <v>3.0000000000000001E-3</v>
      </c>
      <c r="E30" s="75"/>
      <c r="F30" s="76"/>
      <c r="G30" s="77"/>
      <c r="H30" s="67"/>
    </row>
    <row r="31" spans="2:11" ht="30" customHeight="1" thickBot="1" x14ac:dyDescent="0.3">
      <c r="B31" s="49" t="s">
        <v>36</v>
      </c>
      <c r="C31" s="83" t="s">
        <v>37</v>
      </c>
      <c r="D31" s="84"/>
      <c r="E31" s="84"/>
      <c r="F31" s="84"/>
      <c r="G31" s="85"/>
      <c r="H31" s="63"/>
    </row>
    <row r="32" spans="2:11" x14ac:dyDescent="0.25">
      <c r="B32" s="46"/>
      <c r="C32" s="44"/>
      <c r="D32" s="44"/>
      <c r="E32" s="44"/>
      <c r="F32" s="44"/>
      <c r="G32" s="44"/>
      <c r="H32" s="44"/>
    </row>
    <row r="33" spans="2:11" x14ac:dyDescent="0.25">
      <c r="B33" s="46"/>
      <c r="C33" s="44"/>
      <c r="D33" s="44"/>
      <c r="E33" s="44"/>
      <c r="F33" s="44"/>
      <c r="G33" s="44"/>
      <c r="H33" s="44"/>
    </row>
    <row r="34" spans="2:11" ht="15.75" thickBot="1" x14ac:dyDescent="0.3">
      <c r="B34" s="19"/>
      <c r="C34" s="19"/>
      <c r="D34" s="19"/>
      <c r="E34" s="20"/>
      <c r="F34" s="19"/>
      <c r="G34" s="19"/>
      <c r="H34" s="67"/>
    </row>
    <row r="35" spans="2:11" ht="15.75" thickBot="1" x14ac:dyDescent="0.3">
      <c r="B35" s="57" t="s">
        <v>0</v>
      </c>
      <c r="C35" s="80" t="s">
        <v>44</v>
      </c>
      <c r="D35" s="81"/>
      <c r="E35" s="81"/>
      <c r="F35" s="81"/>
      <c r="G35" s="82"/>
      <c r="H35" s="64"/>
      <c r="I35" s="43"/>
    </row>
    <row r="36" spans="2:11" ht="15.75" thickBot="1" x14ac:dyDescent="0.3">
      <c r="B36" s="58" t="s">
        <v>1</v>
      </c>
      <c r="C36" s="80" t="s">
        <v>19</v>
      </c>
      <c r="D36" s="81"/>
      <c r="E36" s="81"/>
      <c r="F36" s="81"/>
      <c r="G36" s="82"/>
      <c r="H36" s="64"/>
    </row>
    <row r="37" spans="2:11" ht="38.25" x14ac:dyDescent="0.25">
      <c r="B37" s="55"/>
      <c r="C37" s="68" t="s">
        <v>48</v>
      </c>
      <c r="D37" s="6" t="s">
        <v>38</v>
      </c>
      <c r="E37" s="6" t="s">
        <v>2</v>
      </c>
      <c r="F37" s="6" t="s">
        <v>3</v>
      </c>
      <c r="G37" s="7" t="s">
        <v>4</v>
      </c>
      <c r="H37" s="67"/>
    </row>
    <row r="38" spans="2:11" ht="25.5" x14ac:dyDescent="0.25">
      <c r="B38" s="56" t="s">
        <v>33</v>
      </c>
      <c r="C38" s="69">
        <v>0.98270000000000002</v>
      </c>
      <c r="D38" s="42">
        <v>0.97</v>
      </c>
      <c r="E38" s="30" t="s">
        <v>5</v>
      </c>
      <c r="F38" s="29" t="s">
        <v>30</v>
      </c>
      <c r="G38" s="22" t="s">
        <v>22</v>
      </c>
      <c r="H38" s="67"/>
      <c r="I38" s="24"/>
      <c r="J38" s="23"/>
      <c r="K38" s="23"/>
    </row>
    <row r="39" spans="2:11" x14ac:dyDescent="0.25">
      <c r="B39" s="56" t="s">
        <v>34</v>
      </c>
      <c r="C39" s="69">
        <v>0</v>
      </c>
      <c r="D39" s="42">
        <v>0</v>
      </c>
      <c r="E39" s="30" t="s">
        <v>6</v>
      </c>
      <c r="F39" s="29" t="s">
        <v>15</v>
      </c>
      <c r="G39" s="22" t="s">
        <v>7</v>
      </c>
      <c r="H39" s="67"/>
      <c r="I39" s="24"/>
      <c r="J39" s="23"/>
      <c r="K39" s="23"/>
    </row>
    <row r="40" spans="2:11" ht="25.5" x14ac:dyDescent="0.25">
      <c r="B40" s="56" t="s">
        <v>35</v>
      </c>
      <c r="C40" s="69">
        <v>0</v>
      </c>
      <c r="D40" s="42">
        <v>0</v>
      </c>
      <c r="E40" s="30" t="s">
        <v>5</v>
      </c>
      <c r="F40" s="29" t="s">
        <v>10</v>
      </c>
      <c r="G40" s="22" t="s">
        <v>23</v>
      </c>
      <c r="H40" s="67"/>
      <c r="I40" s="24"/>
      <c r="J40" s="23"/>
      <c r="K40" s="23"/>
    </row>
    <row r="41" spans="2:11" x14ac:dyDescent="0.25">
      <c r="B41" s="56" t="s">
        <v>8</v>
      </c>
      <c r="C41" s="69">
        <v>1.7299999999999999E-2</v>
      </c>
      <c r="D41" s="42">
        <v>0.03</v>
      </c>
      <c r="E41" s="30"/>
      <c r="F41" s="29"/>
      <c r="G41" s="31"/>
      <c r="H41" s="67"/>
      <c r="I41" s="24"/>
      <c r="J41" s="23"/>
      <c r="K41" s="23"/>
    </row>
    <row r="42" spans="2:11" ht="15.75" thickBot="1" x14ac:dyDescent="0.3">
      <c r="B42" s="60" t="s">
        <v>9</v>
      </c>
      <c r="C42" s="73">
        <v>0</v>
      </c>
      <c r="D42" s="39">
        <v>0</v>
      </c>
      <c r="E42" s="32" t="s">
        <v>6</v>
      </c>
      <c r="F42" s="33" t="s">
        <v>15</v>
      </c>
      <c r="G42" s="34"/>
      <c r="H42" s="67"/>
      <c r="I42" s="24"/>
      <c r="J42" s="23"/>
      <c r="K42" s="23"/>
    </row>
    <row r="43" spans="2:11" ht="15.75" thickBot="1" x14ac:dyDescent="0.3">
      <c r="B43" s="48" t="s">
        <v>11</v>
      </c>
      <c r="C43" s="70">
        <f>SUM(C38:C42)</f>
        <v>1</v>
      </c>
      <c r="D43" s="40">
        <f>SUM(D38:D42)</f>
        <v>1</v>
      </c>
      <c r="E43" s="17"/>
      <c r="F43" s="12"/>
      <c r="G43" s="14"/>
      <c r="H43" s="67"/>
    </row>
    <row r="44" spans="2:11" ht="15.75" thickBot="1" x14ac:dyDescent="0.3">
      <c r="B44" s="50" t="s">
        <v>12</v>
      </c>
      <c r="C44" s="71">
        <v>0.32390000000000002</v>
      </c>
      <c r="D44" s="41">
        <v>0.35</v>
      </c>
      <c r="E44" s="28" t="s">
        <v>5</v>
      </c>
      <c r="F44" s="35" t="s">
        <v>26</v>
      </c>
      <c r="G44" s="36"/>
      <c r="H44" s="67"/>
    </row>
    <row r="45" spans="2:11" ht="15.75" thickBot="1" x14ac:dyDescent="0.3">
      <c r="B45" s="48" t="s">
        <v>47</v>
      </c>
      <c r="C45" s="74"/>
      <c r="D45" s="21">
        <v>2.5000000000000001E-3</v>
      </c>
      <c r="E45" s="72"/>
      <c r="F45" s="72"/>
      <c r="G45" s="79"/>
      <c r="H45" s="67"/>
    </row>
    <row r="46" spans="2:11" ht="30" customHeight="1" thickBot="1" x14ac:dyDescent="0.3">
      <c r="B46" s="49" t="s">
        <v>36</v>
      </c>
      <c r="C46" s="83" t="s">
        <v>37</v>
      </c>
      <c r="D46" s="84"/>
      <c r="E46" s="84"/>
      <c r="F46" s="84"/>
      <c r="G46" s="85"/>
      <c r="H46" s="78"/>
    </row>
  </sheetData>
  <mergeCells count="11">
    <mergeCell ref="B2:G2"/>
    <mergeCell ref="B4:G4"/>
    <mergeCell ref="C20:G20"/>
    <mergeCell ref="C21:G21"/>
    <mergeCell ref="C31:G31"/>
    <mergeCell ref="C35:G35"/>
    <mergeCell ref="C36:G36"/>
    <mergeCell ref="C46:G46"/>
    <mergeCell ref="C6:H6"/>
    <mergeCell ref="C7:H7"/>
    <mergeCell ref="C17:H17"/>
  </mergeCells>
  <pageMargins left="0.70866141732283472" right="0.70866141732283472" top="0.74803149606299213" bottom="0.74803149606299213" header="0.31496062992125984" footer="0.31496062992125984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חסכון לכל ילד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Eichel</dc:creator>
  <cp:lastModifiedBy>שאדי מחאמיד</cp:lastModifiedBy>
  <cp:lastPrinted>2024-03-28T08:29:19Z</cp:lastPrinted>
  <dcterms:created xsi:type="dcterms:W3CDTF">2017-09-12T09:33:22Z</dcterms:created>
  <dcterms:modified xsi:type="dcterms:W3CDTF">2025-01-14T07:06:29Z</dcterms:modified>
</cp:coreProperties>
</file>