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H:\סלייס\חומר לאתר סלייס\"/>
    </mc:Choice>
  </mc:AlternateContent>
  <xr:revisionPtr revIDLastSave="0" documentId="8_{C9624032-4AC9-40C4-8B79-B962679B2729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השתלמות" sheetId="4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4" l="1"/>
  <c r="C55" i="4"/>
  <c r="D55" i="4"/>
  <c r="D43" i="4"/>
  <c r="D31" i="4"/>
  <c r="D14" i="4"/>
  <c r="C14" i="4"/>
  <c r="C31" i="4" l="1"/>
</calcChain>
</file>

<file path=xl/sharedStrings.xml><?xml version="1.0" encoding="utf-8"?>
<sst xmlns="http://schemas.openxmlformats.org/spreadsheetml/2006/main" count="114" uniqueCount="50">
  <si>
    <t>קידוד קופה</t>
  </si>
  <si>
    <t>שם הקופה</t>
  </si>
  <si>
    <t>טווח סטייה מותר</t>
  </si>
  <si>
    <t>גבולות שיעור החשיפה הצפויה</t>
  </si>
  <si>
    <t>מדדי ייחוס</t>
  </si>
  <si>
    <t>+/-6%</t>
  </si>
  <si>
    <t>+/-5%</t>
  </si>
  <si>
    <t>מדד ממשלתי כללי</t>
  </si>
  <si>
    <t>מזומן</t>
  </si>
  <si>
    <t>אחר</t>
  </si>
  <si>
    <t>0%-6%</t>
  </si>
  <si>
    <t>סה"כ</t>
  </si>
  <si>
    <t>מטח</t>
  </si>
  <si>
    <t>20%-30%</t>
  </si>
  <si>
    <t>0%-5%</t>
  </si>
  <si>
    <t>14%-26%</t>
  </si>
  <si>
    <t>מסלולים כלליים</t>
  </si>
  <si>
    <t xml:space="preserve">מדד קונצרני כללי - מאגר
</t>
  </si>
  <si>
    <t>מדד ת"א 125 - 50%
S&amp;P 500 - 50%</t>
  </si>
  <si>
    <t>מסלולים מתמחים</t>
  </si>
  <si>
    <t>קרנות השקעה</t>
  </si>
  <si>
    <t>מדד צור-גלבוע</t>
  </si>
  <si>
    <t>S&amp;P 500</t>
  </si>
  <si>
    <t>קל השתלמות פאסיבי מדדי מניות</t>
  </si>
  <si>
    <t>מדד ת"א 125</t>
  </si>
  <si>
    <t>24%-36%</t>
  </si>
  <si>
    <t>סלייס גמל השתלמות כללי</t>
  </si>
  <si>
    <t xml:space="preserve">סלייס גמל השתלמות אג"ח </t>
  </si>
  <si>
    <t>סלייס גמל השתלמות מחקה מדד S&amp;P 500</t>
  </si>
  <si>
    <t xml:space="preserve">מדד ממשלתי כללי </t>
  </si>
  <si>
    <t>מדד תל בונד 60</t>
  </si>
  <si>
    <t>50%-62%</t>
  </si>
  <si>
    <t>9%-19%</t>
  </si>
  <si>
    <t>תל גוב- מק"מ</t>
  </si>
  <si>
    <t>88%-100%</t>
  </si>
  <si>
    <t>49%-61%</t>
  </si>
  <si>
    <t>15%-25%</t>
  </si>
  <si>
    <t>מניות(קרנות סל, ETF )</t>
  </si>
  <si>
    <t>אג"ח ממשלתי(קרנות סל,קרנות נאמנות,אג"ח)</t>
  </si>
  <si>
    <t>אג"ח קונצרני(קרנות סל)</t>
  </si>
  <si>
    <t>השקעות ESG</t>
  </si>
  <si>
    <t>הקופה אינה מתחשבת בהשקעות הקופה בשיקולי ESG וכך גם לא בשיקולי האקלים וכי הקופה אינה נוקטת במדיניות של הימנעות גורפת מהשקעות בענפים מסוימים בשל שיקולי ESG</t>
  </si>
  <si>
    <t>שיעור חשיפה צפוי בשנת 2025</t>
  </si>
  <si>
    <t>51476749000000000119250011926</t>
  </si>
  <si>
    <t>51476749000000000119250011928</t>
  </si>
  <si>
    <t>51476749000000000119250011931</t>
  </si>
  <si>
    <t>51476749000000000119250011934</t>
  </si>
  <si>
    <t>מדיניות השקעות צפויה לשנת 2025</t>
  </si>
  <si>
    <t>מגבלת עמלת ניהול חיצוני לשנת 2025</t>
  </si>
  <si>
    <t>שיעור חשיפה ליום 31.12.24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</si>
</sst>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3" xfId="0" applyFont="1" applyFill="1" applyBorder="1" applyAlignment="1">
      <alignment horizontal="center" vertical="center" readingOrder="2"/>
    </xf>
    <xf numFmtId="0" fontId="8" fillId="0" borderId="4" xfId="3" applyFont="1" applyFill="1" applyBorder="1" applyAlignment="1">
      <alignment horizontal="center" vertical="center" wrapText="1" readingOrder="2"/>
    </xf>
    <xf numFmtId="0" fontId="8" fillId="0" borderId="4" xfId="3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wrapText="1" readingOrder="2"/>
    </xf>
    <xf numFmtId="0" fontId="3" fillId="0" borderId="8" xfId="0" applyFont="1" applyFill="1" applyBorder="1" applyAlignment="1">
      <alignment horizontal="center" vertical="center" readingOrder="2"/>
    </xf>
    <xf numFmtId="0" fontId="8" fillId="0" borderId="9" xfId="3" applyFont="1" applyFill="1" applyBorder="1" applyAlignment="1">
      <alignment horizontal="center" vertical="center" wrapText="1" readingOrder="2"/>
    </xf>
    <xf numFmtId="0" fontId="6" fillId="2" borderId="11" xfId="0" applyFont="1" applyFill="1" applyBorder="1" applyAlignment="1">
      <alignment horizontal="center" vertical="center" readingOrder="2"/>
    </xf>
    <xf numFmtId="0" fontId="3" fillId="0" borderId="3" xfId="0" applyFont="1" applyFill="1" applyBorder="1" applyAlignment="1">
      <alignment horizontal="center" vertical="center" readingOrder="1"/>
    </xf>
    <xf numFmtId="0" fontId="6" fillId="2" borderId="11" xfId="0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9" fillId="0" borderId="0" xfId="0" applyFont="1" applyFill="1"/>
    <xf numFmtId="9" fontId="9" fillId="0" borderId="0" xfId="1" applyFont="1" applyFill="1"/>
    <xf numFmtId="0" fontId="3" fillId="0" borderId="11" xfId="0" applyFont="1" applyFill="1" applyBorder="1" applyAlignment="1">
      <alignment horizontal="center" vertical="center" readingOrder="2"/>
    </xf>
    <xf numFmtId="10" fontId="3" fillId="0" borderId="0" xfId="1" applyNumberFormat="1" applyFont="1" applyFill="1" applyBorder="1" applyAlignment="1">
      <alignment horizontal="center" vertical="center" readingOrder="2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readingOrder="2"/>
    </xf>
    <xf numFmtId="0" fontId="8" fillId="0" borderId="0" xfId="3" applyFont="1" applyFill="1" applyBorder="1" applyAlignment="1">
      <alignment horizontal="center" vertical="center" wrapText="1" readingOrder="2"/>
    </xf>
    <xf numFmtId="10" fontId="6" fillId="2" borderId="12" xfId="3" applyNumberFormat="1" applyFont="1" applyFill="1" applyBorder="1" applyAlignment="1">
      <alignment horizontal="center" vertical="center" readingOrder="2"/>
    </xf>
    <xf numFmtId="0" fontId="0" fillId="0" borderId="0" xfId="0" applyFill="1"/>
    <xf numFmtId="0" fontId="0" fillId="0" borderId="0" xfId="0" applyAlignment="1">
      <alignment wrapText="1"/>
    </xf>
    <xf numFmtId="0" fontId="6" fillId="3" borderId="2" xfId="0" applyFont="1" applyFill="1" applyBorder="1" applyAlignment="1">
      <alignment horizontal="center" vertical="center" wrapText="1" readingOrder="2"/>
    </xf>
    <xf numFmtId="0" fontId="10" fillId="2" borderId="12" xfId="3" applyFont="1" applyFill="1" applyBorder="1" applyAlignment="1">
      <alignment horizontal="center" vertical="center" wrapText="1" readingOrder="2"/>
    </xf>
    <xf numFmtId="0" fontId="9" fillId="0" borderId="0" xfId="0" applyFont="1" applyFill="1" applyAlignment="1">
      <alignment wrapText="1"/>
    </xf>
    <xf numFmtId="0" fontId="8" fillId="0" borderId="4" xfId="3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2"/>
    </xf>
    <xf numFmtId="0" fontId="3" fillId="0" borderId="18" xfId="0" applyFont="1" applyFill="1" applyBorder="1" applyAlignment="1">
      <alignment horizontal="center" vertical="center" readingOrder="1"/>
    </xf>
    <xf numFmtId="0" fontId="0" fillId="0" borderId="0" xfId="0" applyBorder="1" applyAlignment="1">
      <alignment wrapText="1"/>
    </xf>
    <xf numFmtId="0" fontId="6" fillId="3" borderId="20" xfId="0" applyFont="1" applyFill="1" applyBorder="1" applyAlignment="1">
      <alignment horizontal="center" vertical="center" wrapText="1" readingOrder="2"/>
    </xf>
    <xf numFmtId="0" fontId="6" fillId="3" borderId="21" xfId="0" applyFont="1" applyFill="1" applyBorder="1" applyAlignment="1">
      <alignment horizontal="center" vertical="center" wrapText="1" readingOrder="2"/>
    </xf>
    <xf numFmtId="164" fontId="3" fillId="0" borderId="3" xfId="5" applyNumberFormat="1" applyFont="1" applyFill="1" applyBorder="1" applyAlignment="1">
      <alignment horizontal="center" vertical="center" readingOrder="2"/>
    </xf>
    <xf numFmtId="164" fontId="3" fillId="0" borderId="14" xfId="1" applyNumberFormat="1" applyFont="1" applyFill="1" applyBorder="1" applyAlignment="1">
      <alignment horizontal="center" vertical="center" readingOrder="2"/>
    </xf>
    <xf numFmtId="164" fontId="12" fillId="0" borderId="3" xfId="0" applyNumberFormat="1" applyFont="1" applyBorder="1" applyAlignment="1">
      <alignment horizontal="center" vertical="center" readingOrder="2"/>
    </xf>
    <xf numFmtId="164" fontId="3" fillId="0" borderId="19" xfId="1" applyNumberFormat="1" applyFont="1" applyFill="1" applyBorder="1" applyAlignment="1">
      <alignment horizontal="center" vertical="center" readingOrder="2"/>
    </xf>
    <xf numFmtId="164" fontId="6" fillId="2" borderId="11" xfId="1" applyNumberFormat="1" applyFont="1" applyFill="1" applyBorder="1" applyAlignment="1">
      <alignment horizontal="center" vertical="center" readingOrder="2"/>
    </xf>
    <xf numFmtId="164" fontId="3" fillId="0" borderId="8" xfId="1" applyNumberFormat="1" applyFont="1" applyFill="1" applyBorder="1" applyAlignment="1">
      <alignment horizontal="center" vertical="center" readingOrder="2"/>
    </xf>
    <xf numFmtId="164" fontId="3" fillId="0" borderId="3" xfId="1" applyNumberFormat="1" applyFont="1" applyFill="1" applyBorder="1" applyAlignment="1">
      <alignment horizontal="center" vertical="center" readingOrder="2"/>
    </xf>
    <xf numFmtId="0" fontId="13" fillId="0" borderId="0" xfId="0" applyFont="1"/>
    <xf numFmtId="0" fontId="0" fillId="0" borderId="0" xfId="0" applyBorder="1" applyAlignment="1">
      <alignment horizontal="right" wrapText="1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 readingOrder="2"/>
    </xf>
    <xf numFmtId="0" fontId="6" fillId="3" borderId="13" xfId="0" applyFont="1" applyFill="1" applyBorder="1" applyAlignment="1">
      <alignment vertical="center" readingOrder="2"/>
    </xf>
    <xf numFmtId="0" fontId="6" fillId="3" borderId="22" xfId="0" applyFont="1" applyFill="1" applyBorder="1" applyAlignment="1">
      <alignment horizontal="center" vertical="center" readingOrder="2"/>
    </xf>
    <xf numFmtId="0" fontId="6" fillId="3" borderId="22" xfId="0" applyFont="1" applyFill="1" applyBorder="1" applyAlignment="1">
      <alignment horizontal="center" vertical="center" wrapText="1" readingOrder="2"/>
    </xf>
    <xf numFmtId="0" fontId="8" fillId="0" borderId="23" xfId="3" applyFont="1" applyFill="1" applyBorder="1" applyAlignment="1">
      <alignment horizontal="center" vertical="center" wrapText="1" readingOrder="2"/>
    </xf>
    <xf numFmtId="0" fontId="6" fillId="3" borderId="24" xfId="0" applyFont="1" applyFill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center" readingOrder="2"/>
    </xf>
    <xf numFmtId="0" fontId="6" fillId="3" borderId="26" xfId="0" applyFont="1" applyFill="1" applyBorder="1" applyAlignment="1">
      <alignment horizontal="center" vertical="center" wrapText="1" readingOrder="2"/>
    </xf>
    <xf numFmtId="164" fontId="3" fillId="0" borderId="18" xfId="1" applyNumberFormat="1" applyFont="1" applyFill="1" applyBorder="1" applyAlignment="1">
      <alignment horizontal="center" vertical="center" readingOrder="2"/>
    </xf>
    <xf numFmtId="164" fontId="6" fillId="2" borderId="13" xfId="1" applyNumberFormat="1" applyFont="1" applyFill="1" applyBorder="1" applyAlignment="1">
      <alignment horizontal="center" vertical="center" readingOrder="2"/>
    </xf>
    <xf numFmtId="164" fontId="3" fillId="0" borderId="25" xfId="1" applyNumberFormat="1" applyFont="1" applyFill="1" applyBorder="1" applyAlignment="1">
      <alignment horizontal="center" vertical="center" readingOrder="2"/>
    </xf>
    <xf numFmtId="0" fontId="6" fillId="3" borderId="15" xfId="2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readingOrder="2"/>
    </xf>
    <xf numFmtId="0" fontId="4" fillId="2" borderId="15" xfId="2" applyFont="1" applyFill="1" applyBorder="1" applyAlignment="1">
      <alignment horizontal="center" vertical="center"/>
    </xf>
    <xf numFmtId="0" fontId="4" fillId="2" borderId="17" xfId="2" applyFont="1" applyFill="1" applyBorder="1" applyAlignment="1">
      <alignment horizontal="center" vertical="center"/>
    </xf>
    <xf numFmtId="164" fontId="3" fillId="0" borderId="27" xfId="1" applyNumberFormat="1" applyFont="1" applyFill="1" applyBorder="1" applyAlignment="1">
      <alignment horizontal="center" vertical="center" readingOrder="2"/>
    </xf>
    <xf numFmtId="164" fontId="3" fillId="0" borderId="28" xfId="1" applyNumberFormat="1" applyFont="1" applyFill="1" applyBorder="1" applyAlignment="1">
      <alignment horizontal="center" vertical="center" readingOrder="2"/>
    </xf>
    <xf numFmtId="0" fontId="6" fillId="3" borderId="29" xfId="0" applyFont="1" applyFill="1" applyBorder="1" applyAlignment="1">
      <alignment horizontal="center" vertical="center" readingOrder="2"/>
    </xf>
    <xf numFmtId="0" fontId="11" fillId="0" borderId="0" xfId="0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center" wrapText="1"/>
    </xf>
    <xf numFmtId="49" fontId="5" fillId="0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3" xfId="2" xr:uid="{00000000-0005-0000-0000-000002000000}"/>
    <cellStyle name="Normal 4" xfId="4" xr:uid="{00000000-0005-0000-0000-000003000000}"/>
    <cellStyle name="Percent" xfId="1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8"/>
  <sheetViews>
    <sheetView rightToLeft="1" tabSelected="1" topLeftCell="A43" zoomScale="90" zoomScaleNormal="90" workbookViewId="0">
      <selection activeCell="H46" sqref="H46"/>
    </sheetView>
  </sheetViews>
  <sheetFormatPr defaultRowHeight="15" x14ac:dyDescent="0.25"/>
  <cols>
    <col min="2" max="2" width="32.42578125" bestFit="1" customWidth="1"/>
    <col min="3" max="3" width="10.42578125" customWidth="1"/>
    <col min="4" max="4" width="11" customWidth="1"/>
    <col min="5" max="5" width="12.85546875" customWidth="1"/>
    <col min="6" max="6" width="16.42578125" customWidth="1"/>
    <col min="7" max="7" width="39.28515625" style="20" customWidth="1"/>
    <col min="8" max="8" width="16.42578125" customWidth="1"/>
    <col min="10" max="16" width="16.85546875" customWidth="1"/>
  </cols>
  <sheetData>
    <row r="1" spans="2:9" ht="15.75" thickBot="1" x14ac:dyDescent="0.3"/>
    <row r="2" spans="2:9" ht="28.5" customHeight="1" thickBot="1" x14ac:dyDescent="0.3">
      <c r="B2" s="72" t="s">
        <v>47</v>
      </c>
      <c r="C2" s="73"/>
      <c r="D2" s="73"/>
      <c r="E2" s="73"/>
      <c r="F2" s="73"/>
      <c r="G2" s="74"/>
      <c r="H2" s="60"/>
    </row>
    <row r="3" spans="2:9" ht="15.75" thickBot="1" x14ac:dyDescent="0.3"/>
    <row r="4" spans="2:9" ht="28.5" customHeight="1" thickBot="1" x14ac:dyDescent="0.3">
      <c r="B4" s="72" t="s">
        <v>16</v>
      </c>
      <c r="C4" s="73"/>
      <c r="D4" s="73"/>
      <c r="E4" s="73"/>
      <c r="F4" s="73"/>
      <c r="G4" s="74"/>
      <c r="H4" s="60"/>
    </row>
    <row r="5" spans="2:9" ht="15.75" thickBot="1" x14ac:dyDescent="0.3"/>
    <row r="6" spans="2:9" ht="15.75" thickBot="1" x14ac:dyDescent="0.3">
      <c r="B6" s="55" t="s">
        <v>0</v>
      </c>
      <c r="C6" s="66" t="s">
        <v>43</v>
      </c>
      <c r="D6" s="67"/>
      <c r="E6" s="67"/>
      <c r="F6" s="67"/>
      <c r="G6" s="68"/>
      <c r="H6" s="61"/>
      <c r="I6" s="38"/>
    </row>
    <row r="7" spans="2:9" ht="15.75" thickBot="1" x14ac:dyDescent="0.3">
      <c r="B7" s="56" t="s">
        <v>1</v>
      </c>
      <c r="C7" s="75" t="s">
        <v>26</v>
      </c>
      <c r="D7" s="76"/>
      <c r="E7" s="76"/>
      <c r="F7" s="76"/>
      <c r="G7" s="77"/>
      <c r="H7" s="62"/>
    </row>
    <row r="8" spans="2:9" ht="51" x14ac:dyDescent="0.25">
      <c r="B8" s="53"/>
      <c r="C8" s="49" t="s">
        <v>49</v>
      </c>
      <c r="D8" s="29" t="s">
        <v>42</v>
      </c>
      <c r="E8" s="29" t="s">
        <v>2</v>
      </c>
      <c r="F8" s="29" t="s">
        <v>3</v>
      </c>
      <c r="G8" s="30" t="s">
        <v>4</v>
      </c>
    </row>
    <row r="9" spans="2:9" ht="25.5" x14ac:dyDescent="0.25">
      <c r="B9" s="54" t="s">
        <v>37</v>
      </c>
      <c r="C9" s="57">
        <v>0.58169999999999999</v>
      </c>
      <c r="D9" s="33">
        <v>0.55000000000000004</v>
      </c>
      <c r="E9" s="27" t="s">
        <v>5</v>
      </c>
      <c r="F9" s="1" t="s">
        <v>35</v>
      </c>
      <c r="G9" s="2" t="s">
        <v>18</v>
      </c>
    </row>
    <row r="10" spans="2:9" x14ac:dyDescent="0.25">
      <c r="B10" s="54" t="s">
        <v>38</v>
      </c>
      <c r="C10" s="57">
        <v>0.19839999999999999</v>
      </c>
      <c r="D10" s="33">
        <v>0.2</v>
      </c>
      <c r="E10" s="27" t="s">
        <v>6</v>
      </c>
      <c r="F10" s="1" t="s">
        <v>36</v>
      </c>
      <c r="G10" s="2" t="s">
        <v>7</v>
      </c>
    </row>
    <row r="11" spans="2:9" ht="25.5" x14ac:dyDescent="0.25">
      <c r="B11" s="54" t="s">
        <v>39</v>
      </c>
      <c r="C11" s="57">
        <v>0.19650000000000001</v>
      </c>
      <c r="D11" s="33">
        <v>0.2</v>
      </c>
      <c r="E11" s="27" t="s">
        <v>5</v>
      </c>
      <c r="F11" s="1" t="s">
        <v>15</v>
      </c>
      <c r="G11" s="2" t="s">
        <v>17</v>
      </c>
    </row>
    <row r="12" spans="2:9" x14ac:dyDescent="0.25">
      <c r="B12" s="54" t="s">
        <v>8</v>
      </c>
      <c r="C12" s="57">
        <v>2.3400000000000001E-2</v>
      </c>
      <c r="D12" s="33">
        <v>0.05</v>
      </c>
      <c r="E12" s="27"/>
      <c r="F12" s="1"/>
      <c r="G12" s="3"/>
    </row>
    <row r="13" spans="2:9" ht="15.75" thickBot="1" x14ac:dyDescent="0.3">
      <c r="B13" s="59" t="s">
        <v>9</v>
      </c>
      <c r="C13" s="58">
        <v>0</v>
      </c>
      <c r="D13" s="34">
        <v>0</v>
      </c>
      <c r="E13" s="8" t="s">
        <v>6</v>
      </c>
      <c r="F13" s="1" t="s">
        <v>14</v>
      </c>
      <c r="G13" s="2" t="s">
        <v>21</v>
      </c>
    </row>
    <row r="14" spans="2:9" ht="15.75" thickBot="1" x14ac:dyDescent="0.3">
      <c r="B14" s="43" t="s">
        <v>11</v>
      </c>
      <c r="C14" s="51">
        <f>SUM(C9:C13)</f>
        <v>1</v>
      </c>
      <c r="D14" s="35">
        <f>SUM(D9:D13)</f>
        <v>1</v>
      </c>
      <c r="E14" s="9"/>
      <c r="F14" s="7"/>
      <c r="G14" s="22"/>
    </row>
    <row r="15" spans="2:9" ht="15.75" thickBot="1" x14ac:dyDescent="0.3">
      <c r="B15" s="46" t="s">
        <v>12</v>
      </c>
      <c r="C15" s="52">
        <v>0.31169999999999998</v>
      </c>
      <c r="D15" s="36">
        <v>0.3</v>
      </c>
      <c r="E15" s="10" t="s">
        <v>5</v>
      </c>
      <c r="F15" s="13" t="s">
        <v>25</v>
      </c>
      <c r="G15" s="6"/>
    </row>
    <row r="16" spans="2:9" ht="15.75" thickBot="1" x14ac:dyDescent="0.3">
      <c r="B16" s="43" t="s">
        <v>48</v>
      </c>
      <c r="C16" s="42"/>
      <c r="D16" s="18">
        <v>7.0000000000000001E-3</v>
      </c>
      <c r="E16" s="12"/>
      <c r="F16" s="11"/>
      <c r="G16" s="23"/>
    </row>
    <row r="17" spans="2:9" ht="27" customHeight="1" thickBot="1" x14ac:dyDescent="0.3">
      <c r="B17" s="44" t="s">
        <v>40</v>
      </c>
      <c r="C17" s="69" t="s">
        <v>41</v>
      </c>
      <c r="D17" s="70"/>
      <c r="E17" s="70"/>
      <c r="F17" s="70"/>
      <c r="G17" s="71"/>
      <c r="H17" s="28"/>
    </row>
    <row r="18" spans="2:9" ht="27" customHeight="1" x14ac:dyDescent="0.25">
      <c r="B18" s="41"/>
      <c r="C18" s="39"/>
      <c r="D18" s="39"/>
      <c r="E18" s="39"/>
      <c r="F18" s="39"/>
      <c r="G18" s="39"/>
      <c r="H18" s="39"/>
    </row>
    <row r="19" spans="2:9" ht="15.75" thickBot="1" x14ac:dyDescent="0.3"/>
    <row r="20" spans="2:9" ht="29.25" thickBot="1" x14ac:dyDescent="0.3">
      <c r="B20" s="72" t="s">
        <v>19</v>
      </c>
      <c r="C20" s="73"/>
      <c r="D20" s="73"/>
      <c r="E20" s="73"/>
      <c r="F20" s="73"/>
      <c r="G20" s="74"/>
      <c r="H20" s="60"/>
    </row>
    <row r="21" spans="2:9" s="19" customFormat="1" ht="28.5" x14ac:dyDescent="0.25">
      <c r="B21" s="40"/>
      <c r="C21" s="40"/>
      <c r="D21" s="40"/>
      <c r="E21" s="40"/>
      <c r="F21" s="40"/>
      <c r="G21" s="40"/>
    </row>
    <row r="22" spans="2:9" ht="15.75" thickBot="1" x14ac:dyDescent="0.3"/>
    <row r="23" spans="2:9" ht="15.75" thickBot="1" x14ac:dyDescent="0.3">
      <c r="B23" s="55" t="s">
        <v>0</v>
      </c>
      <c r="C23" s="66" t="s">
        <v>44</v>
      </c>
      <c r="D23" s="67"/>
      <c r="E23" s="67"/>
      <c r="F23" s="67"/>
      <c r="G23" s="68"/>
      <c r="H23" s="61"/>
    </row>
    <row r="24" spans="2:9" ht="15.75" thickBot="1" x14ac:dyDescent="0.3">
      <c r="B24" s="56" t="s">
        <v>1</v>
      </c>
      <c r="C24" s="75" t="s">
        <v>27</v>
      </c>
      <c r="D24" s="76"/>
      <c r="E24" s="76"/>
      <c r="F24" s="76"/>
      <c r="G24" s="77"/>
      <c r="H24" s="62"/>
      <c r="I24" s="38"/>
    </row>
    <row r="25" spans="2:9" ht="51" x14ac:dyDescent="0.25">
      <c r="B25" s="53"/>
      <c r="C25" s="49" t="s">
        <v>49</v>
      </c>
      <c r="D25" s="4" t="s">
        <v>42</v>
      </c>
      <c r="E25" s="4" t="s">
        <v>2</v>
      </c>
      <c r="F25" s="4" t="s">
        <v>3</v>
      </c>
      <c r="G25" s="21" t="s">
        <v>4</v>
      </c>
    </row>
    <row r="26" spans="2:9" ht="25.5" x14ac:dyDescent="0.25">
      <c r="B26" s="54" t="s">
        <v>37</v>
      </c>
      <c r="C26" s="50">
        <v>0</v>
      </c>
      <c r="D26" s="31">
        <v>0</v>
      </c>
      <c r="E26" s="8" t="s">
        <v>5</v>
      </c>
      <c r="F26" s="1" t="s">
        <v>10</v>
      </c>
      <c r="G26" s="2" t="s">
        <v>18</v>
      </c>
    </row>
    <row r="27" spans="2:9" x14ac:dyDescent="0.25">
      <c r="B27" s="54" t="s">
        <v>38</v>
      </c>
      <c r="C27" s="50">
        <v>0.24199999999999999</v>
      </c>
      <c r="D27" s="31">
        <v>0.25</v>
      </c>
      <c r="E27" s="8" t="s">
        <v>6</v>
      </c>
      <c r="F27" s="1" t="s">
        <v>13</v>
      </c>
      <c r="G27" s="24" t="s">
        <v>29</v>
      </c>
    </row>
    <row r="28" spans="2:9" x14ac:dyDescent="0.25">
      <c r="B28" s="54" t="s">
        <v>39</v>
      </c>
      <c r="C28" s="50">
        <v>0.54759999999999998</v>
      </c>
      <c r="D28" s="31">
        <v>0.56000000000000005</v>
      </c>
      <c r="E28" s="8" t="s">
        <v>5</v>
      </c>
      <c r="F28" s="1" t="s">
        <v>31</v>
      </c>
      <c r="G28" s="24" t="s">
        <v>30</v>
      </c>
    </row>
    <row r="29" spans="2:9" x14ac:dyDescent="0.25">
      <c r="B29" s="54" t="s">
        <v>8</v>
      </c>
      <c r="C29" s="50">
        <v>4.9700000000000001E-2</v>
      </c>
      <c r="D29" s="31">
        <v>0.05</v>
      </c>
      <c r="E29" s="8"/>
      <c r="F29" s="1"/>
      <c r="G29" s="3" t="s">
        <v>33</v>
      </c>
    </row>
    <row r="30" spans="2:9" ht="15.75" thickBot="1" x14ac:dyDescent="0.3">
      <c r="B30" s="54" t="s">
        <v>20</v>
      </c>
      <c r="C30" s="50">
        <v>0.1608</v>
      </c>
      <c r="D30" s="31">
        <v>0.14000000000000001</v>
      </c>
      <c r="E30" s="8" t="s">
        <v>6</v>
      </c>
      <c r="F30" s="1" t="s">
        <v>32</v>
      </c>
      <c r="G30" s="2" t="s">
        <v>21</v>
      </c>
    </row>
    <row r="31" spans="2:9" ht="15.75" thickBot="1" x14ac:dyDescent="0.3">
      <c r="B31" s="43" t="s">
        <v>11</v>
      </c>
      <c r="C31" s="51">
        <f>SUM(C26:C30)</f>
        <v>1.0001</v>
      </c>
      <c r="D31" s="35">
        <f>SUM(D26:D30)</f>
        <v>1</v>
      </c>
      <c r="E31" s="9"/>
      <c r="F31" s="7"/>
      <c r="G31" s="22"/>
    </row>
    <row r="32" spans="2:9" ht="15.75" thickBot="1" x14ac:dyDescent="0.3">
      <c r="B32" s="46" t="s">
        <v>12</v>
      </c>
      <c r="C32" s="52">
        <v>1.1999999999999999E-3</v>
      </c>
      <c r="D32" s="36">
        <v>0</v>
      </c>
      <c r="E32" s="10" t="s">
        <v>5</v>
      </c>
      <c r="F32" s="5" t="s">
        <v>10</v>
      </c>
      <c r="G32" s="6"/>
    </row>
    <row r="33" spans="2:9" ht="15.75" thickBot="1" x14ac:dyDescent="0.3">
      <c r="B33" s="43" t="s">
        <v>48</v>
      </c>
      <c r="C33" s="42"/>
      <c r="D33" s="18">
        <v>0.01</v>
      </c>
      <c r="E33" s="15"/>
      <c r="F33" s="15"/>
      <c r="G33" s="17"/>
    </row>
    <row r="34" spans="2:9" ht="32.450000000000003" customHeight="1" thickBot="1" x14ac:dyDescent="0.3">
      <c r="B34" s="44" t="s">
        <v>40</v>
      </c>
      <c r="C34" s="69" t="s">
        <v>41</v>
      </c>
      <c r="D34" s="70"/>
      <c r="E34" s="70"/>
      <c r="F34" s="70"/>
      <c r="G34" s="71"/>
      <c r="H34" s="63"/>
    </row>
    <row r="35" spans="2:9" x14ac:dyDescent="0.25">
      <c r="B35" s="14"/>
      <c r="C35" s="14"/>
      <c r="D35" s="14"/>
      <c r="E35" s="15"/>
      <c r="F35" s="16"/>
      <c r="G35" s="17"/>
    </row>
    <row r="36" spans="2:9" x14ac:dyDescent="0.25">
      <c r="B36" s="14"/>
      <c r="C36" s="14"/>
      <c r="D36" s="14"/>
      <c r="E36" s="15"/>
      <c r="F36" s="16"/>
      <c r="G36" s="17"/>
    </row>
    <row r="37" spans="2:9" ht="15.75" thickBot="1" x14ac:dyDescent="0.3"/>
    <row r="38" spans="2:9" ht="15.75" thickBot="1" x14ac:dyDescent="0.3">
      <c r="B38" s="55" t="s">
        <v>0</v>
      </c>
      <c r="C38" s="66" t="s">
        <v>45</v>
      </c>
      <c r="D38" s="67"/>
      <c r="E38" s="67"/>
      <c r="F38" s="67"/>
      <c r="G38" s="68"/>
      <c r="H38" s="65"/>
      <c r="I38" s="38"/>
    </row>
    <row r="39" spans="2:9" ht="15.75" thickBot="1" x14ac:dyDescent="0.3">
      <c r="B39" s="56" t="s">
        <v>1</v>
      </c>
      <c r="C39" s="66" t="s">
        <v>23</v>
      </c>
      <c r="D39" s="67"/>
      <c r="E39" s="67"/>
      <c r="F39" s="67"/>
      <c r="G39" s="68"/>
      <c r="H39" s="65"/>
    </row>
    <row r="40" spans="2:9" ht="51" x14ac:dyDescent="0.25">
      <c r="B40" s="53"/>
      <c r="C40" s="49" t="s">
        <v>49</v>
      </c>
      <c r="D40" s="4" t="s">
        <v>42</v>
      </c>
      <c r="E40" s="4" t="s">
        <v>2</v>
      </c>
      <c r="F40" s="4" t="s">
        <v>3</v>
      </c>
      <c r="G40" s="21" t="s">
        <v>4</v>
      </c>
    </row>
    <row r="41" spans="2:9" x14ac:dyDescent="0.25">
      <c r="B41" s="54" t="s">
        <v>37</v>
      </c>
      <c r="C41" s="50">
        <v>0.99519999999999997</v>
      </c>
      <c r="D41" s="37">
        <v>0.94</v>
      </c>
      <c r="E41" s="8" t="s">
        <v>5</v>
      </c>
      <c r="F41" s="1" t="s">
        <v>34</v>
      </c>
      <c r="G41" s="2" t="s">
        <v>24</v>
      </c>
    </row>
    <row r="42" spans="2:9" ht="59.25" customHeight="1" thickBot="1" x14ac:dyDescent="0.3">
      <c r="B42" s="54" t="s">
        <v>8</v>
      </c>
      <c r="C42" s="50">
        <v>4.7999999999999996E-3</v>
      </c>
      <c r="D42" s="37">
        <v>0.06</v>
      </c>
      <c r="E42" s="8"/>
      <c r="F42" s="1"/>
      <c r="G42" s="3" t="s">
        <v>33</v>
      </c>
    </row>
    <row r="43" spans="2:9" ht="15.75" thickBot="1" x14ac:dyDescent="0.3">
      <c r="B43" s="43" t="s">
        <v>11</v>
      </c>
      <c r="C43" s="51">
        <f>SUM(C41:C42)</f>
        <v>1</v>
      </c>
      <c r="D43" s="35">
        <f>SUM(D41:D42)</f>
        <v>1</v>
      </c>
      <c r="E43" s="9"/>
      <c r="F43" s="7"/>
      <c r="G43" s="22"/>
    </row>
    <row r="44" spans="2:9" ht="15.75" thickBot="1" x14ac:dyDescent="0.3">
      <c r="B44" s="46" t="s">
        <v>12</v>
      </c>
      <c r="C44" s="52">
        <v>1.2999999999999999E-3</v>
      </c>
      <c r="D44" s="36">
        <v>0</v>
      </c>
      <c r="E44" s="25" t="s">
        <v>5</v>
      </c>
      <c r="F44" s="26" t="s">
        <v>10</v>
      </c>
      <c r="G44" s="6"/>
    </row>
    <row r="45" spans="2:9" ht="15.75" thickBot="1" x14ac:dyDescent="0.3">
      <c r="B45" s="43" t="s">
        <v>48</v>
      </c>
      <c r="C45" s="42"/>
      <c r="D45" s="18">
        <v>2.5000000000000001E-3</v>
      </c>
    </row>
    <row r="46" spans="2:9" ht="28.9" customHeight="1" thickBot="1" x14ac:dyDescent="0.3">
      <c r="B46" s="44" t="s">
        <v>40</v>
      </c>
      <c r="C46" s="69" t="s">
        <v>41</v>
      </c>
      <c r="D46" s="70"/>
      <c r="E46" s="70"/>
      <c r="F46" s="70"/>
      <c r="G46" s="71"/>
      <c r="H46" s="64"/>
    </row>
    <row r="49" spans="2:9" ht="15.75" thickBot="1" x14ac:dyDescent="0.3"/>
    <row r="50" spans="2:9" ht="15.75" thickBot="1" x14ac:dyDescent="0.3">
      <c r="B50" s="55" t="s">
        <v>0</v>
      </c>
      <c r="C50" s="66" t="s">
        <v>46</v>
      </c>
      <c r="D50" s="67"/>
      <c r="E50" s="67"/>
      <c r="F50" s="67"/>
      <c r="G50" s="68"/>
      <c r="H50" s="65"/>
      <c r="I50" s="38"/>
    </row>
    <row r="51" spans="2:9" ht="15.75" thickBot="1" x14ac:dyDescent="0.3">
      <c r="B51" s="56" t="s">
        <v>1</v>
      </c>
      <c r="C51" s="66" t="s">
        <v>28</v>
      </c>
      <c r="D51" s="67"/>
      <c r="E51" s="67"/>
      <c r="F51" s="67"/>
      <c r="G51" s="68"/>
      <c r="H51" s="65"/>
    </row>
    <row r="52" spans="2:9" ht="51" x14ac:dyDescent="0.25">
      <c r="B52" s="53"/>
      <c r="C52" s="49" t="s">
        <v>49</v>
      </c>
      <c r="D52" s="4" t="s">
        <v>42</v>
      </c>
      <c r="E52" s="4" t="s">
        <v>2</v>
      </c>
      <c r="F52" s="4" t="s">
        <v>3</v>
      </c>
      <c r="G52" s="21" t="s">
        <v>4</v>
      </c>
    </row>
    <row r="53" spans="2:9" ht="47.25" customHeight="1" x14ac:dyDescent="0.25">
      <c r="B53" s="54" t="s">
        <v>37</v>
      </c>
      <c r="C53" s="50">
        <v>0.96519999999999995</v>
      </c>
      <c r="D53" s="37">
        <v>0.94</v>
      </c>
      <c r="E53" s="8" t="s">
        <v>5</v>
      </c>
      <c r="F53" s="1" t="s">
        <v>34</v>
      </c>
      <c r="G53" s="3" t="s">
        <v>22</v>
      </c>
    </row>
    <row r="54" spans="2:9" ht="15.75" thickBot="1" x14ac:dyDescent="0.3">
      <c r="B54" s="54" t="s">
        <v>8</v>
      </c>
      <c r="C54" s="50">
        <v>3.4799999999999998E-2</v>
      </c>
      <c r="D54" s="37">
        <v>0.06</v>
      </c>
      <c r="E54" s="8"/>
      <c r="F54" s="1"/>
      <c r="G54" s="3" t="s">
        <v>33</v>
      </c>
    </row>
    <row r="55" spans="2:9" ht="15.75" thickBot="1" x14ac:dyDescent="0.3">
      <c r="B55" s="43" t="s">
        <v>11</v>
      </c>
      <c r="C55" s="51">
        <f>SUM(C53:C54)</f>
        <v>1</v>
      </c>
      <c r="D55" s="35">
        <f>SUM(D53:D54)</f>
        <v>1</v>
      </c>
      <c r="E55" s="9"/>
      <c r="F55" s="7"/>
      <c r="G55" s="22"/>
    </row>
    <row r="56" spans="2:9" ht="15.75" thickBot="1" x14ac:dyDescent="0.3">
      <c r="B56" s="46" t="s">
        <v>12</v>
      </c>
      <c r="C56" s="52">
        <v>0.96550000000000002</v>
      </c>
      <c r="D56" s="32">
        <v>0.94</v>
      </c>
      <c r="E56" s="47" t="s">
        <v>5</v>
      </c>
      <c r="F56" s="48" t="s">
        <v>34</v>
      </c>
      <c r="G56" s="45"/>
    </row>
    <row r="57" spans="2:9" ht="15.75" thickBot="1" x14ac:dyDescent="0.3">
      <c r="B57" s="43" t="s">
        <v>48</v>
      </c>
      <c r="C57" s="42"/>
      <c r="D57" s="18">
        <v>2.5000000000000001E-3</v>
      </c>
    </row>
    <row r="58" spans="2:9" ht="34.9" customHeight="1" thickBot="1" x14ac:dyDescent="0.3">
      <c r="B58" s="44" t="s">
        <v>40</v>
      </c>
      <c r="C58" s="69" t="s">
        <v>41</v>
      </c>
      <c r="D58" s="70"/>
      <c r="E58" s="70"/>
      <c r="F58" s="70"/>
      <c r="G58" s="71"/>
      <c r="H58" s="64"/>
    </row>
  </sheetData>
  <mergeCells count="15">
    <mergeCell ref="B2:G2"/>
    <mergeCell ref="C23:G23"/>
    <mergeCell ref="C24:G24"/>
    <mergeCell ref="C34:G34"/>
    <mergeCell ref="C46:G46"/>
    <mergeCell ref="B4:G4"/>
    <mergeCell ref="C6:G6"/>
    <mergeCell ref="C7:G7"/>
    <mergeCell ref="C17:G17"/>
    <mergeCell ref="B20:G20"/>
    <mergeCell ref="C58:G58"/>
    <mergeCell ref="C38:G38"/>
    <mergeCell ref="C39:G39"/>
    <mergeCell ref="C50:G50"/>
    <mergeCell ref="C51:G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השתלמות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Eichel</dc:creator>
  <cp:lastModifiedBy>שאדי מחאמיד</cp:lastModifiedBy>
  <cp:lastPrinted>2024-03-28T08:29:19Z</cp:lastPrinted>
  <dcterms:created xsi:type="dcterms:W3CDTF">2017-09-12T09:33:22Z</dcterms:created>
  <dcterms:modified xsi:type="dcterms:W3CDTF">2025-01-14T07:09:10Z</dcterms:modified>
</cp:coreProperties>
</file>