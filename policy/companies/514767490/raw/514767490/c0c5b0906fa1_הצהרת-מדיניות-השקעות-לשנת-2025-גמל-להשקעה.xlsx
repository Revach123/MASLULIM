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H:\סלייס\"/>
    </mc:Choice>
  </mc:AlternateContent>
  <xr:revisionPtr revIDLastSave="0" documentId="8_{7474D606-B17C-4347-9C60-0F625FA06E87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גמל להשקעה" sheetId="2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2" l="1"/>
  <c r="C64" i="2"/>
  <c r="C53" i="2"/>
  <c r="C42" i="2"/>
  <c r="D75" i="2"/>
  <c r="D64" i="2"/>
  <c r="D53" i="2"/>
  <c r="D42" i="2"/>
  <c r="D31" i="2"/>
  <c r="D14" i="2"/>
  <c r="C14" i="2"/>
  <c r="C31" i="2" l="1"/>
</calcChain>
</file>

<file path=xl/sharedStrings.xml><?xml version="1.0" encoding="utf-8"?>
<sst xmlns="http://schemas.openxmlformats.org/spreadsheetml/2006/main" count="148" uniqueCount="57">
  <si>
    <t>קידוד קופה</t>
  </si>
  <si>
    <t>שם הקופה</t>
  </si>
  <si>
    <t>טווח סטייה מותר</t>
  </si>
  <si>
    <t>גבולות שיעור החשיפה הצפויה</t>
  </si>
  <si>
    <t>מדדי ייחוס</t>
  </si>
  <si>
    <t>+/-6%</t>
  </si>
  <si>
    <t>+/-5%</t>
  </si>
  <si>
    <t>מדד ממשלתי כללי</t>
  </si>
  <si>
    <t>מזומן</t>
  </si>
  <si>
    <t>אחר</t>
  </si>
  <si>
    <t>0%-6%</t>
  </si>
  <si>
    <t>סה"כ</t>
  </si>
  <si>
    <t>מטח</t>
  </si>
  <si>
    <t>20%-30%</t>
  </si>
  <si>
    <t>0%-5%</t>
  </si>
  <si>
    <t>14%-26%</t>
  </si>
  <si>
    <t>מסלולים כלליים</t>
  </si>
  <si>
    <t>מדד ת"א 125 - 50%
S&amp;P 500 - 50%</t>
  </si>
  <si>
    <t>מסלולים מתמחים</t>
  </si>
  <si>
    <t>מדד ת"א 35</t>
  </si>
  <si>
    <t>קרנות השקעה</t>
  </si>
  <si>
    <t>מדד צור-גלבוע</t>
  </si>
  <si>
    <t>S&amp;P 500</t>
  </si>
  <si>
    <t>24%-36%</t>
  </si>
  <si>
    <t>מדד קונצרני כללי - מאגר</t>
  </si>
  <si>
    <t>סלייס גמל להשקעה כללי</t>
  </si>
  <si>
    <t>סלייס גמל להשקעה מחקה מדד ת"א - 35</t>
  </si>
  <si>
    <t>סלייס גמל להשקעה מחקה מדד תל בונד 60</t>
  </si>
  <si>
    <t>סלייס גמל להשקעה מחקה מדד שקליות ממשלתיות</t>
  </si>
  <si>
    <t>סלייס גמל להשקעה מחקה מדד S&amp;P 500</t>
  </si>
  <si>
    <t>סלייס גמל להשקעה אג"ח ללא מניות</t>
  </si>
  <si>
    <t xml:space="preserve">מדד ממשלתי כללי </t>
  </si>
  <si>
    <t>מדד תל בונד 60</t>
  </si>
  <si>
    <t>50%-62%</t>
  </si>
  <si>
    <t>9%-19%</t>
  </si>
  <si>
    <t>תל גוב- מק"מ</t>
  </si>
  <si>
    <t>90%-100%</t>
  </si>
  <si>
    <t>תל גוב שקלי</t>
  </si>
  <si>
    <t>88%-100%</t>
  </si>
  <si>
    <t>תל גוב 60</t>
  </si>
  <si>
    <t>49%-61%</t>
  </si>
  <si>
    <t>15%-25%</t>
  </si>
  <si>
    <t>מניות(קרנות סל, ETF )</t>
  </si>
  <si>
    <t>אג"ח ממשלתי(קרנות סל,קרנות נאמנות,אג"ח)</t>
  </si>
  <si>
    <t>אג"ח קונצרני(קרנות סל)</t>
  </si>
  <si>
    <t>השקעות ESG</t>
  </si>
  <si>
    <t>הקופה אינה מתחשבת בהשקעות הקופה בשיקולי ESG וכך גם לא בשיקולי האקלים וכי הקופה אינה נוקטת במדיניות של הימנעות גורפת מהשקעות בענפים מסוימים בשל שיקולי ESG</t>
  </si>
  <si>
    <t>שיעור חשיפה צפוי בשנת 2025</t>
  </si>
  <si>
    <t>51476749000000000078910007900</t>
  </si>
  <si>
    <t>51476749000000000078910007897</t>
  </si>
  <si>
    <t>51476749000000000078910007892</t>
  </si>
  <si>
    <t>51476749000000000078910007895</t>
  </si>
  <si>
    <t>51476749000000000078910007896</t>
  </si>
  <si>
    <t>מדיניות השקעות צפויה לשנת 2025</t>
  </si>
  <si>
    <t>מגבלת עמלת ניהול חיצוני לשנת 2025</t>
  </si>
  <si>
    <t>שיעור חשיפה ליום 31.12.24</t>
  </si>
  <si>
    <t>51476749000000000078910007893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</si>
</sst>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charset val="177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7" xfId="0" applyFont="1" applyFill="1" applyBorder="1" applyAlignment="1">
      <alignment horizontal="center" vertical="center" readingOrder="2"/>
    </xf>
    <xf numFmtId="0" fontId="8" fillId="0" borderId="8" xfId="3" applyFont="1" applyFill="1" applyBorder="1" applyAlignment="1">
      <alignment horizontal="center" vertical="center" wrapText="1" readingOrder="2"/>
    </xf>
    <xf numFmtId="0" fontId="8" fillId="0" borderId="8" xfId="3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2"/>
    </xf>
    <xf numFmtId="0" fontId="3" fillId="0" borderId="13" xfId="0" applyFont="1" applyFill="1" applyBorder="1" applyAlignment="1">
      <alignment horizontal="center" vertical="center" readingOrder="2"/>
    </xf>
    <xf numFmtId="0" fontId="8" fillId="0" borderId="14" xfId="3" applyFont="1" applyFill="1" applyBorder="1" applyAlignment="1">
      <alignment horizontal="center" vertical="center" wrapText="1" readingOrder="2"/>
    </xf>
    <xf numFmtId="0" fontId="6" fillId="2" borderId="16" xfId="0" applyFont="1" applyFill="1" applyBorder="1" applyAlignment="1">
      <alignment horizontal="center" vertical="center" readingOrder="2"/>
    </xf>
    <xf numFmtId="0" fontId="3" fillId="0" borderId="7" xfId="0" applyFont="1" applyFill="1" applyBorder="1" applyAlignment="1">
      <alignment horizontal="center" vertical="center" readingOrder="1"/>
    </xf>
    <xf numFmtId="0" fontId="6" fillId="2" borderId="16" xfId="0" applyFont="1" applyFill="1" applyBorder="1" applyAlignment="1">
      <alignment horizontal="center" vertical="center" readingOrder="1"/>
    </xf>
    <xf numFmtId="0" fontId="3" fillId="0" borderId="13" xfId="0" applyFont="1" applyFill="1" applyBorder="1" applyAlignment="1">
      <alignment horizontal="center" vertical="center" readingOrder="1"/>
    </xf>
    <xf numFmtId="0" fontId="3" fillId="0" borderId="16" xfId="0" applyFont="1" applyFill="1" applyBorder="1" applyAlignment="1">
      <alignment horizontal="center" vertical="center" readingOrder="2"/>
    </xf>
    <xf numFmtId="10" fontId="6" fillId="2" borderId="17" xfId="3" applyNumberFormat="1" applyFont="1" applyFill="1" applyBorder="1" applyAlignment="1">
      <alignment horizontal="center" vertical="center" readingOrder="2"/>
    </xf>
    <xf numFmtId="0" fontId="0" fillId="0" borderId="0" xfId="0" applyFill="1"/>
    <xf numFmtId="0" fontId="0" fillId="0" borderId="0" xfId="0" applyAlignment="1">
      <alignment wrapText="1"/>
    </xf>
    <xf numFmtId="0" fontId="6" fillId="3" borderId="5" xfId="0" applyFont="1" applyFill="1" applyBorder="1" applyAlignment="1">
      <alignment horizontal="center" vertical="center" wrapText="1" readingOrder="2"/>
    </xf>
    <xf numFmtId="0" fontId="9" fillId="2" borderId="17" xfId="3" applyFont="1" applyFill="1" applyBorder="1" applyAlignment="1">
      <alignment horizontal="center" vertical="center" wrapText="1" readingOrder="2"/>
    </xf>
    <xf numFmtId="0" fontId="8" fillId="0" borderId="8" xfId="3" applyFont="1" applyBorder="1" applyAlignment="1">
      <alignment horizontal="center" vertical="center" wrapText="1" readingOrder="2"/>
    </xf>
    <xf numFmtId="10" fontId="0" fillId="0" borderId="0" xfId="0" applyNumberFormat="1"/>
    <xf numFmtId="9" fontId="0" fillId="0" borderId="0" xfId="1" applyFont="1"/>
    <xf numFmtId="0" fontId="11" fillId="0" borderId="0" xfId="0" applyFont="1"/>
    <xf numFmtId="0" fontId="3" fillId="0" borderId="13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 readingOrder="2"/>
    </xf>
    <xf numFmtId="0" fontId="3" fillId="0" borderId="22" xfId="0" applyFont="1" applyFill="1" applyBorder="1" applyAlignment="1">
      <alignment horizontal="center" vertical="center" readingOrder="1"/>
    </xf>
    <xf numFmtId="0" fontId="0" fillId="0" borderId="0" xfId="0" applyBorder="1" applyAlignment="1">
      <alignment wrapText="1"/>
    </xf>
    <xf numFmtId="0" fontId="3" fillId="0" borderId="16" xfId="0" applyFont="1" applyBorder="1" applyAlignment="1">
      <alignment horizontal="center" vertical="center" readingOrder="2"/>
    </xf>
    <xf numFmtId="0" fontId="6" fillId="3" borderId="23" xfId="0" applyFont="1" applyFill="1" applyBorder="1" applyAlignment="1">
      <alignment horizontal="center" vertical="center" wrapText="1" readingOrder="2"/>
    </xf>
    <xf numFmtId="0" fontId="6" fillId="3" borderId="24" xfId="0" applyFont="1" applyFill="1" applyBorder="1" applyAlignment="1">
      <alignment horizontal="center" vertical="center" wrapText="1" readingOrder="2"/>
    </xf>
    <xf numFmtId="164" fontId="3" fillId="0" borderId="7" xfId="5" applyNumberFormat="1" applyFont="1" applyFill="1" applyBorder="1" applyAlignment="1">
      <alignment horizontal="center" vertical="center" readingOrder="2"/>
    </xf>
    <xf numFmtId="0" fontId="4" fillId="2" borderId="25" xfId="2" applyFont="1" applyFill="1" applyBorder="1" applyAlignment="1">
      <alignment horizontal="center" vertical="center"/>
    </xf>
    <xf numFmtId="0" fontId="4" fillId="2" borderId="26" xfId="2" applyFont="1" applyFill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 readingOrder="2"/>
    </xf>
    <xf numFmtId="164" fontId="6" fillId="2" borderId="16" xfId="1" applyNumberFormat="1" applyFont="1" applyFill="1" applyBorder="1" applyAlignment="1">
      <alignment horizontal="center" vertical="center" readingOrder="2"/>
    </xf>
    <xf numFmtId="164" fontId="3" fillId="0" borderId="13" xfId="1" applyNumberFormat="1" applyFont="1" applyFill="1" applyBorder="1" applyAlignment="1">
      <alignment horizontal="center" vertical="center" readingOrder="2"/>
    </xf>
    <xf numFmtId="164" fontId="3" fillId="0" borderId="7" xfId="1" applyNumberFormat="1" applyFont="1" applyFill="1" applyBorder="1" applyAlignment="1">
      <alignment horizontal="center" vertical="center" readingOrder="2"/>
    </xf>
    <xf numFmtId="0" fontId="14" fillId="0" borderId="0" xfId="0" applyFont="1"/>
    <xf numFmtId="0" fontId="0" fillId="0" borderId="0" xfId="0" applyBorder="1" applyAlignment="1">
      <alignment horizontal="right" wrapText="1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3" borderId="18" xfId="0" applyFont="1" applyFill="1" applyBorder="1" applyAlignment="1">
      <alignment vertical="center" readingOrder="2"/>
    </xf>
    <xf numFmtId="0" fontId="6" fillId="3" borderId="29" xfId="0" applyFont="1" applyFill="1" applyBorder="1" applyAlignment="1">
      <alignment horizontal="center" vertical="center" readingOrder="2"/>
    </xf>
    <xf numFmtId="0" fontId="6" fillId="3" borderId="29" xfId="0" applyFont="1" applyFill="1" applyBorder="1" applyAlignment="1">
      <alignment horizontal="center" vertical="center" wrapText="1" readingOrder="2"/>
    </xf>
    <xf numFmtId="164" fontId="6" fillId="2" borderId="31" xfId="1" applyNumberFormat="1" applyFont="1" applyFill="1" applyBorder="1" applyAlignment="1">
      <alignment horizontal="center" vertical="center" readingOrder="2"/>
    </xf>
    <xf numFmtId="0" fontId="6" fillId="2" borderId="31" xfId="0" applyFont="1" applyFill="1" applyBorder="1" applyAlignment="1">
      <alignment horizontal="center" vertical="center" readingOrder="1"/>
    </xf>
    <xf numFmtId="0" fontId="6" fillId="2" borderId="31" xfId="0" applyFont="1" applyFill="1" applyBorder="1" applyAlignment="1">
      <alignment horizontal="center" vertical="center" readingOrder="2"/>
    </xf>
    <xf numFmtId="0" fontId="9" fillId="2" borderId="32" xfId="3" applyFont="1" applyFill="1" applyBorder="1" applyAlignment="1">
      <alignment horizontal="center" vertical="center" wrapText="1" readingOrder="2"/>
    </xf>
    <xf numFmtId="0" fontId="6" fillId="3" borderId="33" xfId="0" applyFont="1" applyFill="1" applyBorder="1" applyAlignment="1">
      <alignment horizontal="center" vertical="center" readingOrder="2"/>
    </xf>
    <xf numFmtId="0" fontId="6" fillId="3" borderId="34" xfId="0" applyFont="1" applyFill="1" applyBorder="1" applyAlignment="1">
      <alignment vertical="center" readingOrder="2"/>
    </xf>
    <xf numFmtId="10" fontId="6" fillId="2" borderId="14" xfId="3" applyNumberFormat="1" applyFont="1" applyFill="1" applyBorder="1" applyAlignment="1">
      <alignment horizontal="center" vertical="center" readingOrder="2"/>
    </xf>
    <xf numFmtId="164" fontId="3" fillId="0" borderId="16" xfId="1" applyNumberFormat="1" applyFont="1" applyFill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1"/>
    </xf>
    <xf numFmtId="0" fontId="8" fillId="0" borderId="17" xfId="3" applyFont="1" applyFill="1" applyBorder="1" applyAlignment="1">
      <alignment horizontal="center" vertical="center" wrapText="1" readingOrder="2"/>
    </xf>
    <xf numFmtId="0" fontId="6" fillId="3" borderId="35" xfId="0" applyFont="1" applyFill="1" applyBorder="1" applyAlignment="1">
      <alignment horizontal="center" vertical="center" wrapText="1" readingOrder="2"/>
    </xf>
    <xf numFmtId="164" fontId="3" fillId="0" borderId="22" xfId="1" applyNumberFormat="1" applyFont="1" applyFill="1" applyBorder="1" applyAlignment="1">
      <alignment horizontal="center" vertical="center" readingOrder="2"/>
    </xf>
    <xf numFmtId="164" fontId="6" fillId="2" borderId="18" xfId="1" applyNumberFormat="1" applyFont="1" applyFill="1" applyBorder="1" applyAlignment="1">
      <alignment horizontal="center" vertical="center" readingOrder="2"/>
    </xf>
    <xf numFmtId="164" fontId="3" fillId="0" borderId="34" xfId="1" applyNumberFormat="1" applyFont="1" applyFill="1" applyBorder="1" applyAlignment="1">
      <alignment horizontal="center" vertical="center" readingOrder="2"/>
    </xf>
    <xf numFmtId="0" fontId="6" fillId="3" borderId="19" xfId="2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 readingOrder="2"/>
    </xf>
    <xf numFmtId="0" fontId="4" fillId="2" borderId="19" xfId="2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 readingOrder="2"/>
    </xf>
    <xf numFmtId="164" fontId="13" fillId="0" borderId="37" xfId="0" applyNumberFormat="1" applyFont="1" applyBorder="1" applyAlignment="1">
      <alignment horizontal="center"/>
    </xf>
    <xf numFmtId="0" fontId="6" fillId="3" borderId="38" xfId="0" applyFont="1" applyFill="1" applyBorder="1" applyAlignment="1">
      <alignment horizontal="center" vertical="center" readingOrder="2"/>
    </xf>
    <xf numFmtId="0" fontId="10" fillId="2" borderId="9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4" fillId="0" borderId="0" xfId="0" applyFont="1" applyFill="1" applyBorder="1"/>
    <xf numFmtId="164" fontId="3" fillId="0" borderId="15" xfId="1" applyNumberFormat="1" applyFont="1" applyFill="1" applyBorder="1" applyAlignment="1">
      <alignment horizontal="center" vertical="center" readingOrder="2"/>
    </xf>
    <xf numFmtId="49" fontId="5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49" fontId="5" fillId="0" borderId="0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 readingOrder="2"/>
    </xf>
    <xf numFmtId="164" fontId="3" fillId="0" borderId="6" xfId="1" applyNumberFormat="1" applyFont="1" applyFill="1" applyBorder="1" applyAlignment="1">
      <alignment horizontal="center" vertical="center" readingOrder="2"/>
    </xf>
    <xf numFmtId="164" fontId="6" fillId="2" borderId="15" xfId="1" applyNumberFormat="1" applyFont="1" applyFill="1" applyBorder="1" applyAlignment="1">
      <alignment horizontal="center" vertical="center" readingOrder="2"/>
    </xf>
    <xf numFmtId="164" fontId="3" fillId="0" borderId="12" xfId="1" applyNumberFormat="1" applyFont="1" applyFill="1" applyBorder="1" applyAlignment="1">
      <alignment horizontal="center" vertical="center" readingOrder="2"/>
    </xf>
    <xf numFmtId="164" fontId="6" fillId="2" borderId="39" xfId="1" applyNumberFormat="1" applyFont="1" applyFill="1" applyBorder="1" applyAlignment="1">
      <alignment horizontal="center" vertical="center" readingOrder="2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49" fontId="5" fillId="2" borderId="28" xfId="0" applyNumberFormat="1" applyFont="1" applyFill="1" applyBorder="1" applyAlignment="1">
      <alignment horizontal="center" vertical="center"/>
    </xf>
    <xf numFmtId="49" fontId="5" fillId="2" borderId="30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3" xfId="2" xr:uid="{00000000-0005-0000-0000-000002000000}"/>
    <cellStyle name="Normal 4" xfId="4" xr:uid="{00000000-0005-0000-0000-000003000000}"/>
    <cellStyle name="Percent" xfId="1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77"/>
  <sheetViews>
    <sheetView rightToLeft="1" tabSelected="1" zoomScaleNormal="100" workbookViewId="0">
      <selection activeCell="C17" sqref="C17:G17"/>
    </sheetView>
  </sheetViews>
  <sheetFormatPr defaultRowHeight="15" x14ac:dyDescent="0.25"/>
  <cols>
    <col min="2" max="2" width="32.85546875" customWidth="1"/>
    <col min="3" max="3" width="23" customWidth="1"/>
    <col min="4" max="4" width="11" customWidth="1"/>
    <col min="5" max="5" width="12.85546875" customWidth="1"/>
    <col min="6" max="6" width="21.42578125" customWidth="1"/>
    <col min="7" max="7" width="26.140625" style="16" customWidth="1"/>
    <col min="8" max="9" width="19.140625" customWidth="1"/>
    <col min="10" max="10" width="31.42578125" bestFit="1" customWidth="1"/>
    <col min="11" max="15" width="12.7109375" customWidth="1"/>
  </cols>
  <sheetData>
    <row r="1" spans="2:12" ht="15.75" thickBot="1" x14ac:dyDescent="0.3"/>
    <row r="2" spans="2:12" ht="28.5" customHeight="1" thickBot="1" x14ac:dyDescent="0.3">
      <c r="B2" s="82" t="s">
        <v>53</v>
      </c>
      <c r="C2" s="83"/>
      <c r="D2" s="83"/>
      <c r="E2" s="83"/>
      <c r="F2" s="83"/>
      <c r="G2" s="84"/>
      <c r="H2" s="66"/>
    </row>
    <row r="3" spans="2:12" ht="15.75" thickBot="1" x14ac:dyDescent="0.3">
      <c r="H3" s="69"/>
    </row>
    <row r="4" spans="2:12" ht="29.25" thickBot="1" x14ac:dyDescent="0.3">
      <c r="B4" s="82" t="s">
        <v>16</v>
      </c>
      <c r="C4" s="83"/>
      <c r="D4" s="83"/>
      <c r="E4" s="83"/>
      <c r="F4" s="83"/>
      <c r="G4" s="84"/>
      <c r="H4" s="66"/>
    </row>
    <row r="5" spans="2:12" ht="15.75" thickBot="1" x14ac:dyDescent="0.3"/>
    <row r="6" spans="2:12" ht="15.75" thickBot="1" x14ac:dyDescent="0.3">
      <c r="B6" s="59" t="s">
        <v>0</v>
      </c>
      <c r="C6" s="91" t="s">
        <v>48</v>
      </c>
      <c r="D6" s="92"/>
      <c r="E6" s="92"/>
      <c r="F6" s="92"/>
      <c r="G6" s="93"/>
      <c r="H6" s="67"/>
      <c r="I6" s="37"/>
    </row>
    <row r="7" spans="2:12" ht="15.75" thickBot="1" x14ac:dyDescent="0.3">
      <c r="B7" s="60" t="s">
        <v>1</v>
      </c>
      <c r="C7" s="88" t="s">
        <v>25</v>
      </c>
      <c r="D7" s="89"/>
      <c r="E7" s="89"/>
      <c r="F7" s="89"/>
      <c r="G7" s="90"/>
      <c r="H7" s="68"/>
    </row>
    <row r="8" spans="2:12" ht="135" customHeight="1" x14ac:dyDescent="0.25">
      <c r="B8" s="57"/>
      <c r="C8" s="53" t="s">
        <v>55</v>
      </c>
      <c r="D8" s="6" t="s">
        <v>47</v>
      </c>
      <c r="E8" s="6" t="s">
        <v>2</v>
      </c>
      <c r="F8" s="6" t="s">
        <v>3</v>
      </c>
      <c r="G8" s="17" t="s">
        <v>4</v>
      </c>
    </row>
    <row r="9" spans="2:12" ht="25.5" x14ac:dyDescent="0.25">
      <c r="B9" s="58" t="s">
        <v>42</v>
      </c>
      <c r="C9" s="54">
        <v>0.56930000000000003</v>
      </c>
      <c r="D9" s="33">
        <v>0.55000000000000004</v>
      </c>
      <c r="E9" s="25" t="s">
        <v>5</v>
      </c>
      <c r="F9" s="1" t="s">
        <v>40</v>
      </c>
      <c r="G9" s="2" t="s">
        <v>17</v>
      </c>
      <c r="J9" s="21"/>
      <c r="K9" s="20"/>
      <c r="L9" s="20"/>
    </row>
    <row r="10" spans="2:12" x14ac:dyDescent="0.25">
      <c r="B10" s="58" t="s">
        <v>43</v>
      </c>
      <c r="C10" s="54">
        <v>0.2031</v>
      </c>
      <c r="D10" s="33">
        <v>0.2</v>
      </c>
      <c r="E10" s="25" t="s">
        <v>6</v>
      </c>
      <c r="F10" s="1" t="s">
        <v>41</v>
      </c>
      <c r="G10" s="2" t="s">
        <v>7</v>
      </c>
      <c r="J10" s="21"/>
      <c r="K10" s="20"/>
      <c r="L10" s="20"/>
    </row>
    <row r="11" spans="2:12" x14ac:dyDescent="0.25">
      <c r="B11" s="58" t="s">
        <v>44</v>
      </c>
      <c r="C11" s="54">
        <v>0.1953</v>
      </c>
      <c r="D11" s="33">
        <v>0.2</v>
      </c>
      <c r="E11" s="25" t="s">
        <v>5</v>
      </c>
      <c r="F11" s="1" t="s">
        <v>15</v>
      </c>
      <c r="G11" s="2" t="s">
        <v>24</v>
      </c>
      <c r="J11" s="21"/>
      <c r="K11" s="20"/>
      <c r="L11" s="20"/>
    </row>
    <row r="12" spans="2:12" x14ac:dyDescent="0.25">
      <c r="B12" s="61" t="s">
        <v>9</v>
      </c>
      <c r="C12" s="54">
        <v>0</v>
      </c>
      <c r="D12" s="33">
        <v>0</v>
      </c>
      <c r="E12" s="25" t="s">
        <v>6</v>
      </c>
      <c r="F12" s="1" t="s">
        <v>14</v>
      </c>
      <c r="G12" s="2" t="s">
        <v>21</v>
      </c>
      <c r="J12" s="21"/>
      <c r="K12" s="20"/>
      <c r="L12" s="20"/>
    </row>
    <row r="13" spans="2:12" ht="15.75" thickBot="1" x14ac:dyDescent="0.3">
      <c r="B13" s="58" t="s">
        <v>8</v>
      </c>
      <c r="C13" s="54">
        <v>3.2199999999999999E-2</v>
      </c>
      <c r="D13" s="33">
        <v>0.05</v>
      </c>
      <c r="E13" s="25"/>
      <c r="F13" s="1"/>
      <c r="G13" s="3"/>
      <c r="J13" s="21"/>
      <c r="K13" s="20"/>
      <c r="L13" s="20"/>
    </row>
    <row r="14" spans="2:12" ht="15.75" thickBot="1" x14ac:dyDescent="0.3">
      <c r="B14" s="41" t="s">
        <v>11</v>
      </c>
      <c r="C14" s="55">
        <f>SUM(C9:C13)</f>
        <v>0.99990000000000001</v>
      </c>
      <c r="D14" s="34">
        <f>SUM(D9:D13)</f>
        <v>1</v>
      </c>
      <c r="E14" s="11"/>
      <c r="F14" s="9"/>
      <c r="G14" s="18"/>
    </row>
    <row r="15" spans="2:12" ht="15.75" thickBot="1" x14ac:dyDescent="0.3">
      <c r="B15" s="47" t="s">
        <v>12</v>
      </c>
      <c r="C15" s="56">
        <v>0.29720000000000002</v>
      </c>
      <c r="D15" s="35">
        <v>0.3</v>
      </c>
      <c r="E15" s="12" t="s">
        <v>5</v>
      </c>
      <c r="F15" s="13" t="s">
        <v>23</v>
      </c>
      <c r="G15" s="8"/>
    </row>
    <row r="16" spans="2:12" ht="15.75" thickBot="1" x14ac:dyDescent="0.3">
      <c r="B16" s="41" t="s">
        <v>54</v>
      </c>
      <c r="C16" s="40"/>
      <c r="D16" s="14">
        <v>7.0000000000000001E-3</v>
      </c>
    </row>
    <row r="17" spans="2:10" ht="33" customHeight="1" thickBot="1" x14ac:dyDescent="0.3">
      <c r="B17" s="42" t="s">
        <v>45</v>
      </c>
      <c r="C17" s="79" t="s">
        <v>46</v>
      </c>
      <c r="D17" s="80"/>
      <c r="E17" s="80"/>
      <c r="F17" s="80"/>
      <c r="G17" s="81"/>
      <c r="H17" s="26"/>
      <c r="I17" s="37"/>
    </row>
    <row r="18" spans="2:10" ht="33" customHeight="1" x14ac:dyDescent="0.25">
      <c r="B18" s="39"/>
      <c r="C18" s="38"/>
      <c r="D18" s="38"/>
      <c r="E18" s="38"/>
      <c r="F18" s="38"/>
      <c r="G18" s="38"/>
      <c r="H18" s="38"/>
      <c r="I18" s="37"/>
    </row>
    <row r="19" spans="2:10" ht="15.75" thickBot="1" x14ac:dyDescent="0.3"/>
    <row r="20" spans="2:10" ht="28.5" customHeight="1" thickBot="1" x14ac:dyDescent="0.3">
      <c r="B20" s="64" t="s">
        <v>18</v>
      </c>
      <c r="C20" s="65"/>
      <c r="D20" s="65"/>
      <c r="E20" s="65"/>
      <c r="F20" s="65"/>
      <c r="G20" s="65"/>
      <c r="H20" s="66"/>
    </row>
    <row r="22" spans="2:10" ht="15.75" thickBot="1" x14ac:dyDescent="0.3"/>
    <row r="23" spans="2:10" ht="14.25" customHeight="1" thickBot="1" x14ac:dyDescent="0.3">
      <c r="B23" s="4" t="s">
        <v>0</v>
      </c>
      <c r="C23" s="85" t="s">
        <v>49</v>
      </c>
      <c r="D23" s="86"/>
      <c r="E23" s="86"/>
      <c r="F23" s="86"/>
      <c r="G23" s="87"/>
      <c r="H23" s="71"/>
      <c r="I23" s="37"/>
    </row>
    <row r="24" spans="2:10" ht="15.75" thickBot="1" x14ac:dyDescent="0.3">
      <c r="B24" s="5" t="s">
        <v>1</v>
      </c>
      <c r="C24" s="88" t="s">
        <v>30</v>
      </c>
      <c r="D24" s="89"/>
      <c r="E24" s="89"/>
      <c r="F24" s="89"/>
      <c r="G24" s="90"/>
      <c r="H24" s="68"/>
    </row>
    <row r="25" spans="2:10" ht="38.25" x14ac:dyDescent="0.25">
      <c r="B25" s="57"/>
      <c r="C25" s="53" t="s">
        <v>55</v>
      </c>
      <c r="D25" s="28" t="s">
        <v>47</v>
      </c>
      <c r="E25" s="28" t="s">
        <v>2</v>
      </c>
      <c r="F25" s="28" t="s">
        <v>3</v>
      </c>
      <c r="G25" s="29" t="s">
        <v>4</v>
      </c>
    </row>
    <row r="26" spans="2:10" ht="25.5" x14ac:dyDescent="0.25">
      <c r="B26" s="58" t="s">
        <v>42</v>
      </c>
      <c r="C26" s="54">
        <v>0</v>
      </c>
      <c r="D26" s="30">
        <v>0</v>
      </c>
      <c r="E26" s="10" t="s">
        <v>5</v>
      </c>
      <c r="F26" s="1" t="s">
        <v>10</v>
      </c>
      <c r="G26" s="2" t="s">
        <v>17</v>
      </c>
      <c r="H26" s="21"/>
      <c r="I26" s="20"/>
      <c r="J26" s="20"/>
    </row>
    <row r="27" spans="2:10" x14ac:dyDescent="0.25">
      <c r="B27" s="58" t="s">
        <v>43</v>
      </c>
      <c r="C27" s="54">
        <v>0.2334</v>
      </c>
      <c r="D27" s="30">
        <v>0.25</v>
      </c>
      <c r="E27" s="10" t="s">
        <v>6</v>
      </c>
      <c r="F27" s="1" t="s">
        <v>13</v>
      </c>
      <c r="G27" s="19" t="s">
        <v>31</v>
      </c>
      <c r="H27" s="21"/>
      <c r="I27" s="20"/>
      <c r="J27" s="20"/>
    </row>
    <row r="28" spans="2:10" x14ac:dyDescent="0.25">
      <c r="B28" s="58" t="s">
        <v>44</v>
      </c>
      <c r="C28" s="54">
        <v>0.54349999999999998</v>
      </c>
      <c r="D28" s="30">
        <v>0.56000000000000005</v>
      </c>
      <c r="E28" s="10" t="s">
        <v>5</v>
      </c>
      <c r="F28" s="1" t="s">
        <v>33</v>
      </c>
      <c r="G28" s="19" t="s">
        <v>32</v>
      </c>
      <c r="H28" s="21"/>
      <c r="I28" s="20"/>
      <c r="J28" s="20"/>
    </row>
    <row r="29" spans="2:10" x14ac:dyDescent="0.25">
      <c r="B29" s="58" t="s">
        <v>8</v>
      </c>
      <c r="C29" s="54">
        <v>6.7900000000000002E-2</v>
      </c>
      <c r="D29" s="30">
        <v>0.05</v>
      </c>
      <c r="E29" s="10"/>
      <c r="F29" s="1"/>
      <c r="G29" s="3" t="s">
        <v>35</v>
      </c>
      <c r="H29" s="21"/>
      <c r="I29" s="20"/>
      <c r="J29" s="20"/>
    </row>
    <row r="30" spans="2:10" ht="15.75" thickBot="1" x14ac:dyDescent="0.3">
      <c r="B30" s="58" t="s">
        <v>20</v>
      </c>
      <c r="C30" s="54">
        <v>0.1552</v>
      </c>
      <c r="D30" s="30">
        <v>0.14000000000000001</v>
      </c>
      <c r="E30" s="10" t="s">
        <v>6</v>
      </c>
      <c r="F30" s="1" t="s">
        <v>34</v>
      </c>
      <c r="G30" s="2" t="s">
        <v>21</v>
      </c>
      <c r="H30" s="21"/>
      <c r="I30" s="20"/>
      <c r="J30" s="20"/>
    </row>
    <row r="31" spans="2:10" ht="15.75" thickBot="1" x14ac:dyDescent="0.3">
      <c r="B31" s="41" t="s">
        <v>11</v>
      </c>
      <c r="C31" s="55">
        <f>SUM(C26:C30)</f>
        <v>0.99999999999999989</v>
      </c>
      <c r="D31" s="34">
        <f>SUM(D26:D30)</f>
        <v>1</v>
      </c>
      <c r="E31" s="11"/>
      <c r="F31" s="9"/>
      <c r="G31" s="18"/>
    </row>
    <row r="32" spans="2:10" ht="15.75" thickBot="1" x14ac:dyDescent="0.3">
      <c r="B32" s="47" t="s">
        <v>12</v>
      </c>
      <c r="C32" s="56">
        <v>6.9999999999999999E-4</v>
      </c>
      <c r="D32" s="35">
        <v>0</v>
      </c>
      <c r="E32" s="12" t="s">
        <v>5</v>
      </c>
      <c r="F32" s="7" t="s">
        <v>10</v>
      </c>
      <c r="G32" s="8"/>
    </row>
    <row r="33" spans="2:9" ht="15.75" thickBot="1" x14ac:dyDescent="0.3">
      <c r="B33" s="41" t="s">
        <v>54</v>
      </c>
      <c r="C33" s="40"/>
      <c r="D33" s="14">
        <v>0.01</v>
      </c>
    </row>
    <row r="35" spans="2:9" x14ac:dyDescent="0.25">
      <c r="D35" s="22"/>
      <c r="G35"/>
      <c r="H35" s="72"/>
    </row>
    <row r="36" spans="2:9" ht="15.75" thickBot="1" x14ac:dyDescent="0.3">
      <c r="H36" s="72"/>
    </row>
    <row r="37" spans="2:9" ht="14.25" customHeight="1" thickBot="1" x14ac:dyDescent="0.3">
      <c r="B37" s="4" t="s">
        <v>0</v>
      </c>
      <c r="C37" s="85" t="s">
        <v>50</v>
      </c>
      <c r="D37" s="86"/>
      <c r="E37" s="86"/>
      <c r="F37" s="86"/>
      <c r="G37" s="87"/>
      <c r="H37" s="73"/>
      <c r="I37" s="37"/>
    </row>
    <row r="38" spans="2:9" ht="15.75" thickBot="1" x14ac:dyDescent="0.3">
      <c r="B38" s="5" t="s">
        <v>1</v>
      </c>
      <c r="C38" s="85" t="s">
        <v>26</v>
      </c>
      <c r="D38" s="86"/>
      <c r="E38" s="86"/>
      <c r="F38" s="86"/>
      <c r="G38" s="87"/>
      <c r="H38" s="73"/>
    </row>
    <row r="39" spans="2:9" ht="38.25" x14ac:dyDescent="0.25">
      <c r="B39" s="57"/>
      <c r="C39" s="53" t="s">
        <v>55</v>
      </c>
      <c r="D39" s="6" t="s">
        <v>47</v>
      </c>
      <c r="E39" s="6" t="s">
        <v>2</v>
      </c>
      <c r="F39" s="6" t="s">
        <v>3</v>
      </c>
      <c r="G39" s="17" t="s">
        <v>4</v>
      </c>
      <c r="H39" s="72"/>
    </row>
    <row r="40" spans="2:9" ht="65.25" customHeight="1" x14ac:dyDescent="0.25">
      <c r="B40" s="58" t="s">
        <v>42</v>
      </c>
      <c r="C40" s="54">
        <v>0.98519999999999996</v>
      </c>
      <c r="D40" s="36">
        <v>0.94</v>
      </c>
      <c r="E40" s="10" t="s">
        <v>5</v>
      </c>
      <c r="F40" s="1" t="s">
        <v>38</v>
      </c>
      <c r="G40" s="2" t="s">
        <v>19</v>
      </c>
      <c r="H40" s="72"/>
    </row>
    <row r="41" spans="2:9" ht="15.75" thickBot="1" x14ac:dyDescent="0.3">
      <c r="B41" s="58" t="s">
        <v>8</v>
      </c>
      <c r="C41" s="62">
        <v>1.4800000000000001E-2</v>
      </c>
      <c r="D41" s="36">
        <v>0.06</v>
      </c>
      <c r="E41" s="10"/>
      <c r="F41" s="1"/>
      <c r="G41" s="3" t="s">
        <v>35</v>
      </c>
      <c r="H41" s="72"/>
    </row>
    <row r="42" spans="2:9" ht="15.75" thickBot="1" x14ac:dyDescent="0.3">
      <c r="B42" s="41" t="s">
        <v>11</v>
      </c>
      <c r="C42" s="55">
        <f>SUM(C40:C41)</f>
        <v>1</v>
      </c>
      <c r="D42" s="34">
        <f>SUM(D40:D41)</f>
        <v>1</v>
      </c>
      <c r="E42" s="11"/>
      <c r="F42" s="9"/>
      <c r="G42" s="18"/>
      <c r="H42" s="72"/>
    </row>
    <row r="43" spans="2:9" ht="15.75" thickBot="1" x14ac:dyDescent="0.3">
      <c r="B43" s="47" t="s">
        <v>12</v>
      </c>
      <c r="C43" s="56">
        <v>0</v>
      </c>
      <c r="D43" s="35">
        <v>0</v>
      </c>
      <c r="E43" s="23" t="s">
        <v>5</v>
      </c>
      <c r="F43" s="24" t="s">
        <v>10</v>
      </c>
      <c r="G43" s="8"/>
      <c r="H43" s="72"/>
    </row>
    <row r="44" spans="2:9" ht="15.75" thickBot="1" x14ac:dyDescent="0.3">
      <c r="B44" s="41" t="s">
        <v>54</v>
      </c>
      <c r="C44" s="40"/>
      <c r="D44" s="14">
        <v>2.5000000000000001E-3</v>
      </c>
      <c r="H44" s="72"/>
    </row>
    <row r="45" spans="2:9" x14ac:dyDescent="0.25">
      <c r="H45" s="72"/>
    </row>
    <row r="46" spans="2:9" x14ac:dyDescent="0.25">
      <c r="H46" s="72"/>
    </row>
    <row r="47" spans="2:9" ht="15.75" thickBot="1" x14ac:dyDescent="0.3">
      <c r="H47" s="72"/>
    </row>
    <row r="48" spans="2:9" ht="15.75" thickBot="1" x14ac:dyDescent="0.3">
      <c r="B48" s="4" t="s">
        <v>0</v>
      </c>
      <c r="C48" s="85" t="s">
        <v>56</v>
      </c>
      <c r="D48" s="86"/>
      <c r="E48" s="86"/>
      <c r="F48" s="86"/>
      <c r="G48" s="87"/>
      <c r="H48" s="73"/>
      <c r="I48" s="37"/>
    </row>
    <row r="49" spans="2:9" ht="15.75" thickBot="1" x14ac:dyDescent="0.3">
      <c r="B49" s="5" t="s">
        <v>1</v>
      </c>
      <c r="C49" s="85" t="s">
        <v>27</v>
      </c>
      <c r="D49" s="86"/>
      <c r="E49" s="86"/>
      <c r="F49" s="86"/>
      <c r="G49" s="87"/>
      <c r="H49" s="73"/>
    </row>
    <row r="50" spans="2:9" ht="38.25" x14ac:dyDescent="0.25">
      <c r="B50" s="57"/>
      <c r="C50" s="74" t="s">
        <v>55</v>
      </c>
      <c r="D50" s="6" t="s">
        <v>47</v>
      </c>
      <c r="E50" s="6" t="s">
        <v>2</v>
      </c>
      <c r="F50" s="6" t="s">
        <v>3</v>
      </c>
      <c r="G50" s="17" t="s">
        <v>4</v>
      </c>
      <c r="H50" s="72"/>
    </row>
    <row r="51" spans="2:9" ht="49.5" customHeight="1" x14ac:dyDescent="0.25">
      <c r="B51" s="58" t="s">
        <v>44</v>
      </c>
      <c r="C51" s="75">
        <v>0.9425</v>
      </c>
      <c r="D51" s="36">
        <v>0.95</v>
      </c>
      <c r="E51" s="10" t="s">
        <v>6</v>
      </c>
      <c r="F51" s="1" t="s">
        <v>36</v>
      </c>
      <c r="G51" s="2" t="s">
        <v>39</v>
      </c>
    </row>
    <row r="52" spans="2:9" ht="15.75" thickBot="1" x14ac:dyDescent="0.3">
      <c r="B52" s="58" t="s">
        <v>8</v>
      </c>
      <c r="C52" s="75">
        <v>5.7500000000000002E-2</v>
      </c>
      <c r="D52" s="36">
        <v>0.05</v>
      </c>
      <c r="E52" s="10"/>
      <c r="F52" s="1"/>
      <c r="G52" s="3" t="s">
        <v>35</v>
      </c>
    </row>
    <row r="53" spans="2:9" ht="15.75" thickBot="1" x14ac:dyDescent="0.3">
      <c r="B53" s="41" t="s">
        <v>11</v>
      </c>
      <c r="C53" s="76">
        <f>SUM(C51:C52)</f>
        <v>1</v>
      </c>
      <c r="D53" s="34">
        <f>SUM(D51:D52)</f>
        <v>1</v>
      </c>
      <c r="E53" s="11"/>
      <c r="F53" s="9"/>
      <c r="G53" s="18"/>
    </row>
    <row r="54" spans="2:9" ht="15.75" thickBot="1" x14ac:dyDescent="0.3">
      <c r="B54" s="47" t="s">
        <v>12</v>
      </c>
      <c r="C54" s="77">
        <v>0</v>
      </c>
      <c r="D54" s="35">
        <v>0</v>
      </c>
      <c r="E54" s="23" t="s">
        <v>5</v>
      </c>
      <c r="F54" s="24" t="s">
        <v>10</v>
      </c>
      <c r="G54" s="8"/>
    </row>
    <row r="55" spans="2:9" ht="15.75" thickBot="1" x14ac:dyDescent="0.3">
      <c r="B55" s="41" t="s">
        <v>54</v>
      </c>
      <c r="C55" s="40"/>
      <c r="D55" s="14">
        <v>2.5000000000000001E-3</v>
      </c>
    </row>
    <row r="58" spans="2:9" ht="15.75" thickBot="1" x14ac:dyDescent="0.3">
      <c r="D58" s="15"/>
      <c r="H58" s="72"/>
    </row>
    <row r="59" spans="2:9" ht="15.75" thickBot="1" x14ac:dyDescent="0.3">
      <c r="B59" s="4" t="s">
        <v>0</v>
      </c>
      <c r="C59" s="85" t="s">
        <v>51</v>
      </c>
      <c r="D59" s="86"/>
      <c r="E59" s="86"/>
      <c r="F59" s="86"/>
      <c r="G59" s="87"/>
      <c r="H59" s="73"/>
      <c r="I59" s="37"/>
    </row>
    <row r="60" spans="2:9" ht="15.75" thickBot="1" x14ac:dyDescent="0.3">
      <c r="B60" s="5" t="s">
        <v>1</v>
      </c>
      <c r="C60" s="85" t="s">
        <v>28</v>
      </c>
      <c r="D60" s="86"/>
      <c r="E60" s="86"/>
      <c r="F60" s="86"/>
      <c r="G60" s="87"/>
      <c r="H60" s="73"/>
    </row>
    <row r="61" spans="2:9" ht="38.25" x14ac:dyDescent="0.25">
      <c r="B61" s="57"/>
      <c r="C61" s="74" t="s">
        <v>55</v>
      </c>
      <c r="D61" s="6" t="s">
        <v>47</v>
      </c>
      <c r="E61" s="6" t="s">
        <v>2</v>
      </c>
      <c r="F61" s="6" t="s">
        <v>3</v>
      </c>
      <c r="G61" s="17" t="s">
        <v>4</v>
      </c>
      <c r="H61" s="72"/>
    </row>
    <row r="62" spans="2:9" ht="60" customHeight="1" x14ac:dyDescent="0.25">
      <c r="B62" s="58" t="s">
        <v>43</v>
      </c>
      <c r="C62" s="75">
        <v>0.97199999999999998</v>
      </c>
      <c r="D62" s="36">
        <v>0.95</v>
      </c>
      <c r="E62" s="10" t="s">
        <v>6</v>
      </c>
      <c r="F62" s="1" t="s">
        <v>36</v>
      </c>
      <c r="G62" s="2" t="s">
        <v>37</v>
      </c>
      <c r="H62" s="72"/>
    </row>
    <row r="63" spans="2:9" ht="15.75" thickBot="1" x14ac:dyDescent="0.3">
      <c r="B63" s="58" t="s">
        <v>8</v>
      </c>
      <c r="C63" s="75">
        <v>2.8000000000000001E-2</v>
      </c>
      <c r="D63" s="36">
        <v>0.05</v>
      </c>
      <c r="E63" s="10"/>
      <c r="F63" s="1"/>
      <c r="G63" s="3" t="s">
        <v>35</v>
      </c>
      <c r="H63" s="72"/>
    </row>
    <row r="64" spans="2:9" ht="15.75" thickBot="1" x14ac:dyDescent="0.3">
      <c r="B64" s="41" t="s">
        <v>11</v>
      </c>
      <c r="C64" s="76">
        <f t="shared" ref="C64" si="0">SUM(C62:C63)</f>
        <v>1</v>
      </c>
      <c r="D64" s="34">
        <f>SUM(D62:D63)</f>
        <v>1</v>
      </c>
      <c r="E64" s="11"/>
      <c r="F64" s="9"/>
      <c r="G64" s="18"/>
      <c r="H64" s="72"/>
    </row>
    <row r="65" spans="2:9" ht="15.75" thickBot="1" x14ac:dyDescent="0.3">
      <c r="B65" s="47" t="s">
        <v>12</v>
      </c>
      <c r="C65" s="77">
        <v>0</v>
      </c>
      <c r="D65" s="35">
        <v>0</v>
      </c>
      <c r="E65" s="23" t="s">
        <v>5</v>
      </c>
      <c r="F65" s="24" t="s">
        <v>10</v>
      </c>
      <c r="G65" s="8"/>
      <c r="H65" s="72"/>
    </row>
    <row r="66" spans="2:9" ht="15.75" thickBot="1" x14ac:dyDescent="0.3">
      <c r="B66" s="41" t="s">
        <v>54</v>
      </c>
      <c r="C66" s="40"/>
      <c r="D66" s="14">
        <v>7.0000000000000001E-3</v>
      </c>
      <c r="H66" s="72"/>
    </row>
    <row r="67" spans="2:9" x14ac:dyDescent="0.25">
      <c r="H67" s="72"/>
    </row>
    <row r="68" spans="2:9" x14ac:dyDescent="0.25">
      <c r="H68" s="72"/>
    </row>
    <row r="69" spans="2:9" ht="15.75" thickBot="1" x14ac:dyDescent="0.3">
      <c r="H69" s="72"/>
    </row>
    <row r="70" spans="2:9" ht="15.75" thickBot="1" x14ac:dyDescent="0.3">
      <c r="B70" s="31" t="s">
        <v>0</v>
      </c>
      <c r="C70" s="85" t="s">
        <v>52</v>
      </c>
      <c r="D70" s="86"/>
      <c r="E70" s="86"/>
      <c r="F70" s="86"/>
      <c r="G70" s="87"/>
      <c r="H70" s="73"/>
      <c r="I70" s="37"/>
    </row>
    <row r="71" spans="2:9" ht="15.75" thickBot="1" x14ac:dyDescent="0.3">
      <c r="B71" s="32" t="s">
        <v>1</v>
      </c>
      <c r="C71" s="85" t="s">
        <v>29</v>
      </c>
      <c r="D71" s="86"/>
      <c r="E71" s="86"/>
      <c r="F71" s="86"/>
      <c r="G71" s="87"/>
      <c r="H71" s="73"/>
    </row>
    <row r="72" spans="2:9" ht="38.25" x14ac:dyDescent="0.25">
      <c r="B72" s="57"/>
      <c r="C72" s="74" t="s">
        <v>55</v>
      </c>
      <c r="D72" s="6" t="s">
        <v>47</v>
      </c>
      <c r="E72" s="6" t="s">
        <v>2</v>
      </c>
      <c r="F72" s="6" t="s">
        <v>3</v>
      </c>
      <c r="G72" s="17" t="s">
        <v>4</v>
      </c>
      <c r="H72" s="72"/>
    </row>
    <row r="73" spans="2:9" ht="49.5" customHeight="1" x14ac:dyDescent="0.25">
      <c r="B73" s="58" t="s">
        <v>42</v>
      </c>
      <c r="C73" s="75">
        <v>0.9556</v>
      </c>
      <c r="D73" s="36">
        <v>0.94</v>
      </c>
      <c r="E73" s="10" t="s">
        <v>5</v>
      </c>
      <c r="F73" s="1" t="s">
        <v>38</v>
      </c>
      <c r="G73" s="2" t="s">
        <v>22</v>
      </c>
      <c r="H73" s="72"/>
    </row>
    <row r="74" spans="2:9" ht="15.75" thickBot="1" x14ac:dyDescent="0.3">
      <c r="B74" s="58" t="s">
        <v>8</v>
      </c>
      <c r="C74" s="75">
        <v>4.4400000000000002E-2</v>
      </c>
      <c r="D74" s="36">
        <v>0.06</v>
      </c>
      <c r="E74" s="10"/>
      <c r="F74" s="1"/>
      <c r="G74" s="3" t="s">
        <v>35</v>
      </c>
    </row>
    <row r="75" spans="2:9" ht="15.75" thickBot="1" x14ac:dyDescent="0.3">
      <c r="B75" s="63" t="s">
        <v>11</v>
      </c>
      <c r="C75" s="78">
        <f t="shared" ref="C75" si="1">SUM(C73:C74)</f>
        <v>1</v>
      </c>
      <c r="D75" s="43">
        <f>SUM(D73:D74)</f>
        <v>1</v>
      </c>
      <c r="E75" s="44"/>
      <c r="F75" s="45"/>
      <c r="G75" s="46"/>
    </row>
    <row r="76" spans="2:9" ht="15.75" thickBot="1" x14ac:dyDescent="0.3">
      <c r="B76" s="41" t="s">
        <v>12</v>
      </c>
      <c r="C76" s="70">
        <v>0.95920000000000005</v>
      </c>
      <c r="D76" s="50">
        <v>0.94</v>
      </c>
      <c r="E76" s="51" t="s">
        <v>5</v>
      </c>
      <c r="F76" s="27" t="s">
        <v>38</v>
      </c>
      <c r="G76" s="52"/>
    </row>
    <row r="77" spans="2:9" ht="15.75" thickBot="1" x14ac:dyDescent="0.3">
      <c r="B77" s="47" t="s">
        <v>54</v>
      </c>
      <c r="C77" s="48"/>
      <c r="D77" s="49">
        <v>2.5000000000000001E-3</v>
      </c>
    </row>
  </sheetData>
  <mergeCells count="15">
    <mergeCell ref="C49:G49"/>
    <mergeCell ref="C59:G59"/>
    <mergeCell ref="C60:G60"/>
    <mergeCell ref="C70:G70"/>
    <mergeCell ref="C71:G71"/>
    <mergeCell ref="B2:G2"/>
    <mergeCell ref="B4:G4"/>
    <mergeCell ref="C6:G6"/>
    <mergeCell ref="C7:G7"/>
    <mergeCell ref="C48:G48"/>
    <mergeCell ref="C17:G17"/>
    <mergeCell ref="C23:G23"/>
    <mergeCell ref="C24:G24"/>
    <mergeCell ref="C37:G37"/>
    <mergeCell ref="C38:G38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גמל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Eichel</dc:creator>
  <cp:lastModifiedBy>שאדי מחאמיד</cp:lastModifiedBy>
  <cp:lastPrinted>2024-03-28T08:29:19Z</cp:lastPrinted>
  <dcterms:created xsi:type="dcterms:W3CDTF">2017-09-12T09:33:22Z</dcterms:created>
  <dcterms:modified xsi:type="dcterms:W3CDTF">2025-01-14T07:07:31Z</dcterms:modified>
</cp:coreProperties>
</file>