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codeName="חוברת_עבודה_זו" defaultThemeVersion="124226"/>
  <mc:AlternateContent xmlns:mc="http://schemas.openxmlformats.org/markup-compatibility/2006">
    <mc:Choice Requires="x15">
      <x15ac:absPath xmlns:x15ac="http://schemas.microsoft.com/office/spreadsheetml/2010/11/ac" url="C:\Users\silvi\Downloads\"/>
    </mc:Choice>
  </mc:AlternateContent>
  <xr:revisionPtr revIDLastSave="0" documentId="13_ncr:1_{7C9344F9-874B-4936-BB63-793FFA4A1FD6}" xr6:coauthVersionLast="47" xr6:coauthVersionMax="47" xr10:uidLastSave="{00000000-0000-0000-0000-000000000000}"/>
  <bookViews>
    <workbookView xWindow="-120" yWindow="-120" windowWidth="29040" windowHeight="15840" tabRatio="802" xr2:uid="{00000000-000D-0000-FFFF-FFFF00000000}"/>
  </bookViews>
  <sheets>
    <sheet name="קרן י" sheetId="1" r:id="rId1"/>
    <sheet name="קרן ט" sheetId="2" r:id="rId2"/>
    <sheet name="פרט - אשכול 1 - אקטיבי" sheetId="17" r:id="rId3"/>
    <sheet name="פרט - אשכול 1 אקטיבי - בלאקרוק" sheetId="24" r:id="rId4"/>
    <sheet name="פרט - אשכול 1 אקטיבי - אפולו" sheetId="34" r:id="rId5"/>
    <sheet name="פרט - אשכול 3 סחיר" sheetId="31" r:id="rId6"/>
    <sheet name="פרט - אשכול 4 - עוקב מדדים" sheetId="19" r:id="rId7"/>
    <sheet name="תלוי גיל פאסיבי" sheetId="20" state="hidden" r:id="rId8"/>
    <sheet name="פרט - אשכול 5" sheetId="33" r:id="rId9"/>
    <sheet name="גילאי" sheetId="9" r:id="rId10"/>
    <sheet name="ביטוח - אשכול 1 אקטיבי" sheetId="30" r:id="rId11"/>
    <sheet name="אשכול 3 - סחיר (ביטוח)" sheetId="29" r:id="rId12"/>
    <sheet name="אשכול 4 - עוקב מדדים" sheetId="21" r:id="rId13"/>
    <sheet name="אשכול 5 - אמונה (הלכה)" sheetId="10" r:id="rId14"/>
    <sheet name="מסלולי השקעה למקבלי קצבה" sheetId="11" r:id="rId15"/>
    <sheet name="מסלולים מתמחים למקבלי קצבה" sheetId="22" state="hidden" r:id="rId16"/>
    <sheet name="הלכה למקבלי קצבה" sheetId="16" state="hidden" r:id="rId17"/>
    <sheet name="אקסלנס אינווסט כללי" sheetId="25" r:id="rId18"/>
    <sheet name="אקסלנס אינווסט הלכתי" sheetId="26" r:id="rId19"/>
    <sheet name="אקסלנס אינווסט-מסלולים מתמחים" sheetId="27" r:id="rId20"/>
    <sheet name="מכבי סיעודית" sheetId="23" r:id="rId21"/>
    <sheet name=" אקסלנס ישן" sheetId="6" state="hidden" r:id="rId22"/>
    <sheet name="אינווסט - מתמחים" sheetId="14" state="hidden" r:id="rId23"/>
  </sheets>
  <definedNames>
    <definedName name="_xlnm.Print_Area" localSheetId="19">'אקסלנס אינווסט-מסלולים מתמחים'!$B$1:$C$2</definedName>
    <definedName name="_xlnm.Print_Area" localSheetId="18">'אקסלנס אינווסט הלכתי'!$B$1:$G$15</definedName>
    <definedName name="_xlnm.Print_Area" localSheetId="17">'אקסלנס אינווסט כללי'!$B$1:$G$15</definedName>
    <definedName name="_xlnm.Print_Area" localSheetId="11">'אשכול 3 - סחיר (ביטוח)'!#REF!</definedName>
    <definedName name="_xlnm.Print_Area" localSheetId="12">'אשכול 4 - עוקב מדדים'!#REF!</definedName>
    <definedName name="_xlnm.Print_Area" localSheetId="13">'אשכול 5 - אמונה (הלכה)'!$B$1:$H$14</definedName>
    <definedName name="_xlnm.Print_Area" localSheetId="10">'ביטוח - אשכול 1 אקטיבי'!#REF!</definedName>
    <definedName name="_xlnm.Print_Area" localSheetId="9">גילאי!$B$1:$F$46</definedName>
    <definedName name="_xlnm.Print_Area" localSheetId="16">'הלכה למקבלי קצבה'!$B$1:$I$14</definedName>
    <definedName name="_xlnm.Print_Area" localSheetId="20">'מכבי סיעודית'!$B$1:$I$15</definedName>
    <definedName name="_xlnm.Print_Area" localSheetId="14">'מסלולי השקעה למקבלי קצבה'!$B$1:$H$16</definedName>
    <definedName name="_xlnm.Print_Area" localSheetId="15">'מסלולים מתמחים למקבלי קצבה'!#REF!</definedName>
    <definedName name="_xlnm.Print_Area" localSheetId="2">'פרט - אשכול 1 - אקטיבי'!$B$1:$H$1</definedName>
    <definedName name="_xlnm.Print_Area" localSheetId="4">'פרט - אשכול 1 אקטיבי - אפולו'!$B$2:$J$2</definedName>
    <definedName name="_xlnm.Print_Area" localSheetId="3">'פרט - אשכול 1 אקטיבי - בלאקרוק'!$B$1:$F$14</definedName>
    <definedName name="_xlnm.Print_Area" localSheetId="5">'פרט - אשכול 3 סחיר'!#REF!</definedName>
    <definedName name="_xlnm.Print_Area" localSheetId="6">'פרט - אשכול 4 - עוקב מדדים'!$B$2:$J$35</definedName>
    <definedName name="_xlnm.Print_Area" localSheetId="8">'פרט - אשכול 5'!$B$1:$J$1</definedName>
    <definedName name="_xlnm.Print_Area" localSheetId="1">'קרן ט'!$B$1:$I$16</definedName>
    <definedName name="_xlnm.Print_Area" localSheetId="0">'קרן י'!$B$1:$I$17</definedName>
    <definedName name="_xlnm.Print_Area" localSheetId="7">'תלוי גיל פאסיבי'!$B$1:$H$108</definedName>
    <definedName name="Z_1E7BC9D9_4D0B_4817_A4C3_8EF85EF5043F_.wvu.Cols" localSheetId="18" hidden="1">'אקסלנס אינווסט הלכתי'!$D:$D</definedName>
    <definedName name="Z_1E7BC9D9_4D0B_4817_A4C3_8EF85EF5043F_.wvu.Cols" localSheetId="17" hidden="1">'אקסלנס אינווסט כללי'!$D:$D</definedName>
    <definedName name="Z_1E7BC9D9_4D0B_4817_A4C3_8EF85EF5043F_.wvu.Cols" localSheetId="4" hidden="1">'פרט - אשכול 1 אקטיבי - אפולו'!#REF!</definedName>
    <definedName name="Z_1E7BC9D9_4D0B_4817_A4C3_8EF85EF5043F_.wvu.Cols" localSheetId="6" hidden="1">'פרט - אשכול 4 - עוקב מדדים'!#REF!</definedName>
    <definedName name="Z_1E7BC9D9_4D0B_4817_A4C3_8EF85EF5043F_.wvu.Cols" localSheetId="8" hidden="1">'פרט - אשכול 5'!#REF!</definedName>
    <definedName name="Z_1E7BC9D9_4D0B_4817_A4C3_8EF85EF5043F_.wvu.PrintArea" localSheetId="18" hidden="1">'אקסלנס אינווסט הלכתי'!$B$1:$G$15</definedName>
    <definedName name="Z_1E7BC9D9_4D0B_4817_A4C3_8EF85EF5043F_.wvu.PrintArea" localSheetId="17" hidden="1">'אקסלנס אינווסט כללי'!$B$1:$G$15</definedName>
    <definedName name="Z_1E7BC9D9_4D0B_4817_A4C3_8EF85EF5043F_.wvu.PrintArea" localSheetId="4" hidden="1">'פרט - אשכול 1 אקטיבי - אפולו'!$B$2:$F$2</definedName>
    <definedName name="Z_1E7BC9D9_4D0B_4817_A4C3_8EF85EF5043F_.wvu.PrintArea" localSheetId="6" hidden="1">'פרט - אשכול 4 - עוקב מדדים'!$B$2:$F$35</definedName>
    <definedName name="Z_1E7BC9D9_4D0B_4817_A4C3_8EF85EF5043F_.wvu.PrintArea" localSheetId="8" hidden="1">'פרט - אשכול 5'!$B$1:$F$1</definedName>
    <definedName name="Z_1E7BC9D9_4D0B_4817_A4C3_8EF85EF5043F_.wvu.Rows" localSheetId="18" hidden="1">#REF!</definedName>
    <definedName name="Z_1E7BC9D9_4D0B_4817_A4C3_8EF85EF5043F_.wvu.Rows" localSheetId="17" hidden="1">#REF!</definedName>
    <definedName name="Z_1E7BC9D9_4D0B_4817_A4C3_8EF85EF5043F_.wvu.Rows" localSheetId="4" hidden="1">'פרט - אשכול 1 אקטיבי - אפולו'!#REF!</definedName>
    <definedName name="Z_1E7BC9D9_4D0B_4817_A4C3_8EF85EF5043F_.wvu.Rows" localSheetId="6" hidden="1">'פרט - אשכול 4 - עוקב מדדים'!#REF!</definedName>
    <definedName name="Z_1E7BC9D9_4D0B_4817_A4C3_8EF85EF5043F_.wvu.Rows" localSheetId="8" hidden="1">'פרט - אשכול 5'!#REF!</definedName>
    <definedName name="Z_3A5C5383_6F57_40E5_AD89_51555C7DA784_.wvu.Cols" localSheetId="18" hidden="1">'אקסלנס אינווסט הלכתי'!$D:$D</definedName>
    <definedName name="Z_3A5C5383_6F57_40E5_AD89_51555C7DA784_.wvu.Cols" localSheetId="17" hidden="1">'אקסלנס אינווסט כללי'!$D:$D</definedName>
    <definedName name="Z_3A5C5383_6F57_40E5_AD89_51555C7DA784_.wvu.Cols" localSheetId="4" hidden="1">'פרט - אשכול 1 אקטיבי - אפולו'!#REF!</definedName>
    <definedName name="Z_3A5C5383_6F57_40E5_AD89_51555C7DA784_.wvu.Cols" localSheetId="6" hidden="1">'פרט - אשכול 4 - עוקב מדדים'!#REF!</definedName>
    <definedName name="Z_3A5C5383_6F57_40E5_AD89_51555C7DA784_.wvu.Cols" localSheetId="8" hidden="1">'פרט - אשכול 5'!#REF!</definedName>
    <definedName name="Z_3A5C5383_6F57_40E5_AD89_51555C7DA784_.wvu.PrintArea" localSheetId="18" hidden="1">'אקסלנס אינווסט הלכתי'!$B$1:$G$15</definedName>
    <definedName name="Z_3A5C5383_6F57_40E5_AD89_51555C7DA784_.wvu.PrintArea" localSheetId="17" hidden="1">'אקסלנס אינווסט כללי'!$B$1:$G$15</definedName>
    <definedName name="Z_3A5C5383_6F57_40E5_AD89_51555C7DA784_.wvu.PrintArea" localSheetId="4" hidden="1">'פרט - אשכול 1 אקטיבי - אפולו'!$B$2:$F$2</definedName>
    <definedName name="Z_3A5C5383_6F57_40E5_AD89_51555C7DA784_.wvu.PrintArea" localSheetId="6" hidden="1">'פרט - אשכול 4 - עוקב מדדים'!$B$2:$F$35</definedName>
    <definedName name="Z_3A5C5383_6F57_40E5_AD89_51555C7DA784_.wvu.PrintArea" localSheetId="8" hidden="1">'פרט - אשכול 5'!$B$1:$F$1</definedName>
    <definedName name="Z_3A5C5383_6F57_40E5_AD89_51555C7DA784_.wvu.Rows" localSheetId="18" hidden="1">#REF!</definedName>
    <definedName name="Z_3A5C5383_6F57_40E5_AD89_51555C7DA784_.wvu.Rows" localSheetId="17" hidden="1">#REF!</definedName>
    <definedName name="Z_3A5C5383_6F57_40E5_AD89_51555C7DA784_.wvu.Rows" localSheetId="4" hidden="1">'פרט - אשכול 1 אקטיבי - אפולו'!#REF!</definedName>
    <definedName name="Z_3A5C5383_6F57_40E5_AD89_51555C7DA784_.wvu.Rows" localSheetId="6" hidden="1">'פרט - אשכול 4 - עוקב מדדים'!#REF!</definedName>
    <definedName name="Z_3A5C5383_6F57_40E5_AD89_51555C7DA784_.wvu.Rows" localSheetId="8" hidden="1">'פרט - אשכול 5'!#REF!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34" l="1"/>
  <c r="E11" i="34"/>
  <c r="C10" i="34"/>
  <c r="F9" i="34"/>
  <c r="E9" i="34"/>
  <c r="F8" i="34"/>
  <c r="F7" i="34"/>
  <c r="E7" i="34"/>
  <c r="B1" i="34"/>
  <c r="G21" i="33" l="1"/>
  <c r="F21" i="33"/>
  <c r="C20" i="33"/>
  <c r="G18" i="33"/>
  <c r="F18" i="33"/>
  <c r="G17" i="33"/>
  <c r="F17" i="33"/>
  <c r="G16" i="33"/>
  <c r="F16" i="33"/>
  <c r="G45" i="19"/>
  <c r="F45" i="19"/>
  <c r="D44" i="19"/>
  <c r="C44" i="19"/>
  <c r="G43" i="19"/>
  <c r="F43" i="19"/>
  <c r="G42" i="19"/>
  <c r="F42" i="19"/>
  <c r="G66" i="17"/>
  <c r="F66" i="17"/>
  <c r="D65" i="17"/>
  <c r="C65" i="17"/>
  <c r="G63" i="17"/>
  <c r="G62" i="17"/>
  <c r="G61" i="17"/>
  <c r="G60" i="17"/>
  <c r="F60" i="17"/>
  <c r="G53" i="17"/>
  <c r="F53" i="17"/>
  <c r="D52" i="17"/>
  <c r="C52" i="17"/>
  <c r="G51" i="17"/>
  <c r="F51" i="17"/>
  <c r="G50" i="17"/>
  <c r="G49" i="17"/>
  <c r="F49" i="17"/>
  <c r="G48" i="17"/>
  <c r="F48" i="17"/>
  <c r="G47" i="17"/>
  <c r="G27" i="17"/>
  <c r="D26" i="17"/>
  <c r="C26" i="17"/>
  <c r="G24" i="17"/>
  <c r="F24" i="17"/>
  <c r="G23" i="17"/>
  <c r="F23" i="17"/>
  <c r="G15" i="17"/>
  <c r="F15" i="17"/>
  <c r="C14" i="17"/>
  <c r="G12" i="17"/>
  <c r="F12" i="17"/>
  <c r="G11" i="17"/>
  <c r="F11" i="17"/>
  <c r="G10" i="17"/>
  <c r="F10" i="17"/>
  <c r="G9" i="17"/>
  <c r="F9" i="17"/>
  <c r="G8" i="17"/>
  <c r="F8" i="17"/>
  <c r="G7" i="17"/>
  <c r="F7" i="17"/>
  <c r="G6" i="17"/>
  <c r="F6" i="17"/>
  <c r="G11" i="10" l="1"/>
  <c r="F11" i="10"/>
  <c r="C10" i="10"/>
  <c r="G8" i="10"/>
  <c r="F8" i="10"/>
  <c r="G7" i="10"/>
  <c r="F7" i="10"/>
  <c r="G6" i="10"/>
  <c r="F6" i="10"/>
  <c r="B1" i="21" l="1"/>
  <c r="B1" i="29"/>
  <c r="B1" i="30"/>
  <c r="B1" i="31"/>
  <c r="G26" i="11" l="1"/>
  <c r="F26" i="11"/>
  <c r="F22" i="11"/>
  <c r="G22" i="11"/>
  <c r="F23" i="11"/>
  <c r="G23" i="11"/>
  <c r="G21" i="11"/>
  <c r="F21" i="11"/>
  <c r="G14" i="11"/>
  <c r="F14" i="11"/>
  <c r="F7" i="11"/>
  <c r="G7" i="11"/>
  <c r="F8" i="11"/>
  <c r="G8" i="11"/>
  <c r="F9" i="11"/>
  <c r="G9" i="11"/>
  <c r="F10" i="11"/>
  <c r="G10" i="11"/>
  <c r="F11" i="11"/>
  <c r="G11" i="11"/>
  <c r="G6" i="11"/>
  <c r="F6" i="11"/>
  <c r="G22" i="21"/>
  <c r="F22" i="21"/>
  <c r="F20" i="21"/>
  <c r="G20" i="21"/>
  <c r="G19" i="21"/>
  <c r="F19" i="21"/>
  <c r="G12" i="21"/>
  <c r="F12" i="21"/>
  <c r="F8" i="21"/>
  <c r="G8" i="21"/>
  <c r="F9" i="21"/>
  <c r="G9" i="21"/>
  <c r="G7" i="21"/>
  <c r="F7" i="21"/>
  <c r="G12" i="29"/>
  <c r="F12" i="29"/>
  <c r="F8" i="29"/>
  <c r="G8" i="29"/>
  <c r="F9" i="29"/>
  <c r="G9" i="29"/>
  <c r="G7" i="29"/>
  <c r="F7" i="29"/>
  <c r="G68" i="30"/>
  <c r="F68" i="30"/>
  <c r="F60" i="30"/>
  <c r="G60" i="30"/>
  <c r="F61" i="30"/>
  <c r="G61" i="30"/>
  <c r="F62" i="30"/>
  <c r="G62" i="30"/>
  <c r="F63" i="30"/>
  <c r="G63" i="30"/>
  <c r="F64" i="30"/>
  <c r="G64" i="30"/>
  <c r="F65" i="30"/>
  <c r="G65" i="30"/>
  <c r="G59" i="30"/>
  <c r="F59" i="30"/>
  <c r="G52" i="30"/>
  <c r="F52" i="30"/>
  <c r="G47" i="30"/>
  <c r="G48" i="30"/>
  <c r="G49" i="30"/>
  <c r="G46" i="30"/>
  <c r="F46" i="30"/>
  <c r="G26" i="30"/>
  <c r="F26" i="30"/>
  <c r="F21" i="30"/>
  <c r="G21" i="30"/>
  <c r="F22" i="30"/>
  <c r="G22" i="30"/>
  <c r="G23" i="30"/>
  <c r="F24" i="30"/>
  <c r="G24" i="30"/>
  <c r="G20" i="30"/>
  <c r="G12" i="30"/>
  <c r="F9" i="30"/>
  <c r="G9" i="30"/>
  <c r="G8" i="30"/>
  <c r="F8" i="30"/>
  <c r="G43" i="9"/>
  <c r="F43" i="9"/>
  <c r="F37" i="9"/>
  <c r="G37" i="9"/>
  <c r="F38" i="9"/>
  <c r="G38" i="9"/>
  <c r="F39" i="9"/>
  <c r="G39" i="9"/>
  <c r="F40" i="9"/>
  <c r="G40" i="9"/>
  <c r="G36" i="9"/>
  <c r="F36" i="9"/>
  <c r="G29" i="9"/>
  <c r="F29" i="9"/>
  <c r="F23" i="9"/>
  <c r="G23" i="9"/>
  <c r="F24" i="9"/>
  <c r="G24" i="9"/>
  <c r="F25" i="9"/>
  <c r="G25" i="9"/>
  <c r="F26" i="9"/>
  <c r="G26" i="9"/>
  <c r="G22" i="9"/>
  <c r="F22" i="9"/>
  <c r="G15" i="9"/>
  <c r="F15" i="9"/>
  <c r="F8" i="9"/>
  <c r="G8" i="9"/>
  <c r="F9" i="9"/>
  <c r="G9" i="9"/>
  <c r="F10" i="9"/>
  <c r="G10" i="9"/>
  <c r="F11" i="9"/>
  <c r="G11" i="9"/>
  <c r="F12" i="9"/>
  <c r="G12" i="9"/>
  <c r="G7" i="9"/>
  <c r="F7" i="9"/>
  <c r="G57" i="19"/>
  <c r="F57" i="19"/>
  <c r="F54" i="19"/>
  <c r="G54" i="19"/>
  <c r="G53" i="19"/>
  <c r="F53" i="19"/>
  <c r="G35" i="19"/>
  <c r="F35" i="19"/>
  <c r="G26" i="19"/>
  <c r="F26" i="19"/>
  <c r="G16" i="19"/>
  <c r="F16" i="19"/>
  <c r="G9" i="19"/>
  <c r="F9" i="19"/>
  <c r="G23" i="31"/>
  <c r="F23" i="31"/>
  <c r="F20" i="31"/>
  <c r="G20" i="31"/>
  <c r="G19" i="31"/>
  <c r="F19" i="31"/>
  <c r="G12" i="31"/>
  <c r="F12" i="31"/>
  <c r="F8" i="31"/>
  <c r="G8" i="31"/>
  <c r="G9" i="31"/>
  <c r="G7" i="31"/>
  <c r="G35" i="24"/>
  <c r="F35" i="24"/>
  <c r="F33" i="24"/>
  <c r="G33" i="24"/>
  <c r="G32" i="24"/>
  <c r="F32" i="24"/>
  <c r="G24" i="24"/>
  <c r="F24" i="24"/>
  <c r="F21" i="24"/>
  <c r="G21" i="24"/>
  <c r="G20" i="24"/>
  <c r="F20" i="24"/>
  <c r="G11" i="24"/>
  <c r="F11" i="24"/>
  <c r="F7" i="24"/>
  <c r="G7" i="24"/>
  <c r="F8" i="24"/>
  <c r="G8" i="24"/>
  <c r="G6" i="24"/>
  <c r="F6" i="24"/>
  <c r="G40" i="17"/>
  <c r="F40" i="17"/>
  <c r="F35" i="17"/>
  <c r="G35" i="17"/>
  <c r="F36" i="17"/>
  <c r="G36" i="17"/>
  <c r="F37" i="17"/>
  <c r="G37" i="17"/>
  <c r="F38" i="17"/>
  <c r="G38" i="17"/>
  <c r="G34" i="17"/>
  <c r="F34" i="17"/>
  <c r="G79" i="19" l="1"/>
  <c r="F79" i="19"/>
  <c r="F10" i="33" l="1"/>
  <c r="E10" i="33"/>
  <c r="C9" i="33"/>
  <c r="F8" i="33"/>
  <c r="E8" i="33"/>
  <c r="F7" i="33"/>
  <c r="E7" i="33"/>
  <c r="B1" i="33"/>
  <c r="F74" i="19" l="1"/>
  <c r="G74" i="19"/>
  <c r="G75" i="19"/>
  <c r="G76" i="19"/>
  <c r="F76" i="19"/>
  <c r="C78" i="19"/>
  <c r="D78" i="19"/>
  <c r="C11" i="31" l="1"/>
  <c r="C56" i="19" l="1"/>
  <c r="C42" i="9" l="1"/>
  <c r="C28" i="9"/>
  <c r="C14" i="9"/>
  <c r="D68" i="19"/>
  <c r="H64" i="19" l="1"/>
  <c r="G64" i="19"/>
  <c r="C39" i="17" l="1"/>
  <c r="D39" i="17"/>
  <c r="C67" i="30" l="1"/>
  <c r="C25" i="30"/>
  <c r="H69" i="19" l="1"/>
  <c r="G69" i="19"/>
  <c r="E68" i="19"/>
  <c r="H67" i="19"/>
  <c r="G67" i="19"/>
  <c r="H66" i="19"/>
  <c r="G66" i="19"/>
  <c r="H65" i="19"/>
  <c r="G65" i="19"/>
  <c r="D56" i="19"/>
  <c r="C22" i="31"/>
  <c r="C34" i="19"/>
  <c r="F38" i="30"/>
  <c r="E38" i="30"/>
  <c r="C37" i="30"/>
  <c r="F36" i="30"/>
  <c r="E36" i="30"/>
  <c r="F35" i="30"/>
  <c r="F34" i="30"/>
  <c r="E34" i="30"/>
  <c r="F33" i="30"/>
  <c r="E33" i="30"/>
  <c r="F32" i="30"/>
  <c r="E32" i="30"/>
  <c r="G134" i="31"/>
  <c r="F134" i="31"/>
  <c r="D133" i="31"/>
  <c r="C133" i="31"/>
  <c r="G132" i="31"/>
  <c r="F132" i="31"/>
  <c r="G131" i="31"/>
  <c r="F131" i="31"/>
  <c r="G130" i="31"/>
  <c r="F130" i="31"/>
  <c r="G129" i="31"/>
  <c r="F129" i="31"/>
  <c r="G121" i="31"/>
  <c r="F121" i="31"/>
  <c r="D120" i="31"/>
  <c r="G120" i="31" s="1"/>
  <c r="C120" i="31"/>
  <c r="G119" i="31"/>
  <c r="G118" i="31"/>
  <c r="G117" i="31"/>
  <c r="G116" i="31"/>
  <c r="G110" i="31"/>
  <c r="F110" i="31"/>
  <c r="D109" i="31"/>
  <c r="C109" i="31"/>
  <c r="G108" i="31"/>
  <c r="F108" i="31"/>
  <c r="G107" i="31"/>
  <c r="F107" i="31"/>
  <c r="G101" i="31"/>
  <c r="F101" i="31"/>
  <c r="D100" i="31"/>
  <c r="C100" i="31"/>
  <c r="G99" i="31"/>
  <c r="F99" i="31"/>
  <c r="G98" i="31"/>
  <c r="F98" i="31"/>
  <c r="G97" i="31"/>
  <c r="F97" i="31"/>
  <c r="G96" i="31"/>
  <c r="F96" i="31"/>
  <c r="E90" i="31"/>
  <c r="D90" i="31"/>
  <c r="E88" i="31"/>
  <c r="D88" i="31"/>
  <c r="E87" i="31"/>
  <c r="D87" i="31"/>
  <c r="E86" i="31"/>
  <c r="D86" i="31"/>
  <c r="E80" i="31"/>
  <c r="D80" i="31"/>
  <c r="E78" i="31"/>
  <c r="D78" i="31"/>
  <c r="E77" i="31"/>
  <c r="D77" i="31"/>
  <c r="E71" i="31"/>
  <c r="D71" i="31"/>
  <c r="E69" i="31"/>
  <c r="D69" i="31"/>
  <c r="E68" i="31"/>
  <c r="D68" i="31"/>
  <c r="E67" i="31"/>
  <c r="D67" i="31"/>
  <c r="G61" i="31"/>
  <c r="F61" i="31"/>
  <c r="D60" i="31"/>
  <c r="C60" i="31"/>
  <c r="G59" i="31"/>
  <c r="F59" i="31"/>
  <c r="G58" i="31"/>
  <c r="G57" i="31"/>
  <c r="F57" i="31"/>
  <c r="G56" i="31"/>
  <c r="F56" i="31"/>
  <c r="G55" i="31"/>
  <c r="F55" i="31"/>
  <c r="G49" i="31"/>
  <c r="D48" i="31"/>
  <c r="C48" i="31"/>
  <c r="G46" i="31"/>
  <c r="F46" i="31"/>
  <c r="G45" i="31"/>
  <c r="F45" i="31"/>
  <c r="E39" i="31"/>
  <c r="D39" i="31"/>
  <c r="E37" i="31"/>
  <c r="D37" i="31"/>
  <c r="E36" i="31"/>
  <c r="E35" i="31"/>
  <c r="D35" i="31"/>
  <c r="E34" i="31"/>
  <c r="D34" i="31"/>
  <c r="E33" i="31"/>
  <c r="D33" i="31"/>
  <c r="D22" i="31"/>
  <c r="D11" i="31"/>
  <c r="D25" i="30"/>
  <c r="D51" i="30"/>
  <c r="C51" i="30"/>
  <c r="D11" i="30"/>
  <c r="C11" i="30"/>
  <c r="C34" i="24" l="1"/>
  <c r="C23" i="24"/>
  <c r="C10" i="24"/>
  <c r="D34" i="24"/>
  <c r="D23" i="24"/>
  <c r="F44" i="21" l="1"/>
  <c r="E44" i="21"/>
  <c r="C43" i="21"/>
  <c r="F42" i="21"/>
  <c r="E42" i="21"/>
  <c r="F41" i="21"/>
  <c r="E41" i="21"/>
  <c r="D32" i="21"/>
  <c r="C32" i="21"/>
  <c r="C21" i="21"/>
  <c r="C25" i="11"/>
  <c r="D10" i="16"/>
  <c r="C10" i="16"/>
  <c r="C13" i="11"/>
  <c r="G37" i="29"/>
  <c r="F37" i="29"/>
  <c r="D36" i="29"/>
  <c r="C36" i="29"/>
  <c r="G34" i="29"/>
  <c r="F34" i="29"/>
  <c r="G33" i="29"/>
  <c r="F33" i="29"/>
  <c r="G32" i="29"/>
  <c r="F32" i="29"/>
  <c r="G24" i="29"/>
  <c r="F24" i="29"/>
  <c r="D23" i="29"/>
  <c r="C23" i="29"/>
  <c r="G21" i="29"/>
  <c r="F21" i="29"/>
  <c r="G20" i="29"/>
  <c r="F20" i="29"/>
  <c r="G19" i="29"/>
  <c r="F19" i="29"/>
  <c r="D11" i="29"/>
  <c r="C11" i="29"/>
  <c r="C11" i="21"/>
  <c r="F44" i="27" l="1"/>
  <c r="E44" i="27"/>
  <c r="F34" i="27"/>
  <c r="E34" i="27"/>
  <c r="F24" i="27"/>
  <c r="E24" i="27"/>
  <c r="F12" i="27"/>
  <c r="E12" i="27"/>
  <c r="G12" i="22"/>
  <c r="F12" i="22"/>
  <c r="G24" i="22"/>
  <c r="F24" i="22"/>
  <c r="G36" i="22"/>
  <c r="F36" i="22"/>
  <c r="H33" i="21"/>
  <c r="G33" i="21"/>
  <c r="H31" i="21"/>
  <c r="H30" i="21"/>
  <c r="H29" i="21"/>
  <c r="H28" i="21"/>
  <c r="E32" i="21" l="1"/>
  <c r="H32" i="21" s="1"/>
  <c r="C43" i="27" l="1"/>
  <c r="F41" i="27"/>
  <c r="E41" i="27"/>
  <c r="C33" i="27"/>
  <c r="F31" i="27"/>
  <c r="E31" i="27"/>
  <c r="C23" i="27"/>
  <c r="F21" i="27"/>
  <c r="E21" i="27"/>
  <c r="F20" i="27"/>
  <c r="E20" i="27"/>
  <c r="F19" i="27"/>
  <c r="E19" i="27"/>
  <c r="C11" i="27"/>
  <c r="F9" i="27"/>
  <c r="E9" i="27"/>
  <c r="F8" i="27"/>
  <c r="E8" i="27"/>
  <c r="F7" i="27"/>
  <c r="E7" i="27"/>
  <c r="D35" i="22"/>
  <c r="G34" i="22"/>
  <c r="F34" i="22"/>
  <c r="G33" i="22"/>
  <c r="G32" i="22"/>
  <c r="F32" i="22"/>
  <c r="G31" i="22"/>
  <c r="F31" i="22"/>
  <c r="G30" i="22"/>
  <c r="F30" i="22"/>
  <c r="D23" i="22"/>
  <c r="G22" i="22"/>
  <c r="F22" i="22"/>
  <c r="G21" i="22"/>
  <c r="G20" i="22"/>
  <c r="F20" i="22"/>
  <c r="G19" i="22"/>
  <c r="F19" i="22"/>
  <c r="G18" i="22"/>
  <c r="F18" i="22"/>
  <c r="D11" i="22"/>
  <c r="G10" i="22"/>
  <c r="F10" i="22"/>
  <c r="G9" i="22"/>
  <c r="G8" i="22"/>
  <c r="F8" i="22"/>
  <c r="G7" i="22"/>
  <c r="F7" i="22"/>
  <c r="G6" i="22"/>
  <c r="D21" i="21"/>
  <c r="D11" i="21"/>
  <c r="F12" i="26" l="1"/>
  <c r="E12" i="26"/>
  <c r="C11" i="26"/>
  <c r="F9" i="26"/>
  <c r="E9" i="26"/>
  <c r="F8" i="26"/>
  <c r="E8" i="26"/>
  <c r="F7" i="26"/>
  <c r="E7" i="26"/>
  <c r="F6" i="26"/>
  <c r="E6" i="26"/>
  <c r="F5" i="26"/>
  <c r="E5" i="26"/>
  <c r="F12" i="25"/>
  <c r="E12" i="25"/>
  <c r="C11" i="25"/>
  <c r="F9" i="25"/>
  <c r="E9" i="25"/>
  <c r="F8" i="25"/>
  <c r="E8" i="25"/>
  <c r="F7" i="25"/>
  <c r="E7" i="25"/>
  <c r="F6" i="25"/>
  <c r="E6" i="25"/>
  <c r="F5" i="25"/>
  <c r="E5" i="25"/>
  <c r="C102" i="20" l="1"/>
  <c r="C67" i="20"/>
  <c r="C32" i="20"/>
  <c r="C11" i="2" l="1"/>
  <c r="D10" i="24" l="1"/>
  <c r="B1" i="24"/>
  <c r="E48" i="20" l="1"/>
  <c r="F48" i="20"/>
  <c r="E61" i="20"/>
  <c r="F61" i="20"/>
  <c r="E65" i="20"/>
  <c r="F65" i="20"/>
  <c r="E68" i="20"/>
  <c r="F68" i="20"/>
  <c r="F83" i="20" l="1"/>
  <c r="E83" i="20"/>
  <c r="F13" i="20"/>
  <c r="E13" i="20"/>
  <c r="F11" i="23" l="1"/>
  <c r="E11" i="23"/>
  <c r="F8" i="23"/>
  <c r="E8" i="23"/>
  <c r="F7" i="23"/>
  <c r="E7" i="23"/>
  <c r="F6" i="23"/>
  <c r="E6" i="23"/>
  <c r="F5" i="23"/>
  <c r="E5" i="23"/>
  <c r="C4" i="23"/>
  <c r="B1" i="23"/>
  <c r="F30" i="20" l="1"/>
  <c r="E30" i="20"/>
  <c r="F100" i="20"/>
  <c r="E100" i="20"/>
  <c r="F9" i="1" l="1"/>
  <c r="E9" i="1"/>
  <c r="F103" i="20" l="1"/>
  <c r="E103" i="20"/>
  <c r="F95" i="20"/>
  <c r="E95" i="20"/>
  <c r="F76" i="20"/>
  <c r="E76" i="20"/>
  <c r="F42" i="20"/>
  <c r="E42" i="20"/>
  <c r="F33" i="20"/>
  <c r="E33" i="20"/>
  <c r="F23" i="20"/>
  <c r="E23" i="20"/>
  <c r="F6" i="20"/>
  <c r="E6" i="20"/>
  <c r="B1" i="20"/>
  <c r="B1" i="19"/>
  <c r="E3" i="16" l="1"/>
  <c r="E5" i="1"/>
  <c r="F5" i="1"/>
  <c r="C4" i="2" l="1"/>
  <c r="B1" i="11"/>
  <c r="B1" i="16"/>
  <c r="B1" i="10"/>
  <c r="B1" i="17"/>
  <c r="B1" i="9"/>
  <c r="H11" i="16" l="1"/>
  <c r="G11" i="16"/>
  <c r="H8" i="16"/>
  <c r="G8" i="16"/>
  <c r="H7" i="16"/>
  <c r="G7" i="16"/>
  <c r="H6" i="16"/>
  <c r="G6" i="16"/>
  <c r="H5" i="16"/>
  <c r="G5" i="16"/>
  <c r="H4" i="16"/>
  <c r="G4" i="16"/>
  <c r="E6" i="2"/>
  <c r="F6" i="2"/>
  <c r="E7" i="2"/>
  <c r="F7" i="2"/>
  <c r="E8" i="2"/>
  <c r="F8" i="2"/>
  <c r="E9" i="2"/>
  <c r="F9" i="2"/>
  <c r="E12" i="2"/>
  <c r="F12" i="2"/>
  <c r="F5" i="2"/>
  <c r="E5" i="2"/>
  <c r="E6" i="1"/>
  <c r="F6" i="1"/>
  <c r="E7" i="1"/>
  <c r="F7" i="1"/>
  <c r="E8" i="1"/>
  <c r="F8" i="1"/>
  <c r="E10" i="1"/>
  <c r="F10" i="1"/>
  <c r="E13" i="1"/>
  <c r="F13" i="1"/>
  <c r="A1" i="6"/>
  <c r="B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SDM SSAS Yitrot Revach" type="5" refreshedVersion="5" background="1" saveData="1">
    <dbPr connection="Provider=MSOLAP.5;Integrated Security=SSPI;Persist Security Info=True;Initial Catalog=SDM SSAS;Data Source=BINVESTVP1;MDX Compatibility=1;Safety Options=2;MDX Missing Member Mode=Error;Update Isolation Level=2" command="Yitrot Revach" commandType="1"/>
    <olapPr sendLocale="1" rowDrillCount="1000"/>
  </connection>
</connections>
</file>

<file path=xl/sharedStrings.xml><?xml version="1.0" encoding="utf-8"?>
<sst xmlns="http://schemas.openxmlformats.org/spreadsheetml/2006/main" count="1465" uniqueCount="274">
  <si>
    <t>אפיק השקעה</t>
  </si>
  <si>
    <t>טווח סטייה</t>
  </si>
  <si>
    <t>מדד הייחוס</t>
  </si>
  <si>
    <t>+/- 5%</t>
  </si>
  <si>
    <t>מדד אג"ח ממשלתי כללי</t>
  </si>
  <si>
    <t>+/- 6%</t>
  </si>
  <si>
    <t>מניות</t>
  </si>
  <si>
    <t>נדל"ן</t>
  </si>
  <si>
    <t>סה"כ</t>
  </si>
  <si>
    <t>חשיפה למט"ח</t>
  </si>
  <si>
    <t>מדיניות ההשקעה</t>
  </si>
  <si>
    <t>מדד ת"א 100</t>
  </si>
  <si>
    <t>מדד מק"מ</t>
  </si>
  <si>
    <t>מסלול מנוהל כללי 1</t>
  </si>
  <si>
    <t xml:space="preserve"> 10% מדד מק"מ</t>
  </si>
  <si>
    <t>90% מדד אג"ח כללי ממשלתי,</t>
  </si>
  <si>
    <t>100%  מדד מק"מ</t>
  </si>
  <si>
    <t xml:space="preserve"> 50% מדד ת"א 100,</t>
  </si>
  <si>
    <t>40% מדד אג"ח כללי,</t>
  </si>
  <si>
    <t xml:space="preserve"> 30% מדד ת"א 100,</t>
  </si>
  <si>
    <t>60% מדד אג"ח כללי,</t>
  </si>
  <si>
    <t xml:space="preserve"> 5% מדד מק"מ</t>
  </si>
  <si>
    <t xml:space="preserve"> 15% מדד ת"א 100,</t>
  </si>
  <si>
    <t>80% מדד אג"ח כללי,</t>
  </si>
  <si>
    <t xml:space="preserve"> 15% מדד מק"מ</t>
  </si>
  <si>
    <t xml:space="preserve"> 85% מדד אג"ח כללי,</t>
  </si>
  <si>
    <t>***כל מסלולי אקסלנס אינווסט, מלבד מסלול מנוהל כללי 1, הינם מסלולים מתמחים וישקעו ע"פ מדיניות ההשקעה שהוגדרה בפוליסה</t>
  </si>
  <si>
    <t>מסלולי אקסלנס אינווסט</t>
  </si>
  <si>
    <t>מדד  הייחוס</t>
  </si>
  <si>
    <r>
      <t>אג"ח 1</t>
    </r>
    <r>
      <rPr>
        <b/>
        <sz val="11"/>
        <color indexed="8"/>
        <rFont val="Arial"/>
        <family val="2"/>
      </rPr>
      <t xml:space="preserve"> - שיעור הנכסים המושקעים באג"ח חברות או באג"ח ממשלתיות בישראל לא יפחת מ- 80%</t>
    </r>
  </si>
  <si>
    <r>
      <t>אג"ח 2</t>
    </r>
    <r>
      <rPr>
        <b/>
        <sz val="11"/>
        <color indexed="8"/>
        <rFont val="Arial"/>
        <family val="2"/>
      </rPr>
      <t xml:space="preserve"> - שיעור הנכסים המושקעים באג"ח בארץ ובחו"ל לא יפחת מ- 85%, שיעור הנכסים המושקעים במניות סחירות ו/או תעודות סל בארץ ובחו"ל לא יעלה על 15%</t>
    </r>
  </si>
  <si>
    <r>
      <t>אג"ח 3</t>
    </r>
    <r>
      <rPr>
        <b/>
        <sz val="11"/>
        <color indexed="8"/>
        <rFont val="Arial"/>
        <family val="2"/>
      </rPr>
      <t xml:space="preserve"> - שיעור הנכסים המושקעים באג"ח בארץ ובחו"ל לא יפחת מ- 70%, שיעור הנכסים המושקעים במניות סחירות ו/או תעודות סל בארץ ובחו"ל לא יעלה על 30%</t>
    </r>
  </si>
  <si>
    <r>
      <t>אג"ח 4</t>
    </r>
    <r>
      <rPr>
        <b/>
        <sz val="11"/>
        <color indexed="8"/>
        <rFont val="Arial"/>
        <family val="2"/>
      </rPr>
      <t xml:space="preserve"> - שיעור הנכסים המושקעים באג"ח בארץ ובחו"ל לא יפחת מ- 50%, שיעור הנכסים המושקעים במניות סחירות ו/או תעודות סל בארץ ובחו"ל לא יעלה על 50%</t>
    </r>
  </si>
  <si>
    <r>
      <t>אג"ח קצר מועד</t>
    </r>
    <r>
      <rPr>
        <b/>
        <sz val="11"/>
        <color indexed="8"/>
        <rFont val="Arial"/>
        <family val="2"/>
      </rPr>
      <t xml:space="preserve"> - הנכסים שיצטברו במסלול יושקעו בנכסים נושאי תשואה כולל פיקדונות ו/או אג"ח ממשלתיות בישראל ובחו"ל ו/או ניירות ערך מסחריים של חברות בישראל בדירוגAA  ומעלה בעלי מח"מ של עד שנה. </t>
    </r>
  </si>
  <si>
    <t>למרות האמור, ה- מח"מ של עד 20% מהנכסים אפשר ויעלה על שנה  ובלבד שה- מח"מ הממוצע של כלל הנכסים אינו עולה על שנה.</t>
  </si>
  <si>
    <r>
      <t>אג"ח מדינה ללא מניות</t>
    </r>
    <r>
      <rPr>
        <b/>
        <sz val="11"/>
        <color indexed="8"/>
        <rFont val="Arial"/>
        <family val="2"/>
      </rPr>
      <t xml:space="preserve"> - לפחות 90% מהנכסים שיצטברו במסלול יושקעו באג"ח ממשלתיות בישראל ו/או בחו"ל ו/או במק"מ. עד 10% מהנכסים יושקעו לפי שיקול דעתו של בית ההשקעות . לא יושקעו כל נכסים במניות בבורסה בת"א ו/או בבורסות זרות בחו"ל .</t>
    </r>
  </si>
  <si>
    <r>
      <t>אקסלנס אינווסט חו"ל</t>
    </r>
    <r>
      <rPr>
        <b/>
        <sz val="11"/>
        <color indexed="8"/>
        <rFont val="Arial"/>
        <family val="2"/>
      </rPr>
      <t xml:space="preserve"> - לפחות 75% מהנכסים שיצטברו במסלול יושקעו במניות ו/או תעודות סל עוקבות מניות הנסחרות בחו"ל. שיעור הנכסים המושקעים במזומנים ושווי מזומנים במטבע חוץ, לרבות פיקדונות בבנקים, לא יעלה על 25% משווי הנכסים במסלול.</t>
    </r>
  </si>
  <si>
    <t>MSCI WORLD AC</t>
  </si>
  <si>
    <t>שיעור חשיפה קודם</t>
  </si>
  <si>
    <t>גבולות החשיפה שאושרו</t>
  </si>
  <si>
    <t>גבולות שיעור החשיפה הצפויה</t>
  </si>
  <si>
    <t>אג"ח קונצרני (קרנות נאמנות, תעודות סל)</t>
  </si>
  <si>
    <t>אחר (קרנות השקעה, PE, VC, קרדיט, גידור)</t>
  </si>
  <si>
    <t>מזומנים</t>
  </si>
  <si>
    <t>85%-97%</t>
  </si>
  <si>
    <t>4%-14%</t>
  </si>
  <si>
    <t>* מוצג בנטרול תוספת החשיפה הנובעת מהשקעה בנגזרים</t>
  </si>
  <si>
    <t>מזומנים (*)</t>
  </si>
  <si>
    <t>אג"ח מיועדות (חץ)</t>
  </si>
  <si>
    <t>מדיניות השקעה לשנת 2016</t>
  </si>
  <si>
    <t xml:space="preserve"> שיעור חשיפה צפוי לשנת 2016</t>
  </si>
  <si>
    <t>מסלולים מתמחים</t>
  </si>
  <si>
    <t xml:space="preserve">מדיניות ההשקעה </t>
  </si>
  <si>
    <t>שם המסלול</t>
  </si>
  <si>
    <t>מסלול מתמחה אג"ח</t>
  </si>
  <si>
    <t xml:space="preserve">נכסי המסלול יהיו חשופים לנכסים הבאים בארץ ובחו"ל: אג"ח סחירות ושאינן סחירות, ני"ע מסחריים, הלוואות שאינן סחירות, אג"ח להמרה ופקדונות,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 </t>
  </si>
  <si>
    <t>מסלול מתמחה אג"ח עד 25% מניות</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</si>
  <si>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על25%  [ובכל אופן החשיפה לא תעלה על 25%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</si>
  <si>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מסלול מתמחה מניות</t>
  </si>
  <si>
    <t>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</si>
  <si>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מסלול מתמחה הלכה</t>
  </si>
  <si>
    <t>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t>
  </si>
  <si>
    <t>יסגר</t>
  </si>
  <si>
    <r>
      <t>אג"ח 1</t>
    </r>
    <r>
      <rPr>
        <b/>
        <sz val="11"/>
        <color indexed="8"/>
        <rFont val="Arial"/>
        <family val="2"/>
      </rPr>
      <t xml:space="preserve"> </t>
    </r>
  </si>
  <si>
    <r>
      <t>אג"ח 2</t>
    </r>
    <r>
      <rPr>
        <b/>
        <sz val="11"/>
        <color indexed="8"/>
        <rFont val="Arial"/>
        <family val="2"/>
      </rPr>
      <t xml:space="preserve"> </t>
    </r>
  </si>
  <si>
    <t>אג"ח 3</t>
  </si>
  <si>
    <r>
      <t>אג"ח 4</t>
    </r>
    <r>
      <rPr>
        <b/>
        <sz val="11"/>
        <color indexed="8"/>
        <rFont val="Arial"/>
        <family val="2"/>
      </rPr>
      <t xml:space="preserve"> </t>
    </r>
  </si>
  <si>
    <r>
      <t>אג"ח קצר מועד</t>
    </r>
    <r>
      <rPr>
        <b/>
        <sz val="11"/>
        <color indexed="8"/>
        <rFont val="Arial"/>
        <family val="2"/>
      </rPr>
      <t xml:space="preserve"> </t>
    </r>
  </si>
  <si>
    <r>
      <t>אג"ח מדינה ללא מניות</t>
    </r>
    <r>
      <rPr>
        <b/>
        <sz val="11"/>
        <color indexed="8"/>
        <rFont val="Arial"/>
        <family val="2"/>
      </rPr>
      <t xml:space="preserve"> </t>
    </r>
  </si>
  <si>
    <r>
      <t>אקסלנס אינווסט חו"ל</t>
    </r>
    <r>
      <rPr>
        <b/>
        <sz val="11"/>
        <color indexed="8"/>
        <rFont val="Arial"/>
        <family val="2"/>
      </rPr>
      <t xml:space="preserve"> </t>
    </r>
  </si>
  <si>
    <t>יהפוך למסלול מתמחה אג"ח</t>
  </si>
  <si>
    <t>יהפוך למסלול מתמחה אג"ח עד 25% מניות</t>
  </si>
  <si>
    <t>טווח סטייה %-/+</t>
  </si>
  <si>
    <t>אג"ח ממשלתי (צמוד,שקלי ומט"ח), ממשלות זרות בנטרול חשיפות בנגזרים (*)</t>
  </si>
  <si>
    <t>קרנות השקעה</t>
  </si>
  <si>
    <t xml:space="preserve"> S&amp;P500</t>
  </si>
  <si>
    <t>מניות (תעודות סל, אופציות, קרנות נאמנות)</t>
  </si>
  <si>
    <t>TPX</t>
  </si>
  <si>
    <t xml:space="preserve">MSCI EM </t>
  </si>
  <si>
    <t>תל אביב 125</t>
  </si>
  <si>
    <t>משקל גליל 2-5</t>
  </si>
  <si>
    <t xml:space="preserve">אג"ח ממשלתי (צמוד, שקלי ומט"ח), ממשלות </t>
  </si>
  <si>
    <t>משקל גליל 5-10</t>
  </si>
  <si>
    <t>זרות בנטרול חשיפות בנגזרים</t>
  </si>
  <si>
    <t>משקל שחר 2-5</t>
  </si>
  <si>
    <t xml:space="preserve"> ריבית פח"ק</t>
  </si>
  <si>
    <t>אחר</t>
  </si>
  <si>
    <t>BlueStar TA-BIG Tech Israel Tech</t>
  </si>
  <si>
    <t>IBOXX HY</t>
  </si>
  <si>
    <t>** 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</si>
  <si>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35% - תל בונד כללי , 20% - תל בונד 60 ,
15% - תל בונד 50 ,
15% - IBOXX HY - 15%, IBOXX IG
 </t>
  </si>
  <si>
    <t>מדד הייחוס (**)</t>
  </si>
  <si>
    <t xml:space="preserve">35% - תל בונד כללי , 20% - תל בונד 60 ,
15% - תל בונד 50 ,
15% - IBOXX HY - 15%, IBOXX IG </t>
  </si>
  <si>
    <t>STOXX600</t>
  </si>
  <si>
    <t>ת"א SME60</t>
  </si>
  <si>
    <t>IBOXIG</t>
  </si>
  <si>
    <t>אחר (קרנות השקיעה,Co Invest,תשתיות, גידור)</t>
  </si>
  <si>
    <t>אחר (Co Invest,תשתיות, גידור)</t>
  </si>
  <si>
    <t xml:space="preserve">70% - מדד תל בונד 60 ,
30% - מדד BarCap Global Corporate Total Return Bond Index UnHedged </t>
  </si>
  <si>
    <t>IBXXC1D1</t>
  </si>
  <si>
    <t>JGENUUG</t>
  </si>
  <si>
    <t>JCMBCOMP</t>
  </si>
  <si>
    <t>40%- מדד ת"א 125,   
 60%- MSCI WORLD AC</t>
  </si>
  <si>
    <t>NASDAQ100</t>
  </si>
  <si>
    <t>משקל גליל 0-2</t>
  </si>
  <si>
    <t>משקל גליל 10+</t>
  </si>
  <si>
    <t>משקל שחר 0-2</t>
  </si>
  <si>
    <t xml:space="preserve">  משקל שחר 5-10</t>
  </si>
  <si>
    <t xml:space="preserve">  משקל שחר 10+</t>
  </si>
  <si>
    <t xml:space="preserve"> תל בונד  60</t>
  </si>
  <si>
    <t xml:space="preserve"> תל בונד שקלי</t>
  </si>
  <si>
    <t xml:space="preserve"> תל בונד תשואות</t>
  </si>
  <si>
    <t xml:space="preserve"> תל בונד תשואות שקלי</t>
  </si>
  <si>
    <t>תל בונד דולר</t>
  </si>
  <si>
    <t>מניות (כולל תעודות סל, אופציות, קרנות נאמנות)</t>
  </si>
  <si>
    <t xml:space="preserve">100%-(CFIIWDCS index)  World gov bond index </t>
  </si>
  <si>
    <t>אג"ח קונצרני (כולל קרנות נאמנות, תעודות סל)</t>
  </si>
  <si>
    <t xml:space="preserve">100%-(GOBC Index)ICE BOFA global corp index </t>
  </si>
  <si>
    <t>Co Invest</t>
  </si>
  <si>
    <t>אחר (תשתיות, גידור)</t>
  </si>
  <si>
    <t>קופה 100</t>
  </si>
  <si>
    <t>קופה 200</t>
  </si>
  <si>
    <t>קופה 4211</t>
  </si>
  <si>
    <t>קופה 4212</t>
  </si>
  <si>
    <t>קופה 4213</t>
  </si>
  <si>
    <t>קופה 2415</t>
  </si>
  <si>
    <t>מדיניות השקעה לשנת 2024</t>
  </si>
  <si>
    <t>שיעור חשיפה צפוי לשנת 2024</t>
  </si>
  <si>
    <t xml:space="preserve">אקסלנס אינווסט - מסלול כללי </t>
  </si>
  <si>
    <t>50%- מדד ת"א 125 ,
  50%- MSCI WORLD AC</t>
  </si>
  <si>
    <t>אג"ח ממשלתי (צמוד, שקלי ומט"ח), ממשלות זרות בנטרול חשיפות בנגזרים</t>
  </si>
  <si>
    <t>10% מקמ, 40% ממשלתי שקלי 2-5 , 10% ממשלתי שקלי 5+ , 35% ממשלתי צמוד 2-5 ,5% ממשלתי צמוד 5-10</t>
  </si>
  <si>
    <t xml:space="preserve">55% - מדד תל בונד 60, 35% - בונד שקלי 10% - מדד BarCap Global Corporate Total Return Bond Index UnHedged </t>
  </si>
  <si>
    <t>מדד המקמ</t>
  </si>
  <si>
    <t>סל המטבעות</t>
  </si>
  <si>
    <t>אקסלנס אינווסט - מסלול הלכה - ביטוח</t>
  </si>
  <si>
    <t>טווח סטיה</t>
  </si>
  <si>
    <t>גבולות שיעור החשיפה הצםויה</t>
  </si>
  <si>
    <t>מדד ייחוס</t>
  </si>
  <si>
    <t>אג"ח ממשלתי (צמוד, שקלי ומט"ח), 
ממשלות זרות בנטרול חשיפות בנגזרים</t>
  </si>
  <si>
    <t xml:space="preserve">
50% - IBOXX HY - 50%, IBOXX IG </t>
  </si>
  <si>
    <t>אחר ( Co Invest, נדל"ן, קרנות השקעהתשתיות, גידור)</t>
  </si>
  <si>
    <t xml:space="preserve">
  MSCI WORLD AC</t>
  </si>
  <si>
    <t>הפניקס ביטוח מסלול אג"ח עד 25%</t>
  </si>
  <si>
    <t>40%- מדד ת"א 125 ,
  60%- MSCI WORLD AC</t>
  </si>
  <si>
    <t>הפניקס ביטוח בלאקרוק מתמחה אג"ח</t>
  </si>
  <si>
    <t>הפניקס בלאקרוק מניות חול</t>
  </si>
  <si>
    <t xml:space="preserve">
 MSCI WORLD AC</t>
  </si>
  <si>
    <t>הפניקס עוקב מדדי אג"ח</t>
  </si>
  <si>
    <t xml:space="preserve"> תל בונד 60
 </t>
  </si>
  <si>
    <t>s&amp;p 500</t>
  </si>
  <si>
    <t>הפניקס ביטוח מסלול מקבלי קצבה מתמחה אג"ח</t>
  </si>
  <si>
    <t>הפניקס ביטוח מסלול מקבלי קצבה עד 25% מניות</t>
  </si>
  <si>
    <t>הפניקס ביטוח מסלול מקבלי קצבה מניות</t>
  </si>
  <si>
    <t>מדיניות השקעה צפויה לשנת 2024</t>
  </si>
  <si>
    <t>אקסלנס אינווסט עד 15% מניות</t>
  </si>
  <si>
    <t>אקסלנס אינווסט עד 25% מניות</t>
  </si>
  <si>
    <t>אקסלנס אינווסט מסלול מניות</t>
  </si>
  <si>
    <t>אקסלנס אינווסט מסלול שקלי</t>
  </si>
  <si>
    <t xml:space="preserve">קרן י' </t>
  </si>
  <si>
    <t>מגבלת עמלת ניהול חיצוני לשנת 2024</t>
  </si>
  <si>
    <t xml:space="preserve">קרן ט' </t>
  </si>
  <si>
    <t xml:space="preserve">ביטוח תלוי גיל פאסיבי לבני 50 ומטה </t>
  </si>
  <si>
    <t>ביטוח תלוי גיל פאסיבי לבני 50 עד 60</t>
  </si>
  <si>
    <t xml:space="preserve"> ביטוח תלוי גיל פאסיבי לבני 60 ומעלה </t>
  </si>
  <si>
    <t xml:space="preserve">מכבי סיעודית </t>
  </si>
  <si>
    <t>40%- מדד ת"א 125,
60%- MSCI WORLD AC</t>
  </si>
  <si>
    <t>אג"ח ממשלתי (צמוד, שקלי ומט"ח), ממשלות זרות בנטרול חשיפות בנגזרים(*)</t>
  </si>
  <si>
    <t>מסלולי הציליאני הפאסיבי מתמזגים למסלולי הציליאני האקטיבי</t>
  </si>
  <si>
    <t>חשיפה 20.02.2024</t>
  </si>
  <si>
    <t>שיעור חשיפה מבוקש לאחר רפורמה</t>
  </si>
  <si>
    <r>
      <rPr>
        <b/>
        <sz val="14"/>
        <color rgb="FFFF0000"/>
        <rFont val="Arial"/>
        <family val="2"/>
      </rPr>
      <t>עוקב מדדים גמיש לשעבר</t>
    </r>
    <r>
      <rPr>
        <b/>
        <sz val="14"/>
        <color theme="0"/>
        <rFont val="Arial"/>
        <family val="2"/>
      </rPr>
      <t xml:space="preserve"> - הפניקס ביטוח מסלול עוקב מדדים גמיש</t>
    </r>
  </si>
  <si>
    <t>ללא שינוי</t>
  </si>
  <si>
    <t>מסלול חדש - נבחן כמסלול BGA</t>
  </si>
  <si>
    <t>אג"ח סחיר - מסלול חדש</t>
  </si>
  <si>
    <t>מניות סחיר - מסלול חדש</t>
  </si>
  <si>
    <t>מספר מסלול באוצר 9587</t>
  </si>
  <si>
    <t>מתמחה מניות למקבלי קצבה</t>
  </si>
  <si>
    <t>מתמחה משולב למקבלי קצבה עד 25% מניות</t>
  </si>
  <si>
    <t>מתמחה אג"ח למקבלי קצבה</t>
  </si>
  <si>
    <t>בהתאם לדרישות החוזר, לא ניתן לנהל מסלולים מתמחים למקבלי קצבה ועל כן מסלולים אלו (3 מסלולים) ימוזגו למסלול הבסיסי:</t>
  </si>
  <si>
    <t>לא נדרשת מדיניות חדשה</t>
  </si>
  <si>
    <t>מספר מסלול באוצר 9588</t>
  </si>
  <si>
    <t>מספר מסלול באוצר 9589</t>
  </si>
  <si>
    <t>מספר מסלול באוצר 9590</t>
  </si>
  <si>
    <r>
      <rPr>
        <b/>
        <sz val="14"/>
        <color rgb="FFFF0000"/>
        <rFont val="Arial"/>
        <family val="2"/>
      </rPr>
      <t>הלכה</t>
    </r>
    <r>
      <rPr>
        <b/>
        <sz val="14"/>
        <color theme="0"/>
        <rFont val="Arial"/>
        <family val="2"/>
      </rPr>
      <t xml:space="preserve"> - לשעבר מסלול הלכה למקבלי קצבה ביטוח</t>
    </r>
  </si>
  <si>
    <t>מספר מסלול באוצר 9591</t>
  </si>
  <si>
    <t>צורף לגיליון גמלה</t>
  </si>
  <si>
    <t>מספר מסלול באוצר 9554</t>
  </si>
  <si>
    <r>
      <rPr>
        <b/>
        <sz val="14"/>
        <color rgb="FFFF0000"/>
        <rFont val="Arial"/>
        <family val="2"/>
      </rPr>
      <t>עוקב מדד s&amp;p 500</t>
    </r>
    <r>
      <rPr>
        <b/>
        <sz val="14"/>
        <color theme="0"/>
        <rFont val="Arial"/>
        <family val="2"/>
      </rPr>
      <t xml:space="preserve"> - לשעבר ביטוח מחקה מדד s&amp;p</t>
    </r>
  </si>
  <si>
    <t>מספר מסלול באוצר 9556</t>
  </si>
  <si>
    <t>שינוי שם</t>
  </si>
  <si>
    <r>
      <rPr>
        <b/>
        <sz val="14"/>
        <color rgb="FFFF0000"/>
        <rFont val="Arial"/>
        <family val="2"/>
      </rPr>
      <t>עוקב מדדי אג"ח</t>
    </r>
    <r>
      <rPr>
        <b/>
        <sz val="14"/>
        <color theme="0"/>
        <rFont val="Arial"/>
        <family val="2"/>
      </rPr>
      <t xml:space="preserve"> לשעבר -- מסלול פאסיבי - מדדי אג"ח חו"ל</t>
    </r>
  </si>
  <si>
    <t>עוקב מדדי מניות - מסלול חדש</t>
  </si>
  <si>
    <t>מספר מסלול באוצר 9592</t>
  </si>
  <si>
    <r>
      <rPr>
        <b/>
        <sz val="14"/>
        <color rgb="FFFF0000"/>
        <rFont val="Arial"/>
        <family val="2"/>
      </rPr>
      <t>כספי (שקלי)</t>
    </r>
    <r>
      <rPr>
        <b/>
        <sz val="14"/>
        <color theme="0"/>
        <rFont val="Arial"/>
        <family val="2"/>
      </rPr>
      <t xml:space="preserve"> - לשעבר הפניקס ביטוח מסלול שקלי טווח קצר</t>
    </r>
  </si>
  <si>
    <t>מספר מסלול באוצר 50</t>
  </si>
  <si>
    <t>מספר מסלול באוצר 9579</t>
  </si>
  <si>
    <r>
      <rPr>
        <b/>
        <sz val="14"/>
        <color rgb="FFFF0000"/>
        <rFont val="Arial"/>
        <family val="2"/>
      </rPr>
      <t>מניות</t>
    </r>
    <r>
      <rPr>
        <b/>
        <sz val="14"/>
        <color theme="0"/>
        <rFont val="Arial"/>
        <family val="2"/>
      </rPr>
      <t xml:space="preserve"> - לשעבר הפניקס ביטוח מסלול מניות</t>
    </r>
  </si>
  <si>
    <t>מספר מסלול באוצר 14663</t>
  </si>
  <si>
    <t>מספר מסלול באוצר 13644</t>
  </si>
  <si>
    <t>מספר מסלול באוצר 13645</t>
  </si>
  <si>
    <t>מספר מסלול באוצר 12092</t>
  </si>
  <si>
    <t>מספר מסלול באוצר 12882</t>
  </si>
  <si>
    <t xml:space="preserve">ייפתח כמסלול חדש </t>
  </si>
  <si>
    <t>הפניקס עוקב מדדי מניות</t>
  </si>
  <si>
    <t>מסלול חדש - מסלול בידול</t>
  </si>
  <si>
    <t>האם לפתוח 100% ישראל כמו השתלמות וגמל להשקעה</t>
  </si>
  <si>
    <t>נדרש  מדיניות חדשה</t>
  </si>
  <si>
    <t>מספר מסלול באוצר 471</t>
  </si>
  <si>
    <t>מספר מסלול באוצר 9593</t>
  </si>
  <si>
    <t>מספר מסלול באוצר 9594</t>
  </si>
  <si>
    <t>מספר מסלול באוצר 47</t>
  </si>
  <si>
    <t>מספר מסלול באוצר 14291</t>
  </si>
  <si>
    <t>מסםר מסלול באוצר 9591</t>
  </si>
  <si>
    <t>מספר מסלול באוצר 9585</t>
  </si>
  <si>
    <t>50% נאסד"ק
40% TOP 50 – עוד חיזוק לסקטור טכנלוגי
10% - 400 חברות במידקאפ של ה S&amp;P</t>
  </si>
  <si>
    <t>עוקב מדדי אגח לא יכול להיות באשכול הסחיר</t>
  </si>
  <si>
    <t>תשתיות</t>
  </si>
  <si>
    <t>50% Xndx
40% SP5T5T
10% - SPTRMDCP</t>
  </si>
  <si>
    <t>IBOXY HY 46, IBXXC1D1 12% , JGENUUG 8%, JCMBCOMP 8%, IBOXIG 26%</t>
  </si>
  <si>
    <t>מספר מסלול באוצר 12881</t>
  </si>
  <si>
    <t>הפניקס מסלול השקעה בסיסי למקבלי קצבה - מסלול בסיסי למקבלי קצבאות (גמלה)</t>
  </si>
  <si>
    <t>אינדקס Bullet  מדינה AA-  ומעלה 2027 – 40%
אינדקס Bullet  שקלי 2027 – 30%
אינדקס Bullet  צמוד 2027 – 30%</t>
  </si>
  <si>
    <t>ISHARES 7-10 YEARS TREASURY</t>
  </si>
  <si>
    <t>אחר (Co Invest, גידור)</t>
  </si>
  <si>
    <t xml:space="preserve">הפניקס פרט מסלול עוקב מדדים גמיש - פאסיבי כללי </t>
  </si>
  <si>
    <t>הפניקס פרט מסלול עוקב מדדי אג"ח</t>
  </si>
  <si>
    <t xml:space="preserve">הפניקס ביטוח מסלול תלוי גיל לגילאי 0-50 </t>
  </si>
  <si>
    <t xml:space="preserve">הפניקס ביטוח מסלול תלוי גיל לגילאי 50-60 </t>
  </si>
  <si>
    <t xml:space="preserve">הפניקס ביטוח  מסלול תלוי גיל לגילאי 60+ </t>
  </si>
  <si>
    <r>
      <rPr>
        <b/>
        <sz val="14"/>
        <color rgb="FFFF0000"/>
        <rFont val="Arial"/>
        <family val="2"/>
      </rPr>
      <t>הפניקס ביטוח מסלול מניות</t>
    </r>
    <r>
      <rPr>
        <b/>
        <sz val="14"/>
        <color theme="0"/>
        <rFont val="Arial"/>
        <family val="2"/>
      </rPr>
      <t xml:space="preserve"> - לשעבר הפניקס ביטוח מסלול מניות</t>
    </r>
  </si>
  <si>
    <r>
      <rPr>
        <b/>
        <sz val="14"/>
        <color rgb="FFFF0000"/>
        <rFont val="Arial"/>
        <family val="2"/>
      </rPr>
      <t>הפניקס ביטוח מסלול כללי</t>
    </r>
    <r>
      <rPr>
        <b/>
        <sz val="14"/>
        <color theme="0"/>
        <rFont val="Arial"/>
        <family val="2"/>
      </rPr>
      <t xml:space="preserve"> - לשעבר מסלול כללי 1</t>
    </r>
  </si>
  <si>
    <t xml:space="preserve">הפניקס ביטוח מסלול משולב סחיר </t>
  </si>
  <si>
    <t>הפניקס ביטוח מסלול עוקב מדדים גמיש</t>
  </si>
  <si>
    <t>הפניקס מסלול הלכה למקבלי קצבה ביטוח</t>
  </si>
  <si>
    <t>מספר מסלול באוצר 15275</t>
  </si>
  <si>
    <t>מספר מסלול באוצר 15206</t>
  </si>
  <si>
    <t>מספר מסלול באוצר 15207</t>
  </si>
  <si>
    <t xml:space="preserve">
MSCI WORLD AC</t>
  </si>
  <si>
    <t>הפניקס ביטוח שריעה - מסלול חדש החל מ - 01.07.2024</t>
  </si>
  <si>
    <t>מספר מסלול באוצר 14916</t>
  </si>
  <si>
    <r>
      <rPr>
        <b/>
        <sz val="14"/>
        <color rgb="FFFF0000"/>
        <rFont val="Arial"/>
        <family val="2"/>
      </rPr>
      <t>הפניקס פרט מסלול אשראי ואג"ח עם מניות (עד 25%)</t>
    </r>
    <r>
      <rPr>
        <b/>
        <sz val="14"/>
        <color theme="0"/>
        <rFont val="Arial"/>
        <family val="2"/>
      </rPr>
      <t xml:space="preserve"> - </t>
    </r>
    <r>
      <rPr>
        <b/>
        <sz val="14"/>
        <rFont val="Arial"/>
        <family val="2"/>
      </rPr>
      <t>לשעבר</t>
    </r>
    <r>
      <rPr>
        <b/>
        <sz val="14"/>
        <color theme="0"/>
        <rFont val="Arial"/>
        <family val="2"/>
      </rPr>
      <t xml:space="preserve"> הפניקס ביטוח מסלול אג"ח עד 25%</t>
    </r>
  </si>
  <si>
    <r>
      <rPr>
        <b/>
        <sz val="14"/>
        <color rgb="FFFF0000"/>
        <rFont val="Arial"/>
        <family val="2"/>
      </rPr>
      <t>הפניקס פרט מסלול מניות סחיר</t>
    </r>
    <r>
      <rPr>
        <b/>
        <sz val="14"/>
        <color theme="0"/>
        <rFont val="Arial"/>
        <family val="2"/>
      </rPr>
      <t xml:space="preserve"> - </t>
    </r>
    <r>
      <rPr>
        <b/>
        <sz val="14"/>
        <rFont val="Arial"/>
        <family val="2"/>
      </rPr>
      <t>לשעבר</t>
    </r>
    <r>
      <rPr>
        <b/>
        <sz val="14"/>
        <color theme="0"/>
        <rFont val="Arial"/>
        <family val="2"/>
      </rPr>
      <t xml:space="preserve"> הפניקס מסלול מתמחה מניות חו"ל</t>
    </r>
  </si>
  <si>
    <r>
      <rPr>
        <b/>
        <sz val="14"/>
        <color rgb="FFFF0000"/>
        <rFont val="Arial"/>
        <family val="2"/>
      </rPr>
      <t>הפניקס פרט מסלול אג"ח סחיר</t>
    </r>
    <r>
      <rPr>
        <b/>
        <sz val="14"/>
        <color theme="0"/>
        <rFont val="Arial"/>
        <family val="2"/>
      </rPr>
      <t xml:space="preserve"> - </t>
    </r>
    <r>
      <rPr>
        <b/>
        <sz val="14"/>
        <rFont val="Arial"/>
        <family val="2"/>
      </rPr>
      <t>לשעבר</t>
    </r>
    <r>
      <rPr>
        <b/>
        <sz val="14"/>
        <color theme="0"/>
        <rFont val="Arial"/>
        <family val="2"/>
      </rPr>
      <t xml:space="preserve"> הפניקס מסלול מתמחה אג"ח חו"ל שמסלול פאסיבי מדדי אג"ח חו"ל מוזג אליו</t>
    </r>
  </si>
  <si>
    <r>
      <rPr>
        <b/>
        <sz val="14"/>
        <color rgb="FFFF0000"/>
        <rFont val="Arial"/>
        <family val="2"/>
      </rPr>
      <t>הפניקס ביטוח מסלול אשראי ואג"ח</t>
    </r>
    <r>
      <rPr>
        <b/>
        <sz val="14"/>
        <color theme="0"/>
        <rFont val="Arial"/>
        <family val="2"/>
      </rPr>
      <t xml:space="preserve"> - </t>
    </r>
    <r>
      <rPr>
        <b/>
        <sz val="14"/>
        <rFont val="Arial"/>
        <family val="2"/>
      </rPr>
      <t>לשעבר</t>
    </r>
    <r>
      <rPr>
        <b/>
        <sz val="14"/>
        <color theme="0"/>
        <rFont val="Arial"/>
        <family val="2"/>
      </rPr>
      <t xml:space="preserve"> הפניקס מסלול אג"ח 1 (עד 60%)</t>
    </r>
  </si>
  <si>
    <r>
      <rPr>
        <b/>
        <sz val="14"/>
        <color rgb="FFFF0000"/>
        <rFont val="Arial"/>
        <family val="2"/>
      </rPr>
      <t>הפניקס ביטוח מסלול כספי (שקלי)</t>
    </r>
    <r>
      <rPr>
        <b/>
        <sz val="14"/>
        <color theme="0"/>
        <rFont val="Arial"/>
        <family val="2"/>
      </rPr>
      <t xml:space="preserve"> - </t>
    </r>
    <r>
      <rPr>
        <b/>
        <sz val="14"/>
        <rFont val="Arial"/>
        <family val="2"/>
      </rPr>
      <t>לשעבר</t>
    </r>
    <r>
      <rPr>
        <b/>
        <sz val="14"/>
        <color theme="0"/>
        <rFont val="Arial"/>
        <family val="2"/>
      </rPr>
      <t xml:space="preserve"> הפניקס ביטוח מסלול שקלי טווח קצר</t>
    </r>
  </si>
  <si>
    <r>
      <rPr>
        <b/>
        <sz val="14"/>
        <color rgb="FFFF0000"/>
        <rFont val="Arial"/>
        <family val="2"/>
      </rPr>
      <t>הפניקס ביטוח מסלול עוקב מדד s&amp;p 500</t>
    </r>
    <r>
      <rPr>
        <b/>
        <sz val="14"/>
        <color theme="0"/>
        <rFont val="Arial"/>
        <family val="2"/>
      </rPr>
      <t xml:space="preserve"> - </t>
    </r>
    <r>
      <rPr>
        <b/>
        <sz val="14"/>
        <rFont val="Arial"/>
        <family val="2"/>
      </rPr>
      <t>לשעבר</t>
    </r>
    <r>
      <rPr>
        <b/>
        <sz val="14"/>
        <color theme="0"/>
        <rFont val="Arial"/>
        <family val="2"/>
      </rPr>
      <t xml:space="preserve"> ביטוח מחקה מדד s&amp;p</t>
    </r>
  </si>
  <si>
    <t>הפניקס ביטוח עוקב מדדי מניות - מסלול חדש החל מ - 01.07.2024</t>
  </si>
  <si>
    <r>
      <t xml:space="preserve">הפניקס פרט עוקב מדדי אג"ח משולב מניות (עד 25% מניות) - </t>
    </r>
    <r>
      <rPr>
        <b/>
        <sz val="14"/>
        <color theme="0"/>
        <rFont val="Arial"/>
        <family val="2"/>
      </rPr>
      <t>מסלול חדש החל מ - 01.07.2024</t>
    </r>
  </si>
  <si>
    <t xml:space="preserve">הפניקס ביטוח מסלול הלכה </t>
  </si>
  <si>
    <t>שיעור חשיפה צפוי לשנת 2024 (החל מיום 1.7.24)</t>
  </si>
  <si>
    <t>שיעור חשיפה ליום 30.6.24</t>
  </si>
  <si>
    <t>מספר מסלול באוצר 14290</t>
  </si>
  <si>
    <t>מספר מסלול באוצר 9586</t>
  </si>
  <si>
    <t xml:space="preserve">
s&amp;p שריעה </t>
  </si>
  <si>
    <t>הפניקס Blackrock כללי</t>
  </si>
  <si>
    <t>הפניקס Blackrock אשראי ואג"ח</t>
  </si>
  <si>
    <t>הפניקס Blackrock מניות</t>
  </si>
  <si>
    <t>תחילת מידע טבלה</t>
  </si>
  <si>
    <t>תחילת מידע טבלה צד ימין</t>
  </si>
  <si>
    <t>סוף מידע טבלה</t>
  </si>
  <si>
    <t>סוף מידע טבלה צד שמאל</t>
  </si>
  <si>
    <t>סוף מידע גיליון</t>
  </si>
  <si>
    <t xml:space="preserve">סוף מידע טבלה </t>
  </si>
  <si>
    <t xml:space="preserve">תחילת מידע טבלה </t>
  </si>
  <si>
    <t>סוף מידע טבלה  צד שמאל</t>
  </si>
  <si>
    <t xml:space="preserve"> סוף מידע טבלה</t>
  </si>
  <si>
    <t>סוף מידע  טבלה</t>
  </si>
  <si>
    <t>סוף מידע אבלה צד שמאל</t>
  </si>
  <si>
    <t>אחר ( Co Invest, נדל"ן, קרנות השקעה,תשתיות, גידור)</t>
  </si>
  <si>
    <t>שיעור חשיפה צפוי לשנת 2024 (החל מיום 1.11.24)</t>
  </si>
  <si>
    <t>IBOXX IG</t>
  </si>
  <si>
    <r>
      <t xml:space="preserve">הפניקס ביטוח-אפולו אשראי ואג"ח - </t>
    </r>
    <r>
      <rPr>
        <b/>
        <sz val="14"/>
        <color theme="0"/>
        <rFont val="Arial"/>
        <family val="2"/>
      </rPr>
      <t>מסלול חדש החל מ - 01.11.2024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</si>
</sst>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8" x14ac:knownFonts="1">
    <font>
      <sz val="11"/>
      <color theme="1"/>
      <name val="Arial"/>
      <family val="2"/>
      <charset val="177"/>
      <scheme val="minor"/>
    </font>
    <font>
      <sz val="18"/>
      <name val="Arial"/>
      <family val="2"/>
    </font>
    <font>
      <b/>
      <sz val="11"/>
      <color indexed="8"/>
      <name val="Calibri"/>
      <family val="2"/>
    </font>
    <font>
      <b/>
      <sz val="11"/>
      <color indexed="8"/>
      <name val="Arial"/>
      <family val="2"/>
    </font>
    <font>
      <b/>
      <sz val="10"/>
      <color indexed="8"/>
      <name val="Arial"/>
      <family val="2"/>
    </font>
    <font>
      <sz val="11"/>
      <color theme="1"/>
      <name val="Arial"/>
      <family val="2"/>
      <charset val="177"/>
      <scheme val="minor"/>
    </font>
    <font>
      <b/>
      <u/>
      <sz val="17"/>
      <color rgb="FF000000"/>
      <name val="Arial"/>
      <family val="2"/>
    </font>
    <font>
      <b/>
      <sz val="11"/>
      <color rgb="FF000000"/>
      <name val="Arial"/>
      <family val="2"/>
      <scheme val="minor"/>
    </font>
    <font>
      <b/>
      <sz val="11"/>
      <color rgb="FF000000"/>
      <name val="Arial"/>
      <family val="2"/>
    </font>
    <font>
      <b/>
      <u/>
      <sz val="11"/>
      <color rgb="FF000000"/>
      <name val="Arial"/>
      <family val="2"/>
      <scheme val="minor"/>
    </font>
    <font>
      <b/>
      <sz val="11"/>
      <color rgb="FF000000"/>
      <name val="Calibri"/>
      <family val="2"/>
    </font>
    <font>
      <b/>
      <sz val="11"/>
      <name val="Arial"/>
      <family val="2"/>
      <scheme val="minor"/>
    </font>
    <font>
      <b/>
      <sz val="11"/>
      <color theme="4" tint="-0.249977111117893"/>
      <name val="Arial"/>
      <family val="2"/>
    </font>
    <font>
      <b/>
      <sz val="14"/>
      <color theme="4" tint="-0.249977111117893"/>
      <name val="Arial"/>
      <family val="2"/>
    </font>
    <font>
      <b/>
      <sz val="16"/>
      <color theme="0"/>
      <name val="Arial"/>
      <family val="2"/>
    </font>
    <font>
      <sz val="18"/>
      <name val="Arial"/>
      <family val="2"/>
      <scheme val="minor"/>
    </font>
    <font>
      <b/>
      <sz val="10"/>
      <color rgb="FF000000"/>
      <name val="Arial"/>
      <family val="2"/>
    </font>
    <font>
      <b/>
      <sz val="14"/>
      <color theme="0"/>
      <name val="Arial"/>
      <family val="2"/>
    </font>
    <font>
      <sz val="16"/>
      <color theme="1"/>
      <name val="Arial"/>
      <family val="2"/>
      <scheme val="minor"/>
    </font>
    <font>
      <b/>
      <u/>
      <sz val="17"/>
      <color rgb="FF000000"/>
      <name val="Arial"/>
      <family val="2"/>
      <scheme val="minor"/>
    </font>
    <font>
      <b/>
      <sz val="11"/>
      <color theme="0"/>
      <name val="Arial"/>
      <family val="2"/>
    </font>
    <font>
      <sz val="11"/>
      <color theme="0"/>
      <name val="Arial"/>
      <family val="2"/>
      <scheme val="minor"/>
    </font>
    <font>
      <sz val="10"/>
      <name val="Arial"/>
      <family val="2"/>
    </font>
    <font>
      <b/>
      <sz val="11"/>
      <color theme="1"/>
      <name val="Arial"/>
      <family val="2"/>
      <scheme val="minor"/>
    </font>
    <font>
      <b/>
      <sz val="11"/>
      <color theme="3"/>
      <name val="Arial"/>
      <family val="2"/>
    </font>
    <font>
      <i/>
      <sz val="11"/>
      <color theme="3"/>
      <name val="Arial"/>
      <family val="2"/>
    </font>
    <font>
      <b/>
      <sz val="14"/>
      <color theme="4" tint="-0.24988555558946501"/>
      <name val="Arial"/>
      <family val="2"/>
    </font>
    <font>
      <b/>
      <sz val="11"/>
      <color theme="4" tint="-0.24988555558946501"/>
      <name val="Arial"/>
      <family val="2"/>
    </font>
    <font>
      <b/>
      <sz val="11"/>
      <color theme="4" tint="-0.24991607409894101"/>
      <name val="Arial"/>
      <family val="2"/>
    </font>
    <font>
      <b/>
      <sz val="14"/>
      <color theme="4" tint="-0.24991607409894101"/>
      <name val="Arial"/>
      <family val="2"/>
    </font>
    <font>
      <b/>
      <sz val="14"/>
      <color theme="3" tint="0.39997558519241921"/>
      <name val="Arial"/>
      <family val="2"/>
    </font>
    <font>
      <b/>
      <sz val="14"/>
      <color rgb="FFFF0000"/>
      <name val="Arial"/>
      <family val="2"/>
    </font>
    <font>
      <sz val="22"/>
      <color theme="1"/>
      <name val="Arial"/>
      <family val="2"/>
      <charset val="177"/>
      <scheme val="minor"/>
    </font>
    <font>
      <sz val="11"/>
      <color theme="1"/>
      <name val="Arial"/>
      <family val="2"/>
      <scheme val="minor"/>
    </font>
    <font>
      <b/>
      <sz val="14"/>
      <name val="Arial"/>
      <family val="2"/>
    </font>
    <font>
      <sz val="11"/>
      <color theme="0"/>
      <name val="Arial"/>
      <family val="2"/>
      <charset val="177"/>
      <scheme val="minor"/>
    </font>
    <font>
      <b/>
      <sz val="11"/>
      <color theme="0"/>
      <name val="Arial"/>
      <family val="2"/>
      <scheme val="minor"/>
    </font>
    <font>
      <b/>
      <sz val="10"/>
      <color theme="0"/>
      <name val="Arial"/>
      <family val="2"/>
    </font>
  </fonts>
  <fills count="14">
    <fill>
      <patternFill patternType="none"/>
    </fill>
    <fill>
      <patternFill patternType="gray125"/>
    </fill>
    <fill>
      <patternFill patternType="solid">
        <fgColor rgb="FF95B3D7"/>
        <bgColor indexed="64"/>
      </patternFill>
    </fill>
    <fill>
      <patternFill patternType="solid">
        <fgColor rgb="FF558ED5"/>
        <bgColor indexed="64"/>
      </patternFill>
    </fill>
    <fill>
      <patternFill patternType="solid">
        <fgColor rgb="FFFFC000"/>
        <bgColor indexed="64"/>
      </patternFill>
    </fill>
    <fill>
      <patternFill patternType="solid">
        <fgColor rgb="FFB9CDE5"/>
        <bgColor indexed="64"/>
      </patternFill>
    </fill>
    <fill>
      <patternFill patternType="solid">
        <fgColor rgb="FF8EB4E3"/>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rgb="FFC0000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4" tint="0.79989013336588644"/>
        <bgColor indexed="64"/>
      </patternFill>
    </fill>
    <fill>
      <patternFill patternType="solid">
        <fgColor theme="0"/>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rgb="FF000000"/>
      </right>
      <top style="medium">
        <color indexed="64"/>
      </top>
      <bottom style="medium">
        <color rgb="FF000000"/>
      </bottom>
      <diagonal/>
    </border>
    <border>
      <left style="thin">
        <color rgb="FF000000"/>
      </left>
      <right style="medium">
        <color indexed="64"/>
      </right>
      <top style="medium">
        <color indexed="64"/>
      </top>
      <bottom style="medium">
        <color rgb="FF000000"/>
      </bottom>
      <diagonal/>
    </border>
    <border>
      <left style="thin">
        <color rgb="FF000000"/>
      </left>
      <right style="medium">
        <color indexed="64"/>
      </right>
      <top style="medium">
        <color rgb="FF000000"/>
      </top>
      <bottom/>
      <diagonal/>
    </border>
    <border>
      <left style="thin">
        <color rgb="FF000000"/>
      </left>
      <right style="medium">
        <color indexed="64"/>
      </right>
      <top/>
      <bottom style="medium">
        <color rgb="FF000000"/>
      </bottom>
      <diagonal/>
    </border>
    <border>
      <left style="thin">
        <color rgb="FF000000"/>
      </left>
      <right style="medium">
        <color indexed="64"/>
      </right>
      <top/>
      <bottom/>
      <diagonal/>
    </border>
    <border>
      <left style="medium">
        <color indexed="64"/>
      </left>
      <right style="thin">
        <color rgb="FF000000"/>
      </right>
      <top style="medium">
        <color rgb="FF000000"/>
      </top>
      <bottom/>
      <diagonal/>
    </border>
    <border>
      <left style="medium">
        <color indexed="64"/>
      </left>
      <right style="thin">
        <color rgb="FF000000"/>
      </right>
      <top/>
      <bottom style="medium">
        <color rgb="FF000000"/>
      </bottom>
      <diagonal/>
    </border>
    <border>
      <left style="medium">
        <color indexed="64"/>
      </left>
      <right style="thin">
        <color rgb="FF000000"/>
      </right>
      <top style="medium">
        <color rgb="FF000000"/>
      </top>
      <bottom style="medium">
        <color indexed="64"/>
      </bottom>
      <diagonal/>
    </border>
    <border>
      <left style="thin">
        <color rgb="FF000000"/>
      </left>
      <right style="medium">
        <color indexed="64"/>
      </right>
      <top style="medium">
        <color rgb="FF000000"/>
      </top>
      <bottom style="medium">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diagonal/>
    </border>
    <border>
      <left/>
      <right/>
      <top/>
      <bottom style="thin">
        <color theme="0"/>
      </bottom>
      <diagonal/>
    </border>
    <border>
      <left/>
      <right/>
      <top style="thin">
        <color theme="0"/>
      </top>
      <bottom style="thin">
        <color theme="0"/>
      </bottom>
      <diagonal/>
    </border>
    <border>
      <left style="thin">
        <color theme="0"/>
      </left>
      <right/>
      <top/>
      <bottom/>
      <diagonal/>
    </border>
    <border>
      <left style="medium">
        <color indexed="64"/>
      </left>
      <right style="thin">
        <color rgb="FF000000"/>
      </right>
      <top/>
      <bottom/>
      <diagonal/>
    </border>
    <border>
      <left style="thin">
        <color theme="0"/>
      </left>
      <right style="thin">
        <color theme="0"/>
      </right>
      <top style="thin">
        <color theme="0"/>
      </top>
      <bottom/>
      <diagonal/>
    </border>
    <border>
      <left style="thin">
        <color theme="0"/>
      </left>
      <right style="thin">
        <color theme="0"/>
      </right>
      <top/>
      <bottom/>
      <diagonal/>
    </border>
    <border>
      <left/>
      <right style="thin">
        <color theme="0"/>
      </right>
      <top style="thin">
        <color theme="0"/>
      </top>
      <bottom/>
      <diagonal/>
    </border>
    <border>
      <left/>
      <right style="thin">
        <color theme="0"/>
      </right>
      <top/>
      <bottom/>
      <diagonal/>
    </border>
    <border>
      <left style="thin">
        <color rgb="FFF4F7FA"/>
      </left>
      <right style="thin">
        <color theme="0"/>
      </right>
      <top style="thin">
        <color rgb="FFF4F7FA"/>
      </top>
      <bottom style="thin">
        <color rgb="FFF4F7FA"/>
      </bottom>
      <diagonal/>
    </border>
    <border>
      <left/>
      <right style="thin">
        <color theme="0"/>
      </right>
      <top style="thin">
        <color rgb="FFF4F7FA"/>
      </top>
      <bottom style="thin">
        <color rgb="FFF4F7FA"/>
      </bottom>
      <diagonal/>
    </border>
    <border>
      <left style="thin">
        <color theme="0"/>
      </left>
      <right style="thin">
        <color theme="0"/>
      </right>
      <top style="thin">
        <color rgb="FFF4F7FA"/>
      </top>
      <bottom style="thin">
        <color rgb="FFF4F7FA"/>
      </bottom>
      <diagonal/>
    </border>
    <border>
      <left style="thin">
        <color theme="0"/>
      </left>
      <right style="thin">
        <color rgb="FFF4F7FA"/>
      </right>
      <top style="thin">
        <color rgb="FFF4F7FA"/>
      </top>
      <bottom style="thin">
        <color rgb="FFF4F7FA"/>
      </bottom>
      <diagonal/>
    </border>
    <border>
      <left style="thin">
        <color theme="0"/>
      </left>
      <right style="thin">
        <color theme="0"/>
      </right>
      <top/>
      <bottom style="thin">
        <color rgb="FFF4F7FA"/>
      </bottom>
      <diagonal/>
    </border>
    <border>
      <left/>
      <right style="thin">
        <color theme="0"/>
      </right>
      <top/>
      <bottom style="thin">
        <color rgb="FFF4F7FA"/>
      </bottom>
      <diagonal/>
    </border>
    <border>
      <left style="thin">
        <color theme="0"/>
      </left>
      <right style="thin">
        <color auto="1"/>
      </right>
      <top style="thin">
        <color theme="0"/>
      </top>
      <bottom/>
      <diagonal/>
    </border>
    <border>
      <left/>
      <right style="thin">
        <color auto="1"/>
      </right>
      <top style="thin">
        <color theme="0"/>
      </top>
      <bottom/>
      <diagonal/>
    </border>
    <border>
      <left style="thin">
        <color auto="1"/>
      </left>
      <right style="thin">
        <color auto="1"/>
      </right>
      <top style="thin">
        <color theme="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theme="0"/>
      </top>
      <bottom style="thin">
        <color theme="0"/>
      </bottom>
      <diagonal/>
    </border>
    <border>
      <left/>
      <right style="medium">
        <color indexed="64"/>
      </right>
      <top/>
      <bottom style="thin">
        <color theme="0"/>
      </bottom>
      <diagonal/>
    </border>
    <border>
      <left style="medium">
        <color indexed="64"/>
      </left>
      <right/>
      <top style="thin">
        <color theme="0"/>
      </top>
      <bottom style="medium">
        <color indexed="64"/>
      </bottom>
      <diagonal/>
    </border>
    <border>
      <left/>
      <right/>
      <top style="thin">
        <color theme="0"/>
      </top>
      <bottom style="medium">
        <color indexed="64"/>
      </bottom>
      <diagonal/>
    </border>
    <border>
      <left/>
      <right style="medium">
        <color indexed="64"/>
      </right>
      <top style="thin">
        <color theme="0"/>
      </top>
      <bottom style="medium">
        <color indexed="64"/>
      </bottom>
      <diagonal/>
    </border>
    <border>
      <left style="medium">
        <color indexed="64"/>
      </left>
      <right/>
      <top style="medium">
        <color indexed="64"/>
      </top>
      <bottom style="thin">
        <color theme="0"/>
      </bottom>
      <diagonal/>
    </border>
    <border>
      <left/>
      <right/>
      <top style="medium">
        <color indexed="64"/>
      </top>
      <bottom style="thin">
        <color theme="0"/>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theme="0"/>
      </left>
      <right/>
      <top/>
      <bottom style="thin">
        <color theme="0"/>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theme="0"/>
      </left>
      <right/>
      <top style="thin">
        <color theme="0"/>
      </top>
      <bottom/>
      <diagonal/>
    </border>
    <border>
      <left style="thin">
        <color indexed="64"/>
      </left>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theme="0"/>
      </left>
      <right/>
      <top/>
      <bottom style="medium">
        <color indexed="64"/>
      </bottom>
      <diagonal/>
    </border>
    <border>
      <left/>
      <right/>
      <top style="thin">
        <color indexed="64"/>
      </top>
      <bottom/>
      <diagonal/>
    </border>
    <border>
      <left/>
      <right/>
      <top style="medium">
        <color indexed="64"/>
      </top>
      <bottom style="medium">
        <color indexed="64"/>
      </bottom>
      <diagonal/>
    </border>
  </borders>
  <cellStyleXfs count="12">
    <xf numFmtId="0" fontId="0"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0" fontId="22" fillId="0" borderId="0"/>
    <xf numFmtId="9" fontId="22" fillId="0" borderId="0" applyFont="0" applyFill="0" applyBorder="0" applyAlignment="0" applyProtection="0"/>
    <xf numFmtId="0" fontId="22" fillId="0" borderId="0"/>
    <xf numFmtId="0" fontId="5" fillId="0" borderId="0"/>
    <xf numFmtId="0" fontId="5" fillId="0" borderId="0"/>
    <xf numFmtId="9" fontId="5" fillId="0" borderId="0" applyFont="0" applyFill="0" applyBorder="0" applyAlignment="0" applyProtection="0"/>
  </cellStyleXfs>
  <cellXfs count="344">
    <xf numFmtId="0" fontId="0" fillId="0" borderId="0" xfId="0"/>
    <xf numFmtId="0" fontId="1" fillId="0" borderId="0" xfId="0" applyFont="1" applyAlignment="1">
      <alignment wrapText="1"/>
    </xf>
    <xf numFmtId="0" fontId="6" fillId="0" borderId="0" xfId="0" applyFont="1" applyAlignment="1">
      <alignment vertical="center" wrapText="1" readingOrder="2"/>
    </xf>
    <xf numFmtId="0" fontId="8" fillId="0" borderId="0" xfId="0" applyFont="1" applyAlignment="1">
      <alignment vertical="center" wrapText="1" readingOrder="2"/>
    </xf>
    <xf numFmtId="0" fontId="7" fillId="2" borderId="10" xfId="0" applyFont="1" applyFill="1" applyBorder="1" applyAlignment="1">
      <alignment horizontal="center" vertical="center" wrapText="1" readingOrder="2"/>
    </xf>
    <xf numFmtId="0" fontId="7" fillId="2" borderId="11" xfId="0" applyFont="1" applyFill="1" applyBorder="1" applyAlignment="1">
      <alignment horizontal="center" vertical="center" wrapText="1" readingOrder="2"/>
    </xf>
    <xf numFmtId="0" fontId="7" fillId="4" borderId="12" xfId="0" applyFont="1" applyFill="1" applyBorder="1" applyAlignment="1">
      <alignment horizontal="center" vertical="center" wrapText="1" readingOrder="2"/>
    </xf>
    <xf numFmtId="0" fontId="7" fillId="4" borderId="13" xfId="0" applyFont="1" applyFill="1" applyBorder="1" applyAlignment="1">
      <alignment horizontal="center" vertical="center" wrapText="1" readingOrder="2"/>
    </xf>
    <xf numFmtId="0" fontId="7" fillId="4" borderId="14" xfId="0" applyFont="1" applyFill="1" applyBorder="1" applyAlignment="1">
      <alignment horizontal="center" vertical="center" wrapText="1" readingOrder="2"/>
    </xf>
    <xf numFmtId="0" fontId="9" fillId="5" borderId="15" xfId="0" applyFont="1" applyFill="1" applyBorder="1" applyAlignment="1">
      <alignment horizontal="right" vertical="center" wrapText="1" readingOrder="2"/>
    </xf>
    <xf numFmtId="0" fontId="7" fillId="5" borderId="16" xfId="0" applyFont="1" applyFill="1" applyBorder="1" applyAlignment="1">
      <alignment horizontal="right" vertical="center" wrapText="1" readingOrder="2"/>
    </xf>
    <xf numFmtId="0" fontId="9" fillId="5" borderId="17" xfId="0" applyFont="1" applyFill="1" applyBorder="1" applyAlignment="1">
      <alignment horizontal="right" vertical="center" wrapText="1" readingOrder="2"/>
    </xf>
    <xf numFmtId="0" fontId="10" fillId="4" borderId="18" xfId="0" applyFont="1" applyFill="1" applyBorder="1" applyAlignment="1">
      <alignment horizontal="center" vertical="center" wrapText="1" readingOrder="2"/>
    </xf>
    <xf numFmtId="9" fontId="7" fillId="4" borderId="1" xfId="0" applyNumberFormat="1" applyFont="1" applyFill="1" applyBorder="1" applyAlignment="1">
      <alignment horizontal="center" vertical="center" wrapText="1" readingOrder="1"/>
    </xf>
    <xf numFmtId="0" fontId="7" fillId="4" borderId="1" xfId="0" applyFont="1" applyFill="1" applyBorder="1" applyAlignment="1">
      <alignment horizontal="center" vertical="center" wrapText="1" readingOrder="1"/>
    </xf>
    <xf numFmtId="0" fontId="7" fillId="6" borderId="2" xfId="0" applyFont="1" applyFill="1" applyBorder="1" applyAlignment="1">
      <alignment horizontal="center" vertical="center" wrapText="1" readingOrder="2"/>
    </xf>
    <xf numFmtId="0" fontId="9" fillId="6" borderId="2" xfId="0" applyFont="1" applyFill="1" applyBorder="1" applyAlignment="1">
      <alignment horizontal="center" vertical="center" wrapText="1" readingOrder="2"/>
    </xf>
    <xf numFmtId="0" fontId="7" fillId="6" borderId="3" xfId="0" applyFont="1" applyFill="1" applyBorder="1" applyAlignment="1">
      <alignment horizontal="center" vertical="center" wrapText="1" readingOrder="2"/>
    </xf>
    <xf numFmtId="0" fontId="7" fillId="4" borderId="4" xfId="0" applyFont="1" applyFill="1" applyBorder="1" applyAlignment="1">
      <alignment horizontal="center" vertical="center" wrapText="1" readingOrder="2"/>
    </xf>
    <xf numFmtId="0" fontId="7" fillId="6" borderId="5" xfId="0" applyFont="1" applyFill="1" applyBorder="1" applyAlignment="1">
      <alignment horizontal="center" vertical="center" wrapText="1" readingOrder="2"/>
    </xf>
    <xf numFmtId="0" fontId="9" fillId="3" borderId="6" xfId="0" applyFont="1" applyFill="1" applyBorder="1" applyAlignment="1">
      <alignment horizontal="center" vertical="center" wrapText="1" readingOrder="2"/>
    </xf>
    <xf numFmtId="0" fontId="2" fillId="6" borderId="2" xfId="0" applyFont="1" applyFill="1" applyBorder="1" applyAlignment="1">
      <alignment horizontal="center" vertical="center" wrapText="1" readingOrder="2"/>
    </xf>
    <xf numFmtId="0" fontId="11" fillId="4" borderId="1" xfId="0" applyFont="1" applyFill="1" applyBorder="1" applyAlignment="1">
      <alignment horizontal="center" vertical="center" wrapText="1" readingOrder="1"/>
    </xf>
    <xf numFmtId="0" fontId="11" fillId="6" borderId="2" xfId="0" applyFont="1" applyFill="1" applyBorder="1" applyAlignment="1">
      <alignment horizontal="center" vertical="center" wrapText="1" readingOrder="2"/>
    </xf>
    <xf numFmtId="0" fontId="4" fillId="0" borderId="0" xfId="0" applyFont="1" applyAlignment="1">
      <alignment horizontal="right" readingOrder="2"/>
    </xf>
    <xf numFmtId="9" fontId="11" fillId="4" borderId="1" xfId="0" applyNumberFormat="1" applyFont="1" applyFill="1" applyBorder="1" applyAlignment="1">
      <alignment horizontal="center" vertical="center" wrapText="1" readingOrder="1"/>
    </xf>
    <xf numFmtId="0" fontId="12" fillId="8" borderId="20" xfId="0" applyFont="1" applyFill="1" applyBorder="1" applyAlignment="1">
      <alignment horizontal="right" vertical="center" wrapText="1" readingOrder="2"/>
    </xf>
    <xf numFmtId="0" fontId="12" fillId="8" borderId="21" xfId="0" applyFont="1" applyFill="1" applyBorder="1" applyAlignment="1">
      <alignment horizontal="center" vertical="center" wrapText="1" readingOrder="2"/>
    </xf>
    <xf numFmtId="0" fontId="0" fillId="0" borderId="0" xfId="0" applyAlignment="1">
      <alignment horizontal="center"/>
    </xf>
    <xf numFmtId="0" fontId="13" fillId="0" borderId="0" xfId="0" applyFont="1" applyAlignment="1">
      <alignment horizontal="center" vertical="center" wrapText="1" readingOrder="2"/>
    </xf>
    <xf numFmtId="0" fontId="14" fillId="7" borderId="19" xfId="0" applyFont="1" applyFill="1" applyBorder="1" applyAlignment="1">
      <alignment horizontal="center" vertical="center" wrapText="1" readingOrder="2"/>
    </xf>
    <xf numFmtId="0" fontId="14" fillId="7" borderId="22" xfId="0" applyFont="1" applyFill="1" applyBorder="1" applyAlignment="1">
      <alignment horizontal="center" vertical="center" wrapText="1" readingOrder="2"/>
    </xf>
    <xf numFmtId="0" fontId="15" fillId="0" borderId="0" xfId="0" applyFont="1" applyAlignment="1">
      <alignment horizontal="right" wrapText="1"/>
    </xf>
    <xf numFmtId="0" fontId="15" fillId="0" borderId="0" xfId="0" applyFont="1" applyAlignment="1">
      <alignment wrapText="1"/>
    </xf>
    <xf numFmtId="0" fontId="16" fillId="0" borderId="24" xfId="0" applyFont="1" applyBorder="1" applyAlignment="1">
      <alignment horizontal="right" readingOrder="2"/>
    </xf>
    <xf numFmtId="0" fontId="20" fillId="7" borderId="19" xfId="0" applyFont="1" applyFill="1" applyBorder="1" applyAlignment="1">
      <alignment horizontal="center" vertical="center" wrapText="1" readingOrder="2"/>
    </xf>
    <xf numFmtId="0" fontId="20" fillId="9" borderId="19" xfId="0" applyFont="1" applyFill="1" applyBorder="1" applyAlignment="1">
      <alignment horizontal="center" vertical="center" wrapText="1" readingOrder="2"/>
    </xf>
    <xf numFmtId="0" fontId="12" fillId="10" borderId="20" xfId="0" applyFont="1" applyFill="1" applyBorder="1" applyAlignment="1">
      <alignment horizontal="right" vertical="center" wrapText="1" readingOrder="2"/>
    </xf>
    <xf numFmtId="9" fontId="12" fillId="10" borderId="20" xfId="0" applyNumberFormat="1" applyFont="1" applyFill="1" applyBorder="1" applyAlignment="1">
      <alignment horizontal="center" vertical="center" wrapText="1" readingOrder="1"/>
    </xf>
    <xf numFmtId="164" fontId="12" fillId="10" borderId="20" xfId="0" applyNumberFormat="1" applyFont="1" applyFill="1" applyBorder="1" applyAlignment="1">
      <alignment horizontal="center" vertical="center" wrapText="1" readingOrder="1"/>
    </xf>
    <xf numFmtId="9" fontId="12" fillId="10" borderId="20" xfId="1" applyFont="1" applyFill="1" applyBorder="1" applyAlignment="1">
      <alignment horizontal="center" vertical="center" wrapText="1" readingOrder="1"/>
    </xf>
    <xf numFmtId="0" fontId="12" fillId="10" borderId="21" xfId="0" applyFont="1" applyFill="1" applyBorder="1" applyAlignment="1">
      <alignment horizontal="center" vertical="center" wrapText="1" readingOrder="2"/>
    </xf>
    <xf numFmtId="0" fontId="20" fillId="7" borderId="23" xfId="0" applyFont="1" applyFill="1" applyBorder="1" applyAlignment="1">
      <alignment horizontal="center" vertical="center" readingOrder="2"/>
    </xf>
    <xf numFmtId="9" fontId="12" fillId="0" borderId="0" xfId="0" applyNumberFormat="1" applyFont="1" applyAlignment="1">
      <alignment horizontal="center" vertical="center" wrapText="1" readingOrder="1"/>
    </xf>
    <xf numFmtId="164" fontId="12" fillId="0" borderId="0" xfId="0" applyNumberFormat="1" applyFont="1" applyAlignment="1">
      <alignment horizontal="center" vertical="center" wrapText="1" readingOrder="1"/>
    </xf>
    <xf numFmtId="9" fontId="12" fillId="0" borderId="0" xfId="1" applyFont="1" applyFill="1" applyBorder="1" applyAlignment="1">
      <alignment horizontal="center" vertical="center" wrapText="1" readingOrder="1"/>
    </xf>
    <xf numFmtId="0" fontId="12" fillId="0" borderId="0" xfId="0" applyFont="1" applyAlignment="1">
      <alignment horizontal="center" vertical="center" wrapText="1" readingOrder="2"/>
    </xf>
    <xf numFmtId="0" fontId="5" fillId="0" borderId="0" xfId="2"/>
    <xf numFmtId="0" fontId="20" fillId="7" borderId="19" xfId="2" applyFont="1" applyFill="1" applyBorder="1" applyAlignment="1">
      <alignment horizontal="center" vertical="center" wrapText="1" readingOrder="2"/>
    </xf>
    <xf numFmtId="0" fontId="12" fillId="10" borderId="29" xfId="2" applyFont="1" applyFill="1" applyBorder="1" applyAlignment="1">
      <alignment vertical="center" wrapText="1" readingOrder="2"/>
    </xf>
    <xf numFmtId="0" fontId="12" fillId="10" borderId="30" xfId="2" applyFont="1" applyFill="1" applyBorder="1" applyAlignment="1">
      <alignment vertical="center" wrapText="1" readingOrder="2"/>
    </xf>
    <xf numFmtId="9" fontId="12" fillId="10" borderId="30" xfId="3" applyFont="1" applyFill="1" applyBorder="1" applyAlignment="1">
      <alignment vertical="center" wrapText="1" readingOrder="1"/>
    </xf>
    <xf numFmtId="9" fontId="12" fillId="10" borderId="30" xfId="2" applyNumberFormat="1" applyFont="1" applyFill="1" applyBorder="1" applyAlignment="1">
      <alignment horizontal="center" vertical="center" wrapText="1" readingOrder="1"/>
    </xf>
    <xf numFmtId="9" fontId="12" fillId="10" borderId="30" xfId="3" applyFont="1" applyFill="1" applyBorder="1" applyAlignment="1">
      <alignment horizontal="center" vertical="center" wrapText="1" readingOrder="1"/>
    </xf>
    <xf numFmtId="0" fontId="12" fillId="10" borderId="20" xfId="2" applyFont="1" applyFill="1" applyBorder="1" applyAlignment="1">
      <alignment vertical="center" wrapText="1" readingOrder="2"/>
    </xf>
    <xf numFmtId="9" fontId="12" fillId="10" borderId="20" xfId="2" applyNumberFormat="1" applyFont="1" applyFill="1" applyBorder="1" applyAlignment="1">
      <alignment horizontal="center" vertical="center" wrapText="1" readingOrder="1"/>
    </xf>
    <xf numFmtId="9" fontId="12" fillId="10" borderId="20" xfId="3" applyFont="1" applyFill="1" applyBorder="1" applyAlignment="1">
      <alignment horizontal="center" vertical="center" wrapText="1" readingOrder="1"/>
    </xf>
    <xf numFmtId="9" fontId="12" fillId="10" borderId="29" xfId="2" applyNumberFormat="1" applyFont="1" applyFill="1" applyBorder="1" applyAlignment="1">
      <alignment horizontal="center" vertical="center" wrapText="1" readingOrder="1"/>
    </xf>
    <xf numFmtId="0" fontId="5" fillId="0" borderId="0" xfId="2" applyAlignment="1">
      <alignment vertical="center"/>
    </xf>
    <xf numFmtId="0" fontId="12" fillId="10" borderId="21" xfId="5" applyFont="1" applyFill="1" applyBorder="1" applyAlignment="1">
      <alignment horizontal="center" vertical="center" wrapText="1" readingOrder="2"/>
    </xf>
    <xf numFmtId="9" fontId="12" fillId="10" borderId="20" xfId="3" applyFont="1" applyFill="1" applyBorder="1" applyAlignment="1">
      <alignment vertical="center" wrapText="1" readingOrder="1"/>
    </xf>
    <xf numFmtId="0" fontId="12" fillId="10" borderId="20" xfId="2" applyFont="1" applyFill="1" applyBorder="1" applyAlignment="1">
      <alignment horizontal="right" vertical="center" wrapText="1" readingOrder="2"/>
    </xf>
    <xf numFmtId="0" fontId="12" fillId="10" borderId="21" xfId="2" applyFont="1" applyFill="1" applyBorder="1" applyAlignment="1">
      <alignment horizontal="center" vertical="center" wrapText="1" readingOrder="2"/>
    </xf>
    <xf numFmtId="0" fontId="12" fillId="10" borderId="21" xfId="2" applyFont="1" applyFill="1" applyBorder="1" applyAlignment="1">
      <alignment horizontal="center" vertical="center" readingOrder="2"/>
    </xf>
    <xf numFmtId="0" fontId="12" fillId="10" borderId="20" xfId="2" applyFont="1" applyFill="1" applyBorder="1" applyAlignment="1">
      <alignment horizontal="center" vertical="center" readingOrder="2"/>
    </xf>
    <xf numFmtId="9" fontId="12" fillId="10" borderId="21" xfId="4" applyFont="1" applyFill="1" applyBorder="1" applyAlignment="1">
      <alignment horizontal="center" vertical="center" wrapText="1" readingOrder="1"/>
    </xf>
    <xf numFmtId="0" fontId="16" fillId="0" borderId="24" xfId="2" applyFont="1" applyBorder="1" applyAlignment="1">
      <alignment horizontal="right" readingOrder="2"/>
    </xf>
    <xf numFmtId="0" fontId="16" fillId="0" borderId="0" xfId="2" applyFont="1" applyAlignment="1">
      <alignment horizontal="right" vertical="top" readingOrder="2"/>
    </xf>
    <xf numFmtId="0" fontId="16" fillId="0" borderId="0" xfId="2" applyFont="1" applyAlignment="1">
      <alignment vertical="top" wrapText="1" readingOrder="2"/>
    </xf>
    <xf numFmtId="0" fontId="16" fillId="0" borderId="0" xfId="2" applyFont="1" applyAlignment="1">
      <alignment vertical="top" readingOrder="2"/>
    </xf>
    <xf numFmtId="0" fontId="5" fillId="0" borderId="0" xfId="2" applyAlignment="1">
      <alignment horizontal="center"/>
    </xf>
    <xf numFmtId="0" fontId="5" fillId="0" borderId="0" xfId="5"/>
    <xf numFmtId="0" fontId="20" fillId="9" borderId="22" xfId="2" applyFont="1" applyFill="1" applyBorder="1" applyAlignment="1">
      <alignment horizontal="center" vertical="center" wrapText="1" readingOrder="2"/>
    </xf>
    <xf numFmtId="9" fontId="12" fillId="10" borderId="32" xfId="2" applyNumberFormat="1" applyFont="1" applyFill="1" applyBorder="1" applyAlignment="1">
      <alignment horizontal="center" vertical="center" wrapText="1" readingOrder="1"/>
    </xf>
    <xf numFmtId="9" fontId="12" fillId="10" borderId="21" xfId="2" applyNumberFormat="1" applyFont="1" applyFill="1" applyBorder="1" applyAlignment="1">
      <alignment horizontal="center" vertical="center" wrapText="1" readingOrder="1"/>
    </xf>
    <xf numFmtId="0" fontId="12" fillId="10" borderId="30" xfId="2" applyFont="1" applyFill="1" applyBorder="1" applyAlignment="1">
      <alignment horizontal="right" vertical="center" wrapText="1" readingOrder="2"/>
    </xf>
    <xf numFmtId="0" fontId="12" fillId="10" borderId="20" xfId="2" applyFont="1" applyFill="1" applyBorder="1" applyAlignment="1">
      <alignment horizontal="right" vertical="center" readingOrder="2"/>
    </xf>
    <xf numFmtId="0" fontId="16" fillId="0" borderId="24" xfId="2" applyFont="1" applyBorder="1" applyAlignment="1">
      <alignment horizontal="center" readingOrder="2"/>
    </xf>
    <xf numFmtId="0" fontId="16" fillId="0" borderId="24" xfId="6" applyFont="1" applyBorder="1" applyAlignment="1">
      <alignment horizontal="right" readingOrder="2"/>
    </xf>
    <xf numFmtId="0" fontId="16" fillId="0" borderId="0" xfId="2" applyFont="1" applyAlignment="1">
      <alignment horizontal="center" vertical="top" readingOrder="2"/>
    </xf>
    <xf numFmtId="164" fontId="12" fillId="10" borderId="22" xfId="2" applyNumberFormat="1" applyFont="1" applyFill="1" applyBorder="1" applyAlignment="1">
      <alignment horizontal="center" vertical="center" wrapText="1" readingOrder="1"/>
    </xf>
    <xf numFmtId="164" fontId="12" fillId="10" borderId="32" xfId="2" applyNumberFormat="1" applyFont="1" applyFill="1" applyBorder="1" applyAlignment="1">
      <alignment horizontal="center" vertical="center" wrapText="1" readingOrder="1"/>
    </xf>
    <xf numFmtId="0" fontId="12" fillId="10" borderId="21" xfId="0" applyFont="1" applyFill="1" applyBorder="1" applyAlignment="1">
      <alignment horizontal="center" vertical="top" wrapText="1" readingOrder="2"/>
    </xf>
    <xf numFmtId="0" fontId="12" fillId="10" borderId="22" xfId="5" applyFont="1" applyFill="1" applyBorder="1" applyAlignment="1">
      <alignment horizontal="center" vertical="center" wrapText="1" readingOrder="2"/>
    </xf>
    <xf numFmtId="0" fontId="5" fillId="0" borderId="0" xfId="5" applyAlignment="1">
      <alignment wrapText="1"/>
    </xf>
    <xf numFmtId="164" fontId="12" fillId="10" borderId="20" xfId="1" applyNumberFormat="1" applyFont="1" applyFill="1" applyBorder="1" applyAlignment="1">
      <alignment horizontal="center" vertical="center" wrapText="1" readingOrder="1"/>
    </xf>
    <xf numFmtId="164" fontId="12" fillId="10" borderId="21" xfId="2" applyNumberFormat="1" applyFont="1" applyFill="1" applyBorder="1" applyAlignment="1">
      <alignment horizontal="center" vertical="center" wrapText="1" readingOrder="1"/>
    </xf>
    <xf numFmtId="9" fontId="12" fillId="10" borderId="35" xfId="2" applyNumberFormat="1" applyFont="1" applyFill="1" applyBorder="1" applyAlignment="1">
      <alignment horizontal="center" vertical="center" wrapText="1" readingOrder="1"/>
    </xf>
    <xf numFmtId="9" fontId="12" fillId="10" borderId="35" xfId="3" applyFont="1" applyFill="1" applyBorder="1" applyAlignment="1">
      <alignment horizontal="center" vertical="center" wrapText="1" readingOrder="1"/>
    </xf>
    <xf numFmtId="9" fontId="12" fillId="10" borderId="36" xfId="3" applyFont="1" applyFill="1" applyBorder="1" applyAlignment="1">
      <alignment horizontal="center" vertical="center" wrapText="1" readingOrder="1"/>
    </xf>
    <xf numFmtId="0" fontId="12" fillId="10" borderId="37" xfId="2" applyFont="1" applyFill="1" applyBorder="1" applyAlignment="1">
      <alignment vertical="center" wrapText="1" readingOrder="2"/>
    </xf>
    <xf numFmtId="9" fontId="12" fillId="10" borderId="37" xfId="3" applyFont="1" applyFill="1" applyBorder="1" applyAlignment="1">
      <alignment horizontal="center" vertical="center" wrapText="1" readingOrder="1"/>
    </xf>
    <xf numFmtId="0" fontId="12" fillId="10" borderId="38" xfId="5" applyFont="1" applyFill="1" applyBorder="1" applyAlignment="1">
      <alignment horizontal="center" vertical="center" wrapText="1" readingOrder="2"/>
    </xf>
    <xf numFmtId="164" fontId="12" fillId="10" borderId="38" xfId="2" applyNumberFormat="1" applyFont="1" applyFill="1" applyBorder="1" applyAlignment="1">
      <alignment horizontal="center" vertical="center" wrapText="1" readingOrder="1"/>
    </xf>
    <xf numFmtId="0" fontId="12" fillId="10" borderId="20" xfId="5" applyFont="1" applyFill="1" applyBorder="1" applyAlignment="1">
      <alignment horizontal="right" vertical="center" wrapText="1" readingOrder="2"/>
    </xf>
    <xf numFmtId="0" fontId="23" fillId="0" borderId="0" xfId="2" applyFont="1"/>
    <xf numFmtId="0" fontId="8" fillId="0" borderId="24" xfId="2" applyFont="1" applyBorder="1" applyAlignment="1">
      <alignment horizontal="right" readingOrder="2"/>
    </xf>
    <xf numFmtId="9" fontId="24" fillId="10" borderId="20" xfId="3" applyFont="1" applyFill="1" applyBorder="1" applyAlignment="1">
      <alignment horizontal="center" vertical="center" wrapText="1" readingOrder="1"/>
    </xf>
    <xf numFmtId="9" fontId="24" fillId="10" borderId="37" xfId="3" applyFont="1" applyFill="1" applyBorder="1" applyAlignment="1">
      <alignment horizontal="center" vertical="center" wrapText="1" readingOrder="1"/>
    </xf>
    <xf numFmtId="9" fontId="24" fillId="10" borderId="21" xfId="4" applyFont="1" applyFill="1" applyBorder="1" applyAlignment="1">
      <alignment horizontal="center" vertical="center" readingOrder="1"/>
    </xf>
    <xf numFmtId="0" fontId="24" fillId="10" borderId="29" xfId="2" applyFont="1" applyFill="1" applyBorder="1" applyAlignment="1">
      <alignment vertical="center" wrapText="1" readingOrder="2"/>
    </xf>
    <xf numFmtId="9" fontId="24" fillId="10" borderId="29" xfId="3" applyFont="1" applyFill="1" applyBorder="1" applyAlignment="1">
      <alignment vertical="center" wrapText="1" readingOrder="1"/>
    </xf>
    <xf numFmtId="9" fontId="24" fillId="10" borderId="31" xfId="2" applyNumberFormat="1" applyFont="1" applyFill="1" applyBorder="1" applyAlignment="1">
      <alignment horizontal="center" vertical="center" wrapText="1" readingOrder="1"/>
    </xf>
    <xf numFmtId="0" fontId="24" fillId="10" borderId="21" xfId="5" applyFont="1" applyFill="1" applyBorder="1" applyAlignment="1">
      <alignment horizontal="center" vertical="center" wrapText="1" readingOrder="2"/>
    </xf>
    <xf numFmtId="0" fontId="24" fillId="10" borderId="30" xfId="2" applyFont="1" applyFill="1" applyBorder="1" applyAlignment="1">
      <alignment vertical="center" wrapText="1" readingOrder="2"/>
    </xf>
    <xf numFmtId="9" fontId="24" fillId="10" borderId="30" xfId="2" applyNumberFormat="1" applyFont="1" applyFill="1" applyBorder="1" applyAlignment="1">
      <alignment horizontal="center" vertical="center" wrapText="1" readingOrder="1"/>
    </xf>
    <xf numFmtId="9" fontId="24" fillId="10" borderId="30" xfId="3" applyFont="1" applyFill="1" applyBorder="1" applyAlignment="1">
      <alignment vertical="center" wrapText="1" readingOrder="1"/>
    </xf>
    <xf numFmtId="9" fontId="24" fillId="10" borderId="32" xfId="2" applyNumberFormat="1" applyFont="1" applyFill="1" applyBorder="1" applyAlignment="1">
      <alignment horizontal="center" vertical="center" wrapText="1" readingOrder="1"/>
    </xf>
    <xf numFmtId="164" fontId="24" fillId="10" borderId="30" xfId="3" applyNumberFormat="1" applyFont="1" applyFill="1" applyBorder="1" applyAlignment="1">
      <alignment horizontal="center" vertical="center" wrapText="1" readingOrder="1"/>
    </xf>
    <xf numFmtId="9" fontId="24" fillId="10" borderId="30" xfId="3" applyFont="1" applyFill="1" applyBorder="1" applyAlignment="1">
      <alignment horizontal="center" vertical="center" wrapText="1" readingOrder="1"/>
    </xf>
    <xf numFmtId="0" fontId="24" fillId="10" borderId="20" xfId="2" applyFont="1" applyFill="1" applyBorder="1" applyAlignment="1">
      <alignment vertical="center" wrapText="1" readingOrder="2"/>
    </xf>
    <xf numFmtId="9" fontId="24" fillId="10" borderId="20" xfId="2" applyNumberFormat="1" applyFont="1" applyFill="1" applyBorder="1" applyAlignment="1">
      <alignment horizontal="center" vertical="center" wrapText="1" readingOrder="1"/>
    </xf>
    <xf numFmtId="9" fontId="24" fillId="10" borderId="20" xfId="3" applyFont="1" applyFill="1" applyBorder="1" applyAlignment="1">
      <alignment vertical="center" wrapText="1" readingOrder="1"/>
    </xf>
    <xf numFmtId="9" fontId="24" fillId="10" borderId="21" xfId="2" applyNumberFormat="1" applyFont="1" applyFill="1" applyBorder="1" applyAlignment="1">
      <alignment horizontal="center" vertical="center" wrapText="1" readingOrder="1"/>
    </xf>
    <xf numFmtId="164" fontId="24" fillId="10" borderId="30" xfId="3" applyNumberFormat="1" applyFont="1" applyFill="1" applyBorder="1" applyAlignment="1">
      <alignment horizontal="center" wrapText="1" readingOrder="1"/>
    </xf>
    <xf numFmtId="0" fontId="25" fillId="10" borderId="37" xfId="2" applyFont="1" applyFill="1" applyBorder="1" applyAlignment="1">
      <alignment vertical="center" wrapText="1" readingOrder="2"/>
    </xf>
    <xf numFmtId="9" fontId="25" fillId="10" borderId="38" xfId="2" applyNumberFormat="1" applyFont="1" applyFill="1" applyBorder="1" applyAlignment="1">
      <alignment horizontal="center" vertical="center" wrapText="1" readingOrder="1"/>
    </xf>
    <xf numFmtId="9" fontId="25" fillId="10" borderId="37" xfId="3" applyFont="1" applyFill="1" applyBorder="1" applyAlignment="1">
      <alignment horizontal="center" vertical="center" wrapText="1" readingOrder="1"/>
    </xf>
    <xf numFmtId="9" fontId="24" fillId="10" borderId="30" xfId="3" applyFont="1" applyFill="1" applyBorder="1" applyAlignment="1">
      <alignment horizontal="center" wrapText="1" readingOrder="1"/>
    </xf>
    <xf numFmtId="9" fontId="24" fillId="10" borderId="32" xfId="2" applyNumberFormat="1" applyFont="1" applyFill="1" applyBorder="1" applyAlignment="1">
      <alignment horizontal="center" wrapText="1" readingOrder="1"/>
    </xf>
    <xf numFmtId="0" fontId="24" fillId="10" borderId="32" xfId="5" applyFont="1" applyFill="1" applyBorder="1" applyAlignment="1">
      <alignment horizontal="center" vertical="center" wrapText="1" readingOrder="2"/>
    </xf>
    <xf numFmtId="0" fontId="24" fillId="10" borderId="33" xfId="2" applyFont="1" applyFill="1" applyBorder="1" applyAlignment="1">
      <alignment vertical="center" wrapText="1" readingOrder="2"/>
    </xf>
    <xf numFmtId="9" fontId="24" fillId="10" borderId="34" xfId="2" applyNumberFormat="1" applyFont="1" applyFill="1" applyBorder="1" applyAlignment="1">
      <alignment horizontal="center" vertical="center" wrapText="1" readingOrder="1"/>
    </xf>
    <xf numFmtId="9" fontId="24" fillId="10" borderId="35" xfId="3" applyFont="1" applyFill="1" applyBorder="1" applyAlignment="1">
      <alignment horizontal="center" vertical="center" wrapText="1" readingOrder="1"/>
    </xf>
    <xf numFmtId="9" fontId="24" fillId="10" borderId="36" xfId="3" applyFont="1" applyFill="1" applyBorder="1" applyAlignment="1">
      <alignment horizontal="center" vertical="center" wrapText="1" readingOrder="1"/>
    </xf>
    <xf numFmtId="0" fontId="24" fillId="10" borderId="20" xfId="2" applyFont="1" applyFill="1" applyBorder="1" applyAlignment="1">
      <alignment horizontal="right" vertical="center" wrapText="1" readingOrder="2"/>
    </xf>
    <xf numFmtId="164" fontId="24" fillId="10" borderId="20" xfId="3" applyNumberFormat="1" applyFont="1" applyFill="1" applyBorder="1" applyAlignment="1">
      <alignment horizontal="center" vertical="center" wrapText="1" readingOrder="1"/>
    </xf>
    <xf numFmtId="9" fontId="24" fillId="10" borderId="22" xfId="2" applyNumberFormat="1" applyFont="1" applyFill="1" applyBorder="1" applyAlignment="1">
      <alignment horizontal="center" vertical="center" wrapText="1" readingOrder="1"/>
    </xf>
    <xf numFmtId="164" fontId="24" fillId="10" borderId="22" xfId="2" applyNumberFormat="1" applyFont="1" applyFill="1" applyBorder="1" applyAlignment="1">
      <alignment horizontal="center" vertical="center" wrapText="1" readingOrder="1"/>
    </xf>
    <xf numFmtId="0" fontId="24" fillId="10" borderId="21" xfId="2" applyFont="1" applyFill="1" applyBorder="1" applyAlignment="1">
      <alignment horizontal="center" vertical="center" wrapText="1" readingOrder="2"/>
    </xf>
    <xf numFmtId="0" fontId="24" fillId="10" borderId="21" xfId="2" applyFont="1" applyFill="1" applyBorder="1" applyAlignment="1">
      <alignment horizontal="center" vertical="center" readingOrder="2"/>
    </xf>
    <xf numFmtId="0" fontId="24" fillId="10" borderId="20" xfId="2" applyFont="1" applyFill="1" applyBorder="1" applyAlignment="1">
      <alignment horizontal="right" vertical="center" readingOrder="2"/>
    </xf>
    <xf numFmtId="0" fontId="24" fillId="10" borderId="30" xfId="2" applyFont="1" applyFill="1" applyBorder="1" applyAlignment="1">
      <alignment horizontal="right" vertical="center" wrapText="1" readingOrder="2"/>
    </xf>
    <xf numFmtId="0" fontId="24" fillId="10" borderId="22" xfId="5" applyFont="1" applyFill="1" applyBorder="1" applyAlignment="1">
      <alignment horizontal="center" vertical="center" wrapText="1" readingOrder="2"/>
    </xf>
    <xf numFmtId="0" fontId="24" fillId="10" borderId="20" xfId="2" applyFont="1" applyFill="1" applyBorder="1" applyAlignment="1">
      <alignment horizontal="center" vertical="center" readingOrder="2"/>
    </xf>
    <xf numFmtId="0" fontId="27" fillId="12" borderId="20" xfId="0" applyFont="1" applyFill="1" applyBorder="1" applyAlignment="1">
      <alignment horizontal="right" vertical="center" wrapText="1" readingOrder="2"/>
    </xf>
    <xf numFmtId="9" fontId="27" fillId="12" borderId="20" xfId="1" applyFont="1" applyFill="1" applyBorder="1" applyAlignment="1">
      <alignment horizontal="center" vertical="center" wrapText="1" readingOrder="1"/>
    </xf>
    <xf numFmtId="0" fontId="27" fillId="12" borderId="21" xfId="0" applyFont="1" applyFill="1" applyBorder="1" applyAlignment="1">
      <alignment horizontal="center" vertical="center" wrapText="1" readingOrder="2"/>
    </xf>
    <xf numFmtId="0" fontId="28" fillId="12" borderId="21" xfId="0" applyFont="1" applyFill="1" applyBorder="1" applyAlignment="1">
      <alignment horizontal="center" vertical="center" wrapText="1" readingOrder="2"/>
    </xf>
    <xf numFmtId="0" fontId="16" fillId="0" borderId="0" xfId="10" applyFont="1" applyAlignment="1">
      <alignment horizontal="right" vertical="top" readingOrder="2"/>
    </xf>
    <xf numFmtId="0" fontId="20" fillId="7" borderId="5" xfId="0" applyFont="1" applyFill="1" applyBorder="1" applyAlignment="1">
      <alignment horizontal="center" vertical="center" wrapText="1" readingOrder="2"/>
    </xf>
    <xf numFmtId="0" fontId="20" fillId="7" borderId="2" xfId="0" applyFont="1" applyFill="1" applyBorder="1" applyAlignment="1">
      <alignment horizontal="center" vertical="center" wrapText="1" readingOrder="2"/>
    </xf>
    <xf numFmtId="0" fontId="20" fillId="9" borderId="2" xfId="0" applyFont="1" applyFill="1" applyBorder="1" applyAlignment="1">
      <alignment horizontal="center" vertical="center" wrapText="1" readingOrder="2"/>
    </xf>
    <xf numFmtId="0" fontId="20" fillId="7" borderId="3" xfId="0" applyFont="1" applyFill="1" applyBorder="1" applyAlignment="1">
      <alignment horizontal="center" vertical="center" readingOrder="2"/>
    </xf>
    <xf numFmtId="0" fontId="12" fillId="10" borderId="6" xfId="0" applyFont="1" applyFill="1" applyBorder="1" applyAlignment="1">
      <alignment horizontal="center" vertical="center" wrapText="1" readingOrder="2"/>
    </xf>
    <xf numFmtId="9" fontId="0" fillId="0" borderId="1" xfId="0" applyNumberFormat="1" applyBorder="1" applyAlignment="1">
      <alignment horizontal="center" vertical="center"/>
    </xf>
    <xf numFmtId="0" fontId="12" fillId="10" borderId="4" xfId="0" applyFont="1" applyFill="1" applyBorder="1" applyAlignment="1">
      <alignment horizontal="center" vertical="center" wrapText="1" readingOrder="2"/>
    </xf>
    <xf numFmtId="0" fontId="12" fillId="10" borderId="46" xfId="0" applyFont="1" applyFill="1" applyBorder="1" applyAlignment="1">
      <alignment horizontal="center" vertical="center" wrapText="1" readingOrder="2"/>
    </xf>
    <xf numFmtId="0" fontId="0" fillId="0" borderId="4" xfId="0" applyBorder="1" applyAlignment="1">
      <alignment horizontal="center" vertical="center"/>
    </xf>
    <xf numFmtId="0" fontId="12" fillId="10" borderId="9" xfId="0" applyFont="1" applyFill="1" applyBorder="1" applyAlignment="1">
      <alignment horizontal="center" vertical="center" wrapText="1" readingOrder="2"/>
    </xf>
    <xf numFmtId="9" fontId="0" fillId="0" borderId="8" xfId="0" applyNumberFormat="1" applyBorder="1" applyAlignment="1">
      <alignment horizontal="center" vertical="center"/>
    </xf>
    <xf numFmtId="0" fontId="0" fillId="0" borderId="7" xfId="0" applyBorder="1" applyAlignment="1">
      <alignment horizontal="center" vertical="center"/>
    </xf>
    <xf numFmtId="0" fontId="13" fillId="0" borderId="0" xfId="2" applyFont="1" applyAlignment="1">
      <alignment horizontal="center" vertical="center" readingOrder="2"/>
    </xf>
    <xf numFmtId="0" fontId="16" fillId="0" borderId="0" xfId="2" applyFont="1" applyAlignment="1">
      <alignment horizontal="right" vertical="top" wrapText="1" readingOrder="2"/>
    </xf>
    <xf numFmtId="0" fontId="30" fillId="7" borderId="45" xfId="0" applyFont="1" applyFill="1" applyBorder="1" applyAlignment="1">
      <alignment horizontal="center" vertical="center" wrapText="1" readingOrder="2"/>
    </xf>
    <xf numFmtId="0" fontId="30" fillId="7" borderId="26" xfId="0" applyFont="1" applyFill="1" applyBorder="1" applyAlignment="1">
      <alignment horizontal="center" vertical="center" wrapText="1" readingOrder="2"/>
    </xf>
    <xf numFmtId="0" fontId="12" fillId="10" borderId="0" xfId="0" applyFont="1" applyFill="1" applyAlignment="1">
      <alignment horizontal="center" vertical="center" wrapText="1" readingOrder="2"/>
    </xf>
    <xf numFmtId="9" fontId="0" fillId="0" borderId="0" xfId="0" applyNumberFormat="1" applyAlignment="1">
      <alignment horizontal="center" vertical="center"/>
    </xf>
    <xf numFmtId="0" fontId="0" fillId="0" borderId="0" xfId="0" applyAlignment="1">
      <alignment horizontal="center" vertical="center"/>
    </xf>
    <xf numFmtId="0" fontId="17" fillId="0" borderId="22" xfId="0" applyFont="1" applyBorder="1" applyAlignment="1">
      <alignment vertical="center" readingOrder="2"/>
    </xf>
    <xf numFmtId="0" fontId="12" fillId="10" borderId="0" xfId="0" applyFont="1" applyFill="1" applyAlignment="1">
      <alignment horizontal="right" vertical="center" wrapText="1" readingOrder="2"/>
    </xf>
    <xf numFmtId="164" fontId="12" fillId="10" borderId="0" xfId="0" applyNumberFormat="1" applyFont="1" applyFill="1" applyAlignment="1">
      <alignment horizontal="center" vertical="center" wrapText="1" readingOrder="1"/>
    </xf>
    <xf numFmtId="9" fontId="12" fillId="10" borderId="0" xfId="1" applyFont="1" applyFill="1" applyBorder="1" applyAlignment="1">
      <alignment horizontal="center" vertical="center" wrapText="1" readingOrder="1"/>
    </xf>
    <xf numFmtId="10" fontId="12" fillId="10" borderId="0" xfId="0" applyNumberFormat="1" applyFont="1" applyFill="1" applyAlignment="1">
      <alignment horizontal="center" vertical="center" wrapText="1" readingOrder="1"/>
    </xf>
    <xf numFmtId="0" fontId="21" fillId="0" borderId="22" xfId="0" applyFont="1" applyBorder="1" applyAlignment="1">
      <alignment vertical="center" wrapText="1" readingOrder="2"/>
    </xf>
    <xf numFmtId="0" fontId="21" fillId="0" borderId="22" xfId="0" applyFont="1" applyBorder="1" applyAlignment="1">
      <alignment vertical="center" readingOrder="2"/>
    </xf>
    <xf numFmtId="10" fontId="12" fillId="10" borderId="0" xfId="1" applyNumberFormat="1" applyFont="1" applyFill="1" applyBorder="1" applyAlignment="1">
      <alignment horizontal="center" vertical="center" wrapText="1" readingOrder="1"/>
    </xf>
    <xf numFmtId="0" fontId="0" fillId="0" borderId="0" xfId="0" applyAlignment="1">
      <alignment vertical="center" readingOrder="2"/>
    </xf>
    <xf numFmtId="9" fontId="12" fillId="10" borderId="0" xfId="3" applyFont="1" applyFill="1" applyBorder="1" applyAlignment="1">
      <alignment horizontal="center" vertical="center" wrapText="1" readingOrder="1"/>
    </xf>
    <xf numFmtId="0" fontId="13" fillId="0" borderId="0" xfId="2" applyFont="1" applyAlignment="1">
      <alignment vertical="center" readingOrder="2"/>
    </xf>
    <xf numFmtId="0" fontId="20" fillId="7" borderId="23" xfId="2" applyFont="1" applyFill="1" applyBorder="1" applyAlignment="1">
      <alignment vertical="center" readingOrder="2"/>
    </xf>
    <xf numFmtId="0" fontId="20" fillId="7" borderId="22" xfId="2" applyFont="1" applyFill="1" applyBorder="1" applyAlignment="1">
      <alignment vertical="center" readingOrder="2"/>
    </xf>
    <xf numFmtId="0" fontId="20" fillId="7" borderId="23" xfId="2" applyFont="1" applyFill="1" applyBorder="1" applyAlignment="1">
      <alignment vertical="center" wrapText="1" readingOrder="2"/>
    </xf>
    <xf numFmtId="0" fontId="20" fillId="7" borderId="26" xfId="2" applyFont="1" applyFill="1" applyBorder="1" applyAlignment="1">
      <alignment vertical="center" wrapText="1" readingOrder="2"/>
    </xf>
    <xf numFmtId="0" fontId="20" fillId="7" borderId="22" xfId="2" applyFont="1" applyFill="1" applyBorder="1" applyAlignment="1">
      <alignment vertical="center" wrapText="1" readingOrder="2"/>
    </xf>
    <xf numFmtId="9" fontId="24" fillId="10" borderId="0" xfId="3" applyFont="1" applyFill="1" applyBorder="1" applyAlignment="1">
      <alignment horizontal="center" vertical="center" wrapText="1" readingOrder="1"/>
    </xf>
    <xf numFmtId="0" fontId="24" fillId="10" borderId="0" xfId="2" applyFont="1" applyFill="1" applyAlignment="1">
      <alignment horizontal="right" vertical="center" readingOrder="2"/>
    </xf>
    <xf numFmtId="0" fontId="12" fillId="10" borderId="0" xfId="2" applyFont="1" applyFill="1" applyAlignment="1">
      <alignment horizontal="right" vertical="center" readingOrder="2"/>
    </xf>
    <xf numFmtId="0" fontId="20" fillId="7" borderId="19" xfId="5" applyFont="1" applyFill="1" applyBorder="1" applyAlignment="1">
      <alignment horizontal="center" vertical="center" wrapText="1" readingOrder="2"/>
    </xf>
    <xf numFmtId="0" fontId="20" fillId="9" borderId="19" xfId="5" applyFont="1" applyFill="1" applyBorder="1" applyAlignment="1">
      <alignment horizontal="center" vertical="center" wrapText="1" readingOrder="2"/>
    </xf>
    <xf numFmtId="0" fontId="20" fillId="7" borderId="19" xfId="8" applyFont="1" applyFill="1" applyBorder="1" applyAlignment="1">
      <alignment horizontal="center" vertical="center" readingOrder="2"/>
    </xf>
    <xf numFmtId="9" fontId="12" fillId="10" borderId="20" xfId="8" applyNumberFormat="1" applyFont="1" applyFill="1" applyBorder="1" applyAlignment="1">
      <alignment horizontal="center" vertical="center" wrapText="1" readingOrder="1"/>
    </xf>
    <xf numFmtId="9" fontId="12" fillId="10" borderId="20" xfId="4" applyFont="1" applyFill="1" applyBorder="1" applyAlignment="1">
      <alignment horizontal="center" vertical="center" wrapText="1" readingOrder="1"/>
    </xf>
    <xf numFmtId="0" fontId="12" fillId="10" borderId="20" xfId="8" applyFont="1" applyFill="1" applyBorder="1" applyAlignment="1">
      <alignment horizontal="right" vertical="center" wrapText="1" readingOrder="2"/>
    </xf>
    <xf numFmtId="0" fontId="12" fillId="10" borderId="21" xfId="8" applyFont="1" applyFill="1" applyBorder="1" applyAlignment="1">
      <alignment horizontal="center" vertical="top" wrapText="1" readingOrder="2"/>
    </xf>
    <xf numFmtId="9" fontId="12" fillId="10" borderId="29" xfId="4" applyFont="1" applyFill="1" applyBorder="1" applyAlignment="1">
      <alignment horizontal="center" vertical="center" wrapText="1" readingOrder="1"/>
    </xf>
    <xf numFmtId="0" fontId="20" fillId="7" borderId="53" xfId="0" applyFont="1" applyFill="1" applyBorder="1" applyAlignment="1">
      <alignment horizontal="center" vertical="center" wrapText="1" readingOrder="2"/>
    </xf>
    <xf numFmtId="0" fontId="0" fillId="0" borderId="0" xfId="5" applyFont="1"/>
    <xf numFmtId="164" fontId="0" fillId="0" borderId="1" xfId="0" applyNumberFormat="1" applyBorder="1" applyAlignment="1">
      <alignment horizontal="center" vertical="center"/>
    </xf>
    <xf numFmtId="10" fontId="0" fillId="0" borderId="1" xfId="0" applyNumberFormat="1" applyBorder="1" applyAlignment="1">
      <alignment horizontal="center" vertical="center"/>
    </xf>
    <xf numFmtId="164" fontId="0" fillId="0" borderId="8" xfId="0" applyNumberFormat="1" applyBorder="1" applyAlignment="1">
      <alignment horizontal="center" vertical="center"/>
    </xf>
    <xf numFmtId="10" fontId="12" fillId="10" borderId="20" xfId="0" applyNumberFormat="1" applyFont="1" applyFill="1" applyBorder="1" applyAlignment="1">
      <alignment horizontal="center" vertical="center" wrapText="1" readingOrder="1"/>
    </xf>
    <xf numFmtId="0" fontId="23" fillId="0" borderId="0" xfId="5" applyFont="1"/>
    <xf numFmtId="0" fontId="23" fillId="0" borderId="0" xfId="0" applyFont="1"/>
    <xf numFmtId="0" fontId="11" fillId="0" borderId="0" xfId="5" applyFont="1"/>
    <xf numFmtId="10" fontId="12" fillId="10" borderId="20" xfId="1" applyNumberFormat="1" applyFont="1" applyFill="1" applyBorder="1" applyAlignment="1">
      <alignment horizontal="center" vertical="center" wrapText="1" readingOrder="1"/>
    </xf>
    <xf numFmtId="0" fontId="23" fillId="0" borderId="0" xfId="5" applyFont="1" applyAlignment="1">
      <alignment wrapText="1"/>
    </xf>
    <xf numFmtId="9" fontId="0" fillId="11" borderId="1" xfId="0" applyNumberFormat="1" applyFill="1" applyBorder="1" applyAlignment="1">
      <alignment horizontal="center" vertical="center"/>
    </xf>
    <xf numFmtId="9" fontId="0" fillId="11" borderId="8" xfId="0" applyNumberFormat="1" applyFill="1" applyBorder="1" applyAlignment="1">
      <alignment horizontal="center" vertical="center"/>
    </xf>
    <xf numFmtId="0" fontId="32" fillId="11" borderId="0" xfId="5" applyFont="1" applyFill="1"/>
    <xf numFmtId="0" fontId="23" fillId="11" borderId="0" xfId="5" applyFont="1" applyFill="1"/>
    <xf numFmtId="9" fontId="33" fillId="0" borderId="1" xfId="0" applyNumberFormat="1" applyFont="1" applyBorder="1" applyAlignment="1">
      <alignment horizontal="center" vertical="center"/>
    </xf>
    <xf numFmtId="9" fontId="12" fillId="11" borderId="20" xfId="0" applyNumberFormat="1" applyFont="1" applyFill="1" applyBorder="1" applyAlignment="1">
      <alignment horizontal="center" vertical="center" wrapText="1" readingOrder="1"/>
    </xf>
    <xf numFmtId="9" fontId="12" fillId="10" borderId="21" xfId="0" applyNumberFormat="1" applyFont="1" applyFill="1" applyBorder="1" applyAlignment="1">
      <alignment horizontal="center" vertical="center" wrapText="1" readingOrder="2"/>
    </xf>
    <xf numFmtId="9" fontId="12" fillId="10" borderId="0" xfId="0" applyNumberFormat="1" applyFont="1" applyFill="1" applyAlignment="1">
      <alignment horizontal="center" vertical="center" wrapText="1" readingOrder="2"/>
    </xf>
    <xf numFmtId="9" fontId="27" fillId="12" borderId="20" xfId="0" applyNumberFormat="1" applyFont="1" applyFill="1" applyBorder="1" applyAlignment="1">
      <alignment horizontal="center" vertical="center" wrapText="1" readingOrder="1"/>
    </xf>
    <xf numFmtId="0" fontId="0" fillId="0" borderId="0" xfId="0" applyAlignment="1">
      <alignment vertical="center" wrapText="1" readingOrder="2"/>
    </xf>
    <xf numFmtId="0" fontId="13" fillId="0" borderId="25" xfId="0" applyFont="1" applyBorder="1" applyAlignment="1">
      <alignment horizontal="center" vertical="center" wrapText="1" readingOrder="2"/>
    </xf>
    <xf numFmtId="0" fontId="35" fillId="0" borderId="0" xfId="0" applyFont="1" applyAlignment="1">
      <alignment horizontal="center"/>
    </xf>
    <xf numFmtId="0" fontId="35" fillId="0" borderId="0" xfId="5" applyFont="1" applyAlignment="1">
      <alignment horizontal="center"/>
    </xf>
    <xf numFmtId="0" fontId="20" fillId="13" borderId="0" xfId="0" applyFont="1" applyFill="1" applyAlignment="1">
      <alignment horizontal="center" vertical="center" wrapText="1" readingOrder="2"/>
    </xf>
    <xf numFmtId="0" fontId="17" fillId="0" borderId="24" xfId="0" applyFont="1" applyBorder="1" applyAlignment="1">
      <alignment horizontal="center" vertical="center" readingOrder="2"/>
    </xf>
    <xf numFmtId="0" fontId="17" fillId="0" borderId="0" xfId="0" applyFont="1" applyAlignment="1">
      <alignment horizontal="center" vertical="center" readingOrder="2"/>
    </xf>
    <xf numFmtId="0" fontId="35" fillId="0" borderId="0" xfId="0" applyFont="1" applyAlignment="1">
      <alignment horizontal="center"/>
    </xf>
    <xf numFmtId="0" fontId="13" fillId="0" borderId="25" xfId="0" applyFont="1" applyBorder="1" applyAlignment="1">
      <alignment horizontal="center" vertical="center" wrapText="1" readingOrder="2"/>
    </xf>
    <xf numFmtId="0" fontId="20" fillId="7" borderId="23" xfId="0" applyFont="1" applyFill="1" applyBorder="1" applyAlignment="1">
      <alignment horizontal="center" vertical="center" wrapText="1" readingOrder="2"/>
    </xf>
    <xf numFmtId="0" fontId="21" fillId="0" borderId="22" xfId="0" applyFont="1" applyBorder="1" applyAlignment="1">
      <alignment horizontal="center" vertical="center" wrapText="1" readingOrder="2"/>
    </xf>
    <xf numFmtId="0" fontId="17" fillId="7" borderId="23" xfId="0" applyFont="1" applyFill="1" applyBorder="1" applyAlignment="1">
      <alignment horizontal="center" vertical="center" readingOrder="2"/>
    </xf>
    <xf numFmtId="0" fontId="17" fillId="7" borderId="26" xfId="0" applyFont="1" applyFill="1" applyBorder="1" applyAlignment="1">
      <alignment horizontal="center" vertical="center" readingOrder="2"/>
    </xf>
    <xf numFmtId="0" fontId="17" fillId="0" borderId="26" xfId="0" applyFont="1" applyBorder="1" applyAlignment="1">
      <alignment horizontal="center" vertical="center" wrapText="1" readingOrder="2"/>
    </xf>
    <xf numFmtId="0" fontId="21" fillId="0" borderId="24" xfId="0" applyFont="1" applyBorder="1" applyAlignment="1">
      <alignment horizontal="center" vertical="center" readingOrder="2"/>
    </xf>
    <xf numFmtId="0" fontId="21" fillId="0" borderId="0" xfId="0" applyFont="1" applyAlignment="1">
      <alignment horizontal="center" vertical="center" readingOrder="2"/>
    </xf>
    <xf numFmtId="0" fontId="13" fillId="0" borderId="25" xfId="0" applyFont="1" applyBorder="1" applyAlignment="1">
      <alignment horizontal="center" vertical="center" readingOrder="2"/>
    </xf>
    <xf numFmtId="0" fontId="17" fillId="0" borderId="26" xfId="0" applyFont="1" applyBorder="1" applyAlignment="1">
      <alignment horizontal="center" vertical="center" readingOrder="2"/>
    </xf>
    <xf numFmtId="0" fontId="36" fillId="0" borderId="0" xfId="0" applyFont="1" applyAlignment="1">
      <alignment horizontal="center"/>
    </xf>
    <xf numFmtId="0" fontId="17" fillId="7" borderId="55" xfId="0" applyFont="1" applyFill="1" applyBorder="1" applyAlignment="1">
      <alignment horizontal="center" vertical="center" wrapText="1" readingOrder="2"/>
    </xf>
    <xf numFmtId="0" fontId="17" fillId="7" borderId="0" xfId="0" applyFont="1" applyFill="1" applyAlignment="1">
      <alignment horizontal="center" vertical="center" wrapText="1" readingOrder="2"/>
    </xf>
    <xf numFmtId="10" fontId="12" fillId="10" borderId="0" xfId="0" applyNumberFormat="1" applyFont="1" applyFill="1" applyAlignment="1">
      <alignment horizontal="center" vertical="center" wrapText="1" readingOrder="1"/>
    </xf>
    <xf numFmtId="0" fontId="17" fillId="7" borderId="56" xfId="0" applyFont="1" applyFill="1" applyBorder="1" applyAlignment="1">
      <alignment horizontal="center" vertical="center" wrapText="1" readingOrder="2"/>
    </xf>
    <xf numFmtId="0" fontId="17" fillId="7" borderId="57" xfId="0" applyFont="1" applyFill="1" applyBorder="1" applyAlignment="1">
      <alignment horizontal="center" vertical="center" wrapText="1" readingOrder="2"/>
    </xf>
    <xf numFmtId="0" fontId="20" fillId="7" borderId="2" xfId="0" applyFont="1" applyFill="1" applyBorder="1" applyAlignment="1">
      <alignment horizontal="center" vertical="center" wrapText="1" readingOrder="2"/>
    </xf>
    <xf numFmtId="0" fontId="0" fillId="0" borderId="2" xfId="0" applyBorder="1" applyAlignment="1">
      <alignment horizontal="center" vertical="center" wrapText="1" readingOrder="2"/>
    </xf>
    <xf numFmtId="0" fontId="13" fillId="0" borderId="0" xfId="0" applyFont="1" applyAlignment="1">
      <alignment horizontal="center" vertical="center" readingOrder="2"/>
    </xf>
    <xf numFmtId="0" fontId="17" fillId="7" borderId="54" xfId="0" applyFont="1" applyFill="1" applyBorder="1" applyAlignment="1">
      <alignment horizontal="center" vertical="center" readingOrder="2"/>
    </xf>
    <xf numFmtId="0" fontId="17" fillId="7" borderId="25" xfId="0" applyFont="1" applyFill="1" applyBorder="1" applyAlignment="1">
      <alignment horizontal="center" vertical="center" readingOrder="2"/>
    </xf>
    <xf numFmtId="0" fontId="17" fillId="7" borderId="58" xfId="0" applyFont="1" applyFill="1" applyBorder="1" applyAlignment="1">
      <alignment horizontal="center" vertical="center" readingOrder="2"/>
    </xf>
    <xf numFmtId="0" fontId="17" fillId="7" borderId="24" xfId="0" applyFont="1" applyFill="1" applyBorder="1" applyAlignment="1">
      <alignment horizontal="center" vertical="center" readingOrder="2"/>
    </xf>
    <xf numFmtId="0" fontId="20" fillId="7" borderId="22" xfId="0" applyFont="1" applyFill="1" applyBorder="1" applyAlignment="1">
      <alignment horizontal="center" vertical="center" wrapText="1" readingOrder="2"/>
    </xf>
    <xf numFmtId="10" fontId="12" fillId="10" borderId="24" xfId="1" applyNumberFormat="1" applyFont="1" applyFill="1" applyBorder="1" applyAlignment="1">
      <alignment horizontal="center" vertical="center" wrapText="1" readingOrder="1"/>
    </xf>
    <xf numFmtId="10" fontId="12" fillId="10" borderId="59" xfId="0" applyNumberFormat="1" applyFont="1" applyFill="1" applyBorder="1" applyAlignment="1">
      <alignment horizontal="center" vertical="center" wrapText="1" readingOrder="1"/>
    </xf>
    <xf numFmtId="0" fontId="37" fillId="0" borderId="0" xfId="0" applyFont="1" applyAlignment="1">
      <alignment horizontal="center" readingOrder="2"/>
    </xf>
    <xf numFmtId="10" fontId="12" fillId="10" borderId="0" xfId="1" applyNumberFormat="1" applyFont="1" applyFill="1" applyBorder="1" applyAlignment="1">
      <alignment horizontal="center" vertical="center" wrapText="1" readingOrder="1"/>
    </xf>
    <xf numFmtId="0" fontId="20" fillId="7" borderId="52" xfId="0" applyFont="1" applyFill="1" applyBorder="1" applyAlignment="1">
      <alignment horizontal="center" vertical="center" wrapText="1" readingOrder="2"/>
    </xf>
    <xf numFmtId="0" fontId="20" fillId="7" borderId="53" xfId="0" applyFont="1" applyFill="1" applyBorder="1" applyAlignment="1">
      <alignment horizontal="center" vertical="center" wrapText="1" readingOrder="2"/>
    </xf>
    <xf numFmtId="0" fontId="20" fillId="7" borderId="23" xfId="0" applyFont="1" applyFill="1" applyBorder="1" applyAlignment="1">
      <alignment horizontal="center" vertical="center" readingOrder="2"/>
    </xf>
    <xf numFmtId="0" fontId="20" fillId="7" borderId="22" xfId="0" applyFont="1" applyFill="1" applyBorder="1" applyAlignment="1">
      <alignment horizontal="center" vertical="center" readingOrder="2"/>
    </xf>
    <xf numFmtId="0" fontId="35" fillId="0" borderId="0" xfId="2" applyFont="1" applyAlignment="1">
      <alignment horizontal="center"/>
    </xf>
    <xf numFmtId="0" fontId="31" fillId="7" borderId="55" xfId="0" applyFont="1" applyFill="1" applyBorder="1" applyAlignment="1">
      <alignment horizontal="center" vertical="center" wrapText="1" readingOrder="2"/>
    </xf>
    <xf numFmtId="0" fontId="31" fillId="7" borderId="0" xfId="0" applyFont="1" applyFill="1" applyAlignment="1">
      <alignment horizontal="center" vertical="center" wrapText="1" readingOrder="2"/>
    </xf>
    <xf numFmtId="0" fontId="31" fillId="7" borderId="56" xfId="0" applyFont="1" applyFill="1" applyBorder="1" applyAlignment="1">
      <alignment horizontal="center" vertical="center" wrapText="1" readingOrder="2"/>
    </xf>
    <xf numFmtId="0" fontId="31" fillId="7" borderId="57" xfId="0" applyFont="1" applyFill="1" applyBorder="1" applyAlignment="1">
      <alignment horizontal="center" vertical="center" wrapText="1" readingOrder="2"/>
    </xf>
    <xf numFmtId="0" fontId="13" fillId="0" borderId="0" xfId="2" applyFont="1" applyAlignment="1">
      <alignment horizontal="center" vertical="center" readingOrder="2"/>
    </xf>
    <xf numFmtId="10" fontId="12" fillId="10" borderId="43" xfId="1" applyNumberFormat="1" applyFont="1" applyFill="1" applyBorder="1" applyAlignment="1">
      <alignment horizontal="center" vertical="center" wrapText="1" readingOrder="1"/>
    </xf>
    <xf numFmtId="0" fontId="35" fillId="0" borderId="0" xfId="5" applyFont="1" applyAlignment="1">
      <alignment horizontal="center"/>
    </xf>
    <xf numFmtId="0" fontId="36" fillId="0" borderId="0" xfId="5" applyFont="1" applyAlignment="1">
      <alignment horizontal="center"/>
    </xf>
    <xf numFmtId="0" fontId="30" fillId="7" borderId="56" xfId="0" applyFont="1" applyFill="1" applyBorder="1" applyAlignment="1">
      <alignment horizontal="center" vertical="center" wrapText="1" readingOrder="2"/>
    </xf>
    <xf numFmtId="0" fontId="30" fillId="7" borderId="57" xfId="0" applyFont="1" applyFill="1" applyBorder="1" applyAlignment="1">
      <alignment horizontal="center" vertical="center" wrapText="1" readingOrder="2"/>
    </xf>
    <xf numFmtId="0" fontId="17" fillId="7" borderId="42" xfId="0" applyFont="1" applyFill="1" applyBorder="1" applyAlignment="1">
      <alignment horizontal="center" vertical="center" wrapText="1" readingOrder="2"/>
    </xf>
    <xf numFmtId="0" fontId="0" fillId="0" borderId="43" xfId="0" applyBorder="1" applyAlignment="1">
      <alignment horizontal="center" vertical="center" wrapText="1" readingOrder="2"/>
    </xf>
    <xf numFmtId="0" fontId="0" fillId="0" borderId="44" xfId="0" applyBorder="1" applyAlignment="1">
      <alignment horizontal="center" vertical="center" wrapText="1" readingOrder="2"/>
    </xf>
    <xf numFmtId="0" fontId="30" fillId="7" borderId="47" xfId="0" applyFont="1" applyFill="1" applyBorder="1" applyAlignment="1">
      <alignment horizontal="center" vertical="center" wrapText="1" readingOrder="2"/>
    </xf>
    <xf numFmtId="0" fontId="30" fillId="7" borderId="48" xfId="0" applyFont="1" applyFill="1" applyBorder="1" applyAlignment="1">
      <alignment horizontal="center" vertical="center" wrapText="1" readingOrder="2"/>
    </xf>
    <xf numFmtId="0" fontId="30" fillId="7" borderId="49" xfId="0" applyFont="1" applyFill="1" applyBorder="1" applyAlignment="1">
      <alignment horizontal="center" vertical="center" wrapText="1" readingOrder="2"/>
    </xf>
    <xf numFmtId="0" fontId="30" fillId="7" borderId="45" xfId="0" applyFont="1" applyFill="1" applyBorder="1" applyAlignment="1">
      <alignment horizontal="center" vertical="center" wrapText="1" readingOrder="2"/>
    </xf>
    <xf numFmtId="0" fontId="30" fillId="7" borderId="26" xfId="0" applyFont="1" applyFill="1" applyBorder="1" applyAlignment="1">
      <alignment horizontal="center" vertical="center" wrapText="1" readingOrder="2"/>
    </xf>
    <xf numFmtId="0" fontId="36" fillId="0" borderId="0" xfId="2" applyFont="1" applyAlignment="1">
      <alignment horizontal="center"/>
    </xf>
    <xf numFmtId="0" fontId="12" fillId="10" borderId="60" xfId="0" applyFont="1" applyFill="1" applyBorder="1" applyAlignment="1">
      <alignment horizontal="center" vertical="center" wrapText="1" readingOrder="2"/>
    </xf>
    <xf numFmtId="0" fontId="12" fillId="10" borderId="61" xfId="0" applyFont="1" applyFill="1" applyBorder="1" applyAlignment="1">
      <alignment horizontal="center" vertical="center" wrapText="1" readingOrder="2"/>
    </xf>
    <xf numFmtId="0" fontId="17" fillId="0" borderId="0" xfId="2" applyFont="1" applyAlignment="1">
      <alignment horizontal="center" vertical="center" readingOrder="2"/>
    </xf>
    <xf numFmtId="0" fontId="20" fillId="7" borderId="23" xfId="2" applyFont="1" applyFill="1" applyBorder="1" applyAlignment="1">
      <alignment horizontal="center" vertical="center" wrapText="1" readingOrder="2"/>
    </xf>
    <xf numFmtId="0" fontId="20" fillId="7" borderId="26" xfId="2" applyFont="1" applyFill="1" applyBorder="1" applyAlignment="1">
      <alignment horizontal="center" vertical="center" wrapText="1" readingOrder="2"/>
    </xf>
    <xf numFmtId="0" fontId="17" fillId="7" borderId="54" xfId="2" applyFont="1" applyFill="1" applyBorder="1" applyAlignment="1">
      <alignment horizontal="center" vertical="center" readingOrder="2"/>
    </xf>
    <xf numFmtId="0" fontId="17" fillId="7" borderId="25" xfId="2" applyFont="1" applyFill="1" applyBorder="1" applyAlignment="1">
      <alignment horizontal="center" vertical="center" readingOrder="2"/>
    </xf>
    <xf numFmtId="0" fontId="17" fillId="7" borderId="58" xfId="2" applyFont="1" applyFill="1" applyBorder="1" applyAlignment="1">
      <alignment horizontal="center" vertical="center" readingOrder="2"/>
    </xf>
    <xf numFmtId="0" fontId="17" fillId="7" borderId="24" xfId="2" applyFont="1" applyFill="1" applyBorder="1" applyAlignment="1">
      <alignment horizontal="center" vertical="center" readingOrder="2"/>
    </xf>
    <xf numFmtId="0" fontId="20" fillId="7" borderId="22" xfId="2" applyFont="1" applyFill="1" applyBorder="1" applyAlignment="1">
      <alignment horizontal="center" vertical="center" wrapText="1" readingOrder="2"/>
    </xf>
    <xf numFmtId="0" fontId="17" fillId="7" borderId="54" xfId="5" applyFont="1" applyFill="1" applyBorder="1" applyAlignment="1">
      <alignment horizontal="center" vertical="center" readingOrder="2"/>
    </xf>
    <xf numFmtId="0" fontId="17" fillId="7" borderId="25" xfId="5" applyFont="1" applyFill="1" applyBorder="1" applyAlignment="1">
      <alignment horizontal="center" vertical="center" readingOrder="2"/>
    </xf>
    <xf numFmtId="0" fontId="17" fillId="7" borderId="27" xfId="0" applyFont="1" applyFill="1" applyBorder="1" applyAlignment="1">
      <alignment horizontal="center" vertical="center" wrapText="1" readingOrder="2"/>
    </xf>
    <xf numFmtId="10" fontId="13" fillId="10" borderId="27" xfId="0" applyNumberFormat="1" applyFont="1" applyFill="1" applyBorder="1" applyAlignment="1">
      <alignment horizontal="center" vertical="center" wrapText="1" readingOrder="1"/>
    </xf>
    <xf numFmtId="10" fontId="13" fillId="10" borderId="0" xfId="0" applyNumberFormat="1" applyFont="1" applyFill="1" applyAlignment="1">
      <alignment horizontal="center" vertical="center" wrapText="1" readingOrder="1"/>
    </xf>
    <xf numFmtId="0" fontId="17" fillId="7" borderId="62" xfId="0" applyFont="1" applyFill="1" applyBorder="1" applyAlignment="1">
      <alignment horizontal="center" vertical="center" wrapText="1" readingOrder="2"/>
    </xf>
    <xf numFmtId="0" fontId="17" fillId="7" borderId="43" xfId="0" applyFont="1" applyFill="1" applyBorder="1" applyAlignment="1">
      <alignment horizontal="center" vertical="center" wrapText="1" readingOrder="2"/>
    </xf>
    <xf numFmtId="0" fontId="13" fillId="0" borderId="0" xfId="0" applyFont="1" applyAlignment="1">
      <alignment horizontal="center" vertical="center" wrapText="1" readingOrder="2"/>
    </xf>
    <xf numFmtId="0" fontId="17" fillId="7" borderId="54" xfId="0" applyFont="1" applyFill="1" applyBorder="1" applyAlignment="1">
      <alignment horizontal="center" vertical="center" wrapText="1" readingOrder="2"/>
    </xf>
    <xf numFmtId="0" fontId="17" fillId="7" borderId="25" xfId="0" applyFont="1" applyFill="1" applyBorder="1" applyAlignment="1">
      <alignment horizontal="center" vertical="center" wrapText="1" readingOrder="2"/>
    </xf>
    <xf numFmtId="0" fontId="17" fillId="0" borderId="0" xfId="0" applyFont="1" applyAlignment="1">
      <alignment horizontal="center" vertical="center" wrapText="1" readingOrder="2"/>
    </xf>
    <xf numFmtId="0" fontId="35" fillId="0" borderId="0" xfId="5" applyFont="1" applyAlignment="1">
      <alignment horizontal="center" wrapText="1"/>
    </xf>
    <xf numFmtId="0" fontId="36" fillId="0" borderId="0" xfId="0" applyFont="1" applyAlignment="1">
      <alignment horizontal="center" vertical="center"/>
    </xf>
    <xf numFmtId="0" fontId="37" fillId="0" borderId="0" xfId="2" applyFont="1" applyAlignment="1">
      <alignment horizontal="center" vertical="top" wrapText="1" readingOrder="2"/>
    </xf>
    <xf numFmtId="9" fontId="35" fillId="0" borderId="0" xfId="0" applyNumberFormat="1" applyFont="1" applyAlignment="1">
      <alignment horizontal="center" vertical="center"/>
    </xf>
    <xf numFmtId="0" fontId="17" fillId="7" borderId="50" xfId="0" applyFont="1" applyFill="1" applyBorder="1" applyAlignment="1">
      <alignment horizontal="center" vertical="center" wrapText="1" readingOrder="2"/>
    </xf>
    <xf numFmtId="0" fontId="17" fillId="7" borderId="51" xfId="0" applyFont="1" applyFill="1" applyBorder="1" applyAlignment="1">
      <alignment horizontal="center" vertical="center" wrapText="1" readingOrder="2"/>
    </xf>
    <xf numFmtId="0" fontId="20" fillId="7" borderId="23" xfId="5" applyFont="1" applyFill="1" applyBorder="1" applyAlignment="1">
      <alignment horizontal="center" vertical="center" wrapText="1" readingOrder="2"/>
    </xf>
    <xf numFmtId="0" fontId="20" fillId="7" borderId="22" xfId="5" applyFont="1" applyFill="1" applyBorder="1" applyAlignment="1">
      <alignment horizontal="center" vertical="center" wrapText="1" readingOrder="2"/>
    </xf>
    <xf numFmtId="0" fontId="17" fillId="7" borderId="0" xfId="5" applyFont="1" applyFill="1" applyAlignment="1">
      <alignment horizontal="center" vertical="center" wrapText="1" readingOrder="2"/>
    </xf>
    <xf numFmtId="10" fontId="12" fillId="10" borderId="63" xfId="0" applyNumberFormat="1" applyFont="1" applyFill="1" applyBorder="1" applyAlignment="1">
      <alignment horizontal="center" vertical="center" wrapText="1" readingOrder="1"/>
    </xf>
    <xf numFmtId="0" fontId="37" fillId="0" borderId="25" xfId="0" applyFont="1" applyBorder="1" applyAlignment="1">
      <alignment horizontal="center" readingOrder="2"/>
    </xf>
    <xf numFmtId="0" fontId="0" fillId="0" borderId="0" xfId="0" applyAlignment="1">
      <alignment horizontal="center" vertical="center" wrapText="1" readingOrder="2"/>
    </xf>
    <xf numFmtId="0" fontId="35" fillId="0" borderId="25" xfId="0" applyFont="1" applyBorder="1" applyAlignment="1">
      <alignment horizontal="center"/>
    </xf>
    <xf numFmtId="0" fontId="31" fillId="7" borderId="58" xfId="0" applyFont="1" applyFill="1" applyBorder="1" applyAlignment="1">
      <alignment horizontal="center" vertical="center" wrapText="1" readingOrder="2"/>
    </xf>
    <xf numFmtId="0" fontId="17" fillId="7" borderId="24" xfId="0" applyFont="1" applyFill="1" applyBorder="1" applyAlignment="1">
      <alignment horizontal="center" vertical="center" wrapText="1" readingOrder="2"/>
    </xf>
    <xf numFmtId="0" fontId="17" fillId="7" borderId="31" xfId="0" applyFont="1" applyFill="1" applyBorder="1" applyAlignment="1">
      <alignment horizontal="center" vertical="center" wrapText="1" readingOrder="2"/>
    </xf>
    <xf numFmtId="0" fontId="17" fillId="7" borderId="23" xfId="0" applyFont="1" applyFill="1" applyBorder="1" applyAlignment="1">
      <alignment horizontal="center" vertical="center" wrapText="1" readingOrder="2"/>
    </xf>
    <xf numFmtId="0" fontId="17" fillId="7" borderId="26" xfId="0" applyFont="1" applyFill="1" applyBorder="1" applyAlignment="1">
      <alignment horizontal="center" vertical="center" wrapText="1" readingOrder="2"/>
    </xf>
    <xf numFmtId="0" fontId="17" fillId="7" borderId="22" xfId="0" applyFont="1" applyFill="1" applyBorder="1" applyAlignment="1">
      <alignment horizontal="center" vertical="center" wrapText="1" readingOrder="2"/>
    </xf>
    <xf numFmtId="0" fontId="17" fillId="7" borderId="32" xfId="0" applyFont="1" applyFill="1" applyBorder="1" applyAlignment="1">
      <alignment horizontal="center" vertical="center" wrapText="1" readingOrder="2"/>
    </xf>
    <xf numFmtId="0" fontId="17" fillId="0" borderId="25" xfId="0" applyFont="1" applyBorder="1" applyAlignment="1">
      <alignment horizontal="center" vertical="center" wrapText="1" readingOrder="2"/>
    </xf>
    <xf numFmtId="0" fontId="17" fillId="7" borderId="58" xfId="0" applyFont="1" applyFill="1" applyBorder="1" applyAlignment="1">
      <alignment horizontal="center" vertical="center" wrapText="1" readingOrder="2"/>
    </xf>
    <xf numFmtId="0" fontId="20" fillId="13" borderId="25" xfId="0" applyFont="1" applyFill="1" applyBorder="1" applyAlignment="1">
      <alignment horizontal="center" vertical="center" wrapText="1" readingOrder="2"/>
    </xf>
    <xf numFmtId="0" fontId="26" fillId="0" borderId="25" xfId="0" applyFont="1" applyBorder="1" applyAlignment="1">
      <alignment horizontal="center" vertical="center" wrapText="1" readingOrder="2"/>
    </xf>
    <xf numFmtId="0" fontId="17" fillId="7" borderId="39" xfId="0" applyFont="1" applyFill="1" applyBorder="1" applyAlignment="1">
      <alignment horizontal="center" vertical="center" wrapText="1" readingOrder="2"/>
    </xf>
    <xf numFmtId="0" fontId="17" fillId="7" borderId="40" xfId="0" applyFont="1" applyFill="1" applyBorder="1" applyAlignment="1">
      <alignment horizontal="center" vertical="center" wrapText="1" readingOrder="2"/>
    </xf>
    <xf numFmtId="0" fontId="17" fillId="7" borderId="41" xfId="0" applyFont="1" applyFill="1" applyBorder="1" applyAlignment="1">
      <alignment horizontal="center" vertical="center" wrapText="1" readingOrder="2"/>
    </xf>
    <xf numFmtId="10" fontId="12" fillId="10" borderId="26" xfId="0" applyNumberFormat="1" applyFont="1" applyFill="1" applyBorder="1" applyAlignment="1">
      <alignment horizontal="center" vertical="center" wrapText="1" readingOrder="1"/>
    </xf>
    <xf numFmtId="0" fontId="35" fillId="0" borderId="57" xfId="0" applyFont="1" applyBorder="1" applyAlignment="1">
      <alignment horizontal="center"/>
    </xf>
    <xf numFmtId="0" fontId="29" fillId="0" borderId="0" xfId="5" applyFont="1" applyAlignment="1">
      <alignment horizontal="center" vertical="center" wrapText="1" readingOrder="2"/>
    </xf>
    <xf numFmtId="0" fontId="29" fillId="0" borderId="57" xfId="5" applyFont="1" applyBorder="1" applyAlignment="1">
      <alignment horizontal="center" vertical="center" wrapText="1" readingOrder="2"/>
    </xf>
    <xf numFmtId="0" fontId="17" fillId="0" borderId="64" xfId="5" applyFont="1" applyBorder="1" applyAlignment="1">
      <alignment horizontal="center" vertical="center" wrapText="1" readingOrder="2"/>
    </xf>
    <xf numFmtId="0" fontId="21" fillId="0" borderId="24" xfId="0" applyFont="1" applyBorder="1" applyAlignment="1">
      <alignment horizontal="center" vertical="center" wrapText="1" readingOrder="2"/>
    </xf>
    <xf numFmtId="0" fontId="21" fillId="0" borderId="0" xfId="0" applyFont="1" applyAlignment="1">
      <alignment horizontal="center" vertical="center" wrapText="1" readingOrder="2"/>
    </xf>
    <xf numFmtId="0" fontId="7" fillId="4" borderId="4" xfId="0" applyFont="1" applyFill="1" applyBorder="1" applyAlignment="1">
      <alignment horizontal="center" vertical="center" wrapText="1" readingOrder="2"/>
    </xf>
    <xf numFmtId="0" fontId="7" fillId="4" borderId="7" xfId="0" applyFont="1" applyFill="1" applyBorder="1" applyAlignment="1">
      <alignment horizontal="center" vertical="center" wrapText="1" readingOrder="2"/>
    </xf>
    <xf numFmtId="0" fontId="11" fillId="4" borderId="1" xfId="0" applyFont="1" applyFill="1" applyBorder="1" applyAlignment="1">
      <alignment horizontal="center" vertical="center" wrapText="1" readingOrder="1"/>
    </xf>
    <xf numFmtId="0" fontId="11" fillId="4" borderId="8" xfId="0" applyFont="1" applyFill="1" applyBorder="1" applyAlignment="1">
      <alignment horizontal="center" vertical="center" wrapText="1" readingOrder="1"/>
    </xf>
    <xf numFmtId="0" fontId="9" fillId="5" borderId="15" xfId="0" applyFont="1" applyFill="1" applyBorder="1" applyAlignment="1">
      <alignment horizontal="right" vertical="center" wrapText="1" readingOrder="2"/>
    </xf>
    <xf numFmtId="0" fontId="9" fillId="5" borderId="16" xfId="0" applyFont="1" applyFill="1" applyBorder="1" applyAlignment="1">
      <alignment horizontal="right" vertical="center" wrapText="1" readingOrder="2"/>
    </xf>
    <xf numFmtId="0" fontId="9" fillId="5" borderId="28" xfId="0" applyFont="1" applyFill="1" applyBorder="1" applyAlignment="1">
      <alignment horizontal="right" vertical="center" wrapText="1" readingOrder="2"/>
    </xf>
    <xf numFmtId="0" fontId="7" fillId="4" borderId="1" xfId="0" applyFont="1" applyFill="1" applyBorder="1" applyAlignment="1">
      <alignment horizontal="center" vertical="center" wrapText="1" readingOrder="1"/>
    </xf>
    <xf numFmtId="0" fontId="7" fillId="4" borderId="8" xfId="0" applyFont="1" applyFill="1" applyBorder="1" applyAlignment="1">
      <alignment horizontal="center" vertical="center" wrapText="1" readingOrder="1"/>
    </xf>
    <xf numFmtId="0" fontId="9" fillId="3" borderId="6" xfId="0" applyFont="1" applyFill="1" applyBorder="1" applyAlignment="1">
      <alignment horizontal="center" vertical="center" wrapText="1" readingOrder="2"/>
    </xf>
    <xf numFmtId="0" fontId="9" fillId="3" borderId="9" xfId="0" applyFont="1" applyFill="1" applyBorder="1" applyAlignment="1">
      <alignment horizontal="center" vertical="center" wrapText="1" readingOrder="2"/>
    </xf>
    <xf numFmtId="9" fontId="7" fillId="4" borderId="1" xfId="0" applyNumberFormat="1" applyFont="1" applyFill="1" applyBorder="1" applyAlignment="1">
      <alignment horizontal="center" vertical="center" wrapText="1" readingOrder="1"/>
    </xf>
    <xf numFmtId="9" fontId="7" fillId="4" borderId="8" xfId="0" applyNumberFormat="1" applyFont="1" applyFill="1" applyBorder="1" applyAlignment="1">
      <alignment horizontal="center" vertical="center" wrapText="1" readingOrder="1"/>
    </xf>
    <xf numFmtId="0" fontId="6" fillId="0" borderId="0" xfId="0" applyFont="1" applyAlignment="1">
      <alignment horizontal="right" wrapText="1" readingOrder="2"/>
    </xf>
    <xf numFmtId="9" fontId="11" fillId="4" borderId="1" xfId="0" applyNumberFormat="1" applyFont="1" applyFill="1" applyBorder="1" applyAlignment="1">
      <alignment horizontal="center" vertical="center" wrapText="1" readingOrder="1"/>
    </xf>
    <xf numFmtId="9" fontId="11" fillId="4" borderId="8" xfId="0" applyNumberFormat="1" applyFont="1" applyFill="1" applyBorder="1" applyAlignment="1">
      <alignment horizontal="center" vertical="center" wrapText="1" readingOrder="1"/>
    </xf>
    <xf numFmtId="0" fontId="19" fillId="0" borderId="0" xfId="0" applyFont="1" applyAlignment="1">
      <alignment horizontal="center" vertical="center" wrapText="1" readingOrder="2"/>
    </xf>
    <xf numFmtId="0" fontId="7" fillId="0" borderId="0" xfId="0" applyFont="1" applyAlignment="1">
      <alignment horizontal="center" vertical="center" wrapText="1" readingOrder="2"/>
    </xf>
    <xf numFmtId="0" fontId="7" fillId="4" borderId="12" xfId="0" applyFont="1" applyFill="1" applyBorder="1" applyAlignment="1">
      <alignment horizontal="center" vertical="center" wrapText="1" readingOrder="2"/>
    </xf>
    <xf numFmtId="0" fontId="7" fillId="4" borderId="13" xfId="0" applyFont="1" applyFill="1" applyBorder="1" applyAlignment="1">
      <alignment horizontal="center" vertical="center" wrapText="1" readingOrder="2"/>
    </xf>
    <xf numFmtId="0" fontId="14" fillId="7" borderId="27" xfId="0" applyFont="1" applyFill="1" applyBorder="1" applyAlignment="1">
      <alignment horizontal="center" vertical="center" wrapText="1" readingOrder="2"/>
    </xf>
    <xf numFmtId="0" fontId="18" fillId="0" borderId="0" xfId="0" applyFont="1"/>
    <xf numFmtId="0" fontId="35" fillId="0" borderId="0" xfId="2" applyFont="1" applyAlignment="1"/>
  </cellXfs>
  <cellStyles count="12">
    <cellStyle name="Normal" xfId="0" builtinId="0"/>
    <cellStyle name="Normal 2" xfId="8" xr:uid="{00000000-0005-0000-0000-000001000000}"/>
    <cellStyle name="Normal 212" xfId="9" xr:uid="{00000000-0005-0000-0000-000002000000}"/>
    <cellStyle name="Normal 4" xfId="6" xr:uid="{00000000-0005-0000-0000-000003000000}"/>
    <cellStyle name="Normal 5 2 2 2" xfId="5" xr:uid="{00000000-0005-0000-0000-000004000000}"/>
    <cellStyle name="Normal 6 2" xfId="2" xr:uid="{00000000-0005-0000-0000-000005000000}"/>
    <cellStyle name="Normal 6 2 2" xfId="10" xr:uid="{00000000-0005-0000-0000-000006000000}"/>
    <cellStyle name="Percent" xfId="1" builtinId="5"/>
    <cellStyle name="Percent 2 2" xfId="11" xr:uid="{E7A81B5F-FC3E-46DC-AFC6-8950F5D6EDB5}"/>
    <cellStyle name="Percent 2 3 2" xfId="4" xr:uid="{00000000-0005-0000-0000-000008000000}"/>
    <cellStyle name="Percent 3 2" xfId="3" xr:uid="{00000000-0005-0000-0000-000009000000}"/>
    <cellStyle name="Percent 5" xfId="7" xr:uid="{00000000-0005-0000-0000-00000A000000}"/>
  </cellStyles>
  <dxfs count="0"/>
  <tableStyles count="0" defaultTableStyle="TableStyleMedium2" defaultPivotStyle="PivotStyleLight16"/>
  <colors>
    <mruColors>
      <color rgb="FFF4F7FA"/>
      <color rgb="FFECF2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1</xdr:row>
      <xdr:rowOff>-1</xdr:rowOff>
    </xdr:from>
    <xdr:to>
      <xdr:col>8</xdr:col>
      <xdr:colOff>625929</xdr:colOff>
      <xdr:row>2</xdr:row>
      <xdr:rowOff>244929</xdr:rowOff>
    </xdr:to>
    <xdr:pic>
      <xdr:nvPicPr>
        <xdr:cNvPr id="2" name="Picture 2" descr="קוֹבֶץ זֶה הוּנְגַּש עַל יְדֵי חברת אֵיְי טוּ זִי - סֶמֶל הַנגישוּת">
          <a:extLst>
            <a:ext uri="{FF2B5EF4-FFF2-40B4-BE49-F238E27FC236}">
              <a16:creationId xmlns:a16="http://schemas.microsoft.com/office/drawing/2014/main" id="{FFF3C0D3-FA49-4A61-9D4C-73A5A9F447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142766821" y="340178"/>
          <a:ext cx="625929" cy="5851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1">
    <pageSetUpPr fitToPage="1"/>
  </sheetPr>
  <dimension ref="A1:I19"/>
  <sheetViews>
    <sheetView showGridLines="0" rightToLeft="1" tabSelected="1" zoomScale="70" zoomScaleNormal="70" zoomScaleSheetLayoutView="100" workbookViewId="0">
      <selection activeCell="L4" sqref="L4"/>
    </sheetView>
  </sheetViews>
  <sheetFormatPr defaultRowHeight="14.25" x14ac:dyDescent="0.2"/>
  <cols>
    <col min="2" max="2" width="36" customWidth="1"/>
    <col min="3" max="3" width="14.75" customWidth="1"/>
    <col min="4" max="5" width="12.125" customWidth="1"/>
    <col min="6" max="6" width="9.25" customWidth="1"/>
    <col min="7" max="7" width="32.625" bestFit="1" customWidth="1"/>
    <col min="8" max="8" width="9.25" customWidth="1"/>
    <col min="9" max="9" width="33.375" customWidth="1"/>
  </cols>
  <sheetData>
    <row r="1" spans="1:9" ht="27.6" customHeight="1" x14ac:dyDescent="0.2">
      <c r="B1" s="214" t="s">
        <v>126</v>
      </c>
      <c r="C1" s="214"/>
      <c r="D1" s="214"/>
      <c r="E1" s="214"/>
      <c r="F1" s="214"/>
      <c r="G1" s="214"/>
      <c r="H1" s="214"/>
      <c r="I1" s="214"/>
    </row>
    <row r="2" spans="1:9" ht="27.6" customHeight="1" x14ac:dyDescent="0.2">
      <c r="B2" s="219" t="s">
        <v>259</v>
      </c>
      <c r="C2" s="219"/>
      <c r="D2" s="219"/>
      <c r="E2" s="219"/>
      <c r="F2" s="219"/>
      <c r="G2" s="219"/>
      <c r="H2" s="207"/>
      <c r="I2" s="207"/>
    </row>
    <row r="3" spans="1:9" ht="30" customHeight="1" x14ac:dyDescent="0.2">
      <c r="A3" s="213" t="s">
        <v>260</v>
      </c>
      <c r="B3" s="217" t="s">
        <v>159</v>
      </c>
      <c r="C3" s="218"/>
      <c r="D3" s="218"/>
      <c r="E3" s="218"/>
      <c r="F3" s="218"/>
      <c r="G3" s="218"/>
      <c r="H3" s="211" t="s">
        <v>262</v>
      </c>
      <c r="I3" s="159"/>
    </row>
    <row r="4" spans="1:9" ht="49.9" customHeight="1" x14ac:dyDescent="0.2">
      <c r="A4" s="213"/>
      <c r="B4" s="35" t="s">
        <v>0</v>
      </c>
      <c r="C4" s="36" t="s">
        <v>127</v>
      </c>
      <c r="D4" s="35" t="s">
        <v>72</v>
      </c>
      <c r="E4" s="215" t="s">
        <v>40</v>
      </c>
      <c r="F4" s="216"/>
      <c r="G4" s="35" t="s">
        <v>91</v>
      </c>
      <c r="H4" s="212"/>
    </row>
    <row r="5" spans="1:9" ht="30" x14ac:dyDescent="0.2">
      <c r="A5" s="213"/>
      <c r="B5" s="37" t="s">
        <v>6</v>
      </c>
      <c r="C5" s="38">
        <v>0.42</v>
      </c>
      <c r="D5" s="40">
        <v>0.06</v>
      </c>
      <c r="E5" s="40">
        <f>IF(C5-D5&gt;0,C5-D5,0)</f>
        <v>0.36</v>
      </c>
      <c r="F5" s="40">
        <f>C5+D5</f>
        <v>0.48</v>
      </c>
      <c r="G5" s="41" t="s">
        <v>102</v>
      </c>
      <c r="H5" s="212"/>
    </row>
    <row r="6" spans="1:9" ht="30" x14ac:dyDescent="0.2">
      <c r="A6" s="213"/>
      <c r="B6" s="37" t="s">
        <v>73</v>
      </c>
      <c r="C6" s="38">
        <v>0.06</v>
      </c>
      <c r="D6" s="40">
        <v>0.05</v>
      </c>
      <c r="E6" s="40">
        <f t="shared" ref="E6:E13" si="0">IF(C6-D6&gt;0,C6-D6,0)</f>
        <v>9.999999999999995E-3</v>
      </c>
      <c r="F6" s="40">
        <f t="shared" ref="F6:F13" si="1">C6+D6</f>
        <v>0.11</v>
      </c>
      <c r="G6" s="41" t="s">
        <v>4</v>
      </c>
      <c r="H6" s="212"/>
    </row>
    <row r="7" spans="1:9" ht="63.75" customHeight="1" x14ac:dyDescent="0.2">
      <c r="A7" s="213"/>
      <c r="B7" s="37" t="s">
        <v>41</v>
      </c>
      <c r="C7" s="38">
        <v>0.27</v>
      </c>
      <c r="D7" s="40">
        <v>0.06</v>
      </c>
      <c r="E7" s="40">
        <f t="shared" si="0"/>
        <v>0.21000000000000002</v>
      </c>
      <c r="F7" s="40">
        <f t="shared" si="1"/>
        <v>0.33</v>
      </c>
      <c r="G7" s="41" t="s">
        <v>90</v>
      </c>
      <c r="H7" s="212"/>
    </row>
    <row r="8" spans="1:9" ht="18.600000000000001" customHeight="1" x14ac:dyDescent="0.2">
      <c r="A8" s="213"/>
      <c r="B8" s="37" t="s">
        <v>7</v>
      </c>
      <c r="C8" s="38">
        <v>0.08</v>
      </c>
      <c r="D8" s="40">
        <v>0.05</v>
      </c>
      <c r="E8" s="40">
        <f t="shared" si="0"/>
        <v>0.03</v>
      </c>
      <c r="F8" s="40">
        <f t="shared" si="1"/>
        <v>0.13</v>
      </c>
      <c r="G8" s="41"/>
      <c r="H8" s="212"/>
    </row>
    <row r="9" spans="1:9" ht="18.600000000000001" customHeight="1" x14ac:dyDescent="0.2">
      <c r="A9" s="213"/>
      <c r="B9" s="37" t="s">
        <v>74</v>
      </c>
      <c r="C9" s="38">
        <v>0.06</v>
      </c>
      <c r="D9" s="40">
        <v>0.05</v>
      </c>
      <c r="E9" s="40">
        <f t="shared" ref="E9" si="2">IF(C9-D9&gt;0,C9-D9,0)</f>
        <v>9.999999999999995E-3</v>
      </c>
      <c r="F9" s="40">
        <f t="shared" ref="F9" si="3">C9+D9</f>
        <v>0.11</v>
      </c>
      <c r="G9" s="41"/>
      <c r="H9" s="212"/>
    </row>
    <row r="10" spans="1:9" ht="33.75" customHeight="1" x14ac:dyDescent="0.2">
      <c r="A10" s="213"/>
      <c r="B10" s="37" t="s">
        <v>97</v>
      </c>
      <c r="C10" s="38">
        <v>7.0000000000000007E-2</v>
      </c>
      <c r="D10" s="40">
        <v>0.05</v>
      </c>
      <c r="E10" s="40">
        <f t="shared" si="0"/>
        <v>2.0000000000000004E-2</v>
      </c>
      <c r="F10" s="40">
        <f t="shared" si="1"/>
        <v>0.12000000000000001</v>
      </c>
      <c r="G10" s="41"/>
      <c r="H10" s="212"/>
    </row>
    <row r="11" spans="1:9" ht="18.600000000000001" customHeight="1" x14ac:dyDescent="0.2">
      <c r="A11" s="213"/>
      <c r="B11" s="37" t="s">
        <v>47</v>
      </c>
      <c r="C11" s="38">
        <v>0.04</v>
      </c>
      <c r="D11" s="40"/>
      <c r="E11" s="40"/>
      <c r="F11" s="40"/>
      <c r="G11" s="41"/>
      <c r="H11" s="212"/>
    </row>
    <row r="12" spans="1:9" ht="18.600000000000001" customHeight="1" x14ac:dyDescent="0.2">
      <c r="A12" s="213"/>
      <c r="B12" s="37" t="s">
        <v>8</v>
      </c>
      <c r="C12" s="38">
        <v>1</v>
      </c>
      <c r="D12" s="40"/>
      <c r="E12" s="40"/>
      <c r="F12" s="40"/>
      <c r="G12" s="41"/>
      <c r="H12" s="212"/>
    </row>
    <row r="13" spans="1:9" ht="18.600000000000001" customHeight="1" x14ac:dyDescent="0.2">
      <c r="A13" s="213"/>
      <c r="B13" s="37" t="s">
        <v>9</v>
      </c>
      <c r="C13" s="38">
        <v>0.24</v>
      </c>
      <c r="D13" s="40">
        <v>0.06</v>
      </c>
      <c r="E13" s="40">
        <f t="shared" si="0"/>
        <v>0.18</v>
      </c>
      <c r="F13" s="40">
        <f t="shared" si="1"/>
        <v>0.3</v>
      </c>
      <c r="G13" s="41"/>
      <c r="H13" s="212"/>
    </row>
    <row r="14" spans="1:9" ht="18.600000000000001" customHeight="1" x14ac:dyDescent="0.2">
      <c r="A14" s="213"/>
      <c r="B14" s="160" t="s">
        <v>160</v>
      </c>
      <c r="C14" s="163">
        <v>2.5000000000000001E-3</v>
      </c>
      <c r="D14" s="162"/>
      <c r="E14" s="162"/>
      <c r="F14" s="162"/>
      <c r="G14" s="156"/>
      <c r="H14" s="212"/>
    </row>
    <row r="15" spans="1:9" ht="18.600000000000001" customHeight="1" x14ac:dyDescent="0.2">
      <c r="A15" s="208"/>
      <c r="B15" s="210" t="s">
        <v>261</v>
      </c>
      <c r="C15" s="210"/>
      <c r="D15" s="210"/>
      <c r="E15" s="210"/>
      <c r="F15" s="210"/>
      <c r="G15" s="210"/>
    </row>
    <row r="16" spans="1:9" ht="18.600000000000001" customHeight="1" x14ac:dyDescent="0.2">
      <c r="B16" s="34" t="s">
        <v>120</v>
      </c>
      <c r="C16" s="43"/>
      <c r="D16" s="44"/>
      <c r="E16" s="43"/>
      <c r="F16" s="45"/>
      <c r="G16" s="45"/>
      <c r="H16" s="45"/>
      <c r="I16" s="46"/>
    </row>
    <row r="17" spans="1:9" x14ac:dyDescent="0.2">
      <c r="B17" s="34" t="s">
        <v>46</v>
      </c>
      <c r="C17" s="34"/>
      <c r="D17" s="34"/>
      <c r="E17" s="34"/>
      <c r="F17" s="34"/>
      <c r="G17" s="34"/>
      <c r="H17" s="34"/>
      <c r="I17" s="34"/>
    </row>
    <row r="18" spans="1:9" x14ac:dyDescent="0.2">
      <c r="B18" s="34" t="s">
        <v>89</v>
      </c>
    </row>
    <row r="19" spans="1:9" x14ac:dyDescent="0.2">
      <c r="A19" s="213" t="s">
        <v>263</v>
      </c>
      <c r="B19" s="213"/>
      <c r="C19" s="213"/>
      <c r="D19" s="213"/>
      <c r="E19" s="213"/>
      <c r="F19" s="213"/>
      <c r="G19" s="213"/>
      <c r="H19" s="213"/>
    </row>
  </sheetData>
  <mergeCells count="8">
    <mergeCell ref="B15:G15"/>
    <mergeCell ref="H3:H14"/>
    <mergeCell ref="A19:H19"/>
    <mergeCell ref="B1:I1"/>
    <mergeCell ref="E4:F4"/>
    <mergeCell ref="B3:G3"/>
    <mergeCell ref="B2:G2"/>
    <mergeCell ref="A3:A14"/>
  </mergeCells>
  <pageMargins left="0.70866141732283472" right="0.70866141732283472" top="0.74803149606299213" bottom="0.74803149606299213" header="0.31496062992125984" footer="0.31496062992125984"/>
  <pageSetup paperSize="9" scale="7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גיליון2">
    <pageSetUpPr fitToPage="1"/>
  </sheetPr>
  <dimension ref="A1:I18"/>
  <sheetViews>
    <sheetView showGridLines="0" rightToLeft="1" zoomScale="70" zoomScaleNormal="70" zoomScaleSheetLayoutView="100" workbookViewId="0">
      <selection activeCell="A18" sqref="A18:G18"/>
    </sheetView>
  </sheetViews>
  <sheetFormatPr defaultRowHeight="14.25" x14ac:dyDescent="0.2"/>
  <cols>
    <col min="2" max="2" width="38" customWidth="1"/>
    <col min="3" max="3" width="14.75" customWidth="1"/>
    <col min="4" max="5" width="12.125" customWidth="1"/>
    <col min="6" max="6" width="9.25" customWidth="1"/>
    <col min="7" max="7" width="32.625" bestFit="1" customWidth="1"/>
    <col min="8" max="8" width="9.25" customWidth="1"/>
    <col min="9" max="9" width="32.375" customWidth="1"/>
  </cols>
  <sheetData>
    <row r="1" spans="1:9" ht="27.6" customHeight="1" x14ac:dyDescent="0.2">
      <c r="B1" s="222" t="str">
        <f>'קרן י'!B1:G1</f>
        <v>מדיניות השקעה לשנת 2024</v>
      </c>
      <c r="C1" s="222"/>
      <c r="D1" s="222"/>
      <c r="E1" s="222"/>
      <c r="F1" s="222"/>
      <c r="G1" s="222"/>
      <c r="H1" s="167"/>
      <c r="I1" s="167"/>
    </row>
    <row r="2" spans="1:9" ht="27.6" customHeight="1" x14ac:dyDescent="0.2">
      <c r="B2" s="223" t="s">
        <v>259</v>
      </c>
      <c r="C2" s="223"/>
      <c r="D2" s="223"/>
      <c r="E2" s="223"/>
      <c r="F2" s="223"/>
      <c r="G2" s="223"/>
      <c r="H2" s="167"/>
      <c r="I2" s="167"/>
    </row>
    <row r="3" spans="1:9" ht="30" customHeight="1" x14ac:dyDescent="0.2">
      <c r="A3" s="213" t="s">
        <v>260</v>
      </c>
      <c r="B3" s="217" t="s">
        <v>161</v>
      </c>
      <c r="C3" s="218"/>
      <c r="D3" s="218"/>
      <c r="E3" s="218"/>
      <c r="F3" s="218"/>
      <c r="G3" s="218"/>
      <c r="H3" s="220" t="s">
        <v>262</v>
      </c>
      <c r="I3" s="165"/>
    </row>
    <row r="4" spans="1:9" ht="49.9" customHeight="1" x14ac:dyDescent="0.2">
      <c r="A4" s="213"/>
      <c r="B4" s="35" t="s">
        <v>0</v>
      </c>
      <c r="C4" s="36" t="str">
        <f>'קרן י'!C4</f>
        <v>שיעור חשיפה צפוי לשנת 2024</v>
      </c>
      <c r="D4" s="35" t="s">
        <v>72</v>
      </c>
      <c r="E4" s="215" t="s">
        <v>40</v>
      </c>
      <c r="F4" s="216"/>
      <c r="G4" s="42" t="s">
        <v>91</v>
      </c>
      <c r="H4" s="221"/>
    </row>
    <row r="5" spans="1:9" ht="30" x14ac:dyDescent="0.2">
      <c r="A5" s="213"/>
      <c r="B5" s="37" t="s">
        <v>6</v>
      </c>
      <c r="C5" s="38">
        <v>0.36</v>
      </c>
      <c r="D5" s="40">
        <v>0.06</v>
      </c>
      <c r="E5" s="40">
        <f>IF(C5-D5&gt;0,C5-D5,0)</f>
        <v>0.3</v>
      </c>
      <c r="F5" s="40">
        <f>C5+D5</f>
        <v>0.42</v>
      </c>
      <c r="G5" s="203" t="s">
        <v>102</v>
      </c>
      <c r="H5" s="221"/>
    </row>
    <row r="6" spans="1:9" ht="30" x14ac:dyDescent="0.2">
      <c r="A6" s="213"/>
      <c r="B6" s="37" t="s">
        <v>73</v>
      </c>
      <c r="C6" s="38">
        <v>0.05</v>
      </c>
      <c r="D6" s="40">
        <v>0.05</v>
      </c>
      <c r="E6" s="40">
        <f t="shared" ref="E6:E12" si="0">IF(C6-D6&gt;0,C6-D6,0)</f>
        <v>0</v>
      </c>
      <c r="F6" s="40">
        <f t="shared" ref="F6:F12" si="1">C6+D6</f>
        <v>0.1</v>
      </c>
      <c r="G6" s="203" t="s">
        <v>4</v>
      </c>
      <c r="H6" s="221"/>
    </row>
    <row r="7" spans="1:9" ht="18.600000000000001" customHeight="1" x14ac:dyDescent="0.2">
      <c r="A7" s="213"/>
      <c r="B7" s="37" t="s">
        <v>48</v>
      </c>
      <c r="C7" s="38">
        <v>0.35</v>
      </c>
      <c r="D7" s="40">
        <v>0.05</v>
      </c>
      <c r="E7" s="40">
        <f t="shared" si="0"/>
        <v>0.3</v>
      </c>
      <c r="F7" s="40">
        <f t="shared" si="1"/>
        <v>0.39999999999999997</v>
      </c>
      <c r="G7" s="203"/>
      <c r="H7" s="221"/>
    </row>
    <row r="8" spans="1:9" ht="69" customHeight="1" x14ac:dyDescent="0.2">
      <c r="A8" s="213"/>
      <c r="B8" s="37" t="s">
        <v>41</v>
      </c>
      <c r="C8" s="38">
        <v>0.17</v>
      </c>
      <c r="D8" s="40">
        <v>0.06</v>
      </c>
      <c r="E8" s="40">
        <f t="shared" si="0"/>
        <v>0.11000000000000001</v>
      </c>
      <c r="F8" s="40">
        <f t="shared" si="1"/>
        <v>0.23</v>
      </c>
      <c r="G8" s="203" t="s">
        <v>90</v>
      </c>
      <c r="H8" s="221"/>
    </row>
    <row r="9" spans="1:9" ht="68.25" customHeight="1" x14ac:dyDescent="0.2">
      <c r="A9" s="213"/>
      <c r="B9" s="37" t="s">
        <v>96</v>
      </c>
      <c r="C9" s="38">
        <v>0.05</v>
      </c>
      <c r="D9" s="40">
        <v>0.05</v>
      </c>
      <c r="E9" s="40">
        <f t="shared" si="0"/>
        <v>0</v>
      </c>
      <c r="F9" s="40">
        <f t="shared" si="1"/>
        <v>0.1</v>
      </c>
      <c r="G9" s="203"/>
      <c r="H9" s="221"/>
    </row>
    <row r="10" spans="1:9" ht="32.25" customHeight="1" x14ac:dyDescent="0.2">
      <c r="A10" s="213"/>
      <c r="B10" s="37" t="s">
        <v>47</v>
      </c>
      <c r="C10" s="38">
        <v>0.02</v>
      </c>
      <c r="D10" s="40"/>
      <c r="E10" s="40"/>
      <c r="F10" s="40"/>
      <c r="G10" s="203"/>
      <c r="H10" s="221"/>
    </row>
    <row r="11" spans="1:9" ht="18.600000000000001" customHeight="1" x14ac:dyDescent="0.2">
      <c r="A11" s="213"/>
      <c r="B11" s="37" t="s">
        <v>8</v>
      </c>
      <c r="C11" s="38">
        <f>SUM(C5:C10)</f>
        <v>1</v>
      </c>
      <c r="D11" s="40"/>
      <c r="E11" s="40"/>
      <c r="F11" s="40"/>
      <c r="G11" s="203"/>
      <c r="H11" s="221"/>
    </row>
    <row r="12" spans="1:9" ht="18.600000000000001" customHeight="1" x14ac:dyDescent="0.2">
      <c r="A12" s="213"/>
      <c r="B12" s="37" t="s">
        <v>9</v>
      </c>
      <c r="C12" s="38">
        <v>0.21</v>
      </c>
      <c r="D12" s="40">
        <v>0.06</v>
      </c>
      <c r="E12" s="40">
        <f t="shared" si="0"/>
        <v>0.15</v>
      </c>
      <c r="F12" s="40">
        <f t="shared" si="1"/>
        <v>0.27</v>
      </c>
      <c r="G12" s="203"/>
      <c r="H12" s="221"/>
    </row>
    <row r="13" spans="1:9" ht="18.600000000000001" customHeight="1" x14ac:dyDescent="0.2">
      <c r="A13" s="213"/>
      <c r="B13" s="160" t="s">
        <v>160</v>
      </c>
      <c r="C13" s="166">
        <v>1.5E-3</v>
      </c>
      <c r="D13" s="162"/>
      <c r="E13" s="204"/>
      <c r="F13" s="162"/>
      <c r="G13" s="204"/>
      <c r="H13" s="221"/>
    </row>
    <row r="14" spans="1:9" ht="18.600000000000001" customHeight="1" x14ac:dyDescent="0.2">
      <c r="A14" s="208"/>
      <c r="B14" s="210" t="s">
        <v>264</v>
      </c>
      <c r="C14" s="210"/>
      <c r="D14" s="210"/>
      <c r="E14" s="210"/>
      <c r="F14" s="210"/>
      <c r="G14" s="210"/>
    </row>
    <row r="15" spans="1:9" ht="18.600000000000001" customHeight="1" x14ac:dyDescent="0.2">
      <c r="B15" s="34" t="s">
        <v>121</v>
      </c>
      <c r="C15" s="43"/>
      <c r="D15" s="44"/>
      <c r="E15" s="43"/>
      <c r="F15" s="45"/>
      <c r="G15" s="45"/>
      <c r="H15" s="45"/>
      <c r="I15" s="46"/>
    </row>
    <row r="16" spans="1:9" ht="18.600000000000001" customHeight="1" x14ac:dyDescent="0.2">
      <c r="B16" s="34" t="s">
        <v>46</v>
      </c>
      <c r="C16" s="34"/>
      <c r="D16" s="34"/>
      <c r="E16" s="34"/>
      <c r="F16" s="34"/>
      <c r="G16" s="34"/>
      <c r="H16" s="34"/>
      <c r="I16" s="34"/>
    </row>
    <row r="17" spans="1:7" x14ac:dyDescent="0.2">
      <c r="B17" s="34" t="s">
        <v>89</v>
      </c>
    </row>
    <row r="18" spans="1:7" x14ac:dyDescent="0.2">
      <c r="A18" s="213" t="s">
        <v>263</v>
      </c>
      <c r="B18" s="213"/>
      <c r="C18" s="213"/>
      <c r="D18" s="213"/>
      <c r="E18" s="213"/>
      <c r="F18" s="213"/>
      <c r="G18" s="213"/>
    </row>
  </sheetData>
  <mergeCells count="8">
    <mergeCell ref="H3:H13"/>
    <mergeCell ref="A18:G18"/>
    <mergeCell ref="E4:F4"/>
    <mergeCell ref="B3:G3"/>
    <mergeCell ref="B1:G1"/>
    <mergeCell ref="B2:G2"/>
    <mergeCell ref="A3:A13"/>
    <mergeCell ref="B14:G14"/>
  </mergeCells>
  <pageMargins left="0.70866141732283472" right="0.70866141732283472" top="0.74803149606299213" bottom="0.74803149606299213" header="0.31496062992125984" footer="0.31496062992125984"/>
  <pageSetup paperSize="9" scale="7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I72"/>
  <sheetViews>
    <sheetView showGridLines="0" rightToLeft="1" topLeftCell="A58" zoomScaleNormal="100" zoomScaleSheetLayoutView="100" workbookViewId="0">
      <selection activeCell="A72" sqref="A72:G72"/>
    </sheetView>
  </sheetViews>
  <sheetFormatPr defaultRowHeight="14.25" x14ac:dyDescent="0.2"/>
  <cols>
    <col min="2" max="2" width="32.75" customWidth="1"/>
    <col min="3" max="3" width="23.125" customWidth="1"/>
    <col min="4" max="4" width="21.625" bestFit="1" customWidth="1"/>
    <col min="5" max="5" width="9.25" customWidth="1"/>
    <col min="6" max="6" width="32.625" bestFit="1" customWidth="1"/>
    <col min="7" max="7" width="9.25" customWidth="1"/>
    <col min="8" max="8" width="32.125" customWidth="1"/>
  </cols>
  <sheetData>
    <row r="1" spans="1:9" ht="27.6" customHeight="1" x14ac:dyDescent="0.2">
      <c r="B1" s="232" t="str">
        <f>'קרן י'!B1</f>
        <v>מדיניות השקעה לשנת 2024</v>
      </c>
      <c r="C1" s="232"/>
      <c r="D1" s="232"/>
      <c r="E1" s="232"/>
      <c r="F1" s="232"/>
      <c r="G1" s="232"/>
      <c r="H1" s="232"/>
    </row>
    <row r="2" spans="1:9" ht="27.6" customHeight="1" x14ac:dyDescent="0.2">
      <c r="B2" s="212" t="s">
        <v>259</v>
      </c>
      <c r="C2" s="212"/>
      <c r="D2" s="212"/>
      <c r="E2" s="212"/>
      <c r="F2" s="212"/>
      <c r="G2" s="212"/>
      <c r="H2" s="212"/>
    </row>
    <row r="3" spans="1:9" ht="27.6" customHeight="1" x14ac:dyDescent="0.2">
      <c r="A3" s="213" t="s">
        <v>260</v>
      </c>
      <c r="B3" s="233" t="s">
        <v>232</v>
      </c>
      <c r="C3" s="234"/>
      <c r="D3" s="234"/>
      <c r="E3" s="234"/>
      <c r="F3" s="234"/>
      <c r="G3" s="234"/>
      <c r="H3" s="234"/>
      <c r="I3" s="213" t="s">
        <v>262</v>
      </c>
    </row>
    <row r="4" spans="1:9" ht="27.6" customHeight="1" thickBot="1" x14ac:dyDescent="0.25">
      <c r="A4" s="213"/>
      <c r="B4" s="235" t="s">
        <v>196</v>
      </c>
      <c r="C4" s="236"/>
      <c r="D4" s="236"/>
      <c r="E4" s="236"/>
      <c r="F4" s="236"/>
      <c r="G4" s="236"/>
      <c r="H4" s="236"/>
      <c r="I4" s="213"/>
    </row>
    <row r="5" spans="1:9" ht="27.6" customHeight="1" x14ac:dyDescent="0.2">
      <c r="A5" s="213"/>
      <c r="B5" s="35" t="s">
        <v>0</v>
      </c>
      <c r="C5" s="36" t="s">
        <v>251</v>
      </c>
      <c r="D5" s="186" t="s">
        <v>252</v>
      </c>
      <c r="E5" s="35" t="s">
        <v>72</v>
      </c>
      <c r="F5" s="215" t="s">
        <v>40</v>
      </c>
      <c r="G5" s="237"/>
      <c r="H5" s="35" t="s">
        <v>91</v>
      </c>
      <c r="I5" s="213"/>
    </row>
    <row r="6" spans="1:9" ht="27.6" customHeight="1" x14ac:dyDescent="0.2">
      <c r="A6" s="213"/>
      <c r="B6" s="37" t="s">
        <v>6</v>
      </c>
      <c r="C6" s="38">
        <v>0.42</v>
      </c>
      <c r="D6" s="38">
        <v>0.42</v>
      </c>
      <c r="E6" s="40">
        <v>0.06</v>
      </c>
      <c r="F6" s="40">
        <f>IF(C6-E6&gt;0,C6-E6,0)</f>
        <v>0.36</v>
      </c>
      <c r="G6" s="40">
        <f>C6+E6</f>
        <v>0.48</v>
      </c>
      <c r="H6" s="41" t="s">
        <v>102</v>
      </c>
      <c r="I6" s="213"/>
    </row>
    <row r="7" spans="1:9" ht="27.6" customHeight="1" x14ac:dyDescent="0.2">
      <c r="A7" s="213"/>
      <c r="B7" s="37" t="s">
        <v>73</v>
      </c>
      <c r="C7" s="38">
        <v>0.08</v>
      </c>
      <c r="D7" s="38">
        <v>0.08</v>
      </c>
      <c r="E7" s="40">
        <v>0.05</v>
      </c>
      <c r="F7" s="40">
        <f t="shared" ref="F7:F12" si="0">IF(C7-E7&gt;0,C7-E7,0)</f>
        <v>0.03</v>
      </c>
      <c r="G7" s="40">
        <f t="shared" ref="G7:G12" si="1">C7+E7</f>
        <v>0.13</v>
      </c>
      <c r="H7" s="41" t="s">
        <v>4</v>
      </c>
      <c r="I7" s="213"/>
    </row>
    <row r="8" spans="1:9" ht="27.6" customHeight="1" x14ac:dyDescent="0.2">
      <c r="A8" s="213"/>
      <c r="B8" s="37" t="s">
        <v>41</v>
      </c>
      <c r="C8" s="38">
        <v>0.3</v>
      </c>
      <c r="D8" s="38">
        <v>0.33</v>
      </c>
      <c r="E8" s="40">
        <v>0.06</v>
      </c>
      <c r="F8" s="40">
        <f t="shared" si="0"/>
        <v>0.24</v>
      </c>
      <c r="G8" s="40">
        <f t="shared" si="1"/>
        <v>0.36</v>
      </c>
      <c r="H8" s="41" t="s">
        <v>90</v>
      </c>
      <c r="I8" s="213"/>
    </row>
    <row r="9" spans="1:9" ht="27.6" customHeight="1" x14ac:dyDescent="0.2">
      <c r="A9" s="213"/>
      <c r="B9" s="37" t="s">
        <v>7</v>
      </c>
      <c r="C9" s="38">
        <v>0.04</v>
      </c>
      <c r="D9" s="38">
        <v>0.05</v>
      </c>
      <c r="E9" s="40">
        <v>0.05</v>
      </c>
      <c r="F9" s="40">
        <f t="shared" si="0"/>
        <v>0</v>
      </c>
      <c r="G9" s="40">
        <f t="shared" si="1"/>
        <v>0.09</v>
      </c>
      <c r="H9" s="41"/>
      <c r="I9" s="213"/>
    </row>
    <row r="10" spans="1:9" ht="27.6" customHeight="1" x14ac:dyDescent="0.2">
      <c r="A10" s="213"/>
      <c r="B10" s="37" t="s">
        <v>74</v>
      </c>
      <c r="C10" s="38">
        <v>0.04</v>
      </c>
      <c r="D10" s="38">
        <v>0.05</v>
      </c>
      <c r="E10" s="40">
        <v>0.05</v>
      </c>
      <c r="F10" s="40">
        <f t="shared" si="0"/>
        <v>0</v>
      </c>
      <c r="G10" s="40">
        <f t="shared" si="1"/>
        <v>0.09</v>
      </c>
      <c r="H10" s="41"/>
      <c r="I10" s="213"/>
    </row>
    <row r="11" spans="1:9" ht="27.6" customHeight="1" x14ac:dyDescent="0.2">
      <c r="A11" s="213"/>
      <c r="B11" s="37" t="s">
        <v>218</v>
      </c>
      <c r="C11" s="38">
        <v>0.04</v>
      </c>
      <c r="D11" s="38"/>
      <c r="E11" s="40">
        <v>0.05</v>
      </c>
      <c r="F11" s="40">
        <f t="shared" si="0"/>
        <v>0</v>
      </c>
      <c r="G11" s="40">
        <f t="shared" si="1"/>
        <v>0.09</v>
      </c>
      <c r="H11" s="41"/>
      <c r="I11" s="213"/>
    </row>
    <row r="12" spans="1:9" ht="27.6" customHeight="1" x14ac:dyDescent="0.2">
      <c r="A12" s="213"/>
      <c r="B12" s="37" t="s">
        <v>97</v>
      </c>
      <c r="C12" s="38">
        <v>0.04</v>
      </c>
      <c r="D12" s="38">
        <v>0.05</v>
      </c>
      <c r="E12" s="40">
        <v>0.05</v>
      </c>
      <c r="F12" s="40">
        <f t="shared" si="0"/>
        <v>0</v>
      </c>
      <c r="G12" s="40">
        <f t="shared" si="1"/>
        <v>0.09</v>
      </c>
      <c r="H12" s="41"/>
      <c r="I12" s="213"/>
    </row>
    <row r="13" spans="1:9" ht="27.6" customHeight="1" x14ac:dyDescent="0.2">
      <c r="A13" s="213"/>
      <c r="B13" s="37" t="s">
        <v>47</v>
      </c>
      <c r="C13" s="38">
        <v>0.04</v>
      </c>
      <c r="D13" s="38">
        <v>0.02</v>
      </c>
      <c r="E13" s="40"/>
      <c r="F13" s="40"/>
      <c r="G13" s="40"/>
      <c r="H13" s="41"/>
      <c r="I13" s="213"/>
    </row>
    <row r="14" spans="1:9" ht="27.6" customHeight="1" x14ac:dyDescent="0.2">
      <c r="A14" s="213"/>
      <c r="B14" s="37" t="s">
        <v>8</v>
      </c>
      <c r="C14" s="38">
        <f>SUM(C6:C13)</f>
        <v>1.0000000000000002</v>
      </c>
      <c r="D14" s="38">
        <v>1.0000000000000002</v>
      </c>
      <c r="E14" s="40"/>
      <c r="F14" s="40"/>
      <c r="G14" s="40"/>
      <c r="H14" s="41"/>
      <c r="I14" s="213"/>
    </row>
    <row r="15" spans="1:9" ht="27.6" customHeight="1" x14ac:dyDescent="0.2">
      <c r="A15" s="213"/>
      <c r="B15" s="37" t="s">
        <v>9</v>
      </c>
      <c r="C15" s="38">
        <v>0.24</v>
      </c>
      <c r="D15" s="38">
        <v>0.22</v>
      </c>
      <c r="E15" s="40">
        <v>0.06</v>
      </c>
      <c r="F15" s="40">
        <f>IF(C15-E15&gt;0,C15-E15,0)</f>
        <v>0.18</v>
      </c>
      <c r="G15" s="40">
        <f>C15+E15</f>
        <v>0.3</v>
      </c>
      <c r="H15" s="41"/>
      <c r="I15" s="213"/>
    </row>
    <row r="16" spans="1:9" ht="27.6" customHeight="1" x14ac:dyDescent="0.2">
      <c r="A16" s="213"/>
      <c r="B16" s="160" t="s">
        <v>160</v>
      </c>
      <c r="C16" s="238">
        <v>2.5000000000000001E-3</v>
      </c>
      <c r="D16" s="238"/>
      <c r="E16" s="238"/>
      <c r="F16" s="238"/>
      <c r="G16" s="238"/>
      <c r="H16" s="238"/>
      <c r="I16" s="213"/>
    </row>
    <row r="17" spans="1:9" ht="27.6" customHeight="1" x14ac:dyDescent="0.2">
      <c r="B17" s="212" t="s">
        <v>261</v>
      </c>
      <c r="C17" s="212"/>
      <c r="D17" s="212"/>
      <c r="E17" s="212"/>
      <c r="F17" s="212"/>
      <c r="G17" s="212"/>
      <c r="H17" s="212"/>
    </row>
    <row r="18" spans="1:9" ht="27.6" customHeight="1" x14ac:dyDescent="0.2">
      <c r="B18" s="212" t="s">
        <v>259</v>
      </c>
      <c r="C18" s="212"/>
      <c r="D18" s="212"/>
      <c r="E18" s="212"/>
      <c r="F18" s="212"/>
      <c r="G18" s="212"/>
      <c r="H18" s="212"/>
    </row>
    <row r="19" spans="1:9" x14ac:dyDescent="0.2">
      <c r="A19" s="213" t="s">
        <v>260</v>
      </c>
      <c r="B19" s="226" t="s">
        <v>246</v>
      </c>
      <c r="C19" s="226"/>
      <c r="D19" s="226"/>
      <c r="E19" s="226"/>
      <c r="F19" s="226"/>
      <c r="G19" s="226"/>
      <c r="H19" s="226"/>
      <c r="I19" s="213" t="s">
        <v>262</v>
      </c>
    </row>
    <row r="20" spans="1:9" x14ac:dyDescent="0.2">
      <c r="A20" s="213"/>
      <c r="B20" s="226"/>
      <c r="C20" s="226"/>
      <c r="D20" s="226"/>
      <c r="E20" s="226"/>
      <c r="F20" s="226"/>
      <c r="G20" s="226"/>
      <c r="H20" s="226"/>
      <c r="I20" s="213"/>
    </row>
    <row r="21" spans="1:9" ht="27.6" customHeight="1" thickBot="1" x14ac:dyDescent="0.25">
      <c r="A21" s="213"/>
      <c r="B21" s="228" t="s">
        <v>194</v>
      </c>
      <c r="C21" s="229"/>
      <c r="D21" s="229"/>
      <c r="E21" s="229"/>
      <c r="F21" s="229"/>
      <c r="G21" s="229"/>
      <c r="H21" s="229"/>
      <c r="I21" s="213"/>
    </row>
    <row r="22" spans="1:9" ht="27.6" customHeight="1" x14ac:dyDescent="0.2">
      <c r="A22" s="213"/>
      <c r="B22" s="140" t="s">
        <v>0</v>
      </c>
      <c r="C22" s="36" t="s">
        <v>251</v>
      </c>
      <c r="D22" s="186" t="s">
        <v>252</v>
      </c>
      <c r="E22" s="141" t="s">
        <v>136</v>
      </c>
      <c r="F22" s="230" t="s">
        <v>40</v>
      </c>
      <c r="G22" s="231"/>
      <c r="H22" s="143" t="s">
        <v>138</v>
      </c>
      <c r="I22" s="213"/>
    </row>
    <row r="23" spans="1:9" ht="27.6" customHeight="1" x14ac:dyDescent="0.2">
      <c r="A23" s="213"/>
      <c r="B23" s="144" t="s">
        <v>139</v>
      </c>
      <c r="C23" s="145">
        <v>0.75</v>
      </c>
      <c r="D23" s="145">
        <v>0.75</v>
      </c>
      <c r="E23" s="145">
        <v>0.05</v>
      </c>
      <c r="F23" s="145">
        <f>+C23-E23</f>
        <v>0.7</v>
      </c>
      <c r="G23" s="145">
        <f>+C23+E23</f>
        <v>0.8</v>
      </c>
      <c r="H23" s="146" t="s">
        <v>4</v>
      </c>
      <c r="I23" s="213"/>
    </row>
    <row r="24" spans="1:9" ht="27.6" customHeight="1" x14ac:dyDescent="0.2">
      <c r="A24" s="213"/>
      <c r="B24" s="144" t="s">
        <v>116</v>
      </c>
      <c r="C24" s="145">
        <v>0.23</v>
      </c>
      <c r="D24" s="145">
        <v>0.2</v>
      </c>
      <c r="E24" s="145">
        <v>0.06</v>
      </c>
      <c r="F24" s="145">
        <f>+C24-E24</f>
        <v>0.17</v>
      </c>
      <c r="G24" s="145">
        <f>+C24+E24</f>
        <v>0.29000000000000004</v>
      </c>
      <c r="H24" s="147" t="s">
        <v>92</v>
      </c>
      <c r="I24" s="213"/>
    </row>
    <row r="25" spans="1:9" ht="27.6" customHeight="1" x14ac:dyDescent="0.2">
      <c r="A25" s="213"/>
      <c r="B25" s="144" t="s">
        <v>47</v>
      </c>
      <c r="C25" s="145">
        <v>0.02</v>
      </c>
      <c r="D25" s="145">
        <v>0.05</v>
      </c>
      <c r="E25" s="145"/>
      <c r="F25" s="145"/>
      <c r="G25" s="145"/>
      <c r="H25" s="148"/>
      <c r="I25" s="213"/>
    </row>
    <row r="26" spans="1:9" ht="27.6" customHeight="1" x14ac:dyDescent="0.2">
      <c r="A26" s="213"/>
      <c r="B26" s="144" t="s">
        <v>8</v>
      </c>
      <c r="C26" s="145">
        <f>SUM(C23:C25)</f>
        <v>1</v>
      </c>
      <c r="D26" s="145">
        <f>SUM(D23:D25)</f>
        <v>1</v>
      </c>
      <c r="E26" s="145"/>
      <c r="F26" s="145"/>
      <c r="G26" s="145"/>
      <c r="H26" s="148"/>
      <c r="I26" s="213"/>
    </row>
    <row r="27" spans="1:9" ht="27.6" customHeight="1" thickBot="1" x14ac:dyDescent="0.25">
      <c r="A27" s="213"/>
      <c r="B27" s="149" t="s">
        <v>9</v>
      </c>
      <c r="C27" s="150">
        <v>0</v>
      </c>
      <c r="D27" s="150">
        <v>0</v>
      </c>
      <c r="E27" s="150">
        <v>0.06</v>
      </c>
      <c r="F27" s="150">
        <v>0</v>
      </c>
      <c r="G27" s="150">
        <f>+C27+E27</f>
        <v>0.06</v>
      </c>
      <c r="H27" s="151"/>
      <c r="I27" s="213"/>
    </row>
    <row r="28" spans="1:9" ht="27.6" customHeight="1" x14ac:dyDescent="0.2">
      <c r="A28" s="213"/>
      <c r="B28" s="160" t="s">
        <v>160</v>
      </c>
      <c r="C28" s="239">
        <v>5.0000000000000001E-4</v>
      </c>
      <c r="D28" s="227"/>
      <c r="E28" s="227"/>
      <c r="F28" s="227"/>
      <c r="G28" s="227"/>
      <c r="H28" s="227"/>
      <c r="I28" s="213"/>
    </row>
    <row r="29" spans="1:9" ht="27.6" customHeight="1" x14ac:dyDescent="0.2">
      <c r="B29" s="212" t="s">
        <v>261</v>
      </c>
      <c r="C29" s="212"/>
      <c r="D29" s="212"/>
      <c r="E29" s="212"/>
      <c r="F29" s="212"/>
      <c r="G29" s="212"/>
      <c r="H29" s="212"/>
    </row>
    <row r="30" spans="1:9" x14ac:dyDescent="0.2">
      <c r="B30" s="213" t="s">
        <v>259</v>
      </c>
      <c r="C30" s="213"/>
      <c r="D30" s="213"/>
      <c r="E30" s="213"/>
      <c r="F30" s="213"/>
      <c r="G30" s="213"/>
      <c r="H30" s="213"/>
    </row>
    <row r="31" spans="1:9" ht="14.25" customHeight="1" x14ac:dyDescent="0.2">
      <c r="A31" s="213" t="s">
        <v>260</v>
      </c>
      <c r="B31" s="225" t="s">
        <v>242</v>
      </c>
      <c r="C31" s="226"/>
      <c r="D31" s="226"/>
      <c r="E31" s="226"/>
      <c r="F31" s="226"/>
      <c r="G31" s="226"/>
      <c r="H31" s="226"/>
      <c r="I31" s="224" t="s">
        <v>262</v>
      </c>
    </row>
    <row r="32" spans="1:9" ht="18.75" thickBot="1" x14ac:dyDescent="0.25">
      <c r="A32" s="213"/>
      <c r="B32" s="225" t="s">
        <v>215</v>
      </c>
      <c r="C32" s="226"/>
      <c r="D32" s="226"/>
      <c r="E32" s="226"/>
      <c r="F32" s="226"/>
      <c r="G32" s="226"/>
      <c r="H32" s="226"/>
      <c r="I32" s="224"/>
    </row>
    <row r="33" spans="1:9" ht="30" x14ac:dyDescent="0.2">
      <c r="A33" s="213"/>
      <c r="B33" s="140" t="s">
        <v>0</v>
      </c>
      <c r="C33" s="36" t="s">
        <v>251</v>
      </c>
      <c r="D33" s="186" t="s">
        <v>252</v>
      </c>
      <c r="E33" s="141" t="s">
        <v>136</v>
      </c>
      <c r="F33" s="230" t="s">
        <v>40</v>
      </c>
      <c r="G33" s="231"/>
      <c r="H33" s="143" t="s">
        <v>138</v>
      </c>
      <c r="I33" s="224"/>
    </row>
    <row r="34" spans="1:9" ht="30" x14ac:dyDescent="0.2">
      <c r="A34" s="213"/>
      <c r="B34" s="144" t="s">
        <v>114</v>
      </c>
      <c r="C34" s="201">
        <v>0.19</v>
      </c>
      <c r="D34" s="145">
        <v>0.17</v>
      </c>
      <c r="E34" s="145">
        <v>0.06</v>
      </c>
      <c r="F34" s="145">
        <f>+C34-E34</f>
        <v>0.13</v>
      </c>
      <c r="G34" s="145">
        <f>+C34+E34</f>
        <v>0.25</v>
      </c>
      <c r="H34" s="146" t="s">
        <v>144</v>
      </c>
      <c r="I34" s="224"/>
    </row>
    <row r="35" spans="1:9" ht="30" x14ac:dyDescent="0.2">
      <c r="A35" s="213"/>
      <c r="B35" s="144" t="s">
        <v>139</v>
      </c>
      <c r="C35" s="145">
        <v>0.15</v>
      </c>
      <c r="D35" s="145">
        <v>0.17</v>
      </c>
      <c r="E35" s="145">
        <v>0.05</v>
      </c>
      <c r="F35" s="145">
        <f t="shared" ref="F35:F38" si="2">+C35-E35</f>
        <v>9.9999999999999992E-2</v>
      </c>
      <c r="G35" s="145">
        <f t="shared" ref="G35:G38" si="3">+C35+E35</f>
        <v>0.2</v>
      </c>
      <c r="H35" s="146" t="s">
        <v>4</v>
      </c>
      <c r="I35" s="224"/>
    </row>
    <row r="36" spans="1:9" ht="60" x14ac:dyDescent="0.2">
      <c r="A36" s="213"/>
      <c r="B36" s="144" t="s">
        <v>116</v>
      </c>
      <c r="C36" s="145">
        <v>0.53</v>
      </c>
      <c r="D36" s="145">
        <v>0.56000000000000005</v>
      </c>
      <c r="E36" s="145">
        <v>0.06</v>
      </c>
      <c r="F36" s="145">
        <f t="shared" si="2"/>
        <v>0.47000000000000003</v>
      </c>
      <c r="G36" s="145">
        <f t="shared" si="3"/>
        <v>0.59000000000000008</v>
      </c>
      <c r="H36" s="147" t="s">
        <v>92</v>
      </c>
      <c r="I36" s="224"/>
    </row>
    <row r="37" spans="1:9" ht="30" x14ac:dyDescent="0.2">
      <c r="A37" s="213"/>
      <c r="B37" s="144" t="s">
        <v>141</v>
      </c>
      <c r="C37" s="145">
        <v>0.08</v>
      </c>
      <c r="D37" s="145">
        <v>0.06</v>
      </c>
      <c r="E37" s="145">
        <v>0.05</v>
      </c>
      <c r="F37" s="145">
        <f t="shared" si="2"/>
        <v>0.03</v>
      </c>
      <c r="G37" s="145">
        <f t="shared" si="3"/>
        <v>0.13</v>
      </c>
      <c r="H37" s="148"/>
      <c r="I37" s="224"/>
    </row>
    <row r="38" spans="1:9" ht="15" x14ac:dyDescent="0.2">
      <c r="A38" s="213"/>
      <c r="B38" s="144" t="s">
        <v>47</v>
      </c>
      <c r="C38" s="145">
        <v>0.05</v>
      </c>
      <c r="D38" s="145">
        <v>0.04</v>
      </c>
      <c r="E38" s="145"/>
      <c r="F38" s="145">
        <f t="shared" si="2"/>
        <v>0.05</v>
      </c>
      <c r="G38" s="145">
        <f t="shared" si="3"/>
        <v>0.05</v>
      </c>
      <c r="H38" s="148"/>
      <c r="I38" s="224"/>
    </row>
    <row r="39" spans="1:9" ht="15" x14ac:dyDescent="0.2">
      <c r="A39" s="213"/>
      <c r="B39" s="144" t="s">
        <v>8</v>
      </c>
      <c r="C39" s="145">
        <f>SUM(C34:C38)</f>
        <v>1</v>
      </c>
      <c r="D39" s="145">
        <f>SUM(D34:D38)</f>
        <v>1.0000000000000002</v>
      </c>
      <c r="E39" s="145"/>
      <c r="F39" s="145"/>
      <c r="G39" s="145"/>
      <c r="H39" s="148"/>
      <c r="I39" s="224"/>
    </row>
    <row r="40" spans="1:9" ht="15.75" thickBot="1" x14ac:dyDescent="0.25">
      <c r="A40" s="213"/>
      <c r="B40" s="149" t="s">
        <v>9</v>
      </c>
      <c r="C40" s="145">
        <v>0.16</v>
      </c>
      <c r="D40" s="145">
        <v>0.16</v>
      </c>
      <c r="E40" s="145">
        <v>0.06</v>
      </c>
      <c r="F40" s="145">
        <f>IF(C40-E40&gt;0,C40-E40,0)</f>
        <v>0.1</v>
      </c>
      <c r="G40" s="145">
        <f>C40+E40</f>
        <v>0.22</v>
      </c>
      <c r="H40" s="151"/>
      <c r="I40" s="224"/>
    </row>
    <row r="41" spans="1:9" ht="15" x14ac:dyDescent="0.2">
      <c r="A41" s="213"/>
      <c r="B41" s="160" t="s">
        <v>160</v>
      </c>
      <c r="C41" s="227">
        <v>2.5000000000000001E-3</v>
      </c>
      <c r="D41" s="227"/>
      <c r="E41" s="227"/>
      <c r="F41" s="227"/>
      <c r="G41" s="227"/>
      <c r="H41" s="227"/>
      <c r="I41" s="224"/>
    </row>
    <row r="42" spans="1:9" x14ac:dyDescent="0.2">
      <c r="B42" s="213" t="s">
        <v>261</v>
      </c>
      <c r="C42" s="213"/>
      <c r="D42" s="213"/>
      <c r="E42" s="213"/>
      <c r="F42" s="213"/>
      <c r="G42" s="213"/>
      <c r="H42" s="213"/>
    </row>
    <row r="43" spans="1:9" x14ac:dyDescent="0.2">
      <c r="B43" s="213" t="s">
        <v>259</v>
      </c>
      <c r="C43" s="213"/>
      <c r="D43" s="213"/>
      <c r="E43" s="213"/>
      <c r="F43" s="213"/>
      <c r="G43" s="213"/>
      <c r="H43" s="213"/>
    </row>
    <row r="44" spans="1:9" ht="18" x14ac:dyDescent="0.2">
      <c r="A44" s="213" t="s">
        <v>260</v>
      </c>
      <c r="B44" s="225" t="s">
        <v>245</v>
      </c>
      <c r="C44" s="226"/>
      <c r="D44" s="226"/>
      <c r="E44" s="226"/>
      <c r="F44" s="226"/>
      <c r="G44" s="226"/>
      <c r="H44" s="226"/>
      <c r="I44" s="213" t="s">
        <v>262</v>
      </c>
    </row>
    <row r="45" spans="1:9" ht="18.75" thickBot="1" x14ac:dyDescent="0.25">
      <c r="A45" s="213"/>
      <c r="B45" s="228" t="s">
        <v>212</v>
      </c>
      <c r="C45" s="229"/>
      <c r="D45" s="229"/>
      <c r="E45" s="229"/>
      <c r="F45" s="229"/>
      <c r="G45" s="229"/>
      <c r="H45" s="229"/>
      <c r="I45" s="213"/>
    </row>
    <row r="46" spans="1:9" ht="30" x14ac:dyDescent="0.2">
      <c r="A46" s="213"/>
      <c r="B46" s="140" t="s">
        <v>0</v>
      </c>
      <c r="C46" s="36" t="s">
        <v>251</v>
      </c>
      <c r="D46" s="186" t="s">
        <v>252</v>
      </c>
      <c r="E46" s="141" t="s">
        <v>136</v>
      </c>
      <c r="F46" s="230" t="s">
        <v>40</v>
      </c>
      <c r="G46" s="231"/>
      <c r="H46" s="143" t="s">
        <v>138</v>
      </c>
      <c r="I46" s="213"/>
    </row>
    <row r="47" spans="1:9" ht="30" x14ac:dyDescent="0.2">
      <c r="A47" s="213"/>
      <c r="B47" s="144" t="s">
        <v>114</v>
      </c>
      <c r="C47" s="145">
        <v>0.01</v>
      </c>
      <c r="D47" s="145">
        <v>0.01</v>
      </c>
      <c r="E47" s="145">
        <v>0.06</v>
      </c>
      <c r="F47" s="145">
        <v>0</v>
      </c>
      <c r="G47" s="145">
        <f>+C47+E47</f>
        <v>6.9999999999999993E-2</v>
      </c>
      <c r="H47" s="146" t="s">
        <v>144</v>
      </c>
      <c r="I47" s="213"/>
    </row>
    <row r="48" spans="1:9" ht="30" x14ac:dyDescent="0.2">
      <c r="A48" s="213"/>
      <c r="B48" s="144" t="s">
        <v>139</v>
      </c>
      <c r="C48" s="145">
        <v>0.35</v>
      </c>
      <c r="D48" s="145">
        <v>0.35</v>
      </c>
      <c r="E48" s="145">
        <v>0.05</v>
      </c>
      <c r="F48" s="145">
        <f t="shared" ref="F48:F51" si="4">+C48-E48</f>
        <v>0.3</v>
      </c>
      <c r="G48" s="145">
        <f t="shared" ref="G48:G51" si="5">+C48+E48</f>
        <v>0.39999999999999997</v>
      </c>
      <c r="H48" s="146" t="s">
        <v>4</v>
      </c>
      <c r="I48" s="213"/>
    </row>
    <row r="49" spans="1:9" ht="60" x14ac:dyDescent="0.2">
      <c r="A49" s="213"/>
      <c r="B49" s="144" t="s">
        <v>116</v>
      </c>
      <c r="C49" s="145">
        <v>0.55000000000000004</v>
      </c>
      <c r="D49" s="145">
        <v>0.55000000000000004</v>
      </c>
      <c r="E49" s="145">
        <v>0.06</v>
      </c>
      <c r="F49" s="145">
        <f t="shared" si="4"/>
        <v>0.49000000000000005</v>
      </c>
      <c r="G49" s="145">
        <f t="shared" si="5"/>
        <v>0.6100000000000001</v>
      </c>
      <c r="H49" s="147" t="s">
        <v>92</v>
      </c>
      <c r="I49" s="213"/>
    </row>
    <row r="50" spans="1:9" ht="30" x14ac:dyDescent="0.2">
      <c r="A50" s="213"/>
      <c r="B50" s="144" t="s">
        <v>141</v>
      </c>
      <c r="C50" s="145">
        <v>0.04</v>
      </c>
      <c r="D50" s="145">
        <v>0.03</v>
      </c>
      <c r="E50" s="145">
        <v>0.05</v>
      </c>
      <c r="F50" s="145">
        <v>0</v>
      </c>
      <c r="G50" s="145">
        <f t="shared" si="5"/>
        <v>0.09</v>
      </c>
      <c r="H50" s="148"/>
      <c r="I50" s="213"/>
    </row>
    <row r="51" spans="1:9" ht="15" x14ac:dyDescent="0.2">
      <c r="A51" s="213"/>
      <c r="B51" s="144" t="s">
        <v>47</v>
      </c>
      <c r="C51" s="145">
        <v>0.05</v>
      </c>
      <c r="D51" s="145">
        <v>0.06</v>
      </c>
      <c r="E51" s="145"/>
      <c r="F51" s="145">
        <f t="shared" si="4"/>
        <v>0.05</v>
      </c>
      <c r="G51" s="145">
        <f t="shared" si="5"/>
        <v>0.05</v>
      </c>
      <c r="H51" s="148"/>
      <c r="I51" s="213"/>
    </row>
    <row r="52" spans="1:9" ht="15" x14ac:dyDescent="0.2">
      <c r="A52" s="213"/>
      <c r="B52" s="144" t="s">
        <v>8</v>
      </c>
      <c r="C52" s="145">
        <f>SUM(C47:C51)</f>
        <v>1</v>
      </c>
      <c r="D52" s="145">
        <f>SUM(D47:D51)</f>
        <v>1</v>
      </c>
      <c r="E52" s="145"/>
      <c r="F52" s="145"/>
      <c r="G52" s="145"/>
      <c r="H52" s="148"/>
      <c r="I52" s="213"/>
    </row>
    <row r="53" spans="1:9" ht="15.75" thickBot="1" x14ac:dyDescent="0.25">
      <c r="A53" s="213"/>
      <c r="B53" s="149" t="s">
        <v>9</v>
      </c>
      <c r="C53" s="150">
        <v>0.13</v>
      </c>
      <c r="D53" s="150">
        <v>0.13</v>
      </c>
      <c r="E53" s="150">
        <v>0.06</v>
      </c>
      <c r="F53" s="150">
        <f>IF(C53-E53&gt;0,C53-E53,0)</f>
        <v>7.0000000000000007E-2</v>
      </c>
      <c r="G53" s="150">
        <f>C53+E53</f>
        <v>0.19</v>
      </c>
      <c r="H53" s="151"/>
      <c r="I53" s="213"/>
    </row>
    <row r="54" spans="1:9" ht="15" x14ac:dyDescent="0.2">
      <c r="A54" s="213"/>
      <c r="B54" s="160" t="s">
        <v>160</v>
      </c>
      <c r="C54" s="227">
        <v>5.0000000000000001E-4</v>
      </c>
      <c r="D54" s="227"/>
      <c r="E54" s="227"/>
      <c r="F54" s="227"/>
      <c r="G54" s="227"/>
      <c r="H54" s="227"/>
      <c r="I54" s="213"/>
    </row>
    <row r="55" spans="1:9" x14ac:dyDescent="0.2">
      <c r="B55" s="213" t="s">
        <v>261</v>
      </c>
      <c r="C55" s="213"/>
      <c r="D55" s="213"/>
      <c r="E55" s="213"/>
      <c r="F55" s="213"/>
      <c r="G55" s="213"/>
      <c r="H55" s="213"/>
    </row>
    <row r="56" spans="1:9" x14ac:dyDescent="0.2">
      <c r="B56" s="213" t="s">
        <v>259</v>
      </c>
      <c r="C56" s="213"/>
      <c r="D56" s="213"/>
      <c r="E56" s="213"/>
      <c r="F56" s="213"/>
      <c r="G56" s="213"/>
      <c r="H56" s="213"/>
    </row>
    <row r="57" spans="1:9" ht="18" x14ac:dyDescent="0.2">
      <c r="A57" s="213" t="s">
        <v>260</v>
      </c>
      <c r="B57" s="225" t="s">
        <v>231</v>
      </c>
      <c r="C57" s="226"/>
      <c r="D57" s="226"/>
      <c r="E57" s="226"/>
      <c r="F57" s="226"/>
      <c r="G57" s="226"/>
      <c r="H57" s="226"/>
      <c r="I57" s="213" t="s">
        <v>262</v>
      </c>
    </row>
    <row r="58" spans="1:9" ht="18.75" thickBot="1" x14ac:dyDescent="0.25">
      <c r="A58" s="213"/>
      <c r="B58" s="228" t="s">
        <v>197</v>
      </c>
      <c r="C58" s="229"/>
      <c r="D58" s="229"/>
      <c r="E58" s="229"/>
      <c r="F58" s="229"/>
      <c r="G58" s="229"/>
      <c r="H58" s="229"/>
      <c r="I58" s="213"/>
    </row>
    <row r="59" spans="1:9" ht="30" x14ac:dyDescent="0.2">
      <c r="A59" s="213"/>
      <c r="B59" s="140" t="s">
        <v>0</v>
      </c>
      <c r="C59" s="36" t="s">
        <v>251</v>
      </c>
      <c r="D59" s="186" t="s">
        <v>252</v>
      </c>
      <c r="E59" s="141" t="s">
        <v>136</v>
      </c>
      <c r="F59" s="230" t="s">
        <v>40</v>
      </c>
      <c r="G59" s="231"/>
      <c r="H59" s="143" t="s">
        <v>138</v>
      </c>
      <c r="I59" s="213"/>
    </row>
    <row r="60" spans="1:9" ht="30" x14ac:dyDescent="0.2">
      <c r="A60" s="213"/>
      <c r="B60" s="144" t="s">
        <v>114</v>
      </c>
      <c r="C60" s="145">
        <v>0.94</v>
      </c>
      <c r="D60" s="145">
        <v>0.94</v>
      </c>
      <c r="E60" s="145">
        <v>0.06</v>
      </c>
      <c r="F60" s="145">
        <f>+C60-E60</f>
        <v>0.87999999999999989</v>
      </c>
      <c r="G60" s="145">
        <f>+C60+E60</f>
        <v>1</v>
      </c>
      <c r="H60" s="146" t="s">
        <v>144</v>
      </c>
      <c r="I60" s="213"/>
    </row>
    <row r="61" spans="1:9" ht="30" x14ac:dyDescent="0.2">
      <c r="A61" s="213"/>
      <c r="B61" s="144" t="s">
        <v>139</v>
      </c>
      <c r="C61" s="145">
        <v>0.03</v>
      </c>
      <c r="D61" s="145">
        <v>0.03</v>
      </c>
      <c r="E61" s="145">
        <v>0.05</v>
      </c>
      <c r="F61" s="145">
        <v>0</v>
      </c>
      <c r="G61" s="145">
        <f t="shared" ref="G61:G63" si="6">+C61+E61</f>
        <v>0.08</v>
      </c>
      <c r="H61" s="146" t="s">
        <v>4</v>
      </c>
      <c r="I61" s="213"/>
    </row>
    <row r="62" spans="1:9" ht="60" x14ac:dyDescent="0.2">
      <c r="A62" s="213"/>
      <c r="B62" s="144" t="s">
        <v>116</v>
      </c>
      <c r="C62" s="145">
        <v>0.01</v>
      </c>
      <c r="D62" s="145">
        <v>0</v>
      </c>
      <c r="E62" s="145">
        <v>0.06</v>
      </c>
      <c r="F62" s="145">
        <v>0</v>
      </c>
      <c r="G62" s="145">
        <f t="shared" si="6"/>
        <v>6.9999999999999993E-2</v>
      </c>
      <c r="H62" s="147" t="s">
        <v>92</v>
      </c>
      <c r="I62" s="213"/>
    </row>
    <row r="63" spans="1:9" ht="30" x14ac:dyDescent="0.2">
      <c r="A63" s="213"/>
      <c r="B63" s="144" t="s">
        <v>141</v>
      </c>
      <c r="C63" s="145">
        <v>0.01</v>
      </c>
      <c r="D63" s="145">
        <v>0</v>
      </c>
      <c r="E63" s="145">
        <v>0.05</v>
      </c>
      <c r="F63" s="145">
        <v>0</v>
      </c>
      <c r="G63" s="145">
        <f t="shared" si="6"/>
        <v>6.0000000000000005E-2</v>
      </c>
      <c r="H63" s="148"/>
      <c r="I63" s="213"/>
    </row>
    <row r="64" spans="1:9" ht="15" x14ac:dyDescent="0.2">
      <c r="A64" s="213"/>
      <c r="B64" s="144" t="s">
        <v>47</v>
      </c>
      <c r="C64" s="145">
        <v>0.01</v>
      </c>
      <c r="D64" s="145">
        <v>0.03</v>
      </c>
      <c r="E64" s="145"/>
      <c r="F64" s="145"/>
      <c r="G64" s="145"/>
      <c r="H64" s="148"/>
      <c r="I64" s="213"/>
    </row>
    <row r="65" spans="1:9" ht="15" x14ac:dyDescent="0.2">
      <c r="A65" s="213"/>
      <c r="B65" s="144" t="s">
        <v>8</v>
      </c>
      <c r="C65" s="145">
        <f>SUM(C60:C64)</f>
        <v>1</v>
      </c>
      <c r="D65" s="145">
        <f>SUM(D60:D64)</f>
        <v>1</v>
      </c>
      <c r="E65" s="145"/>
      <c r="F65" s="145"/>
      <c r="G65" s="145"/>
      <c r="H65" s="148"/>
      <c r="I65" s="213"/>
    </row>
    <row r="66" spans="1:9" ht="15.75" thickBot="1" x14ac:dyDescent="0.25">
      <c r="A66" s="213"/>
      <c r="B66" s="149" t="s">
        <v>9</v>
      </c>
      <c r="C66" s="150">
        <v>0.32</v>
      </c>
      <c r="D66" s="150">
        <v>0.32</v>
      </c>
      <c r="E66" s="150">
        <v>0.05</v>
      </c>
      <c r="F66" s="150">
        <f>IF(C66-E66&gt;0,C66-E66,0)</f>
        <v>0.27</v>
      </c>
      <c r="G66" s="150">
        <f>C66+E66</f>
        <v>0.37</v>
      </c>
      <c r="H66" s="151"/>
      <c r="I66" s="213"/>
    </row>
    <row r="67" spans="1:9" ht="15" x14ac:dyDescent="0.2">
      <c r="A67" s="213"/>
      <c r="B67" s="160" t="s">
        <v>160</v>
      </c>
      <c r="C67" s="227">
        <v>2E-3</v>
      </c>
      <c r="D67" s="227"/>
      <c r="E67" s="227"/>
      <c r="F67" s="227"/>
      <c r="G67" s="227"/>
      <c r="H67" s="227"/>
      <c r="I67" s="213"/>
    </row>
    <row r="68" spans="1:9" x14ac:dyDescent="0.2">
      <c r="B68" s="213" t="s">
        <v>261</v>
      </c>
      <c r="C68" s="213"/>
      <c r="D68" s="213"/>
      <c r="E68" s="213"/>
      <c r="F68" s="213"/>
      <c r="G68" s="213"/>
      <c r="H68" s="213"/>
    </row>
    <row r="70" spans="1:9" x14ac:dyDescent="0.2">
      <c r="B70" s="34" t="s">
        <v>46</v>
      </c>
    </row>
    <row r="71" spans="1:9" x14ac:dyDescent="0.2">
      <c r="B71" s="34" t="s">
        <v>89</v>
      </c>
    </row>
    <row r="72" spans="1:9" x14ac:dyDescent="0.2">
      <c r="A72" s="213" t="s">
        <v>263</v>
      </c>
      <c r="B72" s="213"/>
      <c r="C72" s="213"/>
      <c r="D72" s="213"/>
      <c r="E72" s="213"/>
      <c r="F72" s="213"/>
      <c r="G72" s="213"/>
    </row>
  </sheetData>
  <mergeCells count="42">
    <mergeCell ref="B45:H45"/>
    <mergeCell ref="F46:G46"/>
    <mergeCell ref="C54:H54"/>
    <mergeCell ref="B57:H57"/>
    <mergeCell ref="B55:H55"/>
    <mergeCell ref="B56:H56"/>
    <mergeCell ref="B1:H1"/>
    <mergeCell ref="B31:H31"/>
    <mergeCell ref="F33:G33"/>
    <mergeCell ref="B3:H3"/>
    <mergeCell ref="B4:H4"/>
    <mergeCell ref="F5:G5"/>
    <mergeCell ref="C16:H16"/>
    <mergeCell ref="B19:H20"/>
    <mergeCell ref="B21:H21"/>
    <mergeCell ref="F22:G22"/>
    <mergeCell ref="C28:H28"/>
    <mergeCell ref="B2:H2"/>
    <mergeCell ref="B29:H29"/>
    <mergeCell ref="B30:H30"/>
    <mergeCell ref="A3:A16"/>
    <mergeCell ref="B17:H17"/>
    <mergeCell ref="I3:I16"/>
    <mergeCell ref="B18:H18"/>
    <mergeCell ref="A19:A28"/>
    <mergeCell ref="I19:I28"/>
    <mergeCell ref="A57:A67"/>
    <mergeCell ref="B68:H68"/>
    <mergeCell ref="I57:I67"/>
    <mergeCell ref="A72:G72"/>
    <mergeCell ref="A31:A41"/>
    <mergeCell ref="B42:H42"/>
    <mergeCell ref="I31:I41"/>
    <mergeCell ref="B43:H43"/>
    <mergeCell ref="A44:A54"/>
    <mergeCell ref="I44:I54"/>
    <mergeCell ref="B32:H32"/>
    <mergeCell ref="C41:H41"/>
    <mergeCell ref="B58:H58"/>
    <mergeCell ref="F59:G59"/>
    <mergeCell ref="C67:H67"/>
    <mergeCell ref="B44:H44"/>
  </mergeCells>
  <pageMargins left="0.70866141732283472" right="0.70866141732283472" top="0.74803149606299213" bottom="0.74803149606299213" header="0.31496062992125984" footer="0.31496062992125984"/>
  <pageSetup paperSize="9" scale="7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I40"/>
  <sheetViews>
    <sheetView showGridLines="0" rightToLeft="1" topLeftCell="A30" zoomScale="85" zoomScaleNormal="85" zoomScaleSheetLayoutView="100" workbookViewId="0">
      <selection activeCell="B51" sqref="B51"/>
    </sheetView>
  </sheetViews>
  <sheetFormatPr defaultRowHeight="14.25" x14ac:dyDescent="0.2"/>
  <cols>
    <col min="2" max="2" width="36.25" customWidth="1"/>
    <col min="3" max="4" width="12.125" customWidth="1"/>
    <col min="5" max="5" width="9.25" customWidth="1"/>
    <col min="6" max="6" width="22.75" bestFit="1" customWidth="1"/>
    <col min="8" max="8" width="33.375" customWidth="1"/>
    <col min="248" max="248" width="36.25" customWidth="1"/>
    <col min="249" max="250" width="12.125" customWidth="1"/>
    <col min="251" max="251" width="9.25" customWidth="1"/>
    <col min="252" max="252" width="11.5" customWidth="1"/>
    <col min="253" max="253" width="12.5" customWidth="1"/>
    <col min="254" max="254" width="44.125" customWidth="1"/>
    <col min="504" max="504" width="36.25" customWidth="1"/>
    <col min="505" max="506" width="12.125" customWidth="1"/>
    <col min="507" max="507" width="9.25" customWidth="1"/>
    <col min="508" max="508" width="11.5" customWidth="1"/>
    <col min="509" max="509" width="12.5" customWidth="1"/>
    <col min="510" max="510" width="44.125" customWidth="1"/>
    <col min="760" max="760" width="36.25" customWidth="1"/>
    <col min="761" max="762" width="12.125" customWidth="1"/>
    <col min="763" max="763" width="9.25" customWidth="1"/>
    <col min="764" max="764" width="11.5" customWidth="1"/>
    <col min="765" max="765" width="12.5" customWidth="1"/>
    <col min="766" max="766" width="44.125" customWidth="1"/>
    <col min="1016" max="1016" width="36.25" customWidth="1"/>
    <col min="1017" max="1018" width="12.125" customWidth="1"/>
    <col min="1019" max="1019" width="9.25" customWidth="1"/>
    <col min="1020" max="1020" width="11.5" customWidth="1"/>
    <col min="1021" max="1021" width="12.5" customWidth="1"/>
    <col min="1022" max="1022" width="44.125" customWidth="1"/>
    <col min="1272" max="1272" width="36.25" customWidth="1"/>
    <col min="1273" max="1274" width="12.125" customWidth="1"/>
    <col min="1275" max="1275" width="9.25" customWidth="1"/>
    <col min="1276" max="1276" width="11.5" customWidth="1"/>
    <col min="1277" max="1277" width="12.5" customWidth="1"/>
    <col min="1278" max="1278" width="44.125" customWidth="1"/>
    <col min="1528" max="1528" width="36.25" customWidth="1"/>
    <col min="1529" max="1530" width="12.125" customWidth="1"/>
    <col min="1531" max="1531" width="9.25" customWidth="1"/>
    <col min="1532" max="1532" width="11.5" customWidth="1"/>
    <col min="1533" max="1533" width="12.5" customWidth="1"/>
    <col min="1534" max="1534" width="44.125" customWidth="1"/>
    <col min="1784" max="1784" width="36.25" customWidth="1"/>
    <col min="1785" max="1786" width="12.125" customWidth="1"/>
    <col min="1787" max="1787" width="9.25" customWidth="1"/>
    <col min="1788" max="1788" width="11.5" customWidth="1"/>
    <col min="1789" max="1789" width="12.5" customWidth="1"/>
    <col min="1790" max="1790" width="44.125" customWidth="1"/>
    <col min="2040" max="2040" width="36.25" customWidth="1"/>
    <col min="2041" max="2042" width="12.125" customWidth="1"/>
    <col min="2043" max="2043" width="9.25" customWidth="1"/>
    <col min="2044" max="2044" width="11.5" customWidth="1"/>
    <col min="2045" max="2045" width="12.5" customWidth="1"/>
    <col min="2046" max="2046" width="44.125" customWidth="1"/>
    <col min="2296" max="2296" width="36.25" customWidth="1"/>
    <col min="2297" max="2298" width="12.125" customWidth="1"/>
    <col min="2299" max="2299" width="9.25" customWidth="1"/>
    <col min="2300" max="2300" width="11.5" customWidth="1"/>
    <col min="2301" max="2301" width="12.5" customWidth="1"/>
    <col min="2302" max="2302" width="44.125" customWidth="1"/>
    <col min="2552" max="2552" width="36.25" customWidth="1"/>
    <col min="2553" max="2554" width="12.125" customWidth="1"/>
    <col min="2555" max="2555" width="9.25" customWidth="1"/>
    <col min="2556" max="2556" width="11.5" customWidth="1"/>
    <col min="2557" max="2557" width="12.5" customWidth="1"/>
    <col min="2558" max="2558" width="44.125" customWidth="1"/>
    <col min="2808" max="2808" width="36.25" customWidth="1"/>
    <col min="2809" max="2810" width="12.125" customWidth="1"/>
    <col min="2811" max="2811" width="9.25" customWidth="1"/>
    <col min="2812" max="2812" width="11.5" customWidth="1"/>
    <col min="2813" max="2813" width="12.5" customWidth="1"/>
    <col min="2814" max="2814" width="44.125" customWidth="1"/>
    <col min="3064" max="3064" width="36.25" customWidth="1"/>
    <col min="3065" max="3066" width="12.125" customWidth="1"/>
    <col min="3067" max="3067" width="9.25" customWidth="1"/>
    <col min="3068" max="3068" width="11.5" customWidth="1"/>
    <col min="3069" max="3069" width="12.5" customWidth="1"/>
    <col min="3070" max="3070" width="44.125" customWidth="1"/>
    <col min="3320" max="3320" width="36.25" customWidth="1"/>
    <col min="3321" max="3322" width="12.125" customWidth="1"/>
    <col min="3323" max="3323" width="9.25" customWidth="1"/>
    <col min="3324" max="3324" width="11.5" customWidth="1"/>
    <col min="3325" max="3325" width="12.5" customWidth="1"/>
    <col min="3326" max="3326" width="44.125" customWidth="1"/>
    <col min="3576" max="3576" width="36.25" customWidth="1"/>
    <col min="3577" max="3578" width="12.125" customWidth="1"/>
    <col min="3579" max="3579" width="9.25" customWidth="1"/>
    <col min="3580" max="3580" width="11.5" customWidth="1"/>
    <col min="3581" max="3581" width="12.5" customWidth="1"/>
    <col min="3582" max="3582" width="44.125" customWidth="1"/>
    <col min="3832" max="3832" width="36.25" customWidth="1"/>
    <col min="3833" max="3834" width="12.125" customWidth="1"/>
    <col min="3835" max="3835" width="9.25" customWidth="1"/>
    <col min="3836" max="3836" width="11.5" customWidth="1"/>
    <col min="3837" max="3837" width="12.5" customWidth="1"/>
    <col min="3838" max="3838" width="44.125" customWidth="1"/>
    <col min="4088" max="4088" width="36.25" customWidth="1"/>
    <col min="4089" max="4090" width="12.125" customWidth="1"/>
    <col min="4091" max="4091" width="9.25" customWidth="1"/>
    <col min="4092" max="4092" width="11.5" customWidth="1"/>
    <col min="4093" max="4093" width="12.5" customWidth="1"/>
    <col min="4094" max="4094" width="44.125" customWidth="1"/>
    <col min="4344" max="4344" width="36.25" customWidth="1"/>
    <col min="4345" max="4346" width="12.125" customWidth="1"/>
    <col min="4347" max="4347" width="9.25" customWidth="1"/>
    <col min="4348" max="4348" width="11.5" customWidth="1"/>
    <col min="4349" max="4349" width="12.5" customWidth="1"/>
    <col min="4350" max="4350" width="44.125" customWidth="1"/>
    <col min="4600" max="4600" width="36.25" customWidth="1"/>
    <col min="4601" max="4602" width="12.125" customWidth="1"/>
    <col min="4603" max="4603" width="9.25" customWidth="1"/>
    <col min="4604" max="4604" width="11.5" customWidth="1"/>
    <col min="4605" max="4605" width="12.5" customWidth="1"/>
    <col min="4606" max="4606" width="44.125" customWidth="1"/>
    <col min="4856" max="4856" width="36.25" customWidth="1"/>
    <col min="4857" max="4858" width="12.125" customWidth="1"/>
    <col min="4859" max="4859" width="9.25" customWidth="1"/>
    <col min="4860" max="4860" width="11.5" customWidth="1"/>
    <col min="4861" max="4861" width="12.5" customWidth="1"/>
    <col min="4862" max="4862" width="44.125" customWidth="1"/>
    <col min="5112" max="5112" width="36.25" customWidth="1"/>
    <col min="5113" max="5114" width="12.125" customWidth="1"/>
    <col min="5115" max="5115" width="9.25" customWidth="1"/>
    <col min="5116" max="5116" width="11.5" customWidth="1"/>
    <col min="5117" max="5117" width="12.5" customWidth="1"/>
    <col min="5118" max="5118" width="44.125" customWidth="1"/>
    <col min="5368" max="5368" width="36.25" customWidth="1"/>
    <col min="5369" max="5370" width="12.125" customWidth="1"/>
    <col min="5371" max="5371" width="9.25" customWidth="1"/>
    <col min="5372" max="5372" width="11.5" customWidth="1"/>
    <col min="5373" max="5373" width="12.5" customWidth="1"/>
    <col min="5374" max="5374" width="44.125" customWidth="1"/>
    <col min="5624" max="5624" width="36.25" customWidth="1"/>
    <col min="5625" max="5626" width="12.125" customWidth="1"/>
    <col min="5627" max="5627" width="9.25" customWidth="1"/>
    <col min="5628" max="5628" width="11.5" customWidth="1"/>
    <col min="5629" max="5629" width="12.5" customWidth="1"/>
    <col min="5630" max="5630" width="44.125" customWidth="1"/>
    <col min="5880" max="5880" width="36.25" customWidth="1"/>
    <col min="5881" max="5882" width="12.125" customWidth="1"/>
    <col min="5883" max="5883" width="9.25" customWidth="1"/>
    <col min="5884" max="5884" width="11.5" customWidth="1"/>
    <col min="5885" max="5885" width="12.5" customWidth="1"/>
    <col min="5886" max="5886" width="44.125" customWidth="1"/>
    <col min="6136" max="6136" width="36.25" customWidth="1"/>
    <col min="6137" max="6138" width="12.125" customWidth="1"/>
    <col min="6139" max="6139" width="9.25" customWidth="1"/>
    <col min="6140" max="6140" width="11.5" customWidth="1"/>
    <col min="6141" max="6141" width="12.5" customWidth="1"/>
    <col min="6142" max="6142" width="44.125" customWidth="1"/>
    <col min="6392" max="6392" width="36.25" customWidth="1"/>
    <col min="6393" max="6394" width="12.125" customWidth="1"/>
    <col min="6395" max="6395" width="9.25" customWidth="1"/>
    <col min="6396" max="6396" width="11.5" customWidth="1"/>
    <col min="6397" max="6397" width="12.5" customWidth="1"/>
    <col min="6398" max="6398" width="44.125" customWidth="1"/>
    <col min="6648" max="6648" width="36.25" customWidth="1"/>
    <col min="6649" max="6650" width="12.125" customWidth="1"/>
    <col min="6651" max="6651" width="9.25" customWidth="1"/>
    <col min="6652" max="6652" width="11.5" customWidth="1"/>
    <col min="6653" max="6653" width="12.5" customWidth="1"/>
    <col min="6654" max="6654" width="44.125" customWidth="1"/>
    <col min="6904" max="6904" width="36.25" customWidth="1"/>
    <col min="6905" max="6906" width="12.125" customWidth="1"/>
    <col min="6907" max="6907" width="9.25" customWidth="1"/>
    <col min="6908" max="6908" width="11.5" customWidth="1"/>
    <col min="6909" max="6909" width="12.5" customWidth="1"/>
    <col min="6910" max="6910" width="44.125" customWidth="1"/>
    <col min="7160" max="7160" width="36.25" customWidth="1"/>
    <col min="7161" max="7162" width="12.125" customWidth="1"/>
    <col min="7163" max="7163" width="9.25" customWidth="1"/>
    <col min="7164" max="7164" width="11.5" customWidth="1"/>
    <col min="7165" max="7165" width="12.5" customWidth="1"/>
    <col min="7166" max="7166" width="44.125" customWidth="1"/>
    <col min="7416" max="7416" width="36.25" customWidth="1"/>
    <col min="7417" max="7418" width="12.125" customWidth="1"/>
    <col min="7419" max="7419" width="9.25" customWidth="1"/>
    <col min="7420" max="7420" width="11.5" customWidth="1"/>
    <col min="7421" max="7421" width="12.5" customWidth="1"/>
    <col min="7422" max="7422" width="44.125" customWidth="1"/>
    <col min="7672" max="7672" width="36.25" customWidth="1"/>
    <col min="7673" max="7674" width="12.125" customWidth="1"/>
    <col min="7675" max="7675" width="9.25" customWidth="1"/>
    <col min="7676" max="7676" width="11.5" customWidth="1"/>
    <col min="7677" max="7677" width="12.5" customWidth="1"/>
    <col min="7678" max="7678" width="44.125" customWidth="1"/>
    <col min="7928" max="7928" width="36.25" customWidth="1"/>
    <col min="7929" max="7930" width="12.125" customWidth="1"/>
    <col min="7931" max="7931" width="9.25" customWidth="1"/>
    <col min="7932" max="7932" width="11.5" customWidth="1"/>
    <col min="7933" max="7933" width="12.5" customWidth="1"/>
    <col min="7934" max="7934" width="44.125" customWidth="1"/>
    <col min="8184" max="8184" width="36.25" customWidth="1"/>
    <col min="8185" max="8186" width="12.125" customWidth="1"/>
    <col min="8187" max="8187" width="9.25" customWidth="1"/>
    <col min="8188" max="8188" width="11.5" customWidth="1"/>
    <col min="8189" max="8189" width="12.5" customWidth="1"/>
    <col min="8190" max="8190" width="44.125" customWidth="1"/>
    <col min="8440" max="8440" width="36.25" customWidth="1"/>
    <col min="8441" max="8442" width="12.125" customWidth="1"/>
    <col min="8443" max="8443" width="9.25" customWidth="1"/>
    <col min="8444" max="8444" width="11.5" customWidth="1"/>
    <col min="8445" max="8445" width="12.5" customWidth="1"/>
    <col min="8446" max="8446" width="44.125" customWidth="1"/>
    <col min="8696" max="8696" width="36.25" customWidth="1"/>
    <col min="8697" max="8698" width="12.125" customWidth="1"/>
    <col min="8699" max="8699" width="9.25" customWidth="1"/>
    <col min="8700" max="8700" width="11.5" customWidth="1"/>
    <col min="8701" max="8701" width="12.5" customWidth="1"/>
    <col min="8702" max="8702" width="44.125" customWidth="1"/>
    <col min="8952" max="8952" width="36.25" customWidth="1"/>
    <col min="8953" max="8954" width="12.125" customWidth="1"/>
    <col min="8955" max="8955" width="9.25" customWidth="1"/>
    <col min="8956" max="8956" width="11.5" customWidth="1"/>
    <col min="8957" max="8957" width="12.5" customWidth="1"/>
    <col min="8958" max="8958" width="44.125" customWidth="1"/>
    <col min="9208" max="9208" width="36.25" customWidth="1"/>
    <col min="9209" max="9210" width="12.125" customWidth="1"/>
    <col min="9211" max="9211" width="9.25" customWidth="1"/>
    <col min="9212" max="9212" width="11.5" customWidth="1"/>
    <col min="9213" max="9213" width="12.5" customWidth="1"/>
    <col min="9214" max="9214" width="44.125" customWidth="1"/>
    <col min="9464" max="9464" width="36.25" customWidth="1"/>
    <col min="9465" max="9466" width="12.125" customWidth="1"/>
    <col min="9467" max="9467" width="9.25" customWidth="1"/>
    <col min="9468" max="9468" width="11.5" customWidth="1"/>
    <col min="9469" max="9469" width="12.5" customWidth="1"/>
    <col min="9470" max="9470" width="44.125" customWidth="1"/>
    <col min="9720" max="9720" width="36.25" customWidth="1"/>
    <col min="9721" max="9722" width="12.125" customWidth="1"/>
    <col min="9723" max="9723" width="9.25" customWidth="1"/>
    <col min="9724" max="9724" width="11.5" customWidth="1"/>
    <col min="9725" max="9725" width="12.5" customWidth="1"/>
    <col min="9726" max="9726" width="44.125" customWidth="1"/>
    <col min="9976" max="9976" width="36.25" customWidth="1"/>
    <col min="9977" max="9978" width="12.125" customWidth="1"/>
    <col min="9979" max="9979" width="9.25" customWidth="1"/>
    <col min="9980" max="9980" width="11.5" customWidth="1"/>
    <col min="9981" max="9981" width="12.5" customWidth="1"/>
    <col min="9982" max="9982" width="44.125" customWidth="1"/>
    <col min="10232" max="10232" width="36.25" customWidth="1"/>
    <col min="10233" max="10234" width="12.125" customWidth="1"/>
    <col min="10235" max="10235" width="9.25" customWidth="1"/>
    <col min="10236" max="10236" width="11.5" customWidth="1"/>
    <col min="10237" max="10237" width="12.5" customWidth="1"/>
    <col min="10238" max="10238" width="44.125" customWidth="1"/>
    <col min="10488" max="10488" width="36.25" customWidth="1"/>
    <col min="10489" max="10490" width="12.125" customWidth="1"/>
    <col min="10491" max="10491" width="9.25" customWidth="1"/>
    <col min="10492" max="10492" width="11.5" customWidth="1"/>
    <col min="10493" max="10493" width="12.5" customWidth="1"/>
    <col min="10494" max="10494" width="44.125" customWidth="1"/>
    <col min="10744" max="10744" width="36.25" customWidth="1"/>
    <col min="10745" max="10746" width="12.125" customWidth="1"/>
    <col min="10747" max="10747" width="9.25" customWidth="1"/>
    <col min="10748" max="10748" width="11.5" customWidth="1"/>
    <col min="10749" max="10749" width="12.5" customWidth="1"/>
    <col min="10750" max="10750" width="44.125" customWidth="1"/>
    <col min="11000" max="11000" width="36.25" customWidth="1"/>
    <col min="11001" max="11002" width="12.125" customWidth="1"/>
    <col min="11003" max="11003" width="9.25" customWidth="1"/>
    <col min="11004" max="11004" width="11.5" customWidth="1"/>
    <col min="11005" max="11005" width="12.5" customWidth="1"/>
    <col min="11006" max="11006" width="44.125" customWidth="1"/>
    <col min="11256" max="11256" width="36.25" customWidth="1"/>
    <col min="11257" max="11258" width="12.125" customWidth="1"/>
    <col min="11259" max="11259" width="9.25" customWidth="1"/>
    <col min="11260" max="11260" width="11.5" customWidth="1"/>
    <col min="11261" max="11261" width="12.5" customWidth="1"/>
    <col min="11262" max="11262" width="44.125" customWidth="1"/>
    <col min="11512" max="11512" width="36.25" customWidth="1"/>
    <col min="11513" max="11514" width="12.125" customWidth="1"/>
    <col min="11515" max="11515" width="9.25" customWidth="1"/>
    <col min="11516" max="11516" width="11.5" customWidth="1"/>
    <col min="11517" max="11517" width="12.5" customWidth="1"/>
    <col min="11518" max="11518" width="44.125" customWidth="1"/>
    <col min="11768" max="11768" width="36.25" customWidth="1"/>
    <col min="11769" max="11770" width="12.125" customWidth="1"/>
    <col min="11771" max="11771" width="9.25" customWidth="1"/>
    <col min="11772" max="11772" width="11.5" customWidth="1"/>
    <col min="11773" max="11773" width="12.5" customWidth="1"/>
    <col min="11774" max="11774" width="44.125" customWidth="1"/>
    <col min="12024" max="12024" width="36.25" customWidth="1"/>
    <col min="12025" max="12026" width="12.125" customWidth="1"/>
    <col min="12027" max="12027" width="9.25" customWidth="1"/>
    <col min="12028" max="12028" width="11.5" customWidth="1"/>
    <col min="12029" max="12029" width="12.5" customWidth="1"/>
    <col min="12030" max="12030" width="44.125" customWidth="1"/>
    <col min="12280" max="12280" width="36.25" customWidth="1"/>
    <col min="12281" max="12282" width="12.125" customWidth="1"/>
    <col min="12283" max="12283" width="9.25" customWidth="1"/>
    <col min="12284" max="12284" width="11.5" customWidth="1"/>
    <col min="12285" max="12285" width="12.5" customWidth="1"/>
    <col min="12286" max="12286" width="44.125" customWidth="1"/>
    <col min="12536" max="12536" width="36.25" customWidth="1"/>
    <col min="12537" max="12538" width="12.125" customWidth="1"/>
    <col min="12539" max="12539" width="9.25" customWidth="1"/>
    <col min="12540" max="12540" width="11.5" customWidth="1"/>
    <col min="12541" max="12541" width="12.5" customWidth="1"/>
    <col min="12542" max="12542" width="44.125" customWidth="1"/>
    <col min="12792" max="12792" width="36.25" customWidth="1"/>
    <col min="12793" max="12794" width="12.125" customWidth="1"/>
    <col min="12795" max="12795" width="9.25" customWidth="1"/>
    <col min="12796" max="12796" width="11.5" customWidth="1"/>
    <col min="12797" max="12797" width="12.5" customWidth="1"/>
    <col min="12798" max="12798" width="44.125" customWidth="1"/>
    <col min="13048" max="13048" width="36.25" customWidth="1"/>
    <col min="13049" max="13050" width="12.125" customWidth="1"/>
    <col min="13051" max="13051" width="9.25" customWidth="1"/>
    <col min="13052" max="13052" width="11.5" customWidth="1"/>
    <col min="13053" max="13053" width="12.5" customWidth="1"/>
    <col min="13054" max="13054" width="44.125" customWidth="1"/>
    <col min="13304" max="13304" width="36.25" customWidth="1"/>
    <col min="13305" max="13306" width="12.125" customWidth="1"/>
    <col min="13307" max="13307" width="9.25" customWidth="1"/>
    <col min="13308" max="13308" width="11.5" customWidth="1"/>
    <col min="13309" max="13309" width="12.5" customWidth="1"/>
    <col min="13310" max="13310" width="44.125" customWidth="1"/>
    <col min="13560" max="13560" width="36.25" customWidth="1"/>
    <col min="13561" max="13562" width="12.125" customWidth="1"/>
    <col min="13563" max="13563" width="9.25" customWidth="1"/>
    <col min="13564" max="13564" width="11.5" customWidth="1"/>
    <col min="13565" max="13565" width="12.5" customWidth="1"/>
    <col min="13566" max="13566" width="44.125" customWidth="1"/>
    <col min="13816" max="13816" width="36.25" customWidth="1"/>
    <col min="13817" max="13818" width="12.125" customWidth="1"/>
    <col min="13819" max="13819" width="9.25" customWidth="1"/>
    <col min="13820" max="13820" width="11.5" customWidth="1"/>
    <col min="13821" max="13821" width="12.5" customWidth="1"/>
    <col min="13822" max="13822" width="44.125" customWidth="1"/>
    <col min="14072" max="14072" width="36.25" customWidth="1"/>
    <col min="14073" max="14074" width="12.125" customWidth="1"/>
    <col min="14075" max="14075" width="9.25" customWidth="1"/>
    <col min="14076" max="14076" width="11.5" customWidth="1"/>
    <col min="14077" max="14077" width="12.5" customWidth="1"/>
    <col min="14078" max="14078" width="44.125" customWidth="1"/>
    <col min="14328" max="14328" width="36.25" customWidth="1"/>
    <col min="14329" max="14330" width="12.125" customWidth="1"/>
    <col min="14331" max="14331" width="9.25" customWidth="1"/>
    <col min="14332" max="14332" width="11.5" customWidth="1"/>
    <col min="14333" max="14333" width="12.5" customWidth="1"/>
    <col min="14334" max="14334" width="44.125" customWidth="1"/>
    <col min="14584" max="14584" width="36.25" customWidth="1"/>
    <col min="14585" max="14586" width="12.125" customWidth="1"/>
    <col min="14587" max="14587" width="9.25" customWidth="1"/>
    <col min="14588" max="14588" width="11.5" customWidth="1"/>
    <col min="14589" max="14589" width="12.5" customWidth="1"/>
    <col min="14590" max="14590" width="44.125" customWidth="1"/>
    <col min="14840" max="14840" width="36.25" customWidth="1"/>
    <col min="14841" max="14842" width="12.125" customWidth="1"/>
    <col min="14843" max="14843" width="9.25" customWidth="1"/>
    <col min="14844" max="14844" width="11.5" customWidth="1"/>
    <col min="14845" max="14845" width="12.5" customWidth="1"/>
    <col min="14846" max="14846" width="44.125" customWidth="1"/>
    <col min="15096" max="15096" width="36.25" customWidth="1"/>
    <col min="15097" max="15098" width="12.125" customWidth="1"/>
    <col min="15099" max="15099" width="9.25" customWidth="1"/>
    <col min="15100" max="15100" width="11.5" customWidth="1"/>
    <col min="15101" max="15101" width="12.5" customWidth="1"/>
    <col min="15102" max="15102" width="44.125" customWidth="1"/>
    <col min="15352" max="15352" width="36.25" customWidth="1"/>
    <col min="15353" max="15354" width="12.125" customWidth="1"/>
    <col min="15355" max="15355" width="9.25" customWidth="1"/>
    <col min="15356" max="15356" width="11.5" customWidth="1"/>
    <col min="15357" max="15357" width="12.5" customWidth="1"/>
    <col min="15358" max="15358" width="44.125" customWidth="1"/>
    <col min="15608" max="15608" width="36.25" customWidth="1"/>
    <col min="15609" max="15610" width="12.125" customWidth="1"/>
    <col min="15611" max="15611" width="9.25" customWidth="1"/>
    <col min="15612" max="15612" width="11.5" customWidth="1"/>
    <col min="15613" max="15613" width="12.5" customWidth="1"/>
    <col min="15614" max="15614" width="44.125" customWidth="1"/>
    <col min="15864" max="15864" width="36.25" customWidth="1"/>
    <col min="15865" max="15866" width="12.125" customWidth="1"/>
    <col min="15867" max="15867" width="9.25" customWidth="1"/>
    <col min="15868" max="15868" width="11.5" customWidth="1"/>
    <col min="15869" max="15869" width="12.5" customWidth="1"/>
    <col min="15870" max="15870" width="44.125" customWidth="1"/>
    <col min="16120" max="16120" width="36.25" customWidth="1"/>
    <col min="16121" max="16122" width="12.125" customWidth="1"/>
    <col min="16123" max="16123" width="9.25" customWidth="1"/>
    <col min="16124" max="16124" width="11.5" customWidth="1"/>
    <col min="16125" max="16125" width="12.5" customWidth="1"/>
    <col min="16126" max="16126" width="44.125" customWidth="1"/>
  </cols>
  <sheetData>
    <row r="1" spans="1:9" ht="27.6" customHeight="1" x14ac:dyDescent="0.2">
      <c r="B1" s="232" t="str">
        <f>'קרן י'!B1:I1</f>
        <v>מדיניות השקעה לשנת 2024</v>
      </c>
      <c r="C1" s="232"/>
      <c r="D1" s="232"/>
      <c r="E1" s="232"/>
      <c r="F1" s="232"/>
      <c r="G1" s="232"/>
      <c r="H1" s="232"/>
    </row>
    <row r="2" spans="1:9" ht="27.6" customHeight="1" x14ac:dyDescent="0.2">
      <c r="B2" s="212" t="s">
        <v>259</v>
      </c>
      <c r="C2" s="212"/>
      <c r="D2" s="212"/>
      <c r="E2" s="212"/>
      <c r="F2" s="212"/>
      <c r="G2" s="212"/>
      <c r="H2" s="212"/>
    </row>
    <row r="3" spans="1:9" ht="18" x14ac:dyDescent="0.2">
      <c r="A3" s="213" t="s">
        <v>260</v>
      </c>
      <c r="B3" s="233" t="s">
        <v>256</v>
      </c>
      <c r="C3" s="234"/>
      <c r="D3" s="234"/>
      <c r="E3" s="234"/>
      <c r="F3" s="234"/>
      <c r="G3" s="234"/>
      <c r="H3" s="234"/>
      <c r="I3" s="224" t="s">
        <v>262</v>
      </c>
    </row>
    <row r="4" spans="1:9" ht="18.75" thickBot="1" x14ac:dyDescent="0.25">
      <c r="A4" s="213"/>
      <c r="B4" s="225" t="s">
        <v>200</v>
      </c>
      <c r="C4" s="226"/>
      <c r="D4" s="226"/>
      <c r="E4" s="226"/>
      <c r="F4" s="226"/>
      <c r="G4" s="226"/>
      <c r="H4" s="226"/>
      <c r="I4" s="224"/>
    </row>
    <row r="5" spans="1:9" ht="49.9" customHeight="1" x14ac:dyDescent="0.2">
      <c r="A5" s="213"/>
      <c r="B5" s="35" t="s">
        <v>0</v>
      </c>
      <c r="C5" s="36" t="s">
        <v>251</v>
      </c>
      <c r="D5" s="186" t="s">
        <v>252</v>
      </c>
      <c r="E5" s="35" t="s">
        <v>72</v>
      </c>
      <c r="F5" s="244" t="s">
        <v>40</v>
      </c>
      <c r="G5" s="245"/>
      <c r="H5" s="35" t="s">
        <v>91</v>
      </c>
      <c r="I5" s="224"/>
    </row>
    <row r="6" spans="1:9" ht="30" x14ac:dyDescent="0.2">
      <c r="A6" s="213"/>
      <c r="B6" s="94" t="s">
        <v>114</v>
      </c>
      <c r="C6" s="38">
        <v>0.6</v>
      </c>
      <c r="D6" s="38">
        <v>0.6</v>
      </c>
      <c r="E6" s="40">
        <v>0.06</v>
      </c>
      <c r="F6" s="40">
        <f>+C6-E6</f>
        <v>0.54</v>
      </c>
      <c r="G6" s="40">
        <f>+C6+E6</f>
        <v>0.65999999999999992</v>
      </c>
      <c r="H6" s="41" t="s">
        <v>37</v>
      </c>
      <c r="I6" s="224"/>
    </row>
    <row r="7" spans="1:9" ht="30" x14ac:dyDescent="0.2">
      <c r="A7" s="213"/>
      <c r="B7" s="37" t="s">
        <v>73</v>
      </c>
      <c r="C7" s="38">
        <v>0.26</v>
      </c>
      <c r="D7" s="38">
        <v>0.26</v>
      </c>
      <c r="E7" s="40">
        <v>0.05</v>
      </c>
      <c r="F7" s="40">
        <f t="shared" ref="F7:F8" si="0">+C7-E7</f>
        <v>0.21000000000000002</v>
      </c>
      <c r="G7" s="40">
        <f t="shared" ref="G7:G8" si="1">+C7+E7</f>
        <v>0.31</v>
      </c>
      <c r="H7" s="41" t="s">
        <v>115</v>
      </c>
      <c r="I7" s="224"/>
    </row>
    <row r="8" spans="1:9" ht="30" x14ac:dyDescent="0.2">
      <c r="A8" s="213"/>
      <c r="B8" s="37" t="s">
        <v>116</v>
      </c>
      <c r="C8" s="38">
        <v>0.13</v>
      </c>
      <c r="D8" s="38">
        <v>0.13</v>
      </c>
      <c r="E8" s="40">
        <v>0.06</v>
      </c>
      <c r="F8" s="40">
        <f t="shared" si="0"/>
        <v>7.0000000000000007E-2</v>
      </c>
      <c r="G8" s="40">
        <f t="shared" si="1"/>
        <v>0.19</v>
      </c>
      <c r="H8" s="41" t="s">
        <v>117</v>
      </c>
      <c r="I8" s="224"/>
    </row>
    <row r="9" spans="1:9" ht="15" x14ac:dyDescent="0.2">
      <c r="A9" s="213"/>
      <c r="B9" s="37" t="s">
        <v>47</v>
      </c>
      <c r="C9" s="38">
        <v>0.01</v>
      </c>
      <c r="D9" s="38">
        <v>0.01</v>
      </c>
      <c r="E9" s="40"/>
      <c r="F9" s="40"/>
      <c r="G9" s="40"/>
      <c r="H9" s="41"/>
      <c r="I9" s="224"/>
    </row>
    <row r="10" spans="1:9" ht="15" x14ac:dyDescent="0.2">
      <c r="A10" s="213"/>
      <c r="B10" s="37" t="s">
        <v>8</v>
      </c>
      <c r="C10" s="38">
        <f>SUM(C6:C9)</f>
        <v>1</v>
      </c>
      <c r="D10" s="38">
        <f>SUM(D6:D9)</f>
        <v>1</v>
      </c>
      <c r="E10" s="40"/>
      <c r="F10" s="40"/>
      <c r="G10" s="40"/>
      <c r="H10" s="41"/>
      <c r="I10" s="224"/>
    </row>
    <row r="11" spans="1:9" ht="15" x14ac:dyDescent="0.2">
      <c r="A11" s="213"/>
      <c r="B11" s="37" t="s">
        <v>9</v>
      </c>
      <c r="C11" s="38">
        <v>0.95</v>
      </c>
      <c r="D11" s="38">
        <v>1</v>
      </c>
      <c r="E11" s="40">
        <v>0.06</v>
      </c>
      <c r="F11" s="40">
        <f>+C11-E11</f>
        <v>0.8899999999999999</v>
      </c>
      <c r="G11" s="40">
        <f>+C11+E11</f>
        <v>1.01</v>
      </c>
      <c r="H11" s="41"/>
      <c r="I11" s="224"/>
    </row>
    <row r="12" spans="1:9" ht="15" x14ac:dyDescent="0.2">
      <c r="A12" s="213"/>
      <c r="B12" s="160" t="s">
        <v>160</v>
      </c>
      <c r="C12" s="238">
        <v>0</v>
      </c>
      <c r="D12" s="238"/>
      <c r="E12" s="238"/>
      <c r="F12" s="238"/>
      <c r="G12" s="238"/>
      <c r="H12" s="238"/>
      <c r="I12" s="224"/>
    </row>
    <row r="13" spans="1:9" x14ac:dyDescent="0.2">
      <c r="B13" s="240" t="s">
        <v>264</v>
      </c>
      <c r="C13" s="240"/>
      <c r="D13" s="240"/>
      <c r="E13" s="240"/>
      <c r="F13" s="240"/>
      <c r="G13" s="240"/>
      <c r="H13" s="240"/>
    </row>
    <row r="14" spans="1:9" ht="15" customHeight="1" x14ac:dyDescent="0.2">
      <c r="B14" s="34"/>
      <c r="C14" s="34"/>
      <c r="D14" s="34"/>
      <c r="E14" s="34"/>
      <c r="F14" s="34"/>
    </row>
    <row r="16" spans="1:9" x14ac:dyDescent="0.2">
      <c r="B16" s="213" t="s">
        <v>259</v>
      </c>
      <c r="C16" s="213"/>
      <c r="D16" s="213"/>
      <c r="E16" s="213"/>
      <c r="F16" s="213"/>
      <c r="G16" s="213"/>
      <c r="H16" s="213"/>
    </row>
    <row r="17" spans="1:9" ht="14.25" customHeight="1" x14ac:dyDescent="0.2">
      <c r="A17" s="213" t="s">
        <v>260</v>
      </c>
      <c r="B17" s="233" t="s">
        <v>257</v>
      </c>
      <c r="C17" s="234"/>
      <c r="D17" s="234"/>
      <c r="E17" s="234"/>
      <c r="F17" s="234"/>
      <c r="G17" s="234"/>
      <c r="H17" s="234"/>
      <c r="I17" s="213" t="s">
        <v>262</v>
      </c>
    </row>
    <row r="18" spans="1:9" ht="18.75" thickBot="1" x14ac:dyDescent="0.25">
      <c r="A18" s="213"/>
      <c r="B18" s="225" t="s">
        <v>199</v>
      </c>
      <c r="C18" s="226"/>
      <c r="D18" s="226"/>
      <c r="E18" s="226"/>
      <c r="F18" s="226"/>
      <c r="G18" s="226"/>
      <c r="H18" s="226"/>
      <c r="I18" s="213"/>
    </row>
    <row r="19" spans="1:9" ht="60" x14ac:dyDescent="0.2">
      <c r="A19" s="213"/>
      <c r="B19" s="140" t="s">
        <v>0</v>
      </c>
      <c r="C19" s="36" t="s">
        <v>251</v>
      </c>
      <c r="D19" s="186" t="s">
        <v>252</v>
      </c>
      <c r="E19" s="141" t="s">
        <v>136</v>
      </c>
      <c r="F19" s="242" t="s">
        <v>137</v>
      </c>
      <c r="G19" s="243"/>
      <c r="H19" s="143" t="s">
        <v>138</v>
      </c>
      <c r="I19" s="213"/>
    </row>
    <row r="20" spans="1:9" ht="30" x14ac:dyDescent="0.2">
      <c r="A20" s="213"/>
      <c r="B20" s="144" t="s">
        <v>139</v>
      </c>
      <c r="C20" s="145">
        <v>0.65</v>
      </c>
      <c r="D20" s="145">
        <v>0.7</v>
      </c>
      <c r="E20" s="145">
        <v>0.05</v>
      </c>
      <c r="F20" s="145">
        <f>+C20-E20</f>
        <v>0.6</v>
      </c>
      <c r="G20" s="145">
        <f>+C20+E20</f>
        <v>0.70000000000000007</v>
      </c>
      <c r="H20" s="146" t="s">
        <v>4</v>
      </c>
      <c r="I20" s="213"/>
    </row>
    <row r="21" spans="1:9" ht="45" x14ac:dyDescent="0.2">
      <c r="A21" s="213"/>
      <c r="B21" s="144" t="s">
        <v>116</v>
      </c>
      <c r="C21" s="145">
        <v>0.3</v>
      </c>
      <c r="D21" s="145">
        <v>0.25</v>
      </c>
      <c r="E21" s="145">
        <v>0.06</v>
      </c>
      <c r="F21" s="145">
        <f>+C21-E21</f>
        <v>0.24</v>
      </c>
      <c r="G21" s="145">
        <f>+C21+E21</f>
        <v>0.36</v>
      </c>
      <c r="H21" s="147" t="s">
        <v>92</v>
      </c>
      <c r="I21" s="213"/>
    </row>
    <row r="22" spans="1:9" ht="15" x14ac:dyDescent="0.2">
      <c r="A22" s="213"/>
      <c r="B22" s="144" t="s">
        <v>47</v>
      </c>
      <c r="C22" s="145">
        <v>0.05</v>
      </c>
      <c r="D22" s="145">
        <v>0.05</v>
      </c>
      <c r="E22" s="145"/>
      <c r="F22" s="145"/>
      <c r="G22" s="145"/>
      <c r="H22" s="148"/>
      <c r="I22" s="213"/>
    </row>
    <row r="23" spans="1:9" ht="15" x14ac:dyDescent="0.2">
      <c r="A23" s="213"/>
      <c r="B23" s="144" t="s">
        <v>8</v>
      </c>
      <c r="C23" s="145">
        <f>SUM(C20:C22)</f>
        <v>1</v>
      </c>
      <c r="D23" s="145">
        <f>SUM(D20:D22)</f>
        <v>1</v>
      </c>
      <c r="E23" s="145"/>
      <c r="F23" s="145"/>
      <c r="G23" s="145"/>
      <c r="H23" s="148"/>
      <c r="I23" s="213"/>
    </row>
    <row r="24" spans="1:9" ht="15.75" thickBot="1" x14ac:dyDescent="0.25">
      <c r="A24" s="213"/>
      <c r="B24" s="149" t="s">
        <v>9</v>
      </c>
      <c r="C24" s="150">
        <v>0.95</v>
      </c>
      <c r="D24" s="150">
        <v>0.99</v>
      </c>
      <c r="E24" s="150">
        <v>0.06</v>
      </c>
      <c r="F24" s="150">
        <f>IF(C24-E24&gt;0,C24-E24,0)</f>
        <v>0.8899999999999999</v>
      </c>
      <c r="G24" s="150">
        <f>C24+E24</f>
        <v>1.01</v>
      </c>
      <c r="H24" s="151"/>
      <c r="I24" s="213"/>
    </row>
    <row r="25" spans="1:9" ht="15" x14ac:dyDescent="0.2">
      <c r="A25" s="213"/>
      <c r="B25" s="160" t="s">
        <v>160</v>
      </c>
      <c r="C25" s="241">
        <v>0</v>
      </c>
      <c r="D25" s="241"/>
      <c r="E25" s="241"/>
      <c r="F25" s="241"/>
      <c r="G25" s="241"/>
      <c r="H25" s="241"/>
      <c r="I25" s="213"/>
    </row>
    <row r="26" spans="1:9" x14ac:dyDescent="0.2">
      <c r="B26" s="213" t="s">
        <v>261</v>
      </c>
      <c r="C26" s="213"/>
      <c r="D26" s="213"/>
      <c r="E26" s="213"/>
      <c r="F26" s="213"/>
      <c r="G26" s="213"/>
      <c r="H26" s="213"/>
    </row>
    <row r="28" spans="1:9" x14ac:dyDescent="0.2">
      <c r="B28" s="213" t="s">
        <v>265</v>
      </c>
      <c r="C28" s="213"/>
      <c r="D28" s="213"/>
      <c r="E28" s="213"/>
      <c r="F28" s="213"/>
      <c r="G28" s="213"/>
      <c r="H28" s="213"/>
    </row>
    <row r="29" spans="1:9" ht="14.25" customHeight="1" x14ac:dyDescent="0.2">
      <c r="A29" s="213" t="s">
        <v>260</v>
      </c>
      <c r="B29" s="233" t="s">
        <v>258</v>
      </c>
      <c r="C29" s="234"/>
      <c r="D29" s="234"/>
      <c r="E29" s="234"/>
      <c r="F29" s="234"/>
      <c r="G29" s="234"/>
      <c r="H29" s="234"/>
      <c r="I29" s="213" t="s">
        <v>262</v>
      </c>
    </row>
    <row r="30" spans="1:9" ht="18.75" thickBot="1" x14ac:dyDescent="0.25">
      <c r="A30" s="213"/>
      <c r="B30" s="225" t="s">
        <v>201</v>
      </c>
      <c r="C30" s="226"/>
      <c r="D30" s="226"/>
      <c r="E30" s="226"/>
      <c r="F30" s="226"/>
      <c r="G30" s="226"/>
      <c r="H30" s="226"/>
      <c r="I30" s="213"/>
    </row>
    <row r="31" spans="1:9" ht="60" x14ac:dyDescent="0.2">
      <c r="A31" s="213"/>
      <c r="B31" s="140" t="s">
        <v>0</v>
      </c>
      <c r="C31" s="36" t="s">
        <v>251</v>
      </c>
      <c r="D31" s="186" t="s">
        <v>252</v>
      </c>
      <c r="E31" s="141" t="s">
        <v>136</v>
      </c>
      <c r="F31" s="230" t="s">
        <v>137</v>
      </c>
      <c r="G31" s="231"/>
      <c r="H31" s="143" t="s">
        <v>138</v>
      </c>
      <c r="I31" s="213"/>
    </row>
    <row r="32" spans="1:9" ht="30" x14ac:dyDescent="0.2">
      <c r="A32" s="213"/>
      <c r="B32" s="144" t="s">
        <v>114</v>
      </c>
      <c r="C32" s="145">
        <v>0.94</v>
      </c>
      <c r="D32" s="145">
        <v>0.94</v>
      </c>
      <c r="E32" s="145">
        <v>0.06</v>
      </c>
      <c r="F32" s="145">
        <f>+C32-E32</f>
        <v>0.87999999999999989</v>
      </c>
      <c r="G32" s="145">
        <f>+C32+E32</f>
        <v>1</v>
      </c>
      <c r="H32" s="146" t="s">
        <v>147</v>
      </c>
      <c r="I32" s="213"/>
    </row>
    <row r="33" spans="1:9" ht="15" x14ac:dyDescent="0.2">
      <c r="A33" s="213"/>
      <c r="B33" s="144" t="s">
        <v>47</v>
      </c>
      <c r="C33" s="145">
        <v>0.06</v>
      </c>
      <c r="D33" s="145">
        <v>0.06</v>
      </c>
      <c r="E33" s="145"/>
      <c r="F33" s="145">
        <f t="shared" ref="F33" si="2">+C33-E33</f>
        <v>0.06</v>
      </c>
      <c r="G33" s="145">
        <f t="shared" ref="G33" si="3">+C33+E33</f>
        <v>0.06</v>
      </c>
      <c r="H33" s="148"/>
      <c r="I33" s="213"/>
    </row>
    <row r="34" spans="1:9" ht="15" x14ac:dyDescent="0.2">
      <c r="A34" s="213"/>
      <c r="B34" s="144" t="s">
        <v>8</v>
      </c>
      <c r="C34" s="145">
        <f>SUM(C32:C33)</f>
        <v>1</v>
      </c>
      <c r="D34" s="145">
        <f>SUM(D32:D33)</f>
        <v>1</v>
      </c>
      <c r="E34" s="145"/>
      <c r="F34" s="145"/>
      <c r="G34" s="145"/>
      <c r="H34" s="148"/>
      <c r="I34" s="213"/>
    </row>
    <row r="35" spans="1:9" ht="15.75" thickBot="1" x14ac:dyDescent="0.25">
      <c r="A35" s="213"/>
      <c r="B35" s="149" t="s">
        <v>9</v>
      </c>
      <c r="C35" s="150">
        <v>0.95</v>
      </c>
      <c r="D35" s="150">
        <v>0.96</v>
      </c>
      <c r="E35" s="150">
        <v>0.06</v>
      </c>
      <c r="F35" s="150">
        <f>IF(C35-E35&gt;0,C35-E35,0)</f>
        <v>0.8899999999999999</v>
      </c>
      <c r="G35" s="150">
        <f>C35+E35</f>
        <v>1.01</v>
      </c>
      <c r="H35" s="151"/>
      <c r="I35" s="213"/>
    </row>
    <row r="36" spans="1:9" ht="15" x14ac:dyDescent="0.2">
      <c r="A36" s="213"/>
      <c r="B36" s="160" t="s">
        <v>160</v>
      </c>
      <c r="C36" s="241">
        <v>0</v>
      </c>
      <c r="D36" s="241"/>
      <c r="E36" s="241"/>
      <c r="F36" s="241"/>
      <c r="G36" s="241"/>
      <c r="H36" s="241"/>
      <c r="I36" s="213"/>
    </row>
    <row r="37" spans="1:9" x14ac:dyDescent="0.2">
      <c r="B37" s="213" t="s">
        <v>261</v>
      </c>
      <c r="C37" s="213"/>
      <c r="D37" s="213"/>
      <c r="E37" s="213"/>
      <c r="F37" s="213"/>
      <c r="G37" s="213"/>
      <c r="H37" s="213"/>
    </row>
    <row r="38" spans="1:9" x14ac:dyDescent="0.2">
      <c r="B38" s="34" t="s">
        <v>46</v>
      </c>
    </row>
    <row r="39" spans="1:9" x14ac:dyDescent="0.2">
      <c r="B39" s="34" t="s">
        <v>89</v>
      </c>
    </row>
    <row r="40" spans="1:9" x14ac:dyDescent="0.2">
      <c r="A40" s="213" t="s">
        <v>263</v>
      </c>
      <c r="B40" s="213"/>
      <c r="C40" s="213"/>
      <c r="D40" s="213"/>
      <c r="E40" s="213"/>
      <c r="F40" s="213"/>
      <c r="G40" s="213"/>
      <c r="H40" s="213"/>
    </row>
  </sheetData>
  <mergeCells count="26">
    <mergeCell ref="B26:H26"/>
    <mergeCell ref="B28:H28"/>
    <mergeCell ref="B1:H1"/>
    <mergeCell ref="B3:H3"/>
    <mergeCell ref="B17:H17"/>
    <mergeCell ref="B18:H18"/>
    <mergeCell ref="B4:H4"/>
    <mergeCell ref="F5:G5"/>
    <mergeCell ref="B2:H2"/>
    <mergeCell ref="C12:H12"/>
    <mergeCell ref="A29:A36"/>
    <mergeCell ref="B37:H37"/>
    <mergeCell ref="I29:I36"/>
    <mergeCell ref="A40:H40"/>
    <mergeCell ref="A3:A12"/>
    <mergeCell ref="B13:H13"/>
    <mergeCell ref="I3:I12"/>
    <mergeCell ref="B16:H16"/>
    <mergeCell ref="A17:A25"/>
    <mergeCell ref="I17:I25"/>
    <mergeCell ref="C36:H36"/>
    <mergeCell ref="C25:H25"/>
    <mergeCell ref="F31:G31"/>
    <mergeCell ref="B29:H29"/>
    <mergeCell ref="B30:H30"/>
    <mergeCell ref="F19:G19"/>
  </mergeCells>
  <pageMargins left="0.70866141732283472" right="0.70866141732283472" top="0.74803149606299213" bottom="0.7480314960629921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DA29E-9812-4321-B309-B1E983E43B10}">
  <sheetPr>
    <tabColor rgb="FF92D050"/>
    <pageSetUpPr fitToPage="1"/>
  </sheetPr>
  <dimension ref="A1:J16"/>
  <sheetViews>
    <sheetView showGridLines="0" rightToLeft="1" zoomScale="80" zoomScaleNormal="80" zoomScaleSheetLayoutView="70" workbookViewId="0">
      <selection activeCell="A16" sqref="A16:H16"/>
    </sheetView>
  </sheetViews>
  <sheetFormatPr defaultColWidth="8" defaultRowHeight="14.25" x14ac:dyDescent="0.2"/>
  <cols>
    <col min="1" max="1" width="8" style="47"/>
    <col min="2" max="2" width="36" style="47" customWidth="1"/>
    <col min="3" max="3" width="12.125" style="47" customWidth="1"/>
    <col min="4" max="4" width="15.5" style="47" customWidth="1"/>
    <col min="5" max="6" width="12.25" style="47" customWidth="1"/>
    <col min="7" max="7" width="12.5" style="47" customWidth="1"/>
    <col min="8" max="8" width="43.125" style="47" customWidth="1"/>
    <col min="9" max="9" width="24.75" style="47" customWidth="1"/>
    <col min="10" max="10" width="32.5" style="47" customWidth="1"/>
    <col min="11" max="11" width="30.5" style="47" bestFit="1" customWidth="1"/>
    <col min="12" max="16384" width="8" style="47"/>
  </cols>
  <sheetData>
    <row r="1" spans="1:10" ht="14.25" customHeight="1" x14ac:dyDescent="0.2">
      <c r="B1" s="251" t="str">
        <f>'קרן י'!B1</f>
        <v>מדיניות השקעה לשנת 2024</v>
      </c>
      <c r="C1" s="251"/>
      <c r="D1" s="251"/>
      <c r="E1" s="251"/>
      <c r="F1" s="251"/>
      <c r="G1" s="251"/>
      <c r="H1" s="169"/>
      <c r="I1" s="169"/>
    </row>
    <row r="2" spans="1:10" ht="27.6" customHeight="1" x14ac:dyDescent="0.2">
      <c r="B2" s="251"/>
      <c r="C2" s="251"/>
      <c r="D2" s="251"/>
      <c r="E2" s="251"/>
      <c r="F2" s="251"/>
      <c r="G2" s="251"/>
      <c r="H2" s="169"/>
      <c r="I2" s="169"/>
      <c r="J2" s="169"/>
    </row>
    <row r="3" spans="1:10" x14ac:dyDescent="0.2">
      <c r="B3" s="246" t="s">
        <v>265</v>
      </c>
      <c r="C3" s="246"/>
      <c r="D3" s="246"/>
      <c r="E3" s="246"/>
      <c r="F3" s="246"/>
      <c r="G3" s="246"/>
      <c r="H3" s="343"/>
    </row>
    <row r="4" spans="1:10" ht="18" customHeight="1" x14ac:dyDescent="0.2">
      <c r="A4" s="246" t="s">
        <v>260</v>
      </c>
      <c r="B4" s="247" t="s">
        <v>273</v>
      </c>
      <c r="C4" s="248"/>
      <c r="D4" s="248"/>
      <c r="E4" s="248"/>
      <c r="F4" s="248"/>
      <c r="G4" s="248"/>
      <c r="H4" s="246" t="s">
        <v>262</v>
      </c>
    </row>
    <row r="5" spans="1:10" ht="15" thickBot="1" x14ac:dyDescent="0.25">
      <c r="A5" s="246"/>
      <c r="B5" s="249"/>
      <c r="C5" s="250"/>
      <c r="D5" s="250"/>
      <c r="E5" s="250"/>
      <c r="F5" s="250"/>
      <c r="G5" s="250"/>
      <c r="H5" s="246"/>
    </row>
    <row r="6" spans="1:10" ht="60" x14ac:dyDescent="0.2">
      <c r="A6" s="246"/>
      <c r="B6" s="140" t="s">
        <v>0</v>
      </c>
      <c r="C6" s="36" t="s">
        <v>271</v>
      </c>
      <c r="D6" s="141" t="s">
        <v>136</v>
      </c>
      <c r="E6" s="242" t="s">
        <v>40</v>
      </c>
      <c r="F6" s="243"/>
      <c r="G6" s="143" t="s">
        <v>138</v>
      </c>
      <c r="H6" s="246"/>
    </row>
    <row r="7" spans="1:10" ht="30" x14ac:dyDescent="0.2">
      <c r="A7" s="246"/>
      <c r="B7" s="144" t="s">
        <v>116</v>
      </c>
      <c r="C7" s="145">
        <v>0.92</v>
      </c>
      <c r="D7" s="145">
        <v>0.06</v>
      </c>
      <c r="E7" s="145">
        <f>+C7-D7</f>
        <v>0.8600000000000001</v>
      </c>
      <c r="F7" s="145">
        <f>+C7+D7</f>
        <v>0.98</v>
      </c>
      <c r="G7" s="146" t="s">
        <v>272</v>
      </c>
      <c r="H7" s="246"/>
    </row>
    <row r="8" spans="1:10" ht="30" x14ac:dyDescent="0.2">
      <c r="A8" s="246"/>
      <c r="B8" s="144" t="s">
        <v>270</v>
      </c>
      <c r="C8" s="145">
        <v>0.03</v>
      </c>
      <c r="D8" s="145">
        <v>0.05</v>
      </c>
      <c r="E8" s="145">
        <v>0</v>
      </c>
      <c r="F8" s="145">
        <f t="shared" ref="F8:F9" si="0">+C8+D8</f>
        <v>0.08</v>
      </c>
      <c r="G8" s="146"/>
      <c r="H8" s="246"/>
    </row>
    <row r="9" spans="1:10" ht="26.25" customHeight="1" x14ac:dyDescent="0.2">
      <c r="A9" s="246"/>
      <c r="B9" s="144" t="s">
        <v>47</v>
      </c>
      <c r="C9" s="145">
        <v>0.05</v>
      </c>
      <c r="D9" s="145">
        <v>0.05</v>
      </c>
      <c r="E9" s="145">
        <f t="shared" ref="E9" si="1">+C9-D9</f>
        <v>0</v>
      </c>
      <c r="F9" s="145">
        <f t="shared" si="0"/>
        <v>0.1</v>
      </c>
      <c r="G9" s="148"/>
      <c r="H9" s="246"/>
    </row>
    <row r="10" spans="1:10" ht="19.5" customHeight="1" x14ac:dyDescent="0.2">
      <c r="A10" s="246"/>
      <c r="B10" s="144" t="s">
        <v>8</v>
      </c>
      <c r="C10" s="145">
        <f>SUM(C7:C9)</f>
        <v>1</v>
      </c>
      <c r="D10" s="145"/>
      <c r="E10" s="145"/>
      <c r="F10" s="145"/>
      <c r="G10" s="148"/>
      <c r="H10" s="246"/>
    </row>
    <row r="11" spans="1:10" ht="23.25" customHeight="1" thickBot="1" x14ac:dyDescent="0.25">
      <c r="A11" s="246"/>
      <c r="B11" s="149" t="s">
        <v>9</v>
      </c>
      <c r="C11" s="150">
        <v>0.94</v>
      </c>
      <c r="D11" s="150">
        <v>0.06</v>
      </c>
      <c r="E11" s="150">
        <f>+C11-D11</f>
        <v>0.87999999999999989</v>
      </c>
      <c r="F11" s="150">
        <f>+C11+D11</f>
        <v>1</v>
      </c>
      <c r="G11" s="151"/>
      <c r="H11" s="246"/>
    </row>
    <row r="12" spans="1:10" ht="15" x14ac:dyDescent="0.2">
      <c r="A12" s="246"/>
      <c r="B12" s="160" t="s">
        <v>160</v>
      </c>
      <c r="C12" s="252">
        <v>0</v>
      </c>
      <c r="D12" s="252"/>
      <c r="E12" s="252"/>
      <c r="F12" s="252"/>
      <c r="G12" s="252"/>
      <c r="H12" s="246"/>
    </row>
    <row r="13" spans="1:10" x14ac:dyDescent="0.2">
      <c r="B13" s="246" t="s">
        <v>261</v>
      </c>
      <c r="C13" s="246"/>
      <c r="D13" s="246"/>
      <c r="E13" s="246"/>
      <c r="F13" s="246"/>
      <c r="G13" s="246"/>
    </row>
    <row r="14" spans="1:10" x14ac:dyDescent="0.2">
      <c r="B14" s="66" t="s">
        <v>46</v>
      </c>
    </row>
    <row r="15" spans="1:10" x14ac:dyDescent="0.2">
      <c r="B15" s="34" t="s">
        <v>89</v>
      </c>
    </row>
    <row r="16" spans="1:10" x14ac:dyDescent="0.2">
      <c r="A16" s="246" t="s">
        <v>263</v>
      </c>
      <c r="B16" s="246"/>
      <c r="C16" s="246"/>
      <c r="D16" s="246"/>
      <c r="E16" s="246"/>
      <c r="F16" s="246"/>
      <c r="G16" s="246"/>
      <c r="H16" s="246"/>
    </row>
  </sheetData>
  <mergeCells count="9">
    <mergeCell ref="B4:G5"/>
    <mergeCell ref="E6:F6"/>
    <mergeCell ref="A16:H16"/>
    <mergeCell ref="B1:G2"/>
    <mergeCell ref="C12:G12"/>
    <mergeCell ref="A4:A12"/>
    <mergeCell ref="B3:G3"/>
    <mergeCell ref="H4:H12"/>
    <mergeCell ref="B13:G13"/>
  </mergeCells>
  <pageMargins left="0.70866141732283472" right="0.70866141732283472" top="0.74803149606299213" bottom="0.74803149606299213" header="0.31496062992125984" footer="0.31496062992125984"/>
  <pageSetup paperSize="9" scale="6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A1:I134"/>
  <sheetViews>
    <sheetView showGridLines="0" rightToLeft="1" zoomScale="80" zoomScaleNormal="80" workbookViewId="0">
      <selection activeCell="A28" sqref="A28:H28"/>
    </sheetView>
  </sheetViews>
  <sheetFormatPr defaultColWidth="8" defaultRowHeight="14.25" x14ac:dyDescent="0.2"/>
  <cols>
    <col min="1" max="1" width="7.375" style="71" customWidth="1"/>
    <col min="2" max="2" width="23" style="71" customWidth="1"/>
    <col min="3" max="3" width="16.75" style="71" bestFit="1" customWidth="1"/>
    <col min="4" max="5" width="13.875" style="71" customWidth="1"/>
    <col min="6" max="6" width="25.625" style="71" customWidth="1"/>
    <col min="7" max="7" width="8" style="71"/>
    <col min="8" max="8" width="66.5" style="71" bestFit="1" customWidth="1"/>
    <col min="9" max="9" width="30" style="71" bestFit="1" customWidth="1"/>
    <col min="10" max="16384" width="8" style="71"/>
  </cols>
  <sheetData>
    <row r="1" spans="1:9" ht="18" customHeight="1" x14ac:dyDescent="0.2">
      <c r="B1" s="232" t="str">
        <f>'קרן י'!B1:I1</f>
        <v>מדיניות השקעה לשנת 2024</v>
      </c>
      <c r="C1" s="232"/>
      <c r="D1" s="232"/>
      <c r="E1" s="232"/>
      <c r="F1" s="232"/>
      <c r="G1" s="232"/>
      <c r="H1" s="232"/>
    </row>
    <row r="2" spans="1:9" x14ac:dyDescent="0.2">
      <c r="B2" s="232"/>
      <c r="C2" s="232"/>
      <c r="D2" s="232"/>
      <c r="E2" s="232"/>
      <c r="F2" s="232"/>
      <c r="G2" s="232"/>
      <c r="H2" s="232"/>
    </row>
    <row r="3" spans="1:9" x14ac:dyDescent="0.2">
      <c r="B3" s="253" t="s">
        <v>259</v>
      </c>
      <c r="C3" s="253"/>
      <c r="D3" s="253"/>
      <c r="E3" s="253"/>
      <c r="F3" s="253"/>
      <c r="G3" s="253"/>
      <c r="H3" s="253"/>
    </row>
    <row r="4" spans="1:9" ht="18" customHeight="1" x14ac:dyDescent="0.2">
      <c r="A4" s="253" t="s">
        <v>260</v>
      </c>
      <c r="B4" s="225" t="s">
        <v>244</v>
      </c>
      <c r="C4" s="226"/>
      <c r="D4" s="226"/>
      <c r="E4" s="226"/>
      <c r="F4" s="226"/>
      <c r="G4" s="226"/>
      <c r="H4" s="226"/>
      <c r="I4" s="253" t="s">
        <v>262</v>
      </c>
    </row>
    <row r="5" spans="1:9" ht="18.75" customHeight="1" thickBot="1" x14ac:dyDescent="0.25">
      <c r="A5" s="253"/>
      <c r="B5" s="225" t="s">
        <v>221</v>
      </c>
      <c r="C5" s="226"/>
      <c r="D5" s="226"/>
      <c r="E5" s="226"/>
      <c r="F5" s="226"/>
      <c r="G5" s="226"/>
      <c r="H5" s="226"/>
      <c r="I5" s="253"/>
    </row>
    <row r="6" spans="1:9" ht="45" x14ac:dyDescent="0.2">
      <c r="A6" s="253"/>
      <c r="B6" s="140" t="s">
        <v>0</v>
      </c>
      <c r="C6" s="36" t="s">
        <v>251</v>
      </c>
      <c r="D6" s="186" t="s">
        <v>252</v>
      </c>
      <c r="E6" s="141" t="s">
        <v>136</v>
      </c>
      <c r="F6" s="230" t="s">
        <v>40</v>
      </c>
      <c r="G6" s="231"/>
      <c r="H6" s="143" t="s">
        <v>138</v>
      </c>
      <c r="I6" s="253"/>
    </row>
    <row r="7" spans="1:9" ht="60" x14ac:dyDescent="0.2">
      <c r="A7" s="253"/>
      <c r="B7" s="144" t="s">
        <v>139</v>
      </c>
      <c r="C7" s="145">
        <v>0.02</v>
      </c>
      <c r="D7" s="145">
        <v>0.02</v>
      </c>
      <c r="E7" s="145">
        <v>0.05</v>
      </c>
      <c r="F7" s="145">
        <v>0</v>
      </c>
      <c r="G7" s="145">
        <f>+C7+E7</f>
        <v>7.0000000000000007E-2</v>
      </c>
      <c r="H7" s="146" t="s">
        <v>4</v>
      </c>
      <c r="I7" s="253"/>
    </row>
    <row r="8" spans="1:9" ht="30" x14ac:dyDescent="0.2">
      <c r="A8" s="253"/>
      <c r="B8" s="144" t="s">
        <v>116</v>
      </c>
      <c r="C8" s="145">
        <v>0.93</v>
      </c>
      <c r="D8" s="145">
        <v>0.93</v>
      </c>
      <c r="E8" s="145">
        <v>0.06</v>
      </c>
      <c r="F8" s="145">
        <f t="shared" ref="F8" si="0">+C8-E8</f>
        <v>0.87000000000000011</v>
      </c>
      <c r="G8" s="145">
        <f t="shared" ref="G8:G9" si="1">+C8+E8</f>
        <v>0.99</v>
      </c>
      <c r="H8" s="147" t="s">
        <v>140</v>
      </c>
      <c r="I8" s="253"/>
    </row>
    <row r="9" spans="1:9" ht="45" x14ac:dyDescent="0.2">
      <c r="A9" s="253"/>
      <c r="B9" s="144" t="s">
        <v>141</v>
      </c>
      <c r="C9" s="145">
        <v>0</v>
      </c>
      <c r="D9" s="145">
        <v>0.02</v>
      </c>
      <c r="E9" s="145">
        <v>0.05</v>
      </c>
      <c r="F9" s="145">
        <v>0</v>
      </c>
      <c r="G9" s="145">
        <f t="shared" si="1"/>
        <v>0.05</v>
      </c>
      <c r="H9" s="148"/>
      <c r="I9" s="253"/>
    </row>
    <row r="10" spans="1:9" ht="15" x14ac:dyDescent="0.2">
      <c r="A10" s="253"/>
      <c r="B10" s="144" t="s">
        <v>47</v>
      </c>
      <c r="C10" s="145">
        <v>0.05</v>
      </c>
      <c r="D10" s="145">
        <v>0.03</v>
      </c>
      <c r="E10" s="145"/>
      <c r="F10" s="145"/>
      <c r="G10" s="145"/>
      <c r="H10" s="148"/>
      <c r="I10" s="253"/>
    </row>
    <row r="11" spans="1:9" ht="15" x14ac:dyDescent="0.2">
      <c r="A11" s="253"/>
      <c r="B11" s="144" t="s">
        <v>8</v>
      </c>
      <c r="C11" s="145">
        <f>SUM(C7:C10)</f>
        <v>1</v>
      </c>
      <c r="D11" s="145">
        <f>SUM(D7:D10)</f>
        <v>1</v>
      </c>
      <c r="E11" s="145"/>
      <c r="F11" s="145"/>
      <c r="G11" s="145"/>
      <c r="H11" s="148"/>
      <c r="I11" s="253"/>
    </row>
    <row r="12" spans="1:9" ht="15.75" thickBot="1" x14ac:dyDescent="0.25">
      <c r="A12" s="253"/>
      <c r="B12" s="149" t="s">
        <v>9</v>
      </c>
      <c r="C12" s="150">
        <v>0.98</v>
      </c>
      <c r="D12" s="150">
        <v>0.97</v>
      </c>
      <c r="E12" s="150">
        <v>0.06</v>
      </c>
      <c r="F12" s="150">
        <f>IF(C12-E12&gt;0,C12-E12,0)</f>
        <v>0.91999999999999993</v>
      </c>
      <c r="G12" s="150">
        <f>C12+E12</f>
        <v>1.04</v>
      </c>
      <c r="H12" s="151"/>
      <c r="I12" s="253"/>
    </row>
    <row r="13" spans="1:9" ht="30" x14ac:dyDescent="0.2">
      <c r="A13" s="253"/>
      <c r="B13" s="160" t="s">
        <v>160</v>
      </c>
      <c r="C13" s="227">
        <v>2E-3</v>
      </c>
      <c r="D13" s="227"/>
      <c r="E13" s="227"/>
      <c r="F13" s="227"/>
      <c r="G13" s="227"/>
      <c r="H13" s="227"/>
      <c r="I13" s="253"/>
    </row>
    <row r="14" spans="1:9" ht="15" x14ac:dyDescent="0.2">
      <c r="A14" s="209"/>
      <c r="B14" s="210" t="s">
        <v>261</v>
      </c>
      <c r="C14" s="210"/>
      <c r="D14" s="210"/>
      <c r="E14" s="210"/>
      <c r="F14" s="210"/>
      <c r="G14" s="210"/>
      <c r="H14" s="210"/>
    </row>
    <row r="15" spans="1:9" x14ac:dyDescent="0.2">
      <c r="B15" s="213" t="s">
        <v>259</v>
      </c>
      <c r="C15" s="213"/>
      <c r="D15" s="213"/>
      <c r="E15" s="213"/>
      <c r="F15" s="213"/>
      <c r="G15" s="213"/>
      <c r="H15" s="213"/>
    </row>
    <row r="16" spans="1:9" ht="18" x14ac:dyDescent="0.2">
      <c r="A16" s="253" t="s">
        <v>260</v>
      </c>
      <c r="B16" s="225" t="s">
        <v>243</v>
      </c>
      <c r="C16" s="226"/>
      <c r="D16" s="226"/>
      <c r="E16" s="226"/>
      <c r="F16" s="226"/>
      <c r="G16" s="226"/>
      <c r="H16" s="226"/>
      <c r="I16" s="254" t="s">
        <v>262</v>
      </c>
    </row>
    <row r="17" spans="1:9" ht="18.75" thickBot="1" x14ac:dyDescent="0.25">
      <c r="A17" s="253"/>
      <c r="B17" s="225" t="s">
        <v>203</v>
      </c>
      <c r="C17" s="226"/>
      <c r="D17" s="226"/>
      <c r="E17" s="226"/>
      <c r="F17" s="226"/>
      <c r="G17" s="226"/>
      <c r="H17" s="226"/>
      <c r="I17" s="254"/>
    </row>
    <row r="18" spans="1:9" ht="45" x14ac:dyDescent="0.2">
      <c r="A18" s="253"/>
      <c r="B18" s="140" t="s">
        <v>0</v>
      </c>
      <c r="C18" s="36" t="s">
        <v>251</v>
      </c>
      <c r="D18" s="186" t="s">
        <v>252</v>
      </c>
      <c r="E18" s="141" t="s">
        <v>136</v>
      </c>
      <c r="F18" s="230" t="s">
        <v>40</v>
      </c>
      <c r="G18" s="231"/>
      <c r="H18" s="143" t="s">
        <v>138</v>
      </c>
      <c r="I18" s="254"/>
    </row>
    <row r="19" spans="1:9" ht="30" x14ac:dyDescent="0.2">
      <c r="A19" s="253"/>
      <c r="B19" s="144" t="s">
        <v>114</v>
      </c>
      <c r="C19" s="145">
        <v>0.93</v>
      </c>
      <c r="D19" s="145">
        <v>0.93</v>
      </c>
      <c r="E19" s="145">
        <v>0.06</v>
      </c>
      <c r="F19" s="145">
        <f>+C19-E19</f>
        <v>0.87000000000000011</v>
      </c>
      <c r="G19" s="145">
        <f>+C19+E19</f>
        <v>0.99</v>
      </c>
      <c r="H19" s="146" t="s">
        <v>142</v>
      </c>
      <c r="I19" s="254"/>
    </row>
    <row r="20" spans="1:9" ht="60" x14ac:dyDescent="0.2">
      <c r="A20" s="253"/>
      <c r="B20" s="144" t="s">
        <v>139</v>
      </c>
      <c r="C20" s="145">
        <v>0.03</v>
      </c>
      <c r="D20" s="145">
        <v>0.03</v>
      </c>
      <c r="E20" s="145">
        <v>0.05</v>
      </c>
      <c r="F20" s="145">
        <f>+C20-E20</f>
        <v>-2.0000000000000004E-2</v>
      </c>
      <c r="G20" s="145">
        <f>+C20+E20</f>
        <v>0.08</v>
      </c>
      <c r="H20" s="146" t="s">
        <v>4</v>
      </c>
      <c r="I20" s="254"/>
    </row>
    <row r="21" spans="1:9" ht="15" x14ac:dyDescent="0.2">
      <c r="A21" s="253"/>
      <c r="B21" s="144" t="s">
        <v>47</v>
      </c>
      <c r="C21" s="145">
        <v>0.04</v>
      </c>
      <c r="D21" s="145">
        <v>0.04</v>
      </c>
      <c r="E21" s="145"/>
      <c r="F21" s="145"/>
      <c r="G21" s="145"/>
      <c r="H21" s="148"/>
      <c r="I21" s="254"/>
    </row>
    <row r="22" spans="1:9" ht="15" x14ac:dyDescent="0.2">
      <c r="A22" s="253"/>
      <c r="B22" s="144" t="s">
        <v>8</v>
      </c>
      <c r="C22" s="145">
        <f>SUM(C19:C21)</f>
        <v>1</v>
      </c>
      <c r="D22" s="145">
        <f>SUM(D19:D21)</f>
        <v>1</v>
      </c>
      <c r="E22" s="145"/>
      <c r="F22" s="145"/>
      <c r="G22" s="145"/>
      <c r="H22" s="148"/>
      <c r="I22" s="254"/>
    </row>
    <row r="23" spans="1:9" ht="15.75" thickBot="1" x14ac:dyDescent="0.25">
      <c r="A23" s="253"/>
      <c r="B23" s="149" t="s">
        <v>9</v>
      </c>
      <c r="C23" s="150">
        <v>0.95</v>
      </c>
      <c r="D23" s="150">
        <v>0.96</v>
      </c>
      <c r="E23" s="150">
        <v>0.06</v>
      </c>
      <c r="F23" s="150">
        <f>IF(C23-E23&gt;0,C23-E23,0)</f>
        <v>0.8899999999999999</v>
      </c>
      <c r="G23" s="150">
        <f>C23+E23</f>
        <v>1.01</v>
      </c>
      <c r="H23" s="151"/>
      <c r="I23" s="254"/>
    </row>
    <row r="24" spans="1:9" ht="30" x14ac:dyDescent="0.2">
      <c r="A24" s="253"/>
      <c r="B24" s="160" t="s">
        <v>160</v>
      </c>
      <c r="C24" s="227">
        <v>2.5000000000000001E-3</v>
      </c>
      <c r="D24" s="227"/>
      <c r="E24" s="227"/>
      <c r="F24" s="227"/>
      <c r="G24" s="227"/>
      <c r="H24" s="227"/>
      <c r="I24" s="254"/>
    </row>
    <row r="25" spans="1:9" x14ac:dyDescent="0.2">
      <c r="B25" s="253" t="s">
        <v>261</v>
      </c>
      <c r="C25" s="253"/>
      <c r="D25" s="253"/>
      <c r="E25" s="253"/>
      <c r="F25" s="253"/>
      <c r="G25" s="253"/>
      <c r="H25" s="253"/>
    </row>
    <row r="26" spans="1:9" x14ac:dyDescent="0.2">
      <c r="B26" s="34" t="s">
        <v>46</v>
      </c>
    </row>
    <row r="27" spans="1:9" x14ac:dyDescent="0.2">
      <c r="B27" s="34" t="s">
        <v>89</v>
      </c>
    </row>
    <row r="28" spans="1:9" x14ac:dyDescent="0.2">
      <c r="A28" s="253" t="s">
        <v>263</v>
      </c>
      <c r="B28" s="253"/>
      <c r="C28" s="253"/>
      <c r="D28" s="253"/>
      <c r="E28" s="253"/>
      <c r="F28" s="253"/>
      <c r="G28" s="253"/>
      <c r="H28" s="253"/>
    </row>
    <row r="30" spans="1:9" ht="14.25" hidden="1" customHeight="1" x14ac:dyDescent="0.2">
      <c r="B30" s="71" t="s">
        <v>143</v>
      </c>
    </row>
    <row r="31" spans="1:9" ht="18" hidden="1" customHeight="1" x14ac:dyDescent="0.2"/>
    <row r="32" spans="1:9" ht="15" hidden="1" customHeight="1" x14ac:dyDescent="0.2">
      <c r="B32" s="71" t="s">
        <v>0</v>
      </c>
      <c r="C32" s="71" t="s">
        <v>136</v>
      </c>
      <c r="D32" s="71" t="s">
        <v>137</v>
      </c>
      <c r="F32" s="71" t="s">
        <v>138</v>
      </c>
    </row>
    <row r="33" spans="2:9" ht="30" hidden="1" customHeight="1" x14ac:dyDescent="0.2">
      <c r="B33" s="71" t="s">
        <v>114</v>
      </c>
      <c r="C33" s="71">
        <v>0.06</v>
      </c>
      <c r="D33" s="71" t="e">
        <f>+#REF!-C33</f>
        <v>#REF!</v>
      </c>
      <c r="E33" s="71" t="e">
        <f>+#REF!+C33</f>
        <v>#REF!</v>
      </c>
      <c r="F33" s="71" t="s">
        <v>144</v>
      </c>
    </row>
    <row r="34" spans="2:9" ht="60" hidden="1" customHeight="1" x14ac:dyDescent="0.2">
      <c r="B34" s="71" t="s">
        <v>139</v>
      </c>
      <c r="C34" s="71">
        <v>0.05</v>
      </c>
      <c r="D34" s="71" t="e">
        <f>+#REF!-C34</f>
        <v>#REF!</v>
      </c>
      <c r="E34" s="71" t="e">
        <f>+#REF!+C34</f>
        <v>#REF!</v>
      </c>
      <c r="F34" s="71" t="s">
        <v>4</v>
      </c>
    </row>
    <row r="35" spans="2:9" ht="75" hidden="1" customHeight="1" x14ac:dyDescent="0.2">
      <c r="B35" s="71" t="s">
        <v>116</v>
      </c>
      <c r="C35" s="71">
        <v>0.06</v>
      </c>
      <c r="D35" s="71" t="e">
        <f>+#REF!-C35</f>
        <v>#REF!</v>
      </c>
      <c r="E35" s="71" t="e">
        <f>+#REF!+C35</f>
        <v>#REF!</v>
      </c>
      <c r="F35" s="71" t="s">
        <v>92</v>
      </c>
    </row>
    <row r="36" spans="2:9" ht="45" hidden="1" customHeight="1" x14ac:dyDescent="0.2">
      <c r="B36" s="71" t="s">
        <v>141</v>
      </c>
      <c r="C36" s="71">
        <v>0.05</v>
      </c>
      <c r="D36" s="71">
        <v>0</v>
      </c>
      <c r="E36" s="71" t="e">
        <f>+#REF!+C36</f>
        <v>#REF!</v>
      </c>
    </row>
    <row r="37" spans="2:9" ht="15" hidden="1" customHeight="1" x14ac:dyDescent="0.2">
      <c r="B37" s="71" t="s">
        <v>47</v>
      </c>
      <c r="D37" s="71" t="e">
        <f>+#REF!-C37</f>
        <v>#REF!</v>
      </c>
      <c r="E37" s="71" t="e">
        <f>+#REF!+C37</f>
        <v>#REF!</v>
      </c>
    </row>
    <row r="38" spans="2:9" s="84" customFormat="1" ht="15" hidden="1" customHeight="1" x14ac:dyDescent="0.2">
      <c r="B38" s="71" t="s">
        <v>8</v>
      </c>
      <c r="C38" s="71"/>
      <c r="D38" s="71"/>
      <c r="E38" s="71"/>
      <c r="F38" s="71"/>
      <c r="G38" s="71"/>
      <c r="H38" s="71"/>
    </row>
    <row r="39" spans="2:9" ht="15.75" hidden="1" customHeight="1" thickBot="1" x14ac:dyDescent="0.2">
      <c r="B39" s="71" t="s">
        <v>9</v>
      </c>
      <c r="C39" s="71">
        <v>0.05</v>
      </c>
      <c r="D39" s="71" t="e">
        <f>IF(#REF!-C39&gt;0,#REF!-C39,0)</f>
        <v>#REF!</v>
      </c>
      <c r="E39" s="71" t="e">
        <f>#REF!+C39</f>
        <v>#REF!</v>
      </c>
    </row>
    <row r="40" spans="2:9" ht="30" hidden="1" customHeight="1" x14ac:dyDescent="0.2">
      <c r="B40" s="71" t="s">
        <v>160</v>
      </c>
    </row>
    <row r="41" spans="2:9" s="84" customFormat="1" x14ac:dyDescent="0.2">
      <c r="B41" s="71"/>
      <c r="C41" s="71"/>
      <c r="D41" s="71"/>
      <c r="E41" s="71"/>
      <c r="F41" s="71"/>
      <c r="G41" s="71"/>
      <c r="H41" s="71"/>
    </row>
    <row r="42" spans="2:9" s="84" customFormat="1" ht="14.25" hidden="1" customHeight="1" x14ac:dyDescent="0.25">
      <c r="B42" s="225" t="s">
        <v>195</v>
      </c>
      <c r="C42" s="226"/>
      <c r="D42" s="226"/>
      <c r="E42" s="226"/>
      <c r="F42" s="226"/>
      <c r="G42" s="226"/>
      <c r="H42" s="226"/>
      <c r="I42" s="196"/>
    </row>
    <row r="43" spans="2:9" s="84" customFormat="1" ht="18.75" hidden="1" thickBot="1" x14ac:dyDescent="0.3">
      <c r="B43" s="255"/>
      <c r="C43" s="256"/>
      <c r="D43" s="256"/>
      <c r="E43" s="256"/>
      <c r="F43" s="256"/>
      <c r="G43" s="256"/>
      <c r="H43" s="256"/>
      <c r="I43" s="196"/>
    </row>
    <row r="44" spans="2:9" s="84" customFormat="1" ht="45" hidden="1" x14ac:dyDescent="0.25">
      <c r="B44" s="140" t="s">
        <v>0</v>
      </c>
      <c r="C44" s="186" t="s">
        <v>170</v>
      </c>
      <c r="D44" s="142" t="s">
        <v>127</v>
      </c>
      <c r="E44" s="141" t="s">
        <v>136</v>
      </c>
      <c r="F44" s="230" t="s">
        <v>137</v>
      </c>
      <c r="G44" s="231"/>
      <c r="H44" s="143" t="s">
        <v>138</v>
      </c>
      <c r="I44" s="196"/>
    </row>
    <row r="45" spans="2:9" s="84" customFormat="1" ht="60" hidden="1" x14ac:dyDescent="0.2">
      <c r="B45" s="144" t="s">
        <v>139</v>
      </c>
      <c r="C45" s="145">
        <v>0.75</v>
      </c>
      <c r="D45" s="145">
        <v>0.75</v>
      </c>
      <c r="E45" s="145">
        <v>0.05</v>
      </c>
      <c r="F45" s="145">
        <f t="shared" ref="F45" si="2">+D45-E45</f>
        <v>0.7</v>
      </c>
      <c r="G45" s="145">
        <f t="shared" ref="G45" si="3">+D45+E45</f>
        <v>0.8</v>
      </c>
      <c r="H45" s="146" t="s">
        <v>4</v>
      </c>
    </row>
    <row r="46" spans="2:9" s="84" customFormat="1" ht="45" hidden="1" x14ac:dyDescent="0.2">
      <c r="B46" s="144" t="s">
        <v>116</v>
      </c>
      <c r="C46" s="145">
        <v>0.23</v>
      </c>
      <c r="D46" s="145">
        <v>0.2</v>
      </c>
      <c r="E46" s="145">
        <v>0.06</v>
      </c>
      <c r="F46" s="145">
        <f>+D46-E46</f>
        <v>0.14000000000000001</v>
      </c>
      <c r="G46" s="145">
        <f>+D46+E46</f>
        <v>0.26</v>
      </c>
      <c r="H46" s="147" t="s">
        <v>92</v>
      </c>
    </row>
    <row r="47" spans="2:9" ht="15" hidden="1" x14ac:dyDescent="0.2">
      <c r="B47" s="144" t="s">
        <v>47</v>
      </c>
      <c r="C47" s="145">
        <v>0.02</v>
      </c>
      <c r="D47" s="145">
        <v>0.05</v>
      </c>
      <c r="E47" s="145"/>
      <c r="F47" s="145"/>
      <c r="G47" s="145"/>
      <c r="H47" s="148"/>
    </row>
    <row r="48" spans="2:9" ht="15" hidden="1" x14ac:dyDescent="0.2">
      <c r="B48" s="144" t="s">
        <v>8</v>
      </c>
      <c r="C48" s="189">
        <f>SUM(C45:C47)</f>
        <v>1</v>
      </c>
      <c r="D48" s="145">
        <f>SUM(D45:D47)</f>
        <v>1</v>
      </c>
      <c r="E48" s="145"/>
      <c r="F48" s="145"/>
      <c r="G48" s="145"/>
      <c r="H48" s="148"/>
    </row>
    <row r="49" spans="1:9" ht="15.75" hidden="1" thickBot="1" x14ac:dyDescent="0.25">
      <c r="A49" s="68"/>
      <c r="B49" s="149" t="s">
        <v>9</v>
      </c>
      <c r="C49" s="150"/>
      <c r="D49" s="150">
        <v>0</v>
      </c>
      <c r="E49" s="145">
        <v>0.05</v>
      </c>
      <c r="F49" s="145">
        <v>0</v>
      </c>
      <c r="G49" s="145">
        <f>+D49+E49</f>
        <v>0.05</v>
      </c>
      <c r="H49" s="151"/>
    </row>
    <row r="50" spans="1:9" ht="30" hidden="1" x14ac:dyDescent="0.2">
      <c r="A50" s="68"/>
      <c r="B50" s="160" t="s">
        <v>160</v>
      </c>
      <c r="C50" s="163">
        <v>5.0000000000000001E-4</v>
      </c>
      <c r="D50" s="157"/>
      <c r="E50" s="157"/>
      <c r="F50" s="157"/>
      <c r="G50" s="158"/>
    </row>
    <row r="51" spans="1:9" hidden="1" x14ac:dyDescent="0.2">
      <c r="A51" s="68"/>
    </row>
    <row r="52" spans="1:9" ht="14.25" hidden="1" customHeight="1" x14ac:dyDescent="0.25">
      <c r="A52" s="68"/>
      <c r="B52" s="225" t="s">
        <v>198</v>
      </c>
      <c r="C52" s="226"/>
      <c r="D52" s="226"/>
      <c r="E52" s="226"/>
      <c r="F52" s="226"/>
      <c r="G52" s="226"/>
      <c r="H52" s="226"/>
      <c r="I52" s="192"/>
    </row>
    <row r="53" spans="1:9" ht="18.75" hidden="1" thickBot="1" x14ac:dyDescent="0.3">
      <c r="B53" s="255"/>
      <c r="C53" s="256"/>
      <c r="D53" s="256"/>
      <c r="E53" s="256"/>
      <c r="F53" s="256"/>
      <c r="G53" s="256"/>
      <c r="H53" s="256"/>
      <c r="I53" s="192"/>
    </row>
    <row r="54" spans="1:9" ht="45" hidden="1" x14ac:dyDescent="0.2">
      <c r="B54" s="140" t="s">
        <v>0</v>
      </c>
      <c r="C54" s="186" t="s">
        <v>170</v>
      </c>
      <c r="D54" s="142" t="s">
        <v>127</v>
      </c>
      <c r="E54" s="141" t="s">
        <v>136</v>
      </c>
      <c r="F54" s="230" t="s">
        <v>137</v>
      </c>
      <c r="G54" s="231"/>
      <c r="H54" s="143" t="s">
        <v>138</v>
      </c>
    </row>
    <row r="55" spans="1:9" ht="45" hidden="1" x14ac:dyDescent="0.2">
      <c r="B55" s="144" t="s">
        <v>114</v>
      </c>
      <c r="C55" s="145">
        <v>0.94</v>
      </c>
      <c r="D55" s="145">
        <v>0.94</v>
      </c>
      <c r="E55" s="145">
        <v>0.06</v>
      </c>
      <c r="F55" s="145">
        <f t="shared" ref="F55:F56" si="4">+D55-E55</f>
        <v>0.87999999999999989</v>
      </c>
      <c r="G55" s="145">
        <f>+D55+E55</f>
        <v>1</v>
      </c>
      <c r="H55" s="146" t="s">
        <v>144</v>
      </c>
    </row>
    <row r="56" spans="1:9" ht="60" hidden="1" x14ac:dyDescent="0.2">
      <c r="B56" s="144" t="s">
        <v>139</v>
      </c>
      <c r="C56" s="145">
        <v>0.03</v>
      </c>
      <c r="D56" s="145">
        <v>0.03</v>
      </c>
      <c r="E56" s="145">
        <v>0.05</v>
      </c>
      <c r="F56" s="145">
        <f t="shared" si="4"/>
        <v>-2.0000000000000004E-2</v>
      </c>
      <c r="G56" s="145">
        <f t="shared" ref="G56" si="5">+D56+E56</f>
        <v>0.08</v>
      </c>
      <c r="H56" s="146" t="s">
        <v>4</v>
      </c>
    </row>
    <row r="57" spans="1:9" ht="75" hidden="1" x14ac:dyDescent="0.2">
      <c r="B57" s="144" t="s">
        <v>116</v>
      </c>
      <c r="C57" s="145">
        <v>0</v>
      </c>
      <c r="D57" s="145">
        <v>0</v>
      </c>
      <c r="E57" s="145">
        <v>0.06</v>
      </c>
      <c r="F57" s="145">
        <f>+D57-E57</f>
        <v>-0.06</v>
      </c>
      <c r="G57" s="145">
        <f>+D57+E57</f>
        <v>0.06</v>
      </c>
      <c r="H57" s="147" t="s">
        <v>92</v>
      </c>
    </row>
    <row r="58" spans="1:9" ht="45" hidden="1" x14ac:dyDescent="0.2">
      <c r="B58" s="144" t="s">
        <v>141</v>
      </c>
      <c r="C58" s="145">
        <v>0</v>
      </c>
      <c r="D58" s="145">
        <v>0</v>
      </c>
      <c r="E58" s="145">
        <v>0.05</v>
      </c>
      <c r="F58" s="145">
        <v>0</v>
      </c>
      <c r="G58" s="145">
        <f>+D58+E58</f>
        <v>0.05</v>
      </c>
      <c r="H58" s="148"/>
    </row>
    <row r="59" spans="1:9" ht="15" hidden="1" x14ac:dyDescent="0.2">
      <c r="B59" s="144" t="s">
        <v>47</v>
      </c>
      <c r="C59" s="145">
        <v>0.03</v>
      </c>
      <c r="D59" s="145">
        <v>0.03</v>
      </c>
      <c r="E59" s="145"/>
      <c r="F59" s="145">
        <f>+D59-E59</f>
        <v>0.03</v>
      </c>
      <c r="G59" s="145">
        <f>+D59+E59</f>
        <v>0.03</v>
      </c>
      <c r="H59" s="148"/>
    </row>
    <row r="60" spans="1:9" ht="15" hidden="1" x14ac:dyDescent="0.2">
      <c r="B60" s="144" t="s">
        <v>8</v>
      </c>
      <c r="C60" s="145">
        <f>SUM(C55:C59)</f>
        <v>1</v>
      </c>
      <c r="D60" s="145">
        <f>SUM(D55:D59)</f>
        <v>1</v>
      </c>
      <c r="E60" s="145"/>
      <c r="F60" s="145"/>
      <c r="G60" s="145"/>
      <c r="H60" s="148"/>
    </row>
    <row r="61" spans="1:9" ht="15.75" hidden="1" thickBot="1" x14ac:dyDescent="0.25">
      <c r="B61" s="149" t="s">
        <v>9</v>
      </c>
      <c r="C61" s="150"/>
      <c r="D61" s="150">
        <v>0.32</v>
      </c>
      <c r="E61" s="145">
        <v>0.05</v>
      </c>
      <c r="F61" s="40">
        <f t="shared" ref="F61" si="6">IF(D61-E61&gt;0,D61-E61,0)</f>
        <v>0.27</v>
      </c>
      <c r="G61" s="40">
        <f t="shared" ref="G61" si="7">D61+E61</f>
        <v>0.37</v>
      </c>
      <c r="H61" s="151"/>
    </row>
    <row r="62" spans="1:9" ht="30" hidden="1" x14ac:dyDescent="0.2">
      <c r="B62" s="160" t="s">
        <v>160</v>
      </c>
      <c r="C62" s="157"/>
      <c r="D62" s="157"/>
      <c r="E62" s="157"/>
      <c r="F62" s="157"/>
    </row>
    <row r="63" spans="1:9" hidden="1" x14ac:dyDescent="0.2">
      <c r="B63"/>
      <c r="C63"/>
      <c r="D63"/>
      <c r="E63"/>
      <c r="F63"/>
    </row>
    <row r="64" spans="1:9" ht="15" hidden="1" x14ac:dyDescent="0.25">
      <c r="B64" s="257" t="s">
        <v>145</v>
      </c>
      <c r="C64" s="258"/>
      <c r="D64" s="258"/>
      <c r="E64" s="258"/>
      <c r="F64" s="258"/>
      <c r="I64" s="192"/>
    </row>
    <row r="65" spans="2:6" ht="18" hidden="1" x14ac:dyDescent="0.2">
      <c r="B65" s="263"/>
      <c r="C65" s="264"/>
      <c r="D65" s="264"/>
      <c r="E65" s="264"/>
      <c r="F65" s="264"/>
    </row>
    <row r="66" spans="2:6" ht="15" hidden="1" x14ac:dyDescent="0.2">
      <c r="B66" s="140" t="s">
        <v>0</v>
      </c>
      <c r="C66" s="141" t="s">
        <v>136</v>
      </c>
      <c r="D66" s="230" t="s">
        <v>137</v>
      </c>
      <c r="E66" s="231"/>
      <c r="F66" s="143" t="s">
        <v>138</v>
      </c>
    </row>
    <row r="67" spans="2:6" ht="60" hidden="1" x14ac:dyDescent="0.2">
      <c r="B67" s="144" t="s">
        <v>139</v>
      </c>
      <c r="C67" s="145">
        <v>0.05</v>
      </c>
      <c r="D67" s="145" t="e">
        <f>+#REF!-C67</f>
        <v>#REF!</v>
      </c>
      <c r="E67" s="145" t="e">
        <f>+#REF!+C67</f>
        <v>#REF!</v>
      </c>
      <c r="F67" s="146" t="s">
        <v>4</v>
      </c>
    </row>
    <row r="68" spans="2:6" ht="75" hidden="1" x14ac:dyDescent="0.2">
      <c r="B68" s="144" t="s">
        <v>116</v>
      </c>
      <c r="C68" s="145">
        <v>0.06</v>
      </c>
      <c r="D68" s="145" t="e">
        <f>+#REF!-C68</f>
        <v>#REF!</v>
      </c>
      <c r="E68" s="145" t="e">
        <f>+#REF!+C68</f>
        <v>#REF!</v>
      </c>
      <c r="F68" s="147" t="s">
        <v>92</v>
      </c>
    </row>
    <row r="69" spans="2:6" ht="15" hidden="1" x14ac:dyDescent="0.2">
      <c r="B69" s="144" t="s">
        <v>47</v>
      </c>
      <c r="C69" s="145"/>
      <c r="D69" s="145" t="e">
        <f>+#REF!-C69</f>
        <v>#REF!</v>
      </c>
      <c r="E69" s="145" t="e">
        <f>+#REF!+C69</f>
        <v>#REF!</v>
      </c>
      <c r="F69" s="148"/>
    </row>
    <row r="70" spans="2:6" ht="15" hidden="1" x14ac:dyDescent="0.2">
      <c r="B70" s="144" t="s">
        <v>8</v>
      </c>
      <c r="C70" s="145"/>
      <c r="D70" s="145"/>
      <c r="E70" s="145"/>
      <c r="F70" s="148"/>
    </row>
    <row r="71" spans="2:6" ht="15.75" hidden="1" thickBot="1" x14ac:dyDescent="0.25">
      <c r="B71" s="149" t="s">
        <v>9</v>
      </c>
      <c r="C71" s="145">
        <v>0.05</v>
      </c>
      <c r="D71" s="40" t="e">
        <f>IF(#REF!-C71&gt;0,#REF!-C71,0)</f>
        <v>#REF!</v>
      </c>
      <c r="E71" s="40" t="e">
        <f>#REF!+C71</f>
        <v>#REF!</v>
      </c>
      <c r="F71" s="151"/>
    </row>
    <row r="72" spans="2:6" ht="30" hidden="1" x14ac:dyDescent="0.2">
      <c r="B72" s="160" t="s">
        <v>160</v>
      </c>
      <c r="C72" s="157"/>
      <c r="D72" s="157"/>
      <c r="E72" s="157"/>
      <c r="F72" s="157"/>
    </row>
    <row r="73" spans="2:6" hidden="1" x14ac:dyDescent="0.2"/>
    <row r="74" spans="2:6" hidden="1" x14ac:dyDescent="0.2">
      <c r="B74" s="257" t="s">
        <v>146</v>
      </c>
      <c r="C74" s="258"/>
      <c r="D74" s="258"/>
      <c r="E74" s="258"/>
      <c r="F74" s="258"/>
    </row>
    <row r="75" spans="2:6" ht="18" hidden="1" x14ac:dyDescent="0.2">
      <c r="B75" s="263"/>
      <c r="C75" s="264"/>
      <c r="D75" s="264"/>
      <c r="E75" s="264"/>
      <c r="F75" s="264"/>
    </row>
    <row r="76" spans="2:6" ht="15" hidden="1" x14ac:dyDescent="0.2">
      <c r="B76" s="140" t="s">
        <v>0</v>
      </c>
      <c r="C76" s="141" t="s">
        <v>136</v>
      </c>
      <c r="D76" s="230" t="s">
        <v>137</v>
      </c>
      <c r="E76" s="231"/>
      <c r="F76" s="143" t="s">
        <v>138</v>
      </c>
    </row>
    <row r="77" spans="2:6" ht="30" hidden="1" x14ac:dyDescent="0.2">
      <c r="B77" s="144" t="s">
        <v>114</v>
      </c>
      <c r="C77" s="145">
        <v>0.06</v>
      </c>
      <c r="D77" s="145" t="e">
        <f>+#REF!-C77</f>
        <v>#REF!</v>
      </c>
      <c r="E77" s="145" t="e">
        <f>+#REF!+C77</f>
        <v>#REF!</v>
      </c>
      <c r="F77" s="146" t="s">
        <v>147</v>
      </c>
    </row>
    <row r="78" spans="2:6" ht="15" hidden="1" x14ac:dyDescent="0.2">
      <c r="B78" s="144" t="s">
        <v>47</v>
      </c>
      <c r="C78" s="145"/>
      <c r="D78" s="145" t="e">
        <f>+#REF!-C78</f>
        <v>#REF!</v>
      </c>
      <c r="E78" s="145" t="e">
        <f>+#REF!+C78</f>
        <v>#REF!</v>
      </c>
      <c r="F78" s="148"/>
    </row>
    <row r="79" spans="2:6" ht="15" hidden="1" x14ac:dyDescent="0.2">
      <c r="B79" s="144" t="s">
        <v>8</v>
      </c>
      <c r="C79" s="145"/>
      <c r="D79" s="145"/>
      <c r="E79" s="145"/>
      <c r="F79" s="148"/>
    </row>
    <row r="80" spans="2:6" ht="15.75" hidden="1" thickBot="1" x14ac:dyDescent="0.25">
      <c r="B80" s="149" t="s">
        <v>9</v>
      </c>
      <c r="C80" s="145">
        <v>0.05</v>
      </c>
      <c r="D80" s="40" t="e">
        <f>IF(#REF!-C80&gt;0,#REF!-C80,0)</f>
        <v>#REF!</v>
      </c>
      <c r="E80" s="40" t="e">
        <f>#REF!+C80</f>
        <v>#REF!</v>
      </c>
      <c r="F80" s="151"/>
    </row>
    <row r="81" spans="2:9" ht="30" hidden="1" x14ac:dyDescent="0.2">
      <c r="B81" s="160" t="s">
        <v>160</v>
      </c>
    </row>
    <row r="82" spans="2:9" hidden="1" x14ac:dyDescent="0.2"/>
    <row r="83" spans="2:9" hidden="1" x14ac:dyDescent="0.2">
      <c r="B83" s="257" t="s">
        <v>148</v>
      </c>
      <c r="C83" s="258"/>
      <c r="D83" s="258"/>
      <c r="E83" s="258"/>
      <c r="F83" s="259"/>
    </row>
    <row r="84" spans="2:9" ht="18.75" hidden="1" thickBot="1" x14ac:dyDescent="0.25">
      <c r="B84" s="260"/>
      <c r="C84" s="261"/>
      <c r="D84" s="261"/>
      <c r="E84" s="261"/>
      <c r="F84" s="262"/>
    </row>
    <row r="85" spans="2:9" ht="15" hidden="1" x14ac:dyDescent="0.2">
      <c r="B85" s="140" t="s">
        <v>0</v>
      </c>
      <c r="C85" s="141" t="s">
        <v>136</v>
      </c>
      <c r="D85" s="230" t="s">
        <v>40</v>
      </c>
      <c r="E85" s="231"/>
      <c r="F85" s="143" t="s">
        <v>138</v>
      </c>
    </row>
    <row r="86" spans="2:9" ht="60" hidden="1" x14ac:dyDescent="0.35">
      <c r="B86" s="144" t="s">
        <v>139</v>
      </c>
      <c r="C86" s="145">
        <v>0.05</v>
      </c>
      <c r="D86" s="145" t="e">
        <f>+#REF!-C86</f>
        <v>#REF!</v>
      </c>
      <c r="E86" s="145" t="e">
        <f>+#REF!+C86</f>
        <v>#REF!</v>
      </c>
      <c r="F86" s="146" t="s">
        <v>4</v>
      </c>
      <c r="H86" s="199" t="s">
        <v>217</v>
      </c>
    </row>
    <row r="87" spans="2:9" ht="45" hidden="1" x14ac:dyDescent="0.2">
      <c r="B87" s="144" t="s">
        <v>116</v>
      </c>
      <c r="C87" s="145">
        <v>0.06</v>
      </c>
      <c r="D87" s="145" t="e">
        <f>+#REF!-C87</f>
        <v>#REF!</v>
      </c>
      <c r="E87" s="145" t="e">
        <f>+#REF!+C87</f>
        <v>#REF!</v>
      </c>
      <c r="F87" s="147" t="s">
        <v>149</v>
      </c>
    </row>
    <row r="88" spans="2:9" ht="15" hidden="1" x14ac:dyDescent="0.2">
      <c r="B88" s="144" t="s">
        <v>47</v>
      </c>
      <c r="C88" s="145"/>
      <c r="D88" s="145" t="e">
        <f>+#REF!-C88</f>
        <v>#REF!</v>
      </c>
      <c r="E88" s="145" t="e">
        <f>+#REF!+C88</f>
        <v>#REF!</v>
      </c>
      <c r="F88" s="148"/>
    </row>
    <row r="89" spans="2:9" ht="15" hidden="1" x14ac:dyDescent="0.2">
      <c r="B89" s="144" t="s">
        <v>8</v>
      </c>
      <c r="C89" s="145"/>
      <c r="D89" s="145"/>
      <c r="E89" s="145"/>
      <c r="F89" s="148"/>
    </row>
    <row r="90" spans="2:9" ht="15.75" hidden="1" thickBot="1" x14ac:dyDescent="0.25">
      <c r="B90" s="149" t="s">
        <v>9</v>
      </c>
      <c r="C90" s="145">
        <v>0.05</v>
      </c>
      <c r="D90" s="40" t="e">
        <f>IF(#REF!-C90&gt;0,#REF!-C90,0)</f>
        <v>#REF!</v>
      </c>
      <c r="E90" s="40" t="e">
        <f>#REF!+C90</f>
        <v>#REF!</v>
      </c>
      <c r="F90" s="151"/>
    </row>
    <row r="91" spans="2:9" ht="30" hidden="1" x14ac:dyDescent="0.2">
      <c r="B91" s="160" t="s">
        <v>160</v>
      </c>
    </row>
    <row r="92" spans="2:9" hidden="1" x14ac:dyDescent="0.2"/>
    <row r="93" spans="2:9" ht="14.25" hidden="1" customHeight="1" x14ac:dyDescent="0.2">
      <c r="B93" s="225" t="s">
        <v>171</v>
      </c>
      <c r="C93" s="226"/>
      <c r="D93" s="226"/>
      <c r="E93" s="226"/>
      <c r="F93" s="226"/>
      <c r="G93" s="226"/>
      <c r="H93" s="226"/>
      <c r="I93" s="187"/>
    </row>
    <row r="94" spans="2:9" ht="18.75" hidden="1" thickBot="1" x14ac:dyDescent="0.25">
      <c r="B94" s="255"/>
      <c r="C94" s="256"/>
      <c r="D94" s="256"/>
      <c r="E94" s="256"/>
      <c r="F94" s="256"/>
      <c r="G94" s="256"/>
      <c r="H94" s="256"/>
      <c r="I94" s="187"/>
    </row>
    <row r="95" spans="2:9" ht="45" hidden="1" x14ac:dyDescent="0.2">
      <c r="B95" s="140" t="s">
        <v>0</v>
      </c>
      <c r="C95" s="186" t="s">
        <v>170</v>
      </c>
      <c r="D95" s="142" t="s">
        <v>127</v>
      </c>
      <c r="E95" s="141" t="s">
        <v>136</v>
      </c>
      <c r="F95" s="230" t="s">
        <v>137</v>
      </c>
      <c r="G95" s="231"/>
      <c r="H95" s="143" t="s">
        <v>138</v>
      </c>
      <c r="I95" s="187"/>
    </row>
    <row r="96" spans="2:9" ht="45" hidden="1" x14ac:dyDescent="0.2">
      <c r="B96" s="144" t="s">
        <v>114</v>
      </c>
      <c r="C96" s="145">
        <v>0.5</v>
      </c>
      <c r="D96" s="145">
        <v>0.5</v>
      </c>
      <c r="E96" s="145">
        <v>0.06</v>
      </c>
      <c r="F96" s="145">
        <f>+D96-E96</f>
        <v>0.44</v>
      </c>
      <c r="G96" s="145">
        <f>+D96+E96</f>
        <v>0.56000000000000005</v>
      </c>
      <c r="H96" s="146" t="s">
        <v>144</v>
      </c>
    </row>
    <row r="97" spans="2:9" ht="60" hidden="1" x14ac:dyDescent="0.2">
      <c r="B97" s="144" t="s">
        <v>139</v>
      </c>
      <c r="C97" s="145">
        <v>0.08</v>
      </c>
      <c r="D97" s="145">
        <v>0.08</v>
      </c>
      <c r="E97" s="145">
        <v>0.05</v>
      </c>
      <c r="F97" s="145">
        <f>+D97-E97</f>
        <v>0.03</v>
      </c>
      <c r="G97" s="145">
        <f>+D97+E97</f>
        <v>0.13</v>
      </c>
      <c r="H97" s="146" t="s">
        <v>4</v>
      </c>
    </row>
    <row r="98" spans="2:9" ht="75" hidden="1" x14ac:dyDescent="0.2">
      <c r="B98" s="144" t="s">
        <v>116</v>
      </c>
      <c r="C98" s="145">
        <v>0.39</v>
      </c>
      <c r="D98" s="145">
        <v>0.39</v>
      </c>
      <c r="E98" s="145">
        <v>0.06</v>
      </c>
      <c r="F98" s="145">
        <f>+D98-E98</f>
        <v>0.33</v>
      </c>
      <c r="G98" s="145">
        <f>+D98+E98</f>
        <v>0.45</v>
      </c>
      <c r="H98" s="147" t="s">
        <v>92</v>
      </c>
    </row>
    <row r="99" spans="2:9" ht="15" hidden="1" x14ac:dyDescent="0.2">
      <c r="B99" s="144" t="s">
        <v>47</v>
      </c>
      <c r="C99" s="145">
        <v>0.03</v>
      </c>
      <c r="D99" s="145">
        <v>0.03</v>
      </c>
      <c r="E99" s="145"/>
      <c r="F99" s="145">
        <f>+D99-E99</f>
        <v>0.03</v>
      </c>
      <c r="G99" s="145">
        <f>+D99+E99</f>
        <v>0.03</v>
      </c>
      <c r="H99" s="148"/>
    </row>
    <row r="100" spans="2:9" ht="15" hidden="1" x14ac:dyDescent="0.2">
      <c r="B100" s="144" t="s">
        <v>8</v>
      </c>
      <c r="C100" s="189">
        <f>SUM(C96:C99)</f>
        <v>1</v>
      </c>
      <c r="D100" s="145">
        <f>SUM(D96:D99)</f>
        <v>1</v>
      </c>
      <c r="E100" s="145"/>
      <c r="F100" s="145"/>
      <c r="G100" s="145"/>
      <c r="H100" s="148"/>
    </row>
    <row r="101" spans="2:9" ht="15.75" hidden="1" thickBot="1" x14ac:dyDescent="0.25">
      <c r="B101" s="149" t="s">
        <v>9</v>
      </c>
      <c r="C101" s="150"/>
      <c r="D101" s="150">
        <v>0.24</v>
      </c>
      <c r="E101" s="145">
        <v>0.05</v>
      </c>
      <c r="F101" s="40">
        <f t="shared" ref="F101" si="8">IF(D101-E101&gt;0,D101-E101,0)</f>
        <v>0.19</v>
      </c>
      <c r="G101" s="40">
        <f t="shared" ref="G101" si="9">D101+E101</f>
        <v>0.28999999999999998</v>
      </c>
      <c r="H101" s="151"/>
    </row>
    <row r="102" spans="2:9" ht="30" hidden="1" x14ac:dyDescent="0.2">
      <c r="B102" s="160" t="s">
        <v>160</v>
      </c>
    </row>
    <row r="103" spans="2:9" hidden="1" x14ac:dyDescent="0.2"/>
    <row r="104" spans="2:9" ht="18" hidden="1" customHeight="1" x14ac:dyDescent="0.25">
      <c r="B104" s="225" t="s">
        <v>189</v>
      </c>
      <c r="C104" s="226"/>
      <c r="D104" s="226"/>
      <c r="E104" s="226"/>
      <c r="F104" s="226"/>
      <c r="G104" s="226"/>
      <c r="H104" s="226"/>
      <c r="I104" s="192"/>
    </row>
    <row r="105" spans="2:9" ht="18.75" hidden="1" thickBot="1" x14ac:dyDescent="0.3">
      <c r="B105" s="255"/>
      <c r="C105" s="256"/>
      <c r="D105" s="256"/>
      <c r="E105" s="256"/>
      <c r="F105" s="256"/>
      <c r="G105" s="256"/>
      <c r="H105" s="256"/>
      <c r="I105" s="192"/>
    </row>
    <row r="106" spans="2:9" ht="45" hidden="1" x14ac:dyDescent="0.2">
      <c r="B106" s="140" t="s">
        <v>0</v>
      </c>
      <c r="C106" s="186" t="s">
        <v>170</v>
      </c>
      <c r="D106" s="142" t="s">
        <v>127</v>
      </c>
      <c r="E106" s="141" t="s">
        <v>136</v>
      </c>
      <c r="F106" s="242" t="s">
        <v>137</v>
      </c>
      <c r="G106" s="243"/>
      <c r="H106" s="143" t="s">
        <v>138</v>
      </c>
    </row>
    <row r="107" spans="2:9" ht="30" hidden="1" x14ac:dyDescent="0.2">
      <c r="B107" s="144" t="s">
        <v>114</v>
      </c>
      <c r="C107" s="189">
        <v>0.97</v>
      </c>
      <c r="D107" s="145">
        <v>0.94</v>
      </c>
      <c r="E107" s="145">
        <v>0.06</v>
      </c>
      <c r="F107" s="145">
        <f t="shared" ref="F107" si="10">+D107-E107</f>
        <v>0.87999999999999989</v>
      </c>
      <c r="G107" s="145">
        <f>+D107+E107</f>
        <v>1</v>
      </c>
      <c r="H107" s="146" t="s">
        <v>150</v>
      </c>
    </row>
    <row r="108" spans="2:9" ht="15" hidden="1" x14ac:dyDescent="0.2">
      <c r="B108" s="144" t="s">
        <v>47</v>
      </c>
      <c r="C108" s="189">
        <v>0.03</v>
      </c>
      <c r="D108" s="145">
        <v>0.06</v>
      </c>
      <c r="E108" s="145"/>
      <c r="F108" s="145">
        <f>+D108-E108</f>
        <v>0.06</v>
      </c>
      <c r="G108" s="145">
        <f>+D108+E108</f>
        <v>0.06</v>
      </c>
      <c r="H108" s="148"/>
    </row>
    <row r="109" spans="2:9" ht="15" hidden="1" x14ac:dyDescent="0.2">
      <c r="B109" s="144" t="s">
        <v>8</v>
      </c>
      <c r="C109" s="189">
        <f>SUM(C107:C108)</f>
        <v>1</v>
      </c>
      <c r="D109" s="145">
        <f>SUM(D107:D108)</f>
        <v>1</v>
      </c>
      <c r="E109" s="145"/>
      <c r="F109" s="145"/>
      <c r="G109" s="145"/>
      <c r="H109" s="148"/>
    </row>
    <row r="110" spans="2:9" ht="15.75" hidden="1" thickBot="1" x14ac:dyDescent="0.25">
      <c r="B110" s="149" t="s">
        <v>9</v>
      </c>
      <c r="C110" s="150"/>
      <c r="D110" s="150">
        <v>0.96</v>
      </c>
      <c r="E110" s="145">
        <v>0.05</v>
      </c>
      <c r="F110" s="40">
        <f t="shared" ref="F110" si="11">IF(D110-E110&gt;0,D110-E110,0)</f>
        <v>0.90999999999999992</v>
      </c>
      <c r="G110" s="40">
        <f t="shared" ref="G110" si="12">D110+E110</f>
        <v>1.01</v>
      </c>
      <c r="H110" s="151"/>
    </row>
    <row r="111" spans="2:9" ht="30" hidden="1" x14ac:dyDescent="0.2">
      <c r="B111" s="160" t="s">
        <v>160</v>
      </c>
      <c r="C111" s="163"/>
      <c r="D111" s="162"/>
      <c r="E111" s="162"/>
      <c r="F111" s="158"/>
    </row>
    <row r="112" spans="2:9" hidden="1" x14ac:dyDescent="0.2"/>
    <row r="113" spans="2:9" ht="14.25" hidden="1" customHeight="1" x14ac:dyDescent="0.25">
      <c r="B113" s="225" t="s">
        <v>192</v>
      </c>
      <c r="C113" s="226"/>
      <c r="D113" s="226"/>
      <c r="E113" s="226"/>
      <c r="F113" s="226"/>
      <c r="G113" s="226"/>
      <c r="H113" s="226"/>
      <c r="I113" s="192"/>
    </row>
    <row r="114" spans="2:9" ht="18.75" hidden="1" thickBot="1" x14ac:dyDescent="0.3">
      <c r="B114" s="255"/>
      <c r="C114" s="256"/>
      <c r="D114" s="256"/>
      <c r="E114" s="256"/>
      <c r="F114" s="256"/>
      <c r="G114" s="256"/>
      <c r="H114" s="256"/>
      <c r="I114" s="192"/>
    </row>
    <row r="115" spans="2:9" ht="45" hidden="1" x14ac:dyDescent="0.25">
      <c r="B115" s="140" t="s">
        <v>0</v>
      </c>
      <c r="C115" s="186" t="s">
        <v>170</v>
      </c>
      <c r="D115" s="142" t="s">
        <v>127</v>
      </c>
      <c r="E115" s="141" t="s">
        <v>136</v>
      </c>
      <c r="F115" s="230" t="s">
        <v>137</v>
      </c>
      <c r="G115" s="231"/>
      <c r="H115" s="143" t="s">
        <v>138</v>
      </c>
      <c r="I115" s="192"/>
    </row>
    <row r="116" spans="2:9" ht="30" hidden="1" x14ac:dyDescent="0.2">
      <c r="B116" s="144" t="s">
        <v>114</v>
      </c>
      <c r="C116" s="145">
        <v>0</v>
      </c>
      <c r="D116" s="145">
        <v>0</v>
      </c>
      <c r="E116" s="145">
        <v>0.05</v>
      </c>
      <c r="F116" s="145">
        <v>0</v>
      </c>
      <c r="G116" s="145">
        <f t="shared" ref="G116:G120" si="13">+D116+E116</f>
        <v>0.05</v>
      </c>
      <c r="H116" s="146"/>
    </row>
    <row r="117" spans="2:9" ht="60" hidden="1" x14ac:dyDescent="0.2">
      <c r="B117" s="144" t="s">
        <v>139</v>
      </c>
      <c r="C117" s="145">
        <v>0.08</v>
      </c>
      <c r="D117" s="145">
        <v>0.08</v>
      </c>
      <c r="E117" s="145">
        <v>0.05</v>
      </c>
      <c r="F117" s="145">
        <v>0</v>
      </c>
      <c r="G117" s="145">
        <f t="shared" si="13"/>
        <v>0.13</v>
      </c>
      <c r="H117" s="146"/>
    </row>
    <row r="118" spans="2:9" ht="30" hidden="1" x14ac:dyDescent="0.2">
      <c r="B118" s="144" t="s">
        <v>116</v>
      </c>
      <c r="C118" s="145">
        <v>0.89</v>
      </c>
      <c r="D118" s="145">
        <v>0.89</v>
      </c>
      <c r="E118" s="145">
        <v>0.05</v>
      </c>
      <c r="F118" s="145">
        <v>0</v>
      </c>
      <c r="G118" s="145">
        <f t="shared" si="13"/>
        <v>0.94000000000000006</v>
      </c>
      <c r="H118" s="147"/>
    </row>
    <row r="119" spans="2:9" ht="15" hidden="1" x14ac:dyDescent="0.2">
      <c r="B119" s="144" t="s">
        <v>47</v>
      </c>
      <c r="C119" s="145">
        <v>0.03</v>
      </c>
      <c r="D119" s="145">
        <v>0.03</v>
      </c>
      <c r="E119" s="145">
        <v>0.05</v>
      </c>
      <c r="F119" s="145">
        <v>0</v>
      </c>
      <c r="G119" s="145">
        <f t="shared" si="13"/>
        <v>0.08</v>
      </c>
      <c r="H119" s="148"/>
    </row>
    <row r="120" spans="2:9" ht="15" hidden="1" x14ac:dyDescent="0.2">
      <c r="B120" s="144" t="s">
        <v>8</v>
      </c>
      <c r="C120" s="145">
        <f>SUM(C116:C119)</f>
        <v>1</v>
      </c>
      <c r="D120" s="145">
        <f>SUM(D116:D119)</f>
        <v>1</v>
      </c>
      <c r="E120" s="145">
        <v>0.05</v>
      </c>
      <c r="F120" s="145">
        <v>0</v>
      </c>
      <c r="G120" s="145">
        <f t="shared" si="13"/>
        <v>1.05</v>
      </c>
      <c r="H120" s="148"/>
    </row>
    <row r="121" spans="2:9" ht="15.75" hidden="1" thickBot="1" x14ac:dyDescent="0.25">
      <c r="B121" s="149" t="s">
        <v>9</v>
      </c>
      <c r="C121" s="150"/>
      <c r="D121" s="150">
        <v>0.96</v>
      </c>
      <c r="E121" s="145">
        <v>0.05</v>
      </c>
      <c r="F121" s="40">
        <f t="shared" ref="F121" si="14">IF(D121-E121&gt;0,D121-E121,0)</f>
        <v>0.90999999999999992</v>
      </c>
      <c r="G121" s="40">
        <f t="shared" ref="G121" si="15">D121+E121</f>
        <v>1.01</v>
      </c>
      <c r="H121" s="151"/>
    </row>
    <row r="122" spans="2:9" ht="30" hidden="1" x14ac:dyDescent="0.2">
      <c r="B122" s="160" t="s">
        <v>160</v>
      </c>
      <c r="C122" s="160"/>
      <c r="D122" s="163">
        <v>2E-3</v>
      </c>
    </row>
    <row r="123" spans="2:9" hidden="1" x14ac:dyDescent="0.2"/>
    <row r="124" spans="2:9" hidden="1" x14ac:dyDescent="0.2"/>
    <row r="125" spans="2:9" hidden="1" x14ac:dyDescent="0.2"/>
    <row r="126" spans="2:9" ht="18" hidden="1" x14ac:dyDescent="0.25">
      <c r="B126" s="247" t="s">
        <v>193</v>
      </c>
      <c r="C126" s="226"/>
      <c r="D126" s="226"/>
      <c r="E126" s="226"/>
      <c r="F126" s="226"/>
      <c r="G126" s="226"/>
      <c r="H126" s="226"/>
      <c r="I126" s="192"/>
    </row>
    <row r="127" spans="2:9" ht="18.75" hidden="1" thickBot="1" x14ac:dyDescent="0.25">
      <c r="B127" s="255"/>
      <c r="C127" s="256"/>
      <c r="D127" s="256"/>
      <c r="E127" s="256"/>
      <c r="F127" s="256"/>
      <c r="G127" s="256"/>
      <c r="H127" s="256"/>
    </row>
    <row r="128" spans="2:9" ht="45" hidden="1" x14ac:dyDescent="0.25">
      <c r="B128" s="140" t="s">
        <v>0</v>
      </c>
      <c r="C128" s="186" t="s">
        <v>170</v>
      </c>
      <c r="D128" s="142" t="s">
        <v>127</v>
      </c>
      <c r="E128" s="141" t="s">
        <v>136</v>
      </c>
      <c r="F128" s="230" t="s">
        <v>137</v>
      </c>
      <c r="G128" s="231"/>
      <c r="H128" s="143" t="s">
        <v>138</v>
      </c>
      <c r="I128" s="192"/>
    </row>
    <row r="129" spans="2:8" ht="45" hidden="1" x14ac:dyDescent="0.2">
      <c r="B129" s="144" t="s">
        <v>114</v>
      </c>
      <c r="C129" s="145"/>
      <c r="D129" s="145"/>
      <c r="E129" s="145">
        <v>0.06</v>
      </c>
      <c r="F129" s="145">
        <f>+D129-E129</f>
        <v>-0.06</v>
      </c>
      <c r="G129" s="145">
        <f>+D129+E129</f>
        <v>0.06</v>
      </c>
      <c r="H129" s="146" t="s">
        <v>144</v>
      </c>
    </row>
    <row r="130" spans="2:8" ht="60" hidden="1" x14ac:dyDescent="0.2">
      <c r="B130" s="144" t="s">
        <v>139</v>
      </c>
      <c r="C130" s="145"/>
      <c r="D130" s="145"/>
      <c r="E130" s="145">
        <v>0.05</v>
      </c>
      <c r="F130" s="145">
        <f>+D130-E130</f>
        <v>-0.05</v>
      </c>
      <c r="G130" s="145">
        <f>+D130+E130</f>
        <v>0.05</v>
      </c>
      <c r="H130" s="146" t="s">
        <v>4</v>
      </c>
    </row>
    <row r="131" spans="2:8" ht="75" hidden="1" x14ac:dyDescent="0.2">
      <c r="B131" s="144" t="s">
        <v>116</v>
      </c>
      <c r="C131" s="145"/>
      <c r="D131" s="145"/>
      <c r="E131" s="145">
        <v>0.06</v>
      </c>
      <c r="F131" s="145">
        <f>+D131-E131</f>
        <v>-0.06</v>
      </c>
      <c r="G131" s="145">
        <f>+D131+E131</f>
        <v>0.06</v>
      </c>
      <c r="H131" s="147" t="s">
        <v>92</v>
      </c>
    </row>
    <row r="132" spans="2:8" ht="15" hidden="1" x14ac:dyDescent="0.2">
      <c r="B132" s="144" t="s">
        <v>47</v>
      </c>
      <c r="C132" s="145"/>
      <c r="D132" s="145"/>
      <c r="E132" s="145"/>
      <c r="F132" s="145">
        <f>+D132-E132</f>
        <v>0</v>
      </c>
      <c r="G132" s="145">
        <f>+D132+E132</f>
        <v>0</v>
      </c>
      <c r="H132" s="148"/>
    </row>
    <row r="133" spans="2:8" ht="15" hidden="1" x14ac:dyDescent="0.2">
      <c r="B133" s="144" t="s">
        <v>8</v>
      </c>
      <c r="C133" s="189">
        <f>SUM(C129:C132)</f>
        <v>0</v>
      </c>
      <c r="D133" s="145">
        <f>SUM(D129:D132)</f>
        <v>0</v>
      </c>
      <c r="E133" s="145"/>
      <c r="F133" s="145"/>
      <c r="G133" s="145"/>
      <c r="H133" s="148"/>
    </row>
    <row r="134" spans="2:8" ht="15.75" hidden="1" thickBot="1" x14ac:dyDescent="0.25">
      <c r="B134" s="149" t="s">
        <v>9</v>
      </c>
      <c r="C134" s="150"/>
      <c r="D134" s="150"/>
      <c r="E134" s="145">
        <v>0.05</v>
      </c>
      <c r="F134" s="40">
        <f t="shared" ref="F134" si="16">IF(D134-E134&gt;0,D134-E134,0)</f>
        <v>0</v>
      </c>
      <c r="G134" s="40">
        <f t="shared" ref="G134" si="17">D134+E134</f>
        <v>0.05</v>
      </c>
      <c r="H134" s="151"/>
    </row>
  </sheetData>
  <mergeCells count="45">
    <mergeCell ref="B1:H2"/>
    <mergeCell ref="F6:G6"/>
    <mergeCell ref="F18:G18"/>
    <mergeCell ref="D66:E66"/>
    <mergeCell ref="B42:H42"/>
    <mergeCell ref="B43:H43"/>
    <mergeCell ref="F44:G44"/>
    <mergeCell ref="B52:H52"/>
    <mergeCell ref="B53:H53"/>
    <mergeCell ref="F54:G54"/>
    <mergeCell ref="B64:F64"/>
    <mergeCell ref="B65:F65"/>
    <mergeCell ref="C24:H24"/>
    <mergeCell ref="C13:H13"/>
    <mergeCell ref="B3:H3"/>
    <mergeCell ref="B25:H25"/>
    <mergeCell ref="B93:H93"/>
    <mergeCell ref="B94:H94"/>
    <mergeCell ref="F95:G95"/>
    <mergeCell ref="B74:F74"/>
    <mergeCell ref="B75:F75"/>
    <mergeCell ref="D76:E76"/>
    <mergeCell ref="B126:H126"/>
    <mergeCell ref="B127:H127"/>
    <mergeCell ref="F128:G128"/>
    <mergeCell ref="B4:H4"/>
    <mergeCell ref="B5:H5"/>
    <mergeCell ref="B16:H16"/>
    <mergeCell ref="B17:H17"/>
    <mergeCell ref="B104:H104"/>
    <mergeCell ref="B105:H105"/>
    <mergeCell ref="F106:G106"/>
    <mergeCell ref="B113:H113"/>
    <mergeCell ref="B114:H114"/>
    <mergeCell ref="F115:G115"/>
    <mergeCell ref="B83:F83"/>
    <mergeCell ref="B84:F84"/>
    <mergeCell ref="D85:E85"/>
    <mergeCell ref="A28:H28"/>
    <mergeCell ref="A4:A13"/>
    <mergeCell ref="B14:H14"/>
    <mergeCell ref="I4:I13"/>
    <mergeCell ref="B15:H15"/>
    <mergeCell ref="A16:A24"/>
    <mergeCell ref="I16:I24"/>
  </mergeCells>
  <pageMargins left="0.27" right="0.26" top="0.31" bottom="0.33" header="0.31496062992125984" footer="0.25"/>
  <pageSetup paperSize="9" scale="6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pageSetUpPr fitToPage="1"/>
  </sheetPr>
  <dimension ref="A1:K86"/>
  <sheetViews>
    <sheetView showGridLines="0" rightToLeft="1" zoomScale="80" zoomScaleNormal="80" zoomScaleSheetLayoutView="70" workbookViewId="0">
      <selection activeCell="C101" sqref="C101"/>
    </sheetView>
  </sheetViews>
  <sheetFormatPr defaultColWidth="8" defaultRowHeight="14.25" x14ac:dyDescent="0.2"/>
  <cols>
    <col min="1" max="1" width="8" style="47"/>
    <col min="2" max="2" width="36" style="47" customWidth="1"/>
    <col min="3" max="3" width="12.125" style="47" customWidth="1"/>
    <col min="4" max="4" width="15.5" style="47" customWidth="1"/>
    <col min="5" max="6" width="12.25" style="47" customWidth="1"/>
    <col min="7" max="7" width="12.5" style="47" customWidth="1"/>
    <col min="8" max="8" width="43.125" style="47" customWidth="1"/>
    <col min="9" max="9" width="24.75" style="47" customWidth="1"/>
    <col min="10" max="10" width="32.5" style="47" customWidth="1"/>
    <col min="11" max="11" width="30.5" style="47" bestFit="1" customWidth="1"/>
    <col min="12" max="16384" width="8" style="47"/>
  </cols>
  <sheetData>
    <row r="1" spans="1:11" ht="14.25" customHeight="1" x14ac:dyDescent="0.2">
      <c r="B1" s="251" t="str">
        <f>'קרן י'!B1</f>
        <v>מדיניות השקעה לשנת 2024</v>
      </c>
      <c r="C1" s="251"/>
      <c r="D1" s="251"/>
      <c r="E1" s="251"/>
      <c r="F1" s="251"/>
      <c r="G1" s="251"/>
      <c r="H1" s="251"/>
      <c r="I1" s="251"/>
    </row>
    <row r="2" spans="1:11" ht="27.6" customHeight="1" x14ac:dyDescent="0.2">
      <c r="B2" s="251"/>
      <c r="C2" s="251"/>
      <c r="D2" s="251"/>
      <c r="E2" s="251"/>
      <c r="F2" s="251"/>
      <c r="G2" s="251"/>
      <c r="H2" s="251"/>
      <c r="I2" s="251"/>
      <c r="J2" s="169"/>
    </row>
    <row r="3" spans="1:11" ht="27.6" customHeight="1" x14ac:dyDescent="0.2">
      <c r="B3" s="268" t="s">
        <v>259</v>
      </c>
      <c r="C3" s="268"/>
      <c r="D3" s="268"/>
      <c r="E3" s="268"/>
      <c r="F3" s="268"/>
      <c r="G3" s="268"/>
      <c r="H3" s="268"/>
      <c r="I3" s="268"/>
      <c r="J3" s="169"/>
    </row>
    <row r="4" spans="1:11" ht="18" x14ac:dyDescent="0.25">
      <c r="A4" s="246" t="s">
        <v>260</v>
      </c>
      <c r="B4" s="271" t="s">
        <v>226</v>
      </c>
      <c r="C4" s="272"/>
      <c r="D4" s="272"/>
      <c r="E4" s="272"/>
      <c r="F4" s="272"/>
      <c r="G4" s="272"/>
      <c r="H4" s="272"/>
      <c r="I4" s="272"/>
      <c r="J4" s="246" t="s">
        <v>262</v>
      </c>
      <c r="K4" s="95"/>
    </row>
    <row r="5" spans="1:11" ht="18.75" thickBot="1" x14ac:dyDescent="0.3">
      <c r="A5" s="246"/>
      <c r="B5" s="273" t="s">
        <v>202</v>
      </c>
      <c r="C5" s="274"/>
      <c r="D5" s="274"/>
      <c r="E5" s="274"/>
      <c r="F5" s="274"/>
      <c r="G5" s="274"/>
      <c r="H5" s="274"/>
      <c r="I5" s="274"/>
      <c r="J5" s="246"/>
      <c r="K5" s="95"/>
    </row>
    <row r="6" spans="1:11" ht="65.25" customHeight="1" x14ac:dyDescent="0.2">
      <c r="A6" s="246"/>
      <c r="B6" s="48" t="s">
        <v>0</v>
      </c>
      <c r="C6" s="36" t="s">
        <v>251</v>
      </c>
      <c r="D6" s="186" t="s">
        <v>252</v>
      </c>
      <c r="E6" s="48" t="s">
        <v>72</v>
      </c>
      <c r="F6" s="269" t="s">
        <v>40</v>
      </c>
      <c r="G6" s="275"/>
      <c r="H6" s="269" t="s">
        <v>91</v>
      </c>
      <c r="I6" s="270"/>
      <c r="J6" s="246"/>
    </row>
    <row r="7" spans="1:11" ht="15" x14ac:dyDescent="0.2">
      <c r="A7" s="246"/>
      <c r="B7" s="50"/>
      <c r="C7" s="50"/>
      <c r="D7" s="57"/>
      <c r="E7" s="51"/>
      <c r="F7" s="51"/>
      <c r="G7" s="51"/>
      <c r="H7" s="56">
        <v>0.27</v>
      </c>
      <c r="I7" s="59" t="s">
        <v>75</v>
      </c>
      <c r="J7" s="246"/>
    </row>
    <row r="8" spans="1:11" ht="15" x14ac:dyDescent="0.2">
      <c r="A8" s="246"/>
      <c r="B8" s="50"/>
      <c r="C8" s="52"/>
      <c r="D8" s="52"/>
      <c r="E8" s="53"/>
      <c r="F8" s="53"/>
      <c r="G8" s="53"/>
      <c r="H8" s="56">
        <v>9.6000000000000002E-2</v>
      </c>
      <c r="I8" s="59" t="s">
        <v>93</v>
      </c>
      <c r="J8" s="246"/>
    </row>
    <row r="9" spans="1:11" ht="15" x14ac:dyDescent="0.2">
      <c r="A9" s="246"/>
      <c r="B9" s="50" t="s">
        <v>76</v>
      </c>
      <c r="C9" s="52">
        <v>0.54</v>
      </c>
      <c r="D9" s="52">
        <v>0.54</v>
      </c>
      <c r="E9" s="53">
        <v>0.06</v>
      </c>
      <c r="F9" s="53">
        <f>C9-E9</f>
        <v>0.48000000000000004</v>
      </c>
      <c r="G9" s="53">
        <f>C9+E9</f>
        <v>0.60000000000000009</v>
      </c>
      <c r="H9" s="56">
        <v>9.6000000000000002E-2</v>
      </c>
      <c r="I9" s="59" t="s">
        <v>78</v>
      </c>
      <c r="J9" s="246"/>
    </row>
    <row r="10" spans="1:11" ht="15" x14ac:dyDescent="0.2">
      <c r="A10" s="246"/>
      <c r="B10" s="50"/>
      <c r="C10" s="52"/>
      <c r="D10" s="52"/>
      <c r="E10" s="53"/>
      <c r="F10" s="53"/>
      <c r="G10" s="53"/>
      <c r="H10" s="56">
        <v>4.8000000000000001E-2</v>
      </c>
      <c r="I10" s="59" t="s">
        <v>77</v>
      </c>
      <c r="J10" s="246"/>
    </row>
    <row r="11" spans="1:11" ht="15" x14ac:dyDescent="0.2">
      <c r="A11" s="246"/>
      <c r="B11" s="50"/>
      <c r="C11" s="52"/>
      <c r="D11" s="52"/>
      <c r="E11" s="53"/>
      <c r="F11" s="53"/>
      <c r="G11" s="53"/>
      <c r="H11" s="56">
        <v>0.09</v>
      </c>
      <c r="I11" s="59" t="s">
        <v>103</v>
      </c>
      <c r="J11" s="246"/>
    </row>
    <row r="12" spans="1:11" ht="15" x14ac:dyDescent="0.2">
      <c r="A12" s="246"/>
      <c r="B12" s="50"/>
      <c r="C12" s="52"/>
      <c r="D12" s="52"/>
      <c r="E12" s="53"/>
      <c r="F12" s="53"/>
      <c r="G12" s="53"/>
      <c r="H12" s="56">
        <v>0.36000000000000004</v>
      </c>
      <c r="I12" s="59" t="s">
        <v>79</v>
      </c>
      <c r="J12" s="246"/>
    </row>
    <row r="13" spans="1:11" ht="15" x14ac:dyDescent="0.2">
      <c r="A13" s="246"/>
      <c r="B13" s="50"/>
      <c r="C13" s="52"/>
      <c r="D13" s="52"/>
      <c r="E13" s="53"/>
      <c r="F13" s="53"/>
      <c r="G13" s="53"/>
      <c r="H13" s="56">
        <v>2.0000000000000004E-2</v>
      </c>
      <c r="I13" s="59" t="s">
        <v>94</v>
      </c>
      <c r="J13" s="246"/>
    </row>
    <row r="14" spans="1:11" ht="30" x14ac:dyDescent="0.2">
      <c r="A14" s="246"/>
      <c r="B14" s="54"/>
      <c r="C14" s="55"/>
      <c r="D14" s="55"/>
      <c r="E14" s="56"/>
      <c r="F14" s="56"/>
      <c r="G14" s="56"/>
      <c r="H14" s="56">
        <v>2.0000000000000004E-2</v>
      </c>
      <c r="I14" s="59" t="s">
        <v>87</v>
      </c>
      <c r="J14" s="246"/>
    </row>
    <row r="15" spans="1:11" ht="15" x14ac:dyDescent="0.2">
      <c r="A15" s="246"/>
      <c r="B15" s="50"/>
      <c r="C15" s="57"/>
      <c r="D15" s="57"/>
      <c r="E15" s="53"/>
      <c r="F15" s="53"/>
      <c r="G15" s="53"/>
      <c r="H15" s="56">
        <v>0.12</v>
      </c>
      <c r="I15" s="59" t="s">
        <v>104</v>
      </c>
      <c r="J15" s="246"/>
    </row>
    <row r="16" spans="1:11" ht="15" x14ac:dyDescent="0.2">
      <c r="A16" s="246"/>
      <c r="B16" s="50" t="s">
        <v>81</v>
      </c>
      <c r="C16" s="52">
        <v>0.08</v>
      </c>
      <c r="D16" s="52">
        <v>0.08</v>
      </c>
      <c r="E16" s="53">
        <v>0.05</v>
      </c>
      <c r="F16" s="53">
        <f>C16-E16</f>
        <v>0.03</v>
      </c>
      <c r="G16" s="53">
        <f>C16+E16</f>
        <v>0.13</v>
      </c>
      <c r="H16" s="56">
        <v>0.17</v>
      </c>
      <c r="I16" s="59" t="s">
        <v>80</v>
      </c>
      <c r="J16" s="246"/>
    </row>
    <row r="17" spans="1:10" ht="15" x14ac:dyDescent="0.2">
      <c r="A17" s="246"/>
      <c r="B17" s="50" t="s">
        <v>83</v>
      </c>
      <c r="C17" s="52"/>
      <c r="D17" s="52"/>
      <c r="E17" s="53"/>
      <c r="F17" s="53"/>
      <c r="G17" s="53"/>
      <c r="H17" s="56">
        <v>7.0000000000000007E-2</v>
      </c>
      <c r="I17" s="59" t="s">
        <v>82</v>
      </c>
      <c r="J17" s="246"/>
    </row>
    <row r="18" spans="1:10" ht="15" x14ac:dyDescent="0.2">
      <c r="A18" s="246"/>
      <c r="B18" s="50"/>
      <c r="C18" s="52"/>
      <c r="D18" s="52"/>
      <c r="E18" s="53"/>
      <c r="F18" s="53"/>
      <c r="G18" s="53"/>
      <c r="H18" s="56">
        <v>0.09</v>
      </c>
      <c r="I18" s="59" t="s">
        <v>105</v>
      </c>
      <c r="J18" s="246"/>
    </row>
    <row r="19" spans="1:10" ht="15" x14ac:dyDescent="0.2">
      <c r="A19" s="246"/>
      <c r="B19" s="50"/>
      <c r="C19" s="52"/>
      <c r="D19" s="52"/>
      <c r="E19" s="53"/>
      <c r="F19" s="53"/>
      <c r="G19" s="53"/>
      <c r="H19" s="56">
        <v>0.13</v>
      </c>
      <c r="I19" s="59" t="s">
        <v>106</v>
      </c>
      <c r="J19" s="246"/>
    </row>
    <row r="20" spans="1:10" ht="15" x14ac:dyDescent="0.2">
      <c r="A20" s="246"/>
      <c r="B20" s="50"/>
      <c r="C20" s="52"/>
      <c r="D20" s="52"/>
      <c r="E20" s="53"/>
      <c r="F20" s="53"/>
      <c r="G20" s="53"/>
      <c r="H20" s="56">
        <v>0.17</v>
      </c>
      <c r="I20" s="59" t="s">
        <v>84</v>
      </c>
      <c r="J20" s="246"/>
    </row>
    <row r="21" spans="1:10" ht="15" x14ac:dyDescent="0.2">
      <c r="A21" s="246"/>
      <c r="B21" s="50"/>
      <c r="C21" s="52"/>
      <c r="D21" s="52"/>
      <c r="E21" s="53"/>
      <c r="F21" s="53"/>
      <c r="G21" s="53"/>
      <c r="H21" s="56">
        <v>0.09</v>
      </c>
      <c r="I21" s="59" t="s">
        <v>107</v>
      </c>
      <c r="J21" s="246"/>
    </row>
    <row r="22" spans="1:10" ht="15" x14ac:dyDescent="0.2">
      <c r="A22" s="246"/>
      <c r="B22" s="54"/>
      <c r="C22" s="55"/>
      <c r="D22" s="55"/>
      <c r="E22" s="56"/>
      <c r="F22" s="56"/>
      <c r="G22" s="56"/>
      <c r="H22" s="56">
        <v>0.16</v>
      </c>
      <c r="I22" s="59" t="s">
        <v>108</v>
      </c>
      <c r="J22" s="246"/>
    </row>
    <row r="23" spans="1:10" s="58" customFormat="1" ht="15" x14ac:dyDescent="0.2">
      <c r="A23" s="246"/>
      <c r="B23" s="50"/>
      <c r="C23" s="57"/>
      <c r="D23" s="57"/>
      <c r="E23" s="53"/>
      <c r="F23" s="53"/>
      <c r="G23" s="53"/>
      <c r="H23" s="56">
        <v>0.126</v>
      </c>
      <c r="I23" s="59" t="s">
        <v>88</v>
      </c>
      <c r="J23" s="246"/>
    </row>
    <row r="24" spans="1:10" ht="15" x14ac:dyDescent="0.2">
      <c r="A24" s="246"/>
      <c r="B24" s="50"/>
      <c r="C24" s="52"/>
      <c r="D24" s="52"/>
      <c r="E24" s="53"/>
      <c r="F24" s="53"/>
      <c r="G24" s="53"/>
      <c r="H24" s="56">
        <v>7.1999999999999995E-2</v>
      </c>
      <c r="I24" s="59" t="s">
        <v>99</v>
      </c>
      <c r="J24" s="246"/>
    </row>
    <row r="25" spans="1:10" ht="15" x14ac:dyDescent="0.2">
      <c r="A25" s="246"/>
      <c r="B25" s="50"/>
      <c r="C25" s="52"/>
      <c r="D25" s="52"/>
      <c r="E25" s="53"/>
      <c r="F25" s="53"/>
      <c r="G25" s="53"/>
      <c r="H25" s="56">
        <v>4.4999999999999998E-2</v>
      </c>
      <c r="I25" s="59" t="s">
        <v>100</v>
      </c>
      <c r="J25" s="246"/>
    </row>
    <row r="26" spans="1:10" ht="15" x14ac:dyDescent="0.2">
      <c r="A26" s="246"/>
      <c r="B26" s="50" t="s">
        <v>41</v>
      </c>
      <c r="C26" s="52">
        <v>0.36</v>
      </c>
      <c r="D26" s="52">
        <v>0.36</v>
      </c>
      <c r="E26" s="53">
        <v>0.06</v>
      </c>
      <c r="F26" s="53">
        <f>C26-E26</f>
        <v>0.3</v>
      </c>
      <c r="G26" s="53">
        <f>C26+E26</f>
        <v>0.42</v>
      </c>
      <c r="H26" s="56">
        <v>1.7999999999999999E-2</v>
      </c>
      <c r="I26" s="59" t="s">
        <v>101</v>
      </c>
      <c r="J26" s="246"/>
    </row>
    <row r="27" spans="1:10" ht="15" x14ac:dyDescent="0.2">
      <c r="A27" s="246"/>
      <c r="B27" s="50"/>
      <c r="C27" s="52"/>
      <c r="D27" s="52"/>
      <c r="E27" s="53"/>
      <c r="F27" s="53"/>
      <c r="G27" s="53"/>
      <c r="H27" s="56">
        <v>3.9E-2</v>
      </c>
      <c r="I27" s="59" t="s">
        <v>95</v>
      </c>
      <c r="J27" s="246"/>
    </row>
    <row r="28" spans="1:10" ht="15" x14ac:dyDescent="0.2">
      <c r="A28" s="246"/>
      <c r="B28" s="50"/>
      <c r="C28" s="52"/>
      <c r="D28" s="52"/>
      <c r="E28" s="53"/>
      <c r="F28" s="53"/>
      <c r="G28" s="53"/>
      <c r="H28" s="56">
        <v>0.315</v>
      </c>
      <c r="I28" s="59" t="s">
        <v>109</v>
      </c>
      <c r="J28" s="246"/>
    </row>
    <row r="29" spans="1:10" ht="15" x14ac:dyDescent="0.2">
      <c r="A29" s="246"/>
      <c r="B29" s="50"/>
      <c r="C29" s="52"/>
      <c r="D29" s="52"/>
      <c r="E29" s="53"/>
      <c r="F29" s="53"/>
      <c r="G29" s="53"/>
      <c r="H29" s="56">
        <v>0.23099999999999998</v>
      </c>
      <c r="I29" s="59" t="s">
        <v>110</v>
      </c>
      <c r="J29" s="246"/>
    </row>
    <row r="30" spans="1:10" ht="15" x14ac:dyDescent="0.2">
      <c r="A30" s="246"/>
      <c r="B30" s="50"/>
      <c r="C30" s="52"/>
      <c r="D30" s="52"/>
      <c r="E30" s="53"/>
      <c r="F30" s="53"/>
      <c r="G30" s="53"/>
      <c r="H30" s="56">
        <v>6.9999999999999993E-2</v>
      </c>
      <c r="I30" s="59" t="s">
        <v>111</v>
      </c>
      <c r="J30" s="246"/>
    </row>
    <row r="31" spans="1:10" ht="15" x14ac:dyDescent="0.2">
      <c r="A31" s="246"/>
      <c r="B31" s="50"/>
      <c r="C31" s="52"/>
      <c r="D31" s="52"/>
      <c r="E31" s="53"/>
      <c r="F31" s="53"/>
      <c r="G31" s="53"/>
      <c r="H31" s="56">
        <v>3.4999999999999996E-2</v>
      </c>
      <c r="I31" s="59" t="s">
        <v>112</v>
      </c>
      <c r="J31" s="246"/>
    </row>
    <row r="32" spans="1:10" ht="15" x14ac:dyDescent="0.2">
      <c r="A32" s="246"/>
      <c r="B32" s="54"/>
      <c r="C32" s="55"/>
      <c r="D32" s="55"/>
      <c r="E32" s="60"/>
      <c r="F32" s="60"/>
      <c r="G32" s="60"/>
      <c r="H32" s="56">
        <v>4.9000000000000002E-2</v>
      </c>
      <c r="I32" s="83" t="s">
        <v>113</v>
      </c>
      <c r="J32" s="246"/>
    </row>
    <row r="33" spans="1:10" ht="15" x14ac:dyDescent="0.2">
      <c r="A33" s="246"/>
      <c r="B33" s="61" t="s">
        <v>47</v>
      </c>
      <c r="C33" s="55">
        <v>0.02</v>
      </c>
      <c r="D33" s="55">
        <v>0.02</v>
      </c>
      <c r="E33" s="56"/>
      <c r="F33" s="56"/>
      <c r="G33" s="56"/>
      <c r="H33" s="56">
        <v>1</v>
      </c>
      <c r="I33" s="64" t="s">
        <v>85</v>
      </c>
      <c r="J33" s="246"/>
    </row>
    <row r="34" spans="1:10" ht="15" x14ac:dyDescent="0.2">
      <c r="A34" s="246"/>
      <c r="B34" s="61" t="s">
        <v>8</v>
      </c>
      <c r="C34" s="55">
        <f>SUM(C7:C33)</f>
        <v>1</v>
      </c>
      <c r="D34" s="55">
        <v>1</v>
      </c>
      <c r="E34" s="56"/>
      <c r="F34" s="56"/>
      <c r="G34" s="56"/>
      <c r="H34" s="62"/>
      <c r="I34" s="63"/>
      <c r="J34" s="246"/>
    </row>
    <row r="35" spans="1:10" ht="15" x14ac:dyDescent="0.2">
      <c r="A35" s="246"/>
      <c r="B35" s="49" t="s">
        <v>9</v>
      </c>
      <c r="C35" s="55">
        <v>0.22</v>
      </c>
      <c r="D35" s="55">
        <v>0.22</v>
      </c>
      <c r="E35" s="55">
        <v>0.06</v>
      </c>
      <c r="F35" s="55">
        <f>IF((C35-E35)&lt;0,0,C35-E35)</f>
        <v>0.16</v>
      </c>
      <c r="G35" s="55">
        <f>C35+E35</f>
        <v>0.28000000000000003</v>
      </c>
      <c r="H35" s="65"/>
      <c r="I35" s="65"/>
      <c r="J35" s="246"/>
    </row>
    <row r="36" spans="1:10" ht="15" x14ac:dyDescent="0.2">
      <c r="A36" s="246"/>
      <c r="B36" s="160" t="s">
        <v>160</v>
      </c>
      <c r="C36" s="166"/>
      <c r="D36" s="241">
        <v>1E-3</v>
      </c>
      <c r="E36" s="241"/>
      <c r="F36" s="241"/>
      <c r="G36" s="241"/>
      <c r="H36" s="241"/>
      <c r="I36" s="241"/>
      <c r="J36" s="246"/>
    </row>
    <row r="37" spans="1:10" ht="15" x14ac:dyDescent="0.25">
      <c r="B37" s="265" t="s">
        <v>261</v>
      </c>
      <c r="C37" s="265"/>
      <c r="D37" s="265"/>
      <c r="E37" s="265"/>
      <c r="F37" s="265"/>
      <c r="G37" s="265"/>
      <c r="H37" s="265"/>
      <c r="I37" s="265"/>
    </row>
    <row r="38" spans="1:10" x14ac:dyDescent="0.2">
      <c r="B38" s="246" t="s">
        <v>259</v>
      </c>
      <c r="C38" s="246"/>
      <c r="D38" s="246"/>
      <c r="E38" s="246"/>
      <c r="F38" s="246"/>
      <c r="G38" s="246"/>
      <c r="H38" s="246"/>
    </row>
    <row r="39" spans="1:10" ht="18" x14ac:dyDescent="0.2">
      <c r="A39" s="246" t="s">
        <v>260</v>
      </c>
      <c r="B39" s="225" t="s">
        <v>247</v>
      </c>
      <c r="C39" s="226"/>
      <c r="D39" s="226"/>
      <c r="E39" s="226"/>
      <c r="F39" s="226"/>
      <c r="G39" s="226"/>
      <c r="H39" s="226"/>
      <c r="I39" s="246" t="s">
        <v>266</v>
      </c>
    </row>
    <row r="40" spans="1:10" ht="18.75" thickBot="1" x14ac:dyDescent="0.25">
      <c r="A40" s="246"/>
      <c r="B40" s="228" t="s">
        <v>188</v>
      </c>
      <c r="C40" s="229"/>
      <c r="D40" s="229"/>
      <c r="E40" s="229"/>
      <c r="F40" s="229"/>
      <c r="G40" s="229"/>
      <c r="H40" s="229"/>
      <c r="I40" s="246"/>
    </row>
    <row r="41" spans="1:10" ht="60" x14ac:dyDescent="0.2">
      <c r="A41" s="246"/>
      <c r="B41" s="140" t="s">
        <v>0</v>
      </c>
      <c r="C41" s="36" t="s">
        <v>251</v>
      </c>
      <c r="D41" s="186" t="s">
        <v>252</v>
      </c>
      <c r="E41" s="141" t="s">
        <v>136</v>
      </c>
      <c r="F41" s="242" t="s">
        <v>40</v>
      </c>
      <c r="G41" s="243"/>
      <c r="H41" s="143" t="s">
        <v>138</v>
      </c>
      <c r="I41" s="246"/>
    </row>
    <row r="42" spans="1:10" ht="30" x14ac:dyDescent="0.2">
      <c r="A42" s="246"/>
      <c r="B42" s="144" t="s">
        <v>114</v>
      </c>
      <c r="C42" s="145">
        <v>0.94</v>
      </c>
      <c r="D42" s="145">
        <v>0.94</v>
      </c>
      <c r="E42" s="145">
        <v>0.06</v>
      </c>
      <c r="F42" s="145">
        <f>+C42-E42</f>
        <v>0.87999999999999989</v>
      </c>
      <c r="G42" s="145">
        <f>+C42+E42</f>
        <v>1</v>
      </c>
      <c r="H42" s="146" t="s">
        <v>150</v>
      </c>
      <c r="I42" s="246"/>
    </row>
    <row r="43" spans="1:10" ht="15" x14ac:dyDescent="0.2">
      <c r="A43" s="246"/>
      <c r="B43" s="144" t="s">
        <v>47</v>
      </c>
      <c r="C43" s="145">
        <v>0.06</v>
      </c>
      <c r="D43" s="145">
        <v>0.06</v>
      </c>
      <c r="E43" s="145"/>
      <c r="F43" s="145">
        <f>+C43-E43</f>
        <v>0.06</v>
      </c>
      <c r="G43" s="145">
        <f>+C43+E43</f>
        <v>0.06</v>
      </c>
      <c r="H43" s="148"/>
      <c r="I43" s="246"/>
    </row>
    <row r="44" spans="1:10" ht="15" x14ac:dyDescent="0.2">
      <c r="A44" s="246"/>
      <c r="B44" s="144" t="s">
        <v>8</v>
      </c>
      <c r="C44" s="145">
        <f>SUM(C42:C43)</f>
        <v>1</v>
      </c>
      <c r="D44" s="145">
        <f>SUM(D42:D43)</f>
        <v>1</v>
      </c>
      <c r="E44" s="145"/>
      <c r="F44" s="145"/>
      <c r="G44" s="145"/>
      <c r="H44" s="148"/>
      <c r="I44" s="246"/>
    </row>
    <row r="45" spans="1:10" ht="15.75" thickBot="1" x14ac:dyDescent="0.25">
      <c r="A45" s="246"/>
      <c r="B45" s="149" t="s">
        <v>9</v>
      </c>
      <c r="C45" s="150">
        <v>0.94</v>
      </c>
      <c r="D45" s="150">
        <v>0.96</v>
      </c>
      <c r="E45" s="150">
        <v>0.06</v>
      </c>
      <c r="F45" s="150">
        <f>IF(C45-E45&gt;0,C45-E45,0)</f>
        <v>0.87999999999999989</v>
      </c>
      <c r="G45" s="150">
        <f>C45+E45</f>
        <v>1</v>
      </c>
      <c r="H45" s="151"/>
      <c r="I45" s="246"/>
    </row>
    <row r="46" spans="1:10" ht="15" x14ac:dyDescent="0.2">
      <c r="A46" s="246"/>
      <c r="B46" s="160" t="s">
        <v>160</v>
      </c>
      <c r="C46" s="227">
        <v>5.0000000000000001E-4</v>
      </c>
      <c r="D46" s="227"/>
      <c r="E46" s="227"/>
      <c r="F46" s="227"/>
      <c r="G46" s="227"/>
      <c r="H46" s="227"/>
      <c r="I46" s="246"/>
    </row>
    <row r="47" spans="1:10" x14ac:dyDescent="0.2">
      <c r="B47" s="246" t="s">
        <v>261</v>
      </c>
      <c r="C47" s="246"/>
      <c r="D47" s="246"/>
      <c r="E47" s="246"/>
      <c r="F47" s="246"/>
      <c r="G47" s="246"/>
      <c r="H47" s="246"/>
    </row>
    <row r="49" spans="1:10" x14ac:dyDescent="0.2">
      <c r="B49" s="246" t="s">
        <v>259</v>
      </c>
      <c r="C49" s="246"/>
      <c r="D49" s="246"/>
      <c r="E49" s="246"/>
      <c r="F49" s="246"/>
      <c r="G49" s="246"/>
      <c r="H49" s="246"/>
    </row>
    <row r="50" spans="1:10" ht="14.25" customHeight="1" x14ac:dyDescent="0.25">
      <c r="A50" s="246" t="s">
        <v>260</v>
      </c>
      <c r="B50" s="225" t="s">
        <v>227</v>
      </c>
      <c r="C50" s="226"/>
      <c r="D50" s="226"/>
      <c r="E50" s="226"/>
      <c r="F50" s="226"/>
      <c r="G50" s="226"/>
      <c r="H50" s="226"/>
      <c r="I50" s="265" t="s">
        <v>262</v>
      </c>
      <c r="J50" s="95"/>
    </row>
    <row r="51" spans="1:10" ht="18.75" thickBot="1" x14ac:dyDescent="0.3">
      <c r="A51" s="246"/>
      <c r="B51" s="228" t="s">
        <v>241</v>
      </c>
      <c r="C51" s="229"/>
      <c r="D51" s="229"/>
      <c r="E51" s="229"/>
      <c r="F51" s="229"/>
      <c r="G51" s="229"/>
      <c r="H51" s="229"/>
      <c r="I51" s="265"/>
      <c r="J51" s="95"/>
    </row>
    <row r="52" spans="1:10" ht="60" x14ac:dyDescent="0.2">
      <c r="A52" s="246"/>
      <c r="B52" s="140" t="s">
        <v>0</v>
      </c>
      <c r="C52" s="36" t="s">
        <v>251</v>
      </c>
      <c r="D52" s="186" t="s">
        <v>252</v>
      </c>
      <c r="E52" s="141" t="s">
        <v>136</v>
      </c>
      <c r="F52" s="230" t="s">
        <v>40</v>
      </c>
      <c r="G52" s="231"/>
      <c r="H52" s="143" t="s">
        <v>138</v>
      </c>
      <c r="I52" s="265"/>
    </row>
    <row r="53" spans="1:10" ht="70.5" customHeight="1" x14ac:dyDescent="0.2">
      <c r="A53" s="246"/>
      <c r="B53" s="144" t="s">
        <v>139</v>
      </c>
      <c r="C53" s="145">
        <v>0.19</v>
      </c>
      <c r="D53" s="145">
        <v>0.05</v>
      </c>
      <c r="E53" s="145">
        <v>0.05</v>
      </c>
      <c r="F53" s="145">
        <f>+C53-E53</f>
        <v>0.14000000000000001</v>
      </c>
      <c r="G53" s="145">
        <f>+C53+E53</f>
        <v>0.24</v>
      </c>
      <c r="H53" s="266" t="s">
        <v>223</v>
      </c>
      <c r="I53" s="265"/>
    </row>
    <row r="54" spans="1:10" ht="30" x14ac:dyDescent="0.2">
      <c r="A54" s="246"/>
      <c r="B54" s="144" t="s">
        <v>116</v>
      </c>
      <c r="C54" s="145">
        <v>0.79</v>
      </c>
      <c r="D54" s="145">
        <v>0.94</v>
      </c>
      <c r="E54" s="145">
        <v>0.06</v>
      </c>
      <c r="F54" s="145">
        <f>+C54-E54</f>
        <v>0.73</v>
      </c>
      <c r="G54" s="145">
        <f>+C54+E54</f>
        <v>0.85000000000000009</v>
      </c>
      <c r="H54" s="267"/>
      <c r="I54" s="265"/>
    </row>
    <row r="55" spans="1:10" ht="15" x14ac:dyDescent="0.2">
      <c r="A55" s="246"/>
      <c r="B55" s="144" t="s">
        <v>47</v>
      </c>
      <c r="C55" s="145">
        <v>0.02</v>
      </c>
      <c r="D55" s="145">
        <v>0.01</v>
      </c>
      <c r="E55" s="145"/>
      <c r="F55" s="145"/>
      <c r="G55" s="145"/>
      <c r="H55" s="148"/>
      <c r="I55" s="265"/>
    </row>
    <row r="56" spans="1:10" ht="15" x14ac:dyDescent="0.2">
      <c r="A56" s="246"/>
      <c r="B56" s="144" t="s">
        <v>8</v>
      </c>
      <c r="C56" s="145">
        <f>SUM(C53:C55)</f>
        <v>1</v>
      </c>
      <c r="D56" s="145">
        <f>SUM(D53:D55)</f>
        <v>1</v>
      </c>
      <c r="E56" s="145"/>
      <c r="F56" s="145"/>
      <c r="G56" s="145"/>
      <c r="H56" s="148"/>
      <c r="I56" s="265"/>
    </row>
    <row r="57" spans="1:10" ht="15.75" thickBot="1" x14ac:dyDescent="0.25">
      <c r="A57" s="246"/>
      <c r="B57" s="149" t="s">
        <v>9</v>
      </c>
      <c r="C57" s="150">
        <v>0.05</v>
      </c>
      <c r="D57" s="150">
        <v>0</v>
      </c>
      <c r="E57" s="150">
        <v>0.06</v>
      </c>
      <c r="F57" s="150">
        <f>IF(C57-E57&gt;0,C57-E57,0)</f>
        <v>0</v>
      </c>
      <c r="G57" s="150">
        <f>C57+E57</f>
        <v>0.11</v>
      </c>
      <c r="H57" s="151"/>
      <c r="I57" s="265"/>
    </row>
    <row r="58" spans="1:10" ht="15" x14ac:dyDescent="0.2">
      <c r="A58" s="246"/>
      <c r="B58" s="160" t="s">
        <v>160</v>
      </c>
      <c r="C58" s="227">
        <v>5.0000000000000001E-4</v>
      </c>
      <c r="D58" s="227"/>
      <c r="E58" s="227"/>
      <c r="F58" s="227"/>
      <c r="G58" s="227"/>
      <c r="H58" s="227"/>
      <c r="I58" s="265"/>
    </row>
    <row r="59" spans="1:10" x14ac:dyDescent="0.2">
      <c r="B59" s="246" t="s">
        <v>264</v>
      </c>
      <c r="C59" s="246"/>
      <c r="D59" s="246"/>
      <c r="E59" s="246"/>
      <c r="F59" s="246"/>
      <c r="G59" s="246"/>
      <c r="H59" s="246"/>
    </row>
    <row r="60" spans="1:10" x14ac:dyDescent="0.2">
      <c r="B60" s="246" t="s">
        <v>259</v>
      </c>
      <c r="C60" s="246"/>
      <c r="D60" s="246"/>
      <c r="E60" s="246"/>
      <c r="F60" s="246"/>
      <c r="G60" s="246"/>
      <c r="H60" s="246"/>
    </row>
    <row r="61" spans="1:10" ht="18" hidden="1" x14ac:dyDescent="0.25">
      <c r="B61" s="225" t="s">
        <v>205</v>
      </c>
      <c r="C61" s="226"/>
      <c r="D61" s="226"/>
      <c r="E61" s="226"/>
      <c r="F61" s="226"/>
      <c r="G61" s="226"/>
      <c r="H61" s="226"/>
      <c r="I61" s="226"/>
      <c r="J61" s="95" t="s">
        <v>204</v>
      </c>
    </row>
    <row r="62" spans="1:10" ht="18.75" hidden="1" thickBot="1" x14ac:dyDescent="0.3">
      <c r="B62" s="255"/>
      <c r="C62" s="256"/>
      <c r="D62" s="256"/>
      <c r="E62" s="256"/>
      <c r="F62" s="256"/>
      <c r="G62" s="256"/>
      <c r="H62" s="256"/>
      <c r="I62" s="256"/>
      <c r="J62" s="95" t="s">
        <v>206</v>
      </c>
    </row>
    <row r="63" spans="1:10" ht="45" hidden="1" x14ac:dyDescent="0.25">
      <c r="B63" s="140" t="s">
        <v>0</v>
      </c>
      <c r="C63" s="186" t="s">
        <v>169</v>
      </c>
      <c r="D63" s="186" t="s">
        <v>170</v>
      </c>
      <c r="E63" s="142" t="s">
        <v>127</v>
      </c>
      <c r="F63" s="141" t="s">
        <v>136</v>
      </c>
      <c r="G63" s="230" t="s">
        <v>40</v>
      </c>
      <c r="H63" s="231"/>
      <c r="I63" s="143" t="s">
        <v>138</v>
      </c>
      <c r="J63" s="95" t="s">
        <v>207</v>
      </c>
    </row>
    <row r="64" spans="1:10" ht="75" hidden="1" x14ac:dyDescent="0.25">
      <c r="B64" s="144" t="s">
        <v>114</v>
      </c>
      <c r="C64" s="145"/>
      <c r="D64" s="197">
        <v>0.94</v>
      </c>
      <c r="E64" s="197">
        <v>0</v>
      </c>
      <c r="F64" s="145">
        <v>0.06</v>
      </c>
      <c r="G64" s="145">
        <f>+E64-F64</f>
        <v>-0.06</v>
      </c>
      <c r="H64" s="145">
        <f>+E64+F64</f>
        <v>0.06</v>
      </c>
      <c r="I64" s="146" t="s">
        <v>216</v>
      </c>
      <c r="J64" s="95"/>
    </row>
    <row r="65" spans="1:10" ht="30" hidden="1" x14ac:dyDescent="0.25">
      <c r="B65" s="144" t="s">
        <v>139</v>
      </c>
      <c r="C65" s="145"/>
      <c r="D65" s="197">
        <v>0.02</v>
      </c>
      <c r="E65" s="197">
        <v>0.05</v>
      </c>
      <c r="F65" s="145">
        <v>0.05</v>
      </c>
      <c r="G65" s="145">
        <f>+E65-F65</f>
        <v>0</v>
      </c>
      <c r="H65" s="145">
        <f t="shared" ref="H65" si="0">+E65+F65</f>
        <v>0.1</v>
      </c>
      <c r="I65" s="146" t="s">
        <v>4</v>
      </c>
      <c r="J65" s="95" t="s">
        <v>208</v>
      </c>
    </row>
    <row r="66" spans="1:10" ht="45" hidden="1" x14ac:dyDescent="0.2">
      <c r="B66" s="144" t="s">
        <v>116</v>
      </c>
      <c r="C66" s="145"/>
      <c r="D66" s="197">
        <v>0.01</v>
      </c>
      <c r="E66" s="197">
        <v>0.94</v>
      </c>
      <c r="F66" s="145">
        <v>0.06</v>
      </c>
      <c r="G66" s="145">
        <f>+E66-F66</f>
        <v>0.87999999999999989</v>
      </c>
      <c r="H66" s="145">
        <f>+E66+F66</f>
        <v>1</v>
      </c>
      <c r="I66" s="147" t="s">
        <v>149</v>
      </c>
    </row>
    <row r="67" spans="1:10" ht="15" hidden="1" x14ac:dyDescent="0.2">
      <c r="B67" s="144" t="s">
        <v>47</v>
      </c>
      <c r="C67" s="145"/>
      <c r="D67" s="197">
        <v>0.03</v>
      </c>
      <c r="E67" s="197">
        <v>0.01</v>
      </c>
      <c r="F67" s="145"/>
      <c r="G67" s="145">
        <f>+E67-F67</f>
        <v>0.01</v>
      </c>
      <c r="H67" s="145">
        <f>+E67+F67</f>
        <v>0.01</v>
      </c>
      <c r="I67" s="148"/>
    </row>
    <row r="68" spans="1:10" ht="15" hidden="1" x14ac:dyDescent="0.2">
      <c r="B68" s="144" t="s">
        <v>8</v>
      </c>
      <c r="C68" s="145"/>
      <c r="D68" s="197">
        <f>SUM(D64:D67)</f>
        <v>1</v>
      </c>
      <c r="E68" s="197">
        <f>SUM(E65:E67)</f>
        <v>1</v>
      </c>
      <c r="F68" s="145"/>
      <c r="G68" s="145"/>
      <c r="H68" s="145"/>
      <c r="I68" s="148"/>
    </row>
    <row r="69" spans="1:10" ht="15.75" hidden="1" thickBot="1" x14ac:dyDescent="0.25">
      <c r="B69" s="149" t="s">
        <v>9</v>
      </c>
      <c r="C69" s="150"/>
      <c r="D69" s="197">
        <v>0.95</v>
      </c>
      <c r="E69" s="150">
        <v>0</v>
      </c>
      <c r="F69" s="145">
        <v>0.05</v>
      </c>
      <c r="G69" s="40">
        <f t="shared" ref="G69" si="1">IF(E69-F69&gt;0,E69-F69,0)</f>
        <v>0</v>
      </c>
      <c r="H69" s="40">
        <f t="shared" ref="H69" si="2">E69+F69</f>
        <v>0.05</v>
      </c>
      <c r="I69" s="151"/>
    </row>
    <row r="70" spans="1:10" ht="15" hidden="1" x14ac:dyDescent="0.2">
      <c r="B70" s="160" t="s">
        <v>160</v>
      </c>
      <c r="C70" s="160"/>
      <c r="D70" s="160"/>
      <c r="E70" s="163">
        <v>5.0000000000000001E-4</v>
      </c>
      <c r="F70" s="71"/>
      <c r="G70" s="71"/>
      <c r="H70" s="71"/>
      <c r="I70" s="71"/>
    </row>
    <row r="71" spans="1:10" ht="18" customHeight="1" x14ac:dyDescent="0.2">
      <c r="A71" s="246" t="s">
        <v>260</v>
      </c>
      <c r="B71" s="247" t="s">
        <v>249</v>
      </c>
      <c r="C71" s="248"/>
      <c r="D71" s="248"/>
      <c r="E71" s="248"/>
      <c r="F71" s="248"/>
      <c r="G71" s="248"/>
      <c r="H71" s="248"/>
      <c r="I71" s="246" t="s">
        <v>262</v>
      </c>
    </row>
    <row r="72" spans="1:10" ht="18.75" thickBot="1" x14ac:dyDescent="0.25">
      <c r="A72" s="246"/>
      <c r="B72" s="228" t="s">
        <v>236</v>
      </c>
      <c r="C72" s="229"/>
      <c r="D72" s="229"/>
      <c r="E72" s="229"/>
      <c r="F72" s="229"/>
      <c r="G72" s="229"/>
      <c r="H72" s="229"/>
      <c r="I72" s="246"/>
    </row>
    <row r="73" spans="1:10" ht="60" x14ac:dyDescent="0.2">
      <c r="A73" s="246"/>
      <c r="B73" s="140" t="s">
        <v>0</v>
      </c>
      <c r="C73" s="36" t="s">
        <v>251</v>
      </c>
      <c r="D73" s="186" t="s">
        <v>252</v>
      </c>
      <c r="E73" s="141" t="s">
        <v>136</v>
      </c>
      <c r="F73" s="230" t="s">
        <v>40</v>
      </c>
      <c r="G73" s="231"/>
      <c r="H73" s="143" t="s">
        <v>138</v>
      </c>
      <c r="I73" s="246"/>
    </row>
    <row r="74" spans="1:10" ht="32.25" customHeight="1" x14ac:dyDescent="0.2">
      <c r="A74" s="246"/>
      <c r="B74" s="144" t="s">
        <v>114</v>
      </c>
      <c r="C74" s="145">
        <v>0.06</v>
      </c>
      <c r="D74" s="145"/>
      <c r="E74" s="145">
        <v>0.06</v>
      </c>
      <c r="F74" s="145">
        <f t="shared" ref="F74" si="3">+C74-E74</f>
        <v>0</v>
      </c>
      <c r="G74" s="145">
        <f t="shared" ref="G74:G75" si="4">+C74+E74</f>
        <v>0.12</v>
      </c>
      <c r="H74" s="146" t="s">
        <v>147</v>
      </c>
      <c r="I74" s="246"/>
    </row>
    <row r="75" spans="1:10" ht="30" x14ac:dyDescent="0.2">
      <c r="A75" s="246"/>
      <c r="B75" s="144" t="s">
        <v>139</v>
      </c>
      <c r="C75" s="145">
        <v>0.01</v>
      </c>
      <c r="D75" s="145">
        <v>0.02</v>
      </c>
      <c r="E75" s="145">
        <v>0.05</v>
      </c>
      <c r="F75" s="145">
        <v>0</v>
      </c>
      <c r="G75" s="145">
        <f t="shared" si="4"/>
        <v>6.0000000000000005E-2</v>
      </c>
      <c r="H75" s="146" t="s">
        <v>4</v>
      </c>
      <c r="I75" s="246"/>
    </row>
    <row r="76" spans="1:10" ht="30" x14ac:dyDescent="0.2">
      <c r="A76" s="246"/>
      <c r="B76" s="144" t="s">
        <v>116</v>
      </c>
      <c r="C76" s="145">
        <v>0.9</v>
      </c>
      <c r="D76" s="145">
        <v>0.93</v>
      </c>
      <c r="E76" s="145">
        <v>0.06</v>
      </c>
      <c r="F76" s="145">
        <f>+C76-E76</f>
        <v>0.84000000000000008</v>
      </c>
      <c r="G76" s="145">
        <f>+C76+E76</f>
        <v>0.96</v>
      </c>
      <c r="H76" s="147" t="s">
        <v>220</v>
      </c>
      <c r="I76" s="246"/>
    </row>
    <row r="77" spans="1:10" ht="15" x14ac:dyDescent="0.2">
      <c r="A77" s="246"/>
      <c r="B77" s="144" t="s">
        <v>47</v>
      </c>
      <c r="C77" s="145">
        <v>0.03</v>
      </c>
      <c r="D77" s="145">
        <v>0.03</v>
      </c>
      <c r="E77" s="145"/>
      <c r="F77" s="145"/>
      <c r="G77" s="145"/>
      <c r="H77" s="148"/>
      <c r="I77" s="246"/>
    </row>
    <row r="78" spans="1:10" ht="15" x14ac:dyDescent="0.2">
      <c r="A78" s="246"/>
      <c r="B78" s="144" t="s">
        <v>8</v>
      </c>
      <c r="C78" s="145">
        <f>SUM(C74:C77)</f>
        <v>1</v>
      </c>
      <c r="D78" s="145">
        <f>SUM(D75:D77)</f>
        <v>0.98000000000000009</v>
      </c>
      <c r="E78" s="145"/>
      <c r="F78" s="145"/>
      <c r="G78" s="145"/>
      <c r="H78" s="148"/>
      <c r="I78" s="246"/>
    </row>
    <row r="79" spans="1:10" ht="15.75" thickBot="1" x14ac:dyDescent="0.25">
      <c r="A79" s="246"/>
      <c r="B79" s="149" t="s">
        <v>9</v>
      </c>
      <c r="C79" s="150">
        <v>0.98</v>
      </c>
      <c r="D79" s="150">
        <v>0.97</v>
      </c>
      <c r="E79" s="150">
        <v>0.06</v>
      </c>
      <c r="F79" s="150">
        <f t="shared" ref="F79" si="5">+C79-E79</f>
        <v>0.91999999999999993</v>
      </c>
      <c r="G79" s="150">
        <f t="shared" ref="G79" si="6">+C79+E79</f>
        <v>1.04</v>
      </c>
      <c r="H79" s="151"/>
      <c r="I79" s="246"/>
    </row>
    <row r="80" spans="1:10" ht="15" x14ac:dyDescent="0.2">
      <c r="A80" s="246"/>
      <c r="B80" s="160" t="s">
        <v>160</v>
      </c>
      <c r="C80" s="227">
        <v>2.2000000000000001E-3</v>
      </c>
      <c r="D80" s="227"/>
      <c r="E80" s="227"/>
      <c r="F80" s="227"/>
      <c r="G80" s="227"/>
      <c r="H80" s="227"/>
      <c r="I80" s="246"/>
    </row>
    <row r="81" spans="1:8" x14ac:dyDescent="0.2">
      <c r="B81" s="246" t="s">
        <v>264</v>
      </c>
      <c r="C81" s="246"/>
      <c r="D81" s="246"/>
      <c r="E81" s="246"/>
      <c r="F81" s="246"/>
      <c r="G81" s="246"/>
      <c r="H81" s="246"/>
    </row>
    <row r="84" spans="1:8" x14ac:dyDescent="0.2">
      <c r="B84" s="66" t="s">
        <v>46</v>
      </c>
    </row>
    <row r="85" spans="1:8" x14ac:dyDescent="0.2">
      <c r="B85" s="34" t="s">
        <v>89</v>
      </c>
    </row>
    <row r="86" spans="1:8" x14ac:dyDescent="0.2">
      <c r="A86" s="246" t="s">
        <v>263</v>
      </c>
      <c r="B86" s="246"/>
      <c r="C86" s="246"/>
      <c r="D86" s="246"/>
      <c r="E86" s="246"/>
      <c r="F86" s="246"/>
      <c r="G86" s="246"/>
      <c r="H86" s="246"/>
    </row>
  </sheetData>
  <mergeCells count="39">
    <mergeCell ref="B61:I61"/>
    <mergeCell ref="B40:H40"/>
    <mergeCell ref="F41:G41"/>
    <mergeCell ref="J4:J36"/>
    <mergeCell ref="B38:H38"/>
    <mergeCell ref="B60:H60"/>
    <mergeCell ref="C58:H58"/>
    <mergeCell ref="B1:I2"/>
    <mergeCell ref="B3:I3"/>
    <mergeCell ref="B39:H39"/>
    <mergeCell ref="A71:A80"/>
    <mergeCell ref="C80:H80"/>
    <mergeCell ref="H6:I6"/>
    <mergeCell ref="B4:I4"/>
    <mergeCell ref="B5:I5"/>
    <mergeCell ref="D36:I36"/>
    <mergeCell ref="F73:G73"/>
    <mergeCell ref="B71:H71"/>
    <mergeCell ref="B72:H72"/>
    <mergeCell ref="F6:G6"/>
    <mergeCell ref="G63:H63"/>
    <mergeCell ref="F52:G52"/>
    <mergeCell ref="B59:H59"/>
    <mergeCell ref="A4:A36"/>
    <mergeCell ref="B37:I37"/>
    <mergeCell ref="B81:H81"/>
    <mergeCell ref="I71:I80"/>
    <mergeCell ref="A86:H86"/>
    <mergeCell ref="A39:A46"/>
    <mergeCell ref="B47:H47"/>
    <mergeCell ref="I39:I46"/>
    <mergeCell ref="B49:H49"/>
    <mergeCell ref="A50:A58"/>
    <mergeCell ref="I50:I58"/>
    <mergeCell ref="C46:H46"/>
    <mergeCell ref="B62:I62"/>
    <mergeCell ref="H53:H54"/>
    <mergeCell ref="B50:H50"/>
    <mergeCell ref="B51:H51"/>
  </mergeCells>
  <pageMargins left="0.70866141732283472" right="0.70866141732283472" top="0.74803149606299213" bottom="0.74803149606299213" header="0.31496062992125984" footer="0.31496062992125984"/>
  <pageSetup paperSize="9" scale="6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J109"/>
  <sheetViews>
    <sheetView showGridLines="0" rightToLeft="1" zoomScale="80" zoomScaleNormal="80" zoomScaleSheetLayoutView="70" workbookViewId="0">
      <selection activeCell="J72" sqref="J72"/>
    </sheetView>
  </sheetViews>
  <sheetFormatPr defaultColWidth="8.25" defaultRowHeight="14.25" x14ac:dyDescent="0.2"/>
  <cols>
    <col min="1" max="1" width="8.25" style="71"/>
    <col min="2" max="2" width="36" style="47" customWidth="1"/>
    <col min="3" max="3" width="12.625" style="70" customWidth="1"/>
    <col min="4" max="4" width="11.875" style="47" customWidth="1"/>
    <col min="5" max="5" width="10.25" style="71" customWidth="1"/>
    <col min="6" max="6" width="10.125" style="47" customWidth="1"/>
    <col min="7" max="7" width="12.75" style="47" customWidth="1"/>
    <col min="8" max="8" width="24.125" style="47" customWidth="1"/>
    <col min="9" max="16384" width="8.25" style="71"/>
  </cols>
  <sheetData>
    <row r="1" spans="2:10" ht="27.6" customHeight="1" x14ac:dyDescent="0.2">
      <c r="B1" s="152" t="str">
        <f>'קרן י'!B1</f>
        <v>מדיניות השקעה לשנת 2024</v>
      </c>
      <c r="C1" s="152"/>
      <c r="D1" s="152"/>
      <c r="E1" s="152"/>
      <c r="F1" s="152"/>
      <c r="G1" s="152"/>
      <c r="H1" s="152"/>
    </row>
    <row r="2" spans="2:10" ht="30" customHeight="1" x14ac:dyDescent="0.2">
      <c r="B2" s="276" t="s">
        <v>162</v>
      </c>
      <c r="C2" s="277"/>
      <c r="D2" s="277"/>
      <c r="E2" s="277"/>
      <c r="F2" s="277"/>
      <c r="G2" s="277"/>
      <c r="H2" s="277"/>
      <c r="J2" s="71" t="s">
        <v>168</v>
      </c>
    </row>
    <row r="3" spans="2:10" ht="45" x14ac:dyDescent="0.2">
      <c r="B3" s="48" t="s">
        <v>0</v>
      </c>
      <c r="C3" s="72" t="s">
        <v>127</v>
      </c>
      <c r="D3" s="48" t="s">
        <v>72</v>
      </c>
      <c r="E3" s="170" t="s">
        <v>40</v>
      </c>
      <c r="F3" s="171"/>
      <c r="G3" s="172" t="s">
        <v>91</v>
      </c>
      <c r="H3" s="173"/>
    </row>
    <row r="4" spans="2:10" ht="15" x14ac:dyDescent="0.2">
      <c r="B4" s="104"/>
      <c r="C4" s="106"/>
      <c r="D4" s="106"/>
      <c r="E4" s="106"/>
      <c r="F4" s="106"/>
      <c r="G4" s="97">
        <v>0.27</v>
      </c>
      <c r="H4" s="103" t="s">
        <v>75</v>
      </c>
    </row>
    <row r="5" spans="2:10" ht="15" x14ac:dyDescent="0.2">
      <c r="B5" s="104"/>
      <c r="C5" s="106"/>
      <c r="D5" s="106"/>
      <c r="E5" s="106"/>
      <c r="F5" s="106"/>
      <c r="G5" s="97">
        <v>9.6000000000000002E-2</v>
      </c>
      <c r="H5" s="103" t="s">
        <v>93</v>
      </c>
    </row>
    <row r="6" spans="2:10" ht="15" x14ac:dyDescent="0.2">
      <c r="B6" s="104" t="s">
        <v>76</v>
      </c>
      <c r="C6" s="108">
        <v>0.66</v>
      </c>
      <c r="D6" s="109">
        <v>0.06</v>
      </c>
      <c r="E6" s="109">
        <f>C6-D6</f>
        <v>0.60000000000000009</v>
      </c>
      <c r="F6" s="109">
        <f>C6+D6</f>
        <v>0.72</v>
      </c>
      <c r="G6" s="97">
        <v>9.6000000000000002E-2</v>
      </c>
      <c r="H6" s="103" t="s">
        <v>78</v>
      </c>
    </row>
    <row r="7" spans="2:10" ht="15" x14ac:dyDescent="0.2">
      <c r="B7" s="104"/>
      <c r="C7" s="108"/>
      <c r="D7" s="106"/>
      <c r="E7" s="106"/>
      <c r="F7" s="106"/>
      <c r="G7" s="97">
        <v>4.8000000000000001E-2</v>
      </c>
      <c r="H7" s="103" t="s">
        <v>77</v>
      </c>
    </row>
    <row r="8" spans="2:10" ht="15" x14ac:dyDescent="0.2">
      <c r="B8" s="104"/>
      <c r="C8" s="108"/>
      <c r="D8" s="106"/>
      <c r="E8" s="106"/>
      <c r="F8" s="106"/>
      <c r="G8" s="97">
        <v>0.09</v>
      </c>
      <c r="H8" s="103" t="s">
        <v>103</v>
      </c>
    </row>
    <row r="9" spans="2:10" ht="15" x14ac:dyDescent="0.2">
      <c r="B9" s="104"/>
      <c r="C9" s="106"/>
      <c r="D9" s="106"/>
      <c r="E9" s="106"/>
      <c r="F9" s="106"/>
      <c r="G9" s="97">
        <v>0.36000000000000004</v>
      </c>
      <c r="H9" s="103" t="s">
        <v>79</v>
      </c>
    </row>
    <row r="10" spans="2:10" ht="15" x14ac:dyDescent="0.2">
      <c r="B10" s="104"/>
      <c r="C10" s="106"/>
      <c r="D10" s="106"/>
      <c r="E10" s="106"/>
      <c r="F10" s="106"/>
      <c r="G10" s="97">
        <v>2.0000000000000004E-2</v>
      </c>
      <c r="H10" s="103" t="s">
        <v>94</v>
      </c>
    </row>
    <row r="11" spans="2:10" ht="30" x14ac:dyDescent="0.2">
      <c r="B11" s="110"/>
      <c r="C11" s="112"/>
      <c r="D11" s="112"/>
      <c r="E11" s="112"/>
      <c r="F11" s="112"/>
      <c r="G11" s="97">
        <v>2.0000000000000004E-2</v>
      </c>
      <c r="H11" s="103" t="s">
        <v>87</v>
      </c>
    </row>
    <row r="12" spans="2:10" ht="15" x14ac:dyDescent="0.2">
      <c r="B12" s="104"/>
      <c r="C12" s="106"/>
      <c r="D12" s="106"/>
      <c r="E12" s="106"/>
      <c r="F12" s="106"/>
      <c r="G12" s="97">
        <v>0.12</v>
      </c>
      <c r="H12" s="103" t="s">
        <v>104</v>
      </c>
    </row>
    <row r="13" spans="2:10" ht="15" x14ac:dyDescent="0.25">
      <c r="B13" s="104" t="s">
        <v>81</v>
      </c>
      <c r="C13" s="114">
        <v>0.02</v>
      </c>
      <c r="D13" s="118">
        <v>0.05</v>
      </c>
      <c r="E13" s="109">
        <f>C13-D13</f>
        <v>-3.0000000000000002E-2</v>
      </c>
      <c r="F13" s="109">
        <f>C13+D13</f>
        <v>7.0000000000000007E-2</v>
      </c>
      <c r="G13" s="97">
        <v>0.17</v>
      </c>
      <c r="H13" s="103" t="s">
        <v>80</v>
      </c>
    </row>
    <row r="14" spans="2:10" ht="15" x14ac:dyDescent="0.2">
      <c r="B14" s="104" t="s">
        <v>83</v>
      </c>
      <c r="C14" s="106"/>
      <c r="D14" s="106"/>
      <c r="E14" s="106"/>
      <c r="F14" s="106"/>
      <c r="G14" s="97">
        <v>7.0000000000000007E-2</v>
      </c>
      <c r="H14" s="103" t="s">
        <v>82</v>
      </c>
    </row>
    <row r="15" spans="2:10" ht="15" x14ac:dyDescent="0.2">
      <c r="B15" s="104"/>
      <c r="C15" s="106"/>
      <c r="D15" s="106"/>
      <c r="E15" s="106"/>
      <c r="F15" s="106"/>
      <c r="G15" s="97">
        <v>0.09</v>
      </c>
      <c r="H15" s="103" t="s">
        <v>105</v>
      </c>
    </row>
    <row r="16" spans="2:10" ht="15" x14ac:dyDescent="0.2">
      <c r="B16" s="104"/>
      <c r="C16" s="106"/>
      <c r="D16" s="106"/>
      <c r="E16" s="106"/>
      <c r="F16" s="106"/>
      <c r="G16" s="97">
        <v>0.13</v>
      </c>
      <c r="H16" s="103" t="s">
        <v>106</v>
      </c>
    </row>
    <row r="17" spans="2:8" ht="15" x14ac:dyDescent="0.25">
      <c r="B17" s="104"/>
      <c r="C17" s="114"/>
      <c r="D17" s="118"/>
      <c r="E17" s="109"/>
      <c r="F17" s="109"/>
      <c r="G17" s="97">
        <v>0.17</v>
      </c>
      <c r="H17" s="103" t="s">
        <v>84</v>
      </c>
    </row>
    <row r="18" spans="2:8" ht="15" x14ac:dyDescent="0.2">
      <c r="B18" s="104"/>
      <c r="C18" s="106"/>
      <c r="D18" s="106"/>
      <c r="E18" s="106"/>
      <c r="F18" s="106"/>
      <c r="G18" s="97">
        <v>0.09</v>
      </c>
      <c r="H18" s="103" t="s">
        <v>107</v>
      </c>
    </row>
    <row r="19" spans="2:8" ht="15" x14ac:dyDescent="0.2">
      <c r="B19" s="104"/>
      <c r="C19" s="106"/>
      <c r="D19" s="106"/>
      <c r="E19" s="106"/>
      <c r="F19" s="106"/>
      <c r="G19" s="97">
        <v>0.16</v>
      </c>
      <c r="H19" s="103" t="s">
        <v>108</v>
      </c>
    </row>
    <row r="20" spans="2:8" ht="15" x14ac:dyDescent="0.2">
      <c r="B20" s="100"/>
      <c r="C20" s="101"/>
      <c r="D20" s="101"/>
      <c r="E20" s="101"/>
      <c r="F20" s="101"/>
      <c r="G20" s="97">
        <v>0.126</v>
      </c>
      <c r="H20" s="103" t="s">
        <v>88</v>
      </c>
    </row>
    <row r="21" spans="2:8" ht="15" x14ac:dyDescent="0.2">
      <c r="B21" s="104"/>
      <c r="C21" s="106"/>
      <c r="D21" s="106"/>
      <c r="E21" s="106"/>
      <c r="F21" s="106"/>
      <c r="G21" s="97">
        <v>7.1999999999999995E-2</v>
      </c>
      <c r="H21" s="103" t="s">
        <v>99</v>
      </c>
    </row>
    <row r="22" spans="2:8" ht="15" x14ac:dyDescent="0.2">
      <c r="B22" s="104"/>
      <c r="C22" s="106"/>
      <c r="D22" s="106"/>
      <c r="E22" s="106"/>
      <c r="F22" s="106"/>
      <c r="G22" s="97">
        <v>4.4999999999999998E-2</v>
      </c>
      <c r="H22" s="103" t="s">
        <v>100</v>
      </c>
    </row>
    <row r="23" spans="2:8" ht="15" x14ac:dyDescent="0.2">
      <c r="B23" s="132" t="s">
        <v>41</v>
      </c>
      <c r="C23" s="108">
        <v>0.3</v>
      </c>
      <c r="D23" s="109">
        <v>0.06</v>
      </c>
      <c r="E23" s="109">
        <f>C23-D23</f>
        <v>0.24</v>
      </c>
      <c r="F23" s="109">
        <f>C23+D23</f>
        <v>0.36</v>
      </c>
      <c r="G23" s="97">
        <v>1.7999999999999999E-2</v>
      </c>
      <c r="H23" s="103" t="s">
        <v>101</v>
      </c>
    </row>
    <row r="24" spans="2:8" ht="15" x14ac:dyDescent="0.2">
      <c r="B24" s="132"/>
      <c r="C24" s="108"/>
      <c r="D24" s="109"/>
      <c r="E24" s="109"/>
      <c r="F24" s="109"/>
      <c r="G24" s="97">
        <v>3.9E-2</v>
      </c>
      <c r="H24" s="103" t="s">
        <v>95</v>
      </c>
    </row>
    <row r="25" spans="2:8" ht="15" x14ac:dyDescent="0.2">
      <c r="B25" s="104"/>
      <c r="C25" s="106"/>
      <c r="D25" s="106"/>
      <c r="E25" s="106"/>
      <c r="F25" s="106"/>
      <c r="G25" s="97">
        <v>0.315</v>
      </c>
      <c r="H25" s="103" t="s">
        <v>109</v>
      </c>
    </row>
    <row r="26" spans="2:8" ht="15" x14ac:dyDescent="0.2">
      <c r="B26" s="104"/>
      <c r="C26" s="106"/>
      <c r="D26" s="106"/>
      <c r="E26" s="106"/>
      <c r="F26" s="106"/>
      <c r="G26" s="97">
        <v>0.23099999999999998</v>
      </c>
      <c r="H26" s="103" t="s">
        <v>110</v>
      </c>
    </row>
    <row r="27" spans="2:8" ht="15" x14ac:dyDescent="0.2">
      <c r="B27" s="104"/>
      <c r="C27" s="106"/>
      <c r="D27" s="106"/>
      <c r="E27" s="106"/>
      <c r="F27" s="106"/>
      <c r="G27" s="97">
        <v>6.9999999999999993E-2</v>
      </c>
      <c r="H27" s="103" t="s">
        <v>111</v>
      </c>
    </row>
    <row r="28" spans="2:8" ht="15" x14ac:dyDescent="0.2">
      <c r="B28" s="104"/>
      <c r="C28" s="106"/>
      <c r="D28" s="106"/>
      <c r="E28" s="106"/>
      <c r="F28" s="106"/>
      <c r="G28" s="97">
        <v>3.4999999999999996E-2</v>
      </c>
      <c r="H28" s="103" t="s">
        <v>112</v>
      </c>
    </row>
    <row r="29" spans="2:8" ht="15" x14ac:dyDescent="0.2">
      <c r="B29" s="110"/>
      <c r="C29" s="112"/>
      <c r="D29" s="112"/>
      <c r="E29" s="112"/>
      <c r="F29" s="112"/>
      <c r="G29" s="97">
        <v>4.9000000000000002E-2</v>
      </c>
      <c r="H29" s="133" t="s">
        <v>113</v>
      </c>
    </row>
    <row r="30" spans="2:8" ht="15" x14ac:dyDescent="0.2">
      <c r="B30" s="110" t="s">
        <v>86</v>
      </c>
      <c r="C30" s="97">
        <v>0</v>
      </c>
      <c r="D30" s="97">
        <v>0.05</v>
      </c>
      <c r="E30" s="97">
        <f>IF((C30-D30)&lt;0,0,C30-D30)</f>
        <v>0</v>
      </c>
      <c r="F30" s="97">
        <f>C30+D30</f>
        <v>0.05</v>
      </c>
      <c r="G30" s="99"/>
      <c r="H30" s="103"/>
    </row>
    <row r="31" spans="2:8" ht="15" x14ac:dyDescent="0.2">
      <c r="B31" s="125" t="s">
        <v>47</v>
      </c>
      <c r="C31" s="126">
        <v>0.02</v>
      </c>
      <c r="D31" s="97"/>
      <c r="E31" s="97"/>
      <c r="F31" s="97"/>
      <c r="G31" s="97">
        <v>1</v>
      </c>
      <c r="H31" s="134" t="s">
        <v>85</v>
      </c>
    </row>
    <row r="32" spans="2:8" ht="15" x14ac:dyDescent="0.2">
      <c r="B32" s="125" t="s">
        <v>8</v>
      </c>
      <c r="C32" s="128">
        <f>SUM(C4:C31)</f>
        <v>1</v>
      </c>
      <c r="D32" s="97"/>
      <c r="E32" s="97"/>
      <c r="F32" s="97"/>
      <c r="G32" s="129"/>
      <c r="H32" s="130"/>
    </row>
    <row r="33" spans="2:10" ht="15" x14ac:dyDescent="0.2">
      <c r="B33" s="125" t="s">
        <v>9</v>
      </c>
      <c r="C33" s="126">
        <v>0.2</v>
      </c>
      <c r="D33" s="97">
        <v>0.06</v>
      </c>
      <c r="E33" s="109">
        <f>C33-D33</f>
        <v>0.14000000000000001</v>
      </c>
      <c r="F33" s="109">
        <f>C33+D33</f>
        <v>0.26</v>
      </c>
      <c r="G33" s="97"/>
      <c r="H33" s="131"/>
    </row>
    <row r="34" spans="2:10" ht="15" x14ac:dyDescent="0.2">
      <c r="B34" s="160" t="s">
        <v>160</v>
      </c>
      <c r="C34" s="166">
        <v>1E-3</v>
      </c>
      <c r="D34" s="175"/>
      <c r="E34" s="175"/>
      <c r="F34" s="175"/>
      <c r="G34" s="175"/>
      <c r="H34" s="176"/>
    </row>
    <row r="35" spans="2:10" ht="15" x14ac:dyDescent="0.25">
      <c r="B35" s="96" t="s">
        <v>122</v>
      </c>
      <c r="E35" s="47"/>
    </row>
    <row r="36" spans="2:10" x14ac:dyDescent="0.2">
      <c r="C36" s="77"/>
      <c r="D36" s="66"/>
      <c r="E36" s="66"/>
      <c r="F36" s="66"/>
    </row>
    <row r="37" spans="2:10" ht="18" x14ac:dyDescent="0.2">
      <c r="B37" s="276" t="s">
        <v>163</v>
      </c>
      <c r="C37" s="277"/>
      <c r="D37" s="277"/>
      <c r="E37" s="277"/>
      <c r="F37" s="277"/>
      <c r="G37" s="277"/>
      <c r="H37" s="277"/>
      <c r="J37" s="71" t="s">
        <v>168</v>
      </c>
    </row>
    <row r="38" spans="2:10" ht="45" x14ac:dyDescent="0.2">
      <c r="B38" s="48" t="s">
        <v>0</v>
      </c>
      <c r="C38" s="72" t="s">
        <v>127</v>
      </c>
      <c r="D38" s="48" t="s">
        <v>72</v>
      </c>
      <c r="E38" s="170" t="s">
        <v>40</v>
      </c>
      <c r="F38" s="171"/>
      <c r="G38" s="172" t="s">
        <v>91</v>
      </c>
      <c r="H38" s="174"/>
    </row>
    <row r="39" spans="2:10" ht="15" x14ac:dyDescent="0.2">
      <c r="B39" s="100"/>
      <c r="C39" s="102"/>
      <c r="D39" s="101"/>
      <c r="E39" s="101"/>
      <c r="F39" s="101"/>
      <c r="G39" s="97">
        <v>0.27</v>
      </c>
      <c r="H39" s="103" t="s">
        <v>75</v>
      </c>
    </row>
    <row r="40" spans="2:10" ht="15" x14ac:dyDescent="0.2">
      <c r="B40" s="104"/>
      <c r="C40" s="107"/>
      <c r="D40" s="106"/>
      <c r="E40" s="106"/>
      <c r="F40" s="106"/>
      <c r="G40" s="97">
        <v>9.6000000000000002E-2</v>
      </c>
      <c r="H40" s="103" t="s">
        <v>93</v>
      </c>
    </row>
    <row r="41" spans="2:10" ht="15" x14ac:dyDescent="0.2">
      <c r="B41" s="104"/>
      <c r="C41" s="107"/>
      <c r="D41" s="106"/>
      <c r="E41" s="106"/>
      <c r="F41" s="106"/>
      <c r="G41" s="97">
        <v>9.6000000000000002E-2</v>
      </c>
      <c r="H41" s="103" t="s">
        <v>78</v>
      </c>
    </row>
    <row r="42" spans="2:10" ht="15" x14ac:dyDescent="0.2">
      <c r="B42" s="104" t="s">
        <v>76</v>
      </c>
      <c r="C42" s="105">
        <v>0.49</v>
      </c>
      <c r="D42" s="109">
        <v>0.06</v>
      </c>
      <c r="E42" s="109">
        <f>C42-D42</f>
        <v>0.43</v>
      </c>
      <c r="F42" s="109">
        <f>C42+D42</f>
        <v>0.55000000000000004</v>
      </c>
      <c r="G42" s="97">
        <v>4.8000000000000001E-2</v>
      </c>
      <c r="H42" s="103" t="s">
        <v>77</v>
      </c>
    </row>
    <row r="43" spans="2:10" ht="15" x14ac:dyDescent="0.2">
      <c r="B43" s="104"/>
      <c r="C43" s="107"/>
      <c r="D43" s="109"/>
      <c r="E43" s="109"/>
      <c r="F43" s="109"/>
      <c r="G43" s="97">
        <v>0.09</v>
      </c>
      <c r="H43" s="103" t="s">
        <v>103</v>
      </c>
    </row>
    <row r="44" spans="2:10" ht="15" x14ac:dyDescent="0.2">
      <c r="B44" s="104"/>
      <c r="C44" s="107"/>
      <c r="D44" s="109"/>
      <c r="E44" s="109"/>
      <c r="F44" s="109"/>
      <c r="G44" s="97">
        <v>0.36000000000000004</v>
      </c>
      <c r="H44" s="103" t="s">
        <v>79</v>
      </c>
    </row>
    <row r="45" spans="2:10" ht="15" x14ac:dyDescent="0.2">
      <c r="B45" s="104"/>
      <c r="C45" s="107"/>
      <c r="D45" s="109"/>
      <c r="E45" s="109"/>
      <c r="F45" s="109"/>
      <c r="G45" s="97">
        <v>2.0000000000000004E-2</v>
      </c>
      <c r="H45" s="103" t="s">
        <v>94</v>
      </c>
    </row>
    <row r="46" spans="2:10" ht="30" x14ac:dyDescent="0.2">
      <c r="B46" s="110"/>
      <c r="C46" s="113"/>
      <c r="D46" s="97"/>
      <c r="E46" s="97"/>
      <c r="F46" s="97"/>
      <c r="G46" s="97">
        <v>2.0000000000000004E-2</v>
      </c>
      <c r="H46" s="103" t="s">
        <v>87</v>
      </c>
    </row>
    <row r="47" spans="2:10" ht="15" x14ac:dyDescent="0.2">
      <c r="B47" s="104"/>
      <c r="C47" s="107"/>
      <c r="D47" s="109"/>
      <c r="E47" s="109"/>
      <c r="F47" s="109"/>
      <c r="G47" s="97">
        <v>0.12</v>
      </c>
      <c r="H47" s="103" t="s">
        <v>104</v>
      </c>
    </row>
    <row r="48" spans="2:10" ht="15" x14ac:dyDescent="0.2">
      <c r="B48" s="104" t="s">
        <v>81</v>
      </c>
      <c r="C48" s="105">
        <v>0.15</v>
      </c>
      <c r="D48" s="109">
        <v>0.05</v>
      </c>
      <c r="E48" s="109">
        <f>C48-D48</f>
        <v>9.9999999999999992E-2</v>
      </c>
      <c r="F48" s="109">
        <f>C48+D48</f>
        <v>0.2</v>
      </c>
      <c r="G48" s="97">
        <v>0.17</v>
      </c>
      <c r="H48" s="103" t="s">
        <v>80</v>
      </c>
    </row>
    <row r="49" spans="2:8" ht="15" x14ac:dyDescent="0.2">
      <c r="B49" s="104" t="s">
        <v>83</v>
      </c>
      <c r="C49" s="107"/>
      <c r="D49" s="109"/>
      <c r="E49" s="109"/>
      <c r="F49" s="109"/>
      <c r="G49" s="97">
        <v>7.0000000000000007E-2</v>
      </c>
      <c r="H49" s="103" t="s">
        <v>82</v>
      </c>
    </row>
    <row r="50" spans="2:8" ht="15" x14ac:dyDescent="0.2">
      <c r="B50" s="104"/>
      <c r="C50" s="107"/>
      <c r="D50" s="109"/>
      <c r="E50" s="109"/>
      <c r="F50" s="109"/>
      <c r="G50" s="97">
        <v>0.09</v>
      </c>
      <c r="H50" s="103" t="s">
        <v>105</v>
      </c>
    </row>
    <row r="51" spans="2:8" ht="15" x14ac:dyDescent="0.2">
      <c r="B51" s="104"/>
      <c r="C51" s="107"/>
      <c r="D51" s="109"/>
      <c r="E51" s="109"/>
      <c r="F51" s="109"/>
      <c r="G51" s="97">
        <v>0.13</v>
      </c>
      <c r="H51" s="103" t="s">
        <v>106</v>
      </c>
    </row>
    <row r="52" spans="2:8" ht="15" x14ac:dyDescent="0.2">
      <c r="B52" s="104"/>
      <c r="C52" s="107"/>
      <c r="D52" s="109"/>
      <c r="E52" s="109"/>
      <c r="F52" s="109"/>
      <c r="G52" s="97">
        <v>0.17</v>
      </c>
      <c r="H52" s="103" t="s">
        <v>84</v>
      </c>
    </row>
    <row r="53" spans="2:8" ht="15" x14ac:dyDescent="0.2">
      <c r="B53" s="104"/>
      <c r="C53" s="107"/>
      <c r="D53" s="109"/>
      <c r="E53" s="109"/>
      <c r="F53" s="109"/>
      <c r="G53" s="97">
        <v>0.09</v>
      </c>
      <c r="H53" s="103" t="s">
        <v>107</v>
      </c>
    </row>
    <row r="54" spans="2:8" ht="15" x14ac:dyDescent="0.2">
      <c r="B54" s="115"/>
      <c r="C54" s="116"/>
      <c r="D54" s="117"/>
      <c r="E54" s="117"/>
      <c r="F54" s="117"/>
      <c r="G54" s="97">
        <v>0.16</v>
      </c>
      <c r="H54" s="103" t="s">
        <v>108</v>
      </c>
    </row>
    <row r="55" spans="2:8" ht="15" x14ac:dyDescent="0.25">
      <c r="B55" s="104"/>
      <c r="C55" s="119"/>
      <c r="D55" s="109"/>
      <c r="E55" s="109"/>
      <c r="F55" s="109"/>
      <c r="G55" s="109">
        <v>0.126</v>
      </c>
      <c r="H55" s="120" t="s">
        <v>88</v>
      </c>
    </row>
    <row r="56" spans="2:8" ht="15" x14ac:dyDescent="0.2">
      <c r="B56" s="104"/>
      <c r="C56" s="107"/>
      <c r="D56" s="109"/>
      <c r="E56" s="109"/>
      <c r="F56" s="109"/>
      <c r="G56" s="97">
        <v>7.1999999999999995E-2</v>
      </c>
      <c r="H56" s="103" t="s">
        <v>99</v>
      </c>
    </row>
    <row r="57" spans="2:8" ht="15" x14ac:dyDescent="0.2">
      <c r="B57" s="104"/>
      <c r="C57" s="107"/>
      <c r="D57" s="109"/>
      <c r="E57" s="109"/>
      <c r="F57" s="109"/>
      <c r="G57" s="97">
        <v>4.4999999999999998E-2</v>
      </c>
      <c r="H57" s="103" t="s">
        <v>100</v>
      </c>
    </row>
    <row r="58" spans="2:8" ht="15" x14ac:dyDescent="0.2">
      <c r="B58" s="104"/>
      <c r="C58" s="107"/>
      <c r="D58" s="109"/>
      <c r="E58" s="109"/>
      <c r="F58" s="109"/>
      <c r="G58" s="97">
        <v>1.7999999999999999E-2</v>
      </c>
      <c r="H58" s="103" t="s">
        <v>101</v>
      </c>
    </row>
    <row r="59" spans="2:8" ht="15" x14ac:dyDescent="0.2">
      <c r="B59" s="104"/>
      <c r="C59" s="107"/>
      <c r="D59" s="109"/>
      <c r="E59" s="109"/>
      <c r="F59" s="109"/>
      <c r="G59" s="97">
        <v>3.9E-2</v>
      </c>
      <c r="H59" s="103" t="s">
        <v>95</v>
      </c>
    </row>
    <row r="60" spans="2:8" ht="15" x14ac:dyDescent="0.2">
      <c r="B60" s="104"/>
      <c r="C60" s="107"/>
      <c r="D60" s="109"/>
      <c r="E60" s="109"/>
      <c r="F60" s="109"/>
      <c r="G60" s="97">
        <v>0.315</v>
      </c>
      <c r="H60" s="103" t="s">
        <v>109</v>
      </c>
    </row>
    <row r="61" spans="2:8" ht="15" x14ac:dyDescent="0.2">
      <c r="B61" s="104" t="s">
        <v>41</v>
      </c>
      <c r="C61" s="105">
        <v>0.33</v>
      </c>
      <c r="D61" s="109">
        <v>0.06</v>
      </c>
      <c r="E61" s="109">
        <f>C61-D61</f>
        <v>0.27</v>
      </c>
      <c r="F61" s="109">
        <f>C61+D61</f>
        <v>0.39</v>
      </c>
      <c r="G61" s="97">
        <v>0.23099999999999998</v>
      </c>
      <c r="H61" s="103" t="s">
        <v>110</v>
      </c>
    </row>
    <row r="62" spans="2:8" ht="15" x14ac:dyDescent="0.2">
      <c r="B62" s="104"/>
      <c r="C62" s="107"/>
      <c r="D62" s="109"/>
      <c r="E62" s="109"/>
      <c r="F62" s="109"/>
      <c r="G62" s="97">
        <v>6.9999999999999993E-2</v>
      </c>
      <c r="H62" s="103" t="s">
        <v>111</v>
      </c>
    </row>
    <row r="63" spans="2:8" ht="15" x14ac:dyDescent="0.2">
      <c r="B63" s="104"/>
      <c r="C63" s="107"/>
      <c r="D63" s="106"/>
      <c r="E63" s="106"/>
      <c r="F63" s="106"/>
      <c r="G63" s="97">
        <v>3.4999999999999996E-2</v>
      </c>
      <c r="H63" s="103" t="s">
        <v>112</v>
      </c>
    </row>
    <row r="64" spans="2:8" ht="15" x14ac:dyDescent="0.2">
      <c r="B64" s="104"/>
      <c r="C64" s="107"/>
      <c r="D64" s="106"/>
      <c r="E64" s="106"/>
      <c r="F64" s="106"/>
      <c r="G64" s="97">
        <v>4.9000000000000002E-2</v>
      </c>
      <c r="H64" s="103" t="s">
        <v>113</v>
      </c>
    </row>
    <row r="65" spans="2:10" ht="15" x14ac:dyDescent="0.2">
      <c r="B65" s="121" t="s">
        <v>86</v>
      </c>
      <c r="C65" s="122">
        <v>0</v>
      </c>
      <c r="D65" s="123">
        <v>0.05</v>
      </c>
      <c r="E65" s="123">
        <f>IF((C65-D65)&lt;0,0,C65-D65)</f>
        <v>0</v>
      </c>
      <c r="F65" s="124">
        <f>C65+D65</f>
        <v>0.05</v>
      </c>
      <c r="G65" s="99"/>
      <c r="H65" s="103"/>
    </row>
    <row r="66" spans="2:10" ht="15" x14ac:dyDescent="0.2">
      <c r="B66" s="125" t="s">
        <v>47</v>
      </c>
      <c r="C66" s="113">
        <v>0.03</v>
      </c>
      <c r="D66" s="97"/>
      <c r="E66" s="97"/>
      <c r="F66" s="97"/>
      <c r="G66" s="99">
        <v>1</v>
      </c>
      <c r="H66" s="103" t="s">
        <v>85</v>
      </c>
    </row>
    <row r="67" spans="2:10" ht="15" x14ac:dyDescent="0.2">
      <c r="B67" s="125" t="s">
        <v>8</v>
      </c>
      <c r="C67" s="127">
        <f>SUM(C39:C66)</f>
        <v>1</v>
      </c>
      <c r="D67" s="97"/>
      <c r="E67" s="97"/>
      <c r="F67" s="97"/>
      <c r="G67" s="129"/>
      <c r="H67" s="130"/>
    </row>
    <row r="68" spans="2:10" ht="15" x14ac:dyDescent="0.2">
      <c r="B68" s="125" t="s">
        <v>9</v>
      </c>
      <c r="C68" s="111">
        <v>0.19</v>
      </c>
      <c r="D68" s="97">
        <v>0.06</v>
      </c>
      <c r="E68" s="109">
        <f>C68-D68</f>
        <v>0.13</v>
      </c>
      <c r="F68" s="109">
        <f>C68+D68</f>
        <v>0.25</v>
      </c>
      <c r="G68" s="97"/>
      <c r="H68" s="131"/>
    </row>
    <row r="69" spans="2:10" ht="15" x14ac:dyDescent="0.2">
      <c r="B69" s="160" t="s">
        <v>160</v>
      </c>
      <c r="C69" s="166">
        <v>1E-3</v>
      </c>
      <c r="D69" s="175"/>
      <c r="E69" s="175"/>
      <c r="F69" s="175"/>
      <c r="G69" s="175"/>
      <c r="H69" s="176"/>
    </row>
    <row r="70" spans="2:10" ht="15" x14ac:dyDescent="0.25">
      <c r="B70" s="96" t="s">
        <v>123</v>
      </c>
      <c r="E70" s="47"/>
    </row>
    <row r="71" spans="2:10" x14ac:dyDescent="0.2">
      <c r="E71" s="47"/>
    </row>
    <row r="72" spans="2:10" ht="18" x14ac:dyDescent="0.2">
      <c r="B72" s="276" t="s">
        <v>164</v>
      </c>
      <c r="C72" s="277"/>
      <c r="D72" s="277"/>
      <c r="E72" s="277"/>
      <c r="F72" s="277"/>
      <c r="G72" s="277"/>
      <c r="H72" s="277"/>
      <c r="J72" s="71" t="s">
        <v>168</v>
      </c>
    </row>
    <row r="73" spans="2:10" ht="45" x14ac:dyDescent="0.2">
      <c r="B73" s="48" t="s">
        <v>0</v>
      </c>
      <c r="C73" s="72" t="s">
        <v>127</v>
      </c>
      <c r="D73" s="48" t="s">
        <v>72</v>
      </c>
      <c r="E73" s="170" t="s">
        <v>40</v>
      </c>
      <c r="F73" s="171"/>
      <c r="G73" s="172" t="s">
        <v>91</v>
      </c>
      <c r="H73" s="173"/>
    </row>
    <row r="74" spans="2:10" ht="15" x14ac:dyDescent="0.2">
      <c r="B74" s="50"/>
      <c r="C74" s="73"/>
      <c r="D74" s="51"/>
      <c r="E74" s="51"/>
      <c r="F74" s="51"/>
      <c r="G74" s="97">
        <v>0.27</v>
      </c>
      <c r="H74" s="59" t="s">
        <v>75</v>
      </c>
    </row>
    <row r="75" spans="2:10" ht="15" x14ac:dyDescent="0.2">
      <c r="B75" s="50"/>
      <c r="C75" s="73"/>
      <c r="D75" s="53"/>
      <c r="E75" s="53"/>
      <c r="F75" s="53"/>
      <c r="G75" s="97">
        <v>9.6000000000000002E-2</v>
      </c>
      <c r="H75" s="59" t="s">
        <v>93</v>
      </c>
    </row>
    <row r="76" spans="2:10" ht="15" x14ac:dyDescent="0.2">
      <c r="B76" s="50" t="s">
        <v>76</v>
      </c>
      <c r="C76" s="81">
        <v>0.31</v>
      </c>
      <c r="D76" s="53">
        <v>0.06</v>
      </c>
      <c r="E76" s="53">
        <f>C76-D76</f>
        <v>0.25</v>
      </c>
      <c r="F76" s="53">
        <f>C76+D76</f>
        <v>0.37</v>
      </c>
      <c r="G76" s="97">
        <v>9.6000000000000002E-2</v>
      </c>
      <c r="H76" s="59" t="s">
        <v>78</v>
      </c>
    </row>
    <row r="77" spans="2:10" ht="15" x14ac:dyDescent="0.2">
      <c r="B77" s="50"/>
      <c r="C77" s="81"/>
      <c r="D77" s="53"/>
      <c r="E77" s="53"/>
      <c r="F77" s="53"/>
      <c r="G77" s="97">
        <v>4.8000000000000001E-2</v>
      </c>
      <c r="H77" s="59" t="s">
        <v>77</v>
      </c>
    </row>
    <row r="78" spans="2:10" ht="15" x14ac:dyDescent="0.2">
      <c r="B78" s="50"/>
      <c r="C78" s="73"/>
      <c r="D78" s="53"/>
      <c r="E78" s="53"/>
      <c r="F78" s="53"/>
      <c r="G78" s="97">
        <v>0.09</v>
      </c>
      <c r="H78" s="59" t="s">
        <v>103</v>
      </c>
    </row>
    <row r="79" spans="2:10" ht="15" x14ac:dyDescent="0.2">
      <c r="B79" s="50"/>
      <c r="C79" s="73"/>
      <c r="D79" s="53"/>
      <c r="E79" s="53"/>
      <c r="F79" s="53"/>
      <c r="G79" s="97">
        <v>0.36000000000000004</v>
      </c>
      <c r="H79" s="59" t="s">
        <v>79</v>
      </c>
    </row>
    <row r="80" spans="2:10" ht="15" x14ac:dyDescent="0.2">
      <c r="B80" s="50"/>
      <c r="C80" s="73"/>
      <c r="D80" s="53"/>
      <c r="E80" s="53"/>
      <c r="F80" s="53"/>
      <c r="G80" s="97">
        <v>2.0000000000000004E-2</v>
      </c>
      <c r="H80" s="59" t="s">
        <v>94</v>
      </c>
    </row>
    <row r="81" spans="2:8" ht="30" x14ac:dyDescent="0.2">
      <c r="B81" s="54"/>
      <c r="C81" s="74"/>
      <c r="D81" s="56"/>
      <c r="E81" s="56"/>
      <c r="F81" s="56"/>
      <c r="G81" s="97">
        <v>2.0000000000000004E-2</v>
      </c>
      <c r="H81" s="59" t="s">
        <v>87</v>
      </c>
    </row>
    <row r="82" spans="2:8" ht="15" x14ac:dyDescent="0.2">
      <c r="B82" s="50"/>
      <c r="C82" s="73"/>
      <c r="D82" s="53"/>
      <c r="E82" s="53"/>
      <c r="F82" s="53"/>
      <c r="G82" s="97">
        <v>0.12</v>
      </c>
      <c r="H82" s="59" t="s">
        <v>104</v>
      </c>
    </row>
    <row r="83" spans="2:8" ht="15" x14ac:dyDescent="0.2">
      <c r="B83" s="50" t="s">
        <v>81</v>
      </c>
      <c r="C83" s="81">
        <v>0.3</v>
      </c>
      <c r="D83" s="53">
        <v>0.05</v>
      </c>
      <c r="E83" s="53">
        <f>C83-D83</f>
        <v>0.25</v>
      </c>
      <c r="F83" s="53">
        <f>C83+D83</f>
        <v>0.35</v>
      </c>
      <c r="G83" s="97">
        <v>0.17</v>
      </c>
      <c r="H83" s="59" t="s">
        <v>80</v>
      </c>
    </row>
    <row r="84" spans="2:8" ht="15" x14ac:dyDescent="0.2">
      <c r="B84" s="50" t="s">
        <v>83</v>
      </c>
      <c r="C84" s="73"/>
      <c r="D84" s="53"/>
      <c r="E84" s="53"/>
      <c r="F84" s="53"/>
      <c r="G84" s="97">
        <v>7.0000000000000007E-2</v>
      </c>
      <c r="H84" s="59" t="s">
        <v>82</v>
      </c>
    </row>
    <row r="85" spans="2:8" ht="15" x14ac:dyDescent="0.2">
      <c r="B85" s="50"/>
      <c r="C85" s="73"/>
      <c r="D85" s="53"/>
      <c r="E85" s="53"/>
      <c r="F85" s="53"/>
      <c r="G85" s="97">
        <v>0.09</v>
      </c>
      <c r="H85" s="59" t="s">
        <v>105</v>
      </c>
    </row>
    <row r="86" spans="2:8" ht="15" x14ac:dyDescent="0.2">
      <c r="B86" s="50"/>
      <c r="C86" s="73"/>
      <c r="D86" s="53"/>
      <c r="E86" s="53"/>
      <c r="F86" s="53"/>
      <c r="G86" s="97">
        <v>0.13</v>
      </c>
      <c r="H86" s="59" t="s">
        <v>106</v>
      </c>
    </row>
    <row r="87" spans="2:8" ht="15" x14ac:dyDescent="0.2">
      <c r="B87" s="50"/>
      <c r="C87" s="73"/>
      <c r="D87" s="53"/>
      <c r="E87" s="53"/>
      <c r="F87" s="53"/>
      <c r="G87" s="97">
        <v>0.17</v>
      </c>
      <c r="H87" s="59" t="s">
        <v>84</v>
      </c>
    </row>
    <row r="88" spans="2:8" ht="15" x14ac:dyDescent="0.2">
      <c r="B88" s="50"/>
      <c r="C88" s="73"/>
      <c r="D88" s="53"/>
      <c r="E88" s="53"/>
      <c r="F88" s="53"/>
      <c r="G88" s="97">
        <v>0.09</v>
      </c>
      <c r="H88" s="59" t="s">
        <v>107</v>
      </c>
    </row>
    <row r="89" spans="2:8" ht="15" x14ac:dyDescent="0.2">
      <c r="B89" s="90"/>
      <c r="C89" s="93"/>
      <c r="D89" s="91"/>
      <c r="E89" s="91"/>
      <c r="F89" s="91"/>
      <c r="G89" s="98">
        <v>0.16</v>
      </c>
      <c r="H89" s="92" t="s">
        <v>108</v>
      </c>
    </row>
    <row r="90" spans="2:8" ht="15" x14ac:dyDescent="0.2">
      <c r="B90" s="50"/>
      <c r="C90" s="73"/>
      <c r="D90" s="53"/>
      <c r="E90" s="53"/>
      <c r="F90" s="53"/>
      <c r="G90" s="97">
        <v>0.126</v>
      </c>
      <c r="H90" s="59" t="s">
        <v>88</v>
      </c>
    </row>
    <row r="91" spans="2:8" ht="15" x14ac:dyDescent="0.2">
      <c r="B91" s="50"/>
      <c r="C91" s="73"/>
      <c r="D91" s="53"/>
      <c r="E91" s="53"/>
      <c r="F91" s="53"/>
      <c r="G91" s="97">
        <v>7.1999999999999995E-2</v>
      </c>
      <c r="H91" s="59" t="s">
        <v>99</v>
      </c>
    </row>
    <row r="92" spans="2:8" ht="15" x14ac:dyDescent="0.2">
      <c r="B92" s="50"/>
      <c r="C92" s="73"/>
      <c r="D92" s="53"/>
      <c r="E92" s="53"/>
      <c r="F92" s="53"/>
      <c r="G92" s="97">
        <v>4.4999999999999998E-2</v>
      </c>
      <c r="H92" s="59" t="s">
        <v>100</v>
      </c>
    </row>
    <row r="93" spans="2:8" ht="15" x14ac:dyDescent="0.2">
      <c r="B93" s="75" t="s">
        <v>41</v>
      </c>
      <c r="C93" s="73"/>
      <c r="D93" s="73"/>
      <c r="E93" s="53"/>
      <c r="F93" s="53"/>
      <c r="G93" s="97">
        <v>1.7999999999999999E-2</v>
      </c>
      <c r="H93" s="59" t="s">
        <v>101</v>
      </c>
    </row>
    <row r="94" spans="2:8" ht="15" x14ac:dyDescent="0.2">
      <c r="B94" s="75"/>
      <c r="C94" s="73"/>
      <c r="D94" s="73"/>
      <c r="E94" s="53"/>
      <c r="F94" s="53"/>
      <c r="G94" s="97">
        <v>3.9E-2</v>
      </c>
      <c r="H94" s="59" t="s">
        <v>95</v>
      </c>
    </row>
    <row r="95" spans="2:8" ht="15" x14ac:dyDescent="0.2">
      <c r="B95" s="50"/>
      <c r="C95" s="81">
        <v>0.36</v>
      </c>
      <c r="D95" s="81">
        <v>0.06</v>
      </c>
      <c r="E95" s="53">
        <f>C95-D95</f>
        <v>0.3</v>
      </c>
      <c r="F95" s="53">
        <f>C95+D95</f>
        <v>0.42</v>
      </c>
      <c r="G95" s="97">
        <v>0.315</v>
      </c>
      <c r="H95" s="59" t="s">
        <v>109</v>
      </c>
    </row>
    <row r="96" spans="2:8" ht="15" x14ac:dyDescent="0.2">
      <c r="B96" s="50"/>
      <c r="C96" s="81"/>
      <c r="D96" s="73"/>
      <c r="E96" s="53"/>
      <c r="F96" s="53"/>
      <c r="G96" s="97">
        <v>0.23099999999999998</v>
      </c>
      <c r="H96" s="59" t="s">
        <v>110</v>
      </c>
    </row>
    <row r="97" spans="2:8" ht="15" x14ac:dyDescent="0.2">
      <c r="B97" s="50"/>
      <c r="C97" s="81"/>
      <c r="D97" s="53"/>
      <c r="E97" s="53"/>
      <c r="F97" s="53"/>
      <c r="G97" s="97">
        <v>6.9999999999999993E-2</v>
      </c>
      <c r="H97" s="59" t="s">
        <v>111</v>
      </c>
    </row>
    <row r="98" spans="2:8" ht="15" x14ac:dyDescent="0.2">
      <c r="B98" s="50"/>
      <c r="C98" s="73"/>
      <c r="D98" s="51"/>
      <c r="E98" s="51"/>
      <c r="F98" s="51"/>
      <c r="G98" s="97">
        <v>3.4999999999999996E-2</v>
      </c>
      <c r="H98" s="59" t="s">
        <v>112</v>
      </c>
    </row>
    <row r="99" spans="2:8" ht="15" x14ac:dyDescent="0.2">
      <c r="B99" s="54"/>
      <c r="C99" s="73"/>
      <c r="D99" s="51"/>
      <c r="E99" s="51"/>
      <c r="F99" s="51"/>
      <c r="G99" s="97">
        <v>4.9000000000000002E-2</v>
      </c>
      <c r="H99" s="83" t="s">
        <v>113</v>
      </c>
    </row>
    <row r="100" spans="2:8" ht="15" x14ac:dyDescent="0.2">
      <c r="B100" s="54" t="s">
        <v>86</v>
      </c>
      <c r="C100" s="87">
        <v>0</v>
      </c>
      <c r="D100" s="88">
        <v>0.05</v>
      </c>
      <c r="E100" s="88">
        <f>IF((C100-D100)&lt;0,0,C100-D100)</f>
        <v>0</v>
      </c>
      <c r="F100" s="89">
        <f>C100+D100</f>
        <v>0.05</v>
      </c>
      <c r="G100" s="99"/>
      <c r="H100" s="59"/>
    </row>
    <row r="101" spans="2:8" ht="15" x14ac:dyDescent="0.2">
      <c r="B101" s="61" t="s">
        <v>47</v>
      </c>
      <c r="C101" s="86">
        <v>0.03</v>
      </c>
      <c r="D101" s="56"/>
      <c r="E101" s="56"/>
      <c r="F101" s="56"/>
      <c r="G101" s="97">
        <v>1</v>
      </c>
      <c r="H101" s="64" t="s">
        <v>85</v>
      </c>
    </row>
    <row r="102" spans="2:8" ht="15" x14ac:dyDescent="0.2">
      <c r="B102" s="61" t="s">
        <v>8</v>
      </c>
      <c r="C102" s="80">
        <f>SUM(C74:C101)</f>
        <v>1</v>
      </c>
      <c r="D102" s="56"/>
      <c r="E102" s="56"/>
      <c r="F102" s="56"/>
      <c r="G102" s="62"/>
      <c r="H102" s="63"/>
    </row>
    <row r="103" spans="2:8" ht="15" x14ac:dyDescent="0.2">
      <c r="B103" s="61" t="s">
        <v>9</v>
      </c>
      <c r="C103" s="80">
        <v>0.17</v>
      </c>
      <c r="D103" s="56">
        <v>0.06</v>
      </c>
      <c r="E103" s="53">
        <f>C103-D103</f>
        <v>0.11000000000000001</v>
      </c>
      <c r="F103" s="53">
        <f>C103+D103</f>
        <v>0.23</v>
      </c>
      <c r="G103" s="56"/>
      <c r="H103" s="76"/>
    </row>
    <row r="104" spans="2:8" ht="15" x14ac:dyDescent="0.2">
      <c r="B104" s="160" t="s">
        <v>160</v>
      </c>
      <c r="C104" s="166">
        <v>1E-3</v>
      </c>
      <c r="D104" s="168"/>
      <c r="E104" s="168"/>
      <c r="F104" s="168"/>
      <c r="G104" s="168"/>
      <c r="H104" s="177"/>
    </row>
    <row r="105" spans="2:8" ht="15" x14ac:dyDescent="0.25">
      <c r="B105" s="96" t="s">
        <v>124</v>
      </c>
      <c r="E105" s="47"/>
    </row>
    <row r="106" spans="2:8" x14ac:dyDescent="0.2">
      <c r="B106" s="78" t="s">
        <v>46</v>
      </c>
      <c r="E106" s="47"/>
    </row>
    <row r="107" spans="2:8" ht="13.9" customHeight="1" x14ac:dyDescent="0.2">
      <c r="B107" s="34" t="s">
        <v>89</v>
      </c>
      <c r="C107" s="79"/>
      <c r="D107" s="67"/>
      <c r="E107" s="67"/>
      <c r="F107" s="67"/>
      <c r="G107" s="67"/>
      <c r="H107" s="67"/>
    </row>
    <row r="108" spans="2:8" x14ac:dyDescent="0.2">
      <c r="B108" s="69"/>
      <c r="C108" s="79"/>
      <c r="D108" s="67"/>
      <c r="E108" s="67"/>
      <c r="F108" s="67"/>
      <c r="G108" s="67"/>
      <c r="H108" s="67"/>
    </row>
    <row r="109" spans="2:8" x14ac:dyDescent="0.2">
      <c r="B109" s="67"/>
      <c r="C109" s="79"/>
      <c r="D109" s="67"/>
      <c r="F109" s="67"/>
      <c r="G109" s="67"/>
      <c r="H109" s="67"/>
    </row>
  </sheetData>
  <mergeCells count="3">
    <mergeCell ref="B72:H72"/>
    <mergeCell ref="B37:H37"/>
    <mergeCell ref="B2:H2"/>
  </mergeCells>
  <pageMargins left="0.70866141732283472" right="0.70866141732283472" top="0.74803149606299213" bottom="0.74803149606299213" header="0.31496062992125984" footer="0.31496062992125984"/>
  <pageSetup paperSize="9" scale="42" orientation="portrait" r:id="rId1"/>
  <rowBreaks count="1" manualBreakCount="1">
    <brk id="27" min="1" max="9" man="1"/>
  </rowBreaks>
  <colBreaks count="1" manualBreakCount="1">
    <brk id="2" max="98"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64800-8105-4C2F-819C-0320F07A656C}">
  <sheetPr>
    <tabColor rgb="FF92D050"/>
    <pageSetUpPr fitToPage="1"/>
  </sheetPr>
  <dimension ref="A1:J26"/>
  <sheetViews>
    <sheetView showGridLines="0" rightToLeft="1" topLeftCell="A3" zoomScale="80" zoomScaleNormal="80" zoomScaleSheetLayoutView="70" workbookViewId="0">
      <selection activeCell="I14" sqref="I14:I22"/>
    </sheetView>
  </sheetViews>
  <sheetFormatPr defaultColWidth="8" defaultRowHeight="14.25" x14ac:dyDescent="0.2"/>
  <cols>
    <col min="1" max="1" width="8" style="47"/>
    <col min="2" max="2" width="36" style="47" customWidth="1"/>
    <col min="3" max="3" width="12.125" style="47" customWidth="1"/>
    <col min="4" max="4" width="15.5" style="47" customWidth="1"/>
    <col min="5" max="7" width="12.25" style="47" customWidth="1"/>
    <col min="8" max="8" width="43.125" style="47" customWidth="1"/>
    <col min="9" max="9" width="24.75" style="47" customWidth="1"/>
    <col min="10" max="10" width="32.5" style="47" customWidth="1"/>
    <col min="11" max="11" width="30.5" style="47" bestFit="1" customWidth="1"/>
    <col min="12" max="16384" width="8" style="47"/>
  </cols>
  <sheetData>
    <row r="1" spans="1:10" ht="27.6" customHeight="1" x14ac:dyDescent="0.2">
      <c r="B1" s="251" t="str">
        <f>'קרן י'!B1</f>
        <v>מדיניות השקעה לשנת 2024</v>
      </c>
      <c r="C1" s="251"/>
      <c r="D1" s="251"/>
      <c r="E1" s="251"/>
      <c r="F1" s="251"/>
      <c r="G1" s="251"/>
      <c r="H1" s="251"/>
      <c r="I1" s="169"/>
      <c r="J1" s="169"/>
    </row>
    <row r="2" spans="1:10" x14ac:dyDescent="0.2">
      <c r="B2" s="251"/>
      <c r="C2" s="251"/>
      <c r="D2" s="251"/>
      <c r="E2" s="251"/>
      <c r="F2" s="251"/>
      <c r="G2" s="251"/>
      <c r="H2" s="251"/>
    </row>
    <row r="3" spans="1:10" x14ac:dyDescent="0.2">
      <c r="B3" s="246" t="s">
        <v>265</v>
      </c>
      <c r="C3" s="246"/>
      <c r="D3" s="246"/>
      <c r="E3" s="246"/>
      <c r="F3" s="246"/>
      <c r="G3" s="246"/>
    </row>
    <row r="4" spans="1:10" ht="18.75" thickBot="1" x14ac:dyDescent="0.25">
      <c r="A4" s="246" t="s">
        <v>260</v>
      </c>
      <c r="B4" s="281" t="s">
        <v>240</v>
      </c>
      <c r="C4" s="229"/>
      <c r="D4" s="229"/>
      <c r="E4" s="229"/>
      <c r="F4" s="229"/>
      <c r="G4" s="229"/>
      <c r="H4" s="246" t="s">
        <v>262</v>
      </c>
    </row>
    <row r="5" spans="1:10" ht="18.75" thickBot="1" x14ac:dyDescent="0.25">
      <c r="A5" s="246"/>
      <c r="B5" s="282" t="s">
        <v>237</v>
      </c>
      <c r="C5" s="282"/>
      <c r="D5" s="282"/>
      <c r="E5" s="282"/>
      <c r="F5" s="282"/>
      <c r="G5" s="282"/>
      <c r="H5" s="246"/>
    </row>
    <row r="6" spans="1:10" ht="60" x14ac:dyDescent="0.2">
      <c r="A6" s="246"/>
      <c r="B6" s="140" t="s">
        <v>0</v>
      </c>
      <c r="C6" s="36" t="s">
        <v>251</v>
      </c>
      <c r="D6" s="141" t="s">
        <v>136</v>
      </c>
      <c r="E6" s="242" t="s">
        <v>40</v>
      </c>
      <c r="F6" s="243"/>
      <c r="G6" s="143" t="s">
        <v>138</v>
      </c>
      <c r="H6" s="246"/>
    </row>
    <row r="7" spans="1:10" ht="30" x14ac:dyDescent="0.2">
      <c r="A7" s="246"/>
      <c r="B7" s="144" t="s">
        <v>114</v>
      </c>
      <c r="C7" s="145">
        <v>0.92</v>
      </c>
      <c r="D7" s="145">
        <v>0.06</v>
      </c>
      <c r="E7" s="145">
        <f>+C7-D7</f>
        <v>0.8600000000000001</v>
      </c>
      <c r="F7" s="145">
        <f>+C7+D7</f>
        <v>0.98</v>
      </c>
      <c r="G7" s="146" t="s">
        <v>255</v>
      </c>
      <c r="H7" s="246"/>
    </row>
    <row r="8" spans="1:10" ht="15" x14ac:dyDescent="0.2">
      <c r="A8" s="246"/>
      <c r="B8" s="144" t="s">
        <v>47</v>
      </c>
      <c r="C8" s="145">
        <v>0.08</v>
      </c>
      <c r="D8" s="145"/>
      <c r="E8" s="145">
        <f>+C8-D8</f>
        <v>0.08</v>
      </c>
      <c r="F8" s="145">
        <f>+C8+D8</f>
        <v>0.08</v>
      </c>
      <c r="G8" s="148"/>
      <c r="H8" s="246"/>
    </row>
    <row r="9" spans="1:10" ht="15" x14ac:dyDescent="0.2">
      <c r="A9" s="246"/>
      <c r="B9" s="144" t="s">
        <v>8</v>
      </c>
      <c r="C9" s="145">
        <f>SUM(C7:C8)</f>
        <v>1</v>
      </c>
      <c r="D9" s="145"/>
      <c r="E9" s="145"/>
      <c r="F9" s="145"/>
      <c r="G9" s="148"/>
      <c r="H9" s="246"/>
    </row>
    <row r="10" spans="1:10" ht="15.75" thickBot="1" x14ac:dyDescent="0.25">
      <c r="A10" s="246"/>
      <c r="B10" s="149" t="s">
        <v>9</v>
      </c>
      <c r="C10" s="150">
        <v>0.95</v>
      </c>
      <c r="D10" s="150">
        <v>0.06</v>
      </c>
      <c r="E10" s="150">
        <f>IF(C10-D10&gt;0,C10-D10,0)</f>
        <v>0.8899999999999999</v>
      </c>
      <c r="F10" s="150">
        <f>C10+D10</f>
        <v>1.01</v>
      </c>
      <c r="G10" s="151"/>
      <c r="H10" s="246"/>
    </row>
    <row r="11" spans="1:10" ht="18" x14ac:dyDescent="0.2">
      <c r="A11" s="246"/>
      <c r="B11" s="37" t="s">
        <v>160</v>
      </c>
      <c r="C11" s="279">
        <v>5.9999999999999995E-4</v>
      </c>
      <c r="D11" s="280"/>
      <c r="E11" s="280"/>
      <c r="F11" s="280"/>
      <c r="G11" s="280"/>
      <c r="H11" s="246"/>
    </row>
    <row r="12" spans="1:10" x14ac:dyDescent="0.2">
      <c r="B12" s="246" t="s">
        <v>264</v>
      </c>
      <c r="C12" s="246"/>
      <c r="D12" s="246"/>
      <c r="E12" s="246"/>
      <c r="F12" s="246"/>
      <c r="G12" s="246"/>
    </row>
    <row r="13" spans="1:10" x14ac:dyDescent="0.2">
      <c r="B13" s="246" t="s">
        <v>265</v>
      </c>
      <c r="C13" s="246"/>
      <c r="D13" s="246"/>
      <c r="E13" s="246"/>
      <c r="F13" s="246"/>
      <c r="G13" s="246"/>
      <c r="H13" s="246"/>
    </row>
    <row r="14" spans="1:10" ht="18.75" thickBot="1" x14ac:dyDescent="0.25">
      <c r="A14" s="246" t="s">
        <v>260</v>
      </c>
      <c r="B14" s="278" t="s">
        <v>250</v>
      </c>
      <c r="C14" s="226"/>
      <c r="D14" s="226"/>
      <c r="E14" s="226"/>
      <c r="F14" s="226"/>
      <c r="G14" s="226"/>
      <c r="H14" s="226"/>
      <c r="I14" s="246" t="s">
        <v>262</v>
      </c>
    </row>
    <row r="15" spans="1:10" ht="60" x14ac:dyDescent="0.2">
      <c r="A15" s="246"/>
      <c r="B15" s="35" t="s">
        <v>0</v>
      </c>
      <c r="C15" s="36" t="s">
        <v>251</v>
      </c>
      <c r="D15" s="186" t="s">
        <v>252</v>
      </c>
      <c r="E15" s="35" t="s">
        <v>72</v>
      </c>
      <c r="F15" s="215" t="s">
        <v>40</v>
      </c>
      <c r="G15" s="237"/>
      <c r="H15" s="35" t="s">
        <v>91</v>
      </c>
      <c r="I15" s="246"/>
    </row>
    <row r="16" spans="1:10" ht="30" x14ac:dyDescent="0.2">
      <c r="A16" s="246"/>
      <c r="B16" s="37" t="s">
        <v>6</v>
      </c>
      <c r="C16" s="38">
        <v>0.46</v>
      </c>
      <c r="D16" s="38">
        <v>0.46</v>
      </c>
      <c r="E16" s="40">
        <v>0.06</v>
      </c>
      <c r="F16" s="40">
        <f>IF(C16-E16&gt;0,C16-E16,0)</f>
        <v>0.4</v>
      </c>
      <c r="G16" s="40">
        <f>C16+E16</f>
        <v>0.52</v>
      </c>
      <c r="H16" s="41" t="s">
        <v>102</v>
      </c>
      <c r="I16" s="246"/>
    </row>
    <row r="17" spans="1:9" ht="30" x14ac:dyDescent="0.2">
      <c r="A17" s="246"/>
      <c r="B17" s="37" t="s">
        <v>73</v>
      </c>
      <c r="C17" s="38">
        <v>0.19</v>
      </c>
      <c r="D17" s="38">
        <v>0.19</v>
      </c>
      <c r="E17" s="40">
        <v>0.05</v>
      </c>
      <c r="F17" s="40">
        <f>IF(C17-E17&gt;0,C17-E17,0)</f>
        <v>0.14000000000000001</v>
      </c>
      <c r="G17" s="40">
        <f>C17+E17</f>
        <v>0.24</v>
      </c>
      <c r="H17" s="41" t="s">
        <v>4</v>
      </c>
      <c r="I17" s="246"/>
    </row>
    <row r="18" spans="1:9" ht="45" x14ac:dyDescent="0.2">
      <c r="A18" s="246"/>
      <c r="B18" s="37" t="s">
        <v>41</v>
      </c>
      <c r="C18" s="38">
        <v>0.31</v>
      </c>
      <c r="D18" s="38">
        <v>0.31</v>
      </c>
      <c r="E18" s="40">
        <v>0.06</v>
      </c>
      <c r="F18" s="40">
        <f>IF(C18-E18&gt;0,C18-E18,0)</f>
        <v>0.25</v>
      </c>
      <c r="G18" s="40">
        <f>C18+E18</f>
        <v>0.37</v>
      </c>
      <c r="H18" s="41" t="s">
        <v>98</v>
      </c>
      <c r="I18" s="246"/>
    </row>
    <row r="19" spans="1:9" ht="15" x14ac:dyDescent="0.2">
      <c r="A19" s="246"/>
      <c r="B19" s="37" t="s">
        <v>47</v>
      </c>
      <c r="C19" s="38">
        <v>0.04</v>
      </c>
      <c r="D19" s="38">
        <v>0.04</v>
      </c>
      <c r="E19" s="40"/>
      <c r="F19" s="40"/>
      <c r="G19" s="40"/>
      <c r="H19" s="41"/>
      <c r="I19" s="246"/>
    </row>
    <row r="20" spans="1:9" ht="15" x14ac:dyDescent="0.2">
      <c r="A20" s="246"/>
      <c r="B20" s="37" t="s">
        <v>8</v>
      </c>
      <c r="C20" s="38">
        <f>SUM(C16:C19)</f>
        <v>1</v>
      </c>
      <c r="D20" s="38">
        <v>1</v>
      </c>
      <c r="E20" s="40"/>
      <c r="F20" s="40"/>
      <c r="G20" s="40"/>
      <c r="H20" s="41"/>
      <c r="I20" s="246"/>
    </row>
    <row r="21" spans="1:9" ht="15" x14ac:dyDescent="0.2">
      <c r="A21" s="246"/>
      <c r="B21" s="37" t="s">
        <v>9</v>
      </c>
      <c r="C21" s="38">
        <v>0.21</v>
      </c>
      <c r="D21" s="38">
        <v>0.21</v>
      </c>
      <c r="E21" s="40">
        <v>0.06</v>
      </c>
      <c r="F21" s="40">
        <f>IF(C21-E21&gt;0,C21-E21,0)</f>
        <v>0.15</v>
      </c>
      <c r="G21" s="40">
        <f>C21+E21</f>
        <v>0.27</v>
      </c>
      <c r="H21" s="41"/>
      <c r="I21" s="246"/>
    </row>
    <row r="22" spans="1:9" ht="15" x14ac:dyDescent="0.2">
      <c r="A22" s="246"/>
      <c r="B22" s="160" t="s">
        <v>160</v>
      </c>
      <c r="C22" s="160"/>
      <c r="D22" s="166">
        <v>1E-3</v>
      </c>
      <c r="E22" s="162"/>
      <c r="F22" s="162"/>
      <c r="G22" s="162"/>
      <c r="H22" s="156"/>
      <c r="I22" s="246"/>
    </row>
    <row r="23" spans="1:9" x14ac:dyDescent="0.2">
      <c r="B23" s="246" t="s">
        <v>264</v>
      </c>
      <c r="C23" s="246"/>
      <c r="D23" s="246"/>
      <c r="E23" s="246"/>
      <c r="F23" s="246"/>
      <c r="G23" s="246"/>
      <c r="H23" s="246"/>
    </row>
    <row r="25" spans="1:9" x14ac:dyDescent="0.2">
      <c r="B25" s="34" t="s">
        <v>46</v>
      </c>
    </row>
    <row r="26" spans="1:9" x14ac:dyDescent="0.2">
      <c r="B26" s="34" t="s">
        <v>89</v>
      </c>
    </row>
  </sheetData>
  <mergeCells count="15">
    <mergeCell ref="B1:H2"/>
    <mergeCell ref="E6:F6"/>
    <mergeCell ref="C11:G11"/>
    <mergeCell ref="B4:G4"/>
    <mergeCell ref="B5:G5"/>
    <mergeCell ref="B3:G3"/>
    <mergeCell ref="B23:H23"/>
    <mergeCell ref="I14:I22"/>
    <mergeCell ref="A4:A11"/>
    <mergeCell ref="B12:G12"/>
    <mergeCell ref="H4:H11"/>
    <mergeCell ref="B13:H13"/>
    <mergeCell ref="A14:A22"/>
    <mergeCell ref="B14:H14"/>
    <mergeCell ref="F15:G15"/>
  </mergeCells>
  <pageMargins left="0.70866141732283472" right="0.70866141732283472" top="0.74803149606299213" bottom="0.74803149606299213" header="0.31496062992125984" footer="0.31496062992125984"/>
  <pageSetup paperSize="9" scale="6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pageSetUpPr fitToPage="1"/>
  </sheetPr>
  <dimension ref="A1:I48"/>
  <sheetViews>
    <sheetView showGridLines="0" rightToLeft="1" topLeftCell="A23" zoomScale="85" zoomScaleNormal="85" zoomScaleSheetLayoutView="100" workbookViewId="0">
      <selection activeCell="A48" sqref="A48:H48"/>
    </sheetView>
  </sheetViews>
  <sheetFormatPr defaultRowHeight="14.25" x14ac:dyDescent="0.2"/>
  <cols>
    <col min="2" max="2" width="37.875" customWidth="1"/>
    <col min="3" max="3" width="13.5" bestFit="1" customWidth="1"/>
    <col min="4" max="4" width="12.125" customWidth="1"/>
    <col min="5" max="5" width="9.25" customWidth="1"/>
    <col min="6" max="6" width="27.875" customWidth="1"/>
    <col min="8" max="8" width="32.875" customWidth="1"/>
  </cols>
  <sheetData>
    <row r="1" spans="1:9" ht="27.6" customHeight="1" x14ac:dyDescent="0.2">
      <c r="B1" s="283" t="str">
        <f>'קרן י'!B1</f>
        <v>מדיניות השקעה לשנת 2024</v>
      </c>
      <c r="C1" s="283"/>
      <c r="D1" s="283"/>
      <c r="E1" s="283"/>
      <c r="F1" s="283"/>
      <c r="G1" s="283"/>
      <c r="H1" s="283"/>
    </row>
    <row r="2" spans="1:9" ht="27.6" customHeight="1" x14ac:dyDescent="0.2">
      <c r="B2" s="283"/>
      <c r="C2" s="283"/>
      <c r="D2" s="283"/>
      <c r="E2" s="283"/>
      <c r="F2" s="283"/>
      <c r="G2" s="283"/>
      <c r="H2" s="283"/>
    </row>
    <row r="3" spans="1:9" ht="27.6" customHeight="1" x14ac:dyDescent="0.2">
      <c r="B3" s="286" t="s">
        <v>259</v>
      </c>
      <c r="C3" s="286"/>
      <c r="D3" s="286"/>
      <c r="E3" s="286"/>
      <c r="F3" s="286"/>
      <c r="G3" s="286"/>
      <c r="H3" s="286"/>
    </row>
    <row r="4" spans="1:9" ht="18" x14ac:dyDescent="0.2">
      <c r="A4" s="213" t="s">
        <v>260</v>
      </c>
      <c r="B4" s="284" t="s">
        <v>228</v>
      </c>
      <c r="C4" s="285"/>
      <c r="D4" s="285"/>
      <c r="E4" s="285"/>
      <c r="F4" s="285"/>
      <c r="G4" s="285"/>
      <c r="H4" s="285"/>
      <c r="I4" s="213" t="s">
        <v>262</v>
      </c>
    </row>
    <row r="5" spans="1:9" ht="18.75" thickBot="1" x14ac:dyDescent="0.25">
      <c r="A5" s="213"/>
      <c r="B5" s="284" t="s">
        <v>209</v>
      </c>
      <c r="C5" s="285" t="s">
        <v>209</v>
      </c>
      <c r="D5" s="285"/>
      <c r="E5" s="285"/>
      <c r="F5" s="285"/>
      <c r="G5" s="285"/>
      <c r="H5" s="285"/>
      <c r="I5" s="213"/>
    </row>
    <row r="6" spans="1:9" ht="60" x14ac:dyDescent="0.2">
      <c r="A6" s="213"/>
      <c r="B6" s="35" t="s">
        <v>0</v>
      </c>
      <c r="C6" s="36" t="s">
        <v>251</v>
      </c>
      <c r="D6" s="186" t="s">
        <v>252</v>
      </c>
      <c r="E6" s="35" t="s">
        <v>72</v>
      </c>
      <c r="F6" s="215" t="s">
        <v>40</v>
      </c>
      <c r="G6" s="237"/>
      <c r="H6" s="42" t="s">
        <v>91</v>
      </c>
      <c r="I6" s="213"/>
    </row>
    <row r="7" spans="1:9" ht="30" x14ac:dyDescent="0.2">
      <c r="A7" s="213"/>
      <c r="B7" s="37" t="s">
        <v>6</v>
      </c>
      <c r="C7" s="40">
        <v>0.53</v>
      </c>
      <c r="D7" s="40">
        <v>0.5</v>
      </c>
      <c r="E7" s="40">
        <v>0.06</v>
      </c>
      <c r="F7" s="40">
        <f>IF(C7-E7&gt;0,C7-E7,0)</f>
        <v>0.47000000000000003</v>
      </c>
      <c r="G7" s="40">
        <f>C7+E7</f>
        <v>0.59000000000000008</v>
      </c>
      <c r="H7" s="41" t="s">
        <v>102</v>
      </c>
      <c r="I7" s="213"/>
    </row>
    <row r="8" spans="1:9" ht="30" x14ac:dyDescent="0.2">
      <c r="A8" s="213"/>
      <c r="B8" s="37" t="s">
        <v>73</v>
      </c>
      <c r="C8" s="40">
        <v>0.05</v>
      </c>
      <c r="D8" s="40">
        <v>0.05</v>
      </c>
      <c r="E8" s="40">
        <v>0.05</v>
      </c>
      <c r="F8" s="40">
        <f t="shared" ref="F8:F12" si="0">IF(C8-E8&gt;0,C8-E8,0)</f>
        <v>0</v>
      </c>
      <c r="G8" s="40">
        <f t="shared" ref="G8:G12" si="1">C8+E8</f>
        <v>0.1</v>
      </c>
      <c r="H8" s="41" t="s">
        <v>4</v>
      </c>
      <c r="I8" s="213"/>
    </row>
    <row r="9" spans="1:9" ht="45" x14ac:dyDescent="0.2">
      <c r="A9" s="213"/>
      <c r="B9" s="37" t="s">
        <v>41</v>
      </c>
      <c r="C9" s="40">
        <v>0.25</v>
      </c>
      <c r="D9" s="40">
        <v>0.27</v>
      </c>
      <c r="E9" s="40">
        <v>0.06</v>
      </c>
      <c r="F9" s="40">
        <f t="shared" si="0"/>
        <v>0.19</v>
      </c>
      <c r="G9" s="40">
        <f t="shared" si="1"/>
        <v>0.31</v>
      </c>
      <c r="H9" s="82" t="s">
        <v>92</v>
      </c>
      <c r="I9" s="213"/>
    </row>
    <row r="10" spans="1:9" ht="15" x14ac:dyDescent="0.2">
      <c r="A10" s="213"/>
      <c r="B10" s="37" t="s">
        <v>74</v>
      </c>
      <c r="C10" s="40">
        <v>0.05</v>
      </c>
      <c r="D10" s="40">
        <v>0.06</v>
      </c>
      <c r="E10" s="40">
        <v>0.05</v>
      </c>
      <c r="F10" s="40">
        <f t="shared" si="0"/>
        <v>0</v>
      </c>
      <c r="G10" s="40">
        <f t="shared" si="1"/>
        <v>0.1</v>
      </c>
      <c r="H10" s="41"/>
      <c r="I10" s="213"/>
    </row>
    <row r="11" spans="1:9" ht="15" x14ac:dyDescent="0.2">
      <c r="A11" s="213"/>
      <c r="B11" s="37" t="s">
        <v>118</v>
      </c>
      <c r="C11" s="40">
        <v>0.05</v>
      </c>
      <c r="D11" s="40">
        <v>0.05</v>
      </c>
      <c r="E11" s="40">
        <v>0.05</v>
      </c>
      <c r="F11" s="40">
        <f t="shared" si="0"/>
        <v>0</v>
      </c>
      <c r="G11" s="40">
        <f t="shared" si="1"/>
        <v>0.1</v>
      </c>
      <c r="H11" s="41"/>
      <c r="I11" s="213"/>
    </row>
    <row r="12" spans="1:9" ht="15" x14ac:dyDescent="0.2">
      <c r="A12" s="213"/>
      <c r="B12" s="37" t="s">
        <v>119</v>
      </c>
      <c r="C12" s="40">
        <v>0.05</v>
      </c>
      <c r="D12" s="40">
        <v>0.05</v>
      </c>
      <c r="E12" s="40">
        <v>0.05</v>
      </c>
      <c r="F12" s="40">
        <f t="shared" si="0"/>
        <v>0</v>
      </c>
      <c r="G12" s="40">
        <f t="shared" si="1"/>
        <v>0.1</v>
      </c>
      <c r="H12" s="41"/>
      <c r="I12" s="213"/>
    </row>
    <row r="13" spans="1:9" ht="15" x14ac:dyDescent="0.2">
      <c r="A13" s="213"/>
      <c r="B13" s="37" t="s">
        <v>47</v>
      </c>
      <c r="C13" s="40">
        <v>0.02</v>
      </c>
      <c r="D13" s="40">
        <v>0.02</v>
      </c>
      <c r="E13" s="40"/>
      <c r="F13" s="40"/>
      <c r="G13" s="40"/>
      <c r="H13" s="41"/>
      <c r="I13" s="213"/>
    </row>
    <row r="14" spans="1:9" ht="15" x14ac:dyDescent="0.2">
      <c r="A14" s="213"/>
      <c r="B14" s="37" t="s">
        <v>8</v>
      </c>
      <c r="C14" s="38">
        <f>SUM(C7:C13)</f>
        <v>1.0000000000000002</v>
      </c>
      <c r="D14" s="38">
        <v>1.0000000000000002</v>
      </c>
      <c r="E14" s="40"/>
      <c r="F14" s="38"/>
      <c r="G14" s="38"/>
      <c r="H14" s="41"/>
      <c r="I14" s="213"/>
    </row>
    <row r="15" spans="1:9" ht="15" x14ac:dyDescent="0.2">
      <c r="A15" s="213"/>
      <c r="B15" s="37" t="s">
        <v>9</v>
      </c>
      <c r="C15" s="40">
        <v>0.22</v>
      </c>
      <c r="D15" s="40">
        <v>0.22</v>
      </c>
      <c r="E15" s="40">
        <v>0.06</v>
      </c>
      <c r="F15" s="40">
        <f>IF(C15-E15&gt;0,C15-E15,0)</f>
        <v>0.16</v>
      </c>
      <c r="G15" s="40">
        <f>C15+E15</f>
        <v>0.28000000000000003</v>
      </c>
      <c r="H15" s="41"/>
      <c r="I15" s="213"/>
    </row>
    <row r="16" spans="1:9" ht="15" x14ac:dyDescent="0.2">
      <c r="A16" s="213"/>
      <c r="B16" s="160" t="s">
        <v>160</v>
      </c>
      <c r="C16" s="160"/>
      <c r="D16" s="166">
        <v>3.3E-3</v>
      </c>
      <c r="E16" s="162"/>
      <c r="F16" s="162"/>
      <c r="G16" s="162"/>
      <c r="H16" s="156"/>
      <c r="I16" s="213"/>
    </row>
    <row r="17" spans="1:9" x14ac:dyDescent="0.2">
      <c r="B17" s="240" t="s">
        <v>264</v>
      </c>
      <c r="C17" s="240"/>
      <c r="D17" s="240"/>
      <c r="E17" s="240"/>
      <c r="F17" s="240"/>
      <c r="G17" s="240"/>
      <c r="H17" s="240"/>
    </row>
    <row r="18" spans="1:9" x14ac:dyDescent="0.2">
      <c r="B18" s="240" t="s">
        <v>259</v>
      </c>
      <c r="C18" s="240"/>
      <c r="D18" s="240"/>
      <c r="E18" s="240"/>
      <c r="F18" s="240"/>
      <c r="G18" s="240"/>
      <c r="H18" s="240"/>
    </row>
    <row r="19" spans="1:9" ht="18" x14ac:dyDescent="0.2">
      <c r="A19" s="213" t="s">
        <v>260</v>
      </c>
      <c r="B19" s="284" t="s">
        <v>229</v>
      </c>
      <c r="C19" s="285"/>
      <c r="D19" s="285"/>
      <c r="E19" s="285"/>
      <c r="F19" s="285"/>
      <c r="G19" s="285"/>
      <c r="H19" s="285"/>
      <c r="I19" s="213" t="s">
        <v>262</v>
      </c>
    </row>
    <row r="20" spans="1:9" ht="18.75" thickBot="1" x14ac:dyDescent="0.25">
      <c r="A20" s="213"/>
      <c r="B20" s="284" t="s">
        <v>210</v>
      </c>
      <c r="C20" s="285"/>
      <c r="D20" s="285" t="s">
        <v>210</v>
      </c>
      <c r="E20" s="285"/>
      <c r="F20" s="285"/>
      <c r="G20" s="285"/>
      <c r="H20" s="285"/>
      <c r="I20" s="213"/>
    </row>
    <row r="21" spans="1:9" ht="60" x14ac:dyDescent="0.2">
      <c r="A21" s="213"/>
      <c r="B21" s="35" t="s">
        <v>0</v>
      </c>
      <c r="C21" s="36" t="s">
        <v>251</v>
      </c>
      <c r="D21" s="186" t="s">
        <v>252</v>
      </c>
      <c r="E21" s="35" t="s">
        <v>72</v>
      </c>
      <c r="F21" s="215" t="s">
        <v>40</v>
      </c>
      <c r="G21" s="237"/>
      <c r="H21" s="42" t="s">
        <v>91</v>
      </c>
      <c r="I21" s="213"/>
    </row>
    <row r="22" spans="1:9" ht="30" x14ac:dyDescent="0.2">
      <c r="A22" s="213"/>
      <c r="B22" s="37" t="s">
        <v>6</v>
      </c>
      <c r="C22" s="38">
        <v>0.42</v>
      </c>
      <c r="D22" s="38">
        <v>0.42</v>
      </c>
      <c r="E22" s="40">
        <v>0.06</v>
      </c>
      <c r="F22" s="40">
        <f>IF(C22-E22&gt;0,C22-E22,0)</f>
        <v>0.36</v>
      </c>
      <c r="G22" s="40">
        <f>C22+E22</f>
        <v>0.48</v>
      </c>
      <c r="H22" s="41" t="s">
        <v>102</v>
      </c>
      <c r="I22" s="213"/>
    </row>
    <row r="23" spans="1:9" ht="30" x14ac:dyDescent="0.2">
      <c r="A23" s="213"/>
      <c r="B23" s="37" t="s">
        <v>73</v>
      </c>
      <c r="C23" s="38">
        <v>0.15</v>
      </c>
      <c r="D23" s="38">
        <v>0.15</v>
      </c>
      <c r="E23" s="40">
        <v>0.05</v>
      </c>
      <c r="F23" s="40">
        <f t="shared" ref="F23:F26" si="2">IF(C23-E23&gt;0,C23-E23,0)</f>
        <v>9.9999999999999992E-2</v>
      </c>
      <c r="G23" s="40">
        <f t="shared" ref="G23:G26" si="3">C23+E23</f>
        <v>0.2</v>
      </c>
      <c r="H23" s="41" t="s">
        <v>4</v>
      </c>
      <c r="I23" s="213"/>
    </row>
    <row r="24" spans="1:9" ht="45" x14ac:dyDescent="0.2">
      <c r="A24" s="213"/>
      <c r="B24" s="37" t="s">
        <v>41</v>
      </c>
      <c r="C24" s="38">
        <v>0.31</v>
      </c>
      <c r="D24" s="38">
        <v>0.32</v>
      </c>
      <c r="E24" s="40">
        <v>0.06</v>
      </c>
      <c r="F24" s="40">
        <f t="shared" si="2"/>
        <v>0.25</v>
      </c>
      <c r="G24" s="40">
        <f t="shared" si="3"/>
        <v>0.37</v>
      </c>
      <c r="H24" s="82" t="s">
        <v>92</v>
      </c>
      <c r="I24" s="213"/>
    </row>
    <row r="25" spans="1:9" ht="15" x14ac:dyDescent="0.2">
      <c r="A25" s="213"/>
      <c r="B25" s="37" t="s">
        <v>74</v>
      </c>
      <c r="C25" s="38">
        <v>0.03</v>
      </c>
      <c r="D25" s="38">
        <v>0.03</v>
      </c>
      <c r="E25" s="40">
        <v>0.05</v>
      </c>
      <c r="F25" s="40">
        <f t="shared" si="2"/>
        <v>0</v>
      </c>
      <c r="G25" s="40">
        <f t="shared" si="3"/>
        <v>0.08</v>
      </c>
      <c r="H25" s="41"/>
      <c r="I25" s="213"/>
    </row>
    <row r="26" spans="1:9" ht="15" x14ac:dyDescent="0.2">
      <c r="A26" s="213"/>
      <c r="B26" s="37" t="s">
        <v>97</v>
      </c>
      <c r="C26" s="38">
        <v>7.0000000000000007E-2</v>
      </c>
      <c r="D26" s="38">
        <v>0.05</v>
      </c>
      <c r="E26" s="40">
        <v>0.05</v>
      </c>
      <c r="F26" s="40">
        <f t="shared" si="2"/>
        <v>2.0000000000000004E-2</v>
      </c>
      <c r="G26" s="40">
        <f t="shared" si="3"/>
        <v>0.12000000000000001</v>
      </c>
      <c r="H26" s="41"/>
      <c r="I26" s="213"/>
    </row>
    <row r="27" spans="1:9" ht="15" x14ac:dyDescent="0.2">
      <c r="A27" s="213"/>
      <c r="B27" s="37" t="s">
        <v>47</v>
      </c>
      <c r="C27" s="38">
        <v>0.02</v>
      </c>
      <c r="D27" s="38">
        <v>0.03</v>
      </c>
      <c r="E27" s="40"/>
      <c r="F27" s="40"/>
      <c r="G27" s="40"/>
      <c r="H27" s="41"/>
      <c r="I27" s="213"/>
    </row>
    <row r="28" spans="1:9" ht="15" x14ac:dyDescent="0.2">
      <c r="A28" s="213"/>
      <c r="B28" s="37" t="s">
        <v>8</v>
      </c>
      <c r="C28" s="38">
        <f>SUM(C22:C27)</f>
        <v>1</v>
      </c>
      <c r="D28" s="38">
        <v>1</v>
      </c>
      <c r="E28" s="40"/>
      <c r="F28" s="40"/>
      <c r="G28" s="40"/>
      <c r="H28" s="41"/>
      <c r="I28" s="213"/>
    </row>
    <row r="29" spans="1:9" ht="15" x14ac:dyDescent="0.2">
      <c r="A29" s="213"/>
      <c r="B29" s="37" t="s">
        <v>9</v>
      </c>
      <c r="C29" s="38">
        <v>0.21</v>
      </c>
      <c r="D29" s="38">
        <v>0.24</v>
      </c>
      <c r="E29" s="40">
        <v>0.06</v>
      </c>
      <c r="F29" s="40">
        <f>IF(C29-E29&gt;0,C29-E29,0)</f>
        <v>0.15</v>
      </c>
      <c r="G29" s="40">
        <f>C29+E29</f>
        <v>0.27</v>
      </c>
      <c r="H29" s="41"/>
      <c r="I29" s="213"/>
    </row>
    <row r="30" spans="1:9" ht="15" x14ac:dyDescent="0.2">
      <c r="A30" s="213"/>
      <c r="B30" s="160" t="s">
        <v>160</v>
      </c>
      <c r="C30" s="166"/>
      <c r="D30" s="166">
        <v>2.8E-3</v>
      </c>
      <c r="E30" s="162"/>
      <c r="F30" s="162"/>
      <c r="G30" s="162"/>
      <c r="H30" s="156"/>
      <c r="I30" s="213"/>
    </row>
    <row r="31" spans="1:9" x14ac:dyDescent="0.2">
      <c r="B31" s="240" t="s">
        <v>264</v>
      </c>
      <c r="C31" s="240"/>
      <c r="D31" s="240"/>
      <c r="E31" s="240"/>
      <c r="F31" s="240"/>
      <c r="G31" s="240"/>
      <c r="H31" s="240"/>
    </row>
    <row r="32" spans="1:9" x14ac:dyDescent="0.2">
      <c r="B32" s="240" t="s">
        <v>259</v>
      </c>
      <c r="C32" s="240"/>
      <c r="D32" s="240"/>
      <c r="E32" s="240"/>
      <c r="F32" s="240"/>
      <c r="G32" s="240"/>
      <c r="H32" s="240"/>
    </row>
    <row r="33" spans="1:9" ht="18" x14ac:dyDescent="0.2">
      <c r="A33" s="213" t="s">
        <v>260</v>
      </c>
      <c r="B33" s="284" t="s">
        <v>230</v>
      </c>
      <c r="C33" s="285"/>
      <c r="D33" s="285"/>
      <c r="E33" s="285"/>
      <c r="F33" s="285"/>
      <c r="G33" s="285"/>
      <c r="H33" s="285"/>
      <c r="I33" s="213" t="s">
        <v>262</v>
      </c>
    </row>
    <row r="34" spans="1:9" ht="18" customHeight="1" thickBot="1" x14ac:dyDescent="0.25">
      <c r="A34" s="213"/>
      <c r="B34" s="284" t="s">
        <v>211</v>
      </c>
      <c r="C34" s="285"/>
      <c r="D34" s="285" t="s">
        <v>210</v>
      </c>
      <c r="E34" s="285"/>
      <c r="F34" s="285"/>
      <c r="G34" s="285"/>
      <c r="H34" s="285"/>
      <c r="I34" s="213"/>
    </row>
    <row r="35" spans="1:9" ht="60" x14ac:dyDescent="0.2">
      <c r="A35" s="213"/>
      <c r="B35" s="35" t="s">
        <v>0</v>
      </c>
      <c r="C35" s="36" t="s">
        <v>251</v>
      </c>
      <c r="D35" s="186" t="s">
        <v>252</v>
      </c>
      <c r="E35" s="35" t="s">
        <v>72</v>
      </c>
      <c r="F35" s="215" t="s">
        <v>40</v>
      </c>
      <c r="G35" s="237"/>
      <c r="H35" s="42" t="s">
        <v>91</v>
      </c>
      <c r="I35" s="213"/>
    </row>
    <row r="36" spans="1:9" ht="30" x14ac:dyDescent="0.2">
      <c r="A36" s="213"/>
      <c r="B36" s="37" t="s">
        <v>6</v>
      </c>
      <c r="C36" s="38">
        <v>0.24</v>
      </c>
      <c r="D36" s="38">
        <v>0.24</v>
      </c>
      <c r="E36" s="40">
        <v>0.06</v>
      </c>
      <c r="F36" s="40">
        <f>IF(C36-E36&gt;0,C36-E36,0)</f>
        <v>0.18</v>
      </c>
      <c r="G36" s="40">
        <f>C36+E36</f>
        <v>0.3</v>
      </c>
      <c r="H36" s="41" t="s">
        <v>102</v>
      </c>
      <c r="I36" s="213"/>
    </row>
    <row r="37" spans="1:9" ht="30" x14ac:dyDescent="0.2">
      <c r="A37" s="213"/>
      <c r="B37" s="37" t="s">
        <v>73</v>
      </c>
      <c r="C37" s="38">
        <v>0.28000000000000003</v>
      </c>
      <c r="D37" s="38">
        <v>0.28999999999999998</v>
      </c>
      <c r="E37" s="40">
        <v>0.05</v>
      </c>
      <c r="F37" s="40">
        <f t="shared" ref="F37:F40" si="4">IF(C37-E37&gt;0,C37-E37,0)</f>
        <v>0.23000000000000004</v>
      </c>
      <c r="G37" s="40">
        <f t="shared" ref="G37:G40" si="5">C37+E37</f>
        <v>0.33</v>
      </c>
      <c r="H37" s="41" t="s">
        <v>4</v>
      </c>
      <c r="I37" s="213"/>
    </row>
    <row r="38" spans="1:9" ht="45" x14ac:dyDescent="0.2">
      <c r="A38" s="213"/>
      <c r="B38" s="37" t="s">
        <v>41</v>
      </c>
      <c r="C38" s="38">
        <v>0.35</v>
      </c>
      <c r="D38" s="38">
        <v>0.35</v>
      </c>
      <c r="E38" s="40">
        <v>0.06</v>
      </c>
      <c r="F38" s="40">
        <f t="shared" si="4"/>
        <v>0.28999999999999998</v>
      </c>
      <c r="G38" s="40">
        <f t="shared" si="5"/>
        <v>0.41</v>
      </c>
      <c r="H38" s="82" t="s">
        <v>92</v>
      </c>
      <c r="I38" s="213"/>
    </row>
    <row r="39" spans="1:9" ht="15" x14ac:dyDescent="0.2">
      <c r="A39" s="213"/>
      <c r="B39" s="37" t="s">
        <v>74</v>
      </c>
      <c r="C39" s="38">
        <v>0.04</v>
      </c>
      <c r="D39" s="38">
        <v>0.04</v>
      </c>
      <c r="E39" s="40">
        <v>0.05</v>
      </c>
      <c r="F39" s="40">
        <f t="shared" si="4"/>
        <v>0</v>
      </c>
      <c r="G39" s="40">
        <f t="shared" si="5"/>
        <v>0.09</v>
      </c>
      <c r="H39" s="41"/>
      <c r="I39" s="213"/>
    </row>
    <row r="40" spans="1:9" ht="15" x14ac:dyDescent="0.2">
      <c r="A40" s="213"/>
      <c r="B40" s="37" t="s">
        <v>97</v>
      </c>
      <c r="C40" s="38">
        <v>0.06</v>
      </c>
      <c r="D40" s="38">
        <v>0.05</v>
      </c>
      <c r="E40" s="40">
        <v>0.05</v>
      </c>
      <c r="F40" s="40">
        <f t="shared" si="4"/>
        <v>9.999999999999995E-3</v>
      </c>
      <c r="G40" s="40">
        <f t="shared" si="5"/>
        <v>0.11</v>
      </c>
      <c r="H40" s="41"/>
      <c r="I40" s="213"/>
    </row>
    <row r="41" spans="1:9" ht="15" x14ac:dyDescent="0.2">
      <c r="A41" s="213"/>
      <c r="B41" s="37" t="s">
        <v>47</v>
      </c>
      <c r="C41" s="38">
        <v>0.03</v>
      </c>
      <c r="D41" s="38">
        <v>0.03</v>
      </c>
      <c r="E41" s="40"/>
      <c r="F41" s="40"/>
      <c r="G41" s="40"/>
      <c r="H41" s="41"/>
      <c r="I41" s="213"/>
    </row>
    <row r="42" spans="1:9" ht="15" x14ac:dyDescent="0.2">
      <c r="A42" s="213"/>
      <c r="B42" s="37" t="s">
        <v>8</v>
      </c>
      <c r="C42" s="38">
        <f>SUM(C36:C41)</f>
        <v>1</v>
      </c>
      <c r="D42" s="38">
        <v>1</v>
      </c>
      <c r="E42" s="40"/>
      <c r="F42" s="40"/>
      <c r="G42" s="40"/>
      <c r="H42" s="41"/>
      <c r="I42" s="213"/>
    </row>
    <row r="43" spans="1:9" ht="15" x14ac:dyDescent="0.2">
      <c r="A43" s="213"/>
      <c r="B43" s="37" t="s">
        <v>9</v>
      </c>
      <c r="C43" s="38">
        <v>0.17</v>
      </c>
      <c r="D43" s="38">
        <v>0.17</v>
      </c>
      <c r="E43" s="40">
        <v>0.06</v>
      </c>
      <c r="F43" s="40">
        <f>IF(C43-E43&gt;0,C43-E43,0)</f>
        <v>0.11000000000000001</v>
      </c>
      <c r="G43" s="40">
        <f>C43+E43</f>
        <v>0.23</v>
      </c>
      <c r="H43" s="41"/>
      <c r="I43" s="213"/>
    </row>
    <row r="44" spans="1:9" ht="15" x14ac:dyDescent="0.2">
      <c r="A44" s="213"/>
      <c r="B44" s="160" t="s">
        <v>160</v>
      </c>
      <c r="C44" s="166"/>
      <c r="D44" s="166">
        <v>2.8E-3</v>
      </c>
      <c r="E44" s="162"/>
      <c r="F44" s="162"/>
      <c r="G44" s="162"/>
      <c r="H44" s="156"/>
      <c r="I44" s="213"/>
    </row>
    <row r="45" spans="1:9" x14ac:dyDescent="0.2">
      <c r="B45" s="240" t="s">
        <v>264</v>
      </c>
      <c r="C45" s="240"/>
      <c r="D45" s="240"/>
      <c r="E45" s="240"/>
      <c r="F45" s="240"/>
      <c r="G45" s="240"/>
      <c r="H45" s="240"/>
    </row>
    <row r="46" spans="1:9" ht="18.600000000000001" customHeight="1" x14ac:dyDescent="0.2">
      <c r="B46" s="34" t="s">
        <v>46</v>
      </c>
      <c r="C46" s="34"/>
      <c r="D46" s="34"/>
      <c r="E46" s="34"/>
      <c r="F46" s="34"/>
    </row>
    <row r="47" spans="1:9" ht="18.600000000000001" customHeight="1" x14ac:dyDescent="0.2">
      <c r="B47" s="34" t="s">
        <v>89</v>
      </c>
    </row>
    <row r="48" spans="1:9" x14ac:dyDescent="0.2">
      <c r="A48" s="213" t="s">
        <v>263</v>
      </c>
      <c r="B48" s="213"/>
      <c r="C48" s="213"/>
      <c r="D48" s="213"/>
      <c r="E48" s="213"/>
      <c r="F48" s="213"/>
      <c r="G48" s="213"/>
      <c r="H48" s="213"/>
    </row>
  </sheetData>
  <mergeCells count="23">
    <mergeCell ref="B1:H2"/>
    <mergeCell ref="F35:G35"/>
    <mergeCell ref="B5:H5"/>
    <mergeCell ref="B20:H20"/>
    <mergeCell ref="B34:H34"/>
    <mergeCell ref="B4:H4"/>
    <mergeCell ref="B19:H19"/>
    <mergeCell ref="B33:H33"/>
    <mergeCell ref="F6:G6"/>
    <mergeCell ref="F21:G21"/>
    <mergeCell ref="B3:H3"/>
    <mergeCell ref="B31:H31"/>
    <mergeCell ref="B32:H32"/>
    <mergeCell ref="A33:A44"/>
    <mergeCell ref="B45:H45"/>
    <mergeCell ref="I33:I44"/>
    <mergeCell ref="A48:H48"/>
    <mergeCell ref="A4:A16"/>
    <mergeCell ref="B17:H17"/>
    <mergeCell ref="I4:I16"/>
    <mergeCell ref="B18:H18"/>
    <mergeCell ref="A19:A30"/>
    <mergeCell ref="I19:I30"/>
  </mergeCells>
  <pageMargins left="0.70866141732283472" right="0.70866141732283472" top="0.74803149606299213" bottom="0.74803149606299213" header="0.31496062992125984" footer="0.31496062992125984"/>
  <pageSetup paperSize="9" scale="50" orientation="landscape" r:id="rId1"/>
  <rowBreaks count="2" manualBreakCount="2">
    <brk id="16" min="1" max="8" man="1"/>
    <brk id="30" min="1" max="8"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pageSetUpPr fitToPage="1"/>
  </sheetPr>
  <dimension ref="A1:J75"/>
  <sheetViews>
    <sheetView showGridLines="0" rightToLeft="1" topLeftCell="A16" zoomScale="80" zoomScaleNormal="80" workbookViewId="0">
      <selection activeCell="A75" sqref="A75:H75"/>
    </sheetView>
  </sheetViews>
  <sheetFormatPr defaultColWidth="8" defaultRowHeight="14.25" x14ac:dyDescent="0.2"/>
  <cols>
    <col min="1" max="1" width="7.375" style="71" customWidth="1"/>
    <col min="2" max="2" width="23" style="71" customWidth="1"/>
    <col min="3" max="4" width="16.75" style="71" bestFit="1" customWidth="1"/>
    <col min="5" max="6" width="13.875" style="71" customWidth="1"/>
    <col min="7" max="7" width="25.625" style="71" customWidth="1"/>
    <col min="8" max="8" width="32" style="71" customWidth="1"/>
    <col min="9" max="9" width="31.375" style="71" customWidth="1"/>
    <col min="10" max="10" width="133.25" style="71" bestFit="1" customWidth="1"/>
    <col min="11" max="16384" width="8" style="71"/>
  </cols>
  <sheetData>
    <row r="1" spans="1:9" x14ac:dyDescent="0.2">
      <c r="B1" s="251" t="str">
        <f>'קרן י'!B1</f>
        <v>מדיניות השקעה לשנת 2024</v>
      </c>
      <c r="C1" s="251"/>
      <c r="D1" s="251"/>
      <c r="E1" s="251"/>
      <c r="F1" s="251"/>
      <c r="G1" s="251"/>
      <c r="H1" s="251"/>
    </row>
    <row r="2" spans="1:9" x14ac:dyDescent="0.2">
      <c r="B2" s="251"/>
      <c r="C2" s="251"/>
      <c r="D2" s="251"/>
      <c r="E2" s="251"/>
      <c r="F2" s="251"/>
      <c r="G2" s="251"/>
      <c r="H2" s="251"/>
    </row>
    <row r="3" spans="1:9" x14ac:dyDescent="0.2">
      <c r="B3" s="253" t="s">
        <v>259</v>
      </c>
      <c r="C3" s="253"/>
      <c r="D3" s="253"/>
      <c r="E3" s="253"/>
      <c r="F3" s="253"/>
      <c r="G3" s="253"/>
      <c r="H3" s="253"/>
    </row>
    <row r="4" spans="1:9" s="84" customFormat="1" x14ac:dyDescent="0.2">
      <c r="A4" s="287" t="s">
        <v>260</v>
      </c>
      <c r="B4" s="226" t="s">
        <v>246</v>
      </c>
      <c r="C4" s="226"/>
      <c r="D4" s="226"/>
      <c r="E4" s="226"/>
      <c r="F4" s="226"/>
      <c r="G4" s="226"/>
      <c r="H4" s="226"/>
      <c r="I4" s="287" t="s">
        <v>262</v>
      </c>
    </row>
    <row r="5" spans="1:9" s="84" customFormat="1" ht="15" customHeight="1" x14ac:dyDescent="0.2">
      <c r="A5" s="287"/>
      <c r="B5" s="226"/>
      <c r="C5" s="226"/>
      <c r="D5" s="226"/>
      <c r="E5" s="226"/>
      <c r="F5" s="226"/>
      <c r="G5" s="226"/>
      <c r="H5" s="226"/>
      <c r="I5" s="287"/>
    </row>
    <row r="6" spans="1:9" s="84" customFormat="1" ht="24.75" customHeight="1" thickBot="1" x14ac:dyDescent="0.25">
      <c r="A6" s="287"/>
      <c r="B6" s="228" t="s">
        <v>194</v>
      </c>
      <c r="C6" s="229"/>
      <c r="D6" s="229"/>
      <c r="E6" s="229"/>
      <c r="F6" s="229"/>
      <c r="G6" s="229"/>
      <c r="H6" s="229"/>
      <c r="I6" s="287"/>
    </row>
    <row r="7" spans="1:9" s="84" customFormat="1" ht="45" x14ac:dyDescent="0.2">
      <c r="A7" s="287"/>
      <c r="B7" s="140" t="s">
        <v>0</v>
      </c>
      <c r="C7" s="36" t="s">
        <v>251</v>
      </c>
      <c r="D7" s="186" t="s">
        <v>252</v>
      </c>
      <c r="E7" s="141" t="s">
        <v>136</v>
      </c>
      <c r="F7" s="230" t="s">
        <v>40</v>
      </c>
      <c r="G7" s="231"/>
      <c r="H7" s="143" t="s">
        <v>138</v>
      </c>
      <c r="I7" s="287"/>
    </row>
    <row r="8" spans="1:9" s="84" customFormat="1" ht="60" x14ac:dyDescent="0.2">
      <c r="A8" s="287"/>
      <c r="B8" s="144" t="s">
        <v>139</v>
      </c>
      <c r="C8" s="145">
        <v>0.75</v>
      </c>
      <c r="D8" s="145">
        <v>0.75</v>
      </c>
      <c r="E8" s="145">
        <v>0.05</v>
      </c>
      <c r="F8" s="145">
        <f>+C8-E8</f>
        <v>0.7</v>
      </c>
      <c r="G8" s="145">
        <f>+C8+E8</f>
        <v>0.8</v>
      </c>
      <c r="H8" s="146" t="s">
        <v>4</v>
      </c>
      <c r="I8" s="287"/>
    </row>
    <row r="9" spans="1:9" s="84" customFormat="1" ht="60" x14ac:dyDescent="0.2">
      <c r="A9" s="287"/>
      <c r="B9" s="144" t="s">
        <v>116</v>
      </c>
      <c r="C9" s="145">
        <v>0.23</v>
      </c>
      <c r="D9" s="145">
        <v>0.2</v>
      </c>
      <c r="E9" s="145">
        <v>0.06</v>
      </c>
      <c r="F9" s="145">
        <f>+C9-E9</f>
        <v>0.17</v>
      </c>
      <c r="G9" s="145">
        <f>+C9+E9</f>
        <v>0.29000000000000004</v>
      </c>
      <c r="H9" s="147" t="s">
        <v>92</v>
      </c>
      <c r="I9" s="287"/>
    </row>
    <row r="10" spans="1:9" ht="15" x14ac:dyDescent="0.2">
      <c r="A10" s="287"/>
      <c r="B10" s="144" t="s">
        <v>47</v>
      </c>
      <c r="C10" s="145">
        <v>0.02</v>
      </c>
      <c r="D10" s="145">
        <v>0.05</v>
      </c>
      <c r="E10" s="145"/>
      <c r="F10" s="145"/>
      <c r="G10" s="145"/>
      <c r="H10" s="148"/>
      <c r="I10" s="287"/>
    </row>
    <row r="11" spans="1:9" ht="15" x14ac:dyDescent="0.2">
      <c r="A11" s="287"/>
      <c r="B11" s="144" t="s">
        <v>8</v>
      </c>
      <c r="C11" s="145">
        <f>SUM(C8:C10)</f>
        <v>1</v>
      </c>
      <c r="D11" s="145">
        <f>SUM(D8:D10)</f>
        <v>1</v>
      </c>
      <c r="E11" s="145"/>
      <c r="F11" s="145"/>
      <c r="G11" s="145"/>
      <c r="H11" s="148"/>
      <c r="I11" s="287"/>
    </row>
    <row r="12" spans="1:9" ht="15.75" thickBot="1" x14ac:dyDescent="0.25">
      <c r="A12" s="287"/>
      <c r="B12" s="149" t="s">
        <v>9</v>
      </c>
      <c r="C12" s="150">
        <v>0</v>
      </c>
      <c r="D12" s="150">
        <v>0</v>
      </c>
      <c r="E12" s="150">
        <v>0.06</v>
      </c>
      <c r="F12" s="150">
        <v>0</v>
      </c>
      <c r="G12" s="150">
        <f>+C12+E12</f>
        <v>0.06</v>
      </c>
      <c r="H12" s="151"/>
      <c r="I12" s="287"/>
    </row>
    <row r="13" spans="1:9" ht="30" x14ac:dyDescent="0.2">
      <c r="A13" s="287"/>
      <c r="B13" s="160" t="s">
        <v>160</v>
      </c>
      <c r="C13" s="239">
        <v>5.0000000000000001E-4</v>
      </c>
      <c r="D13" s="227"/>
      <c r="E13" s="227"/>
      <c r="F13" s="227"/>
      <c r="G13" s="227"/>
      <c r="H13" s="227"/>
      <c r="I13" s="287"/>
    </row>
    <row r="14" spans="1:9" x14ac:dyDescent="0.2">
      <c r="A14" s="68"/>
      <c r="B14" s="290" t="s">
        <v>267</v>
      </c>
      <c r="C14" s="290"/>
      <c r="D14" s="290"/>
      <c r="E14" s="290"/>
      <c r="F14" s="290"/>
      <c r="G14" s="290"/>
      <c r="H14" s="290"/>
    </row>
    <row r="15" spans="1:9" x14ac:dyDescent="0.2">
      <c r="A15" s="68"/>
      <c r="B15" s="157"/>
      <c r="C15" s="157"/>
      <c r="D15" s="157"/>
      <c r="E15" s="157"/>
      <c r="F15" s="157"/>
      <c r="G15" s="157"/>
      <c r="H15" s="158"/>
    </row>
    <row r="16" spans="1:9" x14ac:dyDescent="0.2">
      <c r="A16" s="68"/>
      <c r="B16" s="290" t="s">
        <v>259</v>
      </c>
      <c r="C16" s="290"/>
      <c r="D16" s="290"/>
      <c r="E16" s="290"/>
      <c r="F16" s="290"/>
      <c r="G16" s="290"/>
      <c r="H16" s="290"/>
    </row>
    <row r="17" spans="1:10" ht="14.25" customHeight="1" x14ac:dyDescent="0.25">
      <c r="A17" s="289" t="s">
        <v>260</v>
      </c>
      <c r="B17" s="225" t="s">
        <v>245</v>
      </c>
      <c r="C17" s="226"/>
      <c r="D17" s="226"/>
      <c r="E17" s="226"/>
      <c r="F17" s="226"/>
      <c r="G17" s="226"/>
      <c r="H17" s="226"/>
      <c r="I17" s="288" t="s">
        <v>262</v>
      </c>
      <c r="J17" s="192"/>
    </row>
    <row r="18" spans="1:10" ht="18.75" customHeight="1" thickBot="1" x14ac:dyDescent="0.25">
      <c r="A18" s="289"/>
      <c r="B18" s="228" t="s">
        <v>212</v>
      </c>
      <c r="C18" s="229"/>
      <c r="D18" s="229"/>
      <c r="E18" s="229"/>
      <c r="F18" s="229"/>
      <c r="G18" s="229"/>
      <c r="H18" s="229"/>
      <c r="I18" s="288"/>
    </row>
    <row r="19" spans="1:10" ht="45" x14ac:dyDescent="0.2">
      <c r="A19" s="289"/>
      <c r="B19" s="140" t="s">
        <v>0</v>
      </c>
      <c r="C19" s="36" t="s">
        <v>251</v>
      </c>
      <c r="D19" s="186" t="s">
        <v>252</v>
      </c>
      <c r="E19" s="141" t="s">
        <v>136</v>
      </c>
      <c r="F19" s="230" t="s">
        <v>40</v>
      </c>
      <c r="G19" s="231"/>
      <c r="H19" s="143" t="s">
        <v>138</v>
      </c>
      <c r="I19" s="288"/>
    </row>
    <row r="20" spans="1:10" ht="30" x14ac:dyDescent="0.2">
      <c r="A20" s="289"/>
      <c r="B20" s="144" t="s">
        <v>114</v>
      </c>
      <c r="C20" s="145">
        <v>0.01</v>
      </c>
      <c r="D20" s="145">
        <v>0.01</v>
      </c>
      <c r="E20" s="145">
        <v>0.06</v>
      </c>
      <c r="F20" s="145">
        <v>0</v>
      </c>
      <c r="G20" s="145">
        <f>+C20+E20</f>
        <v>6.9999999999999993E-2</v>
      </c>
      <c r="H20" s="146" t="s">
        <v>144</v>
      </c>
      <c r="I20" s="288"/>
    </row>
    <row r="21" spans="1:10" ht="60" x14ac:dyDescent="0.2">
      <c r="A21" s="289"/>
      <c r="B21" s="144" t="s">
        <v>139</v>
      </c>
      <c r="C21" s="145">
        <v>0.35</v>
      </c>
      <c r="D21" s="145">
        <v>0.35</v>
      </c>
      <c r="E21" s="145">
        <v>0.05</v>
      </c>
      <c r="F21" s="145">
        <f t="shared" ref="F21:F24" si="0">+C21-E21</f>
        <v>0.3</v>
      </c>
      <c r="G21" s="145">
        <f t="shared" ref="G21:G24" si="1">+C21+E21</f>
        <v>0.39999999999999997</v>
      </c>
      <c r="H21" s="146" t="s">
        <v>4</v>
      </c>
      <c r="I21" s="288"/>
    </row>
    <row r="22" spans="1:10" ht="60" x14ac:dyDescent="0.2">
      <c r="A22" s="289"/>
      <c r="B22" s="144" t="s">
        <v>116</v>
      </c>
      <c r="C22" s="145">
        <v>0.55000000000000004</v>
      </c>
      <c r="D22" s="145">
        <v>0.55000000000000004</v>
      </c>
      <c r="E22" s="145">
        <v>0.06</v>
      </c>
      <c r="F22" s="145">
        <f t="shared" si="0"/>
        <v>0.49000000000000005</v>
      </c>
      <c r="G22" s="145">
        <f t="shared" si="1"/>
        <v>0.6100000000000001</v>
      </c>
      <c r="H22" s="147" t="s">
        <v>92</v>
      </c>
      <c r="I22" s="288"/>
    </row>
    <row r="23" spans="1:10" ht="45" x14ac:dyDescent="0.2">
      <c r="A23" s="289"/>
      <c r="B23" s="144" t="s">
        <v>141</v>
      </c>
      <c r="C23" s="145">
        <v>0.04</v>
      </c>
      <c r="D23" s="145">
        <v>0.03</v>
      </c>
      <c r="E23" s="145">
        <v>0.05</v>
      </c>
      <c r="F23" s="145">
        <v>0</v>
      </c>
      <c r="G23" s="145">
        <f t="shared" si="1"/>
        <v>0.09</v>
      </c>
      <c r="H23" s="148"/>
      <c r="I23" s="288"/>
    </row>
    <row r="24" spans="1:10" ht="15" x14ac:dyDescent="0.2">
      <c r="A24" s="289"/>
      <c r="B24" s="144" t="s">
        <v>47</v>
      </c>
      <c r="C24" s="145">
        <v>0.05</v>
      </c>
      <c r="D24" s="145">
        <v>0.06</v>
      </c>
      <c r="E24" s="145"/>
      <c r="F24" s="145">
        <f t="shared" si="0"/>
        <v>0.05</v>
      </c>
      <c r="G24" s="145">
        <f t="shared" si="1"/>
        <v>0.05</v>
      </c>
      <c r="H24" s="148"/>
      <c r="I24" s="288"/>
    </row>
    <row r="25" spans="1:10" ht="15" x14ac:dyDescent="0.2">
      <c r="A25" s="289"/>
      <c r="B25" s="144" t="s">
        <v>8</v>
      </c>
      <c r="C25" s="145">
        <f>SUM(C20:C24)</f>
        <v>1</v>
      </c>
      <c r="D25" s="145">
        <f>SUM(D20:D24)</f>
        <v>1</v>
      </c>
      <c r="E25" s="145"/>
      <c r="F25" s="145"/>
      <c r="G25" s="145"/>
      <c r="H25" s="148"/>
      <c r="I25" s="288"/>
    </row>
    <row r="26" spans="1:10" ht="15.75" thickBot="1" x14ac:dyDescent="0.25">
      <c r="A26" s="289"/>
      <c r="B26" s="149" t="s">
        <v>9</v>
      </c>
      <c r="C26" s="150">
        <v>0.13</v>
      </c>
      <c r="D26" s="150">
        <v>0.13</v>
      </c>
      <c r="E26" s="150">
        <v>0.06</v>
      </c>
      <c r="F26" s="150">
        <f>IF(C26-E26&gt;0,C26-E26,0)</f>
        <v>7.0000000000000007E-2</v>
      </c>
      <c r="G26" s="150">
        <f>C26+E26</f>
        <v>0.19</v>
      </c>
      <c r="H26" s="151"/>
      <c r="I26" s="288"/>
    </row>
    <row r="27" spans="1:10" ht="30" x14ac:dyDescent="0.2">
      <c r="A27" s="289"/>
      <c r="B27" s="160" t="s">
        <v>160</v>
      </c>
      <c r="C27" s="227">
        <v>5.0000000000000001E-4</v>
      </c>
      <c r="D27" s="227"/>
      <c r="E27" s="227"/>
      <c r="F27" s="227"/>
      <c r="G27" s="227"/>
      <c r="H27" s="227"/>
      <c r="I27" s="288"/>
      <c r="J27" s="158"/>
    </row>
    <row r="28" spans="1:10" x14ac:dyDescent="0.2">
      <c r="A28" s="68"/>
      <c r="B28" s="290" t="s">
        <v>267</v>
      </c>
      <c r="C28" s="290"/>
      <c r="D28" s="290"/>
      <c r="E28" s="290"/>
      <c r="F28" s="290"/>
      <c r="G28" s="290"/>
      <c r="H28" s="290"/>
    </row>
    <row r="29" spans="1:10" ht="14.25" hidden="1" customHeight="1" x14ac:dyDescent="0.2">
      <c r="A29" s="68"/>
      <c r="B29" s="291" t="s">
        <v>143</v>
      </c>
      <c r="C29" s="292"/>
      <c r="D29" s="292"/>
      <c r="E29" s="292"/>
      <c r="F29" s="292"/>
      <c r="G29" s="292"/>
      <c r="H29" s="158"/>
    </row>
    <row r="30" spans="1:10" ht="18.75" hidden="1" thickBot="1" x14ac:dyDescent="0.25">
      <c r="A30" s="68"/>
      <c r="B30" s="260"/>
      <c r="C30" s="261"/>
      <c r="D30" s="261"/>
      <c r="E30" s="261"/>
      <c r="F30" s="261"/>
      <c r="G30" s="261"/>
      <c r="H30" s="158"/>
    </row>
    <row r="31" spans="1:10" ht="30" hidden="1" x14ac:dyDescent="0.2">
      <c r="A31" s="68"/>
      <c r="B31" s="140" t="s">
        <v>0</v>
      </c>
      <c r="C31" s="142" t="s">
        <v>127</v>
      </c>
      <c r="D31" s="141" t="s">
        <v>136</v>
      </c>
      <c r="E31" s="242" t="s">
        <v>137</v>
      </c>
      <c r="F31" s="243"/>
      <c r="G31" s="143" t="s">
        <v>138</v>
      </c>
      <c r="H31" s="158"/>
    </row>
    <row r="32" spans="1:10" ht="30" hidden="1" x14ac:dyDescent="0.2">
      <c r="A32" s="68"/>
      <c r="B32" s="144" t="s">
        <v>114</v>
      </c>
      <c r="C32" s="145">
        <v>0.17</v>
      </c>
      <c r="D32" s="145">
        <v>0.06</v>
      </c>
      <c r="E32" s="145">
        <f>+C32-D32</f>
        <v>0.11000000000000001</v>
      </c>
      <c r="F32" s="145">
        <f>+C32+D32</f>
        <v>0.23</v>
      </c>
      <c r="G32" s="146" t="s">
        <v>144</v>
      </c>
      <c r="H32" s="158"/>
    </row>
    <row r="33" spans="1:9" ht="60" hidden="1" x14ac:dyDescent="0.2">
      <c r="A33" s="68"/>
      <c r="B33" s="144" t="s">
        <v>139</v>
      </c>
      <c r="C33" s="145">
        <v>0.17</v>
      </c>
      <c r="D33" s="145">
        <v>0.05</v>
      </c>
      <c r="E33" s="145">
        <f t="shared" ref="E33" si="2">+C33-D33</f>
        <v>0.12000000000000001</v>
      </c>
      <c r="F33" s="145">
        <f t="shared" ref="F33" si="3">+C33+D33</f>
        <v>0.22000000000000003</v>
      </c>
      <c r="G33" s="146" t="s">
        <v>4</v>
      </c>
      <c r="H33" s="158"/>
    </row>
    <row r="34" spans="1:9" ht="75" hidden="1" x14ac:dyDescent="0.2">
      <c r="A34" s="68"/>
      <c r="B34" s="144" t="s">
        <v>116</v>
      </c>
      <c r="C34" s="145">
        <v>0.56000000000000005</v>
      </c>
      <c r="D34" s="145">
        <v>0.06</v>
      </c>
      <c r="E34" s="145">
        <f>+C34-D34</f>
        <v>0.5</v>
      </c>
      <c r="F34" s="145">
        <f>+C34+D34</f>
        <v>0.62000000000000011</v>
      </c>
      <c r="G34" s="147" t="s">
        <v>92</v>
      </c>
      <c r="H34" s="158"/>
    </row>
    <row r="35" spans="1:9" ht="45" hidden="1" x14ac:dyDescent="0.2">
      <c r="A35" s="68"/>
      <c r="B35" s="144" t="s">
        <v>141</v>
      </c>
      <c r="C35" s="145">
        <v>0.06</v>
      </c>
      <c r="D35" s="145">
        <v>0.05</v>
      </c>
      <c r="E35" s="145">
        <v>0</v>
      </c>
      <c r="F35" s="145">
        <f>+C35+D35</f>
        <v>0.11</v>
      </c>
      <c r="G35" s="148"/>
      <c r="H35" s="158"/>
    </row>
    <row r="36" spans="1:9" ht="15" hidden="1" x14ac:dyDescent="0.2">
      <c r="A36" s="68"/>
      <c r="B36" s="144" t="s">
        <v>47</v>
      </c>
      <c r="C36" s="145">
        <v>0.04</v>
      </c>
      <c r="D36" s="145"/>
      <c r="E36" s="145">
        <f>+C36-D36</f>
        <v>0.04</v>
      </c>
      <c r="F36" s="145">
        <f>+C36+D36</f>
        <v>0.04</v>
      </c>
      <c r="G36" s="148"/>
      <c r="H36" s="158"/>
    </row>
    <row r="37" spans="1:9" ht="15" hidden="1" x14ac:dyDescent="0.2">
      <c r="A37" s="68"/>
      <c r="B37" s="144" t="s">
        <v>8</v>
      </c>
      <c r="C37" s="145">
        <f>SUM(C32:C36)</f>
        <v>1.0000000000000002</v>
      </c>
      <c r="D37" s="145"/>
      <c r="E37" s="145"/>
      <c r="F37" s="145"/>
      <c r="G37" s="148"/>
      <c r="H37" s="158"/>
    </row>
    <row r="38" spans="1:9" ht="15.75" hidden="1" thickBot="1" x14ac:dyDescent="0.25">
      <c r="A38" s="68"/>
      <c r="B38" s="149" t="s">
        <v>9</v>
      </c>
      <c r="C38" s="150">
        <v>0.16</v>
      </c>
      <c r="D38" s="145">
        <v>0.05</v>
      </c>
      <c r="E38" s="40">
        <f t="shared" ref="E38" si="4">IF(C38-D38&gt;0,C38-D38,0)</f>
        <v>0.11</v>
      </c>
      <c r="F38" s="40">
        <f t="shared" ref="F38" si="5">C38+D38</f>
        <v>0.21000000000000002</v>
      </c>
      <c r="G38" s="151"/>
      <c r="H38" s="158"/>
    </row>
    <row r="39" spans="1:9" ht="30" hidden="1" x14ac:dyDescent="0.2">
      <c r="A39" s="68"/>
      <c r="B39" s="160" t="s">
        <v>160</v>
      </c>
      <c r="C39" s="163">
        <v>2.5000000000000001E-3</v>
      </c>
      <c r="D39" s="157"/>
      <c r="E39" s="157"/>
      <c r="F39" s="157"/>
      <c r="G39" s="157"/>
      <c r="H39" s="158"/>
    </row>
    <row r="40" spans="1:9" x14ac:dyDescent="0.2">
      <c r="A40" s="68"/>
      <c r="B40" s="157"/>
      <c r="C40" s="157"/>
      <c r="D40" s="157"/>
      <c r="E40" s="157"/>
      <c r="F40" s="157"/>
      <c r="G40" s="157"/>
      <c r="H40" s="158"/>
    </row>
    <row r="41" spans="1:9" x14ac:dyDescent="0.2">
      <c r="A41" s="68"/>
      <c r="B41" s="157"/>
      <c r="C41" s="157"/>
      <c r="D41" s="157"/>
      <c r="E41" s="157"/>
      <c r="F41" s="157"/>
      <c r="G41" s="157"/>
      <c r="H41" s="158"/>
    </row>
    <row r="42" spans="1:9" x14ac:dyDescent="0.2">
      <c r="A42" s="68"/>
      <c r="B42" s="253" t="s">
        <v>259</v>
      </c>
      <c r="C42" s="253"/>
      <c r="D42" s="253"/>
      <c r="E42" s="253"/>
      <c r="F42" s="253"/>
      <c r="G42" s="253"/>
      <c r="H42" s="253"/>
    </row>
    <row r="43" spans="1:9" ht="14.25" customHeight="1" x14ac:dyDescent="0.2">
      <c r="A43" s="289" t="s">
        <v>260</v>
      </c>
      <c r="B43" s="225" t="s">
        <v>231</v>
      </c>
      <c r="C43" s="226"/>
      <c r="D43" s="226"/>
      <c r="E43" s="226"/>
      <c r="F43" s="226"/>
      <c r="G43" s="226"/>
      <c r="H43" s="226"/>
      <c r="I43" s="254" t="s">
        <v>262</v>
      </c>
    </row>
    <row r="44" spans="1:9" ht="18.75" customHeight="1" thickBot="1" x14ac:dyDescent="0.25">
      <c r="A44" s="289"/>
      <c r="B44" s="228" t="s">
        <v>197</v>
      </c>
      <c r="C44" s="229"/>
      <c r="D44" s="229"/>
      <c r="E44" s="229"/>
      <c r="F44" s="229"/>
      <c r="G44" s="229"/>
      <c r="H44" s="229"/>
      <c r="I44" s="254"/>
    </row>
    <row r="45" spans="1:9" ht="45" x14ac:dyDescent="0.2">
      <c r="A45" s="289"/>
      <c r="B45" s="140" t="s">
        <v>0</v>
      </c>
      <c r="C45" s="36" t="s">
        <v>251</v>
      </c>
      <c r="D45" s="186" t="s">
        <v>252</v>
      </c>
      <c r="E45" s="141" t="s">
        <v>136</v>
      </c>
      <c r="F45" s="230" t="s">
        <v>40</v>
      </c>
      <c r="G45" s="231"/>
      <c r="H45" s="143" t="s">
        <v>138</v>
      </c>
      <c r="I45" s="254"/>
    </row>
    <row r="46" spans="1:9" ht="30" x14ac:dyDescent="0.2">
      <c r="A46" s="289"/>
      <c r="B46" s="144" t="s">
        <v>114</v>
      </c>
      <c r="C46" s="145">
        <v>0.94</v>
      </c>
      <c r="D46" s="145">
        <v>0.94</v>
      </c>
      <c r="E46" s="145">
        <v>0.06</v>
      </c>
      <c r="F46" s="145">
        <f>+C46-E46</f>
        <v>0.87999999999999989</v>
      </c>
      <c r="G46" s="145">
        <f>+C46+E46</f>
        <v>1</v>
      </c>
      <c r="H46" s="146" t="s">
        <v>144</v>
      </c>
      <c r="I46" s="254"/>
    </row>
    <row r="47" spans="1:9" ht="60" x14ac:dyDescent="0.2">
      <c r="A47" s="289"/>
      <c r="B47" s="144" t="s">
        <v>139</v>
      </c>
      <c r="C47" s="145">
        <v>0.03</v>
      </c>
      <c r="D47" s="145">
        <v>0.03</v>
      </c>
      <c r="E47" s="145">
        <v>0.05</v>
      </c>
      <c r="F47" s="145">
        <v>0</v>
      </c>
      <c r="G47" s="145">
        <f t="shared" ref="G47:G49" si="6">+C47+E47</f>
        <v>0.08</v>
      </c>
      <c r="H47" s="146" t="s">
        <v>4</v>
      </c>
      <c r="I47" s="254"/>
    </row>
    <row r="48" spans="1:9" ht="60" x14ac:dyDescent="0.2">
      <c r="A48" s="289"/>
      <c r="B48" s="144" t="s">
        <v>116</v>
      </c>
      <c r="C48" s="145">
        <v>0.01</v>
      </c>
      <c r="D48" s="145">
        <v>0</v>
      </c>
      <c r="E48" s="145">
        <v>0.06</v>
      </c>
      <c r="F48" s="145">
        <v>0</v>
      </c>
      <c r="G48" s="145">
        <f t="shared" si="6"/>
        <v>6.9999999999999993E-2</v>
      </c>
      <c r="H48" s="147" t="s">
        <v>92</v>
      </c>
      <c r="I48" s="254"/>
    </row>
    <row r="49" spans="1:9" ht="45" x14ac:dyDescent="0.2">
      <c r="A49" s="289"/>
      <c r="B49" s="144" t="s">
        <v>141</v>
      </c>
      <c r="C49" s="145">
        <v>0.01</v>
      </c>
      <c r="D49" s="145">
        <v>0</v>
      </c>
      <c r="E49" s="145">
        <v>0.05</v>
      </c>
      <c r="F49" s="145">
        <v>0</v>
      </c>
      <c r="G49" s="145">
        <f t="shared" si="6"/>
        <v>6.0000000000000005E-2</v>
      </c>
      <c r="H49" s="148"/>
      <c r="I49" s="254"/>
    </row>
    <row r="50" spans="1:9" ht="15" x14ac:dyDescent="0.2">
      <c r="A50" s="289"/>
      <c r="B50" s="144" t="s">
        <v>47</v>
      </c>
      <c r="C50" s="145">
        <v>0.01</v>
      </c>
      <c r="D50" s="145">
        <v>0.03</v>
      </c>
      <c r="E50" s="145"/>
      <c r="F50" s="145"/>
      <c r="G50" s="145"/>
      <c r="H50" s="148"/>
      <c r="I50" s="254"/>
    </row>
    <row r="51" spans="1:9" ht="15" x14ac:dyDescent="0.2">
      <c r="A51" s="289"/>
      <c r="B51" s="144" t="s">
        <v>8</v>
      </c>
      <c r="C51" s="145">
        <f>SUM(C46:C50)</f>
        <v>1</v>
      </c>
      <c r="D51" s="145">
        <f>SUM(D46:D50)</f>
        <v>1</v>
      </c>
      <c r="E51" s="145"/>
      <c r="F51" s="145"/>
      <c r="G51" s="145"/>
      <c r="H51" s="148"/>
      <c r="I51" s="254"/>
    </row>
    <row r="52" spans="1:9" ht="15.75" thickBot="1" x14ac:dyDescent="0.25">
      <c r="A52" s="289"/>
      <c r="B52" s="149" t="s">
        <v>9</v>
      </c>
      <c r="C52" s="150">
        <v>0.32</v>
      </c>
      <c r="D52" s="150">
        <v>0.32</v>
      </c>
      <c r="E52" s="150">
        <v>0.05</v>
      </c>
      <c r="F52" s="150">
        <f>IF(C52-E52&gt;0,C52-E52,0)</f>
        <v>0.27</v>
      </c>
      <c r="G52" s="150">
        <f>C52+E52</f>
        <v>0.37</v>
      </c>
      <c r="H52" s="151"/>
      <c r="I52" s="254"/>
    </row>
    <row r="53" spans="1:9" ht="30" x14ac:dyDescent="0.2">
      <c r="A53" s="289"/>
      <c r="B53" s="160" t="s">
        <v>160</v>
      </c>
      <c r="C53" s="227">
        <v>2E-3</v>
      </c>
      <c r="D53" s="227"/>
      <c r="E53" s="227"/>
      <c r="F53" s="227"/>
      <c r="G53" s="227"/>
      <c r="H53" s="227"/>
      <c r="I53" s="254"/>
    </row>
    <row r="54" spans="1:9" x14ac:dyDescent="0.2">
      <c r="B54" s="253" t="s">
        <v>267</v>
      </c>
      <c r="C54" s="253"/>
      <c r="D54" s="253"/>
      <c r="E54" s="253"/>
      <c r="F54" s="253"/>
      <c r="G54" s="253"/>
      <c r="H54" s="253"/>
    </row>
    <row r="55" spans="1:9" x14ac:dyDescent="0.2">
      <c r="B55" s="253" t="s">
        <v>259</v>
      </c>
      <c r="C55" s="253"/>
      <c r="D55" s="253"/>
      <c r="E55" s="253"/>
      <c r="F55" s="253"/>
      <c r="G55" s="253"/>
      <c r="H55" s="253"/>
    </row>
    <row r="56" spans="1:9" ht="18" x14ac:dyDescent="0.2">
      <c r="A56" s="253" t="s">
        <v>260</v>
      </c>
      <c r="B56" s="233" t="s">
        <v>232</v>
      </c>
      <c r="C56" s="234"/>
      <c r="D56" s="234"/>
      <c r="E56" s="234"/>
      <c r="F56" s="234"/>
      <c r="G56" s="234"/>
      <c r="H56" s="234"/>
      <c r="I56" s="254" t="s">
        <v>262</v>
      </c>
    </row>
    <row r="57" spans="1:9" ht="18.75" thickBot="1" x14ac:dyDescent="0.25">
      <c r="A57" s="253"/>
      <c r="B57" s="235" t="s">
        <v>196</v>
      </c>
      <c r="C57" s="236"/>
      <c r="D57" s="236"/>
      <c r="E57" s="236"/>
      <c r="F57" s="236"/>
      <c r="G57" s="236"/>
      <c r="H57" s="236"/>
      <c r="I57" s="254"/>
    </row>
    <row r="58" spans="1:9" ht="45" x14ac:dyDescent="0.2">
      <c r="A58" s="253"/>
      <c r="B58" s="35" t="s">
        <v>0</v>
      </c>
      <c r="C58" s="36" t="s">
        <v>251</v>
      </c>
      <c r="D58" s="186" t="s">
        <v>252</v>
      </c>
      <c r="E58" s="35" t="s">
        <v>72</v>
      </c>
      <c r="F58" s="215" t="s">
        <v>40</v>
      </c>
      <c r="G58" s="237"/>
      <c r="H58" s="35" t="s">
        <v>91</v>
      </c>
      <c r="I58" s="254"/>
    </row>
    <row r="59" spans="1:9" ht="30" x14ac:dyDescent="0.2">
      <c r="A59" s="253"/>
      <c r="B59" s="37" t="s">
        <v>6</v>
      </c>
      <c r="C59" s="38">
        <v>0.42</v>
      </c>
      <c r="D59" s="38">
        <v>0.42</v>
      </c>
      <c r="E59" s="40">
        <v>0.06</v>
      </c>
      <c r="F59" s="40">
        <f>IF(C59-E59&gt;0,C59-E59,0)</f>
        <v>0.36</v>
      </c>
      <c r="G59" s="40">
        <f>C59+E59</f>
        <v>0.48</v>
      </c>
      <c r="H59" s="41" t="s">
        <v>102</v>
      </c>
      <c r="I59" s="254"/>
    </row>
    <row r="60" spans="1:9" ht="45" x14ac:dyDescent="0.2">
      <c r="A60" s="253"/>
      <c r="B60" s="37" t="s">
        <v>73</v>
      </c>
      <c r="C60" s="38">
        <v>0.08</v>
      </c>
      <c r="D60" s="38">
        <v>0.08</v>
      </c>
      <c r="E60" s="40">
        <v>0.05</v>
      </c>
      <c r="F60" s="40">
        <f t="shared" ref="F60:F65" si="7">IF(C60-E60&gt;0,C60-E60,0)</f>
        <v>0.03</v>
      </c>
      <c r="G60" s="40">
        <f t="shared" ref="G60:G65" si="8">C60+E60</f>
        <v>0.13</v>
      </c>
      <c r="H60" s="41" t="s">
        <v>4</v>
      </c>
      <c r="I60" s="254"/>
    </row>
    <row r="61" spans="1:9" ht="75" x14ac:dyDescent="0.2">
      <c r="A61" s="253"/>
      <c r="B61" s="37" t="s">
        <v>41</v>
      </c>
      <c r="C61" s="38">
        <v>0.3</v>
      </c>
      <c r="D61" s="38">
        <v>0.33</v>
      </c>
      <c r="E61" s="40">
        <v>0.06</v>
      </c>
      <c r="F61" s="40">
        <f t="shared" si="7"/>
        <v>0.24</v>
      </c>
      <c r="G61" s="40">
        <f t="shared" si="8"/>
        <v>0.36</v>
      </c>
      <c r="H61" s="41" t="s">
        <v>90</v>
      </c>
      <c r="I61" s="254"/>
    </row>
    <row r="62" spans="1:9" ht="15" x14ac:dyDescent="0.2">
      <c r="A62" s="253"/>
      <c r="B62" s="37" t="s">
        <v>7</v>
      </c>
      <c r="C62" s="38">
        <v>0.04</v>
      </c>
      <c r="D62" s="38">
        <v>0.05</v>
      </c>
      <c r="E62" s="40">
        <v>0.05</v>
      </c>
      <c r="F62" s="40">
        <f t="shared" si="7"/>
        <v>0</v>
      </c>
      <c r="G62" s="40">
        <f t="shared" si="8"/>
        <v>0.09</v>
      </c>
      <c r="H62" s="41"/>
      <c r="I62" s="254"/>
    </row>
    <row r="63" spans="1:9" ht="15" x14ac:dyDescent="0.2">
      <c r="A63" s="253"/>
      <c r="B63" s="37" t="s">
        <v>74</v>
      </c>
      <c r="C63" s="38">
        <v>0.04</v>
      </c>
      <c r="D63" s="38">
        <v>0.05</v>
      </c>
      <c r="E63" s="40">
        <v>0.05</v>
      </c>
      <c r="F63" s="40">
        <f t="shared" si="7"/>
        <v>0</v>
      </c>
      <c r="G63" s="40">
        <f t="shared" si="8"/>
        <v>0.09</v>
      </c>
      <c r="H63" s="41"/>
      <c r="I63" s="254"/>
    </row>
    <row r="64" spans="1:9" ht="15" x14ac:dyDescent="0.2">
      <c r="A64" s="253"/>
      <c r="B64" s="37" t="s">
        <v>218</v>
      </c>
      <c r="C64" s="38">
        <v>0.04</v>
      </c>
      <c r="D64" s="38"/>
      <c r="E64" s="40">
        <v>0.05</v>
      </c>
      <c r="F64" s="40">
        <f t="shared" si="7"/>
        <v>0</v>
      </c>
      <c r="G64" s="40">
        <f t="shared" si="8"/>
        <v>0.09</v>
      </c>
      <c r="H64" s="41"/>
      <c r="I64" s="254"/>
    </row>
    <row r="65" spans="1:9" ht="30" x14ac:dyDescent="0.2">
      <c r="A65" s="253"/>
      <c r="B65" s="37" t="s">
        <v>97</v>
      </c>
      <c r="C65" s="38">
        <v>0.04</v>
      </c>
      <c r="D65" s="38">
        <v>0.05</v>
      </c>
      <c r="E65" s="40">
        <v>0.05</v>
      </c>
      <c r="F65" s="40">
        <f t="shared" si="7"/>
        <v>0</v>
      </c>
      <c r="G65" s="40">
        <f t="shared" si="8"/>
        <v>0.09</v>
      </c>
      <c r="H65" s="41"/>
      <c r="I65" s="254"/>
    </row>
    <row r="66" spans="1:9" ht="15" x14ac:dyDescent="0.2">
      <c r="A66" s="253"/>
      <c r="B66" s="37" t="s">
        <v>47</v>
      </c>
      <c r="C66" s="38">
        <v>0.04</v>
      </c>
      <c r="D66" s="38">
        <v>0.02</v>
      </c>
      <c r="E66" s="40"/>
      <c r="F66" s="40"/>
      <c r="G66" s="40"/>
      <c r="H66" s="41"/>
      <c r="I66" s="254"/>
    </row>
    <row r="67" spans="1:9" ht="15" x14ac:dyDescent="0.2">
      <c r="A67" s="253"/>
      <c r="B67" s="37" t="s">
        <v>8</v>
      </c>
      <c r="C67" s="38">
        <f>SUM(C59:C66)</f>
        <v>1.0000000000000002</v>
      </c>
      <c r="D67" s="38">
        <v>1.0000000000000002</v>
      </c>
      <c r="E67" s="40"/>
      <c r="F67" s="40"/>
      <c r="G67" s="40"/>
      <c r="H67" s="41"/>
      <c r="I67" s="254"/>
    </row>
    <row r="68" spans="1:9" ht="15" x14ac:dyDescent="0.2">
      <c r="A68" s="253"/>
      <c r="B68" s="37" t="s">
        <v>9</v>
      </c>
      <c r="C68" s="38">
        <v>0.24</v>
      </c>
      <c r="D68" s="38">
        <v>0.22</v>
      </c>
      <c r="E68" s="40">
        <v>0.06</v>
      </c>
      <c r="F68" s="40">
        <f>IF(C68-E68&gt;0,C68-E68,0)</f>
        <v>0.18</v>
      </c>
      <c r="G68" s="40">
        <f>C68+E68</f>
        <v>0.3</v>
      </c>
      <c r="H68" s="41"/>
      <c r="I68" s="254"/>
    </row>
    <row r="69" spans="1:9" ht="30" x14ac:dyDescent="0.2">
      <c r="A69" s="253"/>
      <c r="B69" s="160" t="s">
        <v>160</v>
      </c>
      <c r="C69" s="238">
        <v>2.5000000000000001E-3</v>
      </c>
      <c r="D69" s="238"/>
      <c r="E69" s="238"/>
      <c r="F69" s="238"/>
      <c r="G69" s="238"/>
      <c r="H69" s="238"/>
      <c r="I69" s="254"/>
    </row>
    <row r="70" spans="1:9" x14ac:dyDescent="0.2">
      <c r="B70" s="253" t="s">
        <v>267</v>
      </c>
      <c r="C70" s="253"/>
      <c r="D70" s="253"/>
      <c r="E70" s="253"/>
      <c r="F70" s="253"/>
      <c r="G70" s="253"/>
      <c r="H70" s="253"/>
    </row>
    <row r="72" spans="1:9" x14ac:dyDescent="0.2">
      <c r="C72" s="24"/>
      <c r="D72" s="24"/>
      <c r="E72"/>
      <c r="F72"/>
      <c r="G72"/>
      <c r="H72"/>
      <c r="I72" s="28"/>
    </row>
    <row r="73" spans="1:9" x14ac:dyDescent="0.2">
      <c r="B73" s="34" t="s">
        <v>46</v>
      </c>
      <c r="C73" s="34"/>
      <c r="D73" s="34"/>
      <c r="E73" s="34"/>
      <c r="F73" s="34"/>
      <c r="G73" s="34"/>
      <c r="H73" s="34"/>
      <c r="I73" s="34"/>
    </row>
    <row r="74" spans="1:9" x14ac:dyDescent="0.2">
      <c r="B74" s="34" t="s">
        <v>89</v>
      </c>
      <c r="C74"/>
      <c r="D74"/>
      <c r="E74"/>
      <c r="F74"/>
      <c r="G74"/>
      <c r="H74"/>
      <c r="I74"/>
    </row>
    <row r="75" spans="1:9" x14ac:dyDescent="0.2">
      <c r="A75" s="253" t="s">
        <v>263</v>
      </c>
      <c r="B75" s="253"/>
      <c r="C75" s="253"/>
      <c r="D75" s="253"/>
      <c r="E75" s="253"/>
      <c r="F75" s="253"/>
      <c r="G75" s="253"/>
      <c r="H75" s="253"/>
    </row>
  </sheetData>
  <mergeCells count="37">
    <mergeCell ref="B6:H6"/>
    <mergeCell ref="B17:H17"/>
    <mergeCell ref="B18:H18"/>
    <mergeCell ref="F58:G58"/>
    <mergeCell ref="B57:H57"/>
    <mergeCell ref="B1:H2"/>
    <mergeCell ref="C27:H27"/>
    <mergeCell ref="C13:H13"/>
    <mergeCell ref="B56:H56"/>
    <mergeCell ref="B29:G29"/>
    <mergeCell ref="B30:G30"/>
    <mergeCell ref="E31:F31"/>
    <mergeCell ref="F45:G45"/>
    <mergeCell ref="B43:H43"/>
    <mergeCell ref="B44:H44"/>
    <mergeCell ref="C53:H53"/>
    <mergeCell ref="B3:H3"/>
    <mergeCell ref="B16:H16"/>
    <mergeCell ref="B42:H42"/>
    <mergeCell ref="B55:H55"/>
    <mergeCell ref="F7:G7"/>
    <mergeCell ref="A75:H75"/>
    <mergeCell ref="B70:H70"/>
    <mergeCell ref="I4:I13"/>
    <mergeCell ref="I17:I27"/>
    <mergeCell ref="I43:I53"/>
    <mergeCell ref="I56:I69"/>
    <mergeCell ref="A4:A13"/>
    <mergeCell ref="A17:A27"/>
    <mergeCell ref="A43:A53"/>
    <mergeCell ref="A56:A69"/>
    <mergeCell ref="B14:H14"/>
    <mergeCell ref="B28:H28"/>
    <mergeCell ref="B54:H54"/>
    <mergeCell ref="C69:H69"/>
    <mergeCell ref="F19:G19"/>
    <mergeCell ref="B4:H5"/>
  </mergeCells>
  <pageMargins left="0.27" right="0.26" top="0.31" bottom="0.33" header="0.31496062992125984" footer="0.25"/>
  <pageSetup paperSize="9" scale="34"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pageSetUpPr fitToPage="1"/>
  </sheetPr>
  <dimension ref="A1:I39"/>
  <sheetViews>
    <sheetView showGridLines="0" rightToLeft="1" zoomScale="80" zoomScaleNormal="80" workbookViewId="0">
      <selection activeCell="A4" sqref="A4:A13"/>
    </sheetView>
  </sheetViews>
  <sheetFormatPr defaultColWidth="8" defaultRowHeight="14.25" x14ac:dyDescent="0.2"/>
  <cols>
    <col min="1" max="1" width="7.375" style="71" customWidth="1"/>
    <col min="2" max="2" width="23" style="71" customWidth="1"/>
    <col min="3" max="3" width="16.75" style="71" bestFit="1" customWidth="1"/>
    <col min="4" max="5" width="13.875" style="71" customWidth="1"/>
    <col min="6" max="6" width="25.625" style="71" customWidth="1"/>
    <col min="7" max="7" width="8" style="71"/>
    <col min="8" max="8" width="77.75" style="71" bestFit="1" customWidth="1"/>
    <col min="9" max="9" width="30" style="71" bestFit="1" customWidth="1"/>
    <col min="10" max="16384" width="8" style="71"/>
  </cols>
  <sheetData>
    <row r="1" spans="1:9" x14ac:dyDescent="0.2">
      <c r="B1" s="251" t="str">
        <f>'קרן י'!B1</f>
        <v>מדיניות השקעה לשנת 2024</v>
      </c>
      <c r="C1" s="251"/>
      <c r="D1" s="251"/>
      <c r="E1" s="251"/>
      <c r="F1" s="251"/>
      <c r="G1" s="251"/>
      <c r="H1" s="251"/>
    </row>
    <row r="2" spans="1:9" x14ac:dyDescent="0.2">
      <c r="B2" s="251"/>
      <c r="C2" s="251"/>
      <c r="D2" s="251"/>
      <c r="E2" s="251"/>
      <c r="F2" s="251"/>
      <c r="G2" s="251"/>
      <c r="H2" s="251"/>
    </row>
    <row r="3" spans="1:9" ht="18" x14ac:dyDescent="0.2">
      <c r="B3" s="268" t="s">
        <v>259</v>
      </c>
      <c r="C3" s="268"/>
      <c r="D3" s="268"/>
      <c r="E3" s="268"/>
      <c r="F3" s="268"/>
      <c r="G3" s="268"/>
      <c r="H3" s="268"/>
    </row>
    <row r="4" spans="1:9" ht="18.75" customHeight="1" x14ac:dyDescent="0.2">
      <c r="A4" s="253" t="s">
        <v>260</v>
      </c>
      <c r="B4" s="295" t="s">
        <v>233</v>
      </c>
      <c r="C4" s="295"/>
      <c r="D4" s="295"/>
      <c r="E4" s="295"/>
      <c r="F4" s="295"/>
      <c r="G4" s="295"/>
      <c r="H4" s="295"/>
      <c r="I4" s="254" t="s">
        <v>262</v>
      </c>
    </row>
    <row r="5" spans="1:9" ht="18.75" customHeight="1" thickBot="1" x14ac:dyDescent="0.25">
      <c r="A5" s="253"/>
      <c r="B5" s="295" t="s">
        <v>253</v>
      </c>
      <c r="C5" s="295"/>
      <c r="D5" s="295"/>
      <c r="E5" s="295"/>
      <c r="F5" s="295"/>
      <c r="G5" s="295"/>
      <c r="H5" s="295"/>
      <c r="I5" s="254"/>
    </row>
    <row r="6" spans="1:9" ht="45" x14ac:dyDescent="0.2">
      <c r="A6" s="253"/>
      <c r="B6" s="178" t="s">
        <v>0</v>
      </c>
      <c r="C6" s="36" t="s">
        <v>251</v>
      </c>
      <c r="D6" s="186" t="s">
        <v>252</v>
      </c>
      <c r="E6" s="178" t="s">
        <v>72</v>
      </c>
      <c r="F6" s="293" t="s">
        <v>40</v>
      </c>
      <c r="G6" s="294"/>
      <c r="H6" s="180" t="s">
        <v>91</v>
      </c>
      <c r="I6" s="254"/>
    </row>
    <row r="7" spans="1:9" ht="51.75" customHeight="1" x14ac:dyDescent="0.2">
      <c r="A7" s="253"/>
      <c r="B7" s="94" t="s">
        <v>114</v>
      </c>
      <c r="C7" s="145">
        <v>0.52</v>
      </c>
      <c r="D7" s="145">
        <v>0.52</v>
      </c>
      <c r="E7" s="145">
        <v>0.06</v>
      </c>
      <c r="F7" s="145">
        <f>+C7-E7</f>
        <v>0.46</v>
      </c>
      <c r="G7" s="145">
        <f>+C7+E7</f>
        <v>0.58000000000000007</v>
      </c>
      <c r="H7" s="189" t="s">
        <v>166</v>
      </c>
      <c r="I7" s="254"/>
    </row>
    <row r="8" spans="1:9" ht="45" x14ac:dyDescent="0.2">
      <c r="A8" s="253"/>
      <c r="B8" s="183" t="s">
        <v>167</v>
      </c>
      <c r="C8" s="145">
        <v>0.08</v>
      </c>
      <c r="D8" s="145">
        <v>0.08</v>
      </c>
      <c r="E8" s="145">
        <v>0.05</v>
      </c>
      <c r="F8" s="145">
        <f t="shared" ref="F8:F9" si="0">+C8-E8</f>
        <v>0.03</v>
      </c>
      <c r="G8" s="145">
        <f t="shared" ref="G8:G9" si="1">+C8+E8</f>
        <v>0.13</v>
      </c>
      <c r="H8" s="189" t="s">
        <v>4</v>
      </c>
      <c r="I8" s="254"/>
    </row>
    <row r="9" spans="1:9" ht="30" x14ac:dyDescent="0.2">
      <c r="A9" s="253"/>
      <c r="B9" s="94" t="s">
        <v>41</v>
      </c>
      <c r="C9" s="145">
        <v>0.38</v>
      </c>
      <c r="D9" s="145">
        <v>0.38</v>
      </c>
      <c r="E9" s="145">
        <v>0.06</v>
      </c>
      <c r="F9" s="145">
        <f t="shared" si="0"/>
        <v>0.32</v>
      </c>
      <c r="G9" s="145">
        <f t="shared" si="1"/>
        <v>0.44</v>
      </c>
      <c r="H9" s="189" t="s">
        <v>90</v>
      </c>
      <c r="I9" s="254"/>
    </row>
    <row r="10" spans="1:9" ht="15" x14ac:dyDescent="0.2">
      <c r="A10" s="253"/>
      <c r="B10" s="94" t="s">
        <v>47</v>
      </c>
      <c r="C10" s="145">
        <v>0.02</v>
      </c>
      <c r="D10" s="145">
        <v>0.02</v>
      </c>
      <c r="E10" s="189"/>
      <c r="F10" s="189"/>
      <c r="G10" s="189"/>
      <c r="H10" s="189"/>
      <c r="I10" s="254"/>
    </row>
    <row r="11" spans="1:9" ht="15" x14ac:dyDescent="0.2">
      <c r="A11" s="253"/>
      <c r="B11" s="94" t="s">
        <v>8</v>
      </c>
      <c r="C11" s="145">
        <f>SUM(C7:C10)</f>
        <v>1</v>
      </c>
      <c r="D11" s="145">
        <f>SUM(D7:D10)</f>
        <v>1</v>
      </c>
      <c r="E11" s="189"/>
      <c r="F11" s="189"/>
      <c r="G11" s="189"/>
      <c r="H11" s="189"/>
      <c r="I11" s="254"/>
    </row>
    <row r="12" spans="1:9" ht="15" x14ac:dyDescent="0.2">
      <c r="A12" s="253"/>
      <c r="B12" s="94" t="s">
        <v>9</v>
      </c>
      <c r="C12" s="145">
        <v>0.2</v>
      </c>
      <c r="D12" s="145">
        <v>0.19</v>
      </c>
      <c r="E12" s="145">
        <v>0.06</v>
      </c>
      <c r="F12" s="145">
        <f>+C12-E12</f>
        <v>0.14000000000000001</v>
      </c>
      <c r="G12" s="145">
        <f>+C12+E12</f>
        <v>0.26</v>
      </c>
      <c r="H12" s="189"/>
      <c r="I12" s="254"/>
    </row>
    <row r="13" spans="1:9" ht="30" x14ac:dyDescent="0.2">
      <c r="A13" s="253"/>
      <c r="B13" s="160" t="s">
        <v>160</v>
      </c>
      <c r="C13" s="296">
        <v>5.0000000000000001E-4</v>
      </c>
      <c r="D13" s="296"/>
      <c r="E13" s="296"/>
      <c r="F13" s="296"/>
      <c r="G13" s="296"/>
      <c r="H13" s="296"/>
      <c r="I13" s="254"/>
    </row>
    <row r="14" spans="1:9" ht="15" x14ac:dyDescent="0.25">
      <c r="B14" s="254" t="s">
        <v>261</v>
      </c>
      <c r="C14" s="254"/>
      <c r="D14" s="254"/>
      <c r="E14" s="254"/>
      <c r="F14" s="254"/>
      <c r="G14" s="254"/>
      <c r="H14" s="254"/>
    </row>
    <row r="15" spans="1:9" x14ac:dyDescent="0.2">
      <c r="B15" s="34" t="s">
        <v>46</v>
      </c>
    </row>
    <row r="16" spans="1:9" x14ac:dyDescent="0.2">
      <c r="B16" s="34" t="s">
        <v>89</v>
      </c>
    </row>
    <row r="17" spans="2:9" ht="18" hidden="1" x14ac:dyDescent="0.25">
      <c r="B17" s="295" t="s">
        <v>174</v>
      </c>
      <c r="C17" s="295"/>
      <c r="D17" s="295"/>
      <c r="E17" s="295"/>
      <c r="F17" s="295"/>
      <c r="G17" s="295"/>
      <c r="H17" s="295"/>
      <c r="I17" s="200" t="s">
        <v>173</v>
      </c>
    </row>
    <row r="18" spans="2:9" ht="45" hidden="1" x14ac:dyDescent="0.2">
      <c r="B18" s="178" t="s">
        <v>0</v>
      </c>
      <c r="C18" s="186" t="s">
        <v>170</v>
      </c>
      <c r="D18" s="179" t="s">
        <v>127</v>
      </c>
      <c r="E18" s="178" t="s">
        <v>72</v>
      </c>
      <c r="F18" s="293" t="s">
        <v>40</v>
      </c>
      <c r="G18" s="294"/>
      <c r="H18" s="180" t="s">
        <v>91</v>
      </c>
    </row>
    <row r="19" spans="2:9" ht="30" hidden="1" x14ac:dyDescent="0.2">
      <c r="B19" s="94" t="s">
        <v>114</v>
      </c>
      <c r="C19" s="181"/>
      <c r="D19" s="181"/>
      <c r="E19" s="182">
        <v>0.06</v>
      </c>
      <c r="F19" s="182">
        <f>+D19-E19</f>
        <v>-0.06</v>
      </c>
      <c r="G19" s="182">
        <f>+D19+E19</f>
        <v>0.06</v>
      </c>
      <c r="H19" s="59" t="s">
        <v>166</v>
      </c>
    </row>
    <row r="20" spans="2:9" ht="45" hidden="1" x14ac:dyDescent="0.2">
      <c r="B20" s="183" t="s">
        <v>167</v>
      </c>
      <c r="C20" s="181"/>
      <c r="D20" s="181"/>
      <c r="E20" s="182">
        <v>0.05</v>
      </c>
      <c r="F20" s="182">
        <f>+D20-E20</f>
        <v>-0.05</v>
      </c>
      <c r="G20" s="182">
        <f>+D20+E20</f>
        <v>0.05</v>
      </c>
      <c r="H20" s="59" t="s">
        <v>4</v>
      </c>
    </row>
    <row r="21" spans="2:9" ht="60" hidden="1" x14ac:dyDescent="0.2">
      <c r="B21" s="94" t="s">
        <v>41</v>
      </c>
      <c r="C21" s="181"/>
      <c r="D21" s="181"/>
      <c r="E21" s="182">
        <v>0.06</v>
      </c>
      <c r="F21" s="182">
        <f>+D21-E21</f>
        <v>-0.06</v>
      </c>
      <c r="G21" s="182">
        <f>+D21+E21</f>
        <v>0.06</v>
      </c>
      <c r="H21" s="184" t="s">
        <v>90</v>
      </c>
    </row>
    <row r="22" spans="2:9" ht="15" hidden="1" x14ac:dyDescent="0.2">
      <c r="B22" s="94" t="s">
        <v>47</v>
      </c>
      <c r="C22" s="181"/>
      <c r="D22" s="181"/>
      <c r="E22" s="182"/>
      <c r="F22" s="182"/>
      <c r="G22" s="182"/>
      <c r="H22" s="59"/>
    </row>
    <row r="23" spans="2:9" ht="15" hidden="1" x14ac:dyDescent="0.2">
      <c r="B23" s="94" t="s">
        <v>8</v>
      </c>
      <c r="C23" s="181">
        <f>SUM(C19:C22)</f>
        <v>0</v>
      </c>
      <c r="D23" s="181">
        <f>SUM(D19:D22)</f>
        <v>0</v>
      </c>
      <c r="E23" s="182"/>
      <c r="F23" s="182"/>
      <c r="G23" s="182"/>
      <c r="H23" s="59"/>
    </row>
    <row r="24" spans="2:9" ht="15" hidden="1" x14ac:dyDescent="0.2">
      <c r="B24" s="94" t="s">
        <v>9</v>
      </c>
      <c r="C24" s="181"/>
      <c r="D24" s="181"/>
      <c r="E24" s="185">
        <v>0.06</v>
      </c>
      <c r="F24" s="182">
        <f>+D24-E24</f>
        <v>-0.06</v>
      </c>
      <c r="G24" s="182">
        <f>+D24+E24</f>
        <v>0.06</v>
      </c>
      <c r="H24" s="59"/>
    </row>
    <row r="25" spans="2:9" ht="30" hidden="1" x14ac:dyDescent="0.2">
      <c r="B25" s="160" t="s">
        <v>160</v>
      </c>
      <c r="C25" s="163"/>
      <c r="D25" s="163">
        <v>5.0000000000000001E-4</v>
      </c>
    </row>
    <row r="26" spans="2:9" hidden="1" x14ac:dyDescent="0.2"/>
    <row r="27" spans="2:9" hidden="1" x14ac:dyDescent="0.2"/>
    <row r="28" spans="2:9" hidden="1" x14ac:dyDescent="0.2"/>
    <row r="29" spans="2:9" hidden="1" x14ac:dyDescent="0.2"/>
    <row r="30" spans="2:9" ht="18" hidden="1" x14ac:dyDescent="0.25">
      <c r="B30" s="295" t="s">
        <v>175</v>
      </c>
      <c r="C30" s="295"/>
      <c r="D30" s="295"/>
      <c r="E30" s="295"/>
      <c r="F30" s="295"/>
      <c r="G30" s="295"/>
      <c r="H30" s="295"/>
      <c r="I30" s="200" t="s">
        <v>173</v>
      </c>
    </row>
    <row r="31" spans="2:9" ht="45" hidden="1" x14ac:dyDescent="0.2">
      <c r="B31" s="178" t="s">
        <v>0</v>
      </c>
      <c r="C31" s="186" t="s">
        <v>170</v>
      </c>
      <c r="D31" s="179" t="s">
        <v>127</v>
      </c>
      <c r="E31" s="178" t="s">
        <v>72</v>
      </c>
      <c r="F31" s="293" t="s">
        <v>40</v>
      </c>
      <c r="G31" s="294"/>
      <c r="H31" s="180" t="s">
        <v>91</v>
      </c>
    </row>
    <row r="32" spans="2:9" ht="30" hidden="1" x14ac:dyDescent="0.2">
      <c r="B32" s="94" t="s">
        <v>114</v>
      </c>
      <c r="C32" s="181"/>
      <c r="D32" s="181"/>
      <c r="E32" s="182">
        <v>0.06</v>
      </c>
      <c r="F32" s="182">
        <f>+D32-E32</f>
        <v>-0.06</v>
      </c>
      <c r="G32" s="182">
        <f>+D32+E32</f>
        <v>0.06</v>
      </c>
      <c r="H32" s="59" t="s">
        <v>166</v>
      </c>
    </row>
    <row r="33" spans="1:8" ht="45" hidden="1" x14ac:dyDescent="0.2">
      <c r="B33" s="183" t="s">
        <v>167</v>
      </c>
      <c r="C33" s="181"/>
      <c r="D33" s="181"/>
      <c r="E33" s="182">
        <v>0.05</v>
      </c>
      <c r="F33" s="182">
        <f>+D33-E33</f>
        <v>-0.05</v>
      </c>
      <c r="G33" s="182">
        <f>+D33+E33</f>
        <v>0.05</v>
      </c>
      <c r="H33" s="59" t="s">
        <v>4</v>
      </c>
    </row>
    <row r="34" spans="1:8" ht="60" hidden="1" x14ac:dyDescent="0.2">
      <c r="B34" s="94" t="s">
        <v>41</v>
      </c>
      <c r="C34" s="181"/>
      <c r="D34" s="181"/>
      <c r="E34" s="182">
        <v>0.06</v>
      </c>
      <c r="F34" s="182">
        <f>+D34-E34</f>
        <v>-0.06</v>
      </c>
      <c r="G34" s="182">
        <f>+D34+E34</f>
        <v>0.06</v>
      </c>
      <c r="H34" s="184" t="s">
        <v>90</v>
      </c>
    </row>
    <row r="35" spans="1:8" ht="15" hidden="1" x14ac:dyDescent="0.2">
      <c r="B35" s="94" t="s">
        <v>47</v>
      </c>
      <c r="C35" s="181"/>
      <c r="D35" s="181"/>
      <c r="E35" s="182"/>
      <c r="F35" s="182"/>
      <c r="G35" s="182"/>
      <c r="H35" s="59"/>
    </row>
    <row r="36" spans="1:8" ht="15" hidden="1" x14ac:dyDescent="0.2">
      <c r="B36" s="94" t="s">
        <v>8</v>
      </c>
      <c r="C36" s="181">
        <f>SUM(C32:C35)</f>
        <v>0</v>
      </c>
      <c r="D36" s="181">
        <f>SUM(D32:D35)</f>
        <v>0</v>
      </c>
      <c r="E36" s="182"/>
      <c r="F36" s="182"/>
      <c r="G36" s="182"/>
      <c r="H36" s="59"/>
    </row>
    <row r="37" spans="1:8" ht="15" hidden="1" x14ac:dyDescent="0.2">
      <c r="B37" s="94" t="s">
        <v>9</v>
      </c>
      <c r="C37" s="181"/>
      <c r="D37" s="181"/>
      <c r="E37" s="185">
        <v>0.06</v>
      </c>
      <c r="F37" s="182">
        <f>+D37-E37</f>
        <v>-0.06</v>
      </c>
      <c r="G37" s="182">
        <f>+D37+E37</f>
        <v>0.06</v>
      </c>
      <c r="H37" s="59"/>
    </row>
    <row r="38" spans="1:8" ht="30" hidden="1" x14ac:dyDescent="0.2">
      <c r="B38" s="160" t="s">
        <v>160</v>
      </c>
      <c r="C38" s="163"/>
      <c r="D38" s="163">
        <v>5.0000000000000001E-4</v>
      </c>
    </row>
    <row r="39" spans="1:8" x14ac:dyDescent="0.2">
      <c r="A39" s="253" t="s">
        <v>263</v>
      </c>
      <c r="B39" s="253"/>
      <c r="C39" s="253"/>
      <c r="D39" s="253"/>
      <c r="E39" s="253"/>
      <c r="F39" s="253"/>
      <c r="G39" s="253"/>
      <c r="H39" s="253"/>
    </row>
  </sheetData>
  <mergeCells count="14">
    <mergeCell ref="A4:A13"/>
    <mergeCell ref="B14:H14"/>
    <mergeCell ref="I4:I13"/>
    <mergeCell ref="A39:H39"/>
    <mergeCell ref="B1:H2"/>
    <mergeCell ref="F6:G6"/>
    <mergeCell ref="F18:G18"/>
    <mergeCell ref="F31:G31"/>
    <mergeCell ref="B4:H4"/>
    <mergeCell ref="B17:H17"/>
    <mergeCell ref="B30:H30"/>
    <mergeCell ref="C13:H13"/>
    <mergeCell ref="B5:H5"/>
    <mergeCell ref="B3:H3"/>
  </mergeCells>
  <pageMargins left="0.27" right="0.26" top="0.31" bottom="0.33" header="0.31496062992125984" footer="0.25"/>
  <pageSetup paperSize="9" scale="6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pageSetUpPr fitToPage="1"/>
  </sheetPr>
  <dimension ref="A1:J50"/>
  <sheetViews>
    <sheetView showGridLines="0" rightToLeft="1" topLeftCell="A19" zoomScale="80" zoomScaleNormal="80" workbookViewId="0">
      <selection activeCell="A50" sqref="A50:H50"/>
    </sheetView>
  </sheetViews>
  <sheetFormatPr defaultColWidth="8" defaultRowHeight="14.25" x14ac:dyDescent="0.2"/>
  <cols>
    <col min="1" max="1" width="7.375" style="71" customWidth="1"/>
    <col min="2" max="2" width="23" style="71" customWidth="1"/>
    <col min="3" max="4" width="16.75" style="71" bestFit="1" customWidth="1"/>
    <col min="5" max="6" width="13.875" style="71" customWidth="1"/>
    <col min="7" max="7" width="25.625" style="71" customWidth="1"/>
    <col min="8" max="8" width="18.375" style="71" bestFit="1" customWidth="1"/>
    <col min="9" max="9" width="48.625" style="71" customWidth="1"/>
    <col min="10" max="10" width="30" style="71" bestFit="1" customWidth="1"/>
    <col min="11" max="16384" width="8" style="71"/>
  </cols>
  <sheetData>
    <row r="1" spans="1:9" x14ac:dyDescent="0.2">
      <c r="B1" s="251" t="str">
        <f>'קרן י'!B1</f>
        <v>מדיניות השקעה לשנת 2024</v>
      </c>
      <c r="C1" s="251"/>
      <c r="D1" s="251"/>
      <c r="E1" s="251"/>
      <c r="F1" s="251"/>
      <c r="G1" s="251"/>
      <c r="H1" s="251"/>
    </row>
    <row r="2" spans="1:9" x14ac:dyDescent="0.2">
      <c r="B2" s="251"/>
      <c r="C2" s="251"/>
      <c r="D2" s="251"/>
      <c r="E2" s="251"/>
      <c r="F2" s="251"/>
      <c r="G2" s="251"/>
      <c r="H2" s="251"/>
    </row>
    <row r="3" spans="1:9" ht="18" x14ac:dyDescent="0.2">
      <c r="B3" s="268" t="s">
        <v>259</v>
      </c>
      <c r="C3" s="268"/>
      <c r="D3" s="268"/>
      <c r="E3" s="268"/>
      <c r="F3" s="268"/>
      <c r="G3" s="268"/>
      <c r="H3" s="268"/>
    </row>
    <row r="4" spans="1:9" ht="18" customHeight="1" x14ac:dyDescent="0.2">
      <c r="A4" s="253" t="s">
        <v>260</v>
      </c>
      <c r="B4" s="225" t="s">
        <v>234</v>
      </c>
      <c r="C4" s="226"/>
      <c r="D4" s="226"/>
      <c r="E4" s="226"/>
      <c r="F4" s="226"/>
      <c r="G4" s="226"/>
      <c r="H4" s="226"/>
      <c r="I4" s="254" t="s">
        <v>262</v>
      </c>
    </row>
    <row r="5" spans="1:9" ht="18.75" customHeight="1" thickBot="1" x14ac:dyDescent="0.25">
      <c r="A5" s="253"/>
      <c r="B5" s="228" t="s">
        <v>213</v>
      </c>
      <c r="C5" s="229"/>
      <c r="D5" s="229"/>
      <c r="E5" s="229"/>
      <c r="F5" s="229"/>
      <c r="G5" s="229"/>
      <c r="H5" s="229"/>
      <c r="I5" s="254"/>
    </row>
    <row r="6" spans="1:9" ht="45" x14ac:dyDescent="0.2">
      <c r="A6" s="253"/>
      <c r="B6" s="140" t="s">
        <v>0</v>
      </c>
      <c r="C6" s="36" t="s">
        <v>251</v>
      </c>
      <c r="D6" s="186" t="s">
        <v>252</v>
      </c>
      <c r="E6" s="141" t="s">
        <v>136</v>
      </c>
      <c r="F6" s="230" t="s">
        <v>40</v>
      </c>
      <c r="G6" s="231"/>
      <c r="H6" s="143" t="s">
        <v>138</v>
      </c>
      <c r="I6" s="254"/>
    </row>
    <row r="7" spans="1:9" ht="30" x14ac:dyDescent="0.2">
      <c r="A7" s="253"/>
      <c r="B7" s="144" t="s">
        <v>114</v>
      </c>
      <c r="C7" s="145">
        <v>0.5</v>
      </c>
      <c r="D7" s="145">
        <v>0.5</v>
      </c>
      <c r="E7" s="145">
        <v>0.06</v>
      </c>
      <c r="F7" s="145">
        <f>+C7-E7</f>
        <v>0.44</v>
      </c>
      <c r="G7" s="145">
        <f>+C7+E7</f>
        <v>0.56000000000000005</v>
      </c>
      <c r="H7" s="146" t="s">
        <v>239</v>
      </c>
      <c r="I7" s="254"/>
    </row>
    <row r="8" spans="1:9" ht="60" x14ac:dyDescent="0.2">
      <c r="A8" s="253"/>
      <c r="B8" s="144" t="s">
        <v>139</v>
      </c>
      <c r="C8" s="145">
        <v>0.09</v>
      </c>
      <c r="D8" s="145">
        <v>0.08</v>
      </c>
      <c r="E8" s="145">
        <v>0.05</v>
      </c>
      <c r="F8" s="145">
        <f t="shared" ref="F8:F9" si="0">+C8-E8</f>
        <v>3.9999999999999994E-2</v>
      </c>
      <c r="G8" s="145">
        <f t="shared" ref="G8:G9" si="1">+C8+E8</f>
        <v>0.14000000000000001</v>
      </c>
      <c r="H8" s="146" t="s">
        <v>224</v>
      </c>
      <c r="I8" s="254"/>
    </row>
    <row r="9" spans="1:9" ht="75" x14ac:dyDescent="0.2">
      <c r="A9" s="253"/>
      <c r="B9" s="144" t="s">
        <v>116</v>
      </c>
      <c r="C9" s="145">
        <v>0.37</v>
      </c>
      <c r="D9" s="145">
        <v>0.39</v>
      </c>
      <c r="E9" s="145">
        <v>0.06</v>
      </c>
      <c r="F9" s="145">
        <f t="shared" si="0"/>
        <v>0.31</v>
      </c>
      <c r="G9" s="145">
        <f t="shared" si="1"/>
        <v>0.43</v>
      </c>
      <c r="H9" s="147" t="s">
        <v>220</v>
      </c>
      <c r="I9" s="254"/>
    </row>
    <row r="10" spans="1:9" ht="15" x14ac:dyDescent="0.2">
      <c r="A10" s="253"/>
      <c r="B10" s="144" t="s">
        <v>47</v>
      </c>
      <c r="C10" s="145">
        <v>0.04</v>
      </c>
      <c r="D10" s="145">
        <v>0.03</v>
      </c>
      <c r="E10" s="145"/>
      <c r="F10" s="145"/>
      <c r="G10" s="145"/>
      <c r="H10" s="148"/>
      <c r="I10" s="254"/>
    </row>
    <row r="11" spans="1:9" ht="15" x14ac:dyDescent="0.2">
      <c r="A11" s="253"/>
      <c r="B11" s="144" t="s">
        <v>8</v>
      </c>
      <c r="C11" s="145">
        <f>SUM(C7:C10)</f>
        <v>1</v>
      </c>
      <c r="D11" s="145">
        <f>SUM(D7:D10)</f>
        <v>1</v>
      </c>
      <c r="E11" s="145"/>
      <c r="F11" s="145"/>
      <c r="G11" s="145"/>
      <c r="H11" s="148"/>
      <c r="I11" s="254"/>
    </row>
    <row r="12" spans="1:9" ht="15.75" thickBot="1" x14ac:dyDescent="0.25">
      <c r="A12" s="253"/>
      <c r="B12" s="149" t="s">
        <v>9</v>
      </c>
      <c r="C12" s="150">
        <v>0.95</v>
      </c>
      <c r="D12" s="150">
        <v>0.24</v>
      </c>
      <c r="E12" s="150">
        <v>0.06</v>
      </c>
      <c r="F12" s="150">
        <f>IF(C12-E12&gt;0,C12-E12,0)</f>
        <v>0.8899999999999999</v>
      </c>
      <c r="G12" s="150">
        <f>C12+E12</f>
        <v>1.01</v>
      </c>
      <c r="H12" s="151"/>
      <c r="I12" s="254"/>
    </row>
    <row r="13" spans="1:9" ht="30" x14ac:dyDescent="0.2">
      <c r="A13" s="253"/>
      <c r="B13" s="160" t="s">
        <v>160</v>
      </c>
      <c r="C13" s="227">
        <v>1E-3</v>
      </c>
      <c r="D13" s="227"/>
      <c r="E13" s="227"/>
      <c r="F13" s="227"/>
      <c r="G13" s="227"/>
      <c r="H13" s="227"/>
      <c r="I13" s="254"/>
    </row>
    <row r="14" spans="1:9" x14ac:dyDescent="0.2">
      <c r="B14" s="253" t="s">
        <v>261</v>
      </c>
      <c r="C14" s="253"/>
      <c r="D14" s="253"/>
      <c r="E14" s="253"/>
      <c r="F14" s="253"/>
      <c r="G14" s="253"/>
      <c r="H14" s="253"/>
    </row>
    <row r="15" spans="1:9" x14ac:dyDescent="0.2">
      <c r="B15" s="253" t="s">
        <v>259</v>
      </c>
      <c r="C15" s="253"/>
      <c r="D15" s="253"/>
      <c r="E15" s="253"/>
      <c r="F15" s="253"/>
      <c r="G15" s="253"/>
      <c r="H15" s="253"/>
    </row>
    <row r="16" spans="1:9" ht="18" customHeight="1" x14ac:dyDescent="0.2">
      <c r="A16" s="253" t="s">
        <v>260</v>
      </c>
      <c r="B16" s="225" t="s">
        <v>247</v>
      </c>
      <c r="C16" s="226"/>
      <c r="D16" s="226"/>
      <c r="E16" s="226"/>
      <c r="F16" s="226"/>
      <c r="G16" s="226"/>
      <c r="H16" s="226"/>
      <c r="I16" s="254" t="s">
        <v>262</v>
      </c>
    </row>
    <row r="17" spans="1:10" ht="18.75" customHeight="1" thickBot="1" x14ac:dyDescent="0.25">
      <c r="A17" s="253"/>
      <c r="B17" s="228" t="s">
        <v>188</v>
      </c>
      <c r="C17" s="229"/>
      <c r="D17" s="229"/>
      <c r="E17" s="229"/>
      <c r="F17" s="229"/>
      <c r="G17" s="229"/>
      <c r="H17" s="229"/>
      <c r="I17" s="254"/>
    </row>
    <row r="18" spans="1:10" ht="45" x14ac:dyDescent="0.2">
      <c r="A18" s="253"/>
      <c r="B18" s="140" t="s">
        <v>0</v>
      </c>
      <c r="C18" s="36" t="s">
        <v>251</v>
      </c>
      <c r="D18" s="186" t="s">
        <v>252</v>
      </c>
      <c r="E18" s="141" t="s">
        <v>136</v>
      </c>
      <c r="F18" s="242" t="s">
        <v>40</v>
      </c>
      <c r="G18" s="243"/>
      <c r="H18" s="143" t="s">
        <v>138</v>
      </c>
      <c r="I18" s="254"/>
    </row>
    <row r="19" spans="1:10" ht="30" x14ac:dyDescent="0.2">
      <c r="A19" s="253"/>
      <c r="B19" s="144" t="s">
        <v>114</v>
      </c>
      <c r="C19" s="145">
        <v>0.94</v>
      </c>
      <c r="D19" s="145">
        <v>0.94</v>
      </c>
      <c r="E19" s="145">
        <v>0.06</v>
      </c>
      <c r="F19" s="145">
        <f>+C19-E19</f>
        <v>0.87999999999999989</v>
      </c>
      <c r="G19" s="145">
        <f>+C19+E19</f>
        <v>1</v>
      </c>
      <c r="H19" s="146" t="s">
        <v>150</v>
      </c>
      <c r="I19" s="254"/>
    </row>
    <row r="20" spans="1:10" ht="15" x14ac:dyDescent="0.2">
      <c r="A20" s="253"/>
      <c r="B20" s="144" t="s">
        <v>47</v>
      </c>
      <c r="C20" s="145">
        <v>0.06</v>
      </c>
      <c r="D20" s="145">
        <v>0.06</v>
      </c>
      <c r="E20" s="145"/>
      <c r="F20" s="145">
        <f>+C20-E20</f>
        <v>0.06</v>
      </c>
      <c r="G20" s="145">
        <f>+C20+E20</f>
        <v>0.06</v>
      </c>
      <c r="H20" s="148"/>
      <c r="I20" s="254"/>
    </row>
    <row r="21" spans="1:10" ht="15" x14ac:dyDescent="0.2">
      <c r="A21" s="253"/>
      <c r="B21" s="144" t="s">
        <v>8</v>
      </c>
      <c r="C21" s="145">
        <f>SUM(C19:C20)</f>
        <v>1</v>
      </c>
      <c r="D21" s="145">
        <f>SUM(D19:D20)</f>
        <v>1</v>
      </c>
      <c r="E21" s="145"/>
      <c r="F21" s="145"/>
      <c r="G21" s="145"/>
      <c r="H21" s="148"/>
      <c r="I21" s="254"/>
    </row>
    <row r="22" spans="1:10" ht="15.75" thickBot="1" x14ac:dyDescent="0.25">
      <c r="A22" s="253"/>
      <c r="B22" s="149" t="s">
        <v>9</v>
      </c>
      <c r="C22" s="150">
        <v>0.94</v>
      </c>
      <c r="D22" s="150">
        <v>0.96</v>
      </c>
      <c r="E22" s="150">
        <v>0.06</v>
      </c>
      <c r="F22" s="150">
        <f>IF(C22-E22&gt;0,C22-E22,0)</f>
        <v>0.87999999999999989</v>
      </c>
      <c r="G22" s="150">
        <f>C22+E22</f>
        <v>1</v>
      </c>
      <c r="H22" s="151"/>
      <c r="I22" s="254"/>
    </row>
    <row r="23" spans="1:10" ht="30" x14ac:dyDescent="0.2">
      <c r="A23" s="253"/>
      <c r="B23" s="160" t="s">
        <v>160</v>
      </c>
      <c r="C23" s="227">
        <v>5.0000000000000001E-4</v>
      </c>
      <c r="D23" s="227"/>
      <c r="E23" s="227"/>
      <c r="F23" s="227"/>
      <c r="G23" s="227"/>
      <c r="H23" s="227"/>
      <c r="I23" s="254"/>
    </row>
    <row r="24" spans="1:10" x14ac:dyDescent="0.2">
      <c r="B24" s="253" t="s">
        <v>261</v>
      </c>
      <c r="C24" s="253"/>
      <c r="D24" s="253"/>
      <c r="E24" s="253"/>
      <c r="F24" s="253"/>
      <c r="G24" s="253"/>
      <c r="H24" s="253"/>
    </row>
    <row r="25" spans="1:10" ht="14.25" hidden="1" customHeight="1" x14ac:dyDescent="0.25">
      <c r="B25" s="225" t="s">
        <v>192</v>
      </c>
      <c r="C25" s="226"/>
      <c r="D25" s="226"/>
      <c r="E25" s="226"/>
      <c r="F25" s="226"/>
      <c r="G25" s="226"/>
      <c r="H25" s="226"/>
      <c r="I25" s="226"/>
      <c r="J25" s="192" t="s">
        <v>190</v>
      </c>
    </row>
    <row r="26" spans="1:10" ht="18.75" hidden="1" thickBot="1" x14ac:dyDescent="0.3">
      <c r="B26" s="225" t="s">
        <v>190</v>
      </c>
      <c r="C26" s="226"/>
      <c r="D26" s="226"/>
      <c r="E26" s="226"/>
      <c r="F26" s="226"/>
      <c r="G26" s="226"/>
      <c r="H26" s="226"/>
      <c r="I26" s="226"/>
      <c r="J26" s="192" t="s">
        <v>191</v>
      </c>
    </row>
    <row r="27" spans="1:10" ht="45" hidden="1" x14ac:dyDescent="0.25">
      <c r="B27" s="140" t="s">
        <v>0</v>
      </c>
      <c r="C27" s="186" t="s">
        <v>169</v>
      </c>
      <c r="D27" s="186" t="s">
        <v>170</v>
      </c>
      <c r="E27" s="142" t="s">
        <v>127</v>
      </c>
      <c r="F27" s="141" t="s">
        <v>136</v>
      </c>
      <c r="G27" s="230" t="s">
        <v>40</v>
      </c>
      <c r="H27" s="231"/>
      <c r="I27" s="143" t="s">
        <v>138</v>
      </c>
      <c r="J27" s="192" t="s">
        <v>181</v>
      </c>
    </row>
    <row r="28" spans="1:10" ht="30" hidden="1" x14ac:dyDescent="0.2">
      <c r="B28" s="144" t="s">
        <v>114</v>
      </c>
      <c r="C28" s="188">
        <v>0</v>
      </c>
      <c r="D28" s="145">
        <v>0</v>
      </c>
      <c r="E28" s="145">
        <v>0</v>
      </c>
      <c r="F28" s="145">
        <v>0.05</v>
      </c>
      <c r="G28" s="145">
        <v>0</v>
      </c>
      <c r="H28" s="145">
        <f t="shared" ref="H28:H32" si="2">+E28+F28</f>
        <v>0.05</v>
      </c>
      <c r="I28" s="146"/>
    </row>
    <row r="29" spans="1:10" ht="60" hidden="1" x14ac:dyDescent="0.2">
      <c r="B29" s="144" t="s">
        <v>139</v>
      </c>
      <c r="C29" s="188">
        <v>7.2300000000000003E-2</v>
      </c>
      <c r="D29" s="145">
        <v>0.08</v>
      </c>
      <c r="E29" s="145">
        <v>0.08</v>
      </c>
      <c r="F29" s="145">
        <v>0.05</v>
      </c>
      <c r="G29" s="145">
        <v>0</v>
      </c>
      <c r="H29" s="145">
        <f t="shared" si="2"/>
        <v>0.13</v>
      </c>
      <c r="I29" s="146"/>
    </row>
    <row r="30" spans="1:10" ht="30" hidden="1" x14ac:dyDescent="0.2">
      <c r="B30" s="144" t="s">
        <v>116</v>
      </c>
      <c r="C30" s="188">
        <v>0.89319999999999999</v>
      </c>
      <c r="D30" s="145">
        <v>0.89</v>
      </c>
      <c r="E30" s="145">
        <v>0.89</v>
      </c>
      <c r="F30" s="145">
        <v>0.05</v>
      </c>
      <c r="G30" s="145">
        <v>0</v>
      </c>
      <c r="H30" s="145">
        <f t="shared" si="2"/>
        <v>0.94000000000000006</v>
      </c>
      <c r="I30" s="147"/>
    </row>
    <row r="31" spans="1:10" ht="15" hidden="1" x14ac:dyDescent="0.2">
      <c r="B31" s="144" t="s">
        <v>47</v>
      </c>
      <c r="C31" s="188">
        <v>3.4599999999999999E-2</v>
      </c>
      <c r="D31" s="145">
        <v>0.03</v>
      </c>
      <c r="E31" s="145">
        <v>0.03</v>
      </c>
      <c r="F31" s="145">
        <v>0.05</v>
      </c>
      <c r="G31" s="145">
        <v>0</v>
      </c>
      <c r="H31" s="145">
        <f t="shared" si="2"/>
        <v>0.08</v>
      </c>
      <c r="I31" s="148"/>
    </row>
    <row r="32" spans="1:10" ht="15" hidden="1" x14ac:dyDescent="0.2">
      <c r="B32" s="144" t="s">
        <v>8</v>
      </c>
      <c r="C32" s="188">
        <f>SUM(C28:C31)</f>
        <v>1.0001</v>
      </c>
      <c r="D32" s="145">
        <f>SUM(D28:D31)</f>
        <v>1</v>
      </c>
      <c r="E32" s="145">
        <f>SUM(E28:E31)</f>
        <v>1</v>
      </c>
      <c r="F32" s="145">
        <v>0.05</v>
      </c>
      <c r="G32" s="145">
        <v>0</v>
      </c>
      <c r="H32" s="145">
        <f t="shared" si="2"/>
        <v>1.05</v>
      </c>
      <c r="I32" s="148"/>
    </row>
    <row r="33" spans="1:9" ht="15.75" hidden="1" thickBot="1" x14ac:dyDescent="0.25">
      <c r="B33" s="149" t="s">
        <v>9</v>
      </c>
      <c r="C33" s="190">
        <v>0.95940000000000003</v>
      </c>
      <c r="D33" s="198">
        <v>0.94</v>
      </c>
      <c r="E33" s="150">
        <v>0.96</v>
      </c>
      <c r="F33" s="145">
        <v>0.05</v>
      </c>
      <c r="G33" s="40">
        <f t="shared" ref="G33" si="3">IF(E33-F33&gt;0,E33-F33,0)</f>
        <v>0.90999999999999992</v>
      </c>
      <c r="H33" s="40">
        <f t="shared" ref="H33" si="4">E33+F33</f>
        <v>1.01</v>
      </c>
      <c r="I33" s="151"/>
    </row>
    <row r="34" spans="1:9" ht="30" hidden="1" x14ac:dyDescent="0.2">
      <c r="B34" s="160" t="s">
        <v>160</v>
      </c>
      <c r="C34" s="160"/>
      <c r="D34" s="160"/>
      <c r="E34" s="163">
        <v>2E-3</v>
      </c>
    </row>
    <row r="37" spans="1:9" x14ac:dyDescent="0.2">
      <c r="B37" s="253" t="s">
        <v>259</v>
      </c>
      <c r="C37" s="253"/>
      <c r="D37" s="253"/>
      <c r="E37" s="253"/>
      <c r="F37" s="253"/>
      <c r="G37" s="253"/>
    </row>
    <row r="38" spans="1:9" ht="18" customHeight="1" x14ac:dyDescent="0.2">
      <c r="A38" s="253" t="s">
        <v>260</v>
      </c>
      <c r="B38" s="225" t="s">
        <v>248</v>
      </c>
      <c r="C38" s="226"/>
      <c r="D38" s="226"/>
      <c r="E38" s="226"/>
      <c r="F38" s="226"/>
      <c r="G38" s="226"/>
      <c r="H38" s="254" t="s">
        <v>262</v>
      </c>
    </row>
    <row r="39" spans="1:9" ht="18.75" customHeight="1" thickBot="1" x14ac:dyDescent="0.25">
      <c r="A39" s="253"/>
      <c r="B39" s="228" t="s">
        <v>238</v>
      </c>
      <c r="C39" s="229"/>
      <c r="D39" s="229"/>
      <c r="E39" s="229"/>
      <c r="F39" s="229"/>
      <c r="G39" s="229"/>
      <c r="H39" s="254"/>
    </row>
    <row r="40" spans="1:9" ht="45" x14ac:dyDescent="0.2">
      <c r="A40" s="253"/>
      <c r="B40" s="140" t="s">
        <v>0</v>
      </c>
      <c r="C40" s="36" t="s">
        <v>251</v>
      </c>
      <c r="D40" s="141" t="s">
        <v>136</v>
      </c>
      <c r="E40" s="230" t="s">
        <v>40</v>
      </c>
      <c r="F40" s="231"/>
      <c r="G40" s="143" t="s">
        <v>138</v>
      </c>
      <c r="H40" s="254"/>
    </row>
    <row r="41" spans="1:9" ht="45" x14ac:dyDescent="0.2">
      <c r="A41" s="253"/>
      <c r="B41" s="144" t="s">
        <v>114</v>
      </c>
      <c r="C41" s="145">
        <v>0.94</v>
      </c>
      <c r="D41" s="145">
        <v>0.06</v>
      </c>
      <c r="E41" s="145">
        <f>+C41-D41</f>
        <v>0.87999999999999989</v>
      </c>
      <c r="F41" s="145">
        <f>+C41+D41</f>
        <v>1</v>
      </c>
      <c r="G41" s="146" t="s">
        <v>219</v>
      </c>
      <c r="H41" s="254"/>
    </row>
    <row r="42" spans="1:9" ht="15" x14ac:dyDescent="0.2">
      <c r="A42" s="253"/>
      <c r="B42" s="144" t="s">
        <v>47</v>
      </c>
      <c r="C42" s="145">
        <v>0.06</v>
      </c>
      <c r="D42" s="145"/>
      <c r="E42" s="145">
        <f>+C42-D42</f>
        <v>0.06</v>
      </c>
      <c r="F42" s="145">
        <f>+C42+D42</f>
        <v>0.06</v>
      </c>
      <c r="G42" s="148"/>
      <c r="H42" s="254"/>
    </row>
    <row r="43" spans="1:9" ht="15" x14ac:dyDescent="0.2">
      <c r="A43" s="253"/>
      <c r="B43" s="144" t="s">
        <v>8</v>
      </c>
      <c r="C43" s="145">
        <f>SUM(C41:C42)</f>
        <v>1</v>
      </c>
      <c r="D43" s="145"/>
      <c r="E43" s="145"/>
      <c r="F43" s="145"/>
      <c r="G43" s="148"/>
      <c r="H43" s="254"/>
    </row>
    <row r="44" spans="1:9" ht="15.75" thickBot="1" x14ac:dyDescent="0.25">
      <c r="A44" s="253"/>
      <c r="B44" s="149" t="s">
        <v>9</v>
      </c>
      <c r="C44" s="150">
        <v>0.95</v>
      </c>
      <c r="D44" s="150">
        <v>0.05</v>
      </c>
      <c r="E44" s="150">
        <f t="shared" ref="E44" si="5">IF(C44-D44&gt;0,C44-D44,0)</f>
        <v>0.89999999999999991</v>
      </c>
      <c r="F44" s="150">
        <f t="shared" ref="F44" si="6">C44+D44</f>
        <v>1</v>
      </c>
      <c r="G44" s="151"/>
      <c r="H44" s="254"/>
    </row>
    <row r="45" spans="1:9" ht="30" x14ac:dyDescent="0.2">
      <c r="A45" s="253"/>
      <c r="B45" s="160" t="s">
        <v>160</v>
      </c>
      <c r="C45" s="227">
        <v>8.0000000000000004E-4</v>
      </c>
      <c r="D45" s="227"/>
      <c r="E45" s="227"/>
      <c r="F45" s="227"/>
      <c r="G45" s="227"/>
      <c r="H45" s="254"/>
    </row>
    <row r="46" spans="1:9" x14ac:dyDescent="0.2">
      <c r="B46" s="253" t="s">
        <v>264</v>
      </c>
      <c r="C46" s="253"/>
      <c r="D46" s="253"/>
      <c r="E46" s="253"/>
      <c r="F46" s="253"/>
      <c r="G46" s="253"/>
    </row>
    <row r="48" spans="1:9" x14ac:dyDescent="0.2">
      <c r="B48" s="34" t="s">
        <v>46</v>
      </c>
    </row>
    <row r="49" spans="1:8" x14ac:dyDescent="0.2">
      <c r="B49" s="34" t="s">
        <v>89</v>
      </c>
    </row>
    <row r="50" spans="1:8" x14ac:dyDescent="0.2">
      <c r="A50" s="253" t="s">
        <v>263</v>
      </c>
      <c r="B50" s="253"/>
      <c r="C50" s="253"/>
      <c r="D50" s="253"/>
      <c r="E50" s="253"/>
      <c r="F50" s="253"/>
      <c r="G50" s="253"/>
      <c r="H50" s="253"/>
    </row>
  </sheetData>
  <mergeCells count="29">
    <mergeCell ref="B1:H2"/>
    <mergeCell ref="B4:H4"/>
    <mergeCell ref="F6:G6"/>
    <mergeCell ref="B5:H5"/>
    <mergeCell ref="C13:H13"/>
    <mergeCell ref="B3:H3"/>
    <mergeCell ref="A4:A13"/>
    <mergeCell ref="B14:H14"/>
    <mergeCell ref="I4:I13"/>
    <mergeCell ref="A16:A23"/>
    <mergeCell ref="B24:H24"/>
    <mergeCell ref="I16:I23"/>
    <mergeCell ref="B16:H16"/>
    <mergeCell ref="B17:H17"/>
    <mergeCell ref="F18:G18"/>
    <mergeCell ref="C23:H23"/>
    <mergeCell ref="A38:A45"/>
    <mergeCell ref="B46:G46"/>
    <mergeCell ref="H38:H45"/>
    <mergeCell ref="A50:H50"/>
    <mergeCell ref="B15:H15"/>
    <mergeCell ref="B37:G37"/>
    <mergeCell ref="C45:G45"/>
    <mergeCell ref="E40:F40"/>
    <mergeCell ref="G27:H27"/>
    <mergeCell ref="B25:I25"/>
    <mergeCell ref="B26:I26"/>
    <mergeCell ref="B38:G38"/>
    <mergeCell ref="B39:G39"/>
  </mergeCells>
  <pageMargins left="0.27" right="0.26" top="0.31" bottom="0.33" header="0.31496062992125984" footer="0.25"/>
  <pageSetup paperSize="9" scale="65"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pageSetUpPr fitToPage="1"/>
  </sheetPr>
  <dimension ref="A1:I16"/>
  <sheetViews>
    <sheetView showGridLines="0" rightToLeft="1" zoomScaleNormal="100" zoomScaleSheetLayoutView="100" workbookViewId="0">
      <selection activeCell="A16" sqref="A16:H16"/>
    </sheetView>
  </sheetViews>
  <sheetFormatPr defaultRowHeight="14.25" x14ac:dyDescent="0.2"/>
  <cols>
    <col min="2" max="2" width="38.125" customWidth="1"/>
    <col min="3" max="4" width="12.125" customWidth="1"/>
    <col min="5" max="5" width="9.25" customWidth="1"/>
    <col min="6" max="6" width="41.875" customWidth="1"/>
    <col min="7" max="7" width="9.25" customWidth="1"/>
    <col min="8" max="8" width="36.5" customWidth="1"/>
  </cols>
  <sheetData>
    <row r="1" spans="1:9" ht="27.6" customHeight="1" x14ac:dyDescent="0.2">
      <c r="B1" s="283" t="str">
        <f>'קרן י'!B1</f>
        <v>מדיניות השקעה לשנת 2024</v>
      </c>
      <c r="C1" s="298"/>
      <c r="D1" s="298"/>
      <c r="E1" s="298"/>
      <c r="F1" s="298"/>
      <c r="G1" s="298"/>
      <c r="H1" s="298"/>
    </row>
    <row r="2" spans="1:9" ht="27.6" customHeight="1" x14ac:dyDescent="0.2">
      <c r="B2" s="286" t="s">
        <v>259</v>
      </c>
      <c r="C2" s="286"/>
      <c r="D2" s="286"/>
      <c r="E2" s="286"/>
      <c r="F2" s="286"/>
      <c r="G2" s="286"/>
      <c r="H2" s="286"/>
    </row>
    <row r="3" spans="1:9" ht="18" x14ac:dyDescent="0.2">
      <c r="A3" s="213" t="s">
        <v>260</v>
      </c>
      <c r="B3" s="278" t="s">
        <v>250</v>
      </c>
      <c r="C3" s="226"/>
      <c r="D3" s="226"/>
      <c r="E3" s="226"/>
      <c r="F3" s="226"/>
      <c r="G3" s="226"/>
      <c r="H3" s="226"/>
      <c r="I3" s="213" t="s">
        <v>269</v>
      </c>
    </row>
    <row r="4" spans="1:9" ht="18.75" thickBot="1" x14ac:dyDescent="0.25">
      <c r="A4" s="213"/>
      <c r="B4" s="278" t="s">
        <v>254</v>
      </c>
      <c r="C4" s="226"/>
      <c r="D4" s="226"/>
      <c r="E4" s="226"/>
      <c r="F4" s="226"/>
      <c r="G4" s="226"/>
      <c r="H4" s="226"/>
      <c r="I4" s="213"/>
    </row>
    <row r="5" spans="1:9" ht="60" x14ac:dyDescent="0.2">
      <c r="A5" s="213"/>
      <c r="B5" s="35" t="s">
        <v>0</v>
      </c>
      <c r="C5" s="36" t="s">
        <v>251</v>
      </c>
      <c r="D5" s="186" t="s">
        <v>252</v>
      </c>
      <c r="E5" s="35" t="s">
        <v>72</v>
      </c>
      <c r="F5" s="215" t="s">
        <v>40</v>
      </c>
      <c r="G5" s="237"/>
      <c r="H5" s="35" t="s">
        <v>91</v>
      </c>
      <c r="I5" s="213"/>
    </row>
    <row r="6" spans="1:9" ht="49.9" customHeight="1" x14ac:dyDescent="0.2">
      <c r="A6" s="213"/>
      <c r="B6" s="37" t="s">
        <v>6</v>
      </c>
      <c r="C6" s="38">
        <v>0.46</v>
      </c>
      <c r="D6" s="38">
        <v>0.46</v>
      </c>
      <c r="E6" s="40">
        <v>0.06</v>
      </c>
      <c r="F6" s="40">
        <f>IF(C6-E6&gt;0,C6-E6,0)</f>
        <v>0.4</v>
      </c>
      <c r="G6" s="40">
        <f>C6+E6</f>
        <v>0.52</v>
      </c>
      <c r="H6" s="41" t="s">
        <v>102</v>
      </c>
      <c r="I6" s="213"/>
    </row>
    <row r="7" spans="1:9" ht="30" x14ac:dyDescent="0.2">
      <c r="A7" s="213"/>
      <c r="B7" s="37" t="s">
        <v>73</v>
      </c>
      <c r="C7" s="38">
        <v>0.19</v>
      </c>
      <c r="D7" s="38">
        <v>0.19</v>
      </c>
      <c r="E7" s="40">
        <v>0.05</v>
      </c>
      <c r="F7" s="40">
        <f>IF(C7-E7&gt;0,C7-E7,0)</f>
        <v>0.14000000000000001</v>
      </c>
      <c r="G7" s="40">
        <f>C7+E7</f>
        <v>0.24</v>
      </c>
      <c r="H7" s="41" t="s">
        <v>4</v>
      </c>
      <c r="I7" s="213"/>
    </row>
    <row r="8" spans="1:9" ht="45" x14ac:dyDescent="0.2">
      <c r="A8" s="213"/>
      <c r="B8" s="37" t="s">
        <v>41</v>
      </c>
      <c r="C8" s="38">
        <v>0.31</v>
      </c>
      <c r="D8" s="38">
        <v>0.31</v>
      </c>
      <c r="E8" s="40">
        <v>0.06</v>
      </c>
      <c r="F8" s="40">
        <f>IF(C8-E8&gt;0,C8-E8,0)</f>
        <v>0.25</v>
      </c>
      <c r="G8" s="40">
        <f>C8+E8</f>
        <v>0.37</v>
      </c>
      <c r="H8" s="41" t="s">
        <v>98</v>
      </c>
      <c r="I8" s="213"/>
    </row>
    <row r="9" spans="1:9" ht="15" x14ac:dyDescent="0.2">
      <c r="A9" s="213"/>
      <c r="B9" s="37" t="s">
        <v>47</v>
      </c>
      <c r="C9" s="38">
        <v>0.04</v>
      </c>
      <c r="D9" s="38">
        <v>0.04</v>
      </c>
      <c r="E9" s="40"/>
      <c r="F9" s="40"/>
      <c r="G9" s="40"/>
      <c r="H9" s="41"/>
      <c r="I9" s="213"/>
    </row>
    <row r="10" spans="1:9" ht="15" x14ac:dyDescent="0.2">
      <c r="A10" s="213"/>
      <c r="B10" s="37" t="s">
        <v>8</v>
      </c>
      <c r="C10" s="38">
        <f>SUM(C6:C9)</f>
        <v>1</v>
      </c>
      <c r="D10" s="38">
        <v>1</v>
      </c>
      <c r="E10" s="40"/>
      <c r="F10" s="40"/>
      <c r="G10" s="40"/>
      <c r="H10" s="41"/>
      <c r="I10" s="213"/>
    </row>
    <row r="11" spans="1:9" ht="15" x14ac:dyDescent="0.2">
      <c r="A11" s="213"/>
      <c r="B11" s="37" t="s">
        <v>9</v>
      </c>
      <c r="C11" s="38">
        <v>0.21</v>
      </c>
      <c r="D11" s="38">
        <v>0.21</v>
      </c>
      <c r="E11" s="40">
        <v>0.06</v>
      </c>
      <c r="F11" s="40">
        <f>IF(C11-E11&gt;0,C11-E11,0)</f>
        <v>0.15</v>
      </c>
      <c r="G11" s="40">
        <f>C11+E11</f>
        <v>0.27</v>
      </c>
      <c r="H11" s="41"/>
      <c r="I11" s="213"/>
    </row>
    <row r="12" spans="1:9" ht="15" x14ac:dyDescent="0.2">
      <c r="A12" s="213"/>
      <c r="B12" s="160" t="s">
        <v>160</v>
      </c>
      <c r="C12" s="160"/>
      <c r="D12" s="166">
        <v>1E-3</v>
      </c>
      <c r="E12" s="162"/>
      <c r="F12" s="162"/>
      <c r="G12" s="162"/>
      <c r="H12" s="156"/>
      <c r="I12" s="213"/>
    </row>
    <row r="13" spans="1:9" x14ac:dyDescent="0.2">
      <c r="B13" s="297" t="s">
        <v>268</v>
      </c>
      <c r="C13" s="297"/>
      <c r="D13" s="297"/>
      <c r="E13" s="297"/>
      <c r="F13" s="297"/>
      <c r="G13" s="297"/>
      <c r="H13" s="297"/>
    </row>
    <row r="14" spans="1:9" x14ac:dyDescent="0.2">
      <c r="B14" s="34" t="s">
        <v>46</v>
      </c>
      <c r="C14" s="34"/>
      <c r="D14" s="34"/>
      <c r="E14" s="34"/>
      <c r="F14" s="34"/>
      <c r="G14" s="34"/>
      <c r="H14" s="34"/>
    </row>
    <row r="15" spans="1:9" x14ac:dyDescent="0.2">
      <c r="B15" s="34" t="s">
        <v>89</v>
      </c>
    </row>
    <row r="16" spans="1:9" x14ac:dyDescent="0.2">
      <c r="A16" s="213" t="s">
        <v>263</v>
      </c>
      <c r="B16" s="213"/>
      <c r="C16" s="213"/>
      <c r="D16" s="213"/>
      <c r="E16" s="213"/>
      <c r="F16" s="213"/>
      <c r="G16" s="213"/>
      <c r="H16" s="213"/>
    </row>
  </sheetData>
  <mergeCells count="9">
    <mergeCell ref="B13:H13"/>
    <mergeCell ref="I3:I12"/>
    <mergeCell ref="A16:H16"/>
    <mergeCell ref="F5:G5"/>
    <mergeCell ref="B1:H1"/>
    <mergeCell ref="B3:H3"/>
    <mergeCell ref="B4:H4"/>
    <mergeCell ref="B2:H2"/>
    <mergeCell ref="A3:A12"/>
  </mergeCells>
  <pageMargins left="0.70866141732283472" right="0.70866141732283472" top="0.74803149606299213" bottom="0.74803149606299213" header="0.31496062992125984" footer="0.31496062992125984"/>
  <pageSetup paperSize="9" scale="75"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pageSetUpPr fitToPage="1"/>
  </sheetPr>
  <dimension ref="A1:I32"/>
  <sheetViews>
    <sheetView showGridLines="0" rightToLeft="1" topLeftCell="A16" zoomScaleNormal="100" zoomScaleSheetLayoutView="100" workbookViewId="0">
      <selection activeCell="I18" sqref="I18:I27"/>
    </sheetView>
  </sheetViews>
  <sheetFormatPr defaultRowHeight="14.25" x14ac:dyDescent="0.2"/>
  <cols>
    <col min="2" max="2" width="38.625" customWidth="1"/>
    <col min="3" max="4" width="12.125" customWidth="1"/>
    <col min="5" max="7" width="9.25" customWidth="1"/>
    <col min="8" max="8" width="36.25" customWidth="1"/>
  </cols>
  <sheetData>
    <row r="1" spans="1:9" ht="27.6" customHeight="1" x14ac:dyDescent="0.2">
      <c r="B1" s="283" t="str">
        <f>'קרן י'!B1</f>
        <v>מדיניות השקעה לשנת 2024</v>
      </c>
      <c r="C1" s="298"/>
      <c r="D1" s="298"/>
      <c r="E1" s="298"/>
      <c r="F1" s="298"/>
      <c r="G1" s="298"/>
      <c r="H1" s="298"/>
    </row>
    <row r="2" spans="1:9" ht="27.6" customHeight="1" x14ac:dyDescent="0.2">
      <c r="B2" s="307" t="s">
        <v>259</v>
      </c>
      <c r="C2" s="307"/>
      <c r="D2" s="307"/>
      <c r="E2" s="307"/>
      <c r="F2" s="307"/>
      <c r="G2" s="307"/>
      <c r="H2" s="307"/>
    </row>
    <row r="3" spans="1:9" ht="18" x14ac:dyDescent="0.2">
      <c r="A3" s="213" t="s">
        <v>260</v>
      </c>
      <c r="B3" s="303" t="s">
        <v>222</v>
      </c>
      <c r="C3" s="304"/>
      <c r="D3" s="304"/>
      <c r="E3" s="304"/>
      <c r="F3" s="304"/>
      <c r="G3" s="304"/>
      <c r="H3" s="305"/>
      <c r="I3" s="213" t="s">
        <v>262</v>
      </c>
    </row>
    <row r="4" spans="1:9" ht="18.75" thickBot="1" x14ac:dyDescent="0.25">
      <c r="A4" s="213"/>
      <c r="B4" s="303" t="s">
        <v>176</v>
      </c>
      <c r="C4" s="304"/>
      <c r="D4" s="304"/>
      <c r="E4" s="304"/>
      <c r="F4" s="304"/>
      <c r="G4" s="304"/>
      <c r="H4" s="305"/>
      <c r="I4" s="213"/>
    </row>
    <row r="5" spans="1:9" ht="60" x14ac:dyDescent="0.2">
      <c r="A5" s="213"/>
      <c r="B5" s="35" t="s">
        <v>0</v>
      </c>
      <c r="C5" s="36" t="s">
        <v>251</v>
      </c>
      <c r="D5" s="186" t="s">
        <v>252</v>
      </c>
      <c r="E5" s="35" t="s">
        <v>72</v>
      </c>
      <c r="F5" s="215" t="s">
        <v>40</v>
      </c>
      <c r="G5" s="237"/>
      <c r="H5" s="35" t="s">
        <v>91</v>
      </c>
      <c r="I5" s="213"/>
    </row>
    <row r="6" spans="1:9" ht="27.6" customHeight="1" x14ac:dyDescent="0.2">
      <c r="A6" s="213"/>
      <c r="B6" s="37" t="s">
        <v>6</v>
      </c>
      <c r="C6" s="38">
        <v>0.17</v>
      </c>
      <c r="D6" s="38">
        <v>0.17</v>
      </c>
      <c r="E6" s="40">
        <v>0.06</v>
      </c>
      <c r="F6" s="40">
        <f>IF(C6-E6&gt;0,D6-E6,0)</f>
        <v>0.11000000000000001</v>
      </c>
      <c r="G6" s="40">
        <f>C6+E6</f>
        <v>0.23</v>
      </c>
      <c r="H6" s="41" t="s">
        <v>102</v>
      </c>
      <c r="I6" s="213"/>
    </row>
    <row r="7" spans="1:9" ht="27.6" customHeight="1" x14ac:dyDescent="0.2">
      <c r="A7" s="213"/>
      <c r="B7" s="37" t="s">
        <v>73</v>
      </c>
      <c r="C7" s="38">
        <v>0.4</v>
      </c>
      <c r="D7" s="38">
        <v>0.4</v>
      </c>
      <c r="E7" s="40">
        <v>0.05</v>
      </c>
      <c r="F7" s="40">
        <f t="shared" ref="F7:F11" si="0">IF(C7-E7&gt;0,D7-E7,0)</f>
        <v>0.35000000000000003</v>
      </c>
      <c r="G7" s="40">
        <f t="shared" ref="G7:G11" si="1">C7+E7</f>
        <v>0.45</v>
      </c>
      <c r="H7" s="41" t="s">
        <v>4</v>
      </c>
      <c r="I7" s="213"/>
    </row>
    <row r="8" spans="1:9" ht="45" x14ac:dyDescent="0.2">
      <c r="A8" s="213"/>
      <c r="B8" s="37" t="s">
        <v>41</v>
      </c>
      <c r="C8" s="38">
        <v>0.3</v>
      </c>
      <c r="D8" s="38">
        <v>0.3</v>
      </c>
      <c r="E8" s="40">
        <v>0.06</v>
      </c>
      <c r="F8" s="40">
        <f t="shared" si="0"/>
        <v>0.24</v>
      </c>
      <c r="G8" s="40">
        <f t="shared" si="1"/>
        <v>0.36</v>
      </c>
      <c r="H8" s="82" t="s">
        <v>92</v>
      </c>
      <c r="I8" s="213"/>
    </row>
    <row r="9" spans="1:9" ht="18.600000000000001" customHeight="1" x14ac:dyDescent="0.2">
      <c r="A9" s="213"/>
      <c r="B9" s="37" t="s">
        <v>74</v>
      </c>
      <c r="C9" s="38">
        <v>0.04</v>
      </c>
      <c r="D9" s="38">
        <v>0.04</v>
      </c>
      <c r="E9" s="40">
        <v>0.05</v>
      </c>
      <c r="F9" s="40">
        <f t="shared" si="0"/>
        <v>0</v>
      </c>
      <c r="G9" s="40">
        <f t="shared" si="1"/>
        <v>0.09</v>
      </c>
      <c r="H9" s="41"/>
      <c r="I9" s="213"/>
    </row>
    <row r="10" spans="1:9" ht="18.600000000000001" customHeight="1" x14ac:dyDescent="0.2">
      <c r="A10" s="213"/>
      <c r="B10" s="37" t="s">
        <v>218</v>
      </c>
      <c r="C10" s="38">
        <v>0.03</v>
      </c>
      <c r="D10" s="38"/>
      <c r="E10" s="40"/>
      <c r="F10" s="40">
        <f t="shared" si="0"/>
        <v>0</v>
      </c>
      <c r="G10" s="40">
        <f t="shared" si="1"/>
        <v>0.03</v>
      </c>
      <c r="H10" s="41"/>
      <c r="I10" s="213"/>
    </row>
    <row r="11" spans="1:9" ht="15" x14ac:dyDescent="0.2">
      <c r="A11" s="213"/>
      <c r="B11" s="37" t="s">
        <v>225</v>
      </c>
      <c r="C11" s="38">
        <v>0.04</v>
      </c>
      <c r="D11" s="38">
        <v>0.05</v>
      </c>
      <c r="E11" s="40">
        <v>0.05</v>
      </c>
      <c r="F11" s="40">
        <f t="shared" si="0"/>
        <v>0</v>
      </c>
      <c r="G11" s="40">
        <f t="shared" si="1"/>
        <v>0.09</v>
      </c>
      <c r="H11" s="41"/>
      <c r="I11" s="213"/>
    </row>
    <row r="12" spans="1:9" ht="15" x14ac:dyDescent="0.2">
      <c r="A12" s="213"/>
      <c r="B12" s="37" t="s">
        <v>47</v>
      </c>
      <c r="C12" s="38">
        <v>0.02</v>
      </c>
      <c r="D12" s="38">
        <v>0.04</v>
      </c>
      <c r="E12" s="40"/>
      <c r="F12" s="40"/>
      <c r="G12" s="40"/>
      <c r="H12" s="41"/>
      <c r="I12" s="213"/>
    </row>
    <row r="13" spans="1:9" ht="18.600000000000001" customHeight="1" x14ac:dyDescent="0.2">
      <c r="A13" s="213"/>
      <c r="B13" s="37" t="s">
        <v>8</v>
      </c>
      <c r="C13" s="38">
        <f>SUM(C6:C12)</f>
        <v>1.0000000000000002</v>
      </c>
      <c r="D13" s="38">
        <v>1.0000000000000002</v>
      </c>
      <c r="E13" s="40"/>
      <c r="F13" s="40"/>
      <c r="G13" s="40"/>
      <c r="H13" s="41"/>
      <c r="I13" s="213"/>
    </row>
    <row r="14" spans="1:9" ht="18.600000000000001" customHeight="1" x14ac:dyDescent="0.2">
      <c r="A14" s="213"/>
      <c r="B14" s="37" t="s">
        <v>9</v>
      </c>
      <c r="C14" s="202">
        <v>0.14000000000000001</v>
      </c>
      <c r="D14" s="38">
        <v>0.14000000000000001</v>
      </c>
      <c r="E14" s="40">
        <v>0.06</v>
      </c>
      <c r="F14" s="40">
        <f>IF(C14-E14&gt;0,C14-E14,0)</f>
        <v>8.0000000000000016E-2</v>
      </c>
      <c r="G14" s="40">
        <f>C14+E14</f>
        <v>0.2</v>
      </c>
      <c r="H14" s="41"/>
      <c r="I14" s="213"/>
    </row>
    <row r="15" spans="1:9" ht="18.600000000000001" customHeight="1" x14ac:dyDescent="0.2">
      <c r="A15" s="213"/>
      <c r="B15" s="160" t="s">
        <v>160</v>
      </c>
      <c r="C15" s="160"/>
      <c r="D15" s="166">
        <v>2.8E-3</v>
      </c>
      <c r="E15" s="162"/>
      <c r="F15" s="162"/>
      <c r="G15" s="162"/>
      <c r="H15" s="156"/>
      <c r="I15" s="213"/>
    </row>
    <row r="16" spans="1:9" ht="18.600000000000001" customHeight="1" x14ac:dyDescent="0.2">
      <c r="B16" s="240" t="s">
        <v>261</v>
      </c>
      <c r="C16" s="240"/>
      <c r="D16" s="240"/>
      <c r="E16" s="240"/>
      <c r="F16" s="240"/>
      <c r="G16" s="240"/>
      <c r="H16" s="240"/>
    </row>
    <row r="17" spans="1:9" x14ac:dyDescent="0.2">
      <c r="B17" s="299" t="s">
        <v>259</v>
      </c>
      <c r="C17" s="299"/>
      <c r="D17" s="299"/>
      <c r="E17" s="299"/>
      <c r="F17" s="299"/>
      <c r="G17" s="299"/>
      <c r="H17" s="299"/>
    </row>
    <row r="18" spans="1:9" ht="18" x14ac:dyDescent="0.2">
      <c r="A18" s="213" t="s">
        <v>260</v>
      </c>
      <c r="B18" s="300" t="s">
        <v>235</v>
      </c>
      <c r="C18" s="301"/>
      <c r="D18" s="301"/>
      <c r="E18" s="301"/>
      <c r="F18" s="301"/>
      <c r="G18" s="301"/>
      <c r="H18" s="302"/>
      <c r="I18" s="213" t="s">
        <v>262</v>
      </c>
    </row>
    <row r="19" spans="1:9" ht="18.75" thickBot="1" x14ac:dyDescent="0.25">
      <c r="A19" s="213"/>
      <c r="B19" s="278" t="s">
        <v>214</v>
      </c>
      <c r="C19" s="226"/>
      <c r="D19" s="226"/>
      <c r="E19" s="226"/>
      <c r="F19" s="226"/>
      <c r="G19" s="226"/>
      <c r="H19" s="306"/>
      <c r="I19" s="213"/>
    </row>
    <row r="20" spans="1:9" ht="60" x14ac:dyDescent="0.2">
      <c r="A20" s="213"/>
      <c r="B20" s="35" t="s">
        <v>0</v>
      </c>
      <c r="C20" s="36" t="s">
        <v>251</v>
      </c>
      <c r="D20" s="186" t="s">
        <v>252</v>
      </c>
      <c r="E20" s="35" t="s">
        <v>72</v>
      </c>
      <c r="F20" s="215" t="s">
        <v>40</v>
      </c>
      <c r="G20" s="237"/>
      <c r="H20" s="35" t="s">
        <v>91</v>
      </c>
      <c r="I20" s="213"/>
    </row>
    <row r="21" spans="1:9" ht="30" x14ac:dyDescent="0.2">
      <c r="A21" s="213"/>
      <c r="B21" s="37" t="s">
        <v>6</v>
      </c>
      <c r="C21" s="38">
        <v>0.24</v>
      </c>
      <c r="D21" s="38">
        <v>0.24</v>
      </c>
      <c r="E21" s="40">
        <v>0.06</v>
      </c>
      <c r="F21" s="40">
        <f>IF(C21-E21&gt;0,C21-E21,0)</f>
        <v>0.18</v>
      </c>
      <c r="G21" s="40">
        <f>C21+E21</f>
        <v>0.3</v>
      </c>
      <c r="H21" s="41" t="s">
        <v>102</v>
      </c>
      <c r="I21" s="213"/>
    </row>
    <row r="22" spans="1:9" ht="30" x14ac:dyDescent="0.2">
      <c r="A22" s="213"/>
      <c r="B22" s="37" t="s">
        <v>73</v>
      </c>
      <c r="C22" s="38">
        <v>0.4</v>
      </c>
      <c r="D22" s="38">
        <v>0.41</v>
      </c>
      <c r="E22" s="40">
        <v>0.05</v>
      </c>
      <c r="F22" s="40">
        <f t="shared" ref="F22:F23" si="2">IF(C22-E22&gt;0,C22-E22,0)</f>
        <v>0.35000000000000003</v>
      </c>
      <c r="G22" s="40">
        <f t="shared" ref="G22:G23" si="3">C22+E22</f>
        <v>0.45</v>
      </c>
      <c r="H22" s="41" t="s">
        <v>4</v>
      </c>
      <c r="I22" s="213"/>
    </row>
    <row r="23" spans="1:9" ht="45" x14ac:dyDescent="0.2">
      <c r="A23" s="213"/>
      <c r="B23" s="37" t="s">
        <v>41</v>
      </c>
      <c r="C23" s="38">
        <v>0.32</v>
      </c>
      <c r="D23" s="38">
        <v>0.31</v>
      </c>
      <c r="E23" s="40">
        <v>0.06</v>
      </c>
      <c r="F23" s="40">
        <f t="shared" si="2"/>
        <v>0.26</v>
      </c>
      <c r="G23" s="40">
        <f t="shared" si="3"/>
        <v>0.38</v>
      </c>
      <c r="H23" s="41" t="s">
        <v>98</v>
      </c>
      <c r="I23" s="213"/>
    </row>
    <row r="24" spans="1:9" ht="15" x14ac:dyDescent="0.2">
      <c r="A24" s="213"/>
      <c r="B24" s="37" t="s">
        <v>47</v>
      </c>
      <c r="C24" s="38">
        <v>0.04</v>
      </c>
      <c r="D24" s="38">
        <v>0.04</v>
      </c>
      <c r="E24" s="40"/>
      <c r="F24" s="40"/>
      <c r="G24" s="40"/>
      <c r="H24" s="41"/>
      <c r="I24" s="213"/>
    </row>
    <row r="25" spans="1:9" ht="15" x14ac:dyDescent="0.2">
      <c r="A25" s="213"/>
      <c r="B25" s="37" t="s">
        <v>8</v>
      </c>
      <c r="C25" s="40">
        <f>SUM(C21:C24)</f>
        <v>1</v>
      </c>
      <c r="D25" s="40">
        <v>1</v>
      </c>
      <c r="E25" s="40"/>
      <c r="F25" s="40"/>
      <c r="G25" s="40"/>
      <c r="H25" s="41"/>
      <c r="I25" s="213"/>
    </row>
    <row r="26" spans="1:9" ht="15" x14ac:dyDescent="0.2">
      <c r="A26" s="213"/>
      <c r="B26" s="37" t="s">
        <v>9</v>
      </c>
      <c r="C26" s="40">
        <v>0.12</v>
      </c>
      <c r="D26" s="38">
        <v>0.12</v>
      </c>
      <c r="E26" s="40">
        <v>0.06</v>
      </c>
      <c r="F26" s="40">
        <f>IF(C26-E26&gt;0,C26-E26,0)</f>
        <v>0.06</v>
      </c>
      <c r="G26" s="40">
        <f>C26+E26</f>
        <v>0.18</v>
      </c>
      <c r="H26" s="41"/>
      <c r="I26" s="213"/>
    </row>
    <row r="27" spans="1:9" ht="15" x14ac:dyDescent="0.2">
      <c r="A27" s="213"/>
      <c r="B27" s="160" t="s">
        <v>160</v>
      </c>
      <c r="C27" s="160"/>
      <c r="D27" s="166">
        <v>1E-3</v>
      </c>
      <c r="E27" s="162"/>
      <c r="F27" s="162"/>
      <c r="G27" s="162"/>
      <c r="H27" s="156"/>
      <c r="I27" s="213"/>
    </row>
    <row r="28" spans="1:9" x14ac:dyDescent="0.2">
      <c r="B28" s="297" t="s">
        <v>261</v>
      </c>
      <c r="C28" s="297"/>
      <c r="D28" s="297"/>
      <c r="E28" s="297"/>
      <c r="F28" s="297"/>
      <c r="G28" s="297"/>
      <c r="H28" s="297"/>
    </row>
    <row r="29" spans="1:9" x14ac:dyDescent="0.2">
      <c r="B29" s="34"/>
      <c r="C29" s="34"/>
      <c r="D29" s="34"/>
      <c r="E29" s="34"/>
      <c r="F29" s="34"/>
      <c r="G29" s="34"/>
      <c r="H29" s="34"/>
    </row>
    <row r="30" spans="1:9" x14ac:dyDescent="0.2">
      <c r="B30" s="34" t="s">
        <v>46</v>
      </c>
    </row>
    <row r="31" spans="1:9" x14ac:dyDescent="0.2">
      <c r="B31" s="34" t="s">
        <v>89</v>
      </c>
    </row>
    <row r="32" spans="1:9" x14ac:dyDescent="0.2">
      <c r="A32" s="213" t="s">
        <v>263</v>
      </c>
      <c r="B32" s="213"/>
      <c r="C32" s="213"/>
      <c r="D32" s="213"/>
      <c r="E32" s="213"/>
      <c r="F32" s="213"/>
      <c r="G32" s="213"/>
      <c r="H32" s="213"/>
    </row>
  </sheetData>
  <mergeCells count="16">
    <mergeCell ref="B1:H1"/>
    <mergeCell ref="F5:G5"/>
    <mergeCell ref="B3:H3"/>
    <mergeCell ref="B4:H4"/>
    <mergeCell ref="B19:H19"/>
    <mergeCell ref="B2:H2"/>
    <mergeCell ref="B28:H28"/>
    <mergeCell ref="I18:I27"/>
    <mergeCell ref="A32:H32"/>
    <mergeCell ref="A3:A15"/>
    <mergeCell ref="B16:H16"/>
    <mergeCell ref="I3:I15"/>
    <mergeCell ref="B17:H17"/>
    <mergeCell ref="A18:A27"/>
    <mergeCell ref="B18:H18"/>
    <mergeCell ref="F20:G20"/>
  </mergeCells>
  <pageMargins left="0.70866141732283472" right="0.70866141732283472" top="0.74803149606299213" bottom="0.74803149606299213" header="0.31496062992125984" footer="0.31496062992125984"/>
  <pageSetup paperSize="9" scale="95"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pageSetUpPr fitToPage="1"/>
  </sheetPr>
  <dimension ref="C2:K37"/>
  <sheetViews>
    <sheetView showGridLines="0" rightToLeft="1" topLeftCell="A10" zoomScale="80" zoomScaleNormal="80" workbookViewId="0">
      <selection activeCell="L20" sqref="L20"/>
    </sheetView>
  </sheetViews>
  <sheetFormatPr defaultColWidth="8" defaultRowHeight="14.25" x14ac:dyDescent="0.2"/>
  <cols>
    <col min="1" max="2" width="8" style="71"/>
    <col min="3" max="3" width="48" style="71" bestFit="1" customWidth="1"/>
    <col min="4" max="4" width="31.375" style="71" bestFit="1" customWidth="1"/>
    <col min="5" max="5" width="30.25" style="71" bestFit="1" customWidth="1"/>
    <col min="6" max="6" width="10.75" style="71" bestFit="1" customWidth="1"/>
    <col min="7" max="7" width="6.125" style="71" bestFit="1" customWidth="1"/>
    <col min="8" max="8" width="29.75" style="71" customWidth="1"/>
    <col min="9" max="16384" width="8" style="71"/>
  </cols>
  <sheetData>
    <row r="2" spans="3:11" ht="15" thickBot="1" x14ac:dyDescent="0.25"/>
    <row r="3" spans="3:11" ht="14.25" customHeight="1" x14ac:dyDescent="0.25">
      <c r="C3" s="291" t="s">
        <v>151</v>
      </c>
      <c r="D3" s="292"/>
      <c r="E3" s="292"/>
      <c r="F3" s="292"/>
      <c r="G3" s="292"/>
      <c r="H3" s="292"/>
      <c r="I3" s="194" t="s">
        <v>182</v>
      </c>
    </row>
    <row r="4" spans="3:11" ht="18.75" thickBot="1" x14ac:dyDescent="0.25">
      <c r="C4" s="154"/>
      <c r="D4" s="155"/>
      <c r="E4" s="155"/>
      <c r="F4" s="155"/>
      <c r="G4" s="155"/>
      <c r="H4" s="155"/>
    </row>
    <row r="5" spans="3:11" ht="15" customHeight="1" x14ac:dyDescent="0.25">
      <c r="C5" s="140" t="s">
        <v>0</v>
      </c>
      <c r="D5" s="142" t="s">
        <v>127</v>
      </c>
      <c r="E5" s="141" t="s">
        <v>136</v>
      </c>
      <c r="F5" s="242" t="s">
        <v>137</v>
      </c>
      <c r="G5" s="243"/>
      <c r="H5" s="143" t="s">
        <v>138</v>
      </c>
      <c r="I5" s="193" t="s">
        <v>180</v>
      </c>
      <c r="J5"/>
      <c r="K5"/>
    </row>
    <row r="6" spans="3:11" ht="30" x14ac:dyDescent="0.25">
      <c r="C6" s="144" t="s">
        <v>114</v>
      </c>
      <c r="D6" s="145">
        <v>0.01</v>
      </c>
      <c r="E6" s="145">
        <v>0.06</v>
      </c>
      <c r="F6" s="145">
        <v>0</v>
      </c>
      <c r="G6" s="145">
        <f>+D6+E6</f>
        <v>6.9999999999999993E-2</v>
      </c>
      <c r="H6" s="146" t="s">
        <v>144</v>
      </c>
      <c r="I6" s="193" t="s">
        <v>177</v>
      </c>
      <c r="J6"/>
      <c r="K6"/>
    </row>
    <row r="7" spans="3:11" ht="30" x14ac:dyDescent="0.25">
      <c r="C7" s="144" t="s">
        <v>139</v>
      </c>
      <c r="D7" s="145">
        <v>0.37</v>
      </c>
      <c r="E7" s="145">
        <v>0.05</v>
      </c>
      <c r="F7" s="145">
        <f t="shared" ref="F7" si="0">+D7-E7</f>
        <v>0.32</v>
      </c>
      <c r="G7" s="145">
        <f t="shared" ref="G7" si="1">+D7+E7</f>
        <v>0.42</v>
      </c>
      <c r="H7" s="146" t="s">
        <v>4</v>
      </c>
      <c r="I7" s="193" t="s">
        <v>178</v>
      </c>
      <c r="J7"/>
      <c r="K7"/>
    </row>
    <row r="8" spans="3:11" ht="75" x14ac:dyDescent="0.25">
      <c r="C8" s="144" t="s">
        <v>116</v>
      </c>
      <c r="D8" s="145">
        <v>0.56999999999999995</v>
      </c>
      <c r="E8" s="145">
        <v>0.06</v>
      </c>
      <c r="F8" s="145">
        <f>+D8-E8</f>
        <v>0.51</v>
      </c>
      <c r="G8" s="145">
        <f>+D8+E8</f>
        <v>0.62999999999999989</v>
      </c>
      <c r="H8" s="147" t="s">
        <v>92</v>
      </c>
      <c r="I8" s="193" t="s">
        <v>179</v>
      </c>
      <c r="J8"/>
      <c r="K8"/>
    </row>
    <row r="9" spans="3:11" ht="15" x14ac:dyDescent="0.2">
      <c r="C9" s="144" t="s">
        <v>141</v>
      </c>
      <c r="D9" s="145">
        <v>0.01</v>
      </c>
      <c r="E9" s="145">
        <v>0.05</v>
      </c>
      <c r="F9" s="145">
        <v>0</v>
      </c>
      <c r="G9" s="145">
        <f>+D9+E9</f>
        <v>6.0000000000000005E-2</v>
      </c>
      <c r="H9" s="148"/>
      <c r="I9"/>
      <c r="J9"/>
      <c r="K9"/>
    </row>
    <row r="10" spans="3:11" ht="15" x14ac:dyDescent="0.25">
      <c r="C10" s="144" t="s">
        <v>47</v>
      </c>
      <c r="D10" s="145">
        <v>0.04</v>
      </c>
      <c r="E10" s="145"/>
      <c r="F10" s="145">
        <f>+D10-E10</f>
        <v>0.04</v>
      </c>
      <c r="G10" s="145">
        <f>+D10+E10</f>
        <v>0.04</v>
      </c>
      <c r="H10" s="148"/>
      <c r="I10" s="193" t="s">
        <v>181</v>
      </c>
      <c r="J10"/>
      <c r="K10"/>
    </row>
    <row r="11" spans="3:11" ht="15" x14ac:dyDescent="0.2">
      <c r="C11" s="144" t="s">
        <v>8</v>
      </c>
      <c r="D11" s="145">
        <f>SUM(D6:D10)</f>
        <v>1</v>
      </c>
      <c r="E11" s="145"/>
      <c r="F11" s="145"/>
      <c r="G11" s="145"/>
      <c r="H11" s="148"/>
    </row>
    <row r="12" spans="3:11" ht="15.75" thickBot="1" x14ac:dyDescent="0.25">
      <c r="C12" s="149" t="s">
        <v>9</v>
      </c>
      <c r="D12" s="150">
        <v>0.14000000000000001</v>
      </c>
      <c r="E12" s="150">
        <v>0.05</v>
      </c>
      <c r="F12" s="40">
        <f t="shared" ref="F12" si="2">IF(D12-E12&gt;0,D12-E12,0)</f>
        <v>9.0000000000000011E-2</v>
      </c>
      <c r="G12" s="40">
        <f t="shared" ref="G12" si="3">D12+E12</f>
        <v>0.19</v>
      </c>
      <c r="H12" s="151"/>
    </row>
    <row r="13" spans="3:11" ht="15" x14ac:dyDescent="0.2">
      <c r="C13" s="160" t="s">
        <v>160</v>
      </c>
      <c r="D13" s="163">
        <v>5.0000000000000001E-4</v>
      </c>
      <c r="E13" s="157"/>
      <c r="F13" s="157"/>
      <c r="G13" s="157"/>
      <c r="H13" s="158"/>
    </row>
    <row r="14" spans="3:11" ht="15" thickBot="1" x14ac:dyDescent="0.25">
      <c r="C14"/>
      <c r="D14"/>
      <c r="E14"/>
      <c r="F14"/>
      <c r="G14"/>
      <c r="H14"/>
    </row>
    <row r="15" spans="3:11" ht="18" x14ac:dyDescent="0.25">
      <c r="C15" s="291" t="s">
        <v>152</v>
      </c>
      <c r="D15" s="292"/>
      <c r="E15" s="292"/>
      <c r="F15" s="292"/>
      <c r="G15" s="292"/>
      <c r="H15" s="292"/>
      <c r="I15" s="194" t="s">
        <v>183</v>
      </c>
    </row>
    <row r="16" spans="3:11" ht="18.75" thickBot="1" x14ac:dyDescent="0.25">
      <c r="C16" s="154"/>
      <c r="D16" s="155"/>
      <c r="E16" s="155"/>
      <c r="F16" s="155"/>
      <c r="G16" s="155"/>
      <c r="H16" s="155"/>
    </row>
    <row r="17" spans="3:9" ht="60" customHeight="1" x14ac:dyDescent="0.2">
      <c r="C17" s="140" t="s">
        <v>0</v>
      </c>
      <c r="D17" s="142" t="s">
        <v>127</v>
      </c>
      <c r="E17" s="141" t="s">
        <v>136</v>
      </c>
      <c r="F17" s="242" t="s">
        <v>137</v>
      </c>
      <c r="G17" s="243"/>
      <c r="H17" s="143" t="s">
        <v>138</v>
      </c>
    </row>
    <row r="18" spans="3:9" ht="30" x14ac:dyDescent="0.2">
      <c r="C18" s="144" t="s">
        <v>114</v>
      </c>
      <c r="D18" s="145">
        <v>0.18</v>
      </c>
      <c r="E18" s="145">
        <v>0.06</v>
      </c>
      <c r="F18" s="145">
        <f t="shared" ref="F18:F19" si="4">+D18-E18</f>
        <v>0.12</v>
      </c>
      <c r="G18" s="145">
        <f>+D18+E18</f>
        <v>0.24</v>
      </c>
      <c r="H18" s="146" t="s">
        <v>144</v>
      </c>
    </row>
    <row r="19" spans="3:9" ht="30" x14ac:dyDescent="0.2">
      <c r="C19" s="144" t="s">
        <v>139</v>
      </c>
      <c r="D19" s="145">
        <v>0.16</v>
      </c>
      <c r="E19" s="145">
        <v>0.05</v>
      </c>
      <c r="F19" s="145">
        <f t="shared" si="4"/>
        <v>0.11</v>
      </c>
      <c r="G19" s="145">
        <f t="shared" ref="G19" si="5">+D19+E19</f>
        <v>0.21000000000000002</v>
      </c>
      <c r="H19" s="146" t="s">
        <v>4</v>
      </c>
    </row>
    <row r="20" spans="3:9" ht="75" x14ac:dyDescent="0.2">
      <c r="C20" s="144" t="s">
        <v>116</v>
      </c>
      <c r="D20" s="145">
        <v>0.56999999999999995</v>
      </c>
      <c r="E20" s="145">
        <v>0.06</v>
      </c>
      <c r="F20" s="145">
        <f>+D20-E20</f>
        <v>0.51</v>
      </c>
      <c r="G20" s="145">
        <f>+D20+E20</f>
        <v>0.62999999999999989</v>
      </c>
      <c r="H20" s="147" t="s">
        <v>92</v>
      </c>
    </row>
    <row r="21" spans="3:9" ht="15" x14ac:dyDescent="0.2">
      <c r="C21" s="144" t="s">
        <v>141</v>
      </c>
      <c r="D21" s="145">
        <v>0.05</v>
      </c>
      <c r="E21" s="145">
        <v>0.05</v>
      </c>
      <c r="F21" s="145">
        <v>0</v>
      </c>
      <c r="G21" s="145">
        <f>+D21+E21</f>
        <v>0.1</v>
      </c>
      <c r="H21" s="148"/>
    </row>
    <row r="22" spans="3:9" ht="15" x14ac:dyDescent="0.2">
      <c r="C22" s="144" t="s">
        <v>47</v>
      </c>
      <c r="D22" s="145">
        <v>0.04</v>
      </c>
      <c r="E22" s="145"/>
      <c r="F22" s="145">
        <f>+D22-E22</f>
        <v>0.04</v>
      </c>
      <c r="G22" s="145">
        <f>+D22+E22</f>
        <v>0.04</v>
      </c>
      <c r="H22" s="148"/>
    </row>
    <row r="23" spans="3:9" ht="15" x14ac:dyDescent="0.2">
      <c r="C23" s="144" t="s">
        <v>8</v>
      </c>
      <c r="D23" s="145">
        <f>SUM(D18:D22)</f>
        <v>1</v>
      </c>
      <c r="E23" s="145"/>
      <c r="F23" s="145"/>
      <c r="G23" s="145"/>
      <c r="H23" s="148"/>
    </row>
    <row r="24" spans="3:9" ht="15.75" thickBot="1" x14ac:dyDescent="0.25">
      <c r="C24" s="149" t="s">
        <v>9</v>
      </c>
      <c r="D24" s="150">
        <v>0.18</v>
      </c>
      <c r="E24" s="150">
        <v>0.05</v>
      </c>
      <c r="F24" s="40">
        <f t="shared" ref="F24" si="6">IF(D24-E24&gt;0,D24-E24,0)</f>
        <v>0.13</v>
      </c>
      <c r="G24" s="40">
        <f t="shared" ref="G24" si="7">D24+E24</f>
        <v>0.22999999999999998</v>
      </c>
      <c r="H24" s="151"/>
    </row>
    <row r="25" spans="3:9" ht="15" x14ac:dyDescent="0.2">
      <c r="C25" s="160" t="s">
        <v>160</v>
      </c>
      <c r="D25" s="163">
        <v>1E-3</v>
      </c>
      <c r="E25" s="157"/>
      <c r="F25" s="157"/>
      <c r="G25" s="157"/>
      <c r="H25" s="158"/>
    </row>
    <row r="26" spans="3:9" ht="15" thickBot="1" x14ac:dyDescent="0.25">
      <c r="C26"/>
      <c r="D26"/>
      <c r="E26"/>
      <c r="F26"/>
      <c r="G26"/>
      <c r="H26"/>
    </row>
    <row r="27" spans="3:9" ht="18" x14ac:dyDescent="0.25">
      <c r="C27" s="291" t="s">
        <v>153</v>
      </c>
      <c r="D27" s="292"/>
      <c r="E27" s="292"/>
      <c r="F27" s="292"/>
      <c r="G27" s="292"/>
      <c r="H27" s="292"/>
      <c r="I27" s="194" t="s">
        <v>184</v>
      </c>
    </row>
    <row r="28" spans="3:9" ht="18.75" thickBot="1" x14ac:dyDescent="0.25">
      <c r="C28" s="154"/>
      <c r="D28" s="155"/>
      <c r="E28" s="155"/>
      <c r="F28" s="155"/>
      <c r="G28" s="155"/>
      <c r="H28" s="155"/>
    </row>
    <row r="29" spans="3:9" ht="60" customHeight="1" x14ac:dyDescent="0.2">
      <c r="C29" s="140" t="s">
        <v>0</v>
      </c>
      <c r="D29" s="142" t="s">
        <v>127</v>
      </c>
      <c r="E29" s="141" t="s">
        <v>136</v>
      </c>
      <c r="F29" s="242" t="s">
        <v>137</v>
      </c>
      <c r="G29" s="243"/>
      <c r="H29" s="143" t="s">
        <v>138</v>
      </c>
    </row>
    <row r="30" spans="3:9" ht="30" x14ac:dyDescent="0.2">
      <c r="C30" s="144" t="s">
        <v>114</v>
      </c>
      <c r="D30" s="145">
        <v>0.94</v>
      </c>
      <c r="E30" s="145">
        <v>0.06</v>
      </c>
      <c r="F30" s="145">
        <f t="shared" ref="F30:F31" si="8">+D30-E30</f>
        <v>0.87999999999999989</v>
      </c>
      <c r="G30" s="145">
        <f>+D30+E30</f>
        <v>1</v>
      </c>
      <c r="H30" s="146" t="s">
        <v>144</v>
      </c>
    </row>
    <row r="31" spans="3:9" ht="30" x14ac:dyDescent="0.2">
      <c r="C31" s="144" t="s">
        <v>139</v>
      </c>
      <c r="D31" s="145">
        <v>0.03</v>
      </c>
      <c r="E31" s="145">
        <v>0.05</v>
      </c>
      <c r="F31" s="145">
        <f t="shared" si="8"/>
        <v>-2.0000000000000004E-2</v>
      </c>
      <c r="G31" s="145">
        <f t="shared" ref="G31" si="9">+D31+E31</f>
        <v>0.08</v>
      </c>
      <c r="H31" s="146" t="s">
        <v>4</v>
      </c>
    </row>
    <row r="32" spans="3:9" ht="75" x14ac:dyDescent="0.2">
      <c r="C32" s="144" t="s">
        <v>116</v>
      </c>
      <c r="D32" s="145">
        <v>0</v>
      </c>
      <c r="E32" s="145">
        <v>0.06</v>
      </c>
      <c r="F32" s="145">
        <f>+D32-E32</f>
        <v>-0.06</v>
      </c>
      <c r="G32" s="145">
        <f>+D32+E32</f>
        <v>0.06</v>
      </c>
      <c r="H32" s="147" t="s">
        <v>92</v>
      </c>
    </row>
    <row r="33" spans="3:8" ht="15" x14ac:dyDescent="0.2">
      <c r="C33" s="144" t="s">
        <v>141</v>
      </c>
      <c r="D33" s="145">
        <v>0</v>
      </c>
      <c r="E33" s="145">
        <v>0.05</v>
      </c>
      <c r="F33" s="145">
        <v>0</v>
      </c>
      <c r="G33" s="145">
        <f>+D33+E33</f>
        <v>0.05</v>
      </c>
      <c r="H33" s="148"/>
    </row>
    <row r="34" spans="3:8" ht="15" x14ac:dyDescent="0.2">
      <c r="C34" s="144" t="s">
        <v>47</v>
      </c>
      <c r="D34" s="145">
        <v>0.03</v>
      </c>
      <c r="E34" s="145"/>
      <c r="F34" s="145">
        <f>+D34-E34</f>
        <v>0.03</v>
      </c>
      <c r="G34" s="145">
        <f>+D34+E34</f>
        <v>0.03</v>
      </c>
      <c r="H34" s="148"/>
    </row>
    <row r="35" spans="3:8" ht="15" x14ac:dyDescent="0.2">
      <c r="C35" s="144" t="s">
        <v>8</v>
      </c>
      <c r="D35" s="145">
        <f>SUM(D30:D34)</f>
        <v>1</v>
      </c>
      <c r="E35" s="145"/>
      <c r="F35" s="145"/>
      <c r="G35" s="145"/>
      <c r="H35" s="148"/>
    </row>
    <row r="36" spans="3:8" ht="15.75" thickBot="1" x14ac:dyDescent="0.25">
      <c r="C36" s="149" t="s">
        <v>9</v>
      </c>
      <c r="D36" s="150">
        <v>0.28000000000000003</v>
      </c>
      <c r="E36" s="150">
        <v>0.05</v>
      </c>
      <c r="F36" s="40">
        <f t="shared" ref="F36" si="10">IF(D36-E36&gt;0,D36-E36,0)</f>
        <v>0.23000000000000004</v>
      </c>
      <c r="G36" s="40">
        <f t="shared" ref="G36" si="11">D36+E36</f>
        <v>0.33</v>
      </c>
      <c r="H36" s="151"/>
    </row>
    <row r="37" spans="3:8" ht="15" x14ac:dyDescent="0.2">
      <c r="C37" s="160" t="s">
        <v>160</v>
      </c>
      <c r="D37" s="163">
        <v>1E-3</v>
      </c>
    </row>
  </sheetData>
  <mergeCells count="6">
    <mergeCell ref="F17:G17"/>
    <mergeCell ref="F29:G29"/>
    <mergeCell ref="C27:H27"/>
    <mergeCell ref="F5:G5"/>
    <mergeCell ref="C3:H3"/>
    <mergeCell ref="C15:H15"/>
  </mergeCells>
  <pageMargins left="0.70866141732283472" right="0.70866141732283472" top="0.74803149606299213" bottom="0.74803149606299213" header="0.31496062992125984" footer="0.31496062992125984"/>
  <pageSetup paperSize="9" scale="44"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1:J15"/>
  <sheetViews>
    <sheetView showGridLines="0" rightToLeft="1" zoomScaleNormal="100" zoomScaleSheetLayoutView="100" workbookViewId="0">
      <selection activeCell="J5" sqref="J5"/>
    </sheetView>
  </sheetViews>
  <sheetFormatPr defaultRowHeight="14.25" x14ac:dyDescent="0.2"/>
  <cols>
    <col min="2" max="2" width="38.125" customWidth="1"/>
    <col min="3" max="3" width="14.75" customWidth="1"/>
    <col min="4" max="5" width="12.125" customWidth="1"/>
    <col min="6" max="8" width="9.25" customWidth="1"/>
    <col min="9" max="9" width="35.375" customWidth="1"/>
  </cols>
  <sheetData>
    <row r="1" spans="2:10" ht="27.6" customHeight="1" x14ac:dyDescent="0.2">
      <c r="B1" s="283" t="str">
        <f>'קרן י'!B1</f>
        <v>מדיניות השקעה לשנת 2024</v>
      </c>
      <c r="C1" s="283"/>
      <c r="D1" s="298"/>
      <c r="E1" s="298"/>
      <c r="F1" s="298"/>
      <c r="G1" s="298"/>
      <c r="H1" s="298"/>
      <c r="I1" s="298"/>
    </row>
    <row r="2" spans="2:10" ht="31.5" customHeight="1" thickBot="1" x14ac:dyDescent="0.3">
      <c r="B2" s="308" t="s">
        <v>185</v>
      </c>
      <c r="C2" s="301"/>
      <c r="D2" s="301"/>
      <c r="E2" s="301"/>
      <c r="F2" s="301"/>
      <c r="G2" s="301"/>
      <c r="H2" s="301"/>
      <c r="I2" s="302"/>
      <c r="J2" s="193" t="s">
        <v>186</v>
      </c>
    </row>
    <row r="3" spans="2:10" ht="49.9" customHeight="1" x14ac:dyDescent="0.25">
      <c r="B3" s="35" t="s">
        <v>0</v>
      </c>
      <c r="C3" s="186" t="s">
        <v>169</v>
      </c>
      <c r="D3" s="186" t="s">
        <v>170</v>
      </c>
      <c r="E3" s="36" t="str">
        <f>'קרן י'!C4</f>
        <v>שיעור חשיפה צפוי לשנת 2024</v>
      </c>
      <c r="F3" s="35" t="s">
        <v>72</v>
      </c>
      <c r="G3" s="215" t="s">
        <v>40</v>
      </c>
      <c r="H3" s="237"/>
      <c r="I3" s="35" t="s">
        <v>91</v>
      </c>
      <c r="J3" s="193" t="s">
        <v>172</v>
      </c>
    </row>
    <row r="4" spans="2:10" ht="27.6" customHeight="1" x14ac:dyDescent="0.2">
      <c r="B4" s="37" t="s">
        <v>6</v>
      </c>
      <c r="C4" s="191">
        <v>0.22969999999999999</v>
      </c>
      <c r="D4" s="39">
        <v>0.24</v>
      </c>
      <c r="E4" s="39">
        <v>0.24</v>
      </c>
      <c r="F4" s="40">
        <v>0.06</v>
      </c>
      <c r="G4" s="40">
        <f t="shared" ref="G4:G8" si="0">IF(E4-F4&gt;0,E4-F4,0)</f>
        <v>0.18</v>
      </c>
      <c r="H4" s="40">
        <f t="shared" ref="H4:H8" si="1">E4+F4</f>
        <v>0.3</v>
      </c>
      <c r="I4" s="41" t="s">
        <v>102</v>
      </c>
      <c r="J4" t="s">
        <v>187</v>
      </c>
    </row>
    <row r="5" spans="2:10" ht="27.6" customHeight="1" x14ac:dyDescent="0.2">
      <c r="B5" s="37" t="s">
        <v>73</v>
      </c>
      <c r="C5" s="191">
        <v>0.38250000000000001</v>
      </c>
      <c r="D5" s="39">
        <v>0.38</v>
      </c>
      <c r="E5" s="39">
        <v>0.41</v>
      </c>
      <c r="F5" s="40">
        <v>0.05</v>
      </c>
      <c r="G5" s="40">
        <f t="shared" si="0"/>
        <v>0.36</v>
      </c>
      <c r="H5" s="40">
        <f t="shared" si="1"/>
        <v>0.45999999999999996</v>
      </c>
      <c r="I5" s="41" t="s">
        <v>4</v>
      </c>
    </row>
    <row r="6" spans="2:10" ht="48.75" customHeight="1" x14ac:dyDescent="0.2">
      <c r="B6" s="37" t="s">
        <v>41</v>
      </c>
      <c r="C6" s="191">
        <v>0.34429999999999999</v>
      </c>
      <c r="D6" s="39">
        <v>0.34</v>
      </c>
      <c r="E6" s="39">
        <v>0.31</v>
      </c>
      <c r="F6" s="40">
        <v>0.06</v>
      </c>
      <c r="G6" s="40">
        <f t="shared" si="0"/>
        <v>0.25</v>
      </c>
      <c r="H6" s="40">
        <f t="shared" si="1"/>
        <v>0.37</v>
      </c>
      <c r="I6" s="41" t="s">
        <v>98</v>
      </c>
    </row>
    <row r="7" spans="2:10" ht="18.600000000000001" customHeight="1" x14ac:dyDescent="0.2">
      <c r="B7" s="37" t="s">
        <v>7</v>
      </c>
      <c r="C7" s="191">
        <v>0</v>
      </c>
      <c r="D7" s="39">
        <v>0</v>
      </c>
      <c r="E7" s="39">
        <v>0</v>
      </c>
      <c r="F7" s="40">
        <v>0.05</v>
      </c>
      <c r="G7" s="40">
        <f t="shared" si="0"/>
        <v>0</v>
      </c>
      <c r="H7" s="40">
        <f t="shared" si="1"/>
        <v>0.05</v>
      </c>
      <c r="I7" s="41"/>
    </row>
    <row r="8" spans="2:10" ht="30" x14ac:dyDescent="0.2">
      <c r="B8" s="37" t="s">
        <v>96</v>
      </c>
      <c r="C8" s="191">
        <v>0</v>
      </c>
      <c r="D8" s="39">
        <v>0</v>
      </c>
      <c r="E8" s="39">
        <v>0</v>
      </c>
      <c r="F8" s="40">
        <v>0.05</v>
      </c>
      <c r="G8" s="40">
        <f t="shared" si="0"/>
        <v>0</v>
      </c>
      <c r="H8" s="40">
        <f t="shared" si="1"/>
        <v>0.05</v>
      </c>
      <c r="I8" s="41"/>
    </row>
    <row r="9" spans="2:10" ht="18.600000000000001" customHeight="1" x14ac:dyDescent="0.2">
      <c r="B9" s="37" t="s">
        <v>47</v>
      </c>
      <c r="C9" s="191">
        <v>4.3499999999999997E-2</v>
      </c>
      <c r="D9" s="39">
        <v>0.04</v>
      </c>
      <c r="E9" s="39">
        <v>0.04</v>
      </c>
      <c r="F9" s="40"/>
      <c r="G9" s="40"/>
      <c r="H9" s="40"/>
      <c r="I9" s="41"/>
    </row>
    <row r="10" spans="2:10" ht="18.600000000000001" customHeight="1" x14ac:dyDescent="0.2">
      <c r="B10" s="37" t="s">
        <v>8</v>
      </c>
      <c r="C10" s="195">
        <f>SUM(C4:C9)</f>
        <v>0.99999999999999989</v>
      </c>
      <c r="D10" s="85">
        <f>SUM(D4:D9)</f>
        <v>1</v>
      </c>
      <c r="E10" s="85">
        <v>1</v>
      </c>
      <c r="F10" s="40"/>
      <c r="G10" s="40"/>
      <c r="H10" s="40"/>
      <c r="I10" s="41"/>
    </row>
    <row r="11" spans="2:10" ht="18.600000000000001" customHeight="1" x14ac:dyDescent="0.2">
      <c r="B11" s="37" t="s">
        <v>9</v>
      </c>
      <c r="C11" s="195">
        <v>0.12859999999999999</v>
      </c>
      <c r="D11" s="39"/>
      <c r="E11" s="39">
        <v>0.12</v>
      </c>
      <c r="F11" s="40">
        <v>0.06</v>
      </c>
      <c r="G11" s="40">
        <f>IF(E11-F11&gt;0,E11-F11,0)</f>
        <v>0.06</v>
      </c>
      <c r="H11" s="40">
        <f>E11+F11</f>
        <v>0.18</v>
      </c>
      <c r="I11" s="41"/>
    </row>
    <row r="12" spans="2:10" ht="18.600000000000001" customHeight="1" x14ac:dyDescent="0.2">
      <c r="B12" s="160" t="s">
        <v>160</v>
      </c>
      <c r="C12" s="166"/>
      <c r="D12" s="166"/>
      <c r="E12" s="166">
        <v>1E-3</v>
      </c>
      <c r="F12" s="162"/>
      <c r="G12" s="162"/>
      <c r="H12" s="162"/>
      <c r="I12" s="156"/>
    </row>
    <row r="13" spans="2:10" x14ac:dyDescent="0.2">
      <c r="B13" s="34" t="s">
        <v>125</v>
      </c>
    </row>
    <row r="14" spans="2:10" x14ac:dyDescent="0.2">
      <c r="B14" s="34" t="s">
        <v>46</v>
      </c>
      <c r="C14" s="34"/>
      <c r="D14" s="34"/>
      <c r="E14" s="34"/>
      <c r="F14" s="34"/>
      <c r="G14" s="34"/>
      <c r="H14" s="34"/>
      <c r="I14" s="34"/>
    </row>
    <row r="15" spans="2:10" x14ac:dyDescent="0.2">
      <c r="B15" s="34" t="s">
        <v>89</v>
      </c>
    </row>
  </sheetData>
  <mergeCells count="3">
    <mergeCell ref="B1:I1"/>
    <mergeCell ref="G3:H3"/>
    <mergeCell ref="B2:I2"/>
  </mergeCells>
  <pageMargins left="0.70866141732283472" right="0.70866141732283472" top="0.74803149606299213" bottom="0.74803149606299213" header="0.31496062992125984" footer="0.31496062992125984"/>
  <pageSetup paperSize="9" scale="86"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00"/>
  </sheetPr>
  <dimension ref="A1:H17"/>
  <sheetViews>
    <sheetView showGridLines="0" rightToLeft="1" topLeftCell="A4" zoomScaleSheetLayoutView="100" workbookViewId="0">
      <selection activeCell="A17" sqref="A17:H17"/>
    </sheetView>
  </sheetViews>
  <sheetFormatPr defaultRowHeight="14.25" x14ac:dyDescent="0.2"/>
  <cols>
    <col min="2" max="2" width="36" customWidth="1"/>
    <col min="3" max="3" width="14.75" customWidth="1"/>
    <col min="4" max="5" width="12.125" customWidth="1"/>
    <col min="6" max="6" width="9.25" customWidth="1"/>
    <col min="7" max="7" width="27.75" customWidth="1"/>
  </cols>
  <sheetData>
    <row r="1" spans="1:8" ht="27.6" customHeight="1" x14ac:dyDescent="0.2">
      <c r="B1" s="310" t="s">
        <v>154</v>
      </c>
      <c r="C1" s="310"/>
      <c r="D1" s="310"/>
      <c r="E1" s="310"/>
      <c r="F1" s="310"/>
      <c r="G1" s="310"/>
    </row>
    <row r="2" spans="1:8" ht="27.6" customHeight="1" x14ac:dyDescent="0.2">
      <c r="B2" s="219" t="s">
        <v>259</v>
      </c>
      <c r="C2" s="219"/>
      <c r="D2" s="219"/>
      <c r="E2" s="219"/>
      <c r="F2" s="219"/>
      <c r="G2" s="219"/>
    </row>
    <row r="3" spans="1:8" ht="30" customHeight="1" x14ac:dyDescent="0.2">
      <c r="A3" s="213" t="s">
        <v>260</v>
      </c>
      <c r="B3" s="311" t="s">
        <v>128</v>
      </c>
      <c r="C3" s="312"/>
      <c r="D3" s="313"/>
      <c r="E3" s="313"/>
      <c r="F3" s="313"/>
      <c r="G3" s="313"/>
      <c r="H3" s="213" t="s">
        <v>262</v>
      </c>
    </row>
    <row r="4" spans="1:8" ht="45" x14ac:dyDescent="0.2">
      <c r="A4" s="213"/>
      <c r="B4" s="35" t="s">
        <v>0</v>
      </c>
      <c r="C4" s="36" t="s">
        <v>251</v>
      </c>
      <c r="D4" s="35" t="s">
        <v>72</v>
      </c>
      <c r="E4" s="215" t="s">
        <v>40</v>
      </c>
      <c r="F4" s="216"/>
      <c r="G4" s="35" t="s">
        <v>91</v>
      </c>
      <c r="H4" s="213"/>
    </row>
    <row r="5" spans="1:8" ht="30" x14ac:dyDescent="0.2">
      <c r="A5" s="213"/>
      <c r="B5" s="135" t="s">
        <v>76</v>
      </c>
      <c r="C5" s="205">
        <v>0.4</v>
      </c>
      <c r="D5" s="136">
        <v>0.06</v>
      </c>
      <c r="E5" s="136">
        <f>IF(C5-D5&gt;0,C5-D5,0)</f>
        <v>0.34</v>
      </c>
      <c r="F5" s="136">
        <f>C5+D5</f>
        <v>0.46</v>
      </c>
      <c r="G5" s="137" t="s">
        <v>129</v>
      </c>
      <c r="H5" s="213"/>
    </row>
    <row r="6" spans="1:8" ht="60" x14ac:dyDescent="0.2">
      <c r="A6" s="213"/>
      <c r="B6" s="135" t="s">
        <v>130</v>
      </c>
      <c r="C6" s="205">
        <v>0.2</v>
      </c>
      <c r="D6" s="136">
        <v>0.05</v>
      </c>
      <c r="E6" s="136">
        <f t="shared" ref="E6:E12" si="0">IF(C6-D6&gt;0,C6-D6,0)</f>
        <v>0.15000000000000002</v>
      </c>
      <c r="F6" s="136">
        <f t="shared" ref="F6:F12" si="1">C6+D6</f>
        <v>0.25</v>
      </c>
      <c r="G6" s="137" t="s">
        <v>131</v>
      </c>
      <c r="H6" s="213"/>
    </row>
    <row r="7" spans="1:8" ht="75" x14ac:dyDescent="0.2">
      <c r="A7" s="213"/>
      <c r="B7" s="135" t="s">
        <v>41</v>
      </c>
      <c r="C7" s="205">
        <v>0.35</v>
      </c>
      <c r="D7" s="136">
        <v>0.06</v>
      </c>
      <c r="E7" s="136">
        <f t="shared" si="0"/>
        <v>0.28999999999999998</v>
      </c>
      <c r="F7" s="136">
        <f t="shared" si="1"/>
        <v>0.41</v>
      </c>
      <c r="G7" s="138" t="s">
        <v>132</v>
      </c>
      <c r="H7" s="213"/>
    </row>
    <row r="8" spans="1:8" ht="15" x14ac:dyDescent="0.2">
      <c r="A8" s="213"/>
      <c r="B8" s="135" t="s">
        <v>7</v>
      </c>
      <c r="C8" s="205">
        <v>0</v>
      </c>
      <c r="D8" s="136">
        <v>0.05</v>
      </c>
      <c r="E8" s="136">
        <f t="shared" si="0"/>
        <v>0</v>
      </c>
      <c r="F8" s="136">
        <f t="shared" si="1"/>
        <v>0.05</v>
      </c>
      <c r="G8" s="137"/>
      <c r="H8" s="213"/>
    </row>
    <row r="9" spans="1:8" ht="15" x14ac:dyDescent="0.2">
      <c r="A9" s="213"/>
      <c r="B9" s="135" t="s">
        <v>42</v>
      </c>
      <c r="C9" s="205">
        <v>0</v>
      </c>
      <c r="D9" s="136">
        <v>0.05</v>
      </c>
      <c r="E9" s="136">
        <f t="shared" si="0"/>
        <v>0</v>
      </c>
      <c r="F9" s="136">
        <f t="shared" si="1"/>
        <v>0.05</v>
      </c>
      <c r="G9" s="137"/>
      <c r="H9" s="213"/>
    </row>
    <row r="10" spans="1:8" ht="15" x14ac:dyDescent="0.2">
      <c r="A10" s="213"/>
      <c r="B10" s="135" t="s">
        <v>47</v>
      </c>
      <c r="C10" s="205">
        <v>0.05</v>
      </c>
      <c r="D10" s="136"/>
      <c r="E10" s="136"/>
      <c r="F10" s="136"/>
      <c r="G10" s="137" t="s">
        <v>133</v>
      </c>
      <c r="H10" s="213"/>
    </row>
    <row r="11" spans="1:8" ht="15" x14ac:dyDescent="0.2">
      <c r="A11" s="213"/>
      <c r="B11" s="135" t="s">
        <v>8</v>
      </c>
      <c r="C11" s="205">
        <f>SUM(C5:C10)</f>
        <v>1</v>
      </c>
      <c r="D11" s="136"/>
      <c r="E11" s="136"/>
      <c r="F11" s="136"/>
      <c r="G11" s="137"/>
      <c r="H11" s="213"/>
    </row>
    <row r="12" spans="1:8" ht="15" x14ac:dyDescent="0.2">
      <c r="A12" s="213"/>
      <c r="B12" s="135" t="s">
        <v>9</v>
      </c>
      <c r="C12" s="205">
        <v>0.2</v>
      </c>
      <c r="D12" s="136">
        <v>0.06</v>
      </c>
      <c r="E12" s="136">
        <f t="shared" si="0"/>
        <v>0.14000000000000001</v>
      </c>
      <c r="F12" s="136">
        <f t="shared" si="1"/>
        <v>0.26</v>
      </c>
      <c r="G12" s="137" t="s">
        <v>134</v>
      </c>
      <c r="H12" s="213"/>
    </row>
    <row r="13" spans="1:8" ht="15" x14ac:dyDescent="0.2">
      <c r="A13" s="213"/>
      <c r="B13" s="160" t="s">
        <v>160</v>
      </c>
      <c r="C13" s="314">
        <v>1.5E-3</v>
      </c>
      <c r="D13" s="314"/>
      <c r="E13" s="314"/>
      <c r="F13" s="314"/>
      <c r="G13" s="314"/>
      <c r="H13" s="213"/>
    </row>
    <row r="14" spans="1:8" ht="15" x14ac:dyDescent="0.2">
      <c r="A14" s="208"/>
      <c r="B14" s="309" t="s">
        <v>264</v>
      </c>
      <c r="C14" s="309"/>
      <c r="D14" s="309"/>
      <c r="E14" s="309"/>
      <c r="F14" s="309"/>
      <c r="G14" s="309"/>
    </row>
    <row r="15" spans="1:8" x14ac:dyDescent="0.2">
      <c r="B15" s="34" t="s">
        <v>46</v>
      </c>
      <c r="C15" s="34"/>
      <c r="D15" s="34"/>
      <c r="E15" s="34"/>
      <c r="F15" s="34"/>
      <c r="G15" s="34"/>
    </row>
    <row r="16" spans="1:8" x14ac:dyDescent="0.2">
      <c r="B16" s="139" t="s">
        <v>89</v>
      </c>
    </row>
    <row r="17" spans="1:8" x14ac:dyDescent="0.2">
      <c r="A17" s="213" t="s">
        <v>263</v>
      </c>
      <c r="B17" s="213"/>
      <c r="C17" s="213"/>
      <c r="D17" s="213"/>
      <c r="E17" s="213"/>
      <c r="F17" s="213"/>
      <c r="G17" s="213"/>
      <c r="H17" s="213"/>
    </row>
  </sheetData>
  <mergeCells count="9">
    <mergeCell ref="A3:A13"/>
    <mergeCell ref="B14:G14"/>
    <mergeCell ref="H3:H13"/>
    <mergeCell ref="A17:H17"/>
    <mergeCell ref="B1:G1"/>
    <mergeCell ref="B3:G3"/>
    <mergeCell ref="E4:F4"/>
    <mergeCell ref="C13:G13"/>
    <mergeCell ref="B2:G2"/>
  </mergeCells>
  <printOptions horizontalCentered="1"/>
  <pageMargins left="0.70866141732283505" right="0.70866141732283505" top="0.74803149606299202" bottom="0.74803149606299202" header="0.31496062992126" footer="0.31496062992126"/>
  <pageSetup paperSize="9" scale="9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00"/>
  </sheetPr>
  <dimension ref="A1:I17"/>
  <sheetViews>
    <sheetView showGridLines="0" rightToLeft="1" topLeftCell="A7" zoomScale="115" zoomScaleNormal="115" zoomScaleSheetLayoutView="100" workbookViewId="0">
      <selection activeCell="A17" sqref="A17:I17"/>
    </sheetView>
  </sheetViews>
  <sheetFormatPr defaultRowHeight="14.25" x14ac:dyDescent="0.2"/>
  <cols>
    <col min="2" max="2" width="36" customWidth="1"/>
    <col min="3" max="3" width="14.75" customWidth="1"/>
    <col min="4" max="5" width="12.125" customWidth="1"/>
    <col min="6" max="6" width="9.25" customWidth="1"/>
    <col min="7" max="7" width="24.25" customWidth="1"/>
  </cols>
  <sheetData>
    <row r="1" spans="1:8" ht="27.6" customHeight="1" x14ac:dyDescent="0.2">
      <c r="B1" s="310" t="s">
        <v>154</v>
      </c>
      <c r="C1" s="310"/>
      <c r="D1" s="310"/>
      <c r="E1" s="310"/>
      <c r="F1" s="310"/>
      <c r="G1" s="310"/>
    </row>
    <row r="2" spans="1:8" ht="27.6" customHeight="1" x14ac:dyDescent="0.2">
      <c r="B2" s="219" t="s">
        <v>259</v>
      </c>
      <c r="C2" s="219"/>
      <c r="D2" s="219"/>
      <c r="E2" s="219"/>
      <c r="F2" s="219"/>
      <c r="G2" s="219"/>
    </row>
    <row r="3" spans="1:8" ht="30" customHeight="1" x14ac:dyDescent="0.2">
      <c r="A3" s="213" t="s">
        <v>260</v>
      </c>
      <c r="B3" s="311" t="s">
        <v>135</v>
      </c>
      <c r="C3" s="312"/>
      <c r="D3" s="313"/>
      <c r="E3" s="313"/>
      <c r="F3" s="313"/>
      <c r="G3" s="313"/>
      <c r="H3" s="213" t="s">
        <v>262</v>
      </c>
    </row>
    <row r="4" spans="1:8" ht="45" x14ac:dyDescent="0.2">
      <c r="A4" s="213"/>
      <c r="B4" s="35" t="s">
        <v>0</v>
      </c>
      <c r="C4" s="36" t="s">
        <v>251</v>
      </c>
      <c r="D4" s="35" t="s">
        <v>72</v>
      </c>
      <c r="E4" s="215" t="s">
        <v>40</v>
      </c>
      <c r="F4" s="216"/>
      <c r="G4" s="35" t="s">
        <v>91</v>
      </c>
      <c r="H4" s="213"/>
    </row>
    <row r="5" spans="1:8" ht="30" x14ac:dyDescent="0.2">
      <c r="A5" s="213"/>
      <c r="B5" s="135" t="s">
        <v>76</v>
      </c>
      <c r="C5" s="205">
        <v>0.4</v>
      </c>
      <c r="D5" s="136">
        <v>0.06</v>
      </c>
      <c r="E5" s="136">
        <f>IF(C5-D5&gt;0,C5-D5,0)</f>
        <v>0.34</v>
      </c>
      <c r="F5" s="136">
        <f>C5+D5</f>
        <v>0.46</v>
      </c>
      <c r="G5" s="137" t="s">
        <v>129</v>
      </c>
      <c r="H5" s="213"/>
    </row>
    <row r="6" spans="1:8" ht="75" x14ac:dyDescent="0.2">
      <c r="A6" s="213"/>
      <c r="B6" s="135" t="s">
        <v>130</v>
      </c>
      <c r="C6" s="205">
        <v>0.2</v>
      </c>
      <c r="D6" s="136">
        <v>0.05</v>
      </c>
      <c r="E6" s="136">
        <f t="shared" ref="E6:E12" si="0">IF(C6-D6&gt;0,C6-D6,0)</f>
        <v>0.15000000000000002</v>
      </c>
      <c r="F6" s="136">
        <f t="shared" ref="F6:F12" si="1">C6+D6</f>
        <v>0.25</v>
      </c>
      <c r="G6" s="137" t="s">
        <v>131</v>
      </c>
      <c r="H6" s="213"/>
    </row>
    <row r="7" spans="1:8" ht="75" x14ac:dyDescent="0.2">
      <c r="A7" s="213"/>
      <c r="B7" s="135" t="s">
        <v>41</v>
      </c>
      <c r="C7" s="205">
        <v>0.35</v>
      </c>
      <c r="D7" s="136">
        <v>0.06</v>
      </c>
      <c r="E7" s="136">
        <f t="shared" si="0"/>
        <v>0.28999999999999998</v>
      </c>
      <c r="F7" s="136">
        <f t="shared" si="1"/>
        <v>0.41</v>
      </c>
      <c r="G7" s="138" t="s">
        <v>132</v>
      </c>
      <c r="H7" s="213"/>
    </row>
    <row r="8" spans="1:8" ht="15" x14ac:dyDescent="0.2">
      <c r="A8" s="213"/>
      <c r="B8" s="135" t="s">
        <v>7</v>
      </c>
      <c r="C8" s="205">
        <v>0</v>
      </c>
      <c r="D8" s="136">
        <v>0.05</v>
      </c>
      <c r="E8" s="136">
        <f t="shared" si="0"/>
        <v>0</v>
      </c>
      <c r="F8" s="136">
        <f t="shared" si="1"/>
        <v>0.05</v>
      </c>
      <c r="G8" s="137"/>
      <c r="H8" s="213"/>
    </row>
    <row r="9" spans="1:8" ht="15" x14ac:dyDescent="0.2">
      <c r="A9" s="213"/>
      <c r="B9" s="135" t="s">
        <v>42</v>
      </c>
      <c r="C9" s="205">
        <v>0</v>
      </c>
      <c r="D9" s="136">
        <v>0.05</v>
      </c>
      <c r="E9" s="136">
        <f t="shared" si="0"/>
        <v>0</v>
      </c>
      <c r="F9" s="136">
        <f t="shared" si="1"/>
        <v>0.05</v>
      </c>
      <c r="G9" s="137"/>
      <c r="H9" s="213"/>
    </row>
    <row r="10" spans="1:8" ht="15" x14ac:dyDescent="0.2">
      <c r="A10" s="213"/>
      <c r="B10" s="135" t="s">
        <v>47</v>
      </c>
      <c r="C10" s="205">
        <v>0.05</v>
      </c>
      <c r="D10" s="136"/>
      <c r="E10" s="136"/>
      <c r="F10" s="136"/>
      <c r="G10" s="137" t="s">
        <v>133</v>
      </c>
      <c r="H10" s="213"/>
    </row>
    <row r="11" spans="1:8" ht="15" x14ac:dyDescent="0.2">
      <c r="A11" s="213"/>
      <c r="B11" s="135" t="s">
        <v>8</v>
      </c>
      <c r="C11" s="205">
        <f>SUM(C5:C10)</f>
        <v>1</v>
      </c>
      <c r="D11" s="136"/>
      <c r="E11" s="136"/>
      <c r="F11" s="136"/>
      <c r="G11" s="137"/>
      <c r="H11" s="213"/>
    </row>
    <row r="12" spans="1:8" ht="15" x14ac:dyDescent="0.2">
      <c r="A12" s="213"/>
      <c r="B12" s="135" t="s">
        <v>9</v>
      </c>
      <c r="C12" s="205">
        <v>0.2</v>
      </c>
      <c r="D12" s="136">
        <v>0.06</v>
      </c>
      <c r="E12" s="136">
        <f t="shared" si="0"/>
        <v>0.14000000000000001</v>
      </c>
      <c r="F12" s="136">
        <f t="shared" si="1"/>
        <v>0.26</v>
      </c>
      <c r="G12" s="137" t="s">
        <v>134</v>
      </c>
      <c r="H12" s="213"/>
    </row>
    <row r="13" spans="1:8" ht="15" x14ac:dyDescent="0.2">
      <c r="A13" s="213"/>
      <c r="B13" s="160" t="s">
        <v>160</v>
      </c>
      <c r="C13" s="163">
        <v>1E-3</v>
      </c>
    </row>
    <row r="14" spans="1:8" ht="15" x14ac:dyDescent="0.2">
      <c r="A14" s="208"/>
      <c r="B14" s="309" t="s">
        <v>261</v>
      </c>
      <c r="C14" s="309"/>
      <c r="D14" s="309"/>
      <c r="E14" s="309"/>
      <c r="F14" s="309"/>
      <c r="G14" s="309"/>
    </row>
    <row r="15" spans="1:8" x14ac:dyDescent="0.2">
      <c r="B15" s="34" t="s">
        <v>46</v>
      </c>
      <c r="C15" s="34"/>
      <c r="D15" s="34"/>
      <c r="E15" s="34"/>
      <c r="F15" s="34"/>
      <c r="G15" s="34"/>
    </row>
    <row r="16" spans="1:8" x14ac:dyDescent="0.2">
      <c r="B16" s="139" t="s">
        <v>89</v>
      </c>
    </row>
    <row r="17" spans="1:9" x14ac:dyDescent="0.2">
      <c r="A17" s="213" t="s">
        <v>263</v>
      </c>
      <c r="B17" s="213"/>
      <c r="C17" s="213"/>
      <c r="D17" s="213"/>
      <c r="E17" s="213"/>
      <c r="F17" s="213"/>
      <c r="G17" s="213"/>
      <c r="H17" s="213"/>
      <c r="I17" s="213"/>
    </row>
  </sheetData>
  <mergeCells count="8">
    <mergeCell ref="B14:G14"/>
    <mergeCell ref="H3:H12"/>
    <mergeCell ref="A17:I17"/>
    <mergeCell ref="B1:G1"/>
    <mergeCell ref="B3:G3"/>
    <mergeCell ref="E4:F4"/>
    <mergeCell ref="B2:G2"/>
    <mergeCell ref="A3:A13"/>
  </mergeCells>
  <printOptions horizontalCentered="1"/>
  <pageMargins left="0.70866141732283505" right="0.70866141732283505" top="0.74803149606299202" bottom="0.74803149606299202" header="0.31496062992126" footer="0.31496062992126"/>
  <pageSetup paperSize="9" scale="9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N55"/>
  <sheetViews>
    <sheetView showGridLines="0" rightToLeft="1" topLeftCell="A28" zoomScale="85" zoomScaleNormal="85" workbookViewId="0">
      <selection activeCell="H28" sqref="H28:H35"/>
    </sheetView>
  </sheetViews>
  <sheetFormatPr defaultColWidth="8" defaultRowHeight="14.25" x14ac:dyDescent="0.2"/>
  <cols>
    <col min="1" max="1" width="8" style="71"/>
    <col min="2" max="2" width="71" style="71" customWidth="1"/>
    <col min="3" max="3" width="46.25" style="71" customWidth="1"/>
    <col min="4" max="4" width="44.625" style="71" customWidth="1"/>
    <col min="5" max="5" width="15.375" style="71" customWidth="1"/>
    <col min="6" max="6" width="5.75" style="71" bestFit="1" customWidth="1"/>
    <col min="7" max="7" width="48.5" style="71" customWidth="1"/>
    <col min="8" max="16384" width="8" style="71"/>
  </cols>
  <sheetData>
    <row r="1" spans="1:14" ht="18" customHeight="1" x14ac:dyDescent="0.2">
      <c r="B1" s="316" t="s">
        <v>154</v>
      </c>
      <c r="C1" s="316"/>
      <c r="D1" s="316"/>
      <c r="E1" s="316"/>
      <c r="F1" s="316"/>
      <c r="G1" s="316"/>
    </row>
    <row r="2" spans="1:14" ht="24" customHeight="1" thickBot="1" x14ac:dyDescent="0.25">
      <c r="B2" s="317"/>
      <c r="C2" s="317"/>
      <c r="D2" s="317"/>
      <c r="E2" s="317"/>
      <c r="F2" s="317"/>
      <c r="G2" s="317"/>
    </row>
    <row r="3" spans="1:14" ht="24" customHeight="1" thickBot="1" x14ac:dyDescent="0.25">
      <c r="B3" s="318" t="s">
        <v>259</v>
      </c>
      <c r="C3" s="318"/>
      <c r="D3" s="318"/>
      <c r="E3" s="318"/>
      <c r="F3" s="318"/>
      <c r="G3" s="318"/>
    </row>
    <row r="4" spans="1:14" x14ac:dyDescent="0.2">
      <c r="A4" s="253" t="s">
        <v>260</v>
      </c>
      <c r="B4" s="257" t="s">
        <v>155</v>
      </c>
      <c r="C4" s="258"/>
      <c r="D4" s="258"/>
      <c r="E4" s="258"/>
      <c r="F4" s="258"/>
      <c r="G4" s="258"/>
      <c r="H4" s="253" t="s">
        <v>262</v>
      </c>
    </row>
    <row r="5" spans="1:14" ht="18.75" thickBot="1" x14ac:dyDescent="0.25">
      <c r="A5" s="253"/>
      <c r="B5" s="263"/>
      <c r="C5" s="264"/>
      <c r="D5" s="264"/>
      <c r="E5" s="264"/>
      <c r="F5" s="264"/>
      <c r="G5" s="264"/>
      <c r="H5" s="253"/>
      <c r="L5" s="153"/>
      <c r="M5" s="153"/>
      <c r="N5" s="153"/>
    </row>
    <row r="6" spans="1:14" ht="15" x14ac:dyDescent="0.2">
      <c r="A6" s="253"/>
      <c r="B6" s="140" t="s">
        <v>0</v>
      </c>
      <c r="C6" s="142" t="s">
        <v>127</v>
      </c>
      <c r="D6" s="141" t="s">
        <v>136</v>
      </c>
      <c r="E6" s="230" t="s">
        <v>137</v>
      </c>
      <c r="F6" s="231"/>
      <c r="G6" s="143" t="s">
        <v>138</v>
      </c>
      <c r="H6" s="253"/>
      <c r="J6" s="153"/>
      <c r="K6" s="153"/>
      <c r="L6" s="153"/>
      <c r="M6" s="153"/>
    </row>
    <row r="7" spans="1:14" ht="30" x14ac:dyDescent="0.2">
      <c r="A7" s="253"/>
      <c r="B7" s="144" t="s">
        <v>114</v>
      </c>
      <c r="C7" s="145">
        <v>0.09</v>
      </c>
      <c r="D7" s="145">
        <v>0.06</v>
      </c>
      <c r="E7" s="145">
        <f>+C7-D7</f>
        <v>0.03</v>
      </c>
      <c r="F7" s="145">
        <f>+C7+D7</f>
        <v>0.15</v>
      </c>
      <c r="G7" s="146" t="s">
        <v>144</v>
      </c>
      <c r="H7" s="253"/>
    </row>
    <row r="8" spans="1:14" ht="30" x14ac:dyDescent="0.2">
      <c r="A8" s="253"/>
      <c r="B8" s="144" t="s">
        <v>139</v>
      </c>
      <c r="C8" s="145">
        <v>0.33</v>
      </c>
      <c r="D8" s="145">
        <v>0.05</v>
      </c>
      <c r="E8" s="145">
        <f t="shared" ref="E8" si="0">+C8-D8</f>
        <v>0.28000000000000003</v>
      </c>
      <c r="F8" s="145">
        <f t="shared" ref="F8" si="1">+C8+D8</f>
        <v>0.38</v>
      </c>
      <c r="G8" s="146" t="s">
        <v>4</v>
      </c>
      <c r="H8" s="253"/>
    </row>
    <row r="9" spans="1:14" ht="45" x14ac:dyDescent="0.2">
      <c r="A9" s="253"/>
      <c r="B9" s="144" t="s">
        <v>116</v>
      </c>
      <c r="C9" s="145">
        <v>0.51</v>
      </c>
      <c r="D9" s="145">
        <v>0.06</v>
      </c>
      <c r="E9" s="145">
        <f>+C9-D9</f>
        <v>0.45</v>
      </c>
      <c r="F9" s="145">
        <f>+C9+D9</f>
        <v>0.57000000000000006</v>
      </c>
      <c r="G9" s="147" t="s">
        <v>92</v>
      </c>
      <c r="H9" s="253"/>
    </row>
    <row r="10" spans="1:14" ht="15" x14ac:dyDescent="0.2">
      <c r="A10" s="253"/>
      <c r="B10" s="144" t="s">
        <v>47</v>
      </c>
      <c r="C10" s="145">
        <v>7.0000000000000007E-2</v>
      </c>
      <c r="D10" s="145"/>
      <c r="E10" s="145">
        <v>0.02</v>
      </c>
      <c r="F10" s="145">
        <v>0.02</v>
      </c>
      <c r="G10" s="148"/>
      <c r="H10" s="253"/>
    </row>
    <row r="11" spans="1:14" ht="15" x14ac:dyDescent="0.2">
      <c r="A11" s="253"/>
      <c r="B11" s="144" t="s">
        <v>8</v>
      </c>
      <c r="C11" s="145">
        <f>SUM(C7:C10)</f>
        <v>1</v>
      </c>
      <c r="D11" s="145"/>
      <c r="E11" s="145"/>
      <c r="F11" s="145"/>
      <c r="G11" s="148"/>
      <c r="H11" s="253"/>
    </row>
    <row r="12" spans="1:14" ht="15.75" thickBot="1" x14ac:dyDescent="0.25">
      <c r="A12" s="253"/>
      <c r="B12" s="149" t="s">
        <v>9</v>
      </c>
      <c r="C12" s="198">
        <v>0.14000000000000001</v>
      </c>
      <c r="D12" s="150">
        <v>0.05</v>
      </c>
      <c r="E12" s="136">
        <f t="shared" ref="E12" si="2">IF(C12-D12&gt;0,C12-D12,0)</f>
        <v>9.0000000000000011E-2</v>
      </c>
      <c r="F12" s="136">
        <f t="shared" ref="F12" si="3">C12+D12</f>
        <v>0.19</v>
      </c>
      <c r="G12" s="151"/>
      <c r="H12" s="253"/>
    </row>
    <row r="13" spans="1:14" ht="15" x14ac:dyDescent="0.2">
      <c r="A13" s="253"/>
      <c r="B13" s="160" t="s">
        <v>160</v>
      </c>
      <c r="C13" s="163">
        <v>5.0000000000000001E-4</v>
      </c>
      <c r="D13" s="157"/>
      <c r="E13" s="157"/>
      <c r="F13" s="157"/>
      <c r="G13" s="157"/>
      <c r="H13" s="253"/>
    </row>
    <row r="14" spans="1:14" x14ac:dyDescent="0.2">
      <c r="B14" s="213" t="s">
        <v>261</v>
      </c>
      <c r="C14" s="213"/>
      <c r="D14" s="213"/>
      <c r="E14" s="213"/>
      <c r="F14" s="213"/>
      <c r="G14" s="213"/>
    </row>
    <row r="15" spans="1:14" ht="15" thickBot="1" x14ac:dyDescent="0.25">
      <c r="B15" s="315" t="s">
        <v>259</v>
      </c>
      <c r="C15" s="315"/>
      <c r="D15" s="315"/>
      <c r="E15" s="315"/>
      <c r="F15" s="315"/>
      <c r="G15" s="315"/>
    </row>
    <row r="16" spans="1:14" x14ac:dyDescent="0.2">
      <c r="A16" s="253" t="s">
        <v>260</v>
      </c>
      <c r="B16" s="257" t="s">
        <v>156</v>
      </c>
      <c r="C16" s="258"/>
      <c r="D16" s="258"/>
      <c r="E16" s="258"/>
      <c r="F16" s="258"/>
      <c r="G16" s="258"/>
      <c r="H16" s="253" t="s">
        <v>262</v>
      </c>
    </row>
    <row r="17" spans="1:8" ht="18.75" thickBot="1" x14ac:dyDescent="0.25">
      <c r="A17" s="253"/>
      <c r="B17" s="263"/>
      <c r="C17" s="264"/>
      <c r="D17" s="264"/>
      <c r="E17" s="264"/>
      <c r="F17" s="264"/>
      <c r="G17" s="264"/>
      <c r="H17" s="253"/>
    </row>
    <row r="18" spans="1:8" ht="15" x14ac:dyDescent="0.2">
      <c r="A18" s="253"/>
      <c r="B18" s="140" t="s">
        <v>0</v>
      </c>
      <c r="C18" s="142" t="s">
        <v>127</v>
      </c>
      <c r="D18" s="141" t="s">
        <v>136</v>
      </c>
      <c r="E18" s="230" t="s">
        <v>137</v>
      </c>
      <c r="F18" s="231"/>
      <c r="G18" s="143" t="s">
        <v>138</v>
      </c>
      <c r="H18" s="253"/>
    </row>
    <row r="19" spans="1:8" ht="30" x14ac:dyDescent="0.2">
      <c r="A19" s="253"/>
      <c r="B19" s="144" t="s">
        <v>114</v>
      </c>
      <c r="C19" s="145">
        <v>0.19</v>
      </c>
      <c r="D19" s="145">
        <v>0.06</v>
      </c>
      <c r="E19" s="145">
        <f>+C19-D19</f>
        <v>0.13</v>
      </c>
      <c r="F19" s="145">
        <f>+C19+D19</f>
        <v>0.25</v>
      </c>
      <c r="G19" s="146" t="s">
        <v>144</v>
      </c>
      <c r="H19" s="253"/>
    </row>
    <row r="20" spans="1:8" ht="30" x14ac:dyDescent="0.2">
      <c r="A20" s="253"/>
      <c r="B20" s="144" t="s">
        <v>139</v>
      </c>
      <c r="C20" s="145">
        <v>0.3</v>
      </c>
      <c r="D20" s="145">
        <v>0.05</v>
      </c>
      <c r="E20" s="145">
        <f t="shared" ref="E20" si="4">+C20-D20</f>
        <v>0.25</v>
      </c>
      <c r="F20" s="145">
        <f t="shared" ref="F20" si="5">+C20+D20</f>
        <v>0.35</v>
      </c>
      <c r="G20" s="146" t="s">
        <v>4</v>
      </c>
      <c r="H20" s="253"/>
    </row>
    <row r="21" spans="1:8" ht="45" x14ac:dyDescent="0.2">
      <c r="A21" s="253"/>
      <c r="B21" s="144" t="s">
        <v>116</v>
      </c>
      <c r="C21" s="145">
        <v>0.46</v>
      </c>
      <c r="D21" s="145">
        <v>0.06</v>
      </c>
      <c r="E21" s="145">
        <f>+C21-D21</f>
        <v>0.4</v>
      </c>
      <c r="F21" s="145">
        <f>+C21+D21</f>
        <v>0.52</v>
      </c>
      <c r="G21" s="147" t="s">
        <v>92</v>
      </c>
      <c r="H21" s="253"/>
    </row>
    <row r="22" spans="1:8" ht="15" x14ac:dyDescent="0.2">
      <c r="A22" s="253"/>
      <c r="B22" s="144" t="s">
        <v>47</v>
      </c>
      <c r="C22" s="145">
        <v>0.05</v>
      </c>
      <c r="D22" s="145"/>
      <c r="E22" s="145">
        <v>0.02</v>
      </c>
      <c r="F22" s="145">
        <v>0.02</v>
      </c>
      <c r="G22" s="148"/>
      <c r="H22" s="253"/>
    </row>
    <row r="23" spans="1:8" ht="15" x14ac:dyDescent="0.2">
      <c r="A23" s="253"/>
      <c r="B23" s="144" t="s">
        <v>8</v>
      </c>
      <c r="C23" s="145">
        <f>SUM(C19:C22)</f>
        <v>1</v>
      </c>
      <c r="D23" s="145"/>
      <c r="E23" s="145"/>
      <c r="F23" s="145"/>
      <c r="G23" s="148"/>
      <c r="H23" s="253"/>
    </row>
    <row r="24" spans="1:8" ht="15.75" thickBot="1" x14ac:dyDescent="0.25">
      <c r="A24" s="253"/>
      <c r="B24" s="149" t="s">
        <v>9</v>
      </c>
      <c r="C24" s="198">
        <v>0.18</v>
      </c>
      <c r="D24" s="150">
        <v>0.05</v>
      </c>
      <c r="E24" s="136">
        <f t="shared" ref="E24" si="6">IF(C24-D24&gt;0,C24-D24,0)</f>
        <v>0.13</v>
      </c>
      <c r="F24" s="136">
        <f t="shared" ref="F24" si="7">C24+D24</f>
        <v>0.22999999999999998</v>
      </c>
      <c r="G24" s="151"/>
      <c r="H24" s="253"/>
    </row>
    <row r="25" spans="1:8" ht="15" x14ac:dyDescent="0.2">
      <c r="A25" s="253"/>
      <c r="B25" s="160" t="s">
        <v>160</v>
      </c>
      <c r="C25" s="227">
        <v>5.0000000000000001E-4</v>
      </c>
      <c r="D25" s="227"/>
      <c r="E25" s="227"/>
      <c r="F25" s="227"/>
      <c r="G25" s="227"/>
      <c r="H25" s="253"/>
    </row>
    <row r="26" spans="1:8" x14ac:dyDescent="0.2">
      <c r="B26" s="213" t="s">
        <v>261</v>
      </c>
      <c r="C26" s="213"/>
      <c r="D26" s="213"/>
      <c r="E26" s="213"/>
      <c r="F26" s="213"/>
      <c r="G26" s="213"/>
    </row>
    <row r="27" spans="1:8" ht="15" thickBot="1" x14ac:dyDescent="0.25">
      <c r="B27" s="315" t="s">
        <v>259</v>
      </c>
      <c r="C27" s="315"/>
      <c r="D27" s="315"/>
      <c r="E27" s="315"/>
      <c r="F27" s="315"/>
      <c r="G27" s="315"/>
    </row>
    <row r="28" spans="1:8" x14ac:dyDescent="0.2">
      <c r="A28" s="253" t="s">
        <v>260</v>
      </c>
      <c r="B28" s="257" t="s">
        <v>157</v>
      </c>
      <c r="C28" s="258"/>
      <c r="D28" s="258"/>
      <c r="E28" s="258"/>
      <c r="F28" s="258"/>
      <c r="G28" s="258"/>
      <c r="H28" s="253" t="s">
        <v>262</v>
      </c>
    </row>
    <row r="29" spans="1:8" ht="18.75" thickBot="1" x14ac:dyDescent="0.25">
      <c r="A29" s="253"/>
      <c r="B29" s="263"/>
      <c r="C29" s="264"/>
      <c r="D29" s="264"/>
      <c r="E29" s="264"/>
      <c r="F29" s="264"/>
      <c r="G29" s="264"/>
      <c r="H29" s="253"/>
    </row>
    <row r="30" spans="1:8" ht="15" x14ac:dyDescent="0.2">
      <c r="A30" s="253"/>
      <c r="B30" s="140" t="s">
        <v>0</v>
      </c>
      <c r="C30" s="142" t="s">
        <v>127</v>
      </c>
      <c r="D30" s="141" t="s">
        <v>136</v>
      </c>
      <c r="E30" s="230" t="s">
        <v>137</v>
      </c>
      <c r="F30" s="231"/>
      <c r="G30" s="143" t="s">
        <v>138</v>
      </c>
      <c r="H30" s="253"/>
    </row>
    <row r="31" spans="1:8" ht="30" x14ac:dyDescent="0.2">
      <c r="A31" s="253"/>
      <c r="B31" s="144" t="s">
        <v>114</v>
      </c>
      <c r="C31" s="145">
        <v>0.94</v>
      </c>
      <c r="D31" s="145">
        <v>0.06</v>
      </c>
      <c r="E31" s="145">
        <f>+C31-D31</f>
        <v>0.87999999999999989</v>
      </c>
      <c r="F31" s="145">
        <f>+C31+D31</f>
        <v>1</v>
      </c>
      <c r="G31" s="146" t="s">
        <v>144</v>
      </c>
      <c r="H31" s="253"/>
    </row>
    <row r="32" spans="1:8" ht="15" x14ac:dyDescent="0.2">
      <c r="A32" s="253"/>
      <c r="B32" s="144" t="s">
        <v>47</v>
      </c>
      <c r="C32" s="145">
        <v>0.06</v>
      </c>
      <c r="D32" s="145"/>
      <c r="E32" s="145">
        <v>0.02</v>
      </c>
      <c r="F32" s="145">
        <v>0.02</v>
      </c>
      <c r="G32" s="148"/>
      <c r="H32" s="253"/>
    </row>
    <row r="33" spans="1:8" ht="15" x14ac:dyDescent="0.2">
      <c r="A33" s="253"/>
      <c r="B33" s="144" t="s">
        <v>8</v>
      </c>
      <c r="C33" s="145">
        <f>SUM(C31:C32)</f>
        <v>1</v>
      </c>
      <c r="D33" s="145"/>
      <c r="E33" s="145"/>
      <c r="F33" s="145"/>
      <c r="G33" s="148"/>
      <c r="H33" s="253"/>
    </row>
    <row r="34" spans="1:8" ht="15.75" thickBot="1" x14ac:dyDescent="0.25">
      <c r="A34" s="253"/>
      <c r="B34" s="149" t="s">
        <v>9</v>
      </c>
      <c r="C34" s="198">
        <v>0.48</v>
      </c>
      <c r="D34" s="150">
        <v>0.05</v>
      </c>
      <c r="E34" s="136">
        <f t="shared" ref="E34" si="8">IF(C34-D34&gt;0,C34-D34,0)</f>
        <v>0.43</v>
      </c>
      <c r="F34" s="136">
        <f t="shared" ref="F34" si="9">C34+D34</f>
        <v>0.53</v>
      </c>
      <c r="G34" s="151"/>
      <c r="H34" s="253"/>
    </row>
    <row r="35" spans="1:8" ht="15" x14ac:dyDescent="0.2">
      <c r="A35" s="253"/>
      <c r="B35" s="160" t="s">
        <v>160</v>
      </c>
      <c r="C35" s="227">
        <v>1.5E-3</v>
      </c>
      <c r="D35" s="227"/>
      <c r="E35" s="227"/>
      <c r="F35" s="227"/>
      <c r="G35" s="227"/>
      <c r="H35" s="253"/>
    </row>
    <row r="36" spans="1:8" x14ac:dyDescent="0.2">
      <c r="B36" s="213" t="s">
        <v>261</v>
      </c>
      <c r="C36" s="213"/>
      <c r="D36" s="213"/>
      <c r="E36" s="213"/>
      <c r="F36" s="213"/>
      <c r="G36" s="213"/>
    </row>
    <row r="37" spans="1:8" ht="15" thickBot="1" x14ac:dyDescent="0.25">
      <c r="B37" s="315" t="s">
        <v>259</v>
      </c>
      <c r="C37" s="315"/>
      <c r="D37" s="315"/>
      <c r="E37" s="315"/>
      <c r="F37" s="315"/>
      <c r="G37" s="315"/>
    </row>
    <row r="38" spans="1:8" x14ac:dyDescent="0.2">
      <c r="A38" s="253" t="s">
        <v>260</v>
      </c>
      <c r="B38" s="257" t="s">
        <v>158</v>
      </c>
      <c r="C38" s="258"/>
      <c r="D38" s="258"/>
      <c r="E38" s="258"/>
      <c r="F38" s="258"/>
      <c r="G38" s="258"/>
      <c r="H38" s="253" t="s">
        <v>262</v>
      </c>
    </row>
    <row r="39" spans="1:8" ht="18.75" thickBot="1" x14ac:dyDescent="0.25">
      <c r="A39" s="253"/>
      <c r="B39" s="263"/>
      <c r="C39" s="264"/>
      <c r="D39" s="264"/>
      <c r="E39" s="264"/>
      <c r="F39" s="264"/>
      <c r="G39" s="264"/>
      <c r="H39" s="253"/>
    </row>
    <row r="40" spans="1:8" ht="15" x14ac:dyDescent="0.2">
      <c r="A40" s="253"/>
      <c r="B40" s="140" t="s">
        <v>0</v>
      </c>
      <c r="C40" s="142" t="s">
        <v>127</v>
      </c>
      <c r="D40" s="141" t="s">
        <v>136</v>
      </c>
      <c r="E40" s="230" t="s">
        <v>137</v>
      </c>
      <c r="F40" s="231"/>
      <c r="G40" s="143" t="s">
        <v>138</v>
      </c>
      <c r="H40" s="253"/>
    </row>
    <row r="41" spans="1:8" ht="30" x14ac:dyDescent="0.2">
      <c r="A41" s="253"/>
      <c r="B41" s="144" t="s">
        <v>139</v>
      </c>
      <c r="C41" s="145">
        <v>0.94</v>
      </c>
      <c r="D41" s="145">
        <v>0.05</v>
      </c>
      <c r="E41" s="145">
        <f>+C41-D41</f>
        <v>0.8899999999999999</v>
      </c>
      <c r="F41" s="145">
        <f>+C41+D41</f>
        <v>0.99</v>
      </c>
      <c r="G41" s="146" t="s">
        <v>4</v>
      </c>
      <c r="H41" s="253"/>
    </row>
    <row r="42" spans="1:8" ht="15" x14ac:dyDescent="0.2">
      <c r="A42" s="253"/>
      <c r="B42" s="144" t="s">
        <v>47</v>
      </c>
      <c r="C42" s="145">
        <v>0.06</v>
      </c>
      <c r="D42" s="145"/>
      <c r="E42" s="145">
        <v>0.02</v>
      </c>
      <c r="F42" s="145">
        <v>0.02</v>
      </c>
      <c r="G42" s="148"/>
      <c r="H42" s="253"/>
    </row>
    <row r="43" spans="1:8" ht="15" x14ac:dyDescent="0.2">
      <c r="A43" s="253"/>
      <c r="B43" s="144" t="s">
        <v>8</v>
      </c>
      <c r="C43" s="145">
        <f>SUM(C41:C42)</f>
        <v>1</v>
      </c>
      <c r="D43" s="145"/>
      <c r="E43" s="145"/>
      <c r="F43" s="145"/>
      <c r="G43" s="148"/>
      <c r="H43" s="253"/>
    </row>
    <row r="44" spans="1:8" ht="15.75" thickBot="1" x14ac:dyDescent="0.25">
      <c r="A44" s="253"/>
      <c r="B44" s="149" t="s">
        <v>9</v>
      </c>
      <c r="C44" s="198">
        <v>0</v>
      </c>
      <c r="D44" s="150">
        <v>0.05</v>
      </c>
      <c r="E44" s="136">
        <f t="shared" ref="E44" si="10">IF(C44-D44&gt;0,C44-D44,0)</f>
        <v>0</v>
      </c>
      <c r="F44" s="136">
        <f t="shared" ref="F44" si="11">C44+D44</f>
        <v>0.05</v>
      </c>
      <c r="G44" s="151"/>
      <c r="H44" s="253"/>
    </row>
    <row r="45" spans="1:8" ht="15" x14ac:dyDescent="0.2">
      <c r="A45" s="253"/>
      <c r="B45" s="160" t="s">
        <v>160</v>
      </c>
      <c r="C45" s="227">
        <v>5.0000000000000001E-4</v>
      </c>
      <c r="D45" s="227"/>
      <c r="E45" s="227"/>
      <c r="F45" s="227"/>
      <c r="G45" s="227"/>
      <c r="H45" s="253"/>
    </row>
    <row r="46" spans="1:8" x14ac:dyDescent="0.2">
      <c r="B46" s="253" t="s">
        <v>261</v>
      </c>
      <c r="C46" s="253"/>
      <c r="D46" s="253"/>
      <c r="E46" s="253"/>
      <c r="F46" s="253"/>
      <c r="G46" s="253"/>
    </row>
    <row r="47" spans="1:8" x14ac:dyDescent="0.2">
      <c r="B47" s="34" t="s">
        <v>46</v>
      </c>
    </row>
    <row r="48" spans="1:8" x14ac:dyDescent="0.2">
      <c r="B48" s="139" t="s">
        <v>89</v>
      </c>
    </row>
    <row r="49" spans="1:3" x14ac:dyDescent="0.2">
      <c r="A49" s="253" t="s">
        <v>263</v>
      </c>
      <c r="B49" s="253"/>
      <c r="C49" s="253"/>
    </row>
    <row r="50" spans="1:3" x14ac:dyDescent="0.2">
      <c r="A50" s="253"/>
      <c r="B50" s="253"/>
      <c r="C50" s="253"/>
    </row>
    <row r="55" spans="1:3" x14ac:dyDescent="0.2">
      <c r="B55" s="153"/>
    </row>
  </sheetData>
  <mergeCells count="33">
    <mergeCell ref="B1:G2"/>
    <mergeCell ref="B3:G3"/>
    <mergeCell ref="C45:G45"/>
    <mergeCell ref="B17:G17"/>
    <mergeCell ref="B39:G39"/>
    <mergeCell ref="E40:F40"/>
    <mergeCell ref="E18:F18"/>
    <mergeCell ref="B28:G28"/>
    <mergeCell ref="B29:G29"/>
    <mergeCell ref="E30:F30"/>
    <mergeCell ref="B38:G38"/>
    <mergeCell ref="C25:G25"/>
    <mergeCell ref="C35:G35"/>
    <mergeCell ref="B36:G36"/>
    <mergeCell ref="B37:G37"/>
    <mergeCell ref="A4:A13"/>
    <mergeCell ref="B14:G14"/>
    <mergeCell ref="H4:H13"/>
    <mergeCell ref="B15:G15"/>
    <mergeCell ref="B4:G4"/>
    <mergeCell ref="B5:G5"/>
    <mergeCell ref="E6:F6"/>
    <mergeCell ref="A38:A45"/>
    <mergeCell ref="B46:G46"/>
    <mergeCell ref="H38:H45"/>
    <mergeCell ref="A49:C50"/>
    <mergeCell ref="A16:A25"/>
    <mergeCell ref="B26:G26"/>
    <mergeCell ref="H16:H25"/>
    <mergeCell ref="B27:G27"/>
    <mergeCell ref="A28:A35"/>
    <mergeCell ref="H28:H35"/>
    <mergeCell ref="B16:G16"/>
  </mergeCells>
  <pageMargins left="0.70866141732283505" right="0.70866141732283505" top="0.74803149606299202" bottom="0.74803149606299202" header="0.31496062992126" footer="0.31496062992126"/>
  <pageSetup paperSize="9" scale="68"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I17"/>
  <sheetViews>
    <sheetView showGridLines="0" rightToLeft="1" zoomScaleNormal="100" zoomScaleSheetLayoutView="100" workbookViewId="0">
      <selection activeCell="A17" sqref="A17:I17"/>
    </sheetView>
  </sheetViews>
  <sheetFormatPr defaultRowHeight="14.25" x14ac:dyDescent="0.2"/>
  <cols>
    <col min="2" max="2" width="36" customWidth="1"/>
    <col min="3" max="3" width="14.75" customWidth="1"/>
    <col min="4" max="5" width="12.125" customWidth="1"/>
    <col min="6" max="6" width="9.25" customWidth="1"/>
    <col min="7" max="7" width="19.375" bestFit="1" customWidth="1"/>
    <col min="8" max="8" width="9.25" customWidth="1"/>
    <col min="9" max="9" width="32.125" customWidth="1"/>
  </cols>
  <sheetData>
    <row r="1" spans="1:9" ht="27.6" customHeight="1" x14ac:dyDescent="0.2">
      <c r="B1" s="214" t="str">
        <f>'קרן י'!B1</f>
        <v>מדיניות השקעה לשנת 2024</v>
      </c>
      <c r="C1" s="214"/>
      <c r="D1" s="214"/>
      <c r="E1" s="214"/>
      <c r="F1" s="214"/>
      <c r="G1" s="214"/>
      <c r="H1" s="206"/>
      <c r="I1" s="206"/>
    </row>
    <row r="2" spans="1:9" ht="27.6" customHeight="1" x14ac:dyDescent="0.2">
      <c r="B2" s="219" t="s">
        <v>259</v>
      </c>
      <c r="C2" s="219"/>
      <c r="D2" s="219"/>
      <c r="E2" s="219"/>
      <c r="F2" s="219"/>
      <c r="G2" s="219"/>
      <c r="H2" s="206"/>
      <c r="I2" s="206"/>
    </row>
    <row r="3" spans="1:9" ht="24.75" customHeight="1" x14ac:dyDescent="0.2">
      <c r="A3" s="213" t="s">
        <v>260</v>
      </c>
      <c r="B3" s="303" t="s">
        <v>165</v>
      </c>
      <c r="C3" s="304"/>
      <c r="D3" s="304"/>
      <c r="E3" s="304"/>
      <c r="F3" s="304"/>
      <c r="G3" s="304"/>
      <c r="H3" s="319" t="s">
        <v>262</v>
      </c>
      <c r="I3" s="164"/>
    </row>
    <row r="4" spans="1:9" ht="49.9" customHeight="1" x14ac:dyDescent="0.2">
      <c r="A4" s="213"/>
      <c r="B4" s="35" t="s">
        <v>0</v>
      </c>
      <c r="C4" s="36" t="str">
        <f>'קרן י'!C4</f>
        <v>שיעור חשיפה צפוי לשנת 2024</v>
      </c>
      <c r="D4" s="35" t="s">
        <v>72</v>
      </c>
      <c r="E4" s="215" t="s">
        <v>40</v>
      </c>
      <c r="F4" s="237"/>
      <c r="G4" s="35" t="s">
        <v>91</v>
      </c>
      <c r="H4" s="320"/>
    </row>
    <row r="5" spans="1:9" ht="27.6" customHeight="1" x14ac:dyDescent="0.2">
      <c r="A5" s="213"/>
      <c r="B5" s="37" t="s">
        <v>6</v>
      </c>
      <c r="C5" s="40">
        <v>0.59</v>
      </c>
      <c r="D5" s="40">
        <v>0.06</v>
      </c>
      <c r="E5" s="40">
        <f>IF(C5-D5&gt;0,C5-D5,0)</f>
        <v>0.53</v>
      </c>
      <c r="F5" s="40">
        <f>C5+D5</f>
        <v>0.64999999999999991</v>
      </c>
      <c r="G5" s="41" t="s">
        <v>102</v>
      </c>
      <c r="H5" s="320"/>
    </row>
    <row r="6" spans="1:9" ht="27.6" customHeight="1" x14ac:dyDescent="0.2">
      <c r="A6" s="213"/>
      <c r="B6" s="37" t="s">
        <v>73</v>
      </c>
      <c r="C6" s="40">
        <v>0.06</v>
      </c>
      <c r="D6" s="40">
        <v>0.05</v>
      </c>
      <c r="E6" s="40">
        <f t="shared" ref="E6:E11" si="0">IF(C6-D6&gt;0,C6-D6,0)</f>
        <v>9.999999999999995E-3</v>
      </c>
      <c r="F6" s="40">
        <f t="shared" ref="F6:F11" si="1">C6+D6</f>
        <v>0.11</v>
      </c>
      <c r="G6" s="41" t="s">
        <v>4</v>
      </c>
      <c r="H6" s="320"/>
    </row>
    <row r="7" spans="1:9" ht="43.15" customHeight="1" x14ac:dyDescent="0.2">
      <c r="A7" s="213"/>
      <c r="B7" s="37" t="s">
        <v>41</v>
      </c>
      <c r="C7" s="40">
        <v>0.32</v>
      </c>
      <c r="D7" s="40">
        <v>0.06</v>
      </c>
      <c r="E7" s="40">
        <f t="shared" si="0"/>
        <v>0.26</v>
      </c>
      <c r="F7" s="40">
        <f t="shared" si="1"/>
        <v>0.38</v>
      </c>
      <c r="G7" s="82" t="s">
        <v>92</v>
      </c>
      <c r="H7" s="320"/>
    </row>
    <row r="8" spans="1:9" ht="26.25" customHeight="1" x14ac:dyDescent="0.2">
      <c r="A8" s="213"/>
      <c r="B8" s="37" t="s">
        <v>42</v>
      </c>
      <c r="C8" s="40">
        <v>0.01</v>
      </c>
      <c r="D8" s="40">
        <v>0.05</v>
      </c>
      <c r="E8" s="40">
        <f t="shared" si="0"/>
        <v>0</v>
      </c>
      <c r="F8" s="40">
        <f t="shared" si="1"/>
        <v>6.0000000000000005E-2</v>
      </c>
      <c r="G8" s="41"/>
      <c r="H8" s="320"/>
    </row>
    <row r="9" spans="1:9" ht="52.5" customHeight="1" x14ac:dyDescent="0.2">
      <c r="A9" s="213"/>
      <c r="B9" s="37" t="s">
        <v>47</v>
      </c>
      <c r="C9" s="40">
        <v>0.02</v>
      </c>
      <c r="D9" s="40"/>
      <c r="E9" s="40"/>
      <c r="F9" s="40"/>
      <c r="G9" s="41"/>
      <c r="H9" s="320"/>
    </row>
    <row r="10" spans="1:9" ht="18.600000000000001" customHeight="1" x14ac:dyDescent="0.2">
      <c r="A10" s="213"/>
      <c r="B10" s="37" t="s">
        <v>8</v>
      </c>
      <c r="C10" s="40">
        <v>1</v>
      </c>
      <c r="D10" s="40"/>
      <c r="E10" s="38"/>
      <c r="F10" s="38"/>
      <c r="G10" s="41"/>
      <c r="H10" s="320"/>
    </row>
    <row r="11" spans="1:9" ht="18.600000000000001" customHeight="1" x14ac:dyDescent="0.2">
      <c r="A11" s="213"/>
      <c r="B11" s="37" t="s">
        <v>9</v>
      </c>
      <c r="C11" s="40">
        <v>0.2</v>
      </c>
      <c r="D11" s="40">
        <v>0.06</v>
      </c>
      <c r="E11" s="40">
        <f t="shared" si="0"/>
        <v>0.14000000000000001</v>
      </c>
      <c r="F11" s="40">
        <f t="shared" si="1"/>
        <v>0.26</v>
      </c>
      <c r="G11" s="41"/>
      <c r="H11" s="320"/>
    </row>
    <row r="12" spans="1:9" ht="18.600000000000001" customHeight="1" x14ac:dyDescent="0.2">
      <c r="A12" s="213"/>
      <c r="B12" s="160"/>
      <c r="C12" s="161"/>
      <c r="D12" s="162"/>
      <c r="E12" s="162"/>
      <c r="F12" s="162"/>
      <c r="G12" s="156"/>
      <c r="H12" s="320"/>
    </row>
    <row r="13" spans="1:9" ht="18.600000000000001" customHeight="1" x14ac:dyDescent="0.2">
      <c r="B13" s="240" t="s">
        <v>264</v>
      </c>
      <c r="C13" s="240"/>
      <c r="D13" s="240"/>
      <c r="E13" s="240"/>
      <c r="F13" s="240"/>
      <c r="G13" s="240"/>
    </row>
    <row r="14" spans="1:9" ht="18.600000000000001" customHeight="1" x14ac:dyDescent="0.2">
      <c r="B14" s="34"/>
    </row>
    <row r="15" spans="1:9" x14ac:dyDescent="0.2">
      <c r="B15" s="34" t="s">
        <v>46</v>
      </c>
      <c r="C15" s="34"/>
      <c r="D15" s="34"/>
      <c r="E15" s="34"/>
      <c r="F15" s="34"/>
      <c r="G15" s="34"/>
      <c r="H15" s="34"/>
      <c r="I15" s="34"/>
    </row>
    <row r="16" spans="1:9" x14ac:dyDescent="0.2">
      <c r="B16" s="34" t="s">
        <v>89</v>
      </c>
    </row>
    <row r="17" spans="1:9" x14ac:dyDescent="0.2">
      <c r="A17" s="213" t="s">
        <v>263</v>
      </c>
      <c r="B17" s="213"/>
      <c r="C17" s="213"/>
      <c r="D17" s="213"/>
      <c r="E17" s="213"/>
      <c r="F17" s="213"/>
      <c r="G17" s="213"/>
      <c r="H17" s="213"/>
      <c r="I17" s="213"/>
    </row>
  </sheetData>
  <mergeCells count="8">
    <mergeCell ref="A17:I17"/>
    <mergeCell ref="E4:F4"/>
    <mergeCell ref="B3:G3"/>
    <mergeCell ref="B1:G1"/>
    <mergeCell ref="B2:G2"/>
    <mergeCell ref="A3:A12"/>
    <mergeCell ref="B13:G13"/>
    <mergeCell ref="H3:H12"/>
  </mergeCells>
  <pageMargins left="0.70866141732283472" right="0.70866141732283472" top="0.74803149606299213" bottom="0.74803149606299213" header="0.31496062992125984" footer="0.31496062992125984"/>
  <pageSetup paperSize="9" scale="8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גיליון6">
    <tabColor theme="3" tint="0.39997558519241921"/>
  </sheetPr>
  <dimension ref="A1:F28"/>
  <sheetViews>
    <sheetView rightToLeft="1" workbookViewId="0">
      <selection activeCell="B4" sqref="A4:B20"/>
    </sheetView>
  </sheetViews>
  <sheetFormatPr defaultRowHeight="14.25" x14ac:dyDescent="0.2"/>
  <cols>
    <col min="1" max="1" width="83.375" customWidth="1"/>
    <col min="2" max="2" width="25.25" customWidth="1"/>
    <col min="3" max="3" width="12.625" customWidth="1"/>
    <col min="4" max="4" width="11.625" customWidth="1"/>
  </cols>
  <sheetData>
    <row r="1" spans="1:3" ht="43.5" customHeight="1" x14ac:dyDescent="0.2">
      <c r="A1" s="337" t="e">
        <f>'קרן י'!B1:G1</f>
        <v>#VALUE!</v>
      </c>
      <c r="B1" s="337"/>
      <c r="C1" s="2"/>
    </row>
    <row r="2" spans="1:3" ht="43.5" customHeight="1" x14ac:dyDescent="0.2">
      <c r="A2" s="337" t="s">
        <v>27</v>
      </c>
      <c r="B2" s="337"/>
      <c r="C2" s="2"/>
    </row>
    <row r="3" spans="1:3" ht="34.5" customHeight="1" thickBot="1" x14ac:dyDescent="0.25">
      <c r="A3" s="338" t="s">
        <v>26</v>
      </c>
      <c r="B3" s="338"/>
      <c r="C3" s="3"/>
    </row>
    <row r="4" spans="1:3" ht="15.75" thickBot="1" x14ac:dyDescent="0.25">
      <c r="A4" s="4" t="s">
        <v>10</v>
      </c>
      <c r="B4" s="5" t="s">
        <v>28</v>
      </c>
    </row>
    <row r="5" spans="1:3" ht="15" x14ac:dyDescent="0.2">
      <c r="A5" s="325" t="s">
        <v>29</v>
      </c>
      <c r="B5" s="6" t="s">
        <v>25</v>
      </c>
    </row>
    <row r="6" spans="1:3" ht="15.75" thickBot="1" x14ac:dyDescent="0.25">
      <c r="A6" s="326"/>
      <c r="B6" s="7" t="s">
        <v>24</v>
      </c>
    </row>
    <row r="7" spans="1:3" ht="15" x14ac:dyDescent="0.2">
      <c r="A7" s="325" t="s">
        <v>30</v>
      </c>
      <c r="B7" s="6" t="s">
        <v>23</v>
      </c>
    </row>
    <row r="8" spans="1:3" ht="15" x14ac:dyDescent="0.2">
      <c r="A8" s="327"/>
      <c r="B8" s="8" t="s">
        <v>22</v>
      </c>
    </row>
    <row r="9" spans="1:3" ht="15.75" thickBot="1" x14ac:dyDescent="0.25">
      <c r="A9" s="326"/>
      <c r="B9" s="7" t="s">
        <v>21</v>
      </c>
    </row>
    <row r="10" spans="1:3" ht="15" x14ac:dyDescent="0.2">
      <c r="A10" s="325" t="s">
        <v>31</v>
      </c>
      <c r="B10" s="6" t="s">
        <v>20</v>
      </c>
    </row>
    <row r="11" spans="1:3" ht="15" x14ac:dyDescent="0.2">
      <c r="A11" s="327"/>
      <c r="B11" s="8" t="s">
        <v>19</v>
      </c>
    </row>
    <row r="12" spans="1:3" ht="15.75" thickBot="1" x14ac:dyDescent="0.25">
      <c r="A12" s="326"/>
      <c r="B12" s="7" t="s">
        <v>14</v>
      </c>
    </row>
    <row r="13" spans="1:3" ht="15" x14ac:dyDescent="0.2">
      <c r="A13" s="325" t="s">
        <v>32</v>
      </c>
      <c r="B13" s="6" t="s">
        <v>18</v>
      </c>
    </row>
    <row r="14" spans="1:3" ht="15" x14ac:dyDescent="0.2">
      <c r="A14" s="327"/>
      <c r="B14" s="8" t="s">
        <v>17</v>
      </c>
    </row>
    <row r="15" spans="1:3" ht="15.75" thickBot="1" x14ac:dyDescent="0.25">
      <c r="A15" s="326"/>
      <c r="B15" s="7" t="s">
        <v>14</v>
      </c>
    </row>
    <row r="16" spans="1:3" ht="45" x14ac:dyDescent="0.2">
      <c r="A16" s="9" t="s">
        <v>33</v>
      </c>
      <c r="B16" s="339" t="s">
        <v>16</v>
      </c>
    </row>
    <row r="17" spans="1:6" ht="30.75" thickBot="1" x14ac:dyDescent="0.25">
      <c r="A17" s="10" t="s">
        <v>34</v>
      </c>
      <c r="B17" s="340"/>
    </row>
    <row r="18" spans="1:6" ht="15" x14ac:dyDescent="0.2">
      <c r="A18" s="325" t="s">
        <v>35</v>
      </c>
      <c r="B18" s="6" t="s">
        <v>15</v>
      </c>
    </row>
    <row r="19" spans="1:6" ht="15.75" thickBot="1" x14ac:dyDescent="0.25">
      <c r="A19" s="326"/>
      <c r="B19" s="7" t="s">
        <v>14</v>
      </c>
    </row>
    <row r="20" spans="1:6" ht="45.75" thickBot="1" x14ac:dyDescent="0.25">
      <c r="A20" s="11" t="s">
        <v>36</v>
      </c>
      <c r="B20" s="12" t="s">
        <v>37</v>
      </c>
    </row>
    <row r="23" spans="1:6" ht="23.25" x14ac:dyDescent="0.35">
      <c r="A23" s="334" t="s">
        <v>13</v>
      </c>
      <c r="B23" s="334"/>
      <c r="E23" s="1"/>
    </row>
    <row r="24" spans="1:6" ht="24" thickBot="1" x14ac:dyDescent="0.4">
      <c r="A24" s="1"/>
      <c r="B24" s="1"/>
      <c r="C24" s="1"/>
      <c r="D24" s="1"/>
      <c r="E24" s="1"/>
    </row>
    <row r="25" spans="1:6" ht="90.75" customHeight="1" x14ac:dyDescent="0.2">
      <c r="A25" s="19" t="s">
        <v>0</v>
      </c>
      <c r="B25" s="16" t="s">
        <v>38</v>
      </c>
      <c r="C25" s="21" t="s">
        <v>50</v>
      </c>
      <c r="D25" s="15" t="s">
        <v>1</v>
      </c>
      <c r="E25" s="23" t="s">
        <v>39</v>
      </c>
      <c r="F25" s="17" t="s">
        <v>2</v>
      </c>
    </row>
    <row r="26" spans="1:6" ht="30" x14ac:dyDescent="0.2">
      <c r="A26" s="20" t="s">
        <v>6</v>
      </c>
      <c r="B26" s="13">
        <v>0.91</v>
      </c>
      <c r="C26" s="25">
        <v>0.91</v>
      </c>
      <c r="D26" s="14" t="s">
        <v>5</v>
      </c>
      <c r="E26" s="22" t="s">
        <v>44</v>
      </c>
      <c r="F26" s="18" t="s">
        <v>11</v>
      </c>
    </row>
    <row r="27" spans="1:6" ht="15" customHeight="1" x14ac:dyDescent="0.2">
      <c r="A27" s="330" t="s">
        <v>43</v>
      </c>
      <c r="B27" s="332">
        <v>0.09</v>
      </c>
      <c r="C27" s="335">
        <v>0.09</v>
      </c>
      <c r="D27" s="328" t="s">
        <v>3</v>
      </c>
      <c r="E27" s="323" t="s">
        <v>45</v>
      </c>
      <c r="F27" s="321" t="s">
        <v>12</v>
      </c>
    </row>
    <row r="28" spans="1:6" ht="15" customHeight="1" thickBot="1" x14ac:dyDescent="0.25">
      <c r="A28" s="331"/>
      <c r="B28" s="333"/>
      <c r="C28" s="336"/>
      <c r="D28" s="329"/>
      <c r="E28" s="324"/>
      <c r="F28" s="322"/>
    </row>
  </sheetData>
  <mergeCells count="16">
    <mergeCell ref="A1:B1"/>
    <mergeCell ref="A2:B2"/>
    <mergeCell ref="A3:B3"/>
    <mergeCell ref="B16:B17"/>
    <mergeCell ref="A18:A19"/>
    <mergeCell ref="F27:F28"/>
    <mergeCell ref="E27:E28"/>
    <mergeCell ref="A5:A6"/>
    <mergeCell ref="A7:A9"/>
    <mergeCell ref="D27:D28"/>
    <mergeCell ref="A27:A28"/>
    <mergeCell ref="B27:B28"/>
    <mergeCell ref="A23:B23"/>
    <mergeCell ref="A10:A12"/>
    <mergeCell ref="A13:A15"/>
    <mergeCell ref="C27:C28"/>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9"/>
  <sheetViews>
    <sheetView rightToLeft="1" workbookViewId="0">
      <selection activeCell="B25" sqref="B25"/>
    </sheetView>
  </sheetViews>
  <sheetFormatPr defaultRowHeight="14.25" x14ac:dyDescent="0.2"/>
  <cols>
    <col min="1" max="1" width="27.625" bestFit="1" customWidth="1"/>
    <col min="2" max="2" width="70.5" bestFit="1" customWidth="1"/>
    <col min="3" max="3" width="16.875" bestFit="1" customWidth="1"/>
  </cols>
  <sheetData>
    <row r="1" spans="1:8" ht="21.75" customHeight="1" x14ac:dyDescent="0.2">
      <c r="A1" s="283" t="s">
        <v>49</v>
      </c>
      <c r="B1" s="298"/>
      <c r="C1" s="298"/>
      <c r="D1" s="29"/>
      <c r="E1" s="29"/>
      <c r="F1" s="29"/>
      <c r="G1" s="29"/>
      <c r="H1" s="29"/>
    </row>
    <row r="2" spans="1:8" ht="23.25" x14ac:dyDescent="0.35">
      <c r="B2" s="32"/>
      <c r="C2" s="33"/>
    </row>
    <row r="3" spans="1:8" ht="20.25" x14ac:dyDescent="0.3">
      <c r="A3" s="341" t="s">
        <v>51</v>
      </c>
      <c r="B3" s="342"/>
      <c r="C3" s="342"/>
    </row>
    <row r="4" spans="1:8" ht="20.25" x14ac:dyDescent="0.2">
      <c r="A4" s="30" t="s">
        <v>53</v>
      </c>
      <c r="B4" s="30" t="s">
        <v>52</v>
      </c>
      <c r="C4" s="31" t="s">
        <v>2</v>
      </c>
    </row>
    <row r="5" spans="1:8" ht="60" x14ac:dyDescent="0.2">
      <c r="A5" s="26" t="s">
        <v>54</v>
      </c>
      <c r="B5" s="26" t="s">
        <v>55</v>
      </c>
      <c r="C5" s="27"/>
    </row>
    <row r="6" spans="1:8" ht="120" x14ac:dyDescent="0.2">
      <c r="A6" s="26" t="s">
        <v>56</v>
      </c>
      <c r="B6" s="26" t="s">
        <v>57</v>
      </c>
      <c r="C6" s="27"/>
    </row>
    <row r="7" spans="1:8" ht="60" x14ac:dyDescent="0.2">
      <c r="A7" s="26" t="s">
        <v>58</v>
      </c>
      <c r="B7" s="26" t="s">
        <v>59</v>
      </c>
      <c r="C7" s="27"/>
    </row>
    <row r="8" spans="1:8" ht="60" x14ac:dyDescent="0.2">
      <c r="A8" s="26" t="s">
        <v>60</v>
      </c>
      <c r="B8" s="26" t="s">
        <v>61</v>
      </c>
      <c r="C8" s="27"/>
    </row>
    <row r="11" spans="1:8" ht="15" thickBot="1" x14ac:dyDescent="0.25"/>
    <row r="12" spans="1:8" ht="15.75" thickBot="1" x14ac:dyDescent="0.25">
      <c r="A12" s="4" t="s">
        <v>10</v>
      </c>
      <c r="B12" s="5" t="s">
        <v>28</v>
      </c>
    </row>
    <row r="13" spans="1:8" ht="15" customHeight="1" thickBot="1" x14ac:dyDescent="0.25">
      <c r="A13" s="9" t="s">
        <v>63</v>
      </c>
      <c r="B13" s="6" t="s">
        <v>62</v>
      </c>
    </row>
    <row r="14" spans="1:8" ht="15.75" thickBot="1" x14ac:dyDescent="0.25">
      <c r="A14" s="9" t="s">
        <v>64</v>
      </c>
      <c r="B14" s="6" t="s">
        <v>70</v>
      </c>
    </row>
    <row r="15" spans="1:8" ht="15" customHeight="1" thickBot="1" x14ac:dyDescent="0.25">
      <c r="A15" s="9" t="s">
        <v>65</v>
      </c>
      <c r="B15" s="6" t="s">
        <v>71</v>
      </c>
    </row>
    <row r="16" spans="1:8" ht="15" customHeight="1" thickBot="1" x14ac:dyDescent="0.25">
      <c r="A16" s="9" t="s">
        <v>66</v>
      </c>
      <c r="B16" s="6" t="s">
        <v>62</v>
      </c>
    </row>
    <row r="17" spans="1:2" ht="15.75" thickBot="1" x14ac:dyDescent="0.25">
      <c r="A17" s="9" t="s">
        <v>67</v>
      </c>
      <c r="B17" s="6" t="s">
        <v>62</v>
      </c>
    </row>
    <row r="18" spans="1:2" ht="15" customHeight="1" thickBot="1" x14ac:dyDescent="0.25">
      <c r="A18" s="9" t="s">
        <v>68</v>
      </c>
      <c r="B18" s="6" t="s">
        <v>62</v>
      </c>
    </row>
    <row r="19" spans="1:2" ht="15.75" thickBot="1" x14ac:dyDescent="0.25">
      <c r="A19" s="11" t="s">
        <v>69</v>
      </c>
      <c r="B19" s="6" t="s">
        <v>62</v>
      </c>
    </row>
  </sheetData>
  <mergeCells count="2">
    <mergeCell ref="A1:C1"/>
    <mergeCell ref="A3:C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מסמך" ma:contentTypeID="0x0101003005918AFDF62B4596BFBB7C146FA1E9" ma:contentTypeVersion="7" ma:contentTypeDescription="צור מסמך חדש." ma:contentTypeScope="" ma:versionID="2b401b763f7bbfd615646282db6032a6">
  <xsd:schema xmlns:xsd="http://www.w3.org/2001/XMLSchema" xmlns:xs="http://www.w3.org/2001/XMLSchema" xmlns:p="http://schemas.microsoft.com/office/2006/metadata/properties" xmlns:ns2="132a703e-4ff7-4d4d-99cc-9caaff5f427f" targetNamespace="http://schemas.microsoft.com/office/2006/metadata/properties" ma:root="true" ma:fieldsID="2769b59088046d01674a3688230a2d3f" ns2:_="">
    <xsd:import namespace="132a703e-4ff7-4d4d-99cc-9caaff5f427f"/>
    <xsd:element name="properties">
      <xsd:complexType>
        <xsd:sequence>
          <xsd:element name="documentManagement">
            <xsd:complexType>
              <xsd:all>
                <xsd:element ref="ns2:_x05de__x05d9__x05d5__x05df_" minOccurs="0"/>
                <xsd:element ref="ns2:_x05e7__x05d8__x05d2__x05d5__x05e8__x05d9__x05d4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2a703e-4ff7-4d4d-99cc-9caaff5f427f" elementFormDefault="qualified">
    <xsd:import namespace="http://schemas.microsoft.com/office/2006/documentManagement/types"/>
    <xsd:import namespace="http://schemas.microsoft.com/office/infopath/2007/PartnerControls"/>
    <xsd:element name="_x05de__x05d9__x05d5__x05df_" ma:index="8" nillable="true" ma:displayName="מיון" ma:internalName="_x05de__x05d9__x05d5__x05df_">
      <xsd:simpleType>
        <xsd:restriction base="dms:Number"/>
      </xsd:simpleType>
    </xsd:element>
    <xsd:element name="_x05e7__x05d8__x05d2__x05d5__x05e8__x05d9__x05d4_" ma:index="9" nillable="true" ma:displayName="קטגוריה" ma:format="Dropdown" ma:internalName="_x05e7__x05d8__x05d2__x05d5__x05e8__x05d9__x05d4_">
      <xsd:simpleType>
        <xsd:restriction base="dms:Choice">
          <xsd:enumeration value="ביטוח"/>
          <xsd:enumeration value="פנסיה"/>
          <xsd:enumeration value="גמל"/>
          <xsd:enumeration value="אקסלנס אינווסט"/>
          <xsd:enumeration value="פנסיה 2011"/>
          <xsd:enumeration value="גמל 2011"/>
          <xsd:enumeration value="ביטוח 2011"/>
          <xsd:enumeration value="פנסיה 2012"/>
          <xsd:enumeration value="גמל 2012"/>
          <xsd:enumeration value="ביטוח 2012"/>
          <xsd:enumeration value="גמל 2013"/>
          <xsd:enumeration value="פנסיה 2013"/>
          <xsd:enumeration value="ביטוח 2013"/>
          <xsd:enumeration value="ביטוח 2014"/>
          <xsd:enumeration value="פנסיה 2014"/>
          <xsd:enumeration value="גמל 2014"/>
          <xsd:enumeration value="ביטוח 2015"/>
          <xsd:enumeration value="גמל 2015"/>
          <xsd:enumeration value="פנסיה 2015"/>
          <xsd:enumeration value="ביטוח 2016"/>
          <xsd:enumeration value="גמל 2016"/>
          <xsd:enumeration value="פנסיה 2016"/>
          <xsd:enumeration value="ביטוח 2017"/>
          <xsd:enumeration value="גמל 2017"/>
          <xsd:enumeration value="פנסיה 2017"/>
          <xsd:enumeration value="ביטוח 2018"/>
          <xsd:enumeration value="פנסיה 2018"/>
          <xsd:enumeration value="גמל 2018"/>
          <xsd:enumeration value="ביטוח 2019"/>
          <xsd:enumeration value="פנסיה 2019"/>
          <xsd:enumeration value="גמל 2019"/>
          <xsd:enumeration value="השקעות אחראיות 2019"/>
          <xsd:enumeration value="ביטוח 2020"/>
          <xsd:enumeration value="פנסיה 2020"/>
          <xsd:enumeration value="גמל 2020"/>
          <xsd:enumeration value="השקעות אחראיות 2020"/>
          <xsd:enumeration value="ביטוח 2021"/>
          <xsd:enumeration value="פנסיה 2021"/>
          <xsd:enumeration value="גמל 2021"/>
          <xsd:enumeration value="השקעות אחראיות 2021"/>
          <xsd:enumeration value="ביטוח 2022"/>
          <xsd:enumeration value="פנסיה 2022"/>
          <xsd:enumeration value="גמל 2022"/>
          <xsd:enumeration value="השקעות אחראיות 2022"/>
          <xsd:enumeration value="השקעות אחראיות 2023"/>
          <xsd:enumeration value="ביטוח 2023"/>
          <xsd:enumeration value="פנסיה 2023"/>
          <xsd:enumeration value="גמל 2023"/>
          <xsd:enumeration value="ביטוח 2024"/>
          <xsd:enumeration value="פנסיה 2024"/>
          <xsd:enumeration value="גמל 2024"/>
          <xsd:enumeration value="השקעות אחראיות 2024"/>
          <xsd:enumeration value="ביטוח 2025"/>
          <xsd:enumeration value="פנסיה 2025"/>
          <xsd:enumeration value="גמל 2025"/>
          <xsd:enumeration value="השקעות אחראיות 2025"/>
          <xsd:enumeration value="ביטוח 2026"/>
          <xsd:enumeration value="פנסיה 2026"/>
          <xsd:enumeration value="גמל 2026"/>
          <xsd:enumeration value="השקעות אחראיות 2026"/>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TeurDocument"/>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x05de__x05d9__x05d5__x05df_ xmlns="132a703e-4ff7-4d4d-99cc-9caaff5f427f">40</_x05de__x05d9__x05d5__x05df_>
    <_x05e7__x05d8__x05d2__x05d5__x05e8__x05d9__x05d4_ xmlns="132a703e-4ff7-4d4d-99cc-9caaff5f427f">ביטוח 2024</_x05e7__x05d8__x05d2__x05d5__x05e8__x05d9__x05d4_>
  </documentManagement>
</p:properties>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B7240F7C-7EB7-4662-858B-A5DFE73F4194}"/>
</file>

<file path=customXml/itemProps2.xml><?xml version="1.0" encoding="utf-8"?>
<ds:datastoreItem xmlns:ds="http://schemas.openxmlformats.org/officeDocument/2006/customXml" ds:itemID="{49B1469E-F2D2-4854-B506-CF28A79D0773}"/>
</file>

<file path=customXml/itemProps3.xml><?xml version="1.0" encoding="utf-8"?>
<ds:datastoreItem xmlns:ds="http://schemas.openxmlformats.org/officeDocument/2006/customXml" ds:itemID="{1A3FD85B-523A-41A0-BB67-04A16DA43FB9}"/>
</file>

<file path=customXml/itemProps4.xml><?xml version="1.0" encoding="utf-8"?>
<ds:datastoreItem xmlns:ds="http://schemas.openxmlformats.org/officeDocument/2006/customXml" ds:itemID="{24447F0A-A12C-4B7E-BC70-F7953428659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23</vt:i4>
      </vt:variant>
      <vt:variant>
        <vt:lpstr>טווחים בעלי שם</vt:lpstr>
      </vt:variant>
      <vt:variant>
        <vt:i4>16</vt:i4>
      </vt:variant>
    </vt:vector>
  </HeadingPairs>
  <TitlesOfParts>
    <vt:vector size="39" baseType="lpstr">
      <vt:lpstr>קרן י</vt:lpstr>
      <vt:lpstr>קרן ט</vt:lpstr>
      <vt:lpstr>פרט - אשכול 1 - אקטיבי</vt:lpstr>
      <vt:lpstr>פרט - אשכול 1 אקטיבי - בלאקרוק</vt:lpstr>
      <vt:lpstr>פרט - אשכול 1 אקטיבי - אפולו</vt:lpstr>
      <vt:lpstr>פרט - אשכול 3 סחיר</vt:lpstr>
      <vt:lpstr>פרט - אשכול 4 - עוקב מדדים</vt:lpstr>
      <vt:lpstr>תלוי גיל פאסיבי</vt:lpstr>
      <vt:lpstr>פרט - אשכול 5</vt:lpstr>
      <vt:lpstr>גילאי</vt:lpstr>
      <vt:lpstr>ביטוח - אשכול 1 אקטיבי</vt:lpstr>
      <vt:lpstr>אשכול 3 - סחיר (ביטוח)</vt:lpstr>
      <vt:lpstr>אשכול 4 - עוקב מדדים</vt:lpstr>
      <vt:lpstr>אשכול 5 - אמונה (הלכה)</vt:lpstr>
      <vt:lpstr>מסלולי השקעה למקבלי קצבה</vt:lpstr>
      <vt:lpstr>מסלולים מתמחים למקבלי קצבה</vt:lpstr>
      <vt:lpstr>הלכה למקבלי קצבה</vt:lpstr>
      <vt:lpstr>אקסלנס אינווסט כללי</vt:lpstr>
      <vt:lpstr>אקסלנס אינווסט הלכתי</vt:lpstr>
      <vt:lpstr>אקסלנס אינווסט-מסלולים מתמחים</vt:lpstr>
      <vt:lpstr>מכבי סיעודית</vt:lpstr>
      <vt:lpstr> אקסלנס ישן</vt:lpstr>
      <vt:lpstr>אינווסט - מתמחים</vt:lpstr>
      <vt:lpstr>'אקסלנס אינווסט-מסלולים מתמחים'!WPrint_Area_W</vt:lpstr>
      <vt:lpstr>'אקסלנס אינווסט הלכתי'!WPrint_Area_W</vt:lpstr>
      <vt:lpstr>'אקסלנס אינווסט כללי'!WPrint_Area_W</vt:lpstr>
      <vt:lpstr>'אשכול 5 - אמונה (הלכה)'!WPrint_Area_W</vt:lpstr>
      <vt:lpstr>גילאי!WPrint_Area_W</vt:lpstr>
      <vt:lpstr>'הלכה למקבלי קצבה'!WPrint_Area_W</vt:lpstr>
      <vt:lpstr>'מכבי סיעודית'!WPrint_Area_W</vt:lpstr>
      <vt:lpstr>'מסלולי השקעה למקבלי קצבה'!WPrint_Area_W</vt:lpstr>
      <vt:lpstr>'פרט - אשכול 1 - אקטיבי'!WPrint_Area_W</vt:lpstr>
      <vt:lpstr>'פרט - אשכול 1 אקטיבי - אפולו'!WPrint_Area_W</vt:lpstr>
      <vt:lpstr>'פרט - אשכול 1 אקטיבי - בלאקרוק'!WPrint_Area_W</vt:lpstr>
      <vt:lpstr>'פרט - אשכול 4 - עוקב מדדים'!WPrint_Area_W</vt:lpstr>
      <vt:lpstr>'פרט - אשכול 5'!WPrint_Area_W</vt:lpstr>
      <vt:lpstr>'קרן ט'!WPrint_Area_W</vt:lpstr>
      <vt:lpstr>'קרן י'!WPrint_Area_W</vt:lpstr>
      <vt:lpstr>'תלוי גיל פאסיבי'!WPrint_Area_W</vt:lpstr>
    </vt:vector>
  </TitlesOfParts>
  <Manager>YanivC2@fnx.co.il</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השקעה צפויה לשנת 2024 - עדכון נובמבר 2024</dc:title>
  <dc:creator>MashaB@fnx.co.il</dc:creator>
  <cp:lastModifiedBy>סילבי כהן</cp:lastModifiedBy>
  <cp:lastPrinted>2019-12-01T07:57:19Z</cp:lastPrinted>
  <dcterms:created xsi:type="dcterms:W3CDTF">2012-06-04T17:07:45Z</dcterms:created>
  <dcterms:modified xsi:type="dcterms:W3CDTF">2024-11-14T09:13:39Z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isplay_urn:schemas-microsoft-com:office:office#Editor">
    <vt:lpwstr>חשבון מערכת</vt:lpwstr>
  </property>
  <property fmtid="{D5CDD505-2E9C-101B-9397-08002B2CF9AE}" pid="3" name="xd_Signature">
    <vt:lpwstr/>
  </property>
  <property fmtid="{D5CDD505-2E9C-101B-9397-08002B2CF9AE}" pid="4" name="Order">
    <vt:lpwstr>5500.00000000000</vt:lpwstr>
  </property>
  <property fmtid="{D5CDD505-2E9C-101B-9397-08002B2CF9AE}" pid="5" name="TemplateUrl">
    <vt:lpwstr/>
  </property>
  <property fmtid="{D5CDD505-2E9C-101B-9397-08002B2CF9AE}" pid="6" name="xd_ProgID">
    <vt:lpwstr/>
  </property>
  <property fmtid="{D5CDD505-2E9C-101B-9397-08002B2CF9AE}" pid="7" name="display_urn:schemas-microsoft-com:office:office#Author">
    <vt:lpwstr>חשבון מערכת</vt:lpwstr>
  </property>
  <property fmtid="{D5CDD505-2E9C-101B-9397-08002B2CF9AE}" pid="8" name="_SourceUrl">
    <vt:lpwstr/>
  </property>
  <property fmtid="{D5CDD505-2E9C-101B-9397-08002B2CF9AE}" pid="9" name="_SharedFileIndex">
    <vt:lpwstr/>
  </property>
  <property fmtid="{D5CDD505-2E9C-101B-9397-08002B2CF9AE}" pid="10" name="ContentTypeId">
    <vt:lpwstr>0x0101003005918AFDF62B4596BFBB7C146FA1E9</vt:lpwstr>
  </property>
</Properties>
</file>