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17400" windowHeight="12405" tabRatio="911" firstSheet="1" activeTab="6"/>
  </bookViews>
  <sheets>
    <sheet name="הפניקס השתלמות כללי" sheetId="5" r:id="rId1"/>
    <sheet name="הפניקס תגמולים כללי" sheetId="1" r:id="rId2"/>
    <sheet name="הפניקס מרכזית לפיצויים" sheetId="2" r:id="rId3"/>
    <sheet name="הפניקס תגמולים עמית" sheetId="3" r:id="rId4"/>
    <sheet name="מסלולים מתמחים השתלמות" sheetId="6" r:id="rId5"/>
    <sheet name="מסלולים מתמחים תגמולים" sheetId="4" r:id="rId6"/>
    <sheet name="מסלולים מתמחים גמל אישי" sheetId="7" r:id="rId7"/>
  </sheets>
  <definedNames>
    <definedName name="_xlnm.Print_Area" localSheetId="2">'הפניקס מרכזית לפיצויים'!$A$1:$F$17</definedName>
    <definedName name="Z_5ED55EBB_DB6F_49D6_BFC0_9925844890BC_.wvu.Cols" localSheetId="0" hidden="1">'הפניקס השתלמות כללי'!#REF!</definedName>
    <definedName name="Z_5ED55EBB_DB6F_49D6_BFC0_9925844890BC_.wvu.Cols" localSheetId="2" hidden="1">'הפניקס מרכזית לפיצויים'!#REF!</definedName>
    <definedName name="Z_5ED55EBB_DB6F_49D6_BFC0_9925844890BC_.wvu.Cols" localSheetId="1" hidden="1">'הפניקס תגמולים כללי'!#REF!</definedName>
    <definedName name="Z_5ED55EBB_DB6F_49D6_BFC0_9925844890BC_.wvu.Cols" localSheetId="3" hidden="1">'הפניקס תגמולים עמית'!#REF!</definedName>
    <definedName name="Z_5ED55EBB_DB6F_49D6_BFC0_9925844890BC_.wvu.PrintArea" localSheetId="2" hidden="1">'הפניקס מרכזית לפיצויים'!$A$1:$F$17</definedName>
    <definedName name="Z_5ED55EBB_DB6F_49D6_BFC0_9925844890BC_.wvu.Rows" localSheetId="0" hidden="1">'הפניקס השתלמות כללי'!$4:$4</definedName>
    <definedName name="Z_5ED55EBB_DB6F_49D6_BFC0_9925844890BC_.wvu.Rows" localSheetId="2" hidden="1">'הפניקס מרכזית לפיצויים'!$4:$4</definedName>
    <definedName name="Z_5ED55EBB_DB6F_49D6_BFC0_9925844890BC_.wvu.Rows" localSheetId="1" hidden="1">'הפניקס תגמולים כללי'!$4:$4</definedName>
    <definedName name="Z_5ED55EBB_DB6F_49D6_BFC0_9925844890BC_.wvu.Rows" localSheetId="3" hidden="1">'הפניקס תגמולים עמית'!$4:$4</definedName>
    <definedName name="Z_854311B3_F60F_4832_B9BA_BC0DB08C5338_.wvu.Cols" localSheetId="0" hidden="1">'הפניקס השתלמות כללי'!#REF!</definedName>
    <definedName name="Z_854311B3_F60F_4832_B9BA_BC0DB08C5338_.wvu.Cols" localSheetId="2" hidden="1">'הפניקס מרכזית לפיצויים'!#REF!</definedName>
    <definedName name="Z_854311B3_F60F_4832_B9BA_BC0DB08C5338_.wvu.Cols" localSheetId="1" hidden="1">'הפניקס תגמולים כללי'!#REF!</definedName>
    <definedName name="Z_854311B3_F60F_4832_B9BA_BC0DB08C5338_.wvu.Cols" localSheetId="3" hidden="1">'הפניקס תגמולים עמית'!#REF!</definedName>
    <definedName name="Z_854311B3_F60F_4832_B9BA_BC0DB08C5338_.wvu.PrintArea" localSheetId="2" hidden="1">'הפניקס מרכזית לפיצויים'!$A$1:$F$17</definedName>
    <definedName name="Z_854311B3_F60F_4832_B9BA_BC0DB08C5338_.wvu.Rows" localSheetId="0" hidden="1">'הפניקס השתלמות כללי'!$4:$4</definedName>
    <definedName name="Z_854311B3_F60F_4832_B9BA_BC0DB08C5338_.wvu.Rows" localSheetId="2" hidden="1">'הפניקס מרכזית לפיצויים'!$4:$4</definedName>
    <definedName name="Z_854311B3_F60F_4832_B9BA_BC0DB08C5338_.wvu.Rows" localSheetId="1" hidden="1">'הפניקס תגמולים כללי'!$4:$4</definedName>
    <definedName name="Z_854311B3_F60F_4832_B9BA_BC0DB08C5338_.wvu.Rows" localSheetId="3" hidden="1">'הפניקס תגמולים עמית'!$4:$4</definedName>
  </definedNames>
  <calcPr calcId="144525"/>
  <customWorkbookViews>
    <customWorkbookView name="USF11643 - תצוגה אישית" guid="{5ED55EBB-DB6F-49D6-BFC0-9925844890BC}" mergeInterval="0" personalView="1" maximized="1" xWindow="1" yWindow="1" windowWidth="1152" windowHeight="569" activeSheetId="1" showComments="commIndAndComment"/>
    <customWorkbookView name="nira hay - תצוגה אישית" guid="{854311B3-F60F-4832-B9BA-BC0DB08C5338}" mergeInterval="0" personalView="1" maximized="1" windowWidth="1152" windowHeight="558" tabRatio="911" activeSheetId="1"/>
  </customWorkbookViews>
</workbook>
</file>

<file path=xl/calcChain.xml><?xml version="1.0" encoding="utf-8"?>
<calcChain xmlns="http://schemas.openxmlformats.org/spreadsheetml/2006/main">
  <c r="A1" i="2" l="1"/>
  <c r="C5" i="1"/>
  <c r="A1" i="1"/>
  <c r="B5" i="1"/>
  <c r="C5" i="3" l="1"/>
  <c r="B5" i="3"/>
  <c r="C5" i="2"/>
  <c r="B5" i="2"/>
  <c r="A1" i="3" l="1"/>
</calcChain>
</file>

<file path=xl/sharedStrings.xml><?xml version="1.0" encoding="utf-8"?>
<sst xmlns="http://schemas.openxmlformats.org/spreadsheetml/2006/main" count="155" uniqueCount="52">
  <si>
    <t>אפיק השקעה</t>
  </si>
  <si>
    <t>לפני השינוי</t>
  </si>
  <si>
    <t>לאחר השינוי</t>
  </si>
  <si>
    <t>גבולות שיעור החשיפה הצפויה</t>
  </si>
  <si>
    <t>טווח סטייה</t>
  </si>
  <si>
    <t>מדד הייחוס</t>
  </si>
  <si>
    <t>+/- 5%</t>
  </si>
  <si>
    <t>מדד אג"ח ממשלתי כללי</t>
  </si>
  <si>
    <t>+/- 6%</t>
  </si>
  <si>
    <t>מדד תל בונד 60</t>
  </si>
  <si>
    <t>מניות</t>
  </si>
  <si>
    <t>קרנות השקעה (PE, VC, קרדיט, גידור)</t>
  </si>
  <si>
    <t>0%-6%</t>
  </si>
  <si>
    <t>נדל"ן</t>
  </si>
  <si>
    <t>אחר*</t>
  </si>
  <si>
    <t>סה"כ</t>
  </si>
  <si>
    <t xml:space="preserve">הפניקס מרכזית לפיצויים </t>
  </si>
  <si>
    <t xml:space="preserve">0% - 6% </t>
  </si>
  <si>
    <t>30%-42%</t>
  </si>
  <si>
    <t>50% - 60%</t>
  </si>
  <si>
    <t xml:space="preserve">0% - 5% </t>
  </si>
  <si>
    <t xml:space="preserve">0% - 7% </t>
  </si>
  <si>
    <t>מדיניות ההשקעה</t>
  </si>
  <si>
    <t>מדד מניות ת"א 100</t>
  </si>
  <si>
    <r>
      <rPr>
        <b/>
        <sz val="18"/>
        <color theme="4" tint="-0.249977111117893"/>
        <rFont val="Arial"/>
        <family val="2"/>
      </rPr>
      <t>מדיניות ההשקעה הצפויה לשנת 2011</t>
    </r>
    <r>
      <rPr>
        <b/>
        <u/>
        <sz val="16"/>
        <color theme="4" tint="-0.249977111117893"/>
        <rFont val="Arial"/>
        <family val="2"/>
      </rPr>
      <t xml:space="preserve">
</t>
    </r>
  </si>
  <si>
    <t>הפניקס תגמולים ופיצויים מנייתי -  לפחות 50% מניות.</t>
  </si>
  <si>
    <t>הפניקס תגמולים ופיצויים  מסלול ללא מניות -  ללא מניות. 
מח"מ הנכסים לא יעלה על 4 שנים.</t>
  </si>
  <si>
    <t>מדד ממשלתי צמוד 0-2</t>
  </si>
  <si>
    <t>הפניקס השתלמות מנייתי -  לפחות 50% מניות.</t>
  </si>
  <si>
    <t>הפניקס השתלמות מסלול ללא מניות -  ללא מניות. 
מח"מ הנכסים לא יעלה על 4 שנים.</t>
  </si>
  <si>
    <t>*מזומן</t>
  </si>
  <si>
    <t>24%-34%</t>
  </si>
  <si>
    <t>26%-38%</t>
  </si>
  <si>
    <t>הפניקס השתלמות מסלול כללי</t>
  </si>
  <si>
    <t xml:space="preserve">הפניקס תגמולים ופיצויים מסלול כללי  </t>
  </si>
  <si>
    <t>הפניקס השתלמות</t>
  </si>
  <si>
    <t>הפניקס פיצויים ותגמלוים</t>
  </si>
  <si>
    <t>חשיפה למט"ח</t>
  </si>
  <si>
    <t>מניות**</t>
  </si>
  <si>
    <t>מדיניות ההשקעה הצפויה לשנת 2012</t>
  </si>
  <si>
    <t>שיעור חשיפה צפוי לשנת 2012</t>
  </si>
  <si>
    <t>אג"ח ממשלתי סחיר</t>
  </si>
  <si>
    <t>חוב חברות (סחיר, לא סחיר)</t>
  </si>
  <si>
    <t>10%-22%</t>
  </si>
  <si>
    <t>22%-34%</t>
  </si>
  <si>
    <t>8%-15%</t>
  </si>
  <si>
    <t xml:space="preserve">הפניקס תגמולים ופיצויים מסלול עמית  </t>
  </si>
  <si>
    <t>שיעור חשיפה ליום 29.12.2011</t>
  </si>
  <si>
    <t>50%- מדד ת"א 100 ,  50%- MSCI WORLD AC</t>
  </si>
  <si>
    <t xml:space="preserve"> 70%- מדד ת"א 100 ,  30%- MSCI WORLD AC</t>
  </si>
  <si>
    <t>הפניקס גמל והשתלמות בניהול אישי</t>
  </si>
  <si>
    <t>נכסי קופת הגמל וקרן ההשתלמות בניהול אישי יושקעו בהתאם להוראותיו של העמית בקופת הגמל או בקרן ההשתלמות או באמצעות מנהל תיקים שמינה העמית, ככל שמינה, בהתאם לתקנות הפיקוח על שירותים פיננסיים (קופות גמל) (קופת גמל בניהול אישי), תשע-2009.</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</si>
</sst>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0"/>
      <name val="Arial"/>
      <charset val="177"/>
    </font>
    <font>
      <b/>
      <u/>
      <sz val="16"/>
      <color indexed="9"/>
      <name val="Arial"/>
      <family val="2"/>
    </font>
    <font>
      <b/>
      <sz val="8"/>
      <color indexed="8"/>
      <name val="Arial"/>
      <family val="2"/>
    </font>
    <font>
      <sz val="8"/>
      <color indexed="8"/>
      <name val="Arial"/>
      <family val="2"/>
    </font>
    <font>
      <sz val="8"/>
      <name val="Arial"/>
      <family val="2"/>
    </font>
    <font>
      <b/>
      <u/>
      <sz val="16"/>
      <color theme="4" tint="-0.249977111117893"/>
      <name val="Arial"/>
      <family val="2"/>
    </font>
    <font>
      <b/>
      <sz val="18"/>
      <color theme="4" tint="-0.249977111117893"/>
      <name val="Arial"/>
      <family val="2"/>
    </font>
    <font>
      <b/>
      <sz val="14"/>
      <color theme="0"/>
      <name val="Arial"/>
      <family val="2"/>
    </font>
    <font>
      <b/>
      <sz val="11"/>
      <color theme="0"/>
      <name val="Arial"/>
      <family val="2"/>
    </font>
    <font>
      <b/>
      <sz val="11"/>
      <color theme="4" tint="-0.249977111117893"/>
      <name val="Arial"/>
      <family val="2"/>
    </font>
    <font>
      <sz val="12"/>
      <color theme="1"/>
      <name val="Calibri"/>
      <family val="2"/>
      <charset val="177"/>
      <scheme val="minor"/>
    </font>
    <font>
      <sz val="10"/>
      <name val="Arial"/>
      <family val="2"/>
    </font>
  </fonts>
  <fills count="6">
    <fill>
      <patternFill patternType="none"/>
    </fill>
    <fill>
      <patternFill patternType="gray125"/>
    </fill>
    <fill>
      <patternFill patternType="solid">
        <fgColor theme="3" tint="0.39997558519241921"/>
        <bgColor indexed="64"/>
      </patternFill>
    </fill>
    <fill>
      <patternFill patternType="solid">
        <fgColor rgb="FFFFC000"/>
        <bgColor indexed="64"/>
      </patternFill>
    </fill>
    <fill>
      <patternFill patternType="solid">
        <fgColor theme="4" tint="0.79998168889431442"/>
        <bgColor indexed="64"/>
      </patternFill>
    </fill>
    <fill>
      <patternFill patternType="solid">
        <fgColor theme="3" tint="0.79998168889431442"/>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top/>
      <bottom style="thin">
        <color theme="0"/>
      </bottom>
      <diagonal/>
    </border>
    <border>
      <left style="thin">
        <color theme="0"/>
      </left>
      <right/>
      <top/>
      <bottom/>
      <diagonal/>
    </border>
  </borders>
  <cellStyleXfs count="2">
    <xf numFmtId="0" fontId="0" fillId="0" borderId="0"/>
    <xf numFmtId="0" fontId="11" fillId="0" borderId="0"/>
  </cellStyleXfs>
  <cellXfs count="72">
    <xf numFmtId="0" fontId="0" fillId="0" borderId="0" xfId="0"/>
    <xf numFmtId="0" fontId="2" fillId="0" borderId="0" xfId="0" applyFont="1" applyBorder="1" applyAlignment="1">
      <alignment horizontal="right" wrapText="1" readingOrder="2"/>
    </xf>
    <xf numFmtId="0" fontId="3" fillId="0" borderId="0" xfId="0" applyFont="1" applyBorder="1" applyAlignment="1">
      <alignment wrapText="1"/>
    </xf>
    <xf numFmtId="0" fontId="0" fillId="0" borderId="0" xfId="0" applyFill="1"/>
    <xf numFmtId="0" fontId="9" fillId="4" borderId="1" xfId="0" applyFont="1" applyFill="1" applyBorder="1" applyAlignment="1">
      <alignment horizontal="right" vertical="center" wrapText="1" readingOrder="2"/>
    </xf>
    <xf numFmtId="9" fontId="9" fillId="4" borderId="1" xfId="0" applyNumberFormat="1" applyFont="1" applyFill="1" applyBorder="1" applyAlignment="1">
      <alignment horizontal="center" vertical="center" wrapText="1" readingOrder="1"/>
    </xf>
    <xf numFmtId="0" fontId="9" fillId="4" borderId="1" xfId="0" applyFont="1" applyFill="1" applyBorder="1" applyAlignment="1">
      <alignment horizontal="center" vertical="center" wrapText="1" readingOrder="1"/>
    </xf>
    <xf numFmtId="0" fontId="1" fillId="0" borderId="1" xfId="0" applyFont="1" applyFill="1" applyBorder="1" applyAlignment="1">
      <alignment horizontal="center" vertical="center" wrapText="1" readingOrder="2"/>
    </xf>
    <xf numFmtId="0" fontId="9" fillId="4" borderId="0" xfId="0" applyFont="1" applyFill="1" applyBorder="1" applyAlignment="1">
      <alignment horizontal="center" vertical="center" wrapText="1" readingOrder="2"/>
    </xf>
    <xf numFmtId="0" fontId="9" fillId="4" borderId="4" xfId="0" applyFont="1" applyFill="1" applyBorder="1" applyAlignment="1">
      <alignment horizontal="right" vertical="center" wrapText="1" readingOrder="2"/>
    </xf>
    <xf numFmtId="9" fontId="9" fillId="4" borderId="5" xfId="0" applyNumberFormat="1" applyFont="1" applyFill="1" applyBorder="1" applyAlignment="1">
      <alignment horizontal="center" vertical="center" wrapText="1" readingOrder="1"/>
    </xf>
    <xf numFmtId="0" fontId="9" fillId="4" borderId="5" xfId="0" applyFont="1" applyFill="1" applyBorder="1" applyAlignment="1">
      <alignment horizontal="center" vertical="center" wrapText="1" readingOrder="1"/>
    </xf>
    <xf numFmtId="0" fontId="9" fillId="4" borderId="3" xfId="0" applyFont="1" applyFill="1" applyBorder="1" applyAlignment="1">
      <alignment horizontal="right" vertical="center" wrapText="1" readingOrder="2"/>
    </xf>
    <xf numFmtId="0" fontId="9" fillId="4" borderId="2" xfId="0" applyFont="1" applyFill="1" applyBorder="1" applyAlignment="1">
      <alignment horizontal="center" vertical="center" wrapText="1" readingOrder="2"/>
    </xf>
    <xf numFmtId="0" fontId="9" fillId="4" borderId="9" xfId="0" applyFont="1" applyFill="1" applyBorder="1" applyAlignment="1">
      <alignment horizontal="right" vertical="center" wrapText="1" readingOrder="2"/>
    </xf>
    <xf numFmtId="9" fontId="9" fillId="4" borderId="10" xfId="0" applyNumberFormat="1" applyFont="1" applyFill="1" applyBorder="1" applyAlignment="1">
      <alignment horizontal="center" vertical="center" wrapText="1" readingOrder="1"/>
    </xf>
    <xf numFmtId="0" fontId="9" fillId="4" borderId="10" xfId="0" applyFont="1" applyFill="1" applyBorder="1" applyAlignment="1">
      <alignment horizontal="center" vertical="center" wrapText="1" readingOrder="1"/>
    </xf>
    <xf numFmtId="0" fontId="9" fillId="4" borderId="11" xfId="0" applyFont="1" applyFill="1" applyBorder="1" applyAlignment="1">
      <alignment horizontal="center" vertical="center" wrapText="1" readingOrder="2"/>
    </xf>
    <xf numFmtId="0" fontId="9" fillId="4" borderId="6" xfId="0" applyFont="1" applyFill="1" applyBorder="1" applyAlignment="1">
      <alignment horizontal="center" vertical="center" wrapText="1" readingOrder="2"/>
    </xf>
    <xf numFmtId="0" fontId="9" fillId="4" borderId="3" xfId="0" applyFont="1" applyFill="1" applyBorder="1" applyAlignment="1">
      <alignment horizontal="center" vertical="center" wrapText="1" readingOrder="2"/>
    </xf>
    <xf numFmtId="0" fontId="9" fillId="4" borderId="12" xfId="0" applyFont="1" applyFill="1" applyBorder="1" applyAlignment="1">
      <alignment horizontal="center" vertical="center" wrapText="1" readingOrder="2"/>
    </xf>
    <xf numFmtId="0" fontId="9" fillId="4" borderId="13" xfId="0" applyFont="1" applyFill="1" applyBorder="1" applyAlignment="1">
      <alignment horizontal="center" vertical="center" wrapText="1" readingOrder="2"/>
    </xf>
    <xf numFmtId="0" fontId="0" fillId="0" borderId="6" xfId="0" applyBorder="1"/>
    <xf numFmtId="0" fontId="9" fillId="4" borderId="7" xfId="0" applyFont="1" applyFill="1" applyBorder="1" applyAlignment="1">
      <alignment horizontal="right" vertical="center" wrapText="1" readingOrder="2"/>
    </xf>
    <xf numFmtId="0" fontId="9" fillId="4" borderId="10" xfId="0" applyFont="1" applyFill="1" applyBorder="1" applyAlignment="1">
      <alignment horizontal="right" vertical="center" wrapText="1" readingOrder="2"/>
    </xf>
    <xf numFmtId="9" fontId="9" fillId="4" borderId="3" xfId="0" applyNumberFormat="1" applyFont="1" applyFill="1" applyBorder="1" applyAlignment="1">
      <alignment horizontal="center" vertical="center" wrapText="1" readingOrder="1"/>
    </xf>
    <xf numFmtId="9" fontId="9" fillId="4" borderId="6" xfId="0" applyNumberFormat="1" applyFont="1" applyFill="1" applyBorder="1" applyAlignment="1">
      <alignment horizontal="center" vertical="center" wrapText="1" readingOrder="1"/>
    </xf>
    <xf numFmtId="9" fontId="9" fillId="4" borderId="4" xfId="0" applyNumberFormat="1" applyFont="1" applyFill="1" applyBorder="1" applyAlignment="1">
      <alignment horizontal="center" vertical="center" wrapText="1" readingOrder="1"/>
    </xf>
    <xf numFmtId="9" fontId="9" fillId="4" borderId="9" xfId="0" applyNumberFormat="1" applyFont="1" applyFill="1" applyBorder="1" applyAlignment="1">
      <alignment horizontal="center" vertical="center" wrapText="1" readingOrder="1"/>
    </xf>
    <xf numFmtId="0" fontId="0" fillId="0" borderId="4" xfId="0" applyBorder="1"/>
    <xf numFmtId="0" fontId="9" fillId="4" borderId="7" xfId="0" applyFont="1" applyFill="1" applyBorder="1" applyAlignment="1">
      <alignment horizontal="center" vertical="center" wrapText="1" readingOrder="1"/>
    </xf>
    <xf numFmtId="9" fontId="9" fillId="4" borderId="7" xfId="0" applyNumberFormat="1" applyFont="1" applyFill="1" applyBorder="1" applyAlignment="1">
      <alignment horizontal="center" vertical="center" wrapText="1" readingOrder="1"/>
    </xf>
    <xf numFmtId="0" fontId="8" fillId="3" borderId="1" xfId="0" applyFont="1" applyFill="1" applyBorder="1" applyAlignment="1">
      <alignment horizontal="center" vertical="center" wrapText="1" readingOrder="2"/>
    </xf>
    <xf numFmtId="0" fontId="0" fillId="0" borderId="8" xfId="0" applyBorder="1"/>
    <xf numFmtId="0" fontId="9" fillId="5" borderId="7" xfId="0" applyFont="1" applyFill="1" applyBorder="1" applyAlignment="1">
      <alignment horizontal="right" vertical="center" wrapText="1" readingOrder="2"/>
    </xf>
    <xf numFmtId="0" fontId="9" fillId="5" borderId="6" xfId="0" applyFont="1" applyFill="1" applyBorder="1" applyAlignment="1">
      <alignment horizontal="center" vertical="center" wrapText="1" readingOrder="2"/>
    </xf>
    <xf numFmtId="0" fontId="9" fillId="5" borderId="3" xfId="0" applyFont="1" applyFill="1" applyBorder="1" applyAlignment="1">
      <alignment horizontal="center" vertical="center" wrapText="1" readingOrder="2"/>
    </xf>
    <xf numFmtId="0" fontId="0" fillId="0" borderId="14" xfId="0" applyBorder="1"/>
    <xf numFmtId="0" fontId="0" fillId="0" borderId="11" xfId="0" applyBorder="1"/>
    <xf numFmtId="0" fontId="0" fillId="0" borderId="2" xfId="0" applyBorder="1"/>
    <xf numFmtId="0" fontId="10" fillId="0" borderId="4" xfId="0" applyFont="1" applyBorder="1"/>
    <xf numFmtId="0" fontId="7" fillId="2" borderId="2" xfId="0" applyFont="1" applyFill="1" applyBorder="1" applyAlignment="1">
      <alignment horizontal="centerContinuous" wrapText="1"/>
    </xf>
    <xf numFmtId="0" fontId="0" fillId="0" borderId="0" xfId="0" applyAlignment="1">
      <alignment horizontal="centerContinuous"/>
    </xf>
    <xf numFmtId="0" fontId="1" fillId="0" borderId="1" xfId="0" applyFont="1" applyFill="1" applyBorder="1" applyAlignment="1">
      <alignment horizontal="centerContinuous" vertical="center" wrapText="1" readingOrder="2"/>
    </xf>
    <xf numFmtId="0" fontId="8" fillId="3" borderId="1" xfId="0" applyFont="1" applyFill="1" applyBorder="1" applyAlignment="1">
      <alignment horizontal="center" vertical="center" wrapText="1" readingOrder="2"/>
    </xf>
    <xf numFmtId="0" fontId="5" fillId="0" borderId="1" xfId="0" applyFont="1" applyFill="1" applyBorder="1" applyAlignment="1">
      <alignment horizontal="centerContinuous" vertical="top" wrapText="1" readingOrder="2"/>
    </xf>
    <xf numFmtId="0" fontId="8" fillId="3" borderId="1" xfId="0" applyFont="1" applyFill="1" applyBorder="1" applyAlignment="1">
      <alignment horizontal="center" wrapText="1" readingOrder="2"/>
    </xf>
    <xf numFmtId="0" fontId="8" fillId="3" borderId="3" xfId="0" applyFont="1" applyFill="1" applyBorder="1" applyAlignment="1">
      <alignment horizontal="center" wrapText="1" readingOrder="2"/>
    </xf>
    <xf numFmtId="0" fontId="6" fillId="0" borderId="1" xfId="0" applyFont="1" applyFill="1" applyBorder="1" applyAlignment="1">
      <alignment horizontal="centerContinuous" vertical="top" wrapText="1" readingOrder="2"/>
    </xf>
    <xf numFmtId="0" fontId="8" fillId="3" borderId="1" xfId="0" applyFont="1" applyFill="1" applyBorder="1" applyAlignment="1">
      <alignment horizontal="center" vertical="center" wrapText="1" readingOrder="2"/>
    </xf>
    <xf numFmtId="0" fontId="8" fillId="3" borderId="2" xfId="0" applyFont="1" applyFill="1" applyBorder="1" applyAlignment="1">
      <alignment horizontal="center" vertical="center" wrapText="1" readingOrder="2"/>
    </xf>
    <xf numFmtId="0" fontId="5" fillId="0" borderId="1" xfId="1" applyFont="1" applyFill="1" applyBorder="1" applyAlignment="1">
      <alignment horizontal="centerContinuous" vertical="top" wrapText="1" readingOrder="2"/>
    </xf>
    <xf numFmtId="0" fontId="11" fillId="0" borderId="0" xfId="1"/>
    <xf numFmtId="0" fontId="1" fillId="0" borderId="1" xfId="1" applyFont="1" applyFill="1" applyBorder="1" applyAlignment="1">
      <alignment horizontal="centerContinuous" vertical="center" wrapText="1" readingOrder="2"/>
    </xf>
    <xf numFmtId="0" fontId="11" fillId="0" borderId="0" xfId="1" applyFill="1"/>
    <xf numFmtId="0" fontId="7" fillId="2" borderId="2" xfId="1" applyFont="1" applyFill="1" applyBorder="1" applyAlignment="1">
      <alignment horizontal="centerContinuous" wrapText="1"/>
    </xf>
    <xf numFmtId="0" fontId="8" fillId="3" borderId="1" xfId="1" applyFont="1" applyFill="1" applyBorder="1" applyAlignment="1">
      <alignment horizontal="center" vertical="center" wrapText="1" readingOrder="2"/>
    </xf>
    <xf numFmtId="0" fontId="9" fillId="5" borderId="7" xfId="1" applyFont="1" applyFill="1" applyBorder="1" applyAlignment="1">
      <alignment horizontal="right" vertical="center" wrapText="1" readingOrder="2"/>
    </xf>
    <xf numFmtId="0" fontId="11" fillId="0" borderId="14" xfId="1" applyBorder="1"/>
    <xf numFmtId="0" fontId="11" fillId="0" borderId="8" xfId="1" applyBorder="1"/>
    <xf numFmtId="0" fontId="7" fillId="2" borderId="1" xfId="0" applyFont="1" applyFill="1" applyBorder="1" applyAlignment="1">
      <alignment horizontal="center" vertical="center" wrapText="1" readingOrder="2"/>
    </xf>
    <xf numFmtId="0" fontId="8" fillId="3" borderId="1" xfId="0" applyFont="1" applyFill="1" applyBorder="1" applyAlignment="1">
      <alignment horizontal="right" wrapText="1" readingOrder="2"/>
    </xf>
    <xf numFmtId="0" fontId="8" fillId="3" borderId="1" xfId="0" applyFont="1" applyFill="1" applyBorder="1" applyAlignment="1">
      <alignment horizontal="center" vertical="center" wrapText="1" readingOrder="2"/>
    </xf>
    <xf numFmtId="0" fontId="7" fillId="2" borderId="6" xfId="0" applyFont="1" applyFill="1" applyBorder="1" applyAlignment="1">
      <alignment horizontal="center" vertical="center" wrapText="1" readingOrder="2"/>
    </xf>
    <xf numFmtId="0" fontId="7" fillId="2" borderId="7" xfId="0" applyFont="1" applyFill="1" applyBorder="1" applyAlignment="1">
      <alignment horizontal="center" vertical="center" wrapText="1" readingOrder="2"/>
    </xf>
    <xf numFmtId="0" fontId="7" fillId="2" borderId="8" xfId="0" applyFont="1" applyFill="1" applyBorder="1" applyAlignment="1">
      <alignment horizontal="center" vertical="center" wrapText="1" readingOrder="2"/>
    </xf>
    <xf numFmtId="0" fontId="8" fillId="3" borderId="3" xfId="0" applyFont="1" applyFill="1" applyBorder="1" applyAlignment="1">
      <alignment horizontal="right" wrapText="1" readingOrder="2"/>
    </xf>
    <xf numFmtId="0" fontId="8" fillId="3" borderId="2" xfId="0" applyFont="1" applyFill="1" applyBorder="1" applyAlignment="1">
      <alignment horizontal="center" vertical="center" wrapText="1" readingOrder="2"/>
    </xf>
    <xf numFmtId="0" fontId="8" fillId="3" borderId="10" xfId="0" applyFont="1" applyFill="1" applyBorder="1" applyAlignment="1">
      <alignment horizontal="right" wrapText="1" readingOrder="2"/>
    </xf>
    <xf numFmtId="0" fontId="8" fillId="3" borderId="7" xfId="0" applyFont="1" applyFill="1" applyBorder="1" applyAlignment="1">
      <alignment horizontal="right" wrapText="1" readingOrder="2"/>
    </xf>
    <xf numFmtId="0" fontId="8" fillId="3" borderId="12" xfId="0" applyFont="1" applyFill="1" applyBorder="1" applyAlignment="1">
      <alignment horizontal="center" vertical="center" wrapText="1" readingOrder="2"/>
    </xf>
    <xf numFmtId="0" fontId="8" fillId="3" borderId="9" xfId="0" applyFont="1" applyFill="1" applyBorder="1" applyAlignment="1">
      <alignment horizontal="center" vertical="center" wrapText="1" readingOrder="2"/>
    </xf>
  </cellXfs>
  <cellStyles count="2">
    <cellStyle name="Normal" xfId="0" builtinId="0"/>
    <cellStyle name="Normal 2" xfId="1"/>
  </cellStyles>
  <dxfs count="0"/>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F16"/>
  <sheetViews>
    <sheetView rightToLeft="1" zoomScale="90" zoomScaleNormal="90" workbookViewId="0">
      <selection activeCell="B15" sqref="B15"/>
    </sheetView>
  </sheetViews>
  <sheetFormatPr defaultRowHeight="12.75"/>
  <cols>
    <col min="1" max="1" width="29.140625" customWidth="1"/>
    <col min="2" max="2" width="13.5703125" customWidth="1"/>
    <col min="3" max="3" width="14.28515625" customWidth="1"/>
    <col min="4" max="4" width="11.7109375" customWidth="1"/>
    <col min="5" max="5" width="13.42578125" customWidth="1"/>
    <col min="6" max="6" width="24.42578125" customWidth="1"/>
  </cols>
  <sheetData>
    <row r="1" spans="1:6" ht="49.5" customHeight="1">
      <c r="A1" s="48" t="s">
        <v>39</v>
      </c>
      <c r="B1" s="45"/>
      <c r="C1" s="45"/>
      <c r="D1" s="45"/>
      <c r="E1" s="45"/>
      <c r="F1" s="45"/>
    </row>
    <row r="2" spans="1:6" s="3" customFormat="1" ht="11.25" customHeight="1">
      <c r="A2" s="7"/>
      <c r="B2" s="7"/>
      <c r="C2" s="7"/>
      <c r="D2" s="7"/>
      <c r="E2" s="7"/>
      <c r="F2" s="7"/>
    </row>
    <row r="3" spans="1:6" ht="18">
      <c r="A3" s="60" t="s">
        <v>33</v>
      </c>
      <c r="B3" s="60"/>
      <c r="C3" s="60"/>
      <c r="D3" s="60"/>
      <c r="E3" s="60"/>
      <c r="F3" s="60"/>
    </row>
    <row r="4" spans="1:6" ht="15" hidden="1" customHeight="1">
      <c r="A4" s="61" t="s">
        <v>0</v>
      </c>
      <c r="B4" s="49" t="s">
        <v>1</v>
      </c>
      <c r="C4" s="62" t="s">
        <v>2</v>
      </c>
      <c r="D4" s="62"/>
      <c r="E4" s="62"/>
      <c r="F4" s="62"/>
    </row>
    <row r="5" spans="1:6" ht="58.5" customHeight="1">
      <c r="A5" s="61"/>
      <c r="B5" s="46" t="s">
        <v>47</v>
      </c>
      <c r="C5" s="46" t="s">
        <v>40</v>
      </c>
      <c r="D5" s="46" t="s">
        <v>4</v>
      </c>
      <c r="E5" s="46" t="s">
        <v>3</v>
      </c>
      <c r="F5" s="46" t="s">
        <v>5</v>
      </c>
    </row>
    <row r="6" spans="1:6" ht="22.5" customHeight="1">
      <c r="A6" s="4" t="s">
        <v>41</v>
      </c>
      <c r="B6" s="5">
        <v>0.3</v>
      </c>
      <c r="C6" s="5">
        <v>0.28999999999999998</v>
      </c>
      <c r="D6" s="6" t="s">
        <v>6</v>
      </c>
      <c r="E6" s="6" t="s">
        <v>31</v>
      </c>
      <c r="F6" s="4" t="s">
        <v>7</v>
      </c>
    </row>
    <row r="7" spans="1:6" ht="24" customHeight="1">
      <c r="A7" s="4" t="s">
        <v>42</v>
      </c>
      <c r="B7" s="5">
        <v>0.31</v>
      </c>
      <c r="C7" s="5">
        <v>0.32</v>
      </c>
      <c r="D7" s="6" t="s">
        <v>8</v>
      </c>
      <c r="E7" s="6" t="s">
        <v>32</v>
      </c>
      <c r="F7" s="4" t="s">
        <v>9</v>
      </c>
    </row>
    <row r="8" spans="1:6" ht="30">
      <c r="A8" s="4" t="s">
        <v>10</v>
      </c>
      <c r="B8" s="5">
        <v>0.37</v>
      </c>
      <c r="C8" s="5">
        <v>0.36</v>
      </c>
      <c r="D8" s="6" t="s">
        <v>8</v>
      </c>
      <c r="E8" s="6" t="s">
        <v>18</v>
      </c>
      <c r="F8" s="4" t="s">
        <v>48</v>
      </c>
    </row>
    <row r="9" spans="1:6" ht="26.25" customHeight="1">
      <c r="A9" s="4" t="s">
        <v>11</v>
      </c>
      <c r="B9" s="5">
        <v>0.01</v>
      </c>
      <c r="C9" s="5">
        <v>0.01</v>
      </c>
      <c r="D9" s="6" t="s">
        <v>6</v>
      </c>
      <c r="E9" s="6" t="s">
        <v>12</v>
      </c>
      <c r="F9" s="4"/>
    </row>
    <row r="10" spans="1:6" ht="28.5" customHeight="1">
      <c r="A10" s="4" t="s">
        <v>13</v>
      </c>
      <c r="B10" s="5">
        <v>0</v>
      </c>
      <c r="C10" s="5">
        <v>0.01</v>
      </c>
      <c r="D10" s="6" t="s">
        <v>6</v>
      </c>
      <c r="E10" s="6" t="s">
        <v>12</v>
      </c>
      <c r="F10" s="4"/>
    </row>
    <row r="11" spans="1:6" ht="28.5" customHeight="1">
      <c r="A11" s="4" t="s">
        <v>14</v>
      </c>
      <c r="B11" s="5">
        <v>0.01</v>
      </c>
      <c r="C11" s="5">
        <v>0.01</v>
      </c>
      <c r="D11" s="6" t="s">
        <v>6</v>
      </c>
      <c r="E11" s="6" t="s">
        <v>12</v>
      </c>
      <c r="F11" s="4"/>
    </row>
    <row r="12" spans="1:6" ht="28.5" customHeight="1">
      <c r="A12" s="4" t="s">
        <v>15</v>
      </c>
      <c r="B12" s="5">
        <v>1</v>
      </c>
      <c r="C12" s="5">
        <v>1</v>
      </c>
      <c r="D12" s="6"/>
      <c r="E12" s="6"/>
      <c r="F12" s="4"/>
    </row>
    <row r="13" spans="1:6" ht="28.5" customHeight="1">
      <c r="A13" s="14" t="s">
        <v>37</v>
      </c>
      <c r="B13" s="5">
        <v>0.16</v>
      </c>
      <c r="C13" s="5">
        <v>0.16</v>
      </c>
      <c r="D13" s="6" t="s">
        <v>8</v>
      </c>
      <c r="E13" s="6" t="s">
        <v>43</v>
      </c>
      <c r="F13" s="4"/>
    </row>
    <row r="14" spans="1:6">
      <c r="A14" s="1" t="s">
        <v>30</v>
      </c>
      <c r="B14" s="2"/>
      <c r="C14" s="2"/>
      <c r="D14" s="2"/>
      <c r="E14" s="2"/>
      <c r="F14" s="2"/>
    </row>
    <row r="15" spans="1:6">
      <c r="A15" s="1"/>
    </row>
    <row r="16" spans="1:6">
      <c r="A16" s="1"/>
    </row>
  </sheetData>
  <mergeCells count="3">
    <mergeCell ref="A3:F3"/>
    <mergeCell ref="A4:A5"/>
    <mergeCell ref="C4:F4"/>
  </mergeCells>
  <printOptions horizontalCentered="1"/>
  <pageMargins left="0.74803149606299213" right="0.74803149606299213" top="0.98425196850393704" bottom="0.98425196850393704" header="0.51181102362204722" footer="0.51181102362204722"/>
  <pageSetup paperSize="9" orientation="landscape"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F16"/>
  <sheetViews>
    <sheetView rightToLeft="1" zoomScale="90" zoomScaleNormal="90" workbookViewId="0">
      <selection activeCell="I15" sqref="I15"/>
    </sheetView>
  </sheetViews>
  <sheetFormatPr defaultRowHeight="12.75"/>
  <cols>
    <col min="1" max="1" width="33.42578125" customWidth="1"/>
    <col min="2" max="2" width="11.42578125" customWidth="1"/>
    <col min="3" max="3" width="14.28515625" customWidth="1"/>
    <col min="4" max="4" width="11.7109375" customWidth="1"/>
    <col min="5" max="5" width="13.42578125" customWidth="1"/>
    <col min="6" max="6" width="23.140625" customWidth="1"/>
  </cols>
  <sheetData>
    <row r="1" spans="1:6" ht="49.5" customHeight="1">
      <c r="A1" s="45" t="str">
        <f>'הפניקס השתלמות כללי'!A1</f>
        <v>מדיניות ההשקעה הצפויה לשנת 2012</v>
      </c>
      <c r="B1" s="45"/>
      <c r="C1" s="45"/>
      <c r="D1" s="45"/>
      <c r="E1" s="45"/>
      <c r="F1" s="45"/>
    </row>
    <row r="2" spans="1:6" s="3" customFormat="1" ht="11.25" customHeight="1">
      <c r="A2" s="7"/>
      <c r="B2" s="7"/>
      <c r="C2" s="7"/>
      <c r="D2" s="7"/>
      <c r="E2" s="7"/>
      <c r="F2" s="7"/>
    </row>
    <row r="3" spans="1:6" ht="18">
      <c r="A3" s="60" t="s">
        <v>34</v>
      </c>
      <c r="B3" s="60"/>
      <c r="C3" s="60"/>
      <c r="D3" s="60"/>
      <c r="E3" s="60"/>
      <c r="F3" s="60"/>
    </row>
    <row r="4" spans="1:6" ht="15" hidden="1" customHeight="1">
      <c r="A4" s="61" t="s">
        <v>0</v>
      </c>
      <c r="B4" s="49" t="s">
        <v>1</v>
      </c>
      <c r="C4" s="62" t="s">
        <v>2</v>
      </c>
      <c r="D4" s="62"/>
      <c r="E4" s="62"/>
      <c r="F4" s="62"/>
    </row>
    <row r="5" spans="1:6" ht="58.5" customHeight="1">
      <c r="A5" s="61"/>
      <c r="B5" s="46" t="str">
        <f>'הפניקס השתלמות כללי'!B5</f>
        <v>שיעור חשיפה ליום 29.12.2011</v>
      </c>
      <c r="C5" s="46" t="str">
        <f>'הפניקס השתלמות כללי'!C5</f>
        <v>שיעור חשיפה צפוי לשנת 2012</v>
      </c>
      <c r="D5" s="46" t="s">
        <v>4</v>
      </c>
      <c r="E5" s="46" t="s">
        <v>3</v>
      </c>
      <c r="F5" s="46" t="s">
        <v>5</v>
      </c>
    </row>
    <row r="6" spans="1:6" ht="25.5" customHeight="1">
      <c r="A6" s="4" t="s">
        <v>41</v>
      </c>
      <c r="B6" s="5">
        <v>0.27</v>
      </c>
      <c r="C6" s="5">
        <v>0.28999999999999998</v>
      </c>
      <c r="D6" s="6" t="s">
        <v>6</v>
      </c>
      <c r="E6" s="6" t="s">
        <v>31</v>
      </c>
      <c r="F6" s="4" t="s">
        <v>7</v>
      </c>
    </row>
    <row r="7" spans="1:6" ht="26.25" customHeight="1">
      <c r="A7" s="4" t="s">
        <v>42</v>
      </c>
      <c r="B7" s="5">
        <v>0.32</v>
      </c>
      <c r="C7" s="5">
        <v>0.32</v>
      </c>
      <c r="D7" s="6" t="s">
        <v>8</v>
      </c>
      <c r="E7" s="6" t="s">
        <v>32</v>
      </c>
      <c r="F7" s="4" t="s">
        <v>9</v>
      </c>
    </row>
    <row r="8" spans="1:6" ht="29.25" customHeight="1">
      <c r="A8" s="4" t="s">
        <v>10</v>
      </c>
      <c r="B8" s="5">
        <v>0.37</v>
      </c>
      <c r="C8" s="5">
        <v>0.36</v>
      </c>
      <c r="D8" s="6" t="s">
        <v>8</v>
      </c>
      <c r="E8" s="6" t="s">
        <v>18</v>
      </c>
      <c r="F8" s="4" t="s">
        <v>48</v>
      </c>
    </row>
    <row r="9" spans="1:6" ht="26.25" customHeight="1">
      <c r="A9" s="4" t="s">
        <v>11</v>
      </c>
      <c r="B9" s="5">
        <v>0.02</v>
      </c>
      <c r="C9" s="5">
        <v>0.01</v>
      </c>
      <c r="D9" s="6" t="s">
        <v>6</v>
      </c>
      <c r="E9" s="6" t="s">
        <v>12</v>
      </c>
      <c r="F9" s="4"/>
    </row>
    <row r="10" spans="1:6" ht="26.25" customHeight="1">
      <c r="A10" s="4" t="s">
        <v>13</v>
      </c>
      <c r="B10" s="5">
        <v>0.01</v>
      </c>
      <c r="C10" s="5">
        <v>0.01</v>
      </c>
      <c r="D10" s="6" t="s">
        <v>6</v>
      </c>
      <c r="E10" s="6" t="s">
        <v>12</v>
      </c>
      <c r="F10" s="4"/>
    </row>
    <row r="11" spans="1:6" ht="26.25" customHeight="1">
      <c r="A11" s="4" t="s">
        <v>14</v>
      </c>
      <c r="B11" s="5">
        <v>0.01</v>
      </c>
      <c r="C11" s="5">
        <v>0.01</v>
      </c>
      <c r="D11" s="6" t="s">
        <v>6</v>
      </c>
      <c r="E11" s="6" t="s">
        <v>12</v>
      </c>
      <c r="F11" s="4"/>
    </row>
    <row r="12" spans="1:6" ht="26.25" customHeight="1">
      <c r="A12" s="4" t="s">
        <v>15</v>
      </c>
      <c r="B12" s="5">
        <v>1</v>
      </c>
      <c r="C12" s="5">
        <v>1</v>
      </c>
      <c r="D12" s="6"/>
      <c r="E12" s="6"/>
      <c r="F12" s="4"/>
    </row>
    <row r="13" spans="1:6" ht="22.5" customHeight="1">
      <c r="A13" s="14" t="s">
        <v>37</v>
      </c>
      <c r="B13" s="5">
        <v>0.17</v>
      </c>
      <c r="C13" s="5">
        <v>0.16</v>
      </c>
      <c r="D13" s="6" t="s">
        <v>8</v>
      </c>
      <c r="E13" s="6" t="s">
        <v>43</v>
      </c>
      <c r="F13" s="4"/>
    </row>
    <row r="14" spans="1:6">
      <c r="A14" s="1" t="s">
        <v>30</v>
      </c>
      <c r="B14" s="2"/>
      <c r="C14" s="2"/>
      <c r="D14" s="2"/>
      <c r="E14" s="2"/>
      <c r="F14" s="2"/>
    </row>
    <row r="15" spans="1:6">
      <c r="A15" s="1"/>
    </row>
    <row r="16" spans="1:6">
      <c r="A16" s="1"/>
    </row>
  </sheetData>
  <customSheetViews>
    <customSheetView guid="{5ED55EBB-DB6F-49D6-BFC0-9925844890BC}" showPageBreaks="1" fitToPage="1" hiddenRows="1" hiddenColumns="1">
      <selection activeCell="F12" sqref="F12"/>
      <pageMargins left="0.74803149606299213" right="0.74803149606299213" top="0.98425196850393704" bottom="0.98425196850393704" header="0.51181102362204722" footer="0.51181102362204722"/>
      <printOptions horizontalCentered="1"/>
      <pageSetup paperSize="9" orientation="landscape" horizontalDpi="1200" verticalDpi="1200" r:id="rId1"/>
      <headerFooter alignWithMargins="0"/>
    </customSheetView>
    <customSheetView guid="{854311B3-F60F-4832-B9BA-BC0DB08C5338}" fitToPage="1" hiddenRows="1" hiddenColumns="1">
      <selection activeCell="B16" sqref="B16"/>
      <pageMargins left="0.74803149606299213" right="0.74803149606299213" top="0.98425196850393704" bottom="0.98425196850393704" header="0.51181102362204722" footer="0.51181102362204722"/>
      <printOptions horizontalCentered="1"/>
      <pageSetup paperSize="9" orientation="landscape" horizontalDpi="1200" verticalDpi="1200" r:id="rId2"/>
      <headerFooter alignWithMargins="0"/>
    </customSheetView>
  </customSheetViews>
  <mergeCells count="3">
    <mergeCell ref="A3:F3"/>
    <mergeCell ref="A4:A5"/>
    <mergeCell ref="C4:F4"/>
  </mergeCells>
  <phoneticPr fontId="4" type="noConversion"/>
  <printOptions horizontalCentered="1"/>
  <pageMargins left="0.74803149606299213" right="0.74803149606299213" top="0.98425196850393704" bottom="0.98425196850393704" header="0.51181102362204722" footer="0.51181102362204722"/>
  <pageSetup paperSize="9" orientation="landscape" horizontalDpi="1200" verticalDpi="1200"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F17"/>
  <sheetViews>
    <sheetView rightToLeft="1" topLeftCell="A2" zoomScale="90" zoomScaleNormal="90" workbookViewId="0">
      <selection activeCell="E18" sqref="E18"/>
    </sheetView>
  </sheetViews>
  <sheetFormatPr defaultRowHeight="12.75"/>
  <cols>
    <col min="1" max="1" width="35.42578125" customWidth="1"/>
    <col min="2" max="3" width="12.7109375" customWidth="1"/>
    <col min="5" max="5" width="16.140625" customWidth="1"/>
    <col min="6" max="6" width="24.42578125" customWidth="1"/>
  </cols>
  <sheetData>
    <row r="1" spans="1:6" ht="24.75" customHeight="1">
      <c r="A1" s="45" t="str">
        <f>'הפניקס השתלמות כללי'!A1</f>
        <v>מדיניות ההשקעה הצפויה לשנת 2012</v>
      </c>
      <c r="B1" s="42"/>
      <c r="C1" s="42"/>
      <c r="D1" s="42"/>
      <c r="E1" s="42"/>
      <c r="F1" s="42"/>
    </row>
    <row r="2" spans="1:6" s="3" customFormat="1" ht="24.75" customHeight="1">
      <c r="A2" s="7"/>
      <c r="B2" s="7"/>
      <c r="C2" s="7"/>
      <c r="D2" s="7"/>
      <c r="E2" s="7"/>
      <c r="F2" s="7"/>
    </row>
    <row r="3" spans="1:6" ht="33" customHeight="1">
      <c r="A3" s="63" t="s">
        <v>16</v>
      </c>
      <c r="B3" s="64"/>
      <c r="C3" s="64"/>
      <c r="D3" s="64"/>
      <c r="E3" s="64"/>
      <c r="F3" s="65"/>
    </row>
    <row r="4" spans="1:6" ht="15" hidden="1" customHeight="1">
      <c r="A4" s="66" t="s">
        <v>0</v>
      </c>
      <c r="B4" s="49" t="s">
        <v>1</v>
      </c>
      <c r="C4" s="62" t="s">
        <v>2</v>
      </c>
      <c r="D4" s="62"/>
      <c r="E4" s="62"/>
      <c r="F4" s="67"/>
    </row>
    <row r="5" spans="1:6" ht="59.25" customHeight="1">
      <c r="A5" s="66"/>
      <c r="B5" s="46" t="str">
        <f>'הפניקס תגמולים כללי'!B5</f>
        <v>שיעור חשיפה ליום 29.12.2011</v>
      </c>
      <c r="C5" s="46" t="str">
        <f>'הפניקס תגמולים כללי'!C5</f>
        <v>שיעור חשיפה צפוי לשנת 2012</v>
      </c>
      <c r="D5" s="46" t="s">
        <v>4</v>
      </c>
      <c r="E5" s="46" t="s">
        <v>3</v>
      </c>
      <c r="F5" s="47" t="s">
        <v>5</v>
      </c>
    </row>
    <row r="6" spans="1:6" ht="26.25" customHeight="1">
      <c r="A6" s="12" t="s">
        <v>41</v>
      </c>
      <c r="B6" s="5">
        <v>0.52</v>
      </c>
      <c r="C6" s="5">
        <v>0.55000000000000004</v>
      </c>
      <c r="D6" s="6" t="s">
        <v>6</v>
      </c>
      <c r="E6" s="6" t="s">
        <v>19</v>
      </c>
      <c r="F6" s="13" t="s">
        <v>7</v>
      </c>
    </row>
    <row r="7" spans="1:6" ht="30.75" customHeight="1">
      <c r="A7" s="12" t="s">
        <v>42</v>
      </c>
      <c r="B7" s="5">
        <v>0.33</v>
      </c>
      <c r="C7" s="5">
        <v>0.28000000000000003</v>
      </c>
      <c r="D7" s="6" t="s">
        <v>8</v>
      </c>
      <c r="E7" s="6" t="s">
        <v>44</v>
      </c>
      <c r="F7" s="13" t="s">
        <v>9</v>
      </c>
    </row>
    <row r="8" spans="1:6" ht="33.75" customHeight="1">
      <c r="A8" s="12" t="s">
        <v>38</v>
      </c>
      <c r="B8" s="5">
        <v>0.13</v>
      </c>
      <c r="C8" s="5">
        <v>0.14000000000000001</v>
      </c>
      <c r="D8" s="6" t="s">
        <v>8</v>
      </c>
      <c r="E8" s="6" t="s">
        <v>45</v>
      </c>
      <c r="F8" s="13" t="s">
        <v>49</v>
      </c>
    </row>
    <row r="9" spans="1:6" ht="31.5" customHeight="1">
      <c r="A9" s="12" t="s">
        <v>11</v>
      </c>
      <c r="B9" s="5">
        <v>0.01</v>
      </c>
      <c r="C9" s="5">
        <v>0.01</v>
      </c>
      <c r="D9" s="6" t="s">
        <v>6</v>
      </c>
      <c r="E9" s="6" t="s">
        <v>17</v>
      </c>
      <c r="F9" s="13"/>
    </row>
    <row r="10" spans="1:6" ht="26.25" customHeight="1">
      <c r="A10" s="12" t="s">
        <v>13</v>
      </c>
      <c r="B10" s="5">
        <v>0</v>
      </c>
      <c r="C10" s="5">
        <v>0</v>
      </c>
      <c r="D10" s="6" t="s">
        <v>6</v>
      </c>
      <c r="E10" s="6" t="s">
        <v>20</v>
      </c>
      <c r="F10" s="13"/>
    </row>
    <row r="11" spans="1:6" ht="26.25" customHeight="1">
      <c r="A11" s="12" t="s">
        <v>14</v>
      </c>
      <c r="B11" s="5">
        <v>0.01</v>
      </c>
      <c r="C11" s="5">
        <v>0.02</v>
      </c>
      <c r="D11" s="6" t="s">
        <v>6</v>
      </c>
      <c r="E11" s="6" t="s">
        <v>21</v>
      </c>
      <c r="F11" s="13"/>
    </row>
    <row r="12" spans="1:6" ht="26.25" customHeight="1">
      <c r="A12" s="12" t="s">
        <v>15</v>
      </c>
      <c r="B12" s="5">
        <v>1</v>
      </c>
      <c r="C12" s="5">
        <v>1</v>
      </c>
      <c r="D12" s="6"/>
      <c r="E12" s="6"/>
      <c r="F12" s="13"/>
    </row>
    <row r="13" spans="1:6" ht="26.25" customHeight="1">
      <c r="A13" s="14" t="s">
        <v>37</v>
      </c>
      <c r="B13" s="15">
        <v>0.17</v>
      </c>
      <c r="C13" s="5">
        <v>0.16</v>
      </c>
      <c r="D13" s="6" t="s">
        <v>8</v>
      </c>
      <c r="E13" s="6" t="s">
        <v>43</v>
      </c>
      <c r="F13" s="17"/>
    </row>
    <row r="14" spans="1:6">
      <c r="A14" s="1" t="s">
        <v>30</v>
      </c>
      <c r="B14" s="2"/>
      <c r="C14" s="2"/>
      <c r="D14" s="2"/>
      <c r="E14" s="2"/>
      <c r="F14" s="2"/>
    </row>
    <row r="15" spans="1:6">
      <c r="A15" s="1"/>
    </row>
    <row r="16" spans="1:6">
      <c r="A16" s="1"/>
    </row>
    <row r="17" spans="1:1">
      <c r="A17" s="1"/>
    </row>
  </sheetData>
  <customSheetViews>
    <customSheetView guid="{5ED55EBB-DB6F-49D6-BFC0-9925844890BC}" showPageBreaks="1" fitToPage="1" printArea="1" hiddenRows="1" hiddenColumns="1" topLeftCell="A5">
      <selection activeCell="A14" sqref="A14:A18"/>
      <pageMargins left="0.74803149606299213" right="0.74803149606299213" top="0.98425196850393704" bottom="0.98425196850393704" header="0.51181102362204722" footer="0.51181102362204722"/>
      <printOptions horizontalCentered="1"/>
      <pageSetup paperSize="9" scale="97" orientation="landscape" r:id="rId1"/>
      <headerFooter alignWithMargins="0"/>
    </customSheetView>
    <customSheetView guid="{854311B3-F60F-4832-B9BA-BC0DB08C5338}" showPageBreaks="1" fitToPage="1" printArea="1" hiddenRows="1" hiddenColumns="1">
      <selection activeCell="D6" sqref="D6:D13"/>
      <pageMargins left="0.74803149606299213" right="0.74803149606299213" top="0.98425196850393704" bottom="0.98425196850393704" header="0.51181102362204722" footer="0.51181102362204722"/>
      <printOptions horizontalCentered="1"/>
      <pageSetup paperSize="9" orientation="landscape" r:id="rId2"/>
      <headerFooter alignWithMargins="0"/>
    </customSheetView>
  </customSheetViews>
  <mergeCells count="3">
    <mergeCell ref="A3:F3"/>
    <mergeCell ref="A4:A5"/>
    <mergeCell ref="C4:F4"/>
  </mergeCells>
  <phoneticPr fontId="4" type="noConversion"/>
  <printOptions horizontalCentered="1"/>
  <pageMargins left="0.74803149606299213" right="0.74803149606299213" top="0.98425196850393704" bottom="0.98425196850393704" header="0.51181102362204722" footer="0.51181102362204722"/>
  <pageSetup paperSize="9" orientation="landscape" r:id="rId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F17"/>
  <sheetViews>
    <sheetView rightToLeft="1" zoomScale="90" zoomScaleNormal="90" workbookViewId="0">
      <selection activeCell="E15" sqref="E15"/>
    </sheetView>
  </sheetViews>
  <sheetFormatPr defaultRowHeight="12.75"/>
  <cols>
    <col min="1" max="1" width="38.7109375" customWidth="1"/>
    <col min="2" max="2" width="11.42578125" customWidth="1"/>
    <col min="3" max="3" width="12.85546875" customWidth="1"/>
    <col min="5" max="5" width="13.85546875" customWidth="1"/>
    <col min="6" max="6" width="24.42578125" customWidth="1"/>
  </cols>
  <sheetData>
    <row r="1" spans="1:6" ht="24.75" customHeight="1">
      <c r="A1" s="45" t="str">
        <f>'הפניקס תגמולים כללי'!A1:F1</f>
        <v>מדיניות ההשקעה הצפויה לשנת 2012</v>
      </c>
      <c r="B1" s="45"/>
      <c r="C1" s="45"/>
      <c r="D1" s="45"/>
      <c r="E1" s="45"/>
      <c r="F1" s="45"/>
    </row>
    <row r="2" spans="1:6" s="3" customFormat="1" ht="25.5" customHeight="1">
      <c r="A2" s="7"/>
      <c r="B2" s="7"/>
      <c r="C2" s="7"/>
      <c r="D2" s="7"/>
      <c r="E2" s="7"/>
      <c r="F2" s="7"/>
    </row>
    <row r="3" spans="1:6" ht="28.5" customHeight="1">
      <c r="A3" s="60" t="s">
        <v>46</v>
      </c>
      <c r="B3" s="60"/>
      <c r="C3" s="60"/>
      <c r="D3" s="60"/>
      <c r="E3" s="60"/>
      <c r="F3" s="60"/>
    </row>
    <row r="4" spans="1:6" ht="15" hidden="1" customHeight="1">
      <c r="A4" s="68" t="s">
        <v>0</v>
      </c>
      <c r="B4" s="50" t="s">
        <v>1</v>
      </c>
      <c r="C4" s="70" t="s">
        <v>2</v>
      </c>
      <c r="D4" s="70"/>
      <c r="E4" s="70"/>
      <c r="F4" s="71"/>
    </row>
    <row r="5" spans="1:6" ht="61.5" customHeight="1">
      <c r="A5" s="69"/>
      <c r="B5" s="46" t="str">
        <f>'הפניקס תגמולים כללי'!B5</f>
        <v>שיעור חשיפה ליום 29.12.2011</v>
      </c>
      <c r="C5" s="46" t="str">
        <f>'הפניקס תגמולים כללי'!C5</f>
        <v>שיעור חשיפה צפוי לשנת 2012</v>
      </c>
      <c r="D5" s="46" t="s">
        <v>4</v>
      </c>
      <c r="E5" s="46" t="s">
        <v>3</v>
      </c>
      <c r="F5" s="47" t="s">
        <v>5</v>
      </c>
    </row>
    <row r="6" spans="1:6" ht="38.25" customHeight="1">
      <c r="A6" s="12" t="s">
        <v>41</v>
      </c>
      <c r="B6" s="25">
        <v>0.51</v>
      </c>
      <c r="C6" s="5">
        <v>0.55000000000000004</v>
      </c>
      <c r="D6" s="6" t="s">
        <v>6</v>
      </c>
      <c r="E6" s="6" t="s">
        <v>19</v>
      </c>
      <c r="F6" s="19" t="s">
        <v>7</v>
      </c>
    </row>
    <row r="7" spans="1:6" ht="30" customHeight="1">
      <c r="A7" s="12" t="s">
        <v>42</v>
      </c>
      <c r="B7" s="26">
        <v>0.33</v>
      </c>
      <c r="C7" s="31">
        <v>0.28000000000000003</v>
      </c>
      <c r="D7" s="30" t="s">
        <v>8</v>
      </c>
      <c r="E7" s="6" t="s">
        <v>44</v>
      </c>
      <c r="F7" s="18" t="s">
        <v>9</v>
      </c>
    </row>
    <row r="8" spans="1:6" ht="30">
      <c r="A8" s="9" t="s">
        <v>38</v>
      </c>
      <c r="B8" s="27">
        <v>0.14000000000000001</v>
      </c>
      <c r="C8" s="10">
        <v>0.14000000000000001</v>
      </c>
      <c r="D8" s="11" t="s">
        <v>8</v>
      </c>
      <c r="E8" s="6" t="s">
        <v>45</v>
      </c>
      <c r="F8" s="8" t="s">
        <v>49</v>
      </c>
    </row>
    <row r="9" spans="1:6" ht="27" customHeight="1">
      <c r="A9" s="4" t="s">
        <v>11</v>
      </c>
      <c r="B9" s="25">
        <v>0.01</v>
      </c>
      <c r="C9" s="5">
        <v>0.01</v>
      </c>
      <c r="D9" s="6" t="s">
        <v>6</v>
      </c>
      <c r="E9" s="6" t="s">
        <v>17</v>
      </c>
      <c r="F9" s="19"/>
    </row>
    <row r="10" spans="1:6" ht="27" customHeight="1">
      <c r="A10" s="23" t="s">
        <v>13</v>
      </c>
      <c r="B10" s="26">
        <v>0</v>
      </c>
      <c r="C10" s="31">
        <v>0</v>
      </c>
      <c r="D10" s="30" t="s">
        <v>6</v>
      </c>
      <c r="E10" s="30" t="s">
        <v>20</v>
      </c>
      <c r="F10" s="21"/>
    </row>
    <row r="11" spans="1:6" ht="30.75" customHeight="1">
      <c r="A11" s="24" t="s">
        <v>14</v>
      </c>
      <c r="B11" s="28">
        <v>0.01</v>
      </c>
      <c r="C11" s="15">
        <v>0.02</v>
      </c>
      <c r="D11" s="16" t="s">
        <v>6</v>
      </c>
      <c r="E11" s="16" t="s">
        <v>21</v>
      </c>
      <c r="F11" s="20"/>
    </row>
    <row r="12" spans="1:6" ht="28.5" customHeight="1">
      <c r="A12" s="4" t="s">
        <v>15</v>
      </c>
      <c r="B12" s="25">
        <v>1</v>
      </c>
      <c r="C12" s="5">
        <v>1</v>
      </c>
      <c r="D12" s="6"/>
      <c r="E12" s="6"/>
      <c r="F12" s="19"/>
    </row>
    <row r="13" spans="1:6" ht="30.75" customHeight="1">
      <c r="A13" s="14" t="s">
        <v>37</v>
      </c>
      <c r="B13" s="27">
        <v>0.17</v>
      </c>
      <c r="C13" s="5">
        <v>0.16</v>
      </c>
      <c r="D13" s="6" t="s">
        <v>8</v>
      </c>
      <c r="E13" s="6" t="s">
        <v>43</v>
      </c>
      <c r="F13" s="8"/>
    </row>
    <row r="14" spans="1:6">
      <c r="A14" s="1" t="s">
        <v>30</v>
      </c>
      <c r="B14" s="29"/>
    </row>
    <row r="15" spans="1:6">
      <c r="A15" s="1"/>
    </row>
    <row r="16" spans="1:6">
      <c r="A16" s="1"/>
    </row>
    <row r="17" spans="1:1">
      <c r="A17" s="1"/>
    </row>
  </sheetData>
  <customSheetViews>
    <customSheetView guid="{5ED55EBB-DB6F-49D6-BFC0-9925844890BC}" showPageBreaks="1" fitToPage="1" hiddenRows="1" hiddenColumns="1" topLeftCell="A5">
      <selection activeCell="B6" sqref="B6"/>
      <pageMargins left="0.74803149606299213" right="0.74803149606299213" top="0.98425196850393704" bottom="0.98425196850393704" header="0.51181102362204722" footer="0.51181102362204722"/>
      <printOptions horizontalCentered="1"/>
      <pageSetup paperSize="9" scale="97" orientation="landscape" r:id="rId1"/>
      <headerFooter alignWithMargins="0"/>
    </customSheetView>
    <customSheetView guid="{854311B3-F60F-4832-B9BA-BC0DB08C5338}" fitToPage="1" hiddenRows="1" hiddenColumns="1">
      <selection activeCell="G13" sqref="G13"/>
      <pageMargins left="0.74803149606299213" right="0.74803149606299213" top="0.98425196850393704" bottom="0.98425196850393704" header="0.51181102362204722" footer="0.51181102362204722"/>
      <printOptions horizontalCentered="1"/>
      <pageSetup paperSize="9" scale="97" orientation="landscape" r:id="rId2"/>
      <headerFooter alignWithMargins="0"/>
    </customSheetView>
  </customSheetViews>
  <mergeCells count="3">
    <mergeCell ref="A3:F3"/>
    <mergeCell ref="A4:A5"/>
    <mergeCell ref="C4:F4"/>
  </mergeCells>
  <phoneticPr fontId="4" type="noConversion"/>
  <printOptions horizontalCentered="1"/>
  <pageMargins left="0.74803149606299213" right="0.74803149606299213" top="0.98425196850393704" bottom="0.98425196850393704" header="0.51181102362204722" footer="0.51181102362204722"/>
  <pageSetup paperSize="9"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B22"/>
  <sheetViews>
    <sheetView rightToLeft="1" zoomScale="90" zoomScaleNormal="90" workbookViewId="0">
      <selection activeCell="F18" sqref="F18"/>
    </sheetView>
  </sheetViews>
  <sheetFormatPr defaultRowHeight="12.75"/>
  <cols>
    <col min="1" max="1" width="66.85546875" customWidth="1"/>
    <col min="2" max="2" width="30.28515625" customWidth="1"/>
  </cols>
  <sheetData>
    <row r="1" spans="1:2" ht="24.75" customHeight="1">
      <c r="A1" s="45" t="s">
        <v>24</v>
      </c>
      <c r="B1" s="42"/>
    </row>
    <row r="2" spans="1:2" s="3" customFormat="1" ht="21.75" customHeight="1">
      <c r="A2" s="43"/>
      <c r="B2" s="43"/>
    </row>
    <row r="3" spans="1:2" ht="18">
      <c r="A3" s="41" t="s">
        <v>35</v>
      </c>
      <c r="B3" s="41"/>
    </row>
    <row r="4" spans="1:2" ht="15">
      <c r="A4" s="44" t="s">
        <v>22</v>
      </c>
      <c r="B4" s="44" t="s">
        <v>5</v>
      </c>
    </row>
    <row r="5" spans="1:2" ht="29.25" customHeight="1">
      <c r="A5" s="34" t="s">
        <v>28</v>
      </c>
      <c r="B5" s="35" t="s">
        <v>23</v>
      </c>
    </row>
    <row r="6" spans="1:2" ht="30">
      <c r="A6" s="34" t="s">
        <v>29</v>
      </c>
      <c r="B6" s="36" t="s">
        <v>27</v>
      </c>
    </row>
    <row r="8" spans="1:2">
      <c r="A8" s="37"/>
      <c r="B8" s="29"/>
    </row>
    <row r="9" spans="1:2">
      <c r="A9" s="37"/>
      <c r="B9" s="29"/>
    </row>
    <row r="10" spans="1:2">
      <c r="A10" s="38"/>
      <c r="B10" s="29"/>
    </row>
    <row r="11" spans="1:2">
      <c r="A11" s="33"/>
      <c r="B11" s="29"/>
    </row>
    <row r="12" spans="1:2">
      <c r="A12" s="39"/>
      <c r="B12" s="29"/>
    </row>
    <row r="13" spans="1:2">
      <c r="A13" s="37"/>
      <c r="B13" s="29"/>
    </row>
    <row r="14" spans="1:2">
      <c r="A14" s="37"/>
      <c r="B14" s="29"/>
    </row>
    <row r="15" spans="1:2">
      <c r="A15" s="37"/>
      <c r="B15" s="29"/>
    </row>
    <row r="16" spans="1:2" ht="15.75">
      <c r="A16" s="37"/>
      <c r="B16" s="40"/>
    </row>
    <row r="17" spans="1:2">
      <c r="A17" s="37"/>
      <c r="B17" s="29"/>
    </row>
    <row r="18" spans="1:2">
      <c r="A18" s="37"/>
      <c r="B18" s="29"/>
    </row>
    <row r="19" spans="1:2">
      <c r="A19" s="37"/>
      <c r="B19" s="29"/>
    </row>
    <row r="20" spans="1:2">
      <c r="A20" s="37"/>
      <c r="B20" s="29"/>
    </row>
    <row r="21" spans="1:2">
      <c r="A21" s="37"/>
      <c r="B21" s="29"/>
    </row>
    <row r="22" spans="1:2">
      <c r="A22" s="33"/>
      <c r="B22" s="22"/>
    </row>
  </sheetData>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B22"/>
  <sheetViews>
    <sheetView rightToLeft="1" zoomScale="90" zoomScaleNormal="90" workbookViewId="0">
      <selection activeCell="A22" sqref="A22"/>
    </sheetView>
  </sheetViews>
  <sheetFormatPr defaultRowHeight="12.75"/>
  <cols>
    <col min="1" max="1" width="66.85546875" customWidth="1"/>
    <col min="2" max="2" width="30.28515625" customWidth="1"/>
  </cols>
  <sheetData>
    <row r="1" spans="1:2" ht="24.75" customHeight="1">
      <c r="A1" s="45" t="s">
        <v>24</v>
      </c>
      <c r="B1" s="42"/>
    </row>
    <row r="2" spans="1:2" s="3" customFormat="1" ht="21.75" customHeight="1">
      <c r="A2" s="43"/>
      <c r="B2" s="43"/>
    </row>
    <row r="3" spans="1:2" ht="18">
      <c r="A3" s="41" t="s">
        <v>36</v>
      </c>
      <c r="B3" s="41"/>
    </row>
    <row r="4" spans="1:2" ht="15">
      <c r="A4" s="32" t="s">
        <v>22</v>
      </c>
      <c r="B4" s="32" t="s">
        <v>5</v>
      </c>
    </row>
    <row r="5" spans="1:2" ht="29.25" customHeight="1">
      <c r="A5" s="34" t="s">
        <v>25</v>
      </c>
      <c r="B5" s="35" t="s">
        <v>23</v>
      </c>
    </row>
    <row r="6" spans="1:2" ht="30">
      <c r="A6" s="34" t="s">
        <v>26</v>
      </c>
      <c r="B6" s="36" t="s">
        <v>27</v>
      </c>
    </row>
    <row r="8" spans="1:2">
      <c r="A8" s="37"/>
      <c r="B8" s="29"/>
    </row>
    <row r="9" spans="1:2">
      <c r="A9" s="37"/>
      <c r="B9" s="29"/>
    </row>
    <row r="10" spans="1:2">
      <c r="A10" s="38"/>
      <c r="B10" s="29"/>
    </row>
    <row r="11" spans="1:2">
      <c r="A11" s="33"/>
      <c r="B11" s="29"/>
    </row>
    <row r="12" spans="1:2">
      <c r="A12" s="39"/>
      <c r="B12" s="29"/>
    </row>
    <row r="13" spans="1:2">
      <c r="A13" s="37"/>
      <c r="B13" s="29"/>
    </row>
    <row r="14" spans="1:2">
      <c r="A14" s="37"/>
      <c r="B14" s="29"/>
    </row>
    <row r="15" spans="1:2">
      <c r="A15" s="37"/>
      <c r="B15" s="29"/>
    </row>
    <row r="16" spans="1:2" ht="15.75">
      <c r="A16" s="37"/>
      <c r="B16" s="40"/>
    </row>
    <row r="17" spans="1:2">
      <c r="A17" s="37"/>
      <c r="B17" s="29"/>
    </row>
    <row r="18" spans="1:2">
      <c r="A18" s="37"/>
      <c r="B18" s="29"/>
    </row>
    <row r="19" spans="1:2">
      <c r="A19" s="37"/>
      <c r="B19" s="29"/>
    </row>
    <row r="20" spans="1:2">
      <c r="A20" s="37"/>
      <c r="B20" s="29"/>
    </row>
    <row r="21" spans="1:2">
      <c r="A21" s="37"/>
      <c r="B21" s="29"/>
    </row>
    <row r="22" spans="1:2">
      <c r="A22" s="33"/>
      <c r="B22" s="22"/>
    </row>
  </sheetData>
  <customSheetViews>
    <customSheetView guid="{5ED55EBB-DB6F-49D6-BFC0-9925844890BC}" showPageBreaks="1" fitToPage="1">
      <pageMargins left="0.70866141732283472" right="0.70866141732283472" top="0.74803149606299213" bottom="0.74803149606299213" header="0.31496062992125984" footer="0.31496062992125984"/>
      <printOptions horizontalCentered="1"/>
      <pageSetup paperSize="9" orientation="landscape" r:id="rId1"/>
    </customSheetView>
    <customSheetView guid="{854311B3-F60F-4832-B9BA-BC0DB08C5338}" fitToPage="1">
      <selection activeCell="A18" sqref="A18"/>
      <pageMargins left="0.70866141732283472" right="0.70866141732283472" top="0.74803149606299213" bottom="0.74803149606299213" header="0.31496062992125984" footer="0.31496062992125984"/>
      <printOptions horizontalCentered="1"/>
      <pageSetup paperSize="9" orientation="landscape" r:id="rId2"/>
    </customSheetView>
  </customSheetViews>
  <printOptions horizontalCentered="1"/>
  <pageMargins left="0.70866141732283472" right="0.70866141732283472" top="0.74803149606299213" bottom="0.74803149606299213" header="0.31496062992125984" footer="0.31496062992125984"/>
  <pageSetup paperSize="9"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A21"/>
  <sheetViews>
    <sheetView rightToLeft="1" tabSelected="1" zoomScale="90" zoomScaleNormal="90" workbookViewId="0">
      <selection activeCell="C5" sqref="C5"/>
    </sheetView>
  </sheetViews>
  <sheetFormatPr defaultRowHeight="12.75"/>
  <cols>
    <col min="1" max="1" width="90.5703125" style="52" customWidth="1"/>
    <col min="2" max="16384" width="9.140625" style="52"/>
  </cols>
  <sheetData>
    <row r="1" spans="1:1" ht="24.75" customHeight="1">
      <c r="A1" s="51" t="s">
        <v>24</v>
      </c>
    </row>
    <row r="2" spans="1:1" s="54" customFormat="1" ht="21.75" customHeight="1">
      <c r="A2" s="53"/>
    </row>
    <row r="3" spans="1:1" ht="18">
      <c r="A3" s="55" t="s">
        <v>50</v>
      </c>
    </row>
    <row r="4" spans="1:1" ht="15">
      <c r="A4" s="56" t="s">
        <v>22</v>
      </c>
    </row>
    <row r="5" spans="1:1" ht="82.5" customHeight="1">
      <c r="A5" s="57" t="s">
        <v>51</v>
      </c>
    </row>
    <row r="6" spans="1:1">
      <c r="A6" s="58"/>
    </row>
    <row r="7" spans="1:1">
      <c r="A7" s="58"/>
    </row>
    <row r="8" spans="1:1">
      <c r="A8" s="58"/>
    </row>
    <row r="9" spans="1:1">
      <c r="A9" s="58"/>
    </row>
    <row r="10" spans="1:1">
      <c r="A10" s="58"/>
    </row>
    <row r="11" spans="1:1">
      <c r="A11" s="58"/>
    </row>
    <row r="12" spans="1:1">
      <c r="A12" s="58"/>
    </row>
    <row r="13" spans="1:1">
      <c r="A13" s="58"/>
    </row>
    <row r="14" spans="1:1">
      <c r="A14" s="58"/>
    </row>
    <row r="15" spans="1:1">
      <c r="A15" s="58"/>
    </row>
    <row r="16" spans="1:1">
      <c r="A16" s="58"/>
    </row>
    <row r="17" spans="1:1">
      <c r="A17" s="58"/>
    </row>
    <row r="18" spans="1:1">
      <c r="A18" s="58"/>
    </row>
    <row r="19" spans="1:1">
      <c r="A19" s="58"/>
    </row>
    <row r="20" spans="1:1">
      <c r="A20" s="58"/>
    </row>
    <row r="21" spans="1:1">
      <c r="A21" s="59"/>
    </row>
  </sheetData>
  <printOptions horizontalCentered="1"/>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7</vt:i4>
      </vt:variant>
      <vt:variant>
        <vt:lpstr>טווחים בעלי שם</vt:lpstr>
      </vt:variant>
      <vt:variant>
        <vt:i4>1</vt:i4>
      </vt:variant>
    </vt:vector>
  </HeadingPairs>
  <TitlesOfParts>
    <vt:vector size="8" baseType="lpstr">
      <vt:lpstr>הפניקס השתלמות כללי</vt:lpstr>
      <vt:lpstr>הפניקס תגמולים כללי</vt:lpstr>
      <vt:lpstr>הפניקס מרכזית לפיצויים</vt:lpstr>
      <vt:lpstr>הפניקס תגמולים עמית</vt:lpstr>
      <vt:lpstr>מסלולים מתמחים השתלמות</vt:lpstr>
      <vt:lpstr>מסלולים מתמחים תגמולים</vt:lpstr>
      <vt:lpstr>מסלולים מתמחים גמל אישי</vt:lpstr>
      <vt:lpstr>'הפניקס מרכזית לפיצויים'!WPrint_Area_W</vt:lpstr>
    </vt:vector>
  </TitlesOfParts>
  <Company>The Israel Phoenix</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usf11434</dc:creator>
  <cp:lastModifiedBy>nira hay</cp:lastModifiedBy>
  <cp:lastPrinted>2012-01-01T12:24:47Z</cp:lastPrinted>
  <dcterms:created xsi:type="dcterms:W3CDTF">2010-10-27T10:49:02Z</dcterms:created>
  <dcterms:modified xsi:type="dcterms:W3CDTF">2012-02-15T11:02:50Z</dcterms:modified>
</cp:coreProperties>
</file>