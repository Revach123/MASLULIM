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17400" windowHeight="12405" tabRatio="911"/>
  </bookViews>
  <sheets>
    <sheet name="הפניקס השתלמות כללי" sheetId="5" r:id="rId1"/>
    <sheet name="הפניקס תגמולים כללי" sheetId="1" r:id="rId2"/>
    <sheet name="הפניקס מרכזית לפיצויים" sheetId="2" r:id="rId3"/>
    <sheet name="הפניקס תגמולים עמית" sheetId="3" r:id="rId4"/>
    <sheet name="מסלולים מתמחים השתלמות" sheetId="6" r:id="rId5"/>
    <sheet name="מסלולים מתמחים תגמולים" sheetId="4" r:id="rId6"/>
    <sheet name="מסלולים מתמחים גמל אישי" sheetId="7" r:id="rId7"/>
  </sheets>
  <definedNames>
    <definedName name="_xlnm.Print_Area" localSheetId="2">'הפניקס מרכזית לפיצויים'!$A$1:$F$17</definedName>
    <definedName name="Z_5ED55EBB_DB6F_49D6_BFC0_9925844890BC_.wvu.Cols" localSheetId="0" hidden="1">'הפניקס השתלמות כללי'!#REF!</definedName>
    <definedName name="Z_5ED55EBB_DB6F_49D6_BFC0_9925844890BC_.wvu.Cols" localSheetId="2" hidden="1">'הפניקס מרכזית לפיצויים'!#REF!</definedName>
    <definedName name="Z_5ED55EBB_DB6F_49D6_BFC0_9925844890BC_.wvu.Cols" localSheetId="1" hidden="1">'הפניקס תגמולים כללי'!#REF!</definedName>
    <definedName name="Z_5ED55EBB_DB6F_49D6_BFC0_9925844890BC_.wvu.Cols" localSheetId="3" hidden="1">'הפניקס תגמולים עמית'!#REF!</definedName>
    <definedName name="Z_5ED55EBB_DB6F_49D6_BFC0_9925844890BC_.wvu.PrintArea" localSheetId="2" hidden="1">'הפניקס מרכזית לפיצויים'!$A$1:$F$17</definedName>
    <definedName name="Z_5ED55EBB_DB6F_49D6_BFC0_9925844890BC_.wvu.Rows" localSheetId="0" hidden="1">'הפניקס השתלמות כללי'!$4:$4</definedName>
    <definedName name="Z_5ED55EBB_DB6F_49D6_BFC0_9925844890BC_.wvu.Rows" localSheetId="2" hidden="1">'הפניקס מרכזית לפיצויים'!$4:$4</definedName>
    <definedName name="Z_5ED55EBB_DB6F_49D6_BFC0_9925844890BC_.wvu.Rows" localSheetId="1" hidden="1">'הפניקס תגמולים כללי'!$4:$4</definedName>
    <definedName name="Z_5ED55EBB_DB6F_49D6_BFC0_9925844890BC_.wvu.Rows" localSheetId="3" hidden="1">'הפניקס תגמולים עמית'!$4:$4</definedName>
    <definedName name="Z_854311B3_F60F_4832_B9BA_BC0DB08C5338_.wvu.Cols" localSheetId="0" hidden="1">'הפניקס השתלמות כללי'!#REF!</definedName>
    <definedName name="Z_854311B3_F60F_4832_B9BA_BC0DB08C5338_.wvu.Cols" localSheetId="2" hidden="1">'הפניקס מרכזית לפיצויים'!#REF!</definedName>
    <definedName name="Z_854311B3_F60F_4832_B9BA_BC0DB08C5338_.wvu.Cols" localSheetId="1" hidden="1">'הפניקס תגמולים כללי'!#REF!</definedName>
    <definedName name="Z_854311B3_F60F_4832_B9BA_BC0DB08C5338_.wvu.Cols" localSheetId="3" hidden="1">'הפניקס תגמולים עמית'!#REF!</definedName>
    <definedName name="Z_854311B3_F60F_4832_B9BA_BC0DB08C5338_.wvu.PrintArea" localSheetId="2" hidden="1">'הפניקס מרכזית לפיצויים'!$A$1:$F$17</definedName>
    <definedName name="Z_854311B3_F60F_4832_B9BA_BC0DB08C5338_.wvu.Rows" localSheetId="0" hidden="1">'הפניקס השתלמות כללי'!$4:$4</definedName>
    <definedName name="Z_854311B3_F60F_4832_B9BA_BC0DB08C5338_.wvu.Rows" localSheetId="2" hidden="1">'הפניקס מרכזית לפיצויים'!$4:$4</definedName>
    <definedName name="Z_854311B3_F60F_4832_B9BA_BC0DB08C5338_.wvu.Rows" localSheetId="1" hidden="1">'הפניקס תגמולים כללי'!$4:$4</definedName>
    <definedName name="Z_854311B3_F60F_4832_B9BA_BC0DB08C5338_.wvu.Rows" localSheetId="3" hidden="1">'הפניקס תגמולים עמית'!$4:$4</definedName>
  </definedNames>
  <calcPr calcId="144525"/>
  <customWorkbookViews>
    <customWorkbookView name="USF11643 - תצוגה אישית" guid="{5ED55EBB-DB6F-49D6-BFC0-9925844890BC}" mergeInterval="0" personalView="1" maximized="1" xWindow="1" yWindow="1" windowWidth="1152" windowHeight="569" activeSheetId="1" showComments="commIndAndComment"/>
    <customWorkbookView name="nira hay - תצוגה אישית" guid="{854311B3-F60F-4832-B9BA-BC0DB08C5338}" mergeInterval="0" personalView="1" maximized="1" windowWidth="1152" windowHeight="558" tabRatio="911" activeSheetId="1"/>
  </customWorkbookViews>
</workbook>
</file>

<file path=xl/calcChain.xml><?xml version="1.0" encoding="utf-8"?>
<calcChain xmlns="http://schemas.openxmlformats.org/spreadsheetml/2006/main">
  <c r="A1" i="2" l="1"/>
  <c r="C5" i="1"/>
  <c r="A1" i="1"/>
  <c r="B5" i="1"/>
  <c r="C5" i="3" l="1"/>
  <c r="B5" i="3"/>
  <c r="C5" i="2"/>
  <c r="B5" i="2"/>
  <c r="A1" i="3" l="1"/>
  <c r="A1" i="6" s="1"/>
  <c r="A1" i="4" s="1"/>
  <c r="A1" i="7" s="1"/>
</calcChain>
</file>

<file path=xl/sharedStrings.xml><?xml version="1.0" encoding="utf-8"?>
<sst xmlns="http://schemas.openxmlformats.org/spreadsheetml/2006/main" count="154" uniqueCount="54">
  <si>
    <t>אפיק השקעה</t>
  </si>
  <si>
    <t>לפני השינוי</t>
  </si>
  <si>
    <t>לאחר השינוי</t>
  </si>
  <si>
    <t>גבולות שיעור החשיפה הצפויה</t>
  </si>
  <si>
    <t>טווח סטייה</t>
  </si>
  <si>
    <t>מדד הייחוס</t>
  </si>
  <si>
    <t>+/- 5%</t>
  </si>
  <si>
    <t>מדד אג"ח ממשלתי כללי</t>
  </si>
  <si>
    <t>+/- 6%</t>
  </si>
  <si>
    <t>מדד תל בונד 60</t>
  </si>
  <si>
    <t>מניות</t>
  </si>
  <si>
    <t>קרנות השקעה (PE, VC, קרדיט, גידור)</t>
  </si>
  <si>
    <t>0%-6%</t>
  </si>
  <si>
    <t>נדל"ן</t>
  </si>
  <si>
    <t>סה"כ</t>
  </si>
  <si>
    <t xml:space="preserve">הפניקס מרכזית לפיצויים </t>
  </si>
  <si>
    <t xml:space="preserve">0% - 6% </t>
  </si>
  <si>
    <t>30%-42%</t>
  </si>
  <si>
    <t>50% - 60%</t>
  </si>
  <si>
    <t xml:space="preserve">0% - 5% </t>
  </si>
  <si>
    <t xml:space="preserve">0% - 7% </t>
  </si>
  <si>
    <t>מדיניות ההשקעה</t>
  </si>
  <si>
    <t>מדד מניות ת"א 100</t>
  </si>
  <si>
    <t>הפניקס תגמולים ופיצויים מנייתי -  לפחות 50% מניות.</t>
  </si>
  <si>
    <t>הפניקס תגמולים ופיצויים  מסלול ללא מניות -  ללא מניות. 
מח"מ הנכסים לא יעלה על 4 שנים.</t>
  </si>
  <si>
    <t>מדד ממשלתי צמוד 0-2</t>
  </si>
  <si>
    <t>הפניקס השתלמות מנייתי -  לפחות 50% מניות.</t>
  </si>
  <si>
    <t>הפניקס השתלמות מסלול ללא מניות -  ללא מניות. 
מח"מ הנכסים לא יעלה על 4 שנים.</t>
  </si>
  <si>
    <t>הפניקס השתלמות מסלול כללי</t>
  </si>
  <si>
    <t xml:space="preserve">הפניקס תגמולים ופיצויים מסלול כללי  </t>
  </si>
  <si>
    <t>הפניקס השתלמות</t>
  </si>
  <si>
    <t>הפניקס פיצויים ותגמלוים</t>
  </si>
  <si>
    <t>חשיפה למט"ח</t>
  </si>
  <si>
    <t>מניות**</t>
  </si>
  <si>
    <t>אג"ח ממשלתי סחיר</t>
  </si>
  <si>
    <t>חוב חברות (סחיר, לא סחיר)</t>
  </si>
  <si>
    <t>10%-22%</t>
  </si>
  <si>
    <t>22%-34%</t>
  </si>
  <si>
    <t>8%-15%</t>
  </si>
  <si>
    <t xml:space="preserve">הפניקס תגמולים ופיצויים מסלול עמית  </t>
  </si>
  <si>
    <t>50%- מדד ת"א 100 ,  50%- MSCI WORLD AC</t>
  </si>
  <si>
    <t xml:space="preserve"> 70%- מדד ת"א 100 ,  30%- MSCI WORLD AC</t>
  </si>
  <si>
    <t>הפניקס גמל והשתלמות בניהול אישי</t>
  </si>
  <si>
    <t>נכסי קופת הגמל וקרן ההשתלמות בניהול אישי יושקעו בהתאם להוראותיו של העמית בקופת הגמל או בקרן ההשתלמות או באמצעות מנהל תיקים שמינה העמית, ככל שמינה, בהתאם לתקנות הפיקוח על שירותים פיננסיים (קופות גמל) (קופת גמל בניהול אישי), תשע-2009.</t>
  </si>
  <si>
    <t>שיעור חשיפה קודם</t>
  </si>
  <si>
    <t>27%-37%</t>
  </si>
  <si>
    <t>23%-35%</t>
  </si>
  <si>
    <r>
      <t>אג"ח ממשלתי סחיר</t>
    </r>
    <r>
      <rPr>
        <b/>
        <vertAlign val="superscript"/>
        <sz val="9.9"/>
        <color theme="4" tint="-0.249977111117893"/>
        <rFont val="Arial"/>
        <family val="2"/>
      </rPr>
      <t>2</t>
    </r>
  </si>
  <si>
    <r>
      <t>חוב חברות (סחיר, לא סחיר)</t>
    </r>
    <r>
      <rPr>
        <b/>
        <vertAlign val="superscript"/>
        <sz val="9.9"/>
        <color theme="4" tint="-0.249977111117893"/>
        <rFont val="Arial"/>
        <family val="2"/>
      </rPr>
      <t>2</t>
    </r>
  </si>
  <si>
    <r>
      <rPr>
        <b/>
        <vertAlign val="superscript"/>
        <sz val="8"/>
        <color indexed="8"/>
        <rFont val="Arial"/>
        <family val="2"/>
      </rPr>
      <t>1</t>
    </r>
    <r>
      <rPr>
        <b/>
        <sz val="8"/>
        <color indexed="8"/>
        <rFont val="Arial"/>
        <family val="2"/>
      </rPr>
      <t>מזומן</t>
    </r>
  </si>
  <si>
    <r>
      <rPr>
        <b/>
        <vertAlign val="superscript"/>
        <sz val="8"/>
        <color indexed="8"/>
        <rFont val="Arial"/>
        <family val="2"/>
      </rPr>
      <t>2</t>
    </r>
    <r>
      <rPr>
        <b/>
        <sz val="8"/>
        <color indexed="8"/>
        <rFont val="Arial"/>
        <family val="2"/>
      </rPr>
      <t>שינוי בחשיפה לאג"ח ממשלתי וחוב חברות</t>
    </r>
  </si>
  <si>
    <r>
      <t>אחר</t>
    </r>
    <r>
      <rPr>
        <b/>
        <vertAlign val="superscript"/>
        <sz val="9.9"/>
        <color theme="4" tint="-0.249977111117893"/>
        <rFont val="Arial"/>
        <family val="2"/>
      </rPr>
      <t>1</t>
    </r>
  </si>
  <si>
    <t>מדיניות השקעה צפויה החל מ-23/05/2012</t>
  </si>
  <si>
    <t>שיעור חשיפה צפוי החל מ- 23/05/2012</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</si>
</sst>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0"/>
      <name val="Arial"/>
      <charset val="177"/>
    </font>
    <font>
      <b/>
      <u/>
      <sz val="16"/>
      <color indexed="9"/>
      <name val="Arial"/>
      <family val="2"/>
    </font>
    <font>
      <b/>
      <sz val="8"/>
      <color indexed="8"/>
      <name val="Arial"/>
      <family val="2"/>
    </font>
    <font>
      <sz val="8"/>
      <color indexed="8"/>
      <name val="Arial"/>
      <family val="2"/>
    </font>
    <font>
      <sz val="8"/>
      <name val="Arial"/>
      <family val="2"/>
    </font>
    <font>
      <b/>
      <u/>
      <sz val="16"/>
      <color theme="4" tint="-0.249977111117893"/>
      <name val="Arial"/>
      <family val="2"/>
    </font>
    <font>
      <b/>
      <sz val="18"/>
      <color theme="4" tint="-0.249977111117893"/>
      <name val="Arial"/>
      <family val="2"/>
    </font>
    <font>
      <b/>
      <sz val="14"/>
      <color theme="0"/>
      <name val="Arial"/>
      <family val="2"/>
    </font>
    <font>
      <b/>
      <sz val="11"/>
      <color theme="0"/>
      <name val="Arial"/>
      <family val="2"/>
    </font>
    <font>
      <b/>
      <sz val="11"/>
      <color theme="4" tint="-0.249977111117893"/>
      <name val="Arial"/>
      <family val="2"/>
    </font>
    <font>
      <sz val="12"/>
      <color theme="1"/>
      <name val="Calibri"/>
      <family val="2"/>
      <charset val="177"/>
      <scheme val="minor"/>
    </font>
    <font>
      <sz val="10"/>
      <name val="Arial"/>
      <family val="2"/>
    </font>
    <font>
      <b/>
      <vertAlign val="superscript"/>
      <sz val="9.9"/>
      <color theme="4" tint="-0.249977111117893"/>
      <name val="Arial"/>
      <family val="2"/>
    </font>
    <font>
      <b/>
      <vertAlign val="superscript"/>
      <sz val="8"/>
      <color indexed="8"/>
      <name val="Arial"/>
      <family val="2"/>
    </font>
  </fonts>
  <fills count="6">
    <fill>
      <patternFill patternType="none"/>
    </fill>
    <fill>
      <patternFill patternType="gray125"/>
    </fill>
    <fill>
      <patternFill patternType="solid">
        <fgColor theme="3" tint="0.39997558519241921"/>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tint="0.79998168889431442"/>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top/>
      <bottom style="thin">
        <color theme="0"/>
      </bottom>
      <diagonal/>
    </border>
    <border>
      <left style="thin">
        <color theme="0"/>
      </left>
      <right/>
      <top/>
      <bottom/>
      <diagonal/>
    </border>
  </borders>
  <cellStyleXfs count="2">
    <xf numFmtId="0" fontId="0" fillId="0" borderId="0"/>
    <xf numFmtId="0" fontId="11" fillId="0" borderId="0"/>
  </cellStyleXfs>
  <cellXfs count="73">
    <xf numFmtId="0" fontId="0" fillId="0" borderId="0" xfId="0"/>
    <xf numFmtId="0" fontId="2" fillId="0" borderId="0" xfId="0" applyFont="1" applyBorder="1" applyAlignment="1">
      <alignment horizontal="right" wrapText="1" readingOrder="2"/>
    </xf>
    <xf numFmtId="0" fontId="3" fillId="0" borderId="0" xfId="0" applyFont="1" applyBorder="1" applyAlignment="1">
      <alignment wrapText="1"/>
    </xf>
    <xf numFmtId="0" fontId="0" fillId="0" borderId="0" xfId="0" applyFill="1"/>
    <xf numFmtId="0" fontId="9" fillId="4" borderId="1" xfId="0" applyFont="1" applyFill="1" applyBorder="1" applyAlignment="1">
      <alignment horizontal="right" vertical="center" wrapText="1" readingOrder="2"/>
    </xf>
    <xf numFmtId="9" fontId="9" fillId="4" borderId="1" xfId="0" applyNumberFormat="1" applyFont="1" applyFill="1" applyBorder="1" applyAlignment="1">
      <alignment horizontal="center" vertical="center" wrapText="1" readingOrder="1"/>
    </xf>
    <xf numFmtId="0" fontId="9" fillId="4" borderId="1" xfId="0" applyFont="1" applyFill="1" applyBorder="1" applyAlignment="1">
      <alignment horizontal="center" vertical="center" wrapText="1" readingOrder="1"/>
    </xf>
    <xf numFmtId="0" fontId="1" fillId="0" borderId="1" xfId="0" applyFont="1" applyFill="1" applyBorder="1" applyAlignment="1">
      <alignment horizontal="center" vertical="center" wrapText="1" readingOrder="2"/>
    </xf>
    <xf numFmtId="0" fontId="9" fillId="4" borderId="0" xfId="0" applyFont="1" applyFill="1" applyBorder="1" applyAlignment="1">
      <alignment horizontal="center" vertical="center" wrapText="1" readingOrder="2"/>
    </xf>
    <xf numFmtId="0" fontId="9" fillId="4" borderId="4" xfId="0" applyFont="1" applyFill="1" applyBorder="1" applyAlignment="1">
      <alignment horizontal="right" vertical="center" wrapText="1" readingOrder="2"/>
    </xf>
    <xf numFmtId="9" fontId="9" fillId="4" borderId="5" xfId="0" applyNumberFormat="1" applyFont="1" applyFill="1" applyBorder="1" applyAlignment="1">
      <alignment horizontal="center" vertical="center" wrapText="1" readingOrder="1"/>
    </xf>
    <xf numFmtId="0" fontId="9" fillId="4" borderId="5" xfId="0" applyFont="1" applyFill="1" applyBorder="1" applyAlignment="1">
      <alignment horizontal="center" vertical="center" wrapText="1" readingOrder="1"/>
    </xf>
    <xf numFmtId="0" fontId="9" fillId="4" borderId="3" xfId="0" applyFont="1" applyFill="1" applyBorder="1" applyAlignment="1">
      <alignment horizontal="right" vertical="center" wrapText="1" readingOrder="2"/>
    </xf>
    <xf numFmtId="0" fontId="9" fillId="4" borderId="2" xfId="0" applyFont="1" applyFill="1" applyBorder="1" applyAlignment="1">
      <alignment horizontal="center" vertical="center" wrapText="1" readingOrder="2"/>
    </xf>
    <xf numFmtId="0" fontId="9" fillId="4" borderId="9" xfId="0" applyFont="1" applyFill="1" applyBorder="1" applyAlignment="1">
      <alignment horizontal="right" vertical="center" wrapText="1" readingOrder="2"/>
    </xf>
    <xf numFmtId="9" fontId="9" fillId="4" borderId="10" xfId="0" applyNumberFormat="1" applyFont="1" applyFill="1" applyBorder="1" applyAlignment="1">
      <alignment horizontal="center" vertical="center" wrapText="1" readingOrder="1"/>
    </xf>
    <xf numFmtId="0" fontId="9" fillId="4" borderId="10" xfId="0" applyFont="1" applyFill="1" applyBorder="1" applyAlignment="1">
      <alignment horizontal="center" vertical="center" wrapText="1" readingOrder="1"/>
    </xf>
    <xf numFmtId="0" fontId="9" fillId="4" borderId="11" xfId="0" applyFont="1" applyFill="1" applyBorder="1" applyAlignment="1">
      <alignment horizontal="center" vertical="center" wrapText="1" readingOrder="2"/>
    </xf>
    <xf numFmtId="0" fontId="9" fillId="4" borderId="6" xfId="0" applyFont="1" applyFill="1" applyBorder="1" applyAlignment="1">
      <alignment horizontal="center" vertical="center" wrapText="1" readingOrder="2"/>
    </xf>
    <xf numFmtId="0" fontId="9" fillId="4" borderId="3" xfId="0" applyFont="1" applyFill="1" applyBorder="1" applyAlignment="1">
      <alignment horizontal="center" vertical="center" wrapText="1" readingOrder="2"/>
    </xf>
    <xf numFmtId="0" fontId="9" fillId="4" borderId="12" xfId="0" applyFont="1" applyFill="1" applyBorder="1" applyAlignment="1">
      <alignment horizontal="center" vertical="center" wrapText="1" readingOrder="2"/>
    </xf>
    <xf numFmtId="0" fontId="9" fillId="4" borderId="13" xfId="0" applyFont="1" applyFill="1" applyBorder="1" applyAlignment="1">
      <alignment horizontal="center" vertical="center" wrapText="1" readingOrder="2"/>
    </xf>
    <xf numFmtId="0" fontId="0" fillId="0" borderId="6" xfId="0" applyBorder="1"/>
    <xf numFmtId="0" fontId="9" fillId="4" borderId="7" xfId="0" applyFont="1" applyFill="1" applyBorder="1" applyAlignment="1">
      <alignment horizontal="right" vertical="center" wrapText="1" readingOrder="2"/>
    </xf>
    <xf numFmtId="9" fontId="9" fillId="4" borderId="3" xfId="0" applyNumberFormat="1" applyFont="1" applyFill="1" applyBorder="1" applyAlignment="1">
      <alignment horizontal="center" vertical="center" wrapText="1" readingOrder="1"/>
    </xf>
    <xf numFmtId="9" fontId="9" fillId="4" borderId="6" xfId="0" applyNumberFormat="1" applyFont="1" applyFill="1" applyBorder="1" applyAlignment="1">
      <alignment horizontal="center" vertical="center" wrapText="1" readingOrder="1"/>
    </xf>
    <xf numFmtId="9" fontId="9" fillId="4" borderId="4" xfId="0" applyNumberFormat="1" applyFont="1" applyFill="1" applyBorder="1" applyAlignment="1">
      <alignment horizontal="center" vertical="center" wrapText="1" readingOrder="1"/>
    </xf>
    <xf numFmtId="9" fontId="9" fillId="4" borderId="9" xfId="0" applyNumberFormat="1" applyFont="1" applyFill="1" applyBorder="1" applyAlignment="1">
      <alignment horizontal="center" vertical="center" wrapText="1" readingOrder="1"/>
    </xf>
    <xf numFmtId="0" fontId="0" fillId="0" borderId="4" xfId="0" applyBorder="1"/>
    <xf numFmtId="0" fontId="9" fillId="4" borderId="7" xfId="0" applyFont="1" applyFill="1" applyBorder="1" applyAlignment="1">
      <alignment horizontal="center" vertical="center" wrapText="1" readingOrder="1"/>
    </xf>
    <xf numFmtId="9" fontId="9" fillId="4" borderId="7" xfId="0" applyNumberFormat="1" applyFont="1" applyFill="1" applyBorder="1" applyAlignment="1">
      <alignment horizontal="center" vertical="center" wrapText="1" readingOrder="1"/>
    </xf>
    <xf numFmtId="0" fontId="8" fillId="3" borderId="1" xfId="0" applyFont="1" applyFill="1" applyBorder="1" applyAlignment="1">
      <alignment horizontal="center" vertical="center" wrapText="1" readingOrder="2"/>
    </xf>
    <xf numFmtId="0" fontId="0" fillId="0" borderId="8" xfId="0" applyBorder="1"/>
    <xf numFmtId="0" fontId="9" fillId="5" borderId="7" xfId="0" applyFont="1" applyFill="1" applyBorder="1" applyAlignment="1">
      <alignment horizontal="right" vertical="center" wrapText="1" readingOrder="2"/>
    </xf>
    <xf numFmtId="0" fontId="9" fillId="5" borderId="6" xfId="0" applyFont="1" applyFill="1" applyBorder="1" applyAlignment="1">
      <alignment horizontal="center" vertical="center" wrapText="1" readingOrder="2"/>
    </xf>
    <xf numFmtId="0" fontId="9" fillId="5" borderId="3" xfId="0" applyFont="1" applyFill="1" applyBorder="1" applyAlignment="1">
      <alignment horizontal="center" vertical="center" wrapText="1" readingOrder="2"/>
    </xf>
    <xf numFmtId="0" fontId="0" fillId="0" borderId="14" xfId="0" applyBorder="1"/>
    <xf numFmtId="0" fontId="0" fillId="0" borderId="11" xfId="0" applyBorder="1"/>
    <xf numFmtId="0" fontId="0" fillId="0" borderId="2" xfId="0" applyBorder="1"/>
    <xf numFmtId="0" fontId="10" fillId="0" borderId="4" xfId="0" applyFont="1" applyBorder="1"/>
    <xf numFmtId="0" fontId="7" fillId="2" borderId="2" xfId="0" applyFont="1" applyFill="1" applyBorder="1" applyAlignment="1">
      <alignment horizontal="centerContinuous" wrapText="1"/>
    </xf>
    <xf numFmtId="0" fontId="0" fillId="0" borderId="0" xfId="0" applyAlignment="1">
      <alignment horizontal="centerContinuous"/>
    </xf>
    <xf numFmtId="0" fontId="1" fillId="0" borderId="1" xfId="0" applyFont="1" applyFill="1" applyBorder="1" applyAlignment="1">
      <alignment horizontal="centerContinuous" vertical="center" wrapText="1" readingOrder="2"/>
    </xf>
    <xf numFmtId="0" fontId="8" fillId="3" borderId="1" xfId="0" applyFont="1" applyFill="1" applyBorder="1" applyAlignment="1">
      <alignment horizontal="center" vertical="center" wrapText="1" readingOrder="2"/>
    </xf>
    <xf numFmtId="0" fontId="5" fillId="0" borderId="1" xfId="0" applyFont="1" applyFill="1" applyBorder="1" applyAlignment="1">
      <alignment horizontal="centerContinuous" vertical="top" wrapText="1" readingOrder="2"/>
    </xf>
    <xf numFmtId="0" fontId="8" fillId="3" borderId="1" xfId="0" applyFont="1" applyFill="1" applyBorder="1" applyAlignment="1">
      <alignment horizontal="center" wrapText="1" readingOrder="2"/>
    </xf>
    <xf numFmtId="0" fontId="8" fillId="3" borderId="3" xfId="0" applyFont="1" applyFill="1" applyBorder="1" applyAlignment="1">
      <alignment horizontal="center" wrapText="1" readingOrder="2"/>
    </xf>
    <xf numFmtId="0" fontId="6" fillId="0" borderId="1" xfId="0" applyFont="1" applyFill="1" applyBorder="1" applyAlignment="1">
      <alignment horizontal="centerContinuous" vertical="top" wrapText="1" readingOrder="2"/>
    </xf>
    <xf numFmtId="0" fontId="8" fillId="3" borderId="1" xfId="0" applyFont="1" applyFill="1" applyBorder="1" applyAlignment="1">
      <alignment horizontal="center" vertical="center" wrapText="1" readingOrder="2"/>
    </xf>
    <xf numFmtId="0" fontId="8" fillId="3" borderId="2" xfId="0" applyFont="1" applyFill="1" applyBorder="1" applyAlignment="1">
      <alignment horizontal="center" vertical="center" wrapText="1" readingOrder="2"/>
    </xf>
    <xf numFmtId="0" fontId="5" fillId="0" borderId="1" xfId="1" applyFont="1" applyFill="1" applyBorder="1" applyAlignment="1">
      <alignment horizontal="centerContinuous" vertical="top" wrapText="1" readingOrder="2"/>
    </xf>
    <xf numFmtId="0" fontId="11" fillId="0" borderId="0" xfId="1"/>
    <xf numFmtId="0" fontId="1" fillId="0" borderId="1" xfId="1" applyFont="1" applyFill="1" applyBorder="1" applyAlignment="1">
      <alignment horizontal="centerContinuous" vertical="center" wrapText="1" readingOrder="2"/>
    </xf>
    <xf numFmtId="0" fontId="11" fillId="0" borderId="0" xfId="1" applyFill="1"/>
    <xf numFmtId="0" fontId="7" fillId="2" borderId="2" xfId="1" applyFont="1" applyFill="1" applyBorder="1" applyAlignment="1">
      <alignment horizontal="centerContinuous" wrapText="1"/>
    </xf>
    <xf numFmtId="0" fontId="8" fillId="3" borderId="1" xfId="1" applyFont="1" applyFill="1" applyBorder="1" applyAlignment="1">
      <alignment horizontal="center" vertical="center" wrapText="1" readingOrder="2"/>
    </xf>
    <xf numFmtId="0" fontId="9" fillId="5" borderId="7" xfId="1" applyFont="1" applyFill="1" applyBorder="1" applyAlignment="1">
      <alignment horizontal="right" vertical="center" wrapText="1" readingOrder="2"/>
    </xf>
    <xf numFmtId="0" fontId="11" fillId="0" borderId="14" xfId="1" applyBorder="1"/>
    <xf numFmtId="0" fontId="11" fillId="0" borderId="11" xfId="1" applyBorder="1"/>
    <xf numFmtId="0" fontId="11" fillId="0" borderId="8" xfId="1" applyBorder="1"/>
    <xf numFmtId="0" fontId="11" fillId="0" borderId="2" xfId="1" applyBorder="1"/>
    <xf numFmtId="0" fontId="7" fillId="2" borderId="1" xfId="0" applyFont="1" applyFill="1" applyBorder="1" applyAlignment="1">
      <alignment horizontal="center" vertical="center" wrapText="1" readingOrder="2"/>
    </xf>
    <xf numFmtId="0" fontId="8" fillId="3" borderId="1" xfId="0" applyFont="1" applyFill="1" applyBorder="1" applyAlignment="1">
      <alignment horizontal="right" wrapText="1" readingOrder="2"/>
    </xf>
    <xf numFmtId="0" fontId="8" fillId="3" borderId="1" xfId="0" applyFont="1" applyFill="1" applyBorder="1" applyAlignment="1">
      <alignment horizontal="center" vertical="center" wrapText="1" readingOrder="2"/>
    </xf>
    <xf numFmtId="0" fontId="7" fillId="2" borderId="6" xfId="0" applyFont="1" applyFill="1" applyBorder="1" applyAlignment="1">
      <alignment horizontal="center" vertical="center" wrapText="1" readingOrder="2"/>
    </xf>
    <xf numFmtId="0" fontId="7" fillId="2" borderId="7" xfId="0" applyFont="1" applyFill="1" applyBorder="1" applyAlignment="1">
      <alignment horizontal="center" vertical="center" wrapText="1" readingOrder="2"/>
    </xf>
    <xf numFmtId="0" fontId="7" fillId="2" borderId="8" xfId="0" applyFont="1" applyFill="1" applyBorder="1" applyAlignment="1">
      <alignment horizontal="center" vertical="center" wrapText="1" readingOrder="2"/>
    </xf>
    <xf numFmtId="0" fontId="8" fillId="3" borderId="3" xfId="0" applyFont="1" applyFill="1" applyBorder="1" applyAlignment="1">
      <alignment horizontal="right" wrapText="1" readingOrder="2"/>
    </xf>
    <xf numFmtId="0" fontId="8" fillId="3" borderId="2" xfId="0" applyFont="1" applyFill="1" applyBorder="1" applyAlignment="1">
      <alignment horizontal="center" vertical="center" wrapText="1" readingOrder="2"/>
    </xf>
    <xf numFmtId="0" fontId="8" fillId="3" borderId="10" xfId="0" applyFont="1" applyFill="1" applyBorder="1" applyAlignment="1">
      <alignment horizontal="right" wrapText="1" readingOrder="2"/>
    </xf>
    <xf numFmtId="0" fontId="8" fillId="3" borderId="7" xfId="0" applyFont="1" applyFill="1" applyBorder="1" applyAlignment="1">
      <alignment horizontal="right" wrapText="1" readingOrder="2"/>
    </xf>
    <xf numFmtId="0" fontId="8" fillId="3" borderId="12" xfId="0" applyFont="1" applyFill="1" applyBorder="1" applyAlignment="1">
      <alignment horizontal="center" vertical="center" wrapText="1" readingOrder="2"/>
    </xf>
    <xf numFmtId="0" fontId="8" fillId="3" borderId="9" xfId="0" applyFont="1" applyFill="1" applyBorder="1" applyAlignment="1">
      <alignment horizontal="center" vertical="center" wrapText="1" readingOrder="2"/>
    </xf>
  </cellXfs>
  <cellStyles count="2">
    <cellStyle name="Normal" xfId="0" builtinId="0"/>
    <cellStyle name="Normal 2" xfId="1"/>
  </cellStyles>
  <dxfs count="0"/>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6"/>
  <sheetViews>
    <sheetView rightToLeft="1" tabSelected="1" zoomScale="90" zoomScaleNormal="90" workbookViewId="0">
      <selection activeCell="C6" sqref="C6"/>
    </sheetView>
  </sheetViews>
  <sheetFormatPr defaultRowHeight="12.75"/>
  <cols>
    <col min="1" max="1" width="29.140625" customWidth="1"/>
    <col min="2" max="2" width="13.5703125" customWidth="1"/>
    <col min="3" max="3" width="14.28515625" customWidth="1"/>
    <col min="4" max="4" width="11.7109375" customWidth="1"/>
    <col min="5" max="5" width="13.42578125" customWidth="1"/>
    <col min="6" max="6" width="24.42578125" customWidth="1"/>
  </cols>
  <sheetData>
    <row r="1" spans="1:6" ht="49.5" customHeight="1">
      <c r="A1" s="47" t="s">
        <v>52</v>
      </c>
      <c r="B1" s="44"/>
      <c r="C1" s="44"/>
      <c r="D1" s="44"/>
      <c r="E1" s="44"/>
      <c r="F1" s="44"/>
    </row>
    <row r="2" spans="1:6" s="3" customFormat="1" ht="11.25" customHeight="1">
      <c r="A2" s="7"/>
      <c r="B2" s="7"/>
      <c r="C2" s="7"/>
      <c r="D2" s="7"/>
      <c r="E2" s="7"/>
      <c r="F2" s="7"/>
    </row>
    <row r="3" spans="1:6" ht="18">
      <c r="A3" s="61" t="s">
        <v>28</v>
      </c>
      <c r="B3" s="61"/>
      <c r="C3" s="61"/>
      <c r="D3" s="61"/>
      <c r="E3" s="61"/>
      <c r="F3" s="61"/>
    </row>
    <row r="4" spans="1:6" ht="15" hidden="1" customHeight="1">
      <c r="A4" s="62" t="s">
        <v>0</v>
      </c>
      <c r="B4" s="48" t="s">
        <v>1</v>
      </c>
      <c r="C4" s="63" t="s">
        <v>2</v>
      </c>
      <c r="D4" s="63"/>
      <c r="E4" s="63"/>
      <c r="F4" s="63"/>
    </row>
    <row r="5" spans="1:6" ht="58.5" customHeight="1">
      <c r="A5" s="62"/>
      <c r="B5" s="45" t="s">
        <v>44</v>
      </c>
      <c r="C5" s="45" t="s">
        <v>53</v>
      </c>
      <c r="D5" s="45" t="s">
        <v>4</v>
      </c>
      <c r="E5" s="45" t="s">
        <v>3</v>
      </c>
      <c r="F5" s="45" t="s">
        <v>5</v>
      </c>
    </row>
    <row r="6" spans="1:6" ht="22.5" customHeight="1">
      <c r="A6" s="4" t="s">
        <v>47</v>
      </c>
      <c r="B6" s="5">
        <v>0.28999999999999998</v>
      </c>
      <c r="C6" s="5">
        <v>0.32</v>
      </c>
      <c r="D6" s="6" t="s">
        <v>6</v>
      </c>
      <c r="E6" s="6" t="s">
        <v>45</v>
      </c>
      <c r="F6" s="4" t="s">
        <v>7</v>
      </c>
    </row>
    <row r="7" spans="1:6" ht="24" customHeight="1">
      <c r="A7" s="4" t="s">
        <v>48</v>
      </c>
      <c r="B7" s="5">
        <v>0.32</v>
      </c>
      <c r="C7" s="5">
        <v>0.28999999999999998</v>
      </c>
      <c r="D7" s="6" t="s">
        <v>8</v>
      </c>
      <c r="E7" s="6" t="s">
        <v>46</v>
      </c>
      <c r="F7" s="4" t="s">
        <v>9</v>
      </c>
    </row>
    <row r="8" spans="1:6" ht="30">
      <c r="A8" s="4" t="s">
        <v>10</v>
      </c>
      <c r="B8" s="5">
        <v>0.36</v>
      </c>
      <c r="C8" s="5">
        <v>0.36</v>
      </c>
      <c r="D8" s="6" t="s">
        <v>8</v>
      </c>
      <c r="E8" s="6" t="s">
        <v>17</v>
      </c>
      <c r="F8" s="4" t="s">
        <v>40</v>
      </c>
    </row>
    <row r="9" spans="1:6" ht="26.25" customHeight="1">
      <c r="A9" s="4" t="s">
        <v>11</v>
      </c>
      <c r="B9" s="5">
        <v>0.01</v>
      </c>
      <c r="C9" s="5">
        <v>0.01</v>
      </c>
      <c r="D9" s="6" t="s">
        <v>6</v>
      </c>
      <c r="E9" s="6" t="s">
        <v>12</v>
      </c>
      <c r="F9" s="4"/>
    </row>
    <row r="10" spans="1:6" ht="28.5" customHeight="1">
      <c r="A10" s="4" t="s">
        <v>13</v>
      </c>
      <c r="B10" s="5">
        <v>0.01</v>
      </c>
      <c r="C10" s="5">
        <v>0.01</v>
      </c>
      <c r="D10" s="6" t="s">
        <v>6</v>
      </c>
      <c r="E10" s="6" t="s">
        <v>12</v>
      </c>
      <c r="F10" s="4"/>
    </row>
    <row r="11" spans="1:6" ht="28.5" customHeight="1">
      <c r="A11" s="4" t="s">
        <v>51</v>
      </c>
      <c r="B11" s="5">
        <v>0.01</v>
      </c>
      <c r="C11" s="5">
        <v>0.01</v>
      </c>
      <c r="D11" s="6" t="s">
        <v>6</v>
      </c>
      <c r="E11" s="6" t="s">
        <v>12</v>
      </c>
      <c r="F11" s="4"/>
    </row>
    <row r="12" spans="1:6" ht="28.5" customHeight="1">
      <c r="A12" s="4" t="s">
        <v>14</v>
      </c>
      <c r="B12" s="5">
        <v>1</v>
      </c>
      <c r="C12" s="5">
        <v>1</v>
      </c>
      <c r="D12" s="6"/>
      <c r="E12" s="6"/>
      <c r="F12" s="4"/>
    </row>
    <row r="13" spans="1:6" ht="28.5" customHeight="1">
      <c r="A13" s="14" t="s">
        <v>32</v>
      </c>
      <c r="B13" s="5">
        <v>0.16</v>
      </c>
      <c r="C13" s="5">
        <v>0.16</v>
      </c>
      <c r="D13" s="6" t="s">
        <v>8</v>
      </c>
      <c r="E13" s="6" t="s">
        <v>36</v>
      </c>
      <c r="F13" s="4"/>
    </row>
    <row r="14" spans="1:6">
      <c r="A14" s="1" t="s">
        <v>49</v>
      </c>
      <c r="B14" s="2"/>
      <c r="C14" s="2"/>
      <c r="D14" s="2"/>
      <c r="E14" s="2"/>
      <c r="F14" s="2"/>
    </row>
    <row r="15" spans="1:6" ht="19.5" customHeight="1">
      <c r="A15" s="1" t="s">
        <v>50</v>
      </c>
    </row>
    <row r="16" spans="1:6">
      <c r="A16" s="1"/>
    </row>
  </sheetData>
  <mergeCells count="3">
    <mergeCell ref="A3:F3"/>
    <mergeCell ref="A4:A5"/>
    <mergeCell ref="C4:F4"/>
  </mergeCells>
  <printOptions horizontalCentered="1"/>
  <pageMargins left="0.74803149606299213" right="0.74803149606299213" top="0.98425196850393704" bottom="0.98425196850393704" header="0.51181102362204722" footer="0.51181102362204722"/>
  <pageSetup paperSize="9"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6"/>
  <sheetViews>
    <sheetView rightToLeft="1" zoomScale="90" zoomScaleNormal="90" workbookViewId="0">
      <selection activeCell="E25" sqref="E25"/>
    </sheetView>
  </sheetViews>
  <sheetFormatPr defaultRowHeight="12.75"/>
  <cols>
    <col min="1" max="1" width="33.42578125" customWidth="1"/>
    <col min="2" max="2" width="11.42578125" customWidth="1"/>
    <col min="3" max="3" width="14.28515625" customWidth="1"/>
    <col min="4" max="4" width="11.7109375" customWidth="1"/>
    <col min="5" max="5" width="13.42578125" customWidth="1"/>
    <col min="6" max="6" width="23.140625" customWidth="1"/>
  </cols>
  <sheetData>
    <row r="1" spans="1:6" ht="49.5" customHeight="1">
      <c r="A1" s="44" t="str">
        <f>'הפניקס השתלמות כללי'!A1</f>
        <v>מדיניות השקעה צפויה החל מ-23/05/2012</v>
      </c>
      <c r="B1" s="44"/>
      <c r="C1" s="44"/>
      <c r="D1" s="44"/>
      <c r="E1" s="44"/>
      <c r="F1" s="44"/>
    </row>
    <row r="2" spans="1:6" s="3" customFormat="1" ht="11.25" customHeight="1">
      <c r="A2" s="7"/>
      <c r="B2" s="7"/>
      <c r="C2" s="7"/>
      <c r="D2" s="7"/>
      <c r="E2" s="7"/>
      <c r="F2" s="7"/>
    </row>
    <row r="3" spans="1:6" ht="18">
      <c r="A3" s="61" t="s">
        <v>29</v>
      </c>
      <c r="B3" s="61"/>
      <c r="C3" s="61"/>
      <c r="D3" s="61"/>
      <c r="E3" s="61"/>
      <c r="F3" s="61"/>
    </row>
    <row r="4" spans="1:6" ht="15" hidden="1" customHeight="1">
      <c r="A4" s="62" t="s">
        <v>0</v>
      </c>
      <c r="B4" s="48" t="s">
        <v>1</v>
      </c>
      <c r="C4" s="63" t="s">
        <v>2</v>
      </c>
      <c r="D4" s="63"/>
      <c r="E4" s="63"/>
      <c r="F4" s="63"/>
    </row>
    <row r="5" spans="1:6" ht="58.5" customHeight="1">
      <c r="A5" s="62"/>
      <c r="B5" s="45" t="str">
        <f>'הפניקס השתלמות כללי'!B5</f>
        <v>שיעור חשיפה קודם</v>
      </c>
      <c r="C5" s="45" t="str">
        <f>'הפניקס השתלמות כללי'!C5</f>
        <v>שיעור חשיפה צפוי החל מ- 23/05/2012</v>
      </c>
      <c r="D5" s="45" t="s">
        <v>4</v>
      </c>
      <c r="E5" s="45" t="s">
        <v>3</v>
      </c>
      <c r="F5" s="45" t="s">
        <v>5</v>
      </c>
    </row>
    <row r="6" spans="1:6" ht="25.5" customHeight="1">
      <c r="A6" s="4" t="s">
        <v>47</v>
      </c>
      <c r="B6" s="5">
        <v>0.28999999999999998</v>
      </c>
      <c r="C6" s="5">
        <v>0.32</v>
      </c>
      <c r="D6" s="6" t="s">
        <v>6</v>
      </c>
      <c r="E6" s="6" t="s">
        <v>45</v>
      </c>
      <c r="F6" s="4" t="s">
        <v>7</v>
      </c>
    </row>
    <row r="7" spans="1:6" ht="26.25" customHeight="1">
      <c r="A7" s="4" t="s">
        <v>48</v>
      </c>
      <c r="B7" s="5">
        <v>0.32</v>
      </c>
      <c r="C7" s="5">
        <v>0.28999999999999998</v>
      </c>
      <c r="D7" s="6" t="s">
        <v>8</v>
      </c>
      <c r="E7" s="6" t="s">
        <v>46</v>
      </c>
      <c r="F7" s="4" t="s">
        <v>9</v>
      </c>
    </row>
    <row r="8" spans="1:6" ht="29.25" customHeight="1">
      <c r="A8" s="4" t="s">
        <v>10</v>
      </c>
      <c r="B8" s="5">
        <v>0.36</v>
      </c>
      <c r="C8" s="5">
        <v>0.36</v>
      </c>
      <c r="D8" s="6" t="s">
        <v>8</v>
      </c>
      <c r="E8" s="6" t="s">
        <v>17</v>
      </c>
      <c r="F8" s="4" t="s">
        <v>40</v>
      </c>
    </row>
    <row r="9" spans="1:6" ht="26.25" customHeight="1">
      <c r="A9" s="4" t="s">
        <v>11</v>
      </c>
      <c r="B9" s="5">
        <v>0.01</v>
      </c>
      <c r="C9" s="5">
        <v>0.01</v>
      </c>
      <c r="D9" s="6" t="s">
        <v>6</v>
      </c>
      <c r="E9" s="6" t="s">
        <v>12</v>
      </c>
      <c r="F9" s="4"/>
    </row>
    <row r="10" spans="1:6" ht="26.25" customHeight="1">
      <c r="A10" s="4" t="s">
        <v>13</v>
      </c>
      <c r="B10" s="5">
        <v>0.01</v>
      </c>
      <c r="C10" s="5">
        <v>0.01</v>
      </c>
      <c r="D10" s="6" t="s">
        <v>6</v>
      </c>
      <c r="E10" s="6" t="s">
        <v>12</v>
      </c>
      <c r="F10" s="4"/>
    </row>
    <row r="11" spans="1:6" ht="26.25" customHeight="1">
      <c r="A11" s="4" t="s">
        <v>51</v>
      </c>
      <c r="B11" s="5">
        <v>0.01</v>
      </c>
      <c r="C11" s="5">
        <v>0.01</v>
      </c>
      <c r="D11" s="6" t="s">
        <v>6</v>
      </c>
      <c r="E11" s="6" t="s">
        <v>12</v>
      </c>
      <c r="F11" s="4"/>
    </row>
    <row r="12" spans="1:6" ht="26.25" customHeight="1">
      <c r="A12" s="4" t="s">
        <v>14</v>
      </c>
      <c r="B12" s="5">
        <v>1</v>
      </c>
      <c r="C12" s="5">
        <v>1</v>
      </c>
      <c r="D12" s="6"/>
      <c r="E12" s="6"/>
      <c r="F12" s="4"/>
    </row>
    <row r="13" spans="1:6" ht="22.5" customHeight="1">
      <c r="A13" s="14" t="s">
        <v>32</v>
      </c>
      <c r="B13" s="5">
        <v>0.16</v>
      </c>
      <c r="C13" s="5">
        <v>0.16</v>
      </c>
      <c r="D13" s="6" t="s">
        <v>8</v>
      </c>
      <c r="E13" s="6" t="s">
        <v>36</v>
      </c>
      <c r="F13" s="4"/>
    </row>
    <row r="14" spans="1:6">
      <c r="A14" s="1" t="s">
        <v>49</v>
      </c>
      <c r="B14" s="2"/>
      <c r="C14" s="2"/>
      <c r="D14" s="2"/>
      <c r="E14" s="2"/>
      <c r="F14" s="2"/>
    </row>
    <row r="15" spans="1:6">
      <c r="A15" s="1" t="s">
        <v>50</v>
      </c>
    </row>
    <row r="16" spans="1:6">
      <c r="A16" s="1"/>
    </row>
  </sheetData>
  <customSheetViews>
    <customSheetView guid="{5ED55EBB-DB6F-49D6-BFC0-9925844890BC}" showPageBreaks="1" fitToPage="1" hiddenRows="1" hiddenColumns="1">
      <selection activeCell="F12" sqref="F12"/>
      <pageMargins left="0.74803149606299213" right="0.74803149606299213" top="0.98425196850393704" bottom="0.98425196850393704" header="0.51181102362204722" footer="0.51181102362204722"/>
      <printOptions horizontalCentered="1"/>
      <pageSetup paperSize="9" orientation="landscape" horizontalDpi="1200" verticalDpi="1200" r:id="rId1"/>
      <headerFooter alignWithMargins="0"/>
    </customSheetView>
    <customSheetView guid="{854311B3-F60F-4832-B9BA-BC0DB08C5338}" fitToPage="1" hiddenRows="1" hiddenColumns="1">
      <selection activeCell="B16" sqref="B16"/>
      <pageMargins left="0.74803149606299213" right="0.74803149606299213" top="0.98425196850393704" bottom="0.98425196850393704" header="0.51181102362204722" footer="0.51181102362204722"/>
      <printOptions horizontalCentered="1"/>
      <pageSetup paperSize="9" orientation="landscape" horizontalDpi="1200" verticalDpi="1200" r:id="rId2"/>
      <headerFooter alignWithMargins="0"/>
    </customSheetView>
  </customSheetViews>
  <mergeCells count="3">
    <mergeCell ref="A3:F3"/>
    <mergeCell ref="A4:A5"/>
    <mergeCell ref="C4:F4"/>
  </mergeCells>
  <phoneticPr fontId="4" type="noConversion"/>
  <printOptions horizontalCentered="1"/>
  <pageMargins left="0.74803149606299213" right="0.74803149606299213" top="0.98425196850393704" bottom="0.98425196850393704" header="0.51181102362204722" footer="0.51181102362204722"/>
  <pageSetup paperSize="9" orientation="landscape" horizontalDpi="1200" verticalDpi="1200"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7"/>
  <sheetViews>
    <sheetView rightToLeft="1" zoomScale="90" zoomScaleNormal="90" workbookViewId="0">
      <selection activeCell="F29" sqref="F29"/>
    </sheetView>
  </sheetViews>
  <sheetFormatPr defaultRowHeight="12.75"/>
  <cols>
    <col min="1" max="1" width="35.42578125" customWidth="1"/>
    <col min="2" max="3" width="12.7109375" customWidth="1"/>
    <col min="5" max="5" width="16.140625" customWidth="1"/>
    <col min="6" max="6" width="24.42578125" customWidth="1"/>
  </cols>
  <sheetData>
    <row r="1" spans="1:6" ht="24.75" customHeight="1">
      <c r="A1" s="44" t="str">
        <f>'הפניקס השתלמות כללי'!A1</f>
        <v>מדיניות השקעה צפויה החל מ-23/05/2012</v>
      </c>
      <c r="B1" s="41"/>
      <c r="C1" s="41"/>
      <c r="D1" s="41"/>
      <c r="E1" s="41"/>
      <c r="F1" s="41"/>
    </row>
    <row r="2" spans="1:6" s="3" customFormat="1" ht="24.75" customHeight="1">
      <c r="A2" s="7"/>
      <c r="B2" s="7"/>
      <c r="C2" s="7"/>
      <c r="D2" s="7"/>
      <c r="E2" s="7"/>
      <c r="F2" s="7"/>
    </row>
    <row r="3" spans="1:6" ht="33" customHeight="1">
      <c r="A3" s="64" t="s">
        <v>15</v>
      </c>
      <c r="B3" s="65"/>
      <c r="C3" s="65"/>
      <c r="D3" s="65"/>
      <c r="E3" s="65"/>
      <c r="F3" s="66"/>
    </row>
    <row r="4" spans="1:6" ht="15" hidden="1" customHeight="1">
      <c r="A4" s="67" t="s">
        <v>0</v>
      </c>
      <c r="B4" s="48" t="s">
        <v>1</v>
      </c>
      <c r="C4" s="63" t="s">
        <v>2</v>
      </c>
      <c r="D4" s="63"/>
      <c r="E4" s="63"/>
      <c r="F4" s="68"/>
    </row>
    <row r="5" spans="1:6" ht="59.25" customHeight="1">
      <c r="A5" s="67"/>
      <c r="B5" s="45" t="str">
        <f>'הפניקס תגמולים כללי'!B5</f>
        <v>שיעור חשיפה קודם</v>
      </c>
      <c r="C5" s="45" t="str">
        <f>'הפניקס תגמולים כללי'!C5</f>
        <v>שיעור חשיפה צפוי החל מ- 23/05/2012</v>
      </c>
      <c r="D5" s="45" t="s">
        <v>4</v>
      </c>
      <c r="E5" s="45" t="s">
        <v>3</v>
      </c>
      <c r="F5" s="46" t="s">
        <v>5</v>
      </c>
    </row>
    <row r="6" spans="1:6" ht="26.25" customHeight="1">
      <c r="A6" s="12" t="s">
        <v>34</v>
      </c>
      <c r="B6" s="5">
        <v>0.55000000000000004</v>
      </c>
      <c r="C6" s="5">
        <v>0.55000000000000004</v>
      </c>
      <c r="D6" s="6" t="s">
        <v>6</v>
      </c>
      <c r="E6" s="6" t="s">
        <v>18</v>
      </c>
      <c r="F6" s="13" t="s">
        <v>7</v>
      </c>
    </row>
    <row r="7" spans="1:6" ht="30.75" customHeight="1">
      <c r="A7" s="12" t="s">
        <v>35</v>
      </c>
      <c r="B7" s="5">
        <v>0.28000000000000003</v>
      </c>
      <c r="C7" s="5">
        <v>0.28000000000000003</v>
      </c>
      <c r="D7" s="6" t="s">
        <v>8</v>
      </c>
      <c r="E7" s="6" t="s">
        <v>37</v>
      </c>
      <c r="F7" s="13" t="s">
        <v>9</v>
      </c>
    </row>
    <row r="8" spans="1:6" ht="33.75" customHeight="1">
      <c r="A8" s="12" t="s">
        <v>33</v>
      </c>
      <c r="B8" s="5">
        <v>0.14000000000000001</v>
      </c>
      <c r="C8" s="5">
        <v>0.14000000000000001</v>
      </c>
      <c r="D8" s="6" t="s">
        <v>8</v>
      </c>
      <c r="E8" s="6" t="s">
        <v>38</v>
      </c>
      <c r="F8" s="13" t="s">
        <v>41</v>
      </c>
    </row>
    <row r="9" spans="1:6" ht="31.5" customHeight="1">
      <c r="A9" s="12" t="s">
        <v>11</v>
      </c>
      <c r="B9" s="5">
        <v>0.01</v>
      </c>
      <c r="C9" s="5">
        <v>0.01</v>
      </c>
      <c r="D9" s="6" t="s">
        <v>6</v>
      </c>
      <c r="E9" s="6" t="s">
        <v>16</v>
      </c>
      <c r="F9" s="13"/>
    </row>
    <row r="10" spans="1:6" ht="26.25" customHeight="1">
      <c r="A10" s="12" t="s">
        <v>13</v>
      </c>
      <c r="B10" s="5">
        <v>0</v>
      </c>
      <c r="C10" s="5">
        <v>0</v>
      </c>
      <c r="D10" s="6" t="s">
        <v>6</v>
      </c>
      <c r="E10" s="6" t="s">
        <v>19</v>
      </c>
      <c r="F10" s="13"/>
    </row>
    <row r="11" spans="1:6" ht="26.25" customHeight="1">
      <c r="A11" s="4" t="s">
        <v>51</v>
      </c>
      <c r="B11" s="5">
        <v>0.02</v>
      </c>
      <c r="C11" s="5">
        <v>0.02</v>
      </c>
      <c r="D11" s="6" t="s">
        <v>6</v>
      </c>
      <c r="E11" s="6" t="s">
        <v>20</v>
      </c>
      <c r="F11" s="13"/>
    </row>
    <row r="12" spans="1:6" ht="26.25" customHeight="1">
      <c r="A12" s="12" t="s">
        <v>14</v>
      </c>
      <c r="B12" s="5">
        <v>1</v>
      </c>
      <c r="C12" s="5">
        <v>1</v>
      </c>
      <c r="D12" s="6"/>
      <c r="E12" s="6"/>
      <c r="F12" s="13"/>
    </row>
    <row r="13" spans="1:6" ht="26.25" customHeight="1">
      <c r="A13" s="14" t="s">
        <v>32</v>
      </c>
      <c r="B13" s="15">
        <v>0.16</v>
      </c>
      <c r="C13" s="5">
        <v>0.16</v>
      </c>
      <c r="D13" s="6" t="s">
        <v>8</v>
      </c>
      <c r="E13" s="6" t="s">
        <v>36</v>
      </c>
      <c r="F13" s="17"/>
    </row>
    <row r="14" spans="1:6">
      <c r="A14" s="1" t="s">
        <v>49</v>
      </c>
      <c r="B14" s="2"/>
      <c r="C14" s="2"/>
      <c r="D14" s="2"/>
      <c r="E14" s="2"/>
      <c r="F14" s="2"/>
    </row>
    <row r="15" spans="1:6">
      <c r="A15" s="1"/>
    </row>
    <row r="16" spans="1:6">
      <c r="A16" s="1"/>
    </row>
    <row r="17" spans="1:1">
      <c r="A17" s="1"/>
    </row>
  </sheetData>
  <customSheetViews>
    <customSheetView guid="{5ED55EBB-DB6F-49D6-BFC0-9925844890BC}" showPageBreaks="1" fitToPage="1" printArea="1" hiddenRows="1" hiddenColumns="1" topLeftCell="A5">
      <selection activeCell="A14" sqref="A14:A18"/>
      <pageMargins left="0.74803149606299213" right="0.74803149606299213" top="0.98425196850393704" bottom="0.98425196850393704" header="0.51181102362204722" footer="0.51181102362204722"/>
      <printOptions horizontalCentered="1"/>
      <pageSetup paperSize="9" scale="97" orientation="landscape" r:id="rId1"/>
      <headerFooter alignWithMargins="0"/>
    </customSheetView>
    <customSheetView guid="{854311B3-F60F-4832-B9BA-BC0DB08C5338}" showPageBreaks="1" fitToPage="1" printArea="1" hiddenRows="1" hiddenColumns="1">
      <selection activeCell="D6" sqref="D6:D13"/>
      <pageMargins left="0.74803149606299213" right="0.74803149606299213" top="0.98425196850393704" bottom="0.98425196850393704" header="0.51181102362204722" footer="0.51181102362204722"/>
      <printOptions horizontalCentered="1"/>
      <pageSetup paperSize="9" orientation="landscape" r:id="rId2"/>
      <headerFooter alignWithMargins="0"/>
    </customSheetView>
  </customSheetViews>
  <mergeCells count="3">
    <mergeCell ref="A3:F3"/>
    <mergeCell ref="A4:A5"/>
    <mergeCell ref="C4:F4"/>
  </mergeCells>
  <phoneticPr fontId="4" type="noConversion"/>
  <printOptions horizontalCentered="1"/>
  <pageMargins left="0.74803149606299213" right="0.74803149606299213" top="0.98425196850393704" bottom="0.98425196850393704" header="0.51181102362204722" footer="0.51181102362204722"/>
  <pageSetup paperSize="9" orientation="landscape" r:id="rId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7"/>
  <sheetViews>
    <sheetView rightToLeft="1" topLeftCell="A5" zoomScale="90" zoomScaleNormal="90" workbookViewId="0">
      <selection activeCell="G28" sqref="G28:H32"/>
    </sheetView>
  </sheetViews>
  <sheetFormatPr defaultRowHeight="12.75"/>
  <cols>
    <col min="1" max="1" width="38.7109375" customWidth="1"/>
    <col min="2" max="2" width="11.42578125" customWidth="1"/>
    <col min="3" max="3" width="12.85546875" customWidth="1"/>
    <col min="5" max="5" width="13.85546875" customWidth="1"/>
    <col min="6" max="6" width="24.42578125" customWidth="1"/>
  </cols>
  <sheetData>
    <row r="1" spans="1:6" ht="24.75" customHeight="1">
      <c r="A1" s="44" t="str">
        <f>'הפניקס תגמולים כללי'!A1:F1</f>
        <v>מדיניות השקעה צפויה החל מ-23/05/2012</v>
      </c>
      <c r="B1" s="44"/>
      <c r="C1" s="44"/>
      <c r="D1" s="44"/>
      <c r="E1" s="44"/>
      <c r="F1" s="44"/>
    </row>
    <row r="2" spans="1:6" s="3" customFormat="1" ht="25.5" customHeight="1">
      <c r="A2" s="7"/>
      <c r="B2" s="7"/>
      <c r="C2" s="7"/>
      <c r="D2" s="7"/>
      <c r="E2" s="7"/>
      <c r="F2" s="7"/>
    </row>
    <row r="3" spans="1:6" ht="28.5" customHeight="1">
      <c r="A3" s="61" t="s">
        <v>39</v>
      </c>
      <c r="B3" s="61"/>
      <c r="C3" s="61"/>
      <c r="D3" s="61"/>
      <c r="E3" s="61"/>
      <c r="F3" s="61"/>
    </row>
    <row r="4" spans="1:6" ht="15" hidden="1" customHeight="1">
      <c r="A4" s="69" t="s">
        <v>0</v>
      </c>
      <c r="B4" s="49" t="s">
        <v>1</v>
      </c>
      <c r="C4" s="71" t="s">
        <v>2</v>
      </c>
      <c r="D4" s="71"/>
      <c r="E4" s="71"/>
      <c r="F4" s="72"/>
    </row>
    <row r="5" spans="1:6" ht="61.5" customHeight="1">
      <c r="A5" s="70"/>
      <c r="B5" s="45" t="str">
        <f>'הפניקס תגמולים כללי'!B5</f>
        <v>שיעור חשיפה קודם</v>
      </c>
      <c r="C5" s="45" t="str">
        <f>'הפניקס תגמולים כללי'!C5</f>
        <v>שיעור חשיפה צפוי החל מ- 23/05/2012</v>
      </c>
      <c r="D5" s="45" t="s">
        <v>4</v>
      </c>
      <c r="E5" s="45" t="s">
        <v>3</v>
      </c>
      <c r="F5" s="46" t="s">
        <v>5</v>
      </c>
    </row>
    <row r="6" spans="1:6" ht="38.25" customHeight="1">
      <c r="A6" s="12" t="s">
        <v>34</v>
      </c>
      <c r="B6" s="24">
        <v>0.55000000000000004</v>
      </c>
      <c r="C6" s="5">
        <v>0.55000000000000004</v>
      </c>
      <c r="D6" s="6" t="s">
        <v>6</v>
      </c>
      <c r="E6" s="6" t="s">
        <v>18</v>
      </c>
      <c r="F6" s="19" t="s">
        <v>7</v>
      </c>
    </row>
    <row r="7" spans="1:6" ht="30" customHeight="1">
      <c r="A7" s="12" t="s">
        <v>35</v>
      </c>
      <c r="B7" s="25">
        <v>0.28000000000000003</v>
      </c>
      <c r="C7" s="30">
        <v>0.28000000000000003</v>
      </c>
      <c r="D7" s="29" t="s">
        <v>8</v>
      </c>
      <c r="E7" s="6" t="s">
        <v>37</v>
      </c>
      <c r="F7" s="18" t="s">
        <v>9</v>
      </c>
    </row>
    <row r="8" spans="1:6" ht="30">
      <c r="A8" s="9" t="s">
        <v>33</v>
      </c>
      <c r="B8" s="26">
        <v>0.14000000000000001</v>
      </c>
      <c r="C8" s="10">
        <v>0.14000000000000001</v>
      </c>
      <c r="D8" s="11" t="s">
        <v>8</v>
      </c>
      <c r="E8" s="6" t="s">
        <v>38</v>
      </c>
      <c r="F8" s="8" t="s">
        <v>41</v>
      </c>
    </row>
    <row r="9" spans="1:6" ht="27" customHeight="1">
      <c r="A9" s="4" t="s">
        <v>11</v>
      </c>
      <c r="B9" s="24">
        <v>0.01</v>
      </c>
      <c r="C9" s="5">
        <v>0.01</v>
      </c>
      <c r="D9" s="6" t="s">
        <v>6</v>
      </c>
      <c r="E9" s="6" t="s">
        <v>16</v>
      </c>
      <c r="F9" s="19"/>
    </row>
    <row r="10" spans="1:6" ht="27" customHeight="1">
      <c r="A10" s="23" t="s">
        <v>13</v>
      </c>
      <c r="B10" s="25">
        <v>0</v>
      </c>
      <c r="C10" s="30">
        <v>0</v>
      </c>
      <c r="D10" s="29" t="s">
        <v>6</v>
      </c>
      <c r="E10" s="29" t="s">
        <v>19</v>
      </c>
      <c r="F10" s="21"/>
    </row>
    <row r="11" spans="1:6" ht="30.75" customHeight="1">
      <c r="A11" s="4" t="s">
        <v>51</v>
      </c>
      <c r="B11" s="27">
        <v>0.02</v>
      </c>
      <c r="C11" s="15">
        <v>0.02</v>
      </c>
      <c r="D11" s="16" t="s">
        <v>6</v>
      </c>
      <c r="E11" s="16" t="s">
        <v>20</v>
      </c>
      <c r="F11" s="20"/>
    </row>
    <row r="12" spans="1:6" ht="28.5" customHeight="1">
      <c r="A12" s="4" t="s">
        <v>14</v>
      </c>
      <c r="B12" s="24">
        <v>1</v>
      </c>
      <c r="C12" s="5">
        <v>1</v>
      </c>
      <c r="D12" s="6"/>
      <c r="E12" s="6"/>
      <c r="F12" s="19"/>
    </row>
    <row r="13" spans="1:6" ht="30.75" customHeight="1">
      <c r="A13" s="14" t="s">
        <v>32</v>
      </c>
      <c r="B13" s="26">
        <v>0.16</v>
      </c>
      <c r="C13" s="5">
        <v>0.16</v>
      </c>
      <c r="D13" s="6" t="s">
        <v>8</v>
      </c>
      <c r="E13" s="6" t="s">
        <v>36</v>
      </c>
      <c r="F13" s="8"/>
    </row>
    <row r="14" spans="1:6">
      <c r="A14" s="1" t="s">
        <v>49</v>
      </c>
      <c r="B14" s="28"/>
    </row>
    <row r="15" spans="1:6">
      <c r="A15" s="1"/>
    </row>
    <row r="16" spans="1:6">
      <c r="A16" s="1"/>
    </row>
    <row r="17" spans="1:1">
      <c r="A17" s="1"/>
    </row>
  </sheetData>
  <customSheetViews>
    <customSheetView guid="{5ED55EBB-DB6F-49D6-BFC0-9925844890BC}" showPageBreaks="1" fitToPage="1" hiddenRows="1" hiddenColumns="1" topLeftCell="A5">
      <selection activeCell="B6" sqref="B6"/>
      <pageMargins left="0.74803149606299213" right="0.74803149606299213" top="0.98425196850393704" bottom="0.98425196850393704" header="0.51181102362204722" footer="0.51181102362204722"/>
      <printOptions horizontalCentered="1"/>
      <pageSetup paperSize="9" scale="97" orientation="landscape" r:id="rId1"/>
      <headerFooter alignWithMargins="0"/>
    </customSheetView>
    <customSheetView guid="{854311B3-F60F-4832-B9BA-BC0DB08C5338}" fitToPage="1" hiddenRows="1" hiddenColumns="1">
      <selection activeCell="G13" sqref="G13"/>
      <pageMargins left="0.74803149606299213" right="0.74803149606299213" top="0.98425196850393704" bottom="0.98425196850393704" header="0.51181102362204722" footer="0.51181102362204722"/>
      <printOptions horizontalCentered="1"/>
      <pageSetup paperSize="9" scale="97" orientation="landscape" r:id="rId2"/>
      <headerFooter alignWithMargins="0"/>
    </customSheetView>
  </customSheetViews>
  <mergeCells count="3">
    <mergeCell ref="A3:F3"/>
    <mergeCell ref="A4:A5"/>
    <mergeCell ref="C4:F4"/>
  </mergeCells>
  <phoneticPr fontId="4" type="noConversion"/>
  <printOptions horizontalCentered="1"/>
  <pageMargins left="0.74803149606299213" right="0.74803149606299213" top="0.98425196850393704" bottom="0.98425196850393704" header="0.51181102362204722" footer="0.51181102362204722"/>
  <pageSetup paperSize="9"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B22"/>
  <sheetViews>
    <sheetView rightToLeft="1" zoomScale="90" zoomScaleNormal="90" workbookViewId="0">
      <selection activeCell="A2" sqref="A2"/>
    </sheetView>
  </sheetViews>
  <sheetFormatPr defaultRowHeight="12.75"/>
  <cols>
    <col min="1" max="1" width="66.85546875" customWidth="1"/>
    <col min="2" max="2" width="30.28515625" customWidth="1"/>
  </cols>
  <sheetData>
    <row r="1" spans="1:2" ht="24.75" customHeight="1">
      <c r="A1" s="44" t="str">
        <f>'הפניקס תגמולים עמית'!A1</f>
        <v>מדיניות השקעה צפויה החל מ-23/05/2012</v>
      </c>
      <c r="B1" s="41"/>
    </row>
    <row r="2" spans="1:2" s="3" customFormat="1" ht="21.75" customHeight="1">
      <c r="A2" s="42"/>
      <c r="B2" s="42"/>
    </row>
    <row r="3" spans="1:2" ht="18">
      <c r="A3" s="40" t="s">
        <v>30</v>
      </c>
      <c r="B3" s="40"/>
    </row>
    <row r="4" spans="1:2" ht="15">
      <c r="A4" s="43" t="s">
        <v>21</v>
      </c>
      <c r="B4" s="43" t="s">
        <v>5</v>
      </c>
    </row>
    <row r="5" spans="1:2" ht="29.25" customHeight="1">
      <c r="A5" s="33" t="s">
        <v>26</v>
      </c>
      <c r="B5" s="34" t="s">
        <v>22</v>
      </c>
    </row>
    <row r="6" spans="1:2" ht="30">
      <c r="A6" s="33" t="s">
        <v>27</v>
      </c>
      <c r="B6" s="35" t="s">
        <v>25</v>
      </c>
    </row>
    <row r="8" spans="1:2">
      <c r="A8" s="36"/>
      <c r="B8" s="28"/>
    </row>
    <row r="9" spans="1:2">
      <c r="A9" s="36"/>
      <c r="B9" s="28"/>
    </row>
    <row r="10" spans="1:2">
      <c r="A10" s="37"/>
      <c r="B10" s="28"/>
    </row>
    <row r="11" spans="1:2">
      <c r="A11" s="32"/>
      <c r="B11" s="28"/>
    </row>
    <row r="12" spans="1:2">
      <c r="A12" s="38"/>
      <c r="B12" s="28"/>
    </row>
    <row r="13" spans="1:2">
      <c r="A13" s="36"/>
      <c r="B13" s="28"/>
    </row>
    <row r="14" spans="1:2">
      <c r="A14" s="36"/>
      <c r="B14" s="28"/>
    </row>
    <row r="15" spans="1:2">
      <c r="A15" s="36"/>
      <c r="B15" s="28"/>
    </row>
    <row r="16" spans="1:2" ht="15.75">
      <c r="A16" s="36"/>
      <c r="B16" s="39"/>
    </row>
    <row r="17" spans="1:2">
      <c r="A17" s="36"/>
      <c r="B17" s="28"/>
    </row>
    <row r="18" spans="1:2">
      <c r="A18" s="36"/>
      <c r="B18" s="28"/>
    </row>
    <row r="19" spans="1:2">
      <c r="A19" s="36"/>
      <c r="B19" s="28"/>
    </row>
    <row r="20" spans="1:2">
      <c r="A20" s="36"/>
      <c r="B20" s="28"/>
    </row>
    <row r="21" spans="1:2">
      <c r="A21" s="36"/>
      <c r="B21" s="28"/>
    </row>
    <row r="22" spans="1:2">
      <c r="A22" s="32"/>
      <c r="B22" s="22"/>
    </row>
  </sheetData>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B22"/>
  <sheetViews>
    <sheetView rightToLeft="1" zoomScale="90" zoomScaleNormal="90" workbookViewId="0">
      <selection activeCell="A2" sqref="A2"/>
    </sheetView>
  </sheetViews>
  <sheetFormatPr defaultRowHeight="12.75"/>
  <cols>
    <col min="1" max="1" width="66.85546875" customWidth="1"/>
    <col min="2" max="2" width="30.28515625" customWidth="1"/>
  </cols>
  <sheetData>
    <row r="1" spans="1:2" ht="24.75" customHeight="1">
      <c r="A1" s="44" t="str">
        <f>'מסלולים מתמחים השתלמות'!A1</f>
        <v>מדיניות השקעה צפויה החל מ-23/05/2012</v>
      </c>
      <c r="B1" s="41"/>
    </row>
    <row r="2" spans="1:2" s="3" customFormat="1" ht="21.75" customHeight="1">
      <c r="A2" s="42"/>
      <c r="B2" s="42"/>
    </row>
    <row r="3" spans="1:2" ht="18">
      <c r="A3" s="40" t="s">
        <v>31</v>
      </c>
      <c r="B3" s="40"/>
    </row>
    <row r="4" spans="1:2" ht="15">
      <c r="A4" s="31" t="s">
        <v>21</v>
      </c>
      <c r="B4" s="31" t="s">
        <v>5</v>
      </c>
    </row>
    <row r="5" spans="1:2" ht="29.25" customHeight="1">
      <c r="A5" s="33" t="s">
        <v>23</v>
      </c>
      <c r="B5" s="34" t="s">
        <v>22</v>
      </c>
    </row>
    <row r="6" spans="1:2" ht="30">
      <c r="A6" s="33" t="s">
        <v>24</v>
      </c>
      <c r="B6" s="35" t="s">
        <v>25</v>
      </c>
    </row>
    <row r="8" spans="1:2">
      <c r="A8" s="36"/>
      <c r="B8" s="28"/>
    </row>
    <row r="9" spans="1:2">
      <c r="A9" s="36"/>
      <c r="B9" s="28"/>
    </row>
    <row r="10" spans="1:2">
      <c r="A10" s="37"/>
      <c r="B10" s="28"/>
    </row>
    <row r="11" spans="1:2">
      <c r="A11" s="32"/>
      <c r="B11" s="28"/>
    </row>
    <row r="12" spans="1:2">
      <c r="A12" s="38"/>
      <c r="B12" s="28"/>
    </row>
    <row r="13" spans="1:2">
      <c r="A13" s="36"/>
      <c r="B13" s="28"/>
    </row>
    <row r="14" spans="1:2">
      <c r="A14" s="36"/>
      <c r="B14" s="28"/>
    </row>
    <row r="15" spans="1:2">
      <c r="A15" s="36"/>
      <c r="B15" s="28"/>
    </row>
    <row r="16" spans="1:2" ht="15.75">
      <c r="A16" s="36"/>
      <c r="B16" s="39"/>
    </row>
    <row r="17" spans="1:2">
      <c r="A17" s="36"/>
      <c r="B17" s="28"/>
    </row>
    <row r="18" spans="1:2">
      <c r="A18" s="36"/>
      <c r="B18" s="28"/>
    </row>
    <row r="19" spans="1:2">
      <c r="A19" s="36"/>
      <c r="B19" s="28"/>
    </row>
    <row r="20" spans="1:2">
      <c r="A20" s="36"/>
      <c r="B20" s="28"/>
    </row>
    <row r="21" spans="1:2">
      <c r="A21" s="36"/>
      <c r="B21" s="28"/>
    </row>
    <row r="22" spans="1:2">
      <c r="A22" s="32"/>
      <c r="B22" s="22"/>
    </row>
  </sheetData>
  <customSheetViews>
    <customSheetView guid="{5ED55EBB-DB6F-49D6-BFC0-9925844890BC}" showPageBreaks="1" fitToPage="1">
      <pageMargins left="0.70866141732283472" right="0.70866141732283472" top="0.74803149606299213" bottom="0.74803149606299213" header="0.31496062992125984" footer="0.31496062992125984"/>
      <printOptions horizontalCentered="1"/>
      <pageSetup paperSize="9" orientation="landscape" r:id="rId1"/>
    </customSheetView>
    <customSheetView guid="{854311B3-F60F-4832-B9BA-BC0DB08C5338}" fitToPage="1">
      <selection activeCell="A18" sqref="A18"/>
      <pageMargins left="0.70866141732283472" right="0.70866141732283472" top="0.74803149606299213" bottom="0.74803149606299213" header="0.31496062992125984" footer="0.31496062992125984"/>
      <printOptions horizontalCentered="1"/>
      <pageSetup paperSize="9" orientation="landscape" r:id="rId2"/>
    </customSheetView>
  </customSheetViews>
  <printOptions horizontalCentered="1"/>
  <pageMargins left="0.70866141732283472" right="0.70866141732283472" top="0.74803149606299213" bottom="0.74803149606299213" header="0.31496062992125984" footer="0.31496062992125984"/>
  <pageSetup paperSize="9"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A21"/>
  <sheetViews>
    <sheetView rightToLeft="1" zoomScale="90" zoomScaleNormal="90" workbookViewId="0">
      <selection activeCell="A30" sqref="A30"/>
    </sheetView>
  </sheetViews>
  <sheetFormatPr defaultRowHeight="12.75"/>
  <cols>
    <col min="1" max="1" width="90.5703125" style="51" customWidth="1"/>
    <col min="2" max="16384" width="9.140625" style="51"/>
  </cols>
  <sheetData>
    <row r="1" spans="1:1" ht="24.75" customHeight="1">
      <c r="A1" s="50" t="str">
        <f>'מסלולים מתמחים תגמולים'!A1</f>
        <v>מדיניות השקעה צפויה החל מ-23/05/2012</v>
      </c>
    </row>
    <row r="2" spans="1:1" s="53" customFormat="1" ht="21.75" customHeight="1">
      <c r="A2" s="52"/>
    </row>
    <row r="3" spans="1:1" ht="18">
      <c r="A3" s="54" t="s">
        <v>42</v>
      </c>
    </row>
    <row r="4" spans="1:1" ht="15">
      <c r="A4" s="55" t="s">
        <v>21</v>
      </c>
    </row>
    <row r="5" spans="1:1" ht="82.5" customHeight="1">
      <c r="A5" s="56" t="s">
        <v>43</v>
      </c>
    </row>
    <row r="7" spans="1:1">
      <c r="A7" s="57"/>
    </row>
    <row r="8" spans="1:1">
      <c r="A8" s="57"/>
    </row>
    <row r="9" spans="1:1">
      <c r="A9" s="58"/>
    </row>
    <row r="10" spans="1:1">
      <c r="A10" s="59"/>
    </row>
    <row r="11" spans="1:1">
      <c r="A11" s="60"/>
    </row>
    <row r="12" spans="1:1">
      <c r="A12" s="57"/>
    </row>
    <row r="13" spans="1:1">
      <c r="A13" s="57"/>
    </row>
    <row r="14" spans="1:1">
      <c r="A14" s="57"/>
    </row>
    <row r="15" spans="1:1">
      <c r="A15" s="57"/>
    </row>
    <row r="16" spans="1:1">
      <c r="A16" s="57"/>
    </row>
    <row r="17" spans="1:1">
      <c r="A17" s="57"/>
    </row>
    <row r="18" spans="1:1">
      <c r="A18" s="57"/>
    </row>
    <row r="19" spans="1:1">
      <c r="A19" s="57"/>
    </row>
    <row r="20" spans="1:1">
      <c r="A20" s="57"/>
    </row>
    <row r="21" spans="1:1">
      <c r="A21" s="59"/>
    </row>
  </sheetData>
  <printOptions horizontalCentered="1"/>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7</vt:i4>
      </vt:variant>
      <vt:variant>
        <vt:lpstr>טווחים בעלי שם</vt:lpstr>
      </vt:variant>
      <vt:variant>
        <vt:i4>1</vt:i4>
      </vt:variant>
    </vt:vector>
  </HeadingPairs>
  <TitlesOfParts>
    <vt:vector size="8" baseType="lpstr">
      <vt:lpstr>הפניקס השתלמות כללי</vt:lpstr>
      <vt:lpstr>הפניקס תגמולים כללי</vt:lpstr>
      <vt:lpstr>הפניקס מרכזית לפיצויים</vt:lpstr>
      <vt:lpstr>הפניקס תגמולים עמית</vt:lpstr>
      <vt:lpstr>מסלולים מתמחים השתלמות</vt:lpstr>
      <vt:lpstr>מסלולים מתמחים תגמולים</vt:lpstr>
      <vt:lpstr>מסלולים מתמחים גמל אישי</vt:lpstr>
      <vt:lpstr>'הפניקס מרכזית לפיצויים'!WPrint_Area_W</vt:lpstr>
    </vt:vector>
  </TitlesOfParts>
  <Company>The Israel Phoenix</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usf11434</dc:creator>
  <cp:lastModifiedBy>נירה חי</cp:lastModifiedBy>
  <cp:lastPrinted>2012-01-01T12:24:47Z</cp:lastPrinted>
  <dcterms:created xsi:type="dcterms:W3CDTF">2010-10-27T10:49:02Z</dcterms:created>
  <dcterms:modified xsi:type="dcterms:W3CDTF">2012-05-24T10:14:15Z</dcterms:modified>
</cp:coreProperties>
</file>