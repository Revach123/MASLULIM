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drawings/drawing2.xml" ContentType="application/vnd.openxmlformats-officedocument.drawing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C:\Users\m_avishaif\AppData\Local\Microsoft\Windows\INetCache\Content.Outlook\K6MI7HTW\"/>
    </mc:Choice>
  </mc:AlternateContent>
  <xr:revisionPtr revIDLastSave="0" documentId="8_{AC009FE7-7BCA-418D-BF02-CED590AFB89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גמל- מדיניות מוצהרת " sheetId="22" r:id="rId1"/>
    <sheet name="פנסיה - מדיניות מוצהרת " sheetId="21" r:id="rId2"/>
  </sheets>
  <definedNames>
    <definedName name="_xlnm._FilterDatabase" localSheetId="1" hidden="1">'פנסיה - מדיניות מוצהרת '!$A$1:$N$190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7" i="22" l="1"/>
  <c r="E147" i="22"/>
  <c r="F147" i="22"/>
  <c r="D135" i="22"/>
  <c r="E135" i="22"/>
  <c r="F135" i="22"/>
  <c r="E123" i="22"/>
  <c r="F123" i="22"/>
  <c r="D107" i="22"/>
  <c r="E107" i="22"/>
  <c r="F107" i="22"/>
  <c r="D90" i="22"/>
  <c r="E90" i="22"/>
  <c r="F90" i="22"/>
  <c r="F13" i="22"/>
  <c r="K184" i="21"/>
  <c r="D184" i="21"/>
  <c r="K173" i="21"/>
  <c r="D173" i="21"/>
  <c r="K159" i="21"/>
  <c r="D159" i="21"/>
  <c r="K148" i="21"/>
  <c r="D148" i="21"/>
  <c r="K137" i="21"/>
  <c r="D137" i="21"/>
  <c r="K126" i="21"/>
  <c r="D126" i="21"/>
  <c r="K115" i="21"/>
  <c r="D115" i="21"/>
  <c r="K104" i="21"/>
  <c r="D104" i="21"/>
  <c r="K93" i="21"/>
  <c r="D93" i="21"/>
  <c r="K82" i="21"/>
  <c r="D82" i="21"/>
  <c r="K68" i="21"/>
  <c r="D68" i="21"/>
  <c r="K54" i="21"/>
  <c r="D54" i="21"/>
  <c r="K40" i="21"/>
  <c r="D40" i="21"/>
  <c r="K26" i="21"/>
  <c r="D26" i="21"/>
  <c r="K12" i="21"/>
  <c r="D12" i="21"/>
  <c r="F306" i="22"/>
  <c r="F296" i="22"/>
  <c r="F286" i="22"/>
  <c r="F271" i="22"/>
  <c r="F256" i="22"/>
  <c r="F241" i="22"/>
  <c r="F229" i="22"/>
  <c r="F218" i="22"/>
  <c r="F206" i="22"/>
  <c r="F194" i="22"/>
  <c r="F182" i="22"/>
  <c r="E182" i="22"/>
  <c r="F171" i="22"/>
  <c r="E171" i="22"/>
  <c r="F159" i="22"/>
  <c r="F73" i="22"/>
  <c r="F58" i="22"/>
  <c r="F43" i="22"/>
  <c r="F28" i="22"/>
  <c r="E13" i="22"/>
  <c r="J184" i="21"/>
  <c r="J173" i="21"/>
  <c r="J159" i="21"/>
  <c r="J148" i="21"/>
  <c r="J137" i="21"/>
  <c r="J126" i="21"/>
  <c r="J115" i="21"/>
  <c r="J104" i="21"/>
  <c r="J93" i="21"/>
  <c r="J82" i="21"/>
  <c r="J68" i="21"/>
  <c r="J40" i="21"/>
  <c r="J26" i="21"/>
  <c r="C184" i="21"/>
  <c r="C173" i="21"/>
  <c r="C159" i="21"/>
  <c r="C148" i="21"/>
  <c r="C137" i="21"/>
  <c r="C126" i="21"/>
  <c r="C115" i="21"/>
  <c r="C104" i="21"/>
  <c r="C93" i="21"/>
  <c r="C82" i="21"/>
  <c r="C68" i="21" l="1"/>
  <c r="C26" i="21"/>
  <c r="J54" i="21"/>
  <c r="C12" i="21"/>
  <c r="J12" i="21"/>
  <c r="C54" i="21"/>
  <c r="C40" i="21"/>
  <c r="E306" i="22"/>
  <c r="E296" i="22"/>
  <c r="E286" i="22"/>
  <c r="E271" i="22"/>
  <c r="E256" i="22"/>
  <c r="E241" i="22"/>
  <c r="D241" i="22"/>
  <c r="C241" i="22"/>
  <c r="E229" i="22"/>
  <c r="D229" i="22"/>
  <c r="D218" i="22"/>
  <c r="C218" i="22"/>
  <c r="E218" i="22"/>
  <c r="E206" i="22"/>
  <c r="D206" i="22"/>
  <c r="C206" i="22"/>
  <c r="E194" i="22"/>
  <c r="D194" i="22"/>
  <c r="C194" i="22"/>
  <c r="D182" i="22"/>
  <c r="D171" i="22"/>
  <c r="C171" i="22"/>
  <c r="E159" i="22"/>
  <c r="D159" i="22"/>
  <c r="C159" i="22"/>
  <c r="C147" i="22" l="1"/>
  <c r="C135" i="22"/>
  <c r="C107" i="22"/>
  <c r="E73" i="22" l="1"/>
  <c r="D123" i="22"/>
  <c r="E58" i="22"/>
  <c r="C90" i="22"/>
  <c r="E43" i="22"/>
  <c r="E28" i="22"/>
</calcChain>
</file>

<file path=xl/sharedStrings.xml><?xml version="1.0" encoding="utf-8"?>
<sst xmlns="http://schemas.openxmlformats.org/spreadsheetml/2006/main" count="2899" uniqueCount="247">
  <si>
    <t xml:space="preserve">אפיק השקעה </t>
  </si>
  <si>
    <t>טווח סטייה</t>
  </si>
  <si>
    <t xml:space="preserve">אג"ח ממשלתי </t>
  </si>
  <si>
    <t>5%+/-</t>
  </si>
  <si>
    <t>6%+/-</t>
  </si>
  <si>
    <t>סה"כ</t>
  </si>
  <si>
    <t>חשיפה למט"ח</t>
  </si>
  <si>
    <t>100% - מחקה מדד s&amp;p500</t>
  </si>
  <si>
    <t>הבהרות</t>
  </si>
  <si>
    <t>קרנות השקעה ושותפויות</t>
  </si>
  <si>
    <t>הלוואות וחוב אחר</t>
  </si>
  <si>
    <t>הלוואות עמיתים</t>
  </si>
  <si>
    <t>מזומן ופקדונות</t>
  </si>
  <si>
    <t>אחר (כולל נדל"ן)</t>
  </si>
  <si>
    <t>מדד אג"ח ממשלתי כללי</t>
  </si>
  <si>
    <t>מדד אג"ח קונצרני כללי</t>
  </si>
  <si>
    <t>50% - מדד קונצרני כללי
50% - מדד MSCI WORLD</t>
  </si>
  <si>
    <t>מדד תל בונד שקלי</t>
  </si>
  <si>
    <t>ריבית בנק ישראל</t>
  </si>
  <si>
    <t>סל מטבעות</t>
  </si>
  <si>
    <t>גבולות שיעור החשיפה הצפויה</t>
  </si>
  <si>
    <t>פקדונות  מעל 3 חודשים</t>
  </si>
  <si>
    <t xml:space="preserve">	טווח סטייה</t>
  </si>
  <si>
    <t xml:space="preserve">	6%-/+</t>
  </si>
  <si>
    <t xml:space="preserve">	5%-/+</t>
  </si>
  <si>
    <t>MSCI Islamic Index</t>
  </si>
  <si>
    <t>DJSUKUK Index</t>
  </si>
  <si>
    <t>מדד MSCI WORLD</t>
  </si>
  <si>
    <t>US treasury index</t>
  </si>
  <si>
    <t>מ"ה: 12532 - אלפא מור תגמולים - לבני 50 ומטה</t>
  </si>
  <si>
    <t>טווח סטיה מותר</t>
  </si>
  <si>
    <t>מ"ה: 12533 - אלפא מור תגמולים - לבני 50 עד 60</t>
  </si>
  <si>
    <t>מ"ה: 12534 - אלפא מור תגמולים - לבני 60 ומעלה</t>
  </si>
  <si>
    <t>מ"ה: 12535 - מור השתלמות - כללי</t>
  </si>
  <si>
    <t>מ"ה: 12538 - מור גמל להשקעה - כללי</t>
  </si>
  <si>
    <t>מדד ייחוס*</t>
  </si>
  <si>
    <t>מודל השקעות תלוי גיל</t>
  </si>
  <si>
    <t>מסלול כללי</t>
  </si>
  <si>
    <t>מ"ה: 12531 - אלפא מור תגמולים - מניות</t>
  </si>
  <si>
    <t>מ"ה: 14481 - אלפא מור תגמולים - אשראי ואג"ח</t>
  </si>
  <si>
    <t>מ"ה: 14483 - מור השתלמות - אשראי ואג"ח</t>
  </si>
  <si>
    <t>מ"ה: 14482 - מור גמל להשקעה - אשראי ואג"ח</t>
  </si>
  <si>
    <t>מ"ה: 12536 - מור השתלמות - מניות</t>
  </si>
  <si>
    <t>מ"ה: 12537 - מור גמל להשקעה - מניות</t>
  </si>
  <si>
    <t>מ"ה: 12956 -מור השתלמות - אשראי ואג"ח עם מניות (עד 25% מניות)</t>
  </si>
  <si>
    <t>מ"ה: 12955 - מור גמל להשקעה - אשראי ואג"ח עם מניות (עד 25% מניות)</t>
  </si>
  <si>
    <t>19% - 29%</t>
  </si>
  <si>
    <t>17% - 29%</t>
  </si>
  <si>
    <t>40% - 52%</t>
  </si>
  <si>
    <t>5% - 15%</t>
  </si>
  <si>
    <t>2% - 12%</t>
  </si>
  <si>
    <t>0% - 10%</t>
  </si>
  <si>
    <t>10% - 20%</t>
  </si>
  <si>
    <t>16% - 28%</t>
  </si>
  <si>
    <t>20% - 30%</t>
  </si>
  <si>
    <t>13% - 25%</t>
  </si>
  <si>
    <t>7% - 17%</t>
  </si>
  <si>
    <t>19% - 31%</t>
  </si>
  <si>
    <t>0% - 12%</t>
  </si>
  <si>
    <t>2% - 14%</t>
  </si>
  <si>
    <t>25% - 35%</t>
  </si>
  <si>
    <t>24% - 36%</t>
  </si>
  <si>
    <t>22% - 34%</t>
  </si>
  <si>
    <t>18% - 30%</t>
  </si>
  <si>
    <t>14% - 26%</t>
  </si>
  <si>
    <t>53.5% - 65.5%</t>
  </si>
  <si>
    <t>39% - 51%</t>
  </si>
  <si>
    <t>מסלולים מתמחים בניהול אקטיבי: 
מניות</t>
  </si>
  <si>
    <t>מסלולים מתמחים בניהול אקטיבי:
אשראי ואג"ח</t>
  </si>
  <si>
    <t>מסלולים מתמחים בניהול אקטיבי:
אשראי ואג"ח עם מניות (עד 25% מניות)</t>
  </si>
  <si>
    <t>מסלולים מתמחים בניהול אקטיבי:
כספי (שקלי)</t>
  </si>
  <si>
    <t>מ"ה: 8699 - אלפא מור תגמולים - כספי (שקלי)</t>
  </si>
  <si>
    <t>מ"ה: 8705 - מור השתלמות - כספי (שקלי)</t>
  </si>
  <si>
    <t/>
  </si>
  <si>
    <t>מ"ה: 7963 - מור גמל להשקעה -כספי (שקלי)</t>
  </si>
  <si>
    <t>מ"ה: 14342 - אלפא מור תגמולים - משולב סחיר</t>
  </si>
  <si>
    <t>מ"ה: 15235 - מור השתלמות - משולב סחיר</t>
  </si>
  <si>
    <t>מ"ה: 15253 - מור גמל להשקעה -משולב סחיר</t>
  </si>
  <si>
    <t>33% - 43%</t>
  </si>
  <si>
    <t>27% - 39%</t>
  </si>
  <si>
    <t>מ"ה: 15247 - אלפא מור תגמולים - מניות סחיר</t>
  </si>
  <si>
    <t>מ"ה: 15238 - מור השתלמות - מניות סחיר</t>
  </si>
  <si>
    <t>מ"ה: 15256 - מור גמל להשקעה -מניות סחיר</t>
  </si>
  <si>
    <t>מסלולים מתמחים באפיקי השקעה סחירים:
מניות סחיר</t>
  </si>
  <si>
    <t>מסלולים מתמחים באפיקי השקעה סחירים:
אג"ח סחיר</t>
  </si>
  <si>
    <t>מ"ה: 15248 - אלפא מור תגמולים - אג"ח סחיר</t>
  </si>
  <si>
    <t>מ"ה: 15237 - מור השתלמות - אג"ח סחיר</t>
  </si>
  <si>
    <t>64% - 76%</t>
  </si>
  <si>
    <t>מ"ה: 15254 - מור גמל להשקעה - אג"ח עם מניות (עד 25% מניות) סחיר</t>
  </si>
  <si>
    <t>מ"ה: 15236 - מור השתלמות -  אג"ח עם מניות (עד 25% מניות) סחיר</t>
  </si>
  <si>
    <t>מ"ה: 15255 - מור גמל להשקעה - אג"ח סחיר</t>
  </si>
  <si>
    <t>מסלולים מתמחים באפיקי השקעה סחירים:
אג"ח עם מניות (עד 25% מניות) סחיר</t>
  </si>
  <si>
    <t>44% - 56%</t>
  </si>
  <si>
    <t>מסלולים מתמחים באפיקי השקעה סחירים:
משולב סחיר</t>
  </si>
  <si>
    <t>מסלולים עוקבי מדדים:
עוקב מדדים גמיש</t>
  </si>
  <si>
    <t>מ"ה: 14394 - אלפא מור תגמולים - עוקב מדדים גמיש</t>
  </si>
  <si>
    <t>מ"ה: 15239 - מור השתלמות - עוקב מדדים גמיש</t>
  </si>
  <si>
    <t>מ"ה: 15257 - מור גמל להשקעה - עוקב מדדים גמיש</t>
  </si>
  <si>
    <t>37% - 49%</t>
  </si>
  <si>
    <t>88% - 100%</t>
  </si>
  <si>
    <t>IBOXIG 	-  70%
IBOXHY 	-  30%</t>
  </si>
  <si>
    <t>מסלולים עוקבי מדדים:
עוקב מדדי מניות</t>
  </si>
  <si>
    <t>מ"ה: 15249 - אלפא מור תגמולים - עוקב מדדי מניות</t>
  </si>
  <si>
    <t>מ"ה: 15241 - מור השתלמות - עוקב מדדי מניות</t>
  </si>
  <si>
    <t>מ"ה: 15259 - מור גמל להשקעה - עוקב מדדי מניות</t>
  </si>
  <si>
    <t>מסלולים עוקבי מדדים:
עוקב מדדי אג"ח</t>
  </si>
  <si>
    <t>מ"ה: 15250 - אלפא מור תגמולים - עוקב מדדי אג"ח</t>
  </si>
  <si>
    <t>מ"ה: 15242 - מור השתלמות - עוקב מדדי אג"ח</t>
  </si>
  <si>
    <t>מ"ה: 15260 - מור גמל להשקעה - עוקב מדדי אג"ח</t>
  </si>
  <si>
    <t>מסלולים עוקבי מדדים:
עוקב מדדים אג"ח עם מניות (עד 25% מניות)</t>
  </si>
  <si>
    <t>מ"ה: 15240 - מור השתלמות - עוקב מדדים אג"ח עם מניות (עד 25% מניות)</t>
  </si>
  <si>
    <t>מ"ה: 15258 - מור גמל להשקעה -עוקב מדדים אג"ח עם מניות (עד 25% מניות)</t>
  </si>
  <si>
    <t>מסלולים עוקבי מדדים:
עוקב מדד S&amp;P500</t>
  </si>
  <si>
    <t>מ"ה: 9452 - אלפא מור תגמולים - עוקב מדד S&amp;P500</t>
  </si>
  <si>
    <t>מ"ה: 9451 - מור השתלמות - עוקב מדד S&amp;P500</t>
  </si>
  <si>
    <t>מ"ה: 7958 - מור גמל להשקעה - עוקב מדד S&amp;P500</t>
  </si>
  <si>
    <t>חיסכון לכל ילד</t>
  </si>
  <si>
    <t>מ"ה: 9421 - מור חיסכון לכל ילד- חוסכים המעדיפים סיכון מועט</t>
  </si>
  <si>
    <t>30% - 40%</t>
  </si>
  <si>
    <t>29% - 41%</t>
  </si>
  <si>
    <t>9% - 21%</t>
  </si>
  <si>
    <t>מ"ה: 9414 - מור חיסכון לכל ילד- חוסכים המעדיפים סיכון בינוני</t>
  </si>
  <si>
    <t>מ"ה: 9420 - מור חיסכון לכל ילד- חוסכים המעדיפים סיכון מוגבר</t>
  </si>
  <si>
    <t>89% - 101%</t>
  </si>
  <si>
    <t>מ"ה: 9113 - מור חיסכון לכל ילד מסלול הלכה</t>
  </si>
  <si>
    <t>8% - 20%</t>
  </si>
  <si>
    <t>מ"ה: 9303 - מור חיסכון לכל ילד מסלול שריעה</t>
  </si>
  <si>
    <t>28% - 40%</t>
  </si>
  <si>
    <t>16% - 26%</t>
  </si>
  <si>
    <t>75% - 87%</t>
  </si>
  <si>
    <t>מ"ה: 13909 - מור פנסיה מקיפה- מסלול לבני 50 ומטה</t>
  </si>
  <si>
    <t>74% - 86%</t>
  </si>
  <si>
    <t>90% - 100%</t>
  </si>
  <si>
    <t>15% - 25%</t>
  </si>
  <si>
    <t>42% - 52%</t>
  </si>
  <si>
    <t>10% - 22%</t>
  </si>
  <si>
    <t>בעת בחינת השקעה נלקחים בחשבון שיקולי ESG. פירוט לעניין מדיניות ההשקעה של החברה ביחס לESG ניתן למצוא בקישור שלהלן – שיקולי ESG בהשקעות</t>
  </si>
  <si>
    <t>*מובהר כי תיק הנכסים אינו תואם בהכרח במלואו להרכב מדד הייחוס. אין בציון מדד הייחוס, תיאורו והרכבו בכדי להוות מצג, הצהרה או התחייבות כלשהי ביחס לתשואות המסלולים בפועל.</t>
  </si>
  <si>
    <t>מגבלת עמלת ניהול חיצוני לשנת 2025</t>
  </si>
  <si>
    <t>אג"ח קונצרני (קרנות נאמנות, קרנות סל)</t>
  </si>
  <si>
    <r>
      <t>מניות (קרנות</t>
    </r>
    <r>
      <rPr>
        <sz val="11"/>
        <color rgb="FF1A326B"/>
        <rFont val="Arial"/>
        <family val="2"/>
        <scheme val="minor"/>
      </rPr>
      <t xml:space="preserve"> </t>
    </r>
    <r>
      <rPr>
        <sz val="11"/>
        <rFont val="Arial"/>
        <family val="2"/>
        <scheme val="minor"/>
      </rPr>
      <t>סל, אופציות, קרנות נאמנות)</t>
    </r>
  </si>
  <si>
    <t>מ"ה: 13910 - מור פנסיה מקיפה - מסלול לבני 50 עד 60</t>
  </si>
  <si>
    <t>מ"ה: 13911 - מור פנסיה מקיפה - מסלול לבני 60 ומעלה</t>
  </si>
  <si>
    <t>מ"ה: 13919 - מור פנסיה כללית - מסלול לבני 50 ומטה</t>
  </si>
  <si>
    <t>מ"ה: 13920 - מור פנסיה כללית - מסלול לבני 50 עד 60</t>
  </si>
  <si>
    <t>מ"ה: 13921 - מור פנסיה כללית - מסלול לבני 60 ומעלה</t>
  </si>
  <si>
    <t>מ"ה: 13912 - מור פנסיה מקיפה - מסלול מניות</t>
  </si>
  <si>
    <t>מ"ה: 13922 - מור פנסיה כללית - מסלול מניות</t>
  </si>
  <si>
    <t>מ"ה: 13913 - מור פנסיה מקיפה - אשראי ואג"ח</t>
  </si>
  <si>
    <t>מ"ה: 13923 - מור פנסיה כללית - אשראי ואג"ח</t>
  </si>
  <si>
    <t>מ"ה: 13914 - מור פנסיה מקיפה - כספי (שקלי)</t>
  </si>
  <si>
    <t>מ"ה: 13926 - מור פנסיה כללית - כספי (שקלי)</t>
  </si>
  <si>
    <t>מ"ה: 14339 - מור פנסיה מקיפה - משולב סחיר</t>
  </si>
  <si>
    <t>מ"ה: 14337 - מור פנסיה כללית - משולב סחיר</t>
  </si>
  <si>
    <t>מ"ה: 15263 - מור פנסיה מקיפה - מניות סחיר</t>
  </si>
  <si>
    <t>מ"ה: 15270 - מור פנסיה כללית - מניות סחיר</t>
  </si>
  <si>
    <t>מ"ה: 15264 - מור פנסיה מקיפה - אג"ח סחיר</t>
  </si>
  <si>
    <t>מ"ה: 15271 - מור פנסיה כללית - אג"ח סחיר</t>
  </si>
  <si>
    <t>מ"ה: 14340 - מור פנסיה מקיפה - עוקב מדדים גמיש</t>
  </si>
  <si>
    <t>מ"ה: 14338 - מור פנסיה כללית - עוקב מדדים גמיש</t>
  </si>
  <si>
    <t>מ"ה: 13915 - מור פנסיה מקיפה - עוקב מדדי מניות</t>
  </si>
  <si>
    <t>מ"ה: 13925 - מור פנסיה כללית - עוקב מדדי מניות</t>
  </si>
  <si>
    <t>מ"ה: 15265 - מור פנסיה מקיפה - עוקב מדדי אג"ח</t>
  </si>
  <si>
    <t>מ"ה: 15272 - מור פנסיה כללית - עוקב מדדי אג"ח</t>
  </si>
  <si>
    <t>מ"ה: 15266 - מור פנסיה מקיפה - עוקב מדד S&amp;P 500</t>
  </si>
  <si>
    <t>מ"ה: 15273 - מור פנסיה כללית - עוקב מדד S&amp;P 500</t>
  </si>
  <si>
    <t>מסלולים למקבלי קצבה</t>
  </si>
  <si>
    <t>מ"ה: 13916 - מור פנסיה מקיפה - מסלול בסיסי למקבלי קצבה</t>
  </si>
  <si>
    <t>מ"ה: 15267 - מור פנסיה מקיפה - עוקב מדדים למקבלי קצבה</t>
  </si>
  <si>
    <t>מ"ה: 13927 - מור פנסיה כללית - מסלול בסיסי למקבלי קצבה</t>
  </si>
  <si>
    <t>מ"ה: 15274 - מור פנסיה כללית - עוקב מדדים למקבלי קצבה</t>
  </si>
  <si>
    <t>אג"ח מיועדות</t>
  </si>
  <si>
    <t>אחר (קרנות השקעה, Co Invest, תשתיות, גידור)</t>
  </si>
  <si>
    <t>אפיק נדל"ן (ישיר)</t>
  </si>
  <si>
    <t>1% - 11%</t>
  </si>
  <si>
    <t>מדד קונצרני כללי</t>
  </si>
  <si>
    <t>40% - 50%</t>
  </si>
  <si>
    <t>0% - 0%</t>
  </si>
  <si>
    <t>15% - 27%</t>
  </si>
  <si>
    <t>22% - 32%</t>
  </si>
  <si>
    <t>12% - 22%</t>
  </si>
  <si>
    <t>93% - 103%</t>
  </si>
  <si>
    <t>25% - 37%</t>
  </si>
  <si>
    <t>IBOXIG	- 70%
IBOXHY	- 30%</t>
  </si>
  <si>
    <t>58% - 70%</t>
  </si>
  <si>
    <t>100% - מדד קונצרני כללי</t>
  </si>
  <si>
    <t>חדש</t>
  </si>
  <si>
    <t>אג"ח קונצרני (נע"מ,קרנות נאמנות, קרנות סל)</t>
  </si>
  <si>
    <t>אג"ח קונצרני (נע"מ, קרנות נאמנות, קרנות סל)</t>
  </si>
  <si>
    <t>ריק במקור</t>
  </si>
  <si>
    <t>ריק במקור2</t>
  </si>
  <si>
    <t>20%-30%</t>
  </si>
  <si>
    <t>52% - 62%</t>
  </si>
  <si>
    <t>47% - 57%</t>
  </si>
  <si>
    <t>64% -76%</t>
  </si>
  <si>
    <t>60% - 70%</t>
  </si>
  <si>
    <t>øé÷ áî÷åø</t>
  </si>
  <si>
    <t>30.00%</t>
  </si>
  <si>
    <t>ריק במקור3</t>
  </si>
  <si>
    <t xml:space="preserve">פנסיה מקיפה - מדיניות השקעה מוצהרת לשנת 2026
</t>
  </si>
  <si>
    <t>שיעור חשיפה צפוי לשנת 2026</t>
  </si>
  <si>
    <t>55% - 65%</t>
  </si>
  <si>
    <t>53% - 63%</t>
  </si>
  <si>
    <t>20% - 32%</t>
  </si>
  <si>
    <t>41% - 53%</t>
  </si>
  <si>
    <t>17% - 27%</t>
  </si>
  <si>
    <t>21% - 31%</t>
  </si>
  <si>
    <t>12% - 24%</t>
  </si>
  <si>
    <t>3% - 13%</t>
  </si>
  <si>
    <t>4% - 14%</t>
  </si>
  <si>
    <t>52% - 64%</t>
  </si>
  <si>
    <t>50% - 62%</t>
  </si>
  <si>
    <t>8% - 18%</t>
  </si>
  <si>
    <t>24% - 34%</t>
  </si>
  <si>
    <t>21% - 33%</t>
  </si>
  <si>
    <t>18% - 28%</t>
  </si>
  <si>
    <t>14% - 24%</t>
  </si>
  <si>
    <t>23% - 33%</t>
  </si>
  <si>
    <t>6% - 16%</t>
  </si>
  <si>
    <t>54% - 66%</t>
  </si>
  <si>
    <t>36% - 48%</t>
  </si>
  <si>
    <t>7% - 19%</t>
  </si>
  <si>
    <t>27% - 37%</t>
  </si>
  <si>
    <t xml:space="preserve">
36% - מדד מניות כללי
64% - מדד MSCI WORLD
</t>
  </si>
  <si>
    <t xml:space="preserve">פנסיה כללית - מדיניות השקעה מוצהרת לשנת 2026
</t>
  </si>
  <si>
    <t>שיעור החשיפה ליום 31/12/2025</t>
  </si>
  <si>
    <t xml:space="preserve"> השקעה שיעור החשיפה ליום 31/12/2025</t>
  </si>
  <si>
    <t>השתלמות שיעור החשיפה ליום 31/12/2025</t>
  </si>
  <si>
    <t xml:space="preserve">תגמולים שיעור החשיפה ליום 31/12/2025 </t>
  </si>
  <si>
    <t xml:space="preserve">השתלמות שיעור החשיפה ליום 31/12/2025 </t>
  </si>
  <si>
    <t>מגבלת עמלת ניהול חיצוני לשנת 2026</t>
  </si>
  <si>
    <t>גמל - מדיניות השקעה מוצהרת לשנת 2026</t>
  </si>
  <si>
    <t>36% - מדד מניות כללי
64% - מדד MSCI WORLD</t>
  </si>
  <si>
    <t>מניות (קרנות סל, אופציות, קרנות נאמנות)</t>
  </si>
  <si>
    <t>48.21%</t>
  </si>
  <si>
    <t>46.00%</t>
  </si>
  <si>
    <t>25% -35%</t>
  </si>
  <si>
    <t>25.20%</t>
  </si>
  <si>
    <t>20.00%</t>
  </si>
  <si>
    <t>31.49%</t>
  </si>
  <si>
    <t>30.12%</t>
  </si>
  <si>
    <t>79% -91%</t>
  </si>
  <si>
    <t>48.18%</t>
  </si>
  <si>
    <t>45.00%</t>
  </si>
  <si>
    <t>28.10%</t>
  </si>
  <si>
    <t>93% - 105%</t>
  </si>
  <si>
    <t>6.00%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</si>
</sst>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;;;"/>
  </numFmts>
  <fonts count="2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u/>
      <sz val="11"/>
      <color theme="1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rgb="FF1A326B"/>
      <name val="Arial"/>
      <family val="2"/>
      <scheme val="minor"/>
    </font>
    <font>
      <sz val="11"/>
      <name val="Arial"/>
      <family val="2"/>
      <scheme val="minor"/>
    </font>
    <font>
      <b/>
      <u/>
      <sz val="11"/>
      <name val="Arial"/>
      <family val="2"/>
      <scheme val="minor"/>
    </font>
    <font>
      <b/>
      <sz val="11"/>
      <name val="Arial"/>
      <family val="2"/>
      <scheme val="minor"/>
    </font>
    <font>
      <b/>
      <sz val="11"/>
      <color rgb="FF1A326B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6"/>
      <color theme="0"/>
      <name val="Arial"/>
      <family val="2"/>
      <scheme val="minor"/>
    </font>
    <font>
      <b/>
      <u/>
      <sz val="18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2"/>
      <name val="Arial"/>
      <family val="2"/>
      <scheme val="minor"/>
    </font>
    <font>
      <sz val="11"/>
      <color theme="1"/>
      <name val="Arial"/>
      <family val="2"/>
      <scheme val="minor"/>
    </font>
    <font>
      <b/>
      <sz val="12"/>
      <color theme="0"/>
      <name val="Arial"/>
      <family val="2"/>
      <scheme val="minor"/>
    </font>
    <font>
      <b/>
      <sz val="36"/>
      <color theme="0"/>
      <name val="Arial"/>
      <family val="2"/>
      <scheme val="minor"/>
    </font>
    <font>
      <b/>
      <sz val="26"/>
      <color theme="0"/>
      <name val="Arial"/>
      <family val="2"/>
      <scheme val="minor"/>
    </font>
    <font>
      <b/>
      <sz val="16"/>
      <name val="Arial"/>
      <family val="2"/>
      <scheme val="minor"/>
    </font>
    <font>
      <b/>
      <sz val="26"/>
      <name val="Arial"/>
      <family val="2"/>
      <scheme val="minor"/>
    </font>
    <font>
      <u/>
      <sz val="11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27457B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1DBEA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AD5B9D"/>
        <bgColor indexed="64"/>
      </patternFill>
    </fill>
    <fill>
      <patternFill patternType="solid">
        <fgColor rgb="FF5E2696"/>
        <bgColor indexed="64"/>
      </patternFill>
    </fill>
    <fill>
      <patternFill patternType="solid">
        <fgColor rgb="FF97EBF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40">
    <xf numFmtId="0" fontId="0" fillId="0" borderId="0" xfId="0"/>
    <xf numFmtId="0" fontId="5" fillId="2" borderId="2" xfId="0" applyFont="1" applyFill="1" applyBorder="1" applyAlignment="1">
      <alignment horizontal="center" vertical="center" wrapText="1" readingOrder="2"/>
    </xf>
    <xf numFmtId="0" fontId="5" fillId="2" borderId="2" xfId="0" applyFont="1" applyFill="1" applyBorder="1" applyAlignment="1">
      <alignment horizontal="right" vertical="center" wrapText="1" readingOrder="2"/>
    </xf>
    <xf numFmtId="10" fontId="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0" fontId="5" fillId="0" borderId="3" xfId="0" applyNumberFormat="1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 wrapText="1"/>
    </xf>
    <xf numFmtId="9" fontId="5" fillId="2" borderId="2" xfId="1" applyFont="1" applyFill="1" applyBorder="1" applyAlignment="1">
      <alignment horizontal="center" vertical="center" wrapText="1" readingOrder="2"/>
    </xf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 readingOrder="1"/>
    </xf>
    <xf numFmtId="10" fontId="5" fillId="0" borderId="2" xfId="0" applyNumberFormat="1" applyFont="1" applyBorder="1" applyAlignment="1">
      <alignment horizontal="center" vertical="center" wrapText="1" readingOrder="2"/>
    </xf>
    <xf numFmtId="10" fontId="7" fillId="2" borderId="2" xfId="0" applyNumberFormat="1" applyFont="1" applyFill="1" applyBorder="1" applyAlignment="1">
      <alignment horizontal="center" vertical="center" wrapText="1" readingOrder="2"/>
    </xf>
    <xf numFmtId="0" fontId="13" fillId="2" borderId="5" xfId="0" applyFont="1" applyFill="1" applyBorder="1" applyAlignment="1">
      <alignment horizontal="center" vertical="center" wrapText="1" readingOrder="2"/>
    </xf>
    <xf numFmtId="0" fontId="13" fillId="2" borderId="2" xfId="0" applyFont="1" applyFill="1" applyBorder="1" applyAlignment="1">
      <alignment horizontal="center" vertical="center" wrapText="1" readingOrder="2"/>
    </xf>
    <xf numFmtId="0" fontId="13" fillId="0" borderId="2" xfId="0" applyFont="1" applyBorder="1" applyAlignment="1">
      <alignment horizontal="center" vertical="center" wrapText="1" readingOrder="2"/>
    </xf>
    <xf numFmtId="0" fontId="10" fillId="4" borderId="0" xfId="0" applyFont="1" applyFill="1" applyAlignment="1">
      <alignment vertical="center" wrapText="1"/>
    </xf>
    <xf numFmtId="0" fontId="7" fillId="4" borderId="0" xfId="0" applyFont="1" applyFill="1" applyAlignment="1">
      <alignment horizontal="right" vertical="center" wrapText="1" readingOrder="2"/>
    </xf>
    <xf numFmtId="10" fontId="7" fillId="4" borderId="0" xfId="0" applyNumberFormat="1" applyFont="1" applyFill="1" applyAlignment="1">
      <alignment horizontal="center" vertical="center" wrapText="1" readingOrder="2"/>
    </xf>
    <xf numFmtId="0" fontId="7" fillId="4" borderId="0" xfId="0" applyFont="1" applyFill="1" applyAlignment="1">
      <alignment horizontal="center" vertical="center" wrapText="1" readingOrder="2"/>
    </xf>
    <xf numFmtId="0" fontId="4" fillId="4" borderId="0" xfId="0" applyFont="1" applyFill="1"/>
    <xf numFmtId="0" fontId="8" fillId="3" borderId="0" xfId="0" applyFont="1" applyFill="1" applyAlignment="1">
      <alignment horizontal="center" vertical="center" wrapText="1"/>
    </xf>
    <xf numFmtId="0" fontId="14" fillId="3" borderId="0" xfId="0" applyFont="1" applyFill="1"/>
    <xf numFmtId="0" fontId="4" fillId="3" borderId="0" xfId="0" applyFont="1" applyFill="1"/>
    <xf numFmtId="0" fontId="8" fillId="5" borderId="0" xfId="0" applyFont="1" applyFill="1" applyAlignment="1">
      <alignment horizontal="center" vertical="center"/>
    </xf>
    <xf numFmtId="0" fontId="12" fillId="5" borderId="0" xfId="0" applyFont="1" applyFill="1"/>
    <xf numFmtId="9" fontId="12" fillId="5" borderId="0" xfId="0" applyNumberFormat="1" applyFont="1" applyFill="1"/>
    <xf numFmtId="0" fontId="4" fillId="5" borderId="0" xfId="0" applyFont="1" applyFill="1"/>
    <xf numFmtId="0" fontId="7" fillId="2" borderId="2" xfId="0" applyFont="1" applyFill="1" applyBorder="1" applyAlignment="1">
      <alignment horizontal="right" vertical="center" wrapText="1" readingOrder="2"/>
    </xf>
    <xf numFmtId="10" fontId="7" fillId="0" borderId="2" xfId="1" applyNumberFormat="1" applyFont="1" applyBorder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12" fillId="6" borderId="0" xfId="0" applyFont="1" applyFill="1"/>
    <xf numFmtId="9" fontId="12" fillId="6" borderId="0" xfId="0" applyNumberFormat="1" applyFont="1" applyFill="1"/>
    <xf numFmtId="0" fontId="4" fillId="6" borderId="0" xfId="0" applyFont="1" applyFill="1"/>
    <xf numFmtId="0" fontId="11" fillId="7" borderId="1" xfId="0" applyFont="1" applyFill="1" applyBorder="1" applyAlignment="1">
      <alignment horizontal="right" vertical="center" readingOrder="2"/>
    </xf>
    <xf numFmtId="0" fontId="5" fillId="7" borderId="1" xfId="0" applyFont="1" applyFill="1" applyBorder="1"/>
    <xf numFmtId="0" fontId="7" fillId="7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11" fillId="7" borderId="0" xfId="0" applyFont="1" applyFill="1" applyAlignment="1">
      <alignment horizontal="right" vertical="center" readingOrder="2"/>
    </xf>
    <xf numFmtId="0" fontId="5" fillId="7" borderId="0" xfId="0" applyFont="1" applyFill="1"/>
    <xf numFmtId="0" fontId="7" fillId="7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10" fontId="7" fillId="2" borderId="2" xfId="1" applyNumberFormat="1" applyFont="1" applyFill="1" applyBorder="1" applyAlignment="1">
      <alignment horizontal="center" vertical="center" wrapText="1"/>
    </xf>
    <xf numFmtId="0" fontId="11" fillId="7" borderId="0" xfId="0" applyFont="1" applyFill="1" applyAlignment="1">
      <alignment horizontal="right" vertical="top" readingOrder="2"/>
    </xf>
    <xf numFmtId="0" fontId="8" fillId="8" borderId="0" xfId="0" applyFont="1" applyFill="1" applyAlignment="1">
      <alignment horizontal="center" vertical="center" wrapText="1"/>
    </xf>
    <xf numFmtId="0" fontId="12" fillId="8" borderId="0" xfId="0" applyFont="1" applyFill="1"/>
    <xf numFmtId="9" fontId="12" fillId="8" borderId="0" xfId="0" applyNumberFormat="1" applyFont="1" applyFill="1"/>
    <xf numFmtId="0" fontId="4" fillId="8" borderId="0" xfId="0" applyFont="1" applyFill="1"/>
    <xf numFmtId="0" fontId="8" fillId="9" borderId="0" xfId="0" applyFont="1" applyFill="1" applyAlignment="1">
      <alignment horizontal="center" vertical="center" wrapText="1"/>
    </xf>
    <xf numFmtId="0" fontId="12" fillId="9" borderId="0" xfId="0" applyFont="1" applyFill="1"/>
    <xf numFmtId="9" fontId="12" fillId="9" borderId="0" xfId="0" applyNumberFormat="1" applyFont="1" applyFill="1"/>
    <xf numFmtId="0" fontId="4" fillId="9" borderId="0" xfId="0" applyFont="1" applyFill="1"/>
    <xf numFmtId="0" fontId="0" fillId="10" borderId="0" xfId="0" applyFill="1" applyAlignment="1">
      <alignment horizontal="center" vertical="center" wrapText="1"/>
    </xf>
    <xf numFmtId="0" fontId="3" fillId="10" borderId="0" xfId="0" applyFont="1" applyFill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right" vertical="center" wrapText="1" readingOrder="2"/>
    </xf>
    <xf numFmtId="0" fontId="15" fillId="4" borderId="0" xfId="0" applyFont="1" applyFill="1" applyAlignment="1">
      <alignment horizontal="center" vertical="center" wrapText="1" readingOrder="2"/>
    </xf>
    <xf numFmtId="10" fontId="14" fillId="0" borderId="2" xfId="0" applyNumberFormat="1" applyFont="1" applyBorder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2" fillId="0" borderId="0" xfId="2" applyAlignment="1">
      <alignment vertical="center"/>
    </xf>
    <xf numFmtId="0" fontId="14" fillId="2" borderId="0" xfId="0" applyFont="1" applyFill="1"/>
    <xf numFmtId="0" fontId="14" fillId="2" borderId="0" xfId="0" applyFont="1" applyFill="1" applyAlignment="1">
      <alignment horizontal="right" vertical="center" readingOrder="2"/>
    </xf>
    <xf numFmtId="0" fontId="14" fillId="2" borderId="0" xfId="0" applyFont="1" applyFill="1" applyAlignment="1">
      <alignment horizontal="right"/>
    </xf>
    <xf numFmtId="0" fontId="0" fillId="2" borderId="0" xfId="0" applyFill="1" applyAlignment="1">
      <alignment horizontal="right" vertical="center"/>
    </xf>
    <xf numFmtId="0" fontId="13" fillId="0" borderId="5" xfId="0" applyFont="1" applyBorder="1" applyAlignment="1">
      <alignment horizontal="center" vertical="center" wrapText="1" readingOrder="2"/>
    </xf>
    <xf numFmtId="10" fontId="14" fillId="0" borderId="3" xfId="0" applyNumberFormat="1" applyFont="1" applyBorder="1" applyAlignment="1">
      <alignment horizontal="center" vertical="center" wrapText="1"/>
    </xf>
    <xf numFmtId="10" fontId="5" fillId="0" borderId="12" xfId="0" applyNumberFormat="1" applyFont="1" applyBorder="1" applyAlignment="1">
      <alignment horizontal="center" vertical="center" wrapText="1"/>
    </xf>
    <xf numFmtId="10" fontId="5" fillId="0" borderId="5" xfId="0" applyNumberFormat="1" applyFont="1" applyBorder="1" applyAlignment="1">
      <alignment horizontal="center" vertical="center" wrapText="1"/>
    </xf>
    <xf numFmtId="10" fontId="5" fillId="0" borderId="5" xfId="0" applyNumberFormat="1" applyFont="1" applyBorder="1" applyAlignment="1">
      <alignment horizontal="center" vertical="center" wrapText="1" readingOrder="2"/>
    </xf>
    <xf numFmtId="10" fontId="7" fillId="2" borderId="5" xfId="0" applyNumberFormat="1" applyFont="1" applyFill="1" applyBorder="1" applyAlignment="1">
      <alignment horizontal="center" vertical="center" wrapText="1" readingOrder="2"/>
    </xf>
    <xf numFmtId="10" fontId="3" fillId="0" borderId="2" xfId="1" applyNumberFormat="1" applyFont="1" applyBorder="1" applyAlignment="1">
      <alignment horizontal="center" vertical="center" wrapText="1"/>
    </xf>
    <xf numFmtId="10" fontId="14" fillId="0" borderId="2" xfId="0" applyNumberFormat="1" applyFont="1" applyBorder="1" applyAlignment="1">
      <alignment horizontal="center" vertical="center" wrapText="1" readingOrder="2"/>
    </xf>
    <xf numFmtId="0" fontId="14" fillId="2" borderId="2" xfId="0" applyFont="1" applyFill="1" applyBorder="1" applyAlignment="1">
      <alignment horizontal="right" vertical="center" wrapText="1" readingOrder="2"/>
    </xf>
    <xf numFmtId="0" fontId="4" fillId="14" borderId="0" xfId="0" applyFont="1" applyFill="1"/>
    <xf numFmtId="0" fontId="15" fillId="14" borderId="0" xfId="0" applyFont="1" applyFill="1" applyAlignment="1">
      <alignment horizontal="center" vertical="center" wrapText="1" readingOrder="2"/>
    </xf>
    <xf numFmtId="0" fontId="7" fillId="14" borderId="0" xfId="0" applyFont="1" applyFill="1" applyAlignment="1">
      <alignment horizontal="right" vertical="center" wrapText="1" readingOrder="2"/>
    </xf>
    <xf numFmtId="0" fontId="7" fillId="14" borderId="0" xfId="0" applyFont="1" applyFill="1" applyAlignment="1">
      <alignment horizontal="center" vertical="center" wrapText="1" readingOrder="2"/>
    </xf>
    <xf numFmtId="10" fontId="7" fillId="14" borderId="0" xfId="0" applyNumberFormat="1" applyFont="1" applyFill="1" applyAlignment="1">
      <alignment horizontal="center" vertical="center" wrapText="1" readingOrder="2"/>
    </xf>
    <xf numFmtId="0" fontId="9" fillId="14" borderId="0" xfId="0" applyFont="1" applyFill="1" applyAlignment="1">
      <alignment horizontal="right" vertical="center" wrapText="1" readingOrder="2"/>
    </xf>
    <xf numFmtId="0" fontId="7" fillId="13" borderId="0" xfId="0" applyFont="1" applyFill="1" applyAlignment="1">
      <alignment horizontal="right" vertical="center" wrapText="1" readingOrder="2"/>
    </xf>
    <xf numFmtId="0" fontId="7" fillId="13" borderId="0" xfId="0" applyFont="1" applyFill="1" applyAlignment="1">
      <alignment horizontal="center" vertical="center" wrapText="1" readingOrder="2"/>
    </xf>
    <xf numFmtId="10" fontId="7" fillId="13" borderId="0" xfId="0" applyNumberFormat="1" applyFont="1" applyFill="1" applyAlignment="1">
      <alignment horizontal="center" vertical="center" wrapText="1" readingOrder="2"/>
    </xf>
    <xf numFmtId="0" fontId="3" fillId="15" borderId="0" xfId="0" applyFont="1" applyFill="1" applyAlignment="1">
      <alignment horizontal="center" vertical="center" wrapText="1"/>
    </xf>
    <xf numFmtId="0" fontId="0" fillId="15" borderId="0" xfId="0" applyFill="1" applyAlignment="1">
      <alignment horizontal="center" vertical="center" wrapText="1"/>
    </xf>
    <xf numFmtId="0" fontId="5" fillId="7" borderId="1" xfId="0" applyFont="1" applyFill="1" applyBorder="1" applyAlignment="1">
      <alignment horizontal="center" readingOrder="2"/>
    </xf>
    <xf numFmtId="0" fontId="5" fillId="7" borderId="0" xfId="0" applyFont="1" applyFill="1" applyAlignment="1">
      <alignment horizontal="center" readingOrder="2"/>
    </xf>
    <xf numFmtId="0" fontId="14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/>
    </xf>
    <xf numFmtId="49" fontId="13" fillId="2" borderId="2" xfId="0" applyNumberFormat="1" applyFont="1" applyFill="1" applyBorder="1" applyAlignment="1">
      <alignment horizontal="center" vertical="center" wrapText="1" readingOrder="2"/>
    </xf>
    <xf numFmtId="49" fontId="5" fillId="2" borderId="3" xfId="0" applyNumberFormat="1" applyFont="1" applyFill="1" applyBorder="1" applyAlignment="1">
      <alignment horizontal="center" vertical="center" wrapText="1" readingOrder="2"/>
    </xf>
    <xf numFmtId="49" fontId="5" fillId="2" borderId="2" xfId="0" applyNumberFormat="1" applyFont="1" applyFill="1" applyBorder="1" applyAlignment="1">
      <alignment horizontal="center" vertical="center" wrapText="1" readingOrder="2"/>
    </xf>
    <xf numFmtId="49" fontId="5" fillId="2" borderId="2" xfId="1" applyNumberFormat="1" applyFont="1" applyFill="1" applyBorder="1" applyAlignment="1">
      <alignment horizontal="center" vertical="center" wrapText="1" readingOrder="2"/>
    </xf>
    <xf numFmtId="49" fontId="7" fillId="4" borderId="0" xfId="0" applyNumberFormat="1" applyFont="1" applyFill="1" applyAlignment="1">
      <alignment horizontal="center" vertical="center" wrapText="1" readingOrder="2"/>
    </xf>
    <xf numFmtId="49" fontId="10" fillId="4" borderId="0" xfId="0" applyNumberFormat="1" applyFont="1" applyFill="1" applyAlignment="1">
      <alignment vertical="center" wrapText="1" readingOrder="2"/>
    </xf>
    <xf numFmtId="49" fontId="5" fillId="7" borderId="1" xfId="0" applyNumberFormat="1" applyFont="1" applyFill="1" applyBorder="1" applyAlignment="1">
      <alignment horizontal="center" readingOrder="2"/>
    </xf>
    <xf numFmtId="49" fontId="5" fillId="7" borderId="0" xfId="0" applyNumberFormat="1" applyFont="1" applyFill="1" applyAlignment="1">
      <alignment horizontal="center" readingOrder="2"/>
    </xf>
    <xf numFmtId="49" fontId="14" fillId="2" borderId="0" xfId="0" applyNumberFormat="1" applyFont="1" applyFill="1" applyAlignment="1">
      <alignment readingOrder="2"/>
    </xf>
    <xf numFmtId="49" fontId="0" fillId="2" borderId="0" xfId="0" applyNumberFormat="1" applyFill="1" applyAlignment="1">
      <alignment vertical="center" readingOrder="2"/>
    </xf>
    <xf numFmtId="0" fontId="0" fillId="11" borderId="0" xfId="0" applyFill="1"/>
    <xf numFmtId="0" fontId="14" fillId="11" borderId="0" xfId="0" applyFont="1" applyFill="1"/>
    <xf numFmtId="0" fontId="0" fillId="11" borderId="0" xfId="0" applyFill="1" applyAlignment="1">
      <alignment horizontal="right"/>
    </xf>
    <xf numFmtId="49" fontId="0" fillId="11" borderId="0" xfId="0" applyNumberFormat="1" applyFill="1" applyAlignment="1">
      <alignment readingOrder="2"/>
    </xf>
    <xf numFmtId="0" fontId="0" fillId="11" borderId="0" xfId="0" applyFill="1" applyAlignment="1">
      <alignment horizontal="center"/>
    </xf>
    <xf numFmtId="10" fontId="7" fillId="0" borderId="2" xfId="1" applyNumberFormat="1" applyFont="1" applyFill="1" applyBorder="1" applyAlignment="1">
      <alignment horizontal="center" vertical="center" wrapText="1"/>
    </xf>
    <xf numFmtId="10" fontId="7" fillId="0" borderId="2" xfId="0" applyNumberFormat="1" applyFont="1" applyBorder="1" applyAlignment="1">
      <alignment horizontal="center" vertical="center" wrapText="1" readingOrder="2"/>
    </xf>
    <xf numFmtId="10" fontId="7" fillId="0" borderId="5" xfId="0" applyNumberFormat="1" applyFont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 readingOrder="2"/>
    </xf>
    <xf numFmtId="0" fontId="5" fillId="2" borderId="5" xfId="0" applyFont="1" applyFill="1" applyBorder="1" applyAlignment="1">
      <alignment horizontal="right" vertical="center" wrapText="1" readingOrder="2"/>
    </xf>
    <xf numFmtId="0" fontId="14" fillId="2" borderId="5" xfId="0" applyFont="1" applyFill="1" applyBorder="1" applyAlignment="1">
      <alignment horizontal="right" vertical="center" wrapText="1" readingOrder="2"/>
    </xf>
    <xf numFmtId="0" fontId="7" fillId="2" borderId="5" xfId="0" applyFont="1" applyFill="1" applyBorder="1" applyAlignment="1">
      <alignment horizontal="right" vertical="center" wrapText="1" readingOrder="2"/>
    </xf>
    <xf numFmtId="165" fontId="13" fillId="12" borderId="0" xfId="0" applyNumberFormat="1" applyFont="1" applyFill="1" applyAlignment="1">
      <alignment horizontal="center" vertical="center" wrapText="1" readingOrder="2"/>
    </xf>
    <xf numFmtId="165" fontId="4" fillId="12" borderId="0" xfId="0" applyNumberFormat="1" applyFont="1" applyFill="1" applyAlignment="1">
      <alignment horizontal="right" vertical="center" wrapText="1" readingOrder="2"/>
    </xf>
    <xf numFmtId="165" fontId="5" fillId="12" borderId="0" xfId="0" applyNumberFormat="1" applyFont="1" applyFill="1" applyAlignment="1">
      <alignment horizontal="right" vertical="center" wrapText="1" readingOrder="2"/>
    </xf>
    <xf numFmtId="165" fontId="7" fillId="12" borderId="0" xfId="0" applyNumberFormat="1" applyFont="1" applyFill="1" applyAlignment="1">
      <alignment horizontal="right" vertical="center" wrapText="1" readingOrder="2"/>
    </xf>
    <xf numFmtId="165" fontId="7" fillId="2" borderId="2" xfId="0" applyNumberFormat="1" applyFont="1" applyFill="1" applyBorder="1" applyAlignment="1">
      <alignment horizontal="center" vertical="center" wrapText="1" readingOrder="2"/>
    </xf>
    <xf numFmtId="165" fontId="7" fillId="2" borderId="2" xfId="0" applyNumberFormat="1" applyFont="1" applyFill="1" applyBorder="1" applyAlignment="1">
      <alignment horizontal="center" vertical="center" wrapText="1"/>
    </xf>
    <xf numFmtId="165" fontId="5" fillId="0" borderId="2" xfId="0" applyNumberFormat="1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 readingOrder="2"/>
    </xf>
    <xf numFmtId="0" fontId="5" fillId="2" borderId="4" xfId="0" applyFont="1" applyFill="1" applyBorder="1" applyAlignment="1">
      <alignment horizontal="center" vertical="center" wrapText="1"/>
    </xf>
    <xf numFmtId="165" fontId="5" fillId="2" borderId="4" xfId="0" applyNumberFormat="1" applyFont="1" applyFill="1" applyBorder="1" applyAlignment="1">
      <alignment horizontal="center" vertical="center" wrapText="1"/>
    </xf>
    <xf numFmtId="165" fontId="7" fillId="2" borderId="2" xfId="1" applyNumberFormat="1" applyFont="1" applyFill="1" applyBorder="1" applyAlignment="1">
      <alignment horizontal="center" vertical="center" wrapText="1" readingOrder="2"/>
    </xf>
    <xf numFmtId="165" fontId="7" fillId="2" borderId="2" xfId="1" applyNumberFormat="1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 readingOrder="2"/>
    </xf>
    <xf numFmtId="0" fontId="13" fillId="0" borderId="9" xfId="0" applyFont="1" applyBorder="1" applyAlignment="1">
      <alignment horizontal="center" vertical="center" wrapText="1" readingOrder="2"/>
    </xf>
    <xf numFmtId="0" fontId="13" fillId="2" borderId="9" xfId="0" applyFont="1" applyFill="1" applyBorder="1" applyAlignment="1">
      <alignment horizontal="center" vertical="center" wrapText="1" readingOrder="2"/>
    </xf>
    <xf numFmtId="0" fontId="13" fillId="2" borderId="7" xfId="0" applyFont="1" applyFill="1" applyBorder="1" applyAlignment="1">
      <alignment horizontal="center" vertical="center" wrapText="1" readingOrder="2"/>
    </xf>
    <xf numFmtId="165" fontId="14" fillId="0" borderId="3" xfId="0" applyNumberFormat="1" applyFont="1" applyBorder="1" applyAlignment="1">
      <alignment horizontal="center" vertical="center" wrapText="1"/>
    </xf>
    <xf numFmtId="49" fontId="13" fillId="2" borderId="9" xfId="0" applyNumberFormat="1" applyFont="1" applyFill="1" applyBorder="1" applyAlignment="1">
      <alignment horizontal="center" vertical="center" wrapText="1" readingOrder="2"/>
    </xf>
    <xf numFmtId="165" fontId="13" fillId="12" borderId="6" xfId="0" applyNumberFormat="1" applyFont="1" applyFill="1" applyBorder="1" applyAlignment="1">
      <alignment horizontal="center" vertical="center" wrapText="1" readingOrder="2"/>
    </xf>
    <xf numFmtId="165" fontId="13" fillId="12" borderId="13" xfId="0" applyNumberFormat="1" applyFont="1" applyFill="1" applyBorder="1" applyAlignment="1">
      <alignment horizontal="center" vertical="center" wrapText="1" readingOrder="2"/>
    </xf>
    <xf numFmtId="165" fontId="4" fillId="12" borderId="6" xfId="0" applyNumberFormat="1" applyFont="1" applyFill="1" applyBorder="1" applyAlignment="1">
      <alignment horizontal="right" vertical="center" wrapText="1" readingOrder="2"/>
    </xf>
    <xf numFmtId="165" fontId="4" fillId="12" borderId="13" xfId="0" applyNumberFormat="1" applyFont="1" applyFill="1" applyBorder="1" applyAlignment="1">
      <alignment horizontal="right" vertical="center" wrapText="1" readingOrder="2"/>
    </xf>
    <xf numFmtId="165" fontId="5" fillId="12" borderId="6" xfId="0" applyNumberFormat="1" applyFont="1" applyFill="1" applyBorder="1" applyAlignment="1">
      <alignment horizontal="right" vertical="center" wrapText="1" readingOrder="2"/>
    </xf>
    <xf numFmtId="165" fontId="5" fillId="12" borderId="13" xfId="0" applyNumberFormat="1" applyFont="1" applyFill="1" applyBorder="1" applyAlignment="1">
      <alignment horizontal="right" vertical="center" wrapText="1" readingOrder="2"/>
    </xf>
    <xf numFmtId="165" fontId="7" fillId="2" borderId="0" xfId="0" applyNumberFormat="1" applyFont="1" applyFill="1" applyAlignment="1">
      <alignment horizontal="center" vertical="center" wrapText="1" readingOrder="2"/>
    </xf>
    <xf numFmtId="165" fontId="5" fillId="2" borderId="2" xfId="0" applyNumberFormat="1" applyFont="1" applyFill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 readingOrder="2"/>
    </xf>
    <xf numFmtId="165" fontId="5" fillId="12" borderId="7" xfId="0" applyNumberFormat="1" applyFont="1" applyFill="1" applyBorder="1" applyAlignment="1">
      <alignment horizontal="right" vertical="center" wrapText="1" readingOrder="2"/>
    </xf>
    <xf numFmtId="165" fontId="5" fillId="12" borderId="11" xfId="0" applyNumberFormat="1" applyFont="1" applyFill="1" applyBorder="1" applyAlignment="1">
      <alignment horizontal="right" vertical="center" wrapText="1" readingOrder="2"/>
    </xf>
    <xf numFmtId="165" fontId="5" fillId="2" borderId="4" xfId="0" applyNumberFormat="1" applyFont="1" applyFill="1" applyBorder="1" applyAlignment="1">
      <alignment horizontal="center" vertical="center" wrapText="1" readingOrder="2"/>
    </xf>
    <xf numFmtId="165" fontId="5" fillId="0" borderId="5" xfId="0" applyNumberFormat="1" applyFont="1" applyBorder="1" applyAlignment="1">
      <alignment horizontal="center" vertical="center" wrapText="1"/>
    </xf>
    <xf numFmtId="165" fontId="7" fillId="2" borderId="0" xfId="0" applyNumberFormat="1" applyFont="1" applyFill="1" applyAlignment="1">
      <alignment vertical="center" wrapText="1" readingOrder="2"/>
    </xf>
    <xf numFmtId="165" fontId="5" fillId="2" borderId="0" xfId="0" applyNumberFormat="1" applyFont="1" applyFill="1" applyAlignment="1">
      <alignment readingOrder="2"/>
    </xf>
    <xf numFmtId="165" fontId="5" fillId="2" borderId="0" xfId="0" applyNumberFormat="1" applyFont="1" applyFill="1"/>
    <xf numFmtId="165" fontId="13" fillId="12" borderId="8" xfId="0" applyNumberFormat="1" applyFont="1" applyFill="1" applyBorder="1" applyAlignment="1">
      <alignment horizontal="center" vertical="center" wrapText="1" readingOrder="2"/>
    </xf>
    <xf numFmtId="165" fontId="4" fillId="12" borderId="8" xfId="0" applyNumberFormat="1" applyFont="1" applyFill="1" applyBorder="1" applyAlignment="1">
      <alignment horizontal="right" vertical="center" wrapText="1" readingOrder="2"/>
    </xf>
    <xf numFmtId="165" fontId="5" fillId="12" borderId="8" xfId="0" applyNumberFormat="1" applyFont="1" applyFill="1" applyBorder="1" applyAlignment="1">
      <alignment horizontal="right" vertical="center" wrapText="1" readingOrder="2"/>
    </xf>
    <xf numFmtId="165" fontId="5" fillId="12" borderId="9" xfId="0" applyNumberFormat="1" applyFont="1" applyFill="1" applyBorder="1" applyAlignment="1">
      <alignment horizontal="right" vertical="center" wrapText="1" readingOrder="2"/>
    </xf>
    <xf numFmtId="165" fontId="5" fillId="0" borderId="2" xfId="0" applyNumberFormat="1" applyFont="1" applyBorder="1" applyAlignment="1">
      <alignment horizontal="center" vertical="center" wrapText="1" readingOrder="2"/>
    </xf>
    <xf numFmtId="165" fontId="0" fillId="0" borderId="0" xfId="0" applyNumberFormat="1"/>
    <xf numFmtId="165" fontId="13" fillId="16" borderId="3" xfId="0" applyNumberFormat="1" applyFont="1" applyFill="1" applyBorder="1" applyAlignment="1">
      <alignment horizontal="center" vertical="center" wrapText="1" readingOrder="2"/>
    </xf>
    <xf numFmtId="165" fontId="13" fillId="2" borderId="3" xfId="0" applyNumberFormat="1" applyFont="1" applyFill="1" applyBorder="1" applyAlignment="1">
      <alignment horizontal="center" vertical="center" wrapText="1" readingOrder="2"/>
    </xf>
    <xf numFmtId="165" fontId="5" fillId="2" borderId="2" xfId="0" applyNumberFormat="1" applyFont="1" applyFill="1" applyBorder="1" applyAlignment="1">
      <alignment horizontal="center" vertical="center" wrapText="1" readingOrder="2"/>
    </xf>
    <xf numFmtId="165" fontId="5" fillId="2" borderId="0" xfId="0" applyNumberFormat="1" applyFont="1" applyFill="1" applyAlignment="1">
      <alignment horizontal="center"/>
    </xf>
    <xf numFmtId="165" fontId="5" fillId="2" borderId="3" xfId="0" applyNumberFormat="1" applyFont="1" applyFill="1" applyBorder="1" applyAlignment="1">
      <alignment horizontal="center" vertical="center" wrapText="1" readingOrder="2"/>
    </xf>
    <xf numFmtId="10" fontId="7" fillId="0" borderId="3" xfId="1" applyNumberFormat="1" applyFont="1" applyBorder="1" applyAlignment="1">
      <alignment horizontal="center" vertical="center" wrapText="1"/>
    </xf>
    <xf numFmtId="165" fontId="13" fillId="2" borderId="10" xfId="0" applyNumberFormat="1" applyFont="1" applyFill="1" applyBorder="1" applyAlignment="1">
      <alignment horizontal="center" vertical="center" wrapText="1" readingOrder="2"/>
    </xf>
    <xf numFmtId="165" fontId="7" fillId="0" borderId="3" xfId="1" applyNumberFormat="1" applyFont="1" applyBorder="1" applyAlignment="1">
      <alignment horizontal="center" vertical="center" wrapText="1"/>
    </xf>
    <xf numFmtId="165" fontId="7" fillId="2" borderId="3" xfId="1" applyNumberFormat="1" applyFont="1" applyFill="1" applyBorder="1" applyAlignment="1">
      <alignment horizontal="center" vertical="center" wrapText="1" readingOrder="2"/>
    </xf>
    <xf numFmtId="165" fontId="7" fillId="2" borderId="3" xfId="1" applyNumberFormat="1" applyFont="1" applyFill="1" applyBorder="1" applyAlignment="1">
      <alignment horizontal="center" vertical="center" wrapText="1"/>
    </xf>
    <xf numFmtId="165" fontId="7" fillId="2" borderId="10" xfId="0" applyNumberFormat="1" applyFont="1" applyFill="1" applyBorder="1" applyAlignment="1">
      <alignment horizontal="center" vertical="center" wrapText="1"/>
    </xf>
    <xf numFmtId="165" fontId="13" fillId="16" borderId="5" xfId="0" applyNumberFormat="1" applyFont="1" applyFill="1" applyBorder="1" applyAlignment="1">
      <alignment horizontal="center" vertical="center" wrapText="1" readingOrder="2"/>
    </xf>
    <xf numFmtId="165" fontId="13" fillId="0" borderId="3" xfId="0" applyNumberFormat="1" applyFont="1" applyBorder="1" applyAlignment="1">
      <alignment horizontal="center" vertical="center" wrapText="1" readingOrder="2"/>
    </xf>
    <xf numFmtId="165" fontId="13" fillId="16" borderId="2" xfId="0" applyNumberFormat="1" applyFont="1" applyFill="1" applyBorder="1" applyAlignment="1">
      <alignment horizontal="center" vertical="center" wrapText="1" readingOrder="2"/>
    </xf>
    <xf numFmtId="165" fontId="5" fillId="0" borderId="3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right" vertical="center" wrapText="1" readingOrder="2"/>
    </xf>
    <xf numFmtId="165" fontId="7" fillId="4" borderId="0" xfId="0" applyNumberFormat="1" applyFont="1" applyFill="1" applyAlignment="1">
      <alignment horizontal="right" vertical="center" wrapText="1" readingOrder="2"/>
    </xf>
    <xf numFmtId="165" fontId="7" fillId="4" borderId="0" xfId="0" applyNumberFormat="1" applyFont="1" applyFill="1" applyAlignment="1">
      <alignment horizontal="center" vertical="center" wrapText="1" readingOrder="2"/>
    </xf>
    <xf numFmtId="165" fontId="7" fillId="14" borderId="0" xfId="0" applyNumberFormat="1" applyFont="1" applyFill="1" applyAlignment="1">
      <alignment horizontal="right" vertical="center" wrapText="1" readingOrder="2"/>
    </xf>
    <xf numFmtId="165" fontId="7" fillId="14" borderId="0" xfId="0" applyNumberFormat="1" applyFont="1" applyFill="1" applyAlignment="1">
      <alignment horizontal="center" vertical="center" wrapText="1" readingOrder="2"/>
    </xf>
    <xf numFmtId="165" fontId="7" fillId="13" borderId="0" xfId="0" applyNumberFormat="1" applyFont="1" applyFill="1" applyAlignment="1">
      <alignment horizontal="right" vertical="center" wrapText="1" readingOrder="2"/>
    </xf>
    <xf numFmtId="165" fontId="7" fillId="13" borderId="0" xfId="0" applyNumberFormat="1" applyFont="1" applyFill="1" applyAlignment="1">
      <alignment horizontal="center" vertical="center" wrapText="1" readingOrder="2"/>
    </xf>
    <xf numFmtId="0" fontId="10" fillId="4" borderId="0" xfId="0" applyFont="1" applyFill="1" applyAlignment="1">
      <alignment horizontal="center"/>
    </xf>
    <xf numFmtId="165" fontId="7" fillId="2" borderId="0" xfId="0" applyNumberFormat="1" applyFont="1" applyFill="1" applyAlignment="1">
      <alignment horizontal="center"/>
    </xf>
    <xf numFmtId="0" fontId="6" fillId="4" borderId="0" xfId="0" applyFont="1" applyFill="1" applyAlignment="1">
      <alignment horizontal="center"/>
    </xf>
    <xf numFmtId="165" fontId="6" fillId="2" borderId="0" xfId="0" applyNumberFormat="1" applyFont="1" applyFill="1" applyAlignment="1">
      <alignment horizontal="center"/>
    </xf>
    <xf numFmtId="165" fontId="6" fillId="4" borderId="0" xfId="0" applyNumberFormat="1" applyFont="1" applyFill="1" applyAlignment="1">
      <alignment horizontal="center"/>
    </xf>
    <xf numFmtId="0" fontId="5" fillId="7" borderId="0" xfId="0" applyFont="1" applyFill="1" applyAlignment="1">
      <alignment horizontal="center" vertical="center"/>
    </xf>
    <xf numFmtId="165" fontId="5" fillId="2" borderId="0" xfId="0" applyNumberFormat="1" applyFont="1" applyFill="1" applyAlignment="1">
      <alignment horizontal="center" vertical="center"/>
    </xf>
    <xf numFmtId="165" fontId="6" fillId="14" borderId="0" xfId="0" applyNumberFormat="1" applyFont="1" applyFill="1" applyAlignment="1">
      <alignment horizontal="center" vertical="center"/>
    </xf>
    <xf numFmtId="0" fontId="6" fillId="14" borderId="0" xfId="0" applyFont="1" applyFill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165" fontId="6" fillId="13" borderId="0" xfId="0" applyNumberFormat="1" applyFont="1" applyFill="1" applyAlignment="1">
      <alignment horizontal="center" vertical="center"/>
    </xf>
    <xf numFmtId="0" fontId="5" fillId="0" borderId="2" xfId="0" applyFont="1" applyBorder="1" applyAlignment="1">
      <alignment horizontal="right" vertical="center" wrapText="1" readingOrder="2"/>
    </xf>
    <xf numFmtId="49" fontId="5" fillId="0" borderId="3" xfId="0" applyNumberFormat="1" applyFont="1" applyBorder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 wrapText="1" readingOrder="2"/>
    </xf>
    <xf numFmtId="49" fontId="5" fillId="0" borderId="2" xfId="0" applyNumberFormat="1" applyFont="1" applyBorder="1" applyAlignment="1">
      <alignment horizontal="center" vertical="center" wrapText="1" readingOrder="2"/>
    </xf>
    <xf numFmtId="49" fontId="5" fillId="0" borderId="2" xfId="1" applyNumberFormat="1" applyFont="1" applyFill="1" applyBorder="1" applyAlignment="1">
      <alignment horizontal="center" vertical="center" wrapText="1" readingOrder="2"/>
    </xf>
    <xf numFmtId="10" fontId="5" fillId="0" borderId="2" xfId="1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 readingOrder="1"/>
    </xf>
    <xf numFmtId="165" fontId="7" fillId="0" borderId="2" xfId="0" applyNumberFormat="1" applyFont="1" applyBorder="1" applyAlignment="1">
      <alignment horizontal="center" vertical="center" wrapText="1" readingOrder="2"/>
    </xf>
    <xf numFmtId="165" fontId="7" fillId="0" borderId="2" xfId="0" applyNumberFormat="1" applyFont="1" applyBorder="1" applyAlignment="1">
      <alignment horizontal="center" vertical="center" wrapText="1"/>
    </xf>
    <xf numFmtId="165" fontId="7" fillId="0" borderId="2" xfId="1" applyNumberFormat="1" applyFont="1" applyFill="1" applyBorder="1" applyAlignment="1">
      <alignment horizontal="center" vertical="center" wrapText="1" readingOrder="2"/>
    </xf>
    <xf numFmtId="165" fontId="7" fillId="0" borderId="2" xfId="1" applyNumberFormat="1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right" vertical="center" wrapText="1" readingOrder="2"/>
    </xf>
    <xf numFmtId="0" fontId="7" fillId="0" borderId="2" xfId="0" applyFont="1" applyBorder="1" applyAlignment="1">
      <alignment horizontal="right" vertical="center" wrapText="1" readingOrder="2"/>
    </xf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11" borderId="0" xfId="0" applyFont="1" applyFill="1"/>
    <xf numFmtId="0" fontId="18" fillId="14" borderId="0" xfId="0" applyFont="1" applyFill="1" applyAlignment="1">
      <alignment vertical="center" wrapText="1"/>
    </xf>
    <xf numFmtId="0" fontId="18" fillId="14" borderId="0" xfId="0" applyFont="1" applyFill="1" applyAlignment="1">
      <alignment horizontal="center" vertical="center"/>
    </xf>
    <xf numFmtId="0" fontId="18" fillId="13" borderId="0" xfId="0" applyFont="1" applyFill="1" applyAlignment="1">
      <alignment vertical="center" wrapText="1"/>
    </xf>
    <xf numFmtId="0" fontId="18" fillId="1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0" fontId="5" fillId="3" borderId="0" xfId="0" applyFont="1" applyFill="1"/>
    <xf numFmtId="165" fontId="5" fillId="0" borderId="0" xfId="0" applyNumberFormat="1" applyFont="1"/>
    <xf numFmtId="0" fontId="5" fillId="13" borderId="0" xfId="0" applyFont="1" applyFill="1"/>
    <xf numFmtId="0" fontId="7" fillId="6" borderId="0" xfId="0" applyFont="1" applyFill="1" applyAlignment="1">
      <alignment horizontal="center" vertical="center" wrapText="1"/>
    </xf>
    <xf numFmtId="0" fontId="5" fillId="6" borderId="0" xfId="0" applyFont="1" applyFill="1"/>
    <xf numFmtId="0" fontId="7" fillId="8" borderId="0" xfId="0" applyFont="1" applyFill="1" applyAlignment="1">
      <alignment horizontal="center" vertical="center" wrapText="1"/>
    </xf>
    <xf numFmtId="0" fontId="5" fillId="8" borderId="0" xfId="0" applyFont="1" applyFill="1"/>
    <xf numFmtId="0" fontId="7" fillId="9" borderId="0" xfId="0" applyFont="1" applyFill="1" applyAlignment="1">
      <alignment horizontal="center" vertical="center" wrapText="1"/>
    </xf>
    <xf numFmtId="0" fontId="5" fillId="9" borderId="0" xfId="0" applyFont="1" applyFill="1"/>
    <xf numFmtId="9" fontId="5" fillId="9" borderId="0" xfId="0" applyNumberFormat="1" applyFont="1" applyFill="1"/>
    <xf numFmtId="0" fontId="7" fillId="15" borderId="0" xfId="0" applyFont="1" applyFill="1" applyAlignment="1">
      <alignment horizontal="center" vertical="center" wrapText="1"/>
    </xf>
    <xf numFmtId="0" fontId="5" fillId="15" borderId="0" xfId="0" applyFont="1" applyFill="1" applyAlignment="1">
      <alignment horizontal="center" vertical="center" wrapText="1"/>
    </xf>
    <xf numFmtId="0" fontId="13" fillId="13" borderId="0" xfId="0" applyFont="1" applyFill="1" applyAlignment="1">
      <alignment horizontal="center" vertical="center" wrapText="1" readingOrder="2"/>
    </xf>
    <xf numFmtId="0" fontId="5" fillId="2" borderId="0" xfId="0" applyFont="1" applyFill="1" applyAlignment="1">
      <alignment readingOrder="2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right" vertical="center" readingOrder="2"/>
    </xf>
    <xf numFmtId="0" fontId="5" fillId="2" borderId="0" xfId="0" applyFont="1" applyFill="1" applyAlignment="1">
      <alignment horizontal="right"/>
    </xf>
    <xf numFmtId="0" fontId="5" fillId="2" borderId="0" xfId="0" applyFont="1" applyFill="1" applyAlignment="1">
      <alignment vertical="center" readingOrder="2"/>
    </xf>
    <xf numFmtId="0" fontId="20" fillId="0" borderId="0" xfId="2" applyFont="1" applyAlignment="1">
      <alignment vertical="center"/>
    </xf>
    <xf numFmtId="0" fontId="5" fillId="2" borderId="0" xfId="0" applyFont="1" applyFill="1" applyAlignment="1">
      <alignment horizontal="right" vertical="center"/>
    </xf>
    <xf numFmtId="0" fontId="5" fillId="11" borderId="0" xfId="0" applyFont="1" applyFill="1" applyAlignment="1">
      <alignment readingOrder="2"/>
    </xf>
    <xf numFmtId="0" fontId="5" fillId="11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right"/>
    </xf>
    <xf numFmtId="0" fontId="5" fillId="2" borderId="10" xfId="0" applyFont="1" applyFill="1" applyBorder="1" applyAlignment="1">
      <alignment horizontal="center" vertical="center" wrapText="1" readingOrder="2"/>
    </xf>
    <xf numFmtId="0" fontId="7" fillId="2" borderId="12" xfId="0" applyFont="1" applyFill="1" applyBorder="1" applyAlignment="1">
      <alignment horizontal="right" vertical="center" wrapText="1" readingOrder="2"/>
    </xf>
    <xf numFmtId="165" fontId="13" fillId="12" borderId="10" xfId="0" applyNumberFormat="1" applyFont="1" applyFill="1" applyBorder="1" applyAlignment="1">
      <alignment horizontal="center" vertical="center" wrapText="1" readingOrder="2"/>
    </xf>
    <xf numFmtId="165" fontId="13" fillId="12" borderId="12" xfId="0" applyNumberFormat="1" applyFont="1" applyFill="1" applyBorder="1" applyAlignment="1">
      <alignment horizontal="center" vertical="center" wrapText="1" readingOrder="2"/>
    </xf>
    <xf numFmtId="0" fontId="5" fillId="17" borderId="2" xfId="0" applyFont="1" applyFill="1" applyBorder="1" applyAlignment="1">
      <alignment horizontal="center" vertical="center" wrapText="1"/>
    </xf>
    <xf numFmtId="10" fontId="5" fillId="17" borderId="2" xfId="0" applyNumberFormat="1" applyFont="1" applyFill="1" applyBorder="1" applyAlignment="1">
      <alignment horizontal="center" vertical="center" wrapText="1"/>
    </xf>
    <xf numFmtId="0" fontId="5" fillId="17" borderId="3" xfId="0" applyFont="1" applyFill="1" applyBorder="1" applyAlignment="1">
      <alignment horizontal="center" vertical="center" wrapText="1"/>
    </xf>
    <xf numFmtId="10" fontId="5" fillId="17" borderId="3" xfId="0" applyNumberFormat="1" applyFont="1" applyFill="1" applyBorder="1" applyAlignment="1">
      <alignment horizontal="center" vertical="center" wrapText="1"/>
    </xf>
    <xf numFmtId="10" fontId="5" fillId="17" borderId="2" xfId="0" applyNumberFormat="1" applyFont="1" applyFill="1" applyBorder="1" applyAlignment="1">
      <alignment horizontal="center" vertical="center" wrapText="1" readingOrder="2"/>
    </xf>
    <xf numFmtId="0" fontId="17" fillId="14" borderId="0" xfId="0" applyFont="1" applyFill="1" applyAlignment="1">
      <alignment horizontal="center" vertical="center" wrapText="1"/>
    </xf>
    <xf numFmtId="0" fontId="19" fillId="13" borderId="0" xfId="0" applyFont="1" applyFill="1" applyAlignment="1">
      <alignment horizontal="center" vertical="center" wrapText="1"/>
    </xf>
    <xf numFmtId="0" fontId="16" fillId="4" borderId="0" xfId="0" applyFont="1" applyFill="1" applyAlignment="1">
      <alignment horizontal="center" vertical="center" wrapText="1"/>
    </xf>
  </cellXfs>
  <cellStyles count="5">
    <cellStyle name="Comma 2" xfId="3" xr:uid="{798A546B-9DF4-49D8-A5C6-543A90EC0982}"/>
    <cellStyle name="Comma 3" xfId="4" xr:uid="{91ACC48A-0824-4EE2-A7AD-8C40F260338E}"/>
    <cellStyle name="Normal" xfId="0" builtinId="0"/>
    <cellStyle name="Percent" xfId="1" builtinId="5"/>
    <cellStyle name="היפר-קישור" xfId="2" builtinId="8"/>
  </cellStyles>
  <dxfs count="24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/>
        <top/>
        <bottom/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/>
        <top/>
        <bottom/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305598"/>
      <color rgb="FF304A1E"/>
      <color rgb="FF0E4494"/>
      <color rgb="FFAD5B9D"/>
      <color rgb="FF5E2696"/>
      <color rgb="FFFFEBFF"/>
      <color rgb="FFFF99FF"/>
      <color rgb="FFFFF4D1"/>
      <color rgb="FF27457B"/>
      <color rgb="FF1A32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420959</xdr:colOff>
      <xdr:row>0</xdr:row>
      <xdr:rowOff>0</xdr:rowOff>
    </xdr:from>
    <xdr:ext cx="2679246" cy="806366"/>
    <xdr:pic>
      <xdr:nvPicPr>
        <xdr:cNvPr id="3" name="תמונה 2">
          <a:extLst>
            <a:ext uri="{FF2B5EF4-FFF2-40B4-BE49-F238E27FC236}">
              <a16:creationId xmlns:a16="http://schemas.microsoft.com/office/drawing/2014/main" id="{82BEA0B1-C7C8-4166-9281-90DAC60C1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10503701" y="0"/>
          <a:ext cx="2679246" cy="806366"/>
        </a:xfrm>
        <a:prstGeom prst="rect">
          <a:avLst/>
        </a:prstGeom>
        <a:solidFill>
          <a:schemeClr val="bg1"/>
        </a:solidFill>
      </xdr:spPr>
    </xdr:pic>
    <xdr:clientData/>
  </xdr:oneCellAnchor>
  <xdr:twoCellAnchor editAs="oneCell">
    <xdr:from>
      <xdr:col>9</xdr:col>
      <xdr:colOff>148828</xdr:colOff>
      <xdr:row>0</xdr:row>
      <xdr:rowOff>0</xdr:rowOff>
    </xdr:from>
    <xdr:to>
      <xdr:col>9</xdr:col>
      <xdr:colOff>482203</xdr:colOff>
      <xdr:row>0</xdr:row>
      <xdr:rowOff>333375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141AEC-AE6B-669A-CEF6-0938951FF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9996312" y="0"/>
          <a:ext cx="33337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847933</xdr:colOff>
      <xdr:row>0</xdr:row>
      <xdr:rowOff>41131</xdr:rowOff>
    </xdr:from>
    <xdr:ext cx="3190299" cy="960176"/>
    <xdr:pic>
      <xdr:nvPicPr>
        <xdr:cNvPr id="6" name="תמונה 5">
          <a:extLst>
            <a:ext uri="{FF2B5EF4-FFF2-40B4-BE49-F238E27FC236}">
              <a16:creationId xmlns:a16="http://schemas.microsoft.com/office/drawing/2014/main" id="{574292A0-8C61-44BD-980B-9106D5EC7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56198161" y="41131"/>
          <a:ext cx="3190299" cy="960176"/>
        </a:xfrm>
        <a:prstGeom prst="rect">
          <a:avLst/>
        </a:prstGeom>
        <a:solidFill>
          <a:schemeClr val="bg1"/>
        </a:solidFill>
      </xdr:spPr>
    </xdr:pic>
    <xdr:clientData/>
  </xdr:oneCellAnchor>
  <xdr:oneCellAnchor>
    <xdr:from>
      <xdr:col>11</xdr:col>
      <xdr:colOff>827113</xdr:colOff>
      <xdr:row>0</xdr:row>
      <xdr:rowOff>41132</xdr:rowOff>
    </xdr:from>
    <xdr:ext cx="3190299" cy="960176"/>
    <xdr:pic>
      <xdr:nvPicPr>
        <xdr:cNvPr id="7" name="תמונה 6">
          <a:extLst>
            <a:ext uri="{FF2B5EF4-FFF2-40B4-BE49-F238E27FC236}">
              <a16:creationId xmlns:a16="http://schemas.microsoft.com/office/drawing/2014/main" id="{D807D121-A0C5-47AB-98C3-5F2B00404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47047916" y="41132"/>
          <a:ext cx="3190299" cy="960176"/>
        </a:xfrm>
        <a:prstGeom prst="rect">
          <a:avLst/>
        </a:prstGeom>
        <a:solidFill>
          <a:schemeClr val="bg1"/>
        </a:solidFill>
      </xdr:spPr>
    </xdr:pic>
    <xdr:clientData/>
  </xdr:oneCellAnchor>
  <xdr:twoCellAnchor editAs="oneCell">
    <xdr:from>
      <xdr:col>11</xdr:col>
      <xdr:colOff>69273</xdr:colOff>
      <xdr:row>0</xdr:row>
      <xdr:rowOff>259772</xdr:rowOff>
    </xdr:from>
    <xdr:to>
      <xdr:col>11</xdr:col>
      <xdr:colOff>402648</xdr:colOff>
      <xdr:row>0</xdr:row>
      <xdr:rowOff>593147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7D90BBD-61AA-AFF2-BE47-CD0F693E4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44807534" y="259772"/>
          <a:ext cx="33337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A47EFD-71F6-40BA-A2A5-BAA1CC682578}" name="TitleRegion1.b3.i15.1" displayName="TitleRegion1.b3.i15.1" ref="B3:I15" totalsRowShown="0" headerRowDxfId="98" tableBorderDxfId="97">
  <autoFilter ref="B3:I15" xr:uid="{16A47EFD-71F6-40BA-A2A5-BAA1CC68257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ADA5CBB0-5A5D-46A2-940E-98665573C596}" name="אפיק השקעה " dataDxfId="96"/>
    <tableColumn id="2" xr3:uid="{CC6FFBBE-4A2C-4E3E-BAED-2455E1BC6AEC}" name="ריק במקור" dataDxfId="95"/>
    <tableColumn id="3" xr3:uid="{0D61466E-CCDA-4BE0-8EBD-870459C34789}" name="ריק במקור2" dataDxfId="94"/>
    <tableColumn id="4" xr3:uid="{CD1553A4-62AF-402C-BDE6-A5EBB205AFC1}" name="שיעור החשיפה ליום 31/12/2025"/>
    <tableColumn id="5" xr3:uid="{8EE9FF9A-5D57-4042-9EF5-D4BFDA0AFD46}" name="שיעור חשיפה צפוי לשנת 2026"/>
    <tableColumn id="6" xr3:uid="{A6EB0585-314C-4620-BCB8-594C77DB9E7A}" name="טווח סטיה מותר" dataDxfId="93"/>
    <tableColumn id="7" xr3:uid="{969F5A17-99C7-4795-AF67-676051BA7AF2}" name="גבולות שיעור החשיפה הצפויה"/>
    <tableColumn id="8" xr3:uid="{6454B2E2-E08A-457C-A714-0EBA1FCEB047}" name="מדד ייחוס*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D23D76-04C4-42E0-BE69-B7B8BD02FA40}" name="TitleRegion1.b18.i30.2" displayName="TitleRegion1.b18.i30.2" ref="B18:I30" totalsRowShown="0" headerRowDxfId="92" tableBorderDxfId="91">
  <autoFilter ref="B18:I30" xr:uid="{7DD23D76-04C4-42E0-BE69-B7B8BD02FA4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F3D12E87-611C-4B17-BF77-04E6F51AB91A}" name="אפיק השקעה "/>
    <tableColumn id="2" xr3:uid="{D30B13F7-E5E8-4766-9FD3-FEDEFA4F33EB}" name="ריק במקור" dataDxfId="90"/>
    <tableColumn id="3" xr3:uid="{CBE96042-87D4-477E-BE82-213FEEE0A7FA}" name="ריק במקור2" dataDxfId="89"/>
    <tableColumn id="4" xr3:uid="{68F5D6A2-E2EC-4E19-BA27-32AC1BD5CE1B}" name="שיעור החשיפה ליום 31/12/2025"/>
    <tableColumn id="5" xr3:uid="{6BDC95A2-9BF9-4E65-A109-E4A508495FCA}" name="שיעור חשיפה צפוי לשנת 2026"/>
    <tableColumn id="6" xr3:uid="{25BAF826-0BAB-43E4-B686-191A7FCD0C7E}" name="טווח סטיה מותר" dataDxfId="88"/>
    <tableColumn id="7" xr3:uid="{660BE039-A937-4913-9979-5A6F858C7BE4}" name="גבולות שיעור החשיפה הצפויה"/>
    <tableColumn id="8" xr3:uid="{58F38FCE-79FA-4381-B140-103E97582B2C}" name="מדד ייחוס*"/>
  </tableColumns>
  <tableStyleInfo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421668E-8B96-4679-951E-30CFDEB4DBA8}" name="TitleRegion1.b33.i45.3" displayName="TitleRegion1.b33.i45.3" ref="B33:I45" totalsRowShown="0" tableBorderDxfId="87">
  <autoFilter ref="B33:I45" xr:uid="{B421668E-8B96-4679-951E-30CFDEB4DBA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DC5885E-1FC4-4983-9248-80D59BCF1A5A}" name="אפיק השקעה " dataDxfId="86"/>
    <tableColumn id="2" xr3:uid="{8A6124B5-A9CE-42C7-97B8-741823F784C8}" name="ריק במקור" dataDxfId="85"/>
    <tableColumn id="3" xr3:uid="{120E7610-7719-4A0A-9BC5-D9A6DFD1F4CD}" name="ריק במקור2" dataDxfId="84"/>
    <tableColumn id="4" xr3:uid="{6DE1B791-09BD-45C7-AA63-FCC4AC257B83}" name="שיעור החשיפה ליום 31/12/2025"/>
    <tableColumn id="5" xr3:uid="{96B467CE-FC3C-42D5-842D-CCE8AB1FF95A}" name="שיעור חשיפה צפוי לשנת 2026"/>
    <tableColumn id="6" xr3:uid="{C735894F-CB32-47A9-89AA-B16F336CA8AD}" name="טווח סטיה מותר"/>
    <tableColumn id="7" xr3:uid="{D1B2500F-FC08-409D-BA2F-8A33914F22F4}" name="גבולות שיעור החשיפה הצפויה"/>
    <tableColumn id="8" xr3:uid="{BF1A9EFD-6CB6-46CA-8047-3607356782CA}" name="מדד ייחוס*"/>
  </tableColumns>
  <tableStyleInfo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6DDB262-1996-43DA-9D98-B84611B69AC6}" name="TitleRegion1.b48.i60.4" displayName="TitleRegion1.b48.i60.4" ref="B48:I60" totalsRowShown="0" headerRowDxfId="83" tableBorderDxfId="82">
  <autoFilter ref="B48:I60" xr:uid="{76DDB262-1996-43DA-9D98-B84611B69AC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B4FDF683-985B-4BB2-9E7A-28180A0FCD61}" name="אפיק השקעה " dataDxfId="81"/>
    <tableColumn id="2" xr3:uid="{DC37FABA-EF2C-43EB-8194-6B1D7295C896}" name="ריק במקור" dataDxfId="80"/>
    <tableColumn id="3" xr3:uid="{13C3D8E5-7E06-4529-BE3D-B01E1EDB1E9B}" name="ריק במקור2" dataDxfId="79"/>
    <tableColumn id="4" xr3:uid="{C8B75B89-02E1-4742-BBAB-035B7C83B2B8}" name="שיעור החשיפה ליום 31/12/2025"/>
    <tableColumn id="5" xr3:uid="{61779F0C-F16D-4519-8635-27E858E7BC2B}" name="שיעור חשיפה צפוי לשנת 2026"/>
    <tableColumn id="6" xr3:uid="{DA7BB2DF-4270-47B3-AC53-909E7E71DE18}" name="טווח סטיה מותר" dataDxfId="78"/>
    <tableColumn id="7" xr3:uid="{2C21423D-BEAE-4265-8E22-CB727CA11F21}" name="גבולות שיעור החשיפה הצפויה"/>
    <tableColumn id="8" xr3:uid="{3AEFD7E7-FEB3-40FF-8F7F-EB67C43FBF4B}" name="מדד ייחוס*"/>
  </tableColumns>
  <tableStyleInfo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EF71306-3E19-43ED-B8A3-4F71CDF3C7B3}" name="TitleRegion1.b63.i75.5" displayName="TitleRegion1.b63.i75.5" ref="B63:I75" totalsRowShown="0" headerRowDxfId="77" tableBorderDxfId="76">
  <autoFilter ref="B63:I75" xr:uid="{DEF71306-3E19-43ED-B8A3-4F71CDF3C7B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4D52DC91-6F39-4034-A55B-0D19934BD500}" name="אפיק השקעה " dataDxfId="75"/>
    <tableColumn id="2" xr3:uid="{97DA8DC4-4503-4ADD-B81F-799054ED8807}" name="ריק במקור" dataDxfId="74"/>
    <tableColumn id="3" xr3:uid="{5EA76C15-18A6-4ABF-A20D-10E26EA9104A}" name="ריק במקור2" dataDxfId="73"/>
    <tableColumn id="4" xr3:uid="{DAF3B716-98DC-4FF6-98B9-2C099DA137AB}" name="שיעור החשיפה ליום 31/12/2025" dataDxfId="72"/>
    <tableColumn id="5" xr3:uid="{07561FFC-796B-4A63-B185-BDFF1C8A789A}" name="שיעור חשיפה צפוי לשנת 2026" dataDxfId="71"/>
    <tableColumn id="6" xr3:uid="{85CA9658-6F0C-4ED6-BA53-5D9E849D9E6A}" name="טווח סטיה מותר" dataDxfId="70"/>
    <tableColumn id="7" xr3:uid="{343DFF11-39FF-4DED-AFF0-BEB61F9E08D9}" name="גבולות שיעור החשיפה הצפויה"/>
    <tableColumn id="8" xr3:uid="{E977F82A-23E7-484E-B7AB-DD331F5F84C5}" name="מדד ייחוס*"/>
  </tableColumns>
  <tableStyleInfo showFirstColumn="1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8417B17-2094-4DE9-B7D9-A0460344288D}" name="TitleRegion1.b80.i92.6" displayName="TitleRegion1.b80.i92.6" ref="B80:I92" totalsRowShown="0" headerRowDxfId="69" headerRowBorderDxfId="68" tableBorderDxfId="67">
  <autoFilter ref="B80:I92" xr:uid="{18417B17-2094-4DE9-B7D9-A0460344288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15C3402C-1BA8-4786-9467-BD1820BFD1CE}" name="אפיק השקעה " dataDxfId="66"/>
    <tableColumn id="2" xr3:uid="{94A7D6BA-FA83-4132-9EC3-589402F3ACE8}" name="תגמולים שיעור החשיפה ליום 31/12/2025 "/>
    <tableColumn id="3" xr3:uid="{5A70802F-1C12-467A-8300-703D4BF6373D}" name="השתלמות שיעור החשיפה ליום 31/12/2025"/>
    <tableColumn id="4" xr3:uid="{B0FA1FD2-E49E-49DA-B8B5-A1938176CC49}" name=" השקעה שיעור החשיפה ליום 31/12/2025"/>
    <tableColumn id="5" xr3:uid="{18AFF740-679D-4119-8237-E457DEA3D4ED}" name="שיעור חשיפה צפוי לשנת 2026"/>
    <tableColumn id="6" xr3:uid="{78719551-21C8-4B62-A8BF-A50AF2236A2D}" name="טווח סטיה מותר" dataDxfId="65"/>
    <tableColumn id="7" xr3:uid="{E2E57268-03B0-4F18-85A8-7921DF968B98}" name="גבולות שיעור החשיפה הצפויה"/>
    <tableColumn id="8" xr3:uid="{585576A6-128B-4362-8DD2-A39FF2EE80E2}" name="מדד ייחוס*"/>
  </tableColumns>
  <tableStyleInfo showFirstColumn="1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59F7270-9BE3-4B5A-AF45-E323F5975311}" name="TitleRegion1.b97.i109.7" displayName="TitleRegion1.b97.i109.7" ref="B97:I109" totalsRowShown="0" headerRowDxfId="64" headerRowBorderDxfId="63" tableBorderDxfId="62">
  <autoFilter ref="B97:I109" xr:uid="{C59F7270-9BE3-4B5A-AF45-E323F597531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DCC44DDD-DDEA-4966-95CD-93BA7F029937}" name="אפיק השקעה " dataDxfId="61"/>
    <tableColumn id="2" xr3:uid="{8B92226B-325D-4CBA-A6A2-D825183EBC9B}" name="תגמולים שיעור החשיפה ליום 31/12/2025 "/>
    <tableColumn id="3" xr3:uid="{2ECED71B-2BC3-46CE-A699-CDD26A73A072}" name="השתלמות שיעור החשיפה ליום 31/12/2025"/>
    <tableColumn id="4" xr3:uid="{4F775A8A-357A-4F17-9550-A877E151C5F1}" name=" השקעה שיעור החשיפה ליום 31/12/2025"/>
    <tableColumn id="5" xr3:uid="{20D23CB7-A09D-4765-B055-DA89ECC875DD}" name="שיעור חשיפה צפוי לשנת 2026"/>
    <tableColumn id="6" xr3:uid="{52ABB602-8413-4201-A40F-456528F4AF12}" name="טווח סטיה מותר" dataDxfId="60"/>
    <tableColumn id="7" xr3:uid="{FC9A1D11-314C-4E8B-B033-7614C9686D82}" name="גבולות שיעור החשיפה הצפויה"/>
    <tableColumn id="8" xr3:uid="{1AC4321D-C967-40BE-B7DA-EA3B45AA7D61}" name="מדד ייחוס*"/>
  </tableColumns>
  <tableStyleInfo showFirstColumn="1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62213CA-3149-422F-9C5C-E5BFAA29232E}" name="TitleRegion1.b113.i125.8" displayName="TitleRegion1.b113.i125.8" ref="B113:I125" totalsRowShown="0" headerRowDxfId="59" tableBorderDxfId="58">
  <autoFilter ref="B113:I125" xr:uid="{862213CA-3149-422F-9C5C-E5BFAA29232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605B3ADB-207A-422F-BE49-5FB21E9229F9}" name="אפיק השקעה "/>
    <tableColumn id="2" xr3:uid="{C3D45C56-2C96-4E07-B5FD-285E401178AE}" name="ריק במקור" dataDxfId="57"/>
    <tableColumn id="3" xr3:uid="{22CDB313-B77E-4BE4-A3C4-BB6D772E679D}" name="השתלמות שיעור החשיפה ליום 31/12/2025 "/>
    <tableColumn id="4" xr3:uid="{1BF682CA-9F56-49E4-AE98-5DA89C1DE94D}" name=" השקעה שיעור החשיפה ליום 31/12/2025"/>
    <tableColumn id="5" xr3:uid="{9BCB3632-117A-4722-B1EE-F827D706F8DA}" name="שיעור חשיפה צפוי לשנת 2026"/>
    <tableColumn id="6" xr3:uid="{FAAC5C73-0FA2-47AA-896E-5B1B21E5341D}" name="טווח סטיה מותר" dataDxfId="56"/>
    <tableColumn id="7" xr3:uid="{B1908AB5-1C77-4517-B510-571A5464519C}" name="גבולות שיעור החשיפה הצפויה"/>
    <tableColumn id="8" xr3:uid="{DE7A5342-09F3-4CC4-93D6-BD2224C92CA0}" name="מדד ייחוס*"/>
  </tableColumns>
  <tableStyleInfo showFirstColumn="1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3B3CD4D-BD81-4B8B-B128-A07900B1061F}" name="TitleRegion1.b130.i137.9" displayName="TitleRegion1.b130.i137.9" ref="B130:I137" totalsRowShown="0" headerRowDxfId="55" headerRowBorderDxfId="54" tableBorderDxfId="53">
  <autoFilter ref="B130:I137" xr:uid="{E3B3CD4D-BD81-4B8B-B128-A07900B1061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1CCF265D-6BAC-4848-B7A9-102528EC0E7E}" name="אפיק השקעה "/>
    <tableColumn id="2" xr3:uid="{E0D0A35F-1C20-494B-ABAA-A58508366DE8}" name="תגמולים שיעור החשיפה ליום 31/12/2025 "/>
    <tableColumn id="3" xr3:uid="{DF87788B-DB03-4D4C-9DCB-13A0C8CE5B72}" name="השתלמות שיעור החשיפה ליום 31/12/2025"/>
    <tableColumn id="4" xr3:uid="{9AEE0631-2CE9-4E57-B0E3-42B2371B3544}" name=" השקעה שיעור החשיפה ליום 31/12/2025"/>
    <tableColumn id="5" xr3:uid="{CA8FD294-D99D-4718-B37F-19989B01CF3A}" name="שיעור חשיפה צפוי לשנת 2026"/>
    <tableColumn id="6" xr3:uid="{F931380D-7A84-42A6-9FE9-7DEEB63655A7}" name="טווח סטיה מותר" dataDxfId="52"/>
    <tableColumn id="7" xr3:uid="{8181EF4B-32AB-4FEB-9FC5-1C906DC3E75C}" name="גבולות שיעור החשיפה הצפויה"/>
    <tableColumn id="8" xr3:uid="{03606247-8CB1-4A29-BA1D-E4D8B613BEC9}" name="מדד ייחוס*"/>
  </tableColumns>
  <tableStyleInfo showFirstColumn="1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54C289A-004D-44A8-A1EB-D76F85EB04A9}" name="TitleRegion1.b142.i149.10" displayName="TitleRegion1.b142.i149.10" ref="B142:I149" totalsRowShown="0" headerRowDxfId="51" headerRowBorderDxfId="50" tableBorderDxfId="49">
  <autoFilter ref="B142:I149" xr:uid="{754C289A-004D-44A8-A1EB-D76F85EB04A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32045115-74DF-4DB4-A646-5D01BEC8B872}" name="אפיק השקעה "/>
    <tableColumn id="2" xr3:uid="{FCC9B7E2-7438-4E2D-9AAE-8BDFA2FE5691}" name="תגמולים שיעור החשיפה ליום 31/12/2025 "/>
    <tableColumn id="3" xr3:uid="{E7A02398-7AF9-476C-BF24-E18DE157BF55}" name="השתלמות שיעור החשיפה ליום 31/12/2025"/>
    <tableColumn id="4" xr3:uid="{6758E47B-12D0-46AA-BE46-17B8CEBFC97C}" name=" השקעה שיעור החשיפה ליום 31/12/2025"/>
    <tableColumn id="5" xr3:uid="{32AC6BE1-26EF-4B64-BD67-F05EACD8D304}" name="שיעור חשיפה צפוי לשנת 2026"/>
    <tableColumn id="6" xr3:uid="{1DD9859B-F34E-472B-8E80-EE7CF3C229F2}" name="טווח סטיה מותר" dataDxfId="48"/>
    <tableColumn id="7" xr3:uid="{6F0B2B36-F0D9-41F7-B5F6-B9ED61059D43}" name="גבולות שיעור החשיפה הצפויה"/>
    <tableColumn id="8" xr3:uid="{5FF4F6DC-F2E3-4A5C-B0BF-E88E0E7FB5F6}" name="מדד ייחוס*"/>
  </tableColumns>
  <tableStyleInfo showFirstColumn="1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CA3CA41-ADC8-440D-AC13-ADD20DD7FD52}" name="TitleRegion1.b154.i161.11" displayName="TitleRegion1.b154.i161.11" ref="B154:I161" totalsRowShown="0" headerRowDxfId="47" headerRowBorderDxfId="46" tableBorderDxfId="45">
  <autoFilter ref="B154:I161" xr:uid="{4CA3CA41-ADC8-440D-AC13-ADD20DD7FD5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CC7B703F-69C9-40FF-8006-43D1EC1CC441}" name="אפיק השקעה "/>
    <tableColumn id="2" xr3:uid="{F0C86C10-21DD-405F-835F-BEB6AA720116}" name="תגמולים שיעור החשיפה ליום 31/12/2025 "/>
    <tableColumn id="3" xr3:uid="{9E2B2C73-E5D9-4869-A24B-2EACB56D467A}" name="השתלמות שיעור החשיפה ליום 31/12/2025"/>
    <tableColumn id="4" xr3:uid="{C7EBF25C-9C9A-4E0B-A857-FE962252912B}" name=" השקעה שיעור החשיפה ליום 31/12/2025"/>
    <tableColumn id="5" xr3:uid="{5E044679-3F60-4DD9-9EB9-557407321FAB}" name="שיעור חשיפה צפוי לשנת 2026"/>
    <tableColumn id="6" xr3:uid="{36D68C82-99FF-4061-88F0-720535868AC5}" name="טווח סטיה מותר" dataDxfId="44"/>
    <tableColumn id="7" xr3:uid="{98A87BED-8720-48C3-B0A0-B42D77ACD9B1}" name="גבולות שיעור החשיפה הצפויה"/>
    <tableColumn id="8" xr3:uid="{BD3AFFC3-CE49-40C1-87CB-A6F147817182}" name="מדד ייחוס*"/>
  </tableColumns>
  <tableStyleInfo showFirstColumn="1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A1095AB-3F9D-40AB-AA38-2EB8ED2B39CD}" name="TitleRegion1.b166.i173.12" displayName="TitleRegion1.b166.i173.12" ref="B166:I173" totalsRowShown="0" headerRowDxfId="43" headerRowBorderDxfId="42" tableBorderDxfId="41">
  <autoFilter ref="B166:I173" xr:uid="{1A1095AB-3F9D-40AB-AA38-2EB8ED2B39C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5484B934-AE0A-4AF9-B873-63356245F6A3}" name="אפיק השקעה "/>
    <tableColumn id="2" xr3:uid="{C0F86DAC-1A9F-4E5F-A87D-D8EA3C8CD30B}" name="תגמולים שיעור החשיפה ליום 31/12/2025 "/>
    <tableColumn id="3" xr3:uid="{E11D555F-6EDE-498A-AF19-C487145C850D}" name="השתלמות שיעור החשיפה ליום 31/12/2025"/>
    <tableColumn id="4" xr3:uid="{E08D2A81-FB62-4F9D-A321-06369F78DF1E}" name=" השקעה שיעור החשיפה ליום 31/12/2025"/>
    <tableColumn id="5" xr3:uid="{8760ECAF-645F-4C2E-A1CA-14826CB725CF}" name="שיעור חשיפה צפוי לשנת 2026"/>
    <tableColumn id="6" xr3:uid="{ECE9A4D5-359E-427D-A3BD-C2004DB43DE2}" name="טווח סטיה מותר" dataDxfId="40"/>
    <tableColumn id="7" xr3:uid="{0D287AA5-9A50-4BE7-9979-25FF8BA7ABAB}" name="גבולות שיעור החשיפה הצפויה"/>
    <tableColumn id="8" xr3:uid="{23BAD95C-9B54-4338-ABE1-FF0AAB4A9DA0}" name="מדד ייחוס*"/>
  </tableColumns>
  <tableStyleInfo showFirstColumn="1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EC8E0C3-458B-4C8A-AAB3-12C312CC09BB}" name="TitleRegion1.b177.i184.13" displayName="TitleRegion1.b177.i184.13" ref="B177:I184" totalsRowShown="0" headerRowDxfId="39" tableBorderDxfId="38">
  <autoFilter ref="B177:I184" xr:uid="{AEC8E0C3-458B-4C8A-AAB3-12C312CC09B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8759104A-B7CB-4AA3-9BCE-9497EEC58DE9}" name="אפיק השקעה "/>
    <tableColumn id="2" xr3:uid="{9932F7CB-B77B-4BCE-9D29-7714B70E7769}" name="ריק במקור" dataDxfId="37"/>
    <tableColumn id="3" xr3:uid="{23F6CE06-0F0B-4A3A-BCBF-2458093D7160}" name="השתלמות שיעור החשיפה ליום 31/12/2025"/>
    <tableColumn id="4" xr3:uid="{FA341F22-38C9-4089-8507-E91BF25623EF}" name=" השקעה שיעור החשיפה ליום 31/12/2025"/>
    <tableColumn id="5" xr3:uid="{2CEDA4AB-A62C-4DD0-A8A6-12788F315A71}" name="שיעור חשיפה צפוי לשנת 2026"/>
    <tableColumn id="6" xr3:uid="{7C81C8F4-47EE-4F5F-BA1F-8F1E04C93C1C}" name="טווח סטיה מותר" dataDxfId="36"/>
    <tableColumn id="7" xr3:uid="{CFD4121D-E6CC-407C-83F1-0EDA9AE2D772}" name="גבולות שיעור החשיפה הצפויה"/>
    <tableColumn id="8" xr3:uid="{1E17BA23-C576-49CC-9C84-51085728B073}" name="מדד ייחוס*"/>
  </tableColumns>
  <tableStyleInfo showFirstColumn="1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150FEA6-273C-47DB-90C9-634ECD240B6C}" name="TitleRegion1.b189.i196.14" displayName="TitleRegion1.b189.i196.14" ref="B189:I196" totalsRowShown="0" headerRowDxfId="35" headerRowBorderDxfId="34" tableBorderDxfId="33">
  <autoFilter ref="B189:I196" xr:uid="{8150FEA6-273C-47DB-90C9-634ECD240B6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F9E5553C-F108-476F-BA24-66D1AB153402}" name="אפיק השקעה "/>
    <tableColumn id="2" xr3:uid="{48D053C8-96A8-441A-990B-65781C09969C}" name="תגמולים שיעור החשיפה ליום 31/12/2025 "/>
    <tableColumn id="3" xr3:uid="{F7B5AA8D-72EE-44D1-BC14-1F012150CE26}" name="השתלמות שיעור החשיפה ליום 31/12/2025"/>
    <tableColumn id="4" xr3:uid="{75153498-27E7-41AF-BCD2-A6ABD4C53DD2}" name=" השקעה שיעור החשיפה ליום 31/12/2025"/>
    <tableColumn id="5" xr3:uid="{437FEFA8-D37B-4D66-9DD7-47A5C0BE818A}" name="שיעור חשיפה צפוי לשנת 2026"/>
    <tableColumn id="6" xr3:uid="{A3A1561A-67BB-4EAC-B147-D58B5010B5B8}" name="טווח סטיה מותר" dataDxfId="32"/>
    <tableColumn id="7" xr3:uid="{7D60FFEC-32AC-4D2F-A3D3-9870ABC7E707}" name="גבולות שיעור החשיפה הצפויה"/>
    <tableColumn id="8" xr3:uid="{D392E9EB-1A47-4712-BF5E-C13A620F371A}" name="מדד ייחוס*" dataDxfId="31"/>
  </tableColumns>
  <tableStyleInfo showFirstColumn="1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18C544B-CDE5-4DF2-99D6-5649F80BF229}" name="TitleRegion1.b201.i208.15" displayName="TitleRegion1.b201.i208.15" ref="B201:I208" totalsRowShown="0" headerRowDxfId="30" headerRowBorderDxfId="29" tableBorderDxfId="28">
  <autoFilter ref="B201:I208" xr:uid="{618C544B-CDE5-4DF2-99D6-5649F80BF22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C6D63B00-DD1E-4016-957E-0AB7848F89A1}" name="אפיק השקעה "/>
    <tableColumn id="2" xr3:uid="{6FDA0874-1E42-488F-B283-92BB539F8BE0}" name="תגמולים שיעור החשיפה ליום 31/12/2025 "/>
    <tableColumn id="3" xr3:uid="{B8E267D5-DE60-4B21-8F76-554471B6EB46}" name="השתלמות שיעור החשיפה ליום 31/12/2025"/>
    <tableColumn id="4" xr3:uid="{E1FA636B-64A3-4221-A851-5E46BED0E501}" name=" השקעה שיעור החשיפה ליום 31/12/2025"/>
    <tableColumn id="5" xr3:uid="{CE075C5A-CF72-4796-8D58-87D91DDD9147}" name="שיעור חשיפה צפוי לשנת 2026"/>
    <tableColumn id="6" xr3:uid="{CD159BDD-5CE9-47E4-BC86-C07F382123E6}" name="טווח סטיה מותר" dataDxfId="27"/>
    <tableColumn id="7" xr3:uid="{635417C3-7910-4728-B1BA-80CFB72AF23E}" name="גבולות שיעור החשיפה הצפויה"/>
    <tableColumn id="8" xr3:uid="{AC51E6E6-DE50-47EC-8037-63EC6647EE3A}" name="מדד ייחוס*"/>
  </tableColumns>
  <tableStyleInfo showFirstColumn="1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10011D8-4EF3-4537-95BA-BEDAF3A5A422}" name="TitleRegion1.b213.i220.16" displayName="TitleRegion1.b213.i220.16" ref="B213:I220" totalsRowShown="0" headerRowDxfId="26" headerRowBorderDxfId="25" tableBorderDxfId="24">
  <autoFilter ref="B213:I220" xr:uid="{810011D8-4EF3-4537-95BA-BEDAF3A5A42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526859B6-50C2-4E37-A0D9-5314F12DA594}" name="אפיק השקעה "/>
    <tableColumn id="2" xr3:uid="{F762D26E-F011-421B-86E7-CAA1291170B4}" name="תגמולים שיעור החשיפה ליום 31/12/2025 "/>
    <tableColumn id="3" xr3:uid="{0A2A9BE6-9F0B-45D7-8F66-77CE68C0D6C6}" name="השתלמות שיעור החשיפה ליום 31/12/2025"/>
    <tableColumn id="4" xr3:uid="{A98FDD6E-93AD-44A3-82AE-4EFFC285485A}" name=" השקעה שיעור החשיפה ליום 31/12/2025"/>
    <tableColumn id="5" xr3:uid="{50FB117E-984B-4A75-B97F-7A3D42060511}" name="שיעור חשיפה צפוי לשנת 2026"/>
    <tableColumn id="6" xr3:uid="{D3DD54A9-C7B7-4401-A81A-D9BA60CF9CD5}" name="טווח סטיה מותר" dataDxfId="23"/>
    <tableColumn id="7" xr3:uid="{5CBB87B7-9FE8-4175-AF20-DFAC49EE2C08}" name="גבולות שיעור החשיפה הצפויה"/>
    <tableColumn id="8" xr3:uid="{F07EEBF1-9275-43E1-AABC-1BBD264A1C16}" name="מדד ייחוס*"/>
  </tableColumns>
  <tableStyleInfo showFirstColumn="1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0A88465-12C6-47DB-B999-0AB9DEA650C0}" name="TitleRegion1.b224.i231.17" displayName="TitleRegion1.b224.i231.17" ref="B224:I231" totalsRowShown="0" headerRowDxfId="22" tableBorderDxfId="21">
  <autoFilter ref="B224:I231" xr:uid="{80A88465-12C6-47DB-B999-0AB9DEA650C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93726A35-7128-40A9-AE57-8DBA59F85A7A}" name="אפיק השקעה "/>
    <tableColumn id="2" xr3:uid="{AEBC13D5-2503-478F-8A2A-D75EB610A49C}" name="ריק במקור" dataDxfId="20"/>
    <tableColumn id="3" xr3:uid="{BCF14661-4BA8-4F6A-95D5-A8581563AAD3}" name="השתלמות שיעור החשיפה ליום 31/12/2025"/>
    <tableColumn id="4" xr3:uid="{D07F9BDB-8C42-4389-BD40-221F60811E50}" name=" השקעה שיעור החשיפה ליום 31/12/2025"/>
    <tableColumn id="5" xr3:uid="{C1DA82A0-862A-43C7-86B9-AD206FAC370C}" name="שיעור חשיפה צפוי לשנת 2026"/>
    <tableColumn id="6" xr3:uid="{73E17DED-4995-4113-9186-4A4939B6A106}" name="טווח סטיה מותר" dataDxfId="19"/>
    <tableColumn id="7" xr3:uid="{EB4E38F6-9E1A-4953-ACFF-9966963A31DE}" name="גבולות שיעור החשיפה הצפויה"/>
    <tableColumn id="8" xr3:uid="{A3A120F5-F8C9-4C94-A863-58C7965AB3C9}" name="מדד ייחוס*"/>
  </tableColumns>
  <tableStyleInfo showFirstColumn="1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50F4296D-6870-4BD5-A0C9-CD05EA39BAA8}" name="TitleRegion1.b236.i243.18" displayName="TitleRegion1.b236.i243.18" ref="B236:I243" totalsRowShown="0" headerRowDxfId="18" headerRowBorderDxfId="17" tableBorderDxfId="16">
  <autoFilter ref="B236:I243" xr:uid="{50F4296D-6870-4BD5-A0C9-CD05EA39BAA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BB3C8723-7FF1-447C-B617-25E4DC8FF511}" name="אפיק השקעה "/>
    <tableColumn id="2" xr3:uid="{ACF1BAB3-0FBE-48A7-86F4-15927242442F}" name="תגמולים שיעור החשיפה ליום 31/12/2025 "/>
    <tableColumn id="3" xr3:uid="{2AB0ADE2-D721-4A5F-B575-4C1B261EBDFF}" name="השתלמות שיעור החשיפה ליום 31/12/2025"/>
    <tableColumn id="4" xr3:uid="{D1F1B5BF-5BE5-451C-8167-496F3CAC4868}" name=" השקעה שיעור החשיפה ליום 31/12/2025"/>
    <tableColumn id="5" xr3:uid="{6AA8E344-63EA-4065-BCD0-85342F478FC8}" name="שיעור חשיפה צפוי לשנת 2026"/>
    <tableColumn id="6" xr3:uid="{1A4903EE-8DF9-469F-BAAB-8E6D9C9D378D}" name="טווח סטיה מותר" dataDxfId="15"/>
    <tableColumn id="7" xr3:uid="{3C83A77B-1138-456B-97C7-ECF1479313CC}" name="גבולות שיעור החשיפה הצפויה"/>
    <tableColumn id="8" xr3:uid="{E6AF8589-2A07-4F17-9784-548C138C74EE}" name="מדד ייחוס*"/>
  </tableColumns>
  <tableStyleInfo showFirstColumn="1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AAA644E1-284E-4732-8A23-A6B99CC0C6A1}" name="TitleRegion1.b246.i258.19" displayName="TitleRegion1.b246.i258.19" ref="B246:I258" totalsRowShown="0" tableBorderDxfId="14">
  <autoFilter ref="B246:I258" xr:uid="{AAA644E1-284E-4732-8A23-A6B99CC0C6A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B2F4F979-BDFA-4F93-B0C2-84E532AF17B2}" name="אפיק השקעה "/>
    <tableColumn id="2" xr3:uid="{042C5497-7260-4B6D-BFFC-AD7B92C9AF51}" name="ריק במקור"/>
    <tableColumn id="3" xr3:uid="{FE05D1D7-B444-4D5E-B0BC-1CD78079D5D5}" name="ריק במקור2"/>
    <tableColumn id="4" xr3:uid="{AC4F4AEB-6B43-48F4-AFAF-B77FD9DE3E07}" name="שיעור החשיפה ליום 31/12/2025"/>
    <tableColumn id="5" xr3:uid="{188D0C5B-DBAC-4393-8823-A25537F7F240}" name="שיעור חשיפה צפוי לשנת 2026"/>
    <tableColumn id="6" xr3:uid="{FBF1FB52-D969-40AD-B9C5-143CC400C919}" name="טווח סטיה מותר" dataDxfId="13"/>
    <tableColumn id="7" xr3:uid="{3087FA43-C93D-4981-9D1B-87A8EB86634F}" name="גבולות שיעור החשיפה הצפויה"/>
    <tableColumn id="8" xr3:uid="{0E353FAC-6638-4A67-B9C3-E3A2D8C1F9AE}" name="מדד ייחוס*"/>
  </tableColumns>
  <tableStyleInfo showFirstColumn="1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57148AC-6622-4A3F-B3D3-4BC70CAD2CA0}" name="TitleRegion1.b262.i273.20" displayName="TitleRegion1.b262.i273.20" ref="B262:I273" totalsRowShown="0" tableBorderDxfId="12">
  <autoFilter ref="B262:I273" xr:uid="{C57148AC-6622-4A3F-B3D3-4BC70CAD2CA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27D97B1B-D315-4227-B50E-B2EDAF3AF98E}" name="מניות (קרנות סל, אופציות, קרנות נאמנות)"/>
    <tableColumn id="2" xr3:uid="{64741A5F-110D-4A47-BC92-9C1E9EB3F5F6}" name="ריק במקור"/>
    <tableColumn id="3" xr3:uid="{6936B202-8E73-4444-AA91-7A1A97782808}" name="ריק במקור2"/>
    <tableColumn id="4" xr3:uid="{24A314DA-B4F4-427D-8EEE-82B294294860}" name="48.18%"/>
    <tableColumn id="5" xr3:uid="{273FB191-B6DA-4A2F-90A6-6E18795C8DC3}" name="45.00%"/>
    <tableColumn id="6" xr3:uid="{4D5A9DDB-2825-40C4-8083-8987EE48B76F}" name="6%+/-" dataDxfId="11"/>
    <tableColumn id="7" xr3:uid="{77F163C1-439C-4BC6-B83D-FFB5938BA2AF}" name="39% - 51%"/>
    <tableColumn id="8" xr3:uid="{374C26A6-8333-4732-8AB2-82ACBF3AC9C2}" name="36% - מדד מניות כללי_x000a_64% - מדד MSCI WORLD"/>
  </tableColumns>
  <tableStyleInfo showFirstColumn="1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ABA3714F-E330-402C-A340-CFFC16EDA305}" name="TitleRegion1.b276.i288.21" displayName="TitleRegion1.b276.i288.21" ref="B276:I288" totalsRowShown="0" tableBorderDxfId="10">
  <autoFilter ref="B276:I288" xr:uid="{ABA3714F-E330-402C-A340-CFFC16EDA30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80B806B-2F22-4E4A-B6D9-F7A98EF7EAFD}" name="אפיק השקעה " dataDxfId="9"/>
    <tableColumn id="2" xr3:uid="{0E42F50B-56D0-4680-A820-C2EB674AFC83}" name="ריק במקור"/>
    <tableColumn id="3" xr3:uid="{0DEB30B7-3DC5-4E01-85E2-4CD6E633B78A}" name="ריק במקור2"/>
    <tableColumn id="4" xr3:uid="{309760F4-A358-4EB2-9EBF-EF489D066BBD}" name="שיעור החשיפה ליום 31/12/2025"/>
    <tableColumn id="5" xr3:uid="{FDA145E6-344F-43C3-9A63-F6722975E939}" name="שיעור חשיפה צפוי לשנת 2026"/>
    <tableColumn id="6" xr3:uid="{F9BD09F6-B755-416D-BCE0-F65CCDCF4251}" name="טווח סטיה מותר" dataDxfId="8"/>
    <tableColumn id="7" xr3:uid="{1D77071E-1CD5-46C7-82F4-6E0CB4BC29ED}" name="גבולות שיעור החשיפה הצפויה"/>
    <tableColumn id="8" xr3:uid="{A5958EC6-F3D5-4CEE-A2D2-812972D9D717}" name="מדד ייחוס*"/>
  </tableColumns>
  <tableStyleInfo showFirstColumn="1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26222FB5-5D4C-4686-BDEE-4FA8608A32BF}" name="TitleRegion1.b291.i298.22" displayName="TitleRegion1.b291.i298.22" ref="B291:I298" totalsRowShown="0" tableBorderDxfId="7">
  <autoFilter ref="B291:I298" xr:uid="{26222FB5-5D4C-4686-BDEE-4FA8608A32B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EA2FE6FE-8C7F-445F-89D1-7487C19380F6}" name="אפיק השקעה "/>
    <tableColumn id="2" xr3:uid="{D7DC7CDA-4EC0-44F5-B387-4E99DC9489A2}" name="ריק במקור" dataDxfId="6"/>
    <tableColumn id="3" xr3:uid="{67D32B3C-660C-4819-B65D-371381386B70}" name="ריק במקור2" dataDxfId="5"/>
    <tableColumn id="4" xr3:uid="{7F469287-2768-498C-B90C-1925FF76D605}" name="שיעור החשיפה ליום 31/12/2025"/>
    <tableColumn id="5" xr3:uid="{0DFE69AA-7D26-4766-8F4E-0DCF6AD29106}" name="שיעור חשיפה צפוי לשנת 2026"/>
    <tableColumn id="6" xr3:uid="{C073BEC1-9799-4647-BAC0-BFB837D73698}" name="טווח סטיה מותר" dataDxfId="4"/>
    <tableColumn id="7" xr3:uid="{00A502FA-9B2D-4D02-B9C7-3BC4D37FF4EB}" name="גבולות שיעור החשיפה הצפויה"/>
    <tableColumn id="8" xr3:uid="{9607C36C-A842-407B-9B47-5903495104EF}" name="מדד ייחוס*"/>
  </tableColumns>
  <tableStyleInfo showFirstColumn="1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EAC5B82B-B1C4-4DDC-96AC-30180D9102C9}" name="TitleRegion1.b301.i308.23" displayName="TitleRegion1.b301.i308.23" ref="B301:I308" totalsRowShown="0" tableBorderDxfId="3">
  <autoFilter ref="B301:I308" xr:uid="{EAC5B82B-B1C4-4DDC-96AC-30180D9102C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169773B2-CB06-48E2-B440-EF9E362CA4E5}" name="אפיק השקעה "/>
    <tableColumn id="2" xr3:uid="{ADD1C99A-BA75-42BB-913D-56C2C2B430E9}" name="ריק במקור" dataDxfId="2"/>
    <tableColumn id="3" xr3:uid="{66504550-2C29-421D-BD7A-41A70B51387B}" name="ריק במקור2" dataDxfId="1"/>
    <tableColumn id="4" xr3:uid="{18E6DBFC-D92A-4B9C-9090-06365C282CEC}" name="שיעור החשיפה ליום 31/12/2025"/>
    <tableColumn id="5" xr3:uid="{9FDE2137-14AF-4DA9-83CA-307FCE98E465}" name="שיעור חשיפה צפוי לשנת 2026"/>
    <tableColumn id="6" xr3:uid="{563B7DBB-9837-4BF2-801C-6234797AF291}" name="טווח סטיה מותר" dataDxfId="0"/>
    <tableColumn id="7" xr3:uid="{F56B3127-F656-41AD-93F6-5762341C94EA}" name="גבולות שיעור החשיפה הצפויה"/>
    <tableColumn id="8" xr3:uid="{59EF3D94-09F4-4340-9FED-569AD8B3C13F}" name="מדד ייחוס*"/>
  </tableColumns>
  <tableStyleInfo showFirstColumn="1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37A2D7EC-65DE-4C77-9F9B-B079E21EBD8A}" name="TitleRegion1.i3.n14.2" displayName="TitleRegion1.i3.n14.2" ref="I3:N14" totalsRowShown="0" headerRowDxfId="247" headerRowBorderDxfId="246" tableBorderDxfId="245">
  <autoFilter ref="I3:N14" xr:uid="{37A2D7EC-65DE-4C77-9F9B-B079E21EBD8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4436298D-E7D8-4CF1-8559-B24D6735313A}" name="אפיק השקעה " dataDxfId="244"/>
    <tableColumn id="2" xr3:uid="{55102124-B37A-446A-8795-2E3FDF90576C}" name="שיעור החשיפה ליום 31/12/2025"/>
    <tableColumn id="3" xr3:uid="{F508D0C3-8E21-4A0A-BE80-FDE155EE63F7}" name="שיעור חשיפה צפוי לשנת 2026"/>
    <tableColumn id="4" xr3:uid="{5BF3C85F-9D38-4FB4-BC98-F8484DDCDE30}" name="טווח סטיה מותר" dataDxfId="243"/>
    <tableColumn id="5" xr3:uid="{18CEB93E-4F3E-4F42-8AA0-87E10BA6988F}" name="גבולות שיעור החשיפה הצפויה"/>
    <tableColumn id="6" xr3:uid="{9A2529BE-2F74-453B-B31B-5290B5956597}" name="מדד ייחוס*"/>
  </tableColumns>
  <tableStyleInfo showFirstColumn="1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797D47F5-0F5B-43AD-A42B-60CCB26E3204}" name="TitleRegion1.b3.g14.3" displayName="TitleRegion1.b3.g14.3" ref="B3:G14" totalsRowShown="0" headerRowDxfId="242" headerRowBorderDxfId="241" tableBorderDxfId="240">
  <autoFilter ref="B3:G14" xr:uid="{797D47F5-0F5B-43AD-A42B-60CCB26E320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D57E2955-A010-47EB-BA92-E39E55082599}" name="אפיק השקעה " dataDxfId="239"/>
    <tableColumn id="2" xr3:uid="{AB1F5647-4394-414F-9664-16485DD1B3B5}" name="שיעור החשיפה ליום 31/12/2025"/>
    <tableColumn id="3" xr3:uid="{CB4771AB-65BC-44C0-A9D9-EEC4FE5FC78E}" name="שיעור חשיפה צפוי לשנת 2026"/>
    <tableColumn id="4" xr3:uid="{6238A31E-92FC-44BB-8341-ECC67D375FF7}" name="טווח סטיה מותר" dataDxfId="238"/>
    <tableColumn id="5" xr3:uid="{54ACC9AF-DB2D-416E-8AB8-0704279589F7}" name="גבולות שיעור החשיפה הצפויה"/>
    <tableColumn id="6" xr3:uid="{7B1E9504-0DCA-4861-896C-C9E48550C341}" name="מדד ייחוס*"/>
  </tableColumns>
  <tableStyleInfo showFirstColumn="1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785C2F8-E65C-4AA0-88FF-22958EDEC053}" name="TitleRegion1.b17.g28.4" displayName="TitleRegion1.b17.g28.4" ref="B17:G28" totalsRowShown="0" headerRowDxfId="237" headerRowBorderDxfId="236" tableBorderDxfId="235">
  <autoFilter ref="B17:G28" xr:uid="{0785C2F8-E65C-4AA0-88FF-22958EDEC05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8FE35FBA-34EF-4F7C-A575-09B3191C2E2A}" name="אפיק השקעה " dataDxfId="234"/>
    <tableColumn id="2" xr3:uid="{D6630E06-0F4C-4714-854C-E8C33F7BEBF2}" name="שיעור החשיפה ליום 31/12/2025"/>
    <tableColumn id="3" xr3:uid="{3A5209E3-67ED-4BB6-8308-4DEA42B31DB7}" name="שיעור חשיפה צפוי לשנת 2026"/>
    <tableColumn id="4" xr3:uid="{55575499-6884-4C0A-9CB1-F385F3473B75}" name="טווח סטייה" dataDxfId="233"/>
    <tableColumn id="5" xr3:uid="{F52436DF-BAFF-4DC5-8086-994B298576A7}" name="גבולות שיעור החשיפה הצפויה"/>
    <tableColumn id="6" xr3:uid="{3A8261F3-EB87-43EA-9423-D6E7CCBF2D50}" name="מדד ייחוס*"/>
  </tableColumns>
  <tableStyleInfo showFirstColumn="1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5C12215A-53D1-4341-90F0-BCF55438BA0F}" name="TitleRegion1.i17.n28.5" displayName="TitleRegion1.i17.n28.5" ref="I17:N28" totalsRowShown="0" headerRowDxfId="232" headerRowBorderDxfId="231" tableBorderDxfId="230">
  <autoFilter ref="I17:N28" xr:uid="{5C12215A-53D1-4341-90F0-BCF55438BA0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CF145B1F-808B-4548-A4BB-23F6ADFE11F5}" name="אפיק השקעה " dataDxfId="229"/>
    <tableColumn id="2" xr3:uid="{F02EDC92-0CFE-41B4-8601-2DCBE3CEE333}" name="שיעור החשיפה ליום 31/12/2025"/>
    <tableColumn id="3" xr3:uid="{01C8E963-1B09-4C87-958C-43B8088C9151}" name="שיעור חשיפה צפוי לשנת 2026"/>
    <tableColumn id="4" xr3:uid="{88ADC224-7533-4A01-AA3E-ABAC24054B53}" name="טווח סטייה" dataDxfId="228"/>
    <tableColumn id="5" xr3:uid="{3A70FA9E-0FF2-4F03-A83F-7A7EC088116A}" name="גבולות שיעור החשיפה הצפויה"/>
    <tableColumn id="6" xr3:uid="{40D18A82-F5D3-4576-B72E-851391B9EADB}" name="מדד ייחוס*"/>
  </tableColumns>
  <tableStyleInfo showFirstColumn="1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333AAD48-8E8C-472D-919D-341E4A3AC226}" name="TitleRegion1.i31.n42.8" displayName="TitleRegion1.i31.n42.8" ref="I31:N42" totalsRowShown="0" headerRowDxfId="227" headerRowBorderDxfId="226" tableBorderDxfId="225">
  <autoFilter ref="I31:N42" xr:uid="{333AAD48-8E8C-472D-919D-341E4A3AC22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BEDB2BEB-FEC2-4654-96F1-28457D8E15B4}" name="אפיק השקעה " dataDxfId="224"/>
    <tableColumn id="2" xr3:uid="{A1A1C4F6-438F-48B8-8AB5-46773FFD886B}" name="שיעור החשיפה ליום 31/12/2025"/>
    <tableColumn id="3" xr3:uid="{AA8C0078-D7E7-420E-A599-6A187D1A0498}" name="שיעור חשיפה צפוי לשנת 2026"/>
    <tableColumn id="4" xr3:uid="{A3A105CF-D00A-4B02-8B04-DAD568FA3592}" name="טווח סטייה" dataDxfId="223"/>
    <tableColumn id="5" xr3:uid="{02DD6C3D-9EFD-4166-BB8C-21F03D94A86E}" name="גבולות שיעור החשיפה הצפויה"/>
    <tableColumn id="6" xr3:uid="{F699DF3D-A6E1-4A38-8406-ED35A9131D38}" name="מדד ייחוס*"/>
  </tableColumns>
  <tableStyleInfo showFirstColumn="1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E9319523-B75C-4A52-BAC2-AF1598330A23}" name="TitleRegion1.b31.g42.9" displayName="TitleRegion1.b31.g42.9" ref="B31:G42" totalsRowShown="0" headerRowDxfId="222" headerRowBorderDxfId="221" tableBorderDxfId="220">
  <autoFilter ref="B31:G42" xr:uid="{E9319523-B75C-4A52-BAC2-AF1598330A2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CEF7AF3F-08EC-4F15-A6D5-9BECD39BE3FC}" name="אפיק השקעה " dataDxfId="219"/>
    <tableColumn id="2" xr3:uid="{092F85FC-44FD-4683-BD7B-2D98817297D6}" name="שיעור החשיפה ליום 31/12/2025"/>
    <tableColumn id="3" xr3:uid="{9B7681CA-2675-4918-9C9C-4EAF11F3FC12}" name="שיעור חשיפה צפוי לשנת 2026"/>
    <tableColumn id="4" xr3:uid="{1F27CB74-1A25-447C-AE74-08ECD098D2F5}" name="טווח סטייה" dataDxfId="218"/>
    <tableColumn id="5" xr3:uid="{D591E0D4-4911-46D0-843E-901251C6B5D2}" name="גבולות שיעור החשיפה הצפויה"/>
    <tableColumn id="6" xr3:uid="{9CA68D04-78FC-4EC9-BEE7-4C4FC41DDAE4}" name="מדד ייחוס*"/>
  </tableColumns>
  <tableStyleInfo showFirstColumn="1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F67635D6-F6E1-4C77-8A50-A021262ECFB1}" name="TitleRegion1.b45.g56.10" displayName="TitleRegion1.b45.g56.10" ref="B45:G56" totalsRowShown="0" headerRowDxfId="217" headerRowBorderDxfId="216" tableBorderDxfId="215">
  <autoFilter ref="B45:G56" xr:uid="{F67635D6-F6E1-4C77-8A50-A021262ECFB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4F58C065-9158-4311-B620-D258A3835B87}" name="אפיק השקעה " dataDxfId="214"/>
    <tableColumn id="2" xr3:uid="{B740F54C-F2B9-442B-AC7B-3C619E6E4F0C}" name="שיעור החשיפה ליום 31/12/2025"/>
    <tableColumn id="3" xr3:uid="{CD25A6CF-5027-4568-BCB3-AA2A0035BCB4}" name="שיעור חשיפה צפוי לשנת 2026"/>
    <tableColumn id="4" xr3:uid="{D07EC961-BB68-417A-97DE-2075D88AD05A}" name="טווח סטייה" dataDxfId="213"/>
    <tableColumn id="5" xr3:uid="{EFD940DC-5E37-4886-A01C-8A3FA7451D7F}" name="גבולות שיעור החשיפה הצפויה"/>
    <tableColumn id="6" xr3:uid="{BCEEE806-767E-4723-8085-9E51767645C5}" name="מדד ייחוס*"/>
  </tableColumns>
  <tableStyleInfo showFirstColumn="1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8B5EE86-48F2-4779-B989-D6E42DCB6A4B}" name="TitleRegion1.i45.n56.11" displayName="TitleRegion1.i45.n56.11" ref="I45:N56" totalsRowShown="0" headerRowDxfId="212" headerRowBorderDxfId="211" tableBorderDxfId="210">
  <autoFilter ref="I45:N56" xr:uid="{68B5EE86-48F2-4779-B989-D6E42DCB6A4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79E5F77A-65CE-4C2A-A1D6-55F39CFA5162}" name="אפיק השקעה " dataDxfId="209"/>
    <tableColumn id="2" xr3:uid="{4A03D102-CE02-4B22-9E45-4399CA57B411}" name="שיעור החשיפה ליום 31/12/2025"/>
    <tableColumn id="3" xr3:uid="{959CC312-8B73-4C42-81BA-A9BC92A81D0B}" name="שיעור חשיפה צפוי לשנת 2026"/>
    <tableColumn id="4" xr3:uid="{486548CA-8974-45B7-BFC1-1C7B29374FFC}" name="טווח סטייה" dataDxfId="208"/>
    <tableColumn id="5" xr3:uid="{B23438FF-FB0A-41BE-B932-CD6BB909F398}" name="גבולות שיעור החשיפה הצפויה"/>
    <tableColumn id="6" xr3:uid="{B0677224-D51E-4520-B3C8-6877D13B375D}" name="מדד ייחוס*"/>
  </tableColumns>
  <tableStyleInfo showFirstColumn="1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51798D4D-6446-48A4-B80A-72FBBB319DA4}" name="TitleRegion1.b59.g70.12" displayName="TitleRegion1.b59.g70.12" ref="B59:G70" totalsRowShown="0" headerRowDxfId="207" headerRowBorderDxfId="206" tableBorderDxfId="205">
  <autoFilter ref="B59:G70" xr:uid="{51798D4D-6446-48A4-B80A-72FBBB319DA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3ED622B-1891-49C9-8F5B-91CBD70B3478}" name="אפיק השקעה " dataDxfId="204"/>
    <tableColumn id="2" xr3:uid="{DF3A5A9D-57FE-41F3-AD6C-055723448755}" name="שיעור החשיפה ליום 31/12/2025"/>
    <tableColumn id="3" xr3:uid="{92BE9896-87EC-44FD-9815-C29ED0ADB38D}" name="שיעור חשיפה צפוי לשנת 2026"/>
    <tableColumn id="4" xr3:uid="{EF353188-750B-48E4-BA2D-6F3727B27C39}" name="_x0009_טווח סטייה" dataDxfId="203"/>
    <tableColumn id="5" xr3:uid="{72A78C2F-436A-4233-9A79-E4B6AB079989}" name="גבולות שיעור החשיפה הצפויה"/>
    <tableColumn id="6" xr3:uid="{14134094-E1F4-40BA-8D56-D8190649194D}" name="מדד ייחוס*"/>
  </tableColumns>
  <tableStyleInfo showFirstColumn="1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7F50C90-CC74-4D0B-A5FA-EEA83665074C}" name="TitleRegion1.i59.n70.13" displayName="TitleRegion1.i59.n70.13" ref="I59:N70" totalsRowShown="0" headerRowDxfId="202" headerRowBorderDxfId="201" tableBorderDxfId="200">
  <autoFilter ref="I59:N70" xr:uid="{07F50C90-CC74-4D0B-A5FA-EEA83665074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4E2E8F4A-5369-4427-A2BE-CEF91526A533}" name="אפיק השקעה " dataDxfId="199"/>
    <tableColumn id="2" xr3:uid="{C47CB15F-CF12-40E6-A0B7-D6AA6987CE18}" name="שיעור החשיפה ליום 31/12/2025"/>
    <tableColumn id="3" xr3:uid="{2D9D538A-925B-4F91-800E-083EEC4445B3}" name="שיעור חשיפה צפוי לשנת 2026"/>
    <tableColumn id="4" xr3:uid="{1806669E-B406-42B7-9B5B-8C408FFA10C1}" name="_x0009_טווח סטייה" dataDxfId="198"/>
    <tableColumn id="5" xr3:uid="{62888D3F-7A24-459F-B885-F23A0CFA103A}" name="גבולות שיעור החשיפה הצפויה"/>
    <tableColumn id="6" xr3:uid="{D3B34BBA-98B4-4BDE-9461-54E625C0B6B7}" name="מדד ייחוס*"/>
  </tableColumns>
  <tableStyleInfo showFirstColumn="1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B690FC08-F57B-431D-954D-41DB5FD9C905}" name="TitleRegion1.b73.g84.14" displayName="TitleRegion1.b73.g84.14" ref="B73:G84" totalsRowShown="0" headerRowDxfId="197" headerRowBorderDxfId="196" tableBorderDxfId="195">
  <autoFilter ref="B73:G84" xr:uid="{B690FC08-F57B-431D-954D-41DB5FD9C90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D43899C8-BBA7-4400-BE05-BECA4627FD23}" name="אפיק השקעה " dataDxfId="194"/>
    <tableColumn id="2" xr3:uid="{7478710E-97C6-4292-99CD-6FAEE4005099}" name="שיעור החשיפה ליום 31/12/2025"/>
    <tableColumn id="3" xr3:uid="{EB43309D-3847-45AA-A3A3-88997A388A83}" name="שיעור חשיפה צפוי לשנת 2026"/>
    <tableColumn id="4" xr3:uid="{75524B22-FDB9-42B1-9DAA-74F69A2CBE76}" name="_x0009_טווח סטייה" dataDxfId="193"/>
    <tableColumn id="5" xr3:uid="{96705419-31CF-4364-8961-079167243C8A}" name="גבולות שיעור החשיפה הצפויה"/>
    <tableColumn id="6" xr3:uid="{556E3F12-A290-4AE1-A73C-ED1031B8C64F}" name="מדד ייחוס*"/>
  </tableColumns>
  <tableStyleInfo showFirstColumn="1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B8C7FF0-BDFC-479C-804E-A9235689A256}" name="TitleRegion1.i73.n84.15" displayName="TitleRegion1.i73.n84.15" ref="I73:N84" totalsRowShown="0" headerRowDxfId="192" headerRowBorderDxfId="191" tableBorderDxfId="190">
  <autoFilter ref="I73:N84" xr:uid="{FB8C7FF0-BDFC-479C-804E-A9235689A25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BC0F98E6-7194-49BA-A2D1-39FB6C1E26F6}" name="אפיק השקעה " dataDxfId="189"/>
    <tableColumn id="2" xr3:uid="{773E5CB2-699E-41C7-AF03-36FA5CA28528}" name="שיעור החשיפה ליום 31/12/2025"/>
    <tableColumn id="3" xr3:uid="{F308CEF3-2CDA-4145-8224-81105CD97BFA}" name="שיעור חשיפה צפוי לשנת 2026"/>
    <tableColumn id="4" xr3:uid="{2ED67290-90C7-481E-ABAC-93BE12E3DA3A}" name="_x0009_טווח סטייה" dataDxfId="188"/>
    <tableColumn id="5" xr3:uid="{AEF3F7C5-99A9-48C3-B716-3867C3AB3782}" name="גבולות שיעור החשיפה הצפויה"/>
    <tableColumn id="6" xr3:uid="{5151A70A-9BFA-416C-BB70-41FEE7E7DEB4}" name="מדד ייחוס*"/>
  </tableColumns>
  <tableStyleInfo showFirstColumn="1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B24C706B-D0FA-4445-ADB0-A61D4DB3DA7C}" name="TitleRegion1.b87.g95.16" displayName="TitleRegion1.b87.g95.16" ref="B87:G95" totalsRowShown="0" headerRowDxfId="187" headerRowBorderDxfId="186" tableBorderDxfId="185">
  <autoFilter ref="B87:G95" xr:uid="{B24C706B-D0FA-4445-ADB0-A61D4DB3DA7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2EA3198-FE0F-4032-9F8A-50B94D04122D}" name="אפיק השקעה "/>
    <tableColumn id="2" xr3:uid="{797DEF67-B065-4BE3-8512-FCCB8E0C2C53}" name="שיעור החשיפה ליום 31/12/2025"/>
    <tableColumn id="3" xr3:uid="{CB60CACC-A3AD-4E55-9A17-F19233C6A661}" name="שיעור חשיפה צפוי לשנת 2026"/>
    <tableColumn id="4" xr3:uid="{09FC0FF9-5EC4-40EE-8279-D1FEF85108FB}" name="_x0009_טווח סטייה" dataDxfId="184"/>
    <tableColumn id="5" xr3:uid="{EA3EC94C-274B-40FD-9ACC-AFA3C3443C53}" name="גבולות שיעור החשיפה הצפויה"/>
    <tableColumn id="6" xr3:uid="{349DC297-6968-433B-A381-67A3772A7275}" name="מדד ייחוס*"/>
  </tableColumns>
  <tableStyleInfo showFirstColumn="1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F46ED32B-EA7F-49E0-9218-9BAFC576AB19}" name="TitleRegion1.i87.n95.17" displayName="TitleRegion1.i87.n95.17" ref="I87:N95" totalsRowShown="0" headerRowDxfId="183" headerRowBorderDxfId="182" tableBorderDxfId="181">
  <autoFilter ref="I87:N95" xr:uid="{F46ED32B-EA7F-49E0-9218-9BAFC576AB1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D2BCB31-08AA-4CB0-87C3-60ED0FD1F3E8}" name="אפיק השקעה " dataDxfId="180"/>
    <tableColumn id="2" xr3:uid="{9B29B2AF-1958-4AE8-B7FD-9ABE7A913784}" name="שיעור החשיפה ליום 31/12/2025"/>
    <tableColumn id="3" xr3:uid="{924342D3-9C9E-4396-B2BA-30DA387B1405}" name="שיעור חשיפה צפוי לשנת 2026"/>
    <tableColumn id="4" xr3:uid="{F06FA1E3-1CAA-4560-9016-759569A50BFD}" name="_x0009_טווח סטייה" dataDxfId="179"/>
    <tableColumn id="5" xr3:uid="{B5685443-64DB-4402-9D6C-87890EBF1C51}" name="גבולות שיעור החשיפה הצפויה"/>
    <tableColumn id="6" xr3:uid="{8575E46D-110E-4E94-9DE5-786C32462E27}" name="מדד ייחוס*"/>
  </tableColumns>
  <tableStyleInfo showFirstColumn="1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B947C44-A9F9-4859-A39E-853159E2B6F6}" name="TitleRegion1.b98.g106.18" displayName="TitleRegion1.b98.g106.18" ref="B98:G106" totalsRowShown="0" headerRowDxfId="178" headerRowBorderDxfId="177" tableBorderDxfId="176">
  <autoFilter ref="B98:G106" xr:uid="{EB947C44-A9F9-4859-A39E-853159E2B6F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33C994F-C489-4ACA-BC97-1F8B268532D5}" name="אפיק השקעה "/>
    <tableColumn id="2" xr3:uid="{52262342-DE00-437F-95EC-BB600CE71F61}" name="שיעור החשיפה ליום 31/12/2025"/>
    <tableColumn id="3" xr3:uid="{2D5150E9-8D7F-4E55-8F50-E1B5A3116882}" name="שיעור חשיפה צפוי לשנת 2026"/>
    <tableColumn id="4" xr3:uid="{2B70C961-4333-4BF0-9A2E-20A6185AE553}" name="_x0009_טווח סטייה" dataDxfId="175"/>
    <tableColumn id="5" xr3:uid="{9583539A-6E51-4D4E-B15B-5947CBABC8E0}" name="גבולות שיעור החשיפה הצפויה"/>
    <tableColumn id="6" xr3:uid="{5A632399-6DC4-4725-80F6-D635170C0E18}" name="מדד ייחוס*"/>
  </tableColumns>
  <tableStyleInfo showFirstColumn="1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A734EED0-7E9F-4799-9C70-71A5F830CC35}" name="TitleRegion1.i98.n106.19" displayName="TitleRegion1.i98.n106.19" ref="I98:N106" totalsRowShown="0" headerRowDxfId="174" headerRowBorderDxfId="173" tableBorderDxfId="172">
  <autoFilter ref="I98:N106" xr:uid="{A734EED0-7E9F-4799-9C70-71A5F830CC3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B4B5FDBF-1860-49E2-B908-F24A082C3C01}" name="אפיק השקעה " dataDxfId="171"/>
    <tableColumn id="2" xr3:uid="{96294AA5-71E1-4667-9FB0-41C16E26E530}" name="שיעור החשיפה ליום 31/12/2025"/>
    <tableColumn id="3" xr3:uid="{96828DA5-8ADF-4E0D-9076-5169736C533F}" name="שיעור חשיפה צפוי לשנת 2026"/>
    <tableColumn id="4" xr3:uid="{1677CC24-7513-4D32-AD77-216BA920B4EC}" name="_x0009_טווח סטייה" dataDxfId="170"/>
    <tableColumn id="5" xr3:uid="{67F3E4DE-2ECD-4FEF-96A3-3DC6ED7AAB1E}" name="גבולות שיעור החשיפה הצפויה"/>
    <tableColumn id="6" xr3:uid="{E84B04EB-4C3D-47E5-B4C5-2997B9A6ECF0}" name="מדד ייחוס*"/>
  </tableColumns>
  <tableStyleInfo showFirstColumn="1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CF49BBF6-A680-4E0A-98E9-96B3F763DC82}" name="TitleRegion1.b109.g117.20" displayName="TitleRegion1.b109.g117.20" ref="B109:G117" totalsRowShown="0" headerRowDxfId="169" headerRowBorderDxfId="168" tableBorderDxfId="167">
  <autoFilter ref="B109:G117" xr:uid="{CF49BBF6-A680-4E0A-98E9-96B3F763DC8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14E641F-8EC8-4482-A9AB-3FF18E4988DA}" name="אפיק השקעה "/>
    <tableColumn id="2" xr3:uid="{EE5F13A7-9E59-44CB-9E9C-F58E2E4401E0}" name="שיעור החשיפה ליום 31/12/2025"/>
    <tableColumn id="3" xr3:uid="{0802E1A6-2E71-4277-A502-C6DE0C4B7B35}" name="שיעור חשיפה צפוי לשנת 2026"/>
    <tableColumn id="4" xr3:uid="{A4835171-0D72-415C-85AC-9E23F80ABBA6}" name="_x0009_טווח סטייה" dataDxfId="166"/>
    <tableColumn id="5" xr3:uid="{9FFA8083-E96B-4261-A6CF-2D0852CBA448}" name="גבולות שיעור החשיפה הצפויה"/>
    <tableColumn id="6" xr3:uid="{D1BEADE2-000F-48B7-AA15-7DCEA988A0BA}" name="מדד ייחוס*"/>
  </tableColumns>
  <tableStyleInfo showFirstColumn="1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2F0DEC76-1A19-4AC6-8F2B-4A2848E56E39}" name="TitleRegion1.i109.n117.21" displayName="TitleRegion1.i109.n117.21" ref="I109:N117" totalsRowShown="0" headerRowDxfId="165" headerRowBorderDxfId="164" tableBorderDxfId="163">
  <autoFilter ref="I109:N117" xr:uid="{2F0DEC76-1A19-4AC6-8F2B-4A2848E56E3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92ED827-B90E-49A2-827D-F5D390F4E509}" name="אפיק השקעה " dataDxfId="162"/>
    <tableColumn id="2" xr3:uid="{FAE5625E-32ED-4021-B88A-0A20638D0EDC}" name="שיעור החשיפה ליום 31/12/2025"/>
    <tableColumn id="3" xr3:uid="{7CC7BE12-B548-4B20-A03F-A0B2BCE82540}" name="שיעור חשיפה צפוי לשנת 2026"/>
    <tableColumn id="4" xr3:uid="{F2271A51-0E07-47AB-A41A-4CEF2FB677D4}" name="_x0009_טווח סטייה" dataDxfId="161"/>
    <tableColumn id="5" xr3:uid="{588126BF-3D3B-4978-A489-CC400785B892}" name="גבולות שיעור החשיפה הצפויה"/>
    <tableColumn id="6" xr3:uid="{043C1902-09A5-4CAD-B8E1-12337B84133A}" name="מדד ייחוס*"/>
  </tableColumns>
  <tableStyleInfo showFirstColumn="1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7597888D-2287-4E9A-AFF0-EAD6F2D32A49}" name="TitleRegion1.b120.g128.22" displayName="TitleRegion1.b120.g128.22" ref="B120:G128" totalsRowShown="0" headerRowDxfId="160" headerRowBorderDxfId="159" tableBorderDxfId="158">
  <autoFilter ref="B120:G128" xr:uid="{7597888D-2287-4E9A-AFF0-EAD6F2D32A4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40356D18-DEE2-4070-A086-40AB184140CE}" name="אפיק השקעה "/>
    <tableColumn id="2" xr3:uid="{0C30E1DA-C49E-4052-935E-B222AB72453F}" name="שיעור החשיפה ליום 31/12/2025"/>
    <tableColumn id="3" xr3:uid="{5CF1728C-A23A-4943-8590-5E5ACD6E78EF}" name="שיעור חשיפה צפוי לשנת 2026"/>
    <tableColumn id="4" xr3:uid="{349066A9-5674-4BEB-AC07-F3879D0DB489}" name="_x0009_טווח סטייה" dataDxfId="157"/>
    <tableColumn id="5" xr3:uid="{2FD05C6A-B116-4F46-881F-A414D56D85F9}" name="גבולות שיעור החשיפה הצפויה"/>
    <tableColumn id="6" xr3:uid="{7E7D4DA5-BB0B-4F30-8ED3-F301C70C3D9B}" name="מדד ייחוס*" dataDxfId="156"/>
  </tableColumns>
  <tableStyleInfo showFirstColumn="1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72D3094B-D4B7-43C9-B548-4067E87EC012}" name="TitleRegion1.i120.n128.23" displayName="TitleRegion1.i120.n128.23" ref="I120:N128" totalsRowShown="0" headerRowDxfId="155" headerRowBorderDxfId="154" tableBorderDxfId="153">
  <autoFilter ref="I120:N128" xr:uid="{72D3094B-D4B7-43C9-B548-4067E87EC01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9B64E042-F078-401B-8B5D-61F97A75410F}" name="אפיק השקעה " dataDxfId="152"/>
    <tableColumn id="2" xr3:uid="{55C2E2F9-3FBE-4AF7-8854-804DFF89E73D}" name="שיעור החשיפה ליום 31/12/2025"/>
    <tableColumn id="3" xr3:uid="{2B864F5D-826F-445E-B1BC-89355FA1DA25}" name="שיעור חשיפה צפוי לשנת 2026"/>
    <tableColumn id="4" xr3:uid="{127FA7D5-70D7-45DF-88BB-C68074D3214A}" name="_x0009_טווח סטייה" dataDxfId="151"/>
    <tableColumn id="5" xr3:uid="{B0B15CAD-5A03-4D2D-B616-EB6D13E9A79E}" name="גבולות שיעור החשיפה הצפויה"/>
    <tableColumn id="6" xr3:uid="{979EF9C9-4F99-490F-B8DC-B30EE7A81C87}" name="מדד ייחוס*" dataDxfId="150"/>
  </tableColumns>
  <tableStyleInfo showFirstColumn="1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E5306EDE-65FC-4F5B-9395-BD4C3D0C7CCD}" name="TitleRegion1.b131.g139.24" displayName="TitleRegion1.b131.g139.24" ref="B131:G139" totalsRowShown="0" headerRowDxfId="149" headerRowBorderDxfId="148" tableBorderDxfId="147">
  <autoFilter ref="B131:G139" xr:uid="{E5306EDE-65FC-4F5B-9395-BD4C3D0C7CC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7EB7517-A8CB-47E6-887E-0F16E011E9A2}" name="אפיק השקעה "/>
    <tableColumn id="2" xr3:uid="{3966DD5B-C50A-42E3-B581-35D831EB58FC}" name="שיעור החשיפה ליום 31/12/2025"/>
    <tableColumn id="3" xr3:uid="{6604A7B1-D2B3-4B3D-8A13-AC79904DC8D8}" name="שיעור חשיפה צפוי לשנת 2026"/>
    <tableColumn id="4" xr3:uid="{049A55BD-422E-4F8B-B80E-F24ADB6FD944}" name="_x0009_טווח סטייה" dataDxfId="146"/>
    <tableColumn id="5" xr3:uid="{588C6583-C34B-4B3E-A8D6-85A8B993C818}" name="גבולות שיעור החשיפה הצפויה"/>
    <tableColumn id="6" xr3:uid="{E856CA9D-BD6F-4B76-9300-C933B44C2E61}" name="מדד ייחוס*"/>
  </tableColumns>
  <tableStyleInfo showFirstColumn="1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4C3A2F2C-5DDD-4E95-BC15-ACA2E009C641}" name="TitleRegion1.i131.n139.25" displayName="TitleRegion1.i131.n139.25" ref="I131:N139" totalsRowShown="0" headerRowDxfId="145" headerRowBorderDxfId="144" tableBorderDxfId="143">
  <autoFilter ref="I131:N139" xr:uid="{4C3A2F2C-5DDD-4E95-BC15-ACA2E009C64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EBBEA553-186D-42FB-B39C-46344C343DFF}" name="אפיק השקעה " dataDxfId="142"/>
    <tableColumn id="2" xr3:uid="{68B516AD-6944-4F81-B776-E7AE4FF2E862}" name="שיעור החשיפה ליום 31/12/2025"/>
    <tableColumn id="3" xr3:uid="{6EB6056A-A2E7-43F0-AC36-1C14F90B2466}" name="שיעור חשיפה צפוי לשנת 2026"/>
    <tableColumn id="4" xr3:uid="{77C7A874-EAED-4F39-A003-0E8285047066}" name="_x0009_טווח סטייה" dataDxfId="141"/>
    <tableColumn id="5" xr3:uid="{A6E9EA71-5BCE-424C-9274-9726F5F75580}" name="גבולות שיעור החשיפה הצפויה"/>
    <tableColumn id="6" xr3:uid="{18D4D594-5F13-43E5-978B-B495DFA1F75E}" name="מדד ייחוס*"/>
  </tableColumns>
  <tableStyleInfo showFirstColumn="1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5F83DC1D-717A-4D36-A7D1-B6146D08E83A}" name="TitleRegion1.b142.g150.26" displayName="TitleRegion1.b142.g150.26" ref="B142:G150" totalsRowShown="0" headerRowDxfId="140" headerRowBorderDxfId="139" tableBorderDxfId="138">
  <autoFilter ref="B142:G150" xr:uid="{5F83DC1D-717A-4D36-A7D1-B6146D08E83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966393E-0BFF-46C7-9A3F-CE04046B2434}" name="אפיק השקעה "/>
    <tableColumn id="2" xr3:uid="{54916B2D-7153-4758-A509-2FD74C384DB8}" name="שיעור החשיפה ליום 31/12/2025"/>
    <tableColumn id="3" xr3:uid="{E5C66728-98C6-4DE5-806F-4B79A9980D53}" name="שיעור חשיפה צפוי לשנת 2026"/>
    <tableColumn id="4" xr3:uid="{C773EB3A-14CF-49AF-93F5-2EA19F52EBAC}" name="_x0009_טווח סטייה" dataDxfId="137"/>
    <tableColumn id="5" xr3:uid="{E7466024-5FCD-4793-B836-9AEBE3DBE7C8}" name="גבולות שיעור החשיפה הצפויה"/>
    <tableColumn id="6" xr3:uid="{C1248E80-D38C-4821-858B-6FE747A1DEA6}" name="מדד ייחוס*"/>
  </tableColumns>
  <tableStyleInfo showFirstColumn="1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CED95B1C-DEBE-4790-BC04-1FFA7499E163}" name="TitleRegion1.i142.n150.27" displayName="TitleRegion1.i142.n150.27" ref="I142:N150" totalsRowShown="0" headerRowDxfId="136" headerRowBorderDxfId="135" tableBorderDxfId="134">
  <autoFilter ref="I142:N150" xr:uid="{CED95B1C-DEBE-4790-BC04-1FFA7499E16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4B8240F6-C48D-4BE3-85C9-0802DB1F17FD}" name="אפיק השקעה "/>
    <tableColumn id="2" xr3:uid="{54B8B6F2-567B-4D21-B2D8-2AD58091136B}" name="שיעור החשיפה ליום 31/12/2025"/>
    <tableColumn id="3" xr3:uid="{2E2A05EC-5969-4057-B96C-B4BB89E8C04E}" name="שיעור חשיפה צפוי לשנת 2026"/>
    <tableColumn id="4" xr3:uid="{9C884BB6-E68D-44D7-9DAE-70E8FB77B5A3}" name="_x0009_טווח סטייה"/>
    <tableColumn id="5" xr3:uid="{7FAF5AD3-6836-4740-91BB-06B2F6DAC5B8}" name="גבולות שיעור החשיפה הצפויה"/>
    <tableColumn id="6" xr3:uid="{53D594AE-FE15-458B-9156-7B510C61836C}" name="מדד ייחוס*"/>
  </tableColumns>
  <tableStyleInfo showFirstColumn="1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42FACA88-69D3-42D0-BD40-EB5865AB287F}" name="TitleRegion1.b153.g161.28" displayName="TitleRegion1.b153.g161.28" ref="B153:G161" totalsRowShown="0" headerRowDxfId="133" headerRowBorderDxfId="132" tableBorderDxfId="131">
  <autoFilter ref="B153:G161" xr:uid="{42FACA88-69D3-42D0-BD40-EB5865AB287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C520355A-4764-4F39-9887-4F3056D2E676}" name="אפיק השקעה "/>
    <tableColumn id="2" xr3:uid="{96E316B5-248B-4E84-937C-43CBDA5F564D}" name="שיעור החשיפה ליום 31/12/2025"/>
    <tableColumn id="3" xr3:uid="{7C37CA28-98E1-478E-95C6-66292FC16486}" name="שיעור חשיפה צפוי לשנת 2026"/>
    <tableColumn id="4" xr3:uid="{FF8AB822-AC36-48AC-A920-1836BCB499D3}" name="_x0009_טווח סטייה" dataDxfId="130"/>
    <tableColumn id="5" xr3:uid="{0B13B995-7AA1-49FA-B662-093F3C1538D1}" name="גבולות שיעור החשיפה הצפויה"/>
    <tableColumn id="6" xr3:uid="{C5128CA5-1546-4B55-A4CB-10F04EB0E057}" name="מדד ייחוס*"/>
  </tableColumns>
  <tableStyleInfo showFirstColumn="1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8E7CC529-F71B-40D9-9264-773719511BC5}" name="TitleRegion1.i153.n161.29" displayName="TitleRegion1.i153.n161.29" ref="I153:N161" totalsRowShown="0" headerRowDxfId="129" headerRowBorderDxfId="128" tableBorderDxfId="127">
  <autoFilter ref="I153:N161" xr:uid="{8E7CC529-F71B-40D9-9264-773719511BC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E3CAF07-DF61-422F-B1F5-7CA8652526C7}" name="אפיק השקעה " dataDxfId="126"/>
    <tableColumn id="2" xr3:uid="{93BF40B8-FD40-46CD-B8DB-BAC7E8273E74}" name="שיעור החשיפה ליום 31/12/2025"/>
    <tableColumn id="3" xr3:uid="{779BAD77-5C89-4998-85DC-02C107B36601}" name="שיעור חשיפה צפוי לשנת 2026"/>
    <tableColumn id="4" xr3:uid="{8E2C40F4-A9DE-41CE-82D7-4BB6B7CB771D}" name="_x0009_טווח סטייה" dataDxfId="125"/>
    <tableColumn id="5" xr3:uid="{2A8D0390-FA98-4D03-B49A-D79DF91431D6}" name="גבולות שיעור החשיפה הצפויה"/>
    <tableColumn id="6" xr3:uid="{8B4026BA-995B-4F8A-AC53-C4CFEFE39A5E}" name="מדד ייחוס*"/>
  </tableColumns>
  <tableStyleInfo showFirstColumn="1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D7DA7E1-97AE-4E20-BC90-8BCF9A0854E3}" name="TitleRegion1.b164.g175.30" displayName="TitleRegion1.b164.g175.30" ref="B164:G175" totalsRowShown="0" headerRowDxfId="124" headerRowBorderDxfId="123" tableBorderDxfId="122" totalsRowBorderDxfId="121">
  <autoFilter ref="B164:G175" xr:uid="{0D7DA7E1-97AE-4E20-BC90-8BCF9A0854E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E4C90079-29CF-4E6B-BFA9-3A7D0EDD80F6}" name="אפיק השקעה " dataDxfId="120"/>
    <tableColumn id="2" xr3:uid="{7D2BC177-1B2F-45DE-85CE-3F629FB2A021}" name="שיעור החשיפה ליום 31/12/2025" dataDxfId="119"/>
    <tableColumn id="3" xr3:uid="{A356CA4D-3CB9-4420-9E0E-8C43171F4624}" name="שיעור חשיפה צפוי לשנת 2026" dataDxfId="118"/>
    <tableColumn id="4" xr3:uid="{F3BC0CF7-F145-44A7-88B6-8C3244D74383}" name="טווח סטיה מותר" dataDxfId="117"/>
    <tableColumn id="5" xr3:uid="{FCCF6E8B-3090-426B-A6A8-2A172ED91C0B}" name="גבולות שיעור החשיפה הצפויה"/>
    <tableColumn id="6" xr3:uid="{1FB75756-40A7-472C-8CFD-957E93B0E467}" name="מדד ייחוס*"/>
  </tableColumns>
  <tableStyleInfo showFirstColumn="1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E7A82A9E-C51D-4223-9694-764769CAAE60}" name="TitleRegion1.i164.n175.31" displayName="TitleRegion1.i164.n175.31" ref="I164:N175" totalsRowShown="0" headerRowDxfId="116" headerRowBorderDxfId="115" tableBorderDxfId="114" totalsRowBorderDxfId="113">
  <autoFilter ref="I164:N175" xr:uid="{E7A82A9E-C51D-4223-9694-764769CAAE6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6FDB9A3-FA99-44EF-9BBB-98403AEB35E5}" name="אפיק השקעה " dataDxfId="112"/>
    <tableColumn id="2" xr3:uid="{081F6587-10D9-4683-BC74-5330056FBBE5}" name="שיעור החשיפה ליום 31/12/2025" dataDxfId="111"/>
    <tableColumn id="3" xr3:uid="{40EAB42B-0F9C-458C-9016-465137E6A80C}" name="שיעור חשיפה צפוי לשנת 2026" dataDxfId="110"/>
    <tableColumn id="4" xr3:uid="{EABE775D-8428-48FD-AC78-7F71B158AFBA}" name="טווח סטיה מותר" dataDxfId="109"/>
    <tableColumn id="5" xr3:uid="{73F9A8D8-4E88-41DB-BDFD-9529EDCA24A2}" name="גבולות שיעור החשיפה הצפויה"/>
    <tableColumn id="6" xr3:uid="{871B4564-60B6-45C4-9E2C-9C3746EE529F}" name="מדד ייחוס*"/>
  </tableColumns>
  <tableStyleInfo showFirstColumn="1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3AB76A0-EE9F-432A-A903-4515A19F0542}" name="TitleRegion1.b178.g186.32" displayName="TitleRegion1.b178.g186.32" ref="B178:G186" totalsRowShown="0" headerRowDxfId="108" headerRowBorderDxfId="107" tableBorderDxfId="106">
  <autoFilter ref="B178:G186" xr:uid="{C3AB76A0-EE9F-432A-A903-4515A19F054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BC7E7574-A8A4-492D-9BDB-02BF36D097FB}" name="אפיק השקעה "/>
    <tableColumn id="2" xr3:uid="{52995E3C-B3BC-40A8-A639-20A468DC1FFD}" name="שיעור החשיפה ליום 31/12/2025"/>
    <tableColumn id="3" xr3:uid="{A0E6156E-4223-4F8F-AA64-518E174E6CD0}" name="שיעור חשיפה צפוי לשנת 2026"/>
    <tableColumn id="4" xr3:uid="{F99FCE07-2916-47B4-BD79-F7B90561036A}" name="טווח סטיה מותר" dataDxfId="105"/>
    <tableColumn id="5" xr3:uid="{B5735933-9DAF-440F-972E-62B540B2ABB5}" name="גבולות שיעור החשיפה הצפויה"/>
    <tableColumn id="6" xr3:uid="{29742030-FEA0-4B67-9361-CF1A5813E40F}" name="מדד ייחוס*"/>
  </tableColumns>
  <tableStyleInfo showFirstColumn="1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55DC5646-BE18-48A9-8D33-2D3E66F2AD6F}" name="TitleRegion1.i178.n186.33" displayName="TitleRegion1.i178.n186.33" ref="I178:N186" totalsRowShown="0" headerRowDxfId="104" headerRowBorderDxfId="103" tableBorderDxfId="102">
  <autoFilter ref="I178:N186" xr:uid="{55DC5646-BE18-48A9-8D33-2D3E66F2AD6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87CCAC02-4345-4477-950C-BBB75ED0ECF7}" name="אפיק השקעה " dataDxfId="101"/>
    <tableColumn id="2" xr3:uid="{BEBDD4B4-7509-42D7-B7E9-605822279EED}" name="שיעור החשיפה ליום 31/12/2025" dataDxfId="100"/>
    <tableColumn id="3" xr3:uid="{03892934-C5FC-4346-AECF-43F463E214E8}" name="שיעור חשיפה צפוי לשנת 2026"/>
    <tableColumn id="4" xr3:uid="{451D442E-095C-4DD5-9EC8-063541A92B67}" name="טווח סטיה מותר" dataDxfId="99"/>
    <tableColumn id="5" xr3:uid="{EF7B2BF9-4ABC-4819-A388-99C249758FA9}" name="גבולות שיעור החשיפה הצפויה"/>
    <tableColumn id="6" xr3:uid="{25E41DE3-1246-43F1-9E2D-DD2CC60E8A89}" name="מדד ייחוס*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13" Type="http://schemas.openxmlformats.org/officeDocument/2006/relationships/table" Target="../tables/table11.xml"/><Relationship Id="rId18" Type="http://schemas.openxmlformats.org/officeDocument/2006/relationships/table" Target="../tables/table16.xml"/><Relationship Id="rId3" Type="http://schemas.openxmlformats.org/officeDocument/2006/relationships/table" Target="../tables/table1.xml"/><Relationship Id="rId21" Type="http://schemas.openxmlformats.org/officeDocument/2006/relationships/table" Target="../tables/table19.xml"/><Relationship Id="rId7" Type="http://schemas.openxmlformats.org/officeDocument/2006/relationships/table" Target="../tables/table5.xml"/><Relationship Id="rId12" Type="http://schemas.openxmlformats.org/officeDocument/2006/relationships/table" Target="../tables/table10.xml"/><Relationship Id="rId17" Type="http://schemas.openxmlformats.org/officeDocument/2006/relationships/table" Target="../tables/table15.xml"/><Relationship Id="rId25" Type="http://schemas.openxmlformats.org/officeDocument/2006/relationships/table" Target="../tables/table23.xml"/><Relationship Id="rId2" Type="http://schemas.openxmlformats.org/officeDocument/2006/relationships/drawing" Target="../drawings/drawing1.xml"/><Relationship Id="rId16" Type="http://schemas.openxmlformats.org/officeDocument/2006/relationships/table" Target="../tables/table14.xml"/><Relationship Id="rId20" Type="http://schemas.openxmlformats.org/officeDocument/2006/relationships/table" Target="../tables/table18.xml"/><Relationship Id="rId1" Type="http://schemas.openxmlformats.org/officeDocument/2006/relationships/hyperlink" Target="https://www.moreinvest.co.il/media/5jfhbei0/res_%D7%9E%D7%93%D7%99%D7%A0%D7%99%D7%95%D7%AA-%D7%94%D7%A9%D7%AA%D7%AA%D7%A4%D7%95%D7%AA-%D7%91%D7%90%D7%A1%D7%99%D7%A4%D7%95%D7%AA-%D7%9B%D7%9C%D7%9C%D7%99%D7%95%D7%AA-15-8-2023-1.pdf" TargetMode="External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24" Type="http://schemas.openxmlformats.org/officeDocument/2006/relationships/table" Target="../tables/table22.xml"/><Relationship Id="rId5" Type="http://schemas.openxmlformats.org/officeDocument/2006/relationships/table" Target="../tables/table3.xml"/><Relationship Id="rId15" Type="http://schemas.openxmlformats.org/officeDocument/2006/relationships/table" Target="../tables/table13.xml"/><Relationship Id="rId23" Type="http://schemas.openxmlformats.org/officeDocument/2006/relationships/table" Target="../tables/table21.xml"/><Relationship Id="rId10" Type="http://schemas.openxmlformats.org/officeDocument/2006/relationships/table" Target="../tables/table8.xml"/><Relationship Id="rId19" Type="http://schemas.openxmlformats.org/officeDocument/2006/relationships/table" Target="../tables/table17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Relationship Id="rId14" Type="http://schemas.openxmlformats.org/officeDocument/2006/relationships/table" Target="../tables/table12.xml"/><Relationship Id="rId22" Type="http://schemas.openxmlformats.org/officeDocument/2006/relationships/table" Target="../tables/table20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32.xml"/><Relationship Id="rId18" Type="http://schemas.openxmlformats.org/officeDocument/2006/relationships/table" Target="../tables/table37.xml"/><Relationship Id="rId26" Type="http://schemas.openxmlformats.org/officeDocument/2006/relationships/table" Target="../tables/table45.xml"/><Relationship Id="rId3" Type="http://schemas.openxmlformats.org/officeDocument/2006/relationships/printerSettings" Target="../printerSettings/printerSettings1.bin"/><Relationship Id="rId21" Type="http://schemas.openxmlformats.org/officeDocument/2006/relationships/table" Target="../tables/table40.xml"/><Relationship Id="rId34" Type="http://schemas.openxmlformats.org/officeDocument/2006/relationships/table" Target="../tables/table53.xml"/><Relationship Id="rId7" Type="http://schemas.openxmlformats.org/officeDocument/2006/relationships/table" Target="../tables/table26.xml"/><Relationship Id="rId12" Type="http://schemas.openxmlformats.org/officeDocument/2006/relationships/table" Target="../tables/table31.xml"/><Relationship Id="rId17" Type="http://schemas.openxmlformats.org/officeDocument/2006/relationships/table" Target="../tables/table36.xml"/><Relationship Id="rId25" Type="http://schemas.openxmlformats.org/officeDocument/2006/relationships/table" Target="../tables/table44.xml"/><Relationship Id="rId33" Type="http://schemas.openxmlformats.org/officeDocument/2006/relationships/table" Target="../tables/table52.xml"/><Relationship Id="rId2" Type="http://schemas.openxmlformats.org/officeDocument/2006/relationships/hyperlink" Target="https://www.moreinvest.co.il/media/5jfhbei0/res_%D7%9E%D7%93%D7%99%D7%A0%D7%99%D7%95%D7%AA-%D7%94%D7%A9%D7%AA%D7%AA%D7%A4%D7%95%D7%AA-%D7%91%D7%90%D7%A1%D7%99%D7%A4%D7%95%D7%AA-%D7%9B%D7%9C%D7%9C%D7%99%D7%95%D7%AA-15-8-2023-1.pdf" TargetMode="External"/><Relationship Id="rId16" Type="http://schemas.openxmlformats.org/officeDocument/2006/relationships/table" Target="../tables/table35.xml"/><Relationship Id="rId20" Type="http://schemas.openxmlformats.org/officeDocument/2006/relationships/table" Target="../tables/table39.xml"/><Relationship Id="rId29" Type="http://schemas.openxmlformats.org/officeDocument/2006/relationships/table" Target="../tables/table48.xml"/><Relationship Id="rId1" Type="http://schemas.openxmlformats.org/officeDocument/2006/relationships/hyperlink" Target="https://www.moreinvest.co.il/media/5jfhbei0/res_%D7%9E%D7%93%D7%99%D7%A0%D7%99%D7%95%D7%AA-%D7%94%D7%A9%D7%AA%D7%AA%D7%A4%D7%95%D7%AA-%D7%91%D7%90%D7%A1%D7%99%D7%A4%D7%95%D7%AA-%D7%9B%D7%9C%D7%9C%D7%99%D7%95%D7%AA-15-8-2023-1.pdf" TargetMode="External"/><Relationship Id="rId6" Type="http://schemas.openxmlformats.org/officeDocument/2006/relationships/table" Target="../tables/table25.xml"/><Relationship Id="rId11" Type="http://schemas.openxmlformats.org/officeDocument/2006/relationships/table" Target="../tables/table30.xml"/><Relationship Id="rId24" Type="http://schemas.openxmlformats.org/officeDocument/2006/relationships/table" Target="../tables/table43.xml"/><Relationship Id="rId32" Type="http://schemas.openxmlformats.org/officeDocument/2006/relationships/table" Target="../tables/table51.xml"/><Relationship Id="rId5" Type="http://schemas.openxmlformats.org/officeDocument/2006/relationships/table" Target="../tables/table24.xml"/><Relationship Id="rId15" Type="http://schemas.openxmlformats.org/officeDocument/2006/relationships/table" Target="../tables/table34.xml"/><Relationship Id="rId23" Type="http://schemas.openxmlformats.org/officeDocument/2006/relationships/table" Target="../tables/table42.xml"/><Relationship Id="rId28" Type="http://schemas.openxmlformats.org/officeDocument/2006/relationships/table" Target="../tables/table47.xml"/><Relationship Id="rId10" Type="http://schemas.openxmlformats.org/officeDocument/2006/relationships/table" Target="../tables/table29.xml"/><Relationship Id="rId19" Type="http://schemas.openxmlformats.org/officeDocument/2006/relationships/table" Target="../tables/table38.xml"/><Relationship Id="rId31" Type="http://schemas.openxmlformats.org/officeDocument/2006/relationships/table" Target="../tables/table50.xml"/><Relationship Id="rId4" Type="http://schemas.openxmlformats.org/officeDocument/2006/relationships/drawing" Target="../drawings/drawing2.xml"/><Relationship Id="rId9" Type="http://schemas.openxmlformats.org/officeDocument/2006/relationships/table" Target="../tables/table28.xml"/><Relationship Id="rId14" Type="http://schemas.openxmlformats.org/officeDocument/2006/relationships/table" Target="../tables/table33.xml"/><Relationship Id="rId22" Type="http://schemas.openxmlformats.org/officeDocument/2006/relationships/table" Target="../tables/table41.xml"/><Relationship Id="rId27" Type="http://schemas.openxmlformats.org/officeDocument/2006/relationships/table" Target="../tables/table46.xml"/><Relationship Id="rId30" Type="http://schemas.openxmlformats.org/officeDocument/2006/relationships/table" Target="../tables/table49.xml"/><Relationship Id="rId8" Type="http://schemas.openxmlformats.org/officeDocument/2006/relationships/table" Target="../tables/table2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6ACDA-7915-4348-97BF-B3221B9E8115}">
  <sheetPr>
    <tabColor rgb="FF305598"/>
  </sheetPr>
  <dimension ref="A1:AZ10000"/>
  <sheetViews>
    <sheetView rightToLeft="1" tabSelected="1" topLeftCell="A83" zoomScale="70" zoomScaleNormal="70" workbookViewId="0">
      <selection activeCell="B102" sqref="B102"/>
    </sheetView>
  </sheetViews>
  <sheetFormatPr defaultColWidth="9" defaultRowHeight="14.25" x14ac:dyDescent="0.2"/>
  <cols>
    <col min="1" max="1" width="17.625" style="98" customWidth="1"/>
    <col min="2" max="2" width="32.625" style="100" customWidth="1"/>
    <col min="3" max="3" width="37.625" style="100" customWidth="1"/>
    <col min="4" max="4" width="38.625" style="100" customWidth="1"/>
    <col min="5" max="5" width="37.125" style="98" customWidth="1"/>
    <col min="6" max="6" width="28.125" style="98" customWidth="1"/>
    <col min="7" max="7" width="16.625" style="101" customWidth="1"/>
    <col min="8" max="8" width="29" style="98" customWidth="1"/>
    <col min="9" max="9" width="24.125" style="102" customWidth="1"/>
    <col min="10" max="16384" width="9" style="98"/>
  </cols>
  <sheetData>
    <row r="1" spans="1:9" ht="62.85" customHeight="1" x14ac:dyDescent="0.3">
      <c r="A1" s="239" t="s">
        <v>231</v>
      </c>
      <c r="B1" s="239"/>
      <c r="C1" s="239"/>
      <c r="D1" s="239"/>
      <c r="E1" s="239"/>
      <c r="F1" s="239"/>
      <c r="G1" s="93"/>
      <c r="H1" s="16"/>
      <c r="I1" s="173"/>
    </row>
    <row r="2" spans="1:9" ht="23.25" x14ac:dyDescent="0.25">
      <c r="A2" s="24" t="s">
        <v>37</v>
      </c>
      <c r="B2" s="34" t="s">
        <v>33</v>
      </c>
      <c r="C2" s="38"/>
      <c r="D2" s="38"/>
      <c r="E2" s="35"/>
      <c r="F2" s="36"/>
      <c r="G2" s="94"/>
      <c r="H2" s="35"/>
      <c r="I2" s="41"/>
    </row>
    <row r="3" spans="1:9" ht="15.75" x14ac:dyDescent="0.2">
      <c r="A3" s="25"/>
      <c r="B3" s="13" t="s">
        <v>0</v>
      </c>
      <c r="C3" s="111" t="s">
        <v>189</v>
      </c>
      <c r="D3" s="111" t="s">
        <v>190</v>
      </c>
      <c r="E3" s="15" t="s">
        <v>225</v>
      </c>
      <c r="F3" s="15" t="s">
        <v>200</v>
      </c>
      <c r="G3" s="14" t="s">
        <v>30</v>
      </c>
      <c r="H3" s="14" t="s">
        <v>20</v>
      </c>
      <c r="I3" s="14" t="s">
        <v>35</v>
      </c>
    </row>
    <row r="4" spans="1:9" ht="57" x14ac:dyDescent="0.2">
      <c r="A4" s="27"/>
      <c r="B4" s="108" t="s">
        <v>140</v>
      </c>
      <c r="C4" s="112" t="s">
        <v>189</v>
      </c>
      <c r="D4" s="112" t="s">
        <v>189</v>
      </c>
      <c r="E4" s="3">
        <v>0.50090000000000001</v>
      </c>
      <c r="F4" s="5">
        <v>0.47</v>
      </c>
      <c r="G4" s="185" t="s">
        <v>4</v>
      </c>
      <c r="H4" s="7" t="s">
        <v>204</v>
      </c>
      <c r="I4" s="186" t="s">
        <v>223</v>
      </c>
    </row>
    <row r="5" spans="1:9" x14ac:dyDescent="0.2">
      <c r="A5" s="26"/>
      <c r="B5" s="108" t="s">
        <v>2</v>
      </c>
      <c r="C5" s="113" t="s">
        <v>189</v>
      </c>
      <c r="D5" s="113" t="s">
        <v>189</v>
      </c>
      <c r="E5" s="3">
        <v>0.2044</v>
      </c>
      <c r="F5" s="3">
        <v>0.22</v>
      </c>
      <c r="G5" s="187" t="s">
        <v>3</v>
      </c>
      <c r="H5" s="4" t="s">
        <v>205</v>
      </c>
      <c r="I5" s="107" t="s">
        <v>14</v>
      </c>
    </row>
    <row r="6" spans="1:9" x14ac:dyDescent="0.2">
      <c r="A6" s="27"/>
      <c r="B6" s="109" t="s">
        <v>139</v>
      </c>
      <c r="C6" s="112" t="s">
        <v>189</v>
      </c>
      <c r="D6" s="112" t="s">
        <v>189</v>
      </c>
      <c r="E6" s="3">
        <v>0.20710000000000001</v>
      </c>
      <c r="F6" s="3">
        <v>0.22</v>
      </c>
      <c r="G6" s="187" t="s">
        <v>4</v>
      </c>
      <c r="H6" s="4" t="s">
        <v>53</v>
      </c>
      <c r="I6" s="107" t="s">
        <v>15</v>
      </c>
    </row>
    <row r="7" spans="1:9" ht="28.5" x14ac:dyDescent="0.2">
      <c r="A7" s="27"/>
      <c r="B7" s="108" t="s">
        <v>9</v>
      </c>
      <c r="C7" s="113" t="s">
        <v>189</v>
      </c>
      <c r="D7" s="113" t="s">
        <v>189</v>
      </c>
      <c r="E7" s="3">
        <v>9.9900000000000003E-2</v>
      </c>
      <c r="F7" s="3">
        <v>0.1</v>
      </c>
      <c r="G7" s="188" t="s">
        <v>3</v>
      </c>
      <c r="H7" s="4" t="s">
        <v>49</v>
      </c>
      <c r="I7" s="107" t="s">
        <v>16</v>
      </c>
    </row>
    <row r="8" spans="1:9" x14ac:dyDescent="0.2">
      <c r="A8" s="27"/>
      <c r="B8" s="108" t="s">
        <v>10</v>
      </c>
      <c r="C8" s="113" t="s">
        <v>189</v>
      </c>
      <c r="D8" s="113" t="s">
        <v>189</v>
      </c>
      <c r="E8" s="3">
        <v>3.2800000000000003E-2</v>
      </c>
      <c r="F8" s="3">
        <v>7.0000000000000007E-2</v>
      </c>
      <c r="G8" s="188" t="s">
        <v>3</v>
      </c>
      <c r="H8" s="4" t="s">
        <v>50</v>
      </c>
      <c r="I8" s="107" t="s">
        <v>17</v>
      </c>
    </row>
    <row r="9" spans="1:9" x14ac:dyDescent="0.2">
      <c r="A9" s="27"/>
      <c r="B9" s="108" t="s">
        <v>11</v>
      </c>
      <c r="C9" s="113" t="s">
        <v>189</v>
      </c>
      <c r="D9" s="113" t="s">
        <v>189</v>
      </c>
      <c r="E9" s="3">
        <v>7.0699999999999999E-2</v>
      </c>
      <c r="F9" s="3">
        <v>0.05</v>
      </c>
      <c r="G9" s="188" t="s">
        <v>3</v>
      </c>
      <c r="H9" s="4" t="s">
        <v>51</v>
      </c>
      <c r="I9" s="107" t="s">
        <v>18</v>
      </c>
    </row>
    <row r="10" spans="1:9" x14ac:dyDescent="0.2">
      <c r="A10" s="27"/>
      <c r="B10" s="108" t="s">
        <v>21</v>
      </c>
      <c r="C10" s="113" t="s">
        <v>189</v>
      </c>
      <c r="D10" s="113" t="s">
        <v>189</v>
      </c>
      <c r="E10" s="3">
        <v>0</v>
      </c>
      <c r="F10" s="3">
        <v>0.05</v>
      </c>
      <c r="G10" s="188" t="s">
        <v>3</v>
      </c>
      <c r="H10" s="4" t="s">
        <v>51</v>
      </c>
      <c r="I10" s="107" t="s">
        <v>18</v>
      </c>
    </row>
    <row r="11" spans="1:9" x14ac:dyDescent="0.2">
      <c r="A11" s="27"/>
      <c r="B11" s="108" t="s">
        <v>12</v>
      </c>
      <c r="C11" s="113" t="s">
        <v>189</v>
      </c>
      <c r="D11" s="113" t="s">
        <v>189</v>
      </c>
      <c r="E11" s="189">
        <v>0.17960000000000001</v>
      </c>
      <c r="F11" s="3">
        <v>0.15</v>
      </c>
      <c r="G11" s="187" t="s">
        <v>3</v>
      </c>
      <c r="H11" s="4" t="s">
        <v>52</v>
      </c>
      <c r="I11" s="4" t="s">
        <v>18</v>
      </c>
    </row>
    <row r="12" spans="1:9" x14ac:dyDescent="0.2">
      <c r="A12" s="27"/>
      <c r="B12" s="108" t="s">
        <v>13</v>
      </c>
      <c r="C12" s="113" t="s">
        <v>189</v>
      </c>
      <c r="D12" s="113" t="s">
        <v>189</v>
      </c>
      <c r="E12" s="3">
        <v>2.12E-2</v>
      </c>
      <c r="F12" s="3">
        <v>0.05</v>
      </c>
      <c r="G12" s="187" t="s">
        <v>3</v>
      </c>
      <c r="H12" s="190" t="s">
        <v>51</v>
      </c>
      <c r="I12" s="117" t="s">
        <v>189</v>
      </c>
    </row>
    <row r="13" spans="1:9" ht="15" x14ac:dyDescent="0.2">
      <c r="A13" s="27"/>
      <c r="B13" s="110" t="s">
        <v>5</v>
      </c>
      <c r="C13" s="114" t="s">
        <v>189</v>
      </c>
      <c r="D13" s="114" t="s">
        <v>189</v>
      </c>
      <c r="E13" s="103">
        <f>SUM(E4:E12)</f>
        <v>1.3166000000000002</v>
      </c>
      <c r="F13" s="103">
        <f>SUM(F4:F12)</f>
        <v>1.3800000000000001</v>
      </c>
      <c r="G13" s="191" t="s">
        <v>189</v>
      </c>
      <c r="H13" s="192" t="s">
        <v>189</v>
      </c>
      <c r="I13" s="192" t="s">
        <v>189</v>
      </c>
    </row>
    <row r="14" spans="1:9" x14ac:dyDescent="0.2">
      <c r="A14" s="27"/>
      <c r="B14" s="108" t="s">
        <v>6</v>
      </c>
      <c r="C14" s="113" t="s">
        <v>189</v>
      </c>
      <c r="D14" s="113" t="s">
        <v>189</v>
      </c>
      <c r="E14" s="11">
        <v>0.1918</v>
      </c>
      <c r="F14" s="11">
        <v>0.2</v>
      </c>
      <c r="G14" s="187" t="s">
        <v>4</v>
      </c>
      <c r="H14" s="4" t="s">
        <v>64</v>
      </c>
      <c r="I14" s="107" t="s">
        <v>19</v>
      </c>
    </row>
    <row r="15" spans="1:9" ht="15" x14ac:dyDescent="0.25">
      <c r="A15" s="27"/>
      <c r="B15" s="110" t="s">
        <v>230</v>
      </c>
      <c r="C15" s="114" t="s">
        <v>189</v>
      </c>
      <c r="D15" s="114" t="s">
        <v>189</v>
      </c>
      <c r="E15" s="12">
        <v>2.5999999999999999E-3</v>
      </c>
      <c r="F15" s="150" t="s">
        <v>189</v>
      </c>
      <c r="G15" s="135" t="s">
        <v>189</v>
      </c>
      <c r="H15" s="135" t="s">
        <v>189</v>
      </c>
      <c r="I15" s="174" t="s">
        <v>189</v>
      </c>
    </row>
    <row r="16" spans="1:9" ht="15" x14ac:dyDescent="0.25">
      <c r="A16" s="20"/>
      <c r="B16" s="17"/>
      <c r="C16" s="17"/>
      <c r="D16" s="17"/>
      <c r="E16" s="19"/>
      <c r="F16" s="18"/>
      <c r="G16" s="92"/>
      <c r="H16" s="19"/>
      <c r="I16" s="175"/>
    </row>
    <row r="17" spans="1:9" ht="23.25" x14ac:dyDescent="0.25">
      <c r="A17" s="24" t="s">
        <v>37</v>
      </c>
      <c r="B17" s="34" t="s">
        <v>34</v>
      </c>
      <c r="C17" s="34"/>
      <c r="D17" s="34"/>
      <c r="E17" s="35"/>
      <c r="F17" s="36"/>
      <c r="G17" s="94"/>
      <c r="H17" s="35"/>
      <c r="I17" s="41"/>
    </row>
    <row r="18" spans="1:9" ht="15.75" x14ac:dyDescent="0.2">
      <c r="A18" s="25"/>
      <c r="B18" s="13" t="s">
        <v>0</v>
      </c>
      <c r="C18" s="111" t="s">
        <v>189</v>
      </c>
      <c r="D18" s="111" t="s">
        <v>190</v>
      </c>
      <c r="E18" s="15" t="s">
        <v>225</v>
      </c>
      <c r="F18" s="15" t="s">
        <v>200</v>
      </c>
      <c r="G18" s="14" t="s">
        <v>30</v>
      </c>
      <c r="H18" s="14" t="s">
        <v>20</v>
      </c>
      <c r="I18" s="14" t="s">
        <v>35</v>
      </c>
    </row>
    <row r="19" spans="1:9" ht="57" x14ac:dyDescent="0.2">
      <c r="A19" s="27"/>
      <c r="B19" s="108" t="s">
        <v>140</v>
      </c>
      <c r="C19" s="113" t="s">
        <v>189</v>
      </c>
      <c r="D19" s="113" t="s">
        <v>190</v>
      </c>
      <c r="E19" s="5" t="s">
        <v>234</v>
      </c>
      <c r="F19" s="5" t="s">
        <v>235</v>
      </c>
      <c r="G19" s="185" t="s">
        <v>4</v>
      </c>
      <c r="H19" s="7" t="s">
        <v>176</v>
      </c>
      <c r="I19" s="6" t="s">
        <v>223</v>
      </c>
    </row>
    <row r="20" spans="1:9" x14ac:dyDescent="0.2">
      <c r="A20" s="26"/>
      <c r="B20" s="108" t="s">
        <v>2</v>
      </c>
      <c r="C20" s="113" t="s">
        <v>189</v>
      </c>
      <c r="D20" s="113" t="s">
        <v>189</v>
      </c>
      <c r="E20" s="3">
        <v>0.24310000000000001</v>
      </c>
      <c r="F20" s="3">
        <v>0.24</v>
      </c>
      <c r="G20" s="187" t="s">
        <v>3</v>
      </c>
      <c r="H20" s="4" t="s">
        <v>46</v>
      </c>
      <c r="I20" s="1" t="s">
        <v>14</v>
      </c>
    </row>
    <row r="21" spans="1:9" x14ac:dyDescent="0.2">
      <c r="A21" s="27"/>
      <c r="B21" s="109" t="s">
        <v>139</v>
      </c>
      <c r="C21" s="113" t="s">
        <v>189</v>
      </c>
      <c r="D21" s="113" t="s">
        <v>189</v>
      </c>
      <c r="E21" s="3">
        <v>0.2155</v>
      </c>
      <c r="F21" s="3">
        <v>0.22</v>
      </c>
      <c r="G21" s="187" t="s">
        <v>4</v>
      </c>
      <c r="H21" s="4" t="s">
        <v>53</v>
      </c>
      <c r="I21" s="1" t="s">
        <v>15</v>
      </c>
    </row>
    <row r="22" spans="1:9" ht="28.5" x14ac:dyDescent="0.2">
      <c r="A22" s="27"/>
      <c r="B22" s="108" t="s">
        <v>9</v>
      </c>
      <c r="C22" s="113" t="s">
        <v>189</v>
      </c>
      <c r="D22" s="113" t="s">
        <v>189</v>
      </c>
      <c r="E22" s="3">
        <v>6.2600000000000003E-2</v>
      </c>
      <c r="F22" s="3">
        <v>0.06</v>
      </c>
      <c r="G22" s="188" t="s">
        <v>3</v>
      </c>
      <c r="H22" s="9" t="s">
        <v>174</v>
      </c>
      <c r="I22" s="1" t="s">
        <v>16</v>
      </c>
    </row>
    <row r="23" spans="1:9" x14ac:dyDescent="0.2">
      <c r="A23" s="27"/>
      <c r="B23" s="166" t="s">
        <v>10</v>
      </c>
      <c r="C23" s="113" t="s">
        <v>189</v>
      </c>
      <c r="D23" s="113" t="s">
        <v>189</v>
      </c>
      <c r="E23" s="3">
        <v>3.4000000000000002E-2</v>
      </c>
      <c r="F23" s="3">
        <v>7.0000000000000007E-2</v>
      </c>
      <c r="G23" s="188" t="s">
        <v>3</v>
      </c>
      <c r="H23" s="9" t="s">
        <v>50</v>
      </c>
      <c r="I23" s="1" t="s">
        <v>17</v>
      </c>
    </row>
    <row r="24" spans="1:9" x14ac:dyDescent="0.2">
      <c r="A24" s="27"/>
      <c r="B24" s="108" t="s">
        <v>11</v>
      </c>
      <c r="C24" s="113" t="s">
        <v>189</v>
      </c>
      <c r="D24" s="113" t="s">
        <v>189</v>
      </c>
      <c r="E24" s="3">
        <v>5.2499999999999998E-2</v>
      </c>
      <c r="F24" s="3">
        <v>0.05</v>
      </c>
      <c r="G24" s="188" t="s">
        <v>3</v>
      </c>
      <c r="H24" s="9" t="s">
        <v>51</v>
      </c>
      <c r="I24" s="1" t="s">
        <v>18</v>
      </c>
    </row>
    <row r="25" spans="1:9" x14ac:dyDescent="0.2">
      <c r="A25" s="27"/>
      <c r="B25" s="108" t="s">
        <v>21</v>
      </c>
      <c r="C25" s="113" t="s">
        <v>189</v>
      </c>
      <c r="D25" s="113" t="s">
        <v>189</v>
      </c>
      <c r="E25" s="3">
        <v>0</v>
      </c>
      <c r="F25" s="3">
        <v>0.05</v>
      </c>
      <c r="G25" s="188" t="s">
        <v>3</v>
      </c>
      <c r="H25" s="9" t="s">
        <v>51</v>
      </c>
      <c r="I25" s="1" t="s">
        <v>18</v>
      </c>
    </row>
    <row r="26" spans="1:9" x14ac:dyDescent="0.2">
      <c r="A26" s="27"/>
      <c r="B26" s="108" t="s">
        <v>12</v>
      </c>
      <c r="C26" s="113" t="s">
        <v>189</v>
      </c>
      <c r="D26" s="113" t="s">
        <v>189</v>
      </c>
      <c r="E26" s="3">
        <v>0.18920000000000001</v>
      </c>
      <c r="F26" s="3">
        <v>0.15</v>
      </c>
      <c r="G26" s="187" t="s">
        <v>3</v>
      </c>
      <c r="H26" s="9" t="s">
        <v>52</v>
      </c>
      <c r="I26" s="9" t="s">
        <v>18</v>
      </c>
    </row>
    <row r="27" spans="1:9" x14ac:dyDescent="0.2">
      <c r="A27" s="27"/>
      <c r="B27" s="166" t="s">
        <v>13</v>
      </c>
      <c r="C27" s="113" t="s">
        <v>189</v>
      </c>
      <c r="D27" s="113" t="s">
        <v>189</v>
      </c>
      <c r="E27" s="3">
        <v>1.6500000000000001E-2</v>
      </c>
      <c r="F27" s="3">
        <v>0.05</v>
      </c>
      <c r="G27" s="187" t="s">
        <v>3</v>
      </c>
      <c r="H27" s="10" t="s">
        <v>51</v>
      </c>
      <c r="I27" s="136" t="s">
        <v>189</v>
      </c>
    </row>
    <row r="28" spans="1:9" ht="15" x14ac:dyDescent="0.2">
      <c r="A28" s="27"/>
      <c r="B28" s="110" t="s">
        <v>5</v>
      </c>
      <c r="C28" s="113" t="s">
        <v>189</v>
      </c>
      <c r="D28" s="113" t="s">
        <v>189</v>
      </c>
      <c r="E28" s="103">
        <f>SUM(E19:E27)</f>
        <v>0.81340000000000001</v>
      </c>
      <c r="F28" s="103">
        <f>SUM(F19:F27)</f>
        <v>0.89000000000000024</v>
      </c>
      <c r="G28" s="191" t="s">
        <v>189</v>
      </c>
      <c r="H28" s="116" t="s">
        <v>189</v>
      </c>
      <c r="I28" s="116" t="s">
        <v>189</v>
      </c>
    </row>
    <row r="29" spans="1:9" x14ac:dyDescent="0.2">
      <c r="A29" s="27"/>
      <c r="B29" s="108" t="s">
        <v>6</v>
      </c>
      <c r="C29" s="113" t="s">
        <v>189</v>
      </c>
      <c r="D29" s="113" t="s">
        <v>189</v>
      </c>
      <c r="E29" s="11">
        <v>0.188</v>
      </c>
      <c r="F29" s="11">
        <v>0.2</v>
      </c>
      <c r="G29" s="187" t="s">
        <v>4</v>
      </c>
      <c r="H29" s="9" t="s">
        <v>64</v>
      </c>
      <c r="I29" s="1" t="s">
        <v>19</v>
      </c>
    </row>
    <row r="30" spans="1:9" ht="15" x14ac:dyDescent="0.25">
      <c r="A30" s="27"/>
      <c r="B30" s="110" t="s">
        <v>230</v>
      </c>
      <c r="C30" s="114" t="s">
        <v>189</v>
      </c>
      <c r="D30" s="114" t="s">
        <v>189</v>
      </c>
      <c r="E30" s="12">
        <v>1.9E-3</v>
      </c>
      <c r="F30" s="150" t="s">
        <v>189</v>
      </c>
      <c r="G30" s="135" t="s">
        <v>189</v>
      </c>
      <c r="H30" s="135" t="s">
        <v>189</v>
      </c>
      <c r="I30" s="174" t="s">
        <v>189</v>
      </c>
    </row>
    <row r="31" spans="1:9" ht="15" x14ac:dyDescent="0.25">
      <c r="A31" s="20"/>
      <c r="B31" s="17"/>
      <c r="C31" s="17"/>
      <c r="D31" s="17"/>
      <c r="E31" s="19"/>
      <c r="F31" s="18"/>
      <c r="G31" s="92"/>
      <c r="H31" s="19"/>
      <c r="I31" s="175"/>
    </row>
    <row r="32" spans="1:9" ht="30" x14ac:dyDescent="0.25">
      <c r="A32" s="21" t="s">
        <v>36</v>
      </c>
      <c r="B32" s="34" t="s">
        <v>29</v>
      </c>
      <c r="C32" s="34"/>
      <c r="D32" s="34"/>
      <c r="E32" s="35"/>
      <c r="F32" s="36"/>
      <c r="G32" s="94"/>
      <c r="H32" s="35"/>
      <c r="I32" s="41"/>
    </row>
    <row r="33" spans="1:9" ht="15.75" x14ac:dyDescent="0.2">
      <c r="A33" s="22"/>
      <c r="B33" s="13" t="s">
        <v>0</v>
      </c>
      <c r="C33" s="111" t="s">
        <v>189</v>
      </c>
      <c r="D33" s="111" t="s">
        <v>190</v>
      </c>
      <c r="E33" s="15" t="s">
        <v>225</v>
      </c>
      <c r="F33" s="15" t="s">
        <v>200</v>
      </c>
      <c r="G33" s="88" t="s">
        <v>30</v>
      </c>
      <c r="H33" s="14" t="s">
        <v>20</v>
      </c>
      <c r="I33" s="14" t="s">
        <v>35</v>
      </c>
    </row>
    <row r="34" spans="1:9" ht="57" x14ac:dyDescent="0.2">
      <c r="A34" s="22"/>
      <c r="B34" s="108" t="s">
        <v>140</v>
      </c>
      <c r="C34" s="112" t="s">
        <v>189</v>
      </c>
      <c r="D34" s="112" t="s">
        <v>189</v>
      </c>
      <c r="E34" s="5">
        <v>0.58220000000000005</v>
      </c>
      <c r="F34" s="5">
        <v>0.59499999999999997</v>
      </c>
      <c r="G34" s="185" t="s">
        <v>4</v>
      </c>
      <c r="H34" s="7" t="s">
        <v>65</v>
      </c>
      <c r="I34" s="186" t="s">
        <v>223</v>
      </c>
    </row>
    <row r="35" spans="1:9" x14ac:dyDescent="0.2">
      <c r="A35" s="22"/>
      <c r="B35" s="108" t="s">
        <v>2</v>
      </c>
      <c r="C35" s="113" t="s">
        <v>189</v>
      </c>
      <c r="D35" s="113" t="s">
        <v>189</v>
      </c>
      <c r="E35" s="3">
        <v>0.24129999999999999</v>
      </c>
      <c r="F35" s="3">
        <v>0.25</v>
      </c>
      <c r="G35" s="187" t="s">
        <v>3</v>
      </c>
      <c r="H35" s="4" t="s">
        <v>54</v>
      </c>
      <c r="I35" s="107" t="s">
        <v>14</v>
      </c>
    </row>
    <row r="36" spans="1:9" x14ac:dyDescent="0.2">
      <c r="A36" s="22"/>
      <c r="B36" s="109" t="s">
        <v>139</v>
      </c>
      <c r="C36" s="112" t="s">
        <v>189</v>
      </c>
      <c r="D36" s="112" t="s">
        <v>189</v>
      </c>
      <c r="E36" s="3">
        <v>0.18959999999999999</v>
      </c>
      <c r="F36" s="3">
        <v>0.2</v>
      </c>
      <c r="G36" s="187" t="s">
        <v>4</v>
      </c>
      <c r="H36" s="4" t="s">
        <v>64</v>
      </c>
      <c r="I36" s="107" t="s">
        <v>15</v>
      </c>
    </row>
    <row r="37" spans="1:9" ht="28.5" x14ac:dyDescent="0.2">
      <c r="A37" s="22"/>
      <c r="B37" s="108" t="s">
        <v>9</v>
      </c>
      <c r="C37" s="113" t="s">
        <v>189</v>
      </c>
      <c r="D37" s="113" t="s">
        <v>189</v>
      </c>
      <c r="E37" s="3">
        <v>7.9600000000000004E-2</v>
      </c>
      <c r="F37" s="3">
        <v>0.08</v>
      </c>
      <c r="G37" s="188" t="s">
        <v>3</v>
      </c>
      <c r="H37" s="4" t="s">
        <v>208</v>
      </c>
      <c r="I37" s="107" t="s">
        <v>16</v>
      </c>
    </row>
    <row r="38" spans="1:9" x14ac:dyDescent="0.2">
      <c r="A38" s="22"/>
      <c r="B38" s="108" t="s">
        <v>10</v>
      </c>
      <c r="C38" s="113" t="s">
        <v>189</v>
      </c>
      <c r="D38" s="113" t="s">
        <v>189</v>
      </c>
      <c r="E38" s="3">
        <v>3.2300000000000002E-2</v>
      </c>
      <c r="F38" s="3">
        <v>7.0000000000000007E-2</v>
      </c>
      <c r="G38" s="188" t="s">
        <v>3</v>
      </c>
      <c r="H38" s="4" t="s">
        <v>50</v>
      </c>
      <c r="I38" s="107" t="s">
        <v>17</v>
      </c>
    </row>
    <row r="39" spans="1:9" x14ac:dyDescent="0.2">
      <c r="A39" s="22"/>
      <c r="B39" s="108" t="s">
        <v>11</v>
      </c>
      <c r="C39" s="113" t="s">
        <v>189</v>
      </c>
      <c r="D39" s="113" t="s">
        <v>189</v>
      </c>
      <c r="E39" s="3">
        <v>2.2000000000000001E-3</v>
      </c>
      <c r="F39" s="3">
        <v>0.05</v>
      </c>
      <c r="G39" s="188" t="s">
        <v>3</v>
      </c>
      <c r="H39" s="4" t="s">
        <v>51</v>
      </c>
      <c r="I39" s="107" t="s">
        <v>18</v>
      </c>
    </row>
    <row r="40" spans="1:9" x14ac:dyDescent="0.2">
      <c r="A40" s="22"/>
      <c r="B40" s="108" t="s">
        <v>21</v>
      </c>
      <c r="C40" s="113" t="s">
        <v>189</v>
      </c>
      <c r="D40" s="113" t="s">
        <v>189</v>
      </c>
      <c r="E40" s="3">
        <v>0</v>
      </c>
      <c r="F40" s="3">
        <v>0.05</v>
      </c>
      <c r="G40" s="188" t="s">
        <v>3</v>
      </c>
      <c r="H40" s="4" t="s">
        <v>51</v>
      </c>
      <c r="I40" s="107" t="s">
        <v>18</v>
      </c>
    </row>
    <row r="41" spans="1:9" x14ac:dyDescent="0.2">
      <c r="A41" s="22"/>
      <c r="B41" s="108" t="s">
        <v>12</v>
      </c>
      <c r="C41" s="113" t="s">
        <v>189</v>
      </c>
      <c r="D41" s="113" t="s">
        <v>189</v>
      </c>
      <c r="E41" s="3">
        <v>0.19139999999999999</v>
      </c>
      <c r="F41" s="3">
        <v>0.15</v>
      </c>
      <c r="G41" s="187" t="s">
        <v>3</v>
      </c>
      <c r="H41" s="4" t="s">
        <v>52</v>
      </c>
      <c r="I41" s="4" t="s">
        <v>18</v>
      </c>
    </row>
    <row r="42" spans="1:9" x14ac:dyDescent="0.2">
      <c r="A42" s="22"/>
      <c r="B42" s="108" t="s">
        <v>13</v>
      </c>
      <c r="C42" s="113" t="s">
        <v>189</v>
      </c>
      <c r="D42" s="113" t="s">
        <v>189</v>
      </c>
      <c r="E42" s="3">
        <v>2.0400000000000001E-2</v>
      </c>
      <c r="F42" s="3">
        <v>0.05</v>
      </c>
      <c r="G42" s="187" t="s">
        <v>3</v>
      </c>
      <c r="H42" s="190" t="s">
        <v>51</v>
      </c>
      <c r="I42" s="117" t="s">
        <v>189</v>
      </c>
    </row>
    <row r="43" spans="1:9" ht="15" x14ac:dyDescent="0.2">
      <c r="A43" s="22"/>
      <c r="B43" s="110" t="s">
        <v>5</v>
      </c>
      <c r="C43" s="114" t="s">
        <v>189</v>
      </c>
      <c r="D43" s="114" t="s">
        <v>189</v>
      </c>
      <c r="E43" s="29">
        <f>SUBTOTAL(109,E34:E42)</f>
        <v>1.3390000000000002</v>
      </c>
      <c r="F43" s="29">
        <f>SUBTOTAL(109,F34:F42)</f>
        <v>1.4950000000000001</v>
      </c>
      <c r="G43" s="121" t="s">
        <v>189</v>
      </c>
      <c r="H43" s="122" t="s">
        <v>189</v>
      </c>
      <c r="I43" s="116" t="s">
        <v>189</v>
      </c>
    </row>
    <row r="44" spans="1:9" x14ac:dyDescent="0.2">
      <c r="A44" s="22"/>
      <c r="B44" s="108" t="s">
        <v>6</v>
      </c>
      <c r="C44" s="113" t="s">
        <v>189</v>
      </c>
      <c r="D44" s="113" t="s">
        <v>189</v>
      </c>
      <c r="E44" s="11">
        <v>0.21179999999999999</v>
      </c>
      <c r="F44" s="11">
        <v>0.2</v>
      </c>
      <c r="G44" s="90" t="s">
        <v>4</v>
      </c>
      <c r="H44" s="9" t="s">
        <v>64</v>
      </c>
      <c r="I44" s="1" t="s">
        <v>19</v>
      </c>
    </row>
    <row r="45" spans="1:9" ht="15" x14ac:dyDescent="0.2">
      <c r="A45" s="23"/>
      <c r="B45" s="110" t="s">
        <v>230</v>
      </c>
      <c r="C45" s="114" t="s">
        <v>189</v>
      </c>
      <c r="D45" s="114" t="s">
        <v>189</v>
      </c>
      <c r="E45" s="12">
        <v>2.3999999999999998E-3</v>
      </c>
      <c r="F45" s="150" t="s">
        <v>189</v>
      </c>
      <c r="G45" s="135" t="s">
        <v>189</v>
      </c>
      <c r="H45" s="135" t="s">
        <v>189</v>
      </c>
      <c r="I45" s="154" t="s">
        <v>189</v>
      </c>
    </row>
    <row r="46" spans="1:9" ht="15" x14ac:dyDescent="0.25">
      <c r="A46" s="20"/>
      <c r="B46" s="17"/>
      <c r="C46" s="17"/>
      <c r="D46" s="17"/>
      <c r="E46" s="19"/>
      <c r="F46" s="18"/>
      <c r="G46" s="92"/>
      <c r="H46" s="19"/>
      <c r="I46" s="175"/>
    </row>
    <row r="47" spans="1:9" ht="30" x14ac:dyDescent="0.25">
      <c r="A47" s="21" t="s">
        <v>36</v>
      </c>
      <c r="B47" s="34" t="s">
        <v>31</v>
      </c>
      <c r="C47" s="34"/>
      <c r="D47" s="34"/>
      <c r="E47" s="35"/>
      <c r="F47" s="36"/>
      <c r="G47" s="94"/>
      <c r="H47" s="35"/>
      <c r="I47" s="41"/>
    </row>
    <row r="48" spans="1:9" ht="15.75" x14ac:dyDescent="0.2">
      <c r="A48" s="22"/>
      <c r="B48" s="13" t="s">
        <v>0</v>
      </c>
      <c r="C48" s="111" t="s">
        <v>189</v>
      </c>
      <c r="D48" s="111" t="s">
        <v>190</v>
      </c>
      <c r="E48" s="15" t="s">
        <v>225</v>
      </c>
      <c r="F48" s="15" t="s">
        <v>200</v>
      </c>
      <c r="G48" s="14" t="s">
        <v>30</v>
      </c>
      <c r="H48" s="14" t="s">
        <v>20</v>
      </c>
      <c r="I48" s="14" t="s">
        <v>35</v>
      </c>
    </row>
    <row r="49" spans="1:9" ht="57" x14ac:dyDescent="0.2">
      <c r="A49" s="22"/>
      <c r="B49" s="108" t="s">
        <v>140</v>
      </c>
      <c r="C49" s="112" t="s">
        <v>189</v>
      </c>
      <c r="D49" s="112" t="s">
        <v>190</v>
      </c>
      <c r="E49" s="5">
        <v>0.48320000000000002</v>
      </c>
      <c r="F49" s="5">
        <v>0.47</v>
      </c>
      <c r="G49" s="185" t="s">
        <v>4</v>
      </c>
      <c r="H49" s="7" t="s">
        <v>204</v>
      </c>
      <c r="I49" s="6" t="s">
        <v>223</v>
      </c>
    </row>
    <row r="50" spans="1:9" x14ac:dyDescent="0.2">
      <c r="A50" s="22"/>
      <c r="B50" s="108" t="s">
        <v>2</v>
      </c>
      <c r="C50" s="113" t="s">
        <v>189</v>
      </c>
      <c r="D50" s="113" t="s">
        <v>189</v>
      </c>
      <c r="E50" s="3">
        <v>0.20169999999999999</v>
      </c>
      <c r="F50" s="3">
        <v>0.22</v>
      </c>
      <c r="G50" s="187" t="s">
        <v>3</v>
      </c>
      <c r="H50" s="4" t="s">
        <v>205</v>
      </c>
      <c r="I50" s="1" t="s">
        <v>14</v>
      </c>
    </row>
    <row r="51" spans="1:9" x14ac:dyDescent="0.2">
      <c r="A51" s="22"/>
      <c r="B51" s="109" t="s">
        <v>139</v>
      </c>
      <c r="C51" s="112" t="s">
        <v>189</v>
      </c>
      <c r="D51" s="112" t="s">
        <v>189</v>
      </c>
      <c r="E51" s="3">
        <v>0.21379999999999999</v>
      </c>
      <c r="F51" s="3">
        <v>0.22</v>
      </c>
      <c r="G51" s="187" t="s">
        <v>4</v>
      </c>
      <c r="H51" s="4" t="s">
        <v>53</v>
      </c>
      <c r="I51" s="1" t="s">
        <v>15</v>
      </c>
    </row>
    <row r="52" spans="1:9" ht="28.5" x14ac:dyDescent="0.2">
      <c r="A52" s="22"/>
      <c r="B52" s="108" t="s">
        <v>9</v>
      </c>
      <c r="C52" s="113" t="s">
        <v>189</v>
      </c>
      <c r="D52" s="113" t="s">
        <v>189</v>
      </c>
      <c r="E52" s="3">
        <v>8.6999999999999994E-2</v>
      </c>
      <c r="F52" s="3">
        <v>0.09</v>
      </c>
      <c r="G52" s="188" t="s">
        <v>3</v>
      </c>
      <c r="H52" s="9" t="s">
        <v>209</v>
      </c>
      <c r="I52" s="1" t="s">
        <v>16</v>
      </c>
    </row>
    <row r="53" spans="1:9" x14ac:dyDescent="0.2">
      <c r="A53" s="22"/>
      <c r="B53" s="108" t="s">
        <v>10</v>
      </c>
      <c r="C53" s="113" t="s">
        <v>189</v>
      </c>
      <c r="D53" s="113" t="s">
        <v>189</v>
      </c>
      <c r="E53" s="3">
        <v>3.8600000000000002E-2</v>
      </c>
      <c r="F53" s="3">
        <v>7.0000000000000007E-2</v>
      </c>
      <c r="G53" s="188" t="s">
        <v>3</v>
      </c>
      <c r="H53" s="9" t="s">
        <v>50</v>
      </c>
      <c r="I53" s="1" t="s">
        <v>17</v>
      </c>
    </row>
    <row r="54" spans="1:9" x14ac:dyDescent="0.2">
      <c r="A54" s="22"/>
      <c r="B54" s="108" t="s">
        <v>11</v>
      </c>
      <c r="C54" s="113" t="s">
        <v>189</v>
      </c>
      <c r="D54" s="113" t="s">
        <v>189</v>
      </c>
      <c r="E54" s="57">
        <v>5.3800000000000001E-2</v>
      </c>
      <c r="F54" s="3">
        <v>0.05</v>
      </c>
      <c r="G54" s="188" t="s">
        <v>3</v>
      </c>
      <c r="H54" s="9" t="s">
        <v>51</v>
      </c>
      <c r="I54" s="1" t="s">
        <v>18</v>
      </c>
    </row>
    <row r="55" spans="1:9" x14ac:dyDescent="0.2">
      <c r="A55" s="22"/>
      <c r="B55" s="108" t="s">
        <v>21</v>
      </c>
      <c r="C55" s="113" t="s">
        <v>189</v>
      </c>
      <c r="D55" s="113" t="s">
        <v>189</v>
      </c>
      <c r="E55" s="3">
        <v>0</v>
      </c>
      <c r="F55" s="3">
        <v>0.05</v>
      </c>
      <c r="G55" s="188" t="s">
        <v>3</v>
      </c>
      <c r="H55" s="9" t="s">
        <v>51</v>
      </c>
      <c r="I55" s="1" t="s">
        <v>18</v>
      </c>
    </row>
    <row r="56" spans="1:9" x14ac:dyDescent="0.2">
      <c r="A56" s="22"/>
      <c r="B56" s="108" t="s">
        <v>12</v>
      </c>
      <c r="C56" s="113" t="s">
        <v>189</v>
      </c>
      <c r="D56" s="113" t="s">
        <v>189</v>
      </c>
      <c r="E56" s="3">
        <v>0.19070000000000001</v>
      </c>
      <c r="F56" s="3">
        <v>0.15</v>
      </c>
      <c r="G56" s="187" t="s">
        <v>3</v>
      </c>
      <c r="H56" s="9" t="s">
        <v>52</v>
      </c>
      <c r="I56" s="9" t="s">
        <v>18</v>
      </c>
    </row>
    <row r="57" spans="1:9" x14ac:dyDescent="0.2">
      <c r="A57" s="22"/>
      <c r="B57" s="108" t="s">
        <v>13</v>
      </c>
      <c r="C57" s="113" t="s">
        <v>189</v>
      </c>
      <c r="D57" s="113" t="s">
        <v>189</v>
      </c>
      <c r="E57" s="3">
        <v>2.3699999999999999E-2</v>
      </c>
      <c r="F57" s="3">
        <v>0.05</v>
      </c>
      <c r="G57" s="187" t="s">
        <v>3</v>
      </c>
      <c r="H57" s="10" t="s">
        <v>51</v>
      </c>
      <c r="I57" s="136" t="s">
        <v>189</v>
      </c>
    </row>
    <row r="58" spans="1:9" ht="15" x14ac:dyDescent="0.2">
      <c r="A58" s="22"/>
      <c r="B58" s="110" t="s">
        <v>5</v>
      </c>
      <c r="C58" s="114" t="s">
        <v>189</v>
      </c>
      <c r="D58" s="114" t="s">
        <v>189</v>
      </c>
      <c r="E58" s="103">
        <f>SUBTOTAL(109,E49:E57)</f>
        <v>1.2925000000000002</v>
      </c>
      <c r="F58" s="103">
        <f>SUBTOTAL(109,F49:F57)</f>
        <v>1.3699999999999999</v>
      </c>
      <c r="G58" s="193" t="s">
        <v>189</v>
      </c>
      <c r="H58" s="122" t="s">
        <v>189</v>
      </c>
      <c r="I58" s="116" t="s">
        <v>189</v>
      </c>
    </row>
    <row r="59" spans="1:9" x14ac:dyDescent="0.2">
      <c r="A59" s="22"/>
      <c r="B59" s="108" t="s">
        <v>6</v>
      </c>
      <c r="C59" s="113" t="s">
        <v>189</v>
      </c>
      <c r="D59" s="113" t="s">
        <v>189</v>
      </c>
      <c r="E59" s="11">
        <v>0.18940000000000001</v>
      </c>
      <c r="F59" s="11">
        <v>0.2</v>
      </c>
      <c r="G59" s="187" t="s">
        <v>4</v>
      </c>
      <c r="H59" s="9" t="s">
        <v>64</v>
      </c>
      <c r="I59" s="1" t="s">
        <v>19</v>
      </c>
    </row>
    <row r="60" spans="1:9" ht="15" x14ac:dyDescent="0.25">
      <c r="A60" s="23"/>
      <c r="B60" s="110" t="s">
        <v>230</v>
      </c>
      <c r="C60" s="114" t="s">
        <v>189</v>
      </c>
      <c r="D60" s="114" t="s">
        <v>189</v>
      </c>
      <c r="E60" s="12">
        <v>2.3999999999999998E-3</v>
      </c>
      <c r="F60" s="150" t="s">
        <v>189</v>
      </c>
      <c r="G60" s="135" t="s">
        <v>189</v>
      </c>
      <c r="H60" s="135" t="s">
        <v>189</v>
      </c>
      <c r="I60" s="174" t="s">
        <v>189</v>
      </c>
    </row>
    <row r="61" spans="1:9" ht="15" x14ac:dyDescent="0.25">
      <c r="A61" s="20"/>
      <c r="B61" s="17"/>
      <c r="C61" s="17"/>
      <c r="D61" s="17"/>
      <c r="E61" s="19"/>
      <c r="F61" s="18"/>
      <c r="G61" s="92"/>
      <c r="H61" s="19"/>
      <c r="I61" s="175"/>
    </row>
    <row r="62" spans="1:9" ht="30" x14ac:dyDescent="0.25">
      <c r="A62" s="21" t="s">
        <v>36</v>
      </c>
      <c r="B62" s="34" t="s">
        <v>32</v>
      </c>
      <c r="C62" s="34"/>
      <c r="D62" s="34"/>
      <c r="E62" s="35"/>
      <c r="F62" s="36"/>
      <c r="G62" s="94"/>
      <c r="H62" s="35"/>
      <c r="I62" s="41"/>
    </row>
    <row r="63" spans="1:9" ht="15.75" x14ac:dyDescent="0.2">
      <c r="A63" s="22"/>
      <c r="B63" s="13" t="s">
        <v>0</v>
      </c>
      <c r="C63" s="111" t="s">
        <v>189</v>
      </c>
      <c r="D63" s="111" t="s">
        <v>190</v>
      </c>
      <c r="E63" s="15" t="s">
        <v>225</v>
      </c>
      <c r="F63" s="15" t="s">
        <v>200</v>
      </c>
      <c r="G63" s="14" t="s">
        <v>30</v>
      </c>
      <c r="H63" s="14" t="s">
        <v>20</v>
      </c>
      <c r="I63" s="14" t="s">
        <v>35</v>
      </c>
    </row>
    <row r="64" spans="1:9" ht="57" x14ac:dyDescent="0.2">
      <c r="A64" s="22"/>
      <c r="B64" s="108" t="s">
        <v>140</v>
      </c>
      <c r="C64" s="112" t="s">
        <v>189</v>
      </c>
      <c r="D64" s="112" t="s">
        <v>190</v>
      </c>
      <c r="E64" s="5">
        <v>0.30099999999999999</v>
      </c>
      <c r="F64" s="5">
        <v>0.26</v>
      </c>
      <c r="G64" s="89" t="s">
        <v>4</v>
      </c>
      <c r="H64" s="7" t="s">
        <v>203</v>
      </c>
      <c r="I64" s="6" t="s">
        <v>223</v>
      </c>
    </row>
    <row r="65" spans="1:9" x14ac:dyDescent="0.2">
      <c r="A65" s="22"/>
      <c r="B65" s="108" t="s">
        <v>2</v>
      </c>
      <c r="C65" s="113" t="s">
        <v>189</v>
      </c>
      <c r="D65" s="113" t="s">
        <v>189</v>
      </c>
      <c r="E65" s="3">
        <v>0.2843</v>
      </c>
      <c r="F65" s="3">
        <v>0.26</v>
      </c>
      <c r="G65" s="90" t="s">
        <v>3</v>
      </c>
      <c r="H65" s="4" t="s">
        <v>206</v>
      </c>
      <c r="I65" s="1" t="s">
        <v>14</v>
      </c>
    </row>
    <row r="66" spans="1:9" x14ac:dyDescent="0.2">
      <c r="A66" s="22"/>
      <c r="B66" s="109" t="s">
        <v>139</v>
      </c>
      <c r="C66" s="112" t="s">
        <v>189</v>
      </c>
      <c r="D66" s="112" t="s">
        <v>189</v>
      </c>
      <c r="E66" s="3">
        <v>0.27910000000000001</v>
      </c>
      <c r="F66" s="3">
        <v>0.28000000000000003</v>
      </c>
      <c r="G66" s="90" t="s">
        <v>4</v>
      </c>
      <c r="H66" s="4" t="s">
        <v>62</v>
      </c>
      <c r="I66" s="1" t="s">
        <v>15</v>
      </c>
    </row>
    <row r="67" spans="1:9" ht="28.5" x14ac:dyDescent="0.2">
      <c r="A67" s="22"/>
      <c r="B67" s="108" t="s">
        <v>9</v>
      </c>
      <c r="C67" s="113" t="s">
        <v>189</v>
      </c>
      <c r="D67" s="113" t="s">
        <v>189</v>
      </c>
      <c r="E67" s="3">
        <v>9.7299999999999998E-2</v>
      </c>
      <c r="F67" s="3">
        <v>0.1</v>
      </c>
      <c r="G67" s="91" t="s">
        <v>3</v>
      </c>
      <c r="H67" s="9" t="s">
        <v>49</v>
      </c>
      <c r="I67" s="1" t="s">
        <v>16</v>
      </c>
    </row>
    <row r="68" spans="1:9" x14ac:dyDescent="0.2">
      <c r="A68" s="22"/>
      <c r="B68" s="108" t="s">
        <v>10</v>
      </c>
      <c r="C68" s="113" t="s">
        <v>189</v>
      </c>
      <c r="D68" s="113" t="s">
        <v>189</v>
      </c>
      <c r="E68" s="3">
        <v>4.3799999999999999E-2</v>
      </c>
      <c r="F68" s="3">
        <v>7.0000000000000007E-2</v>
      </c>
      <c r="G68" s="91" t="s">
        <v>3</v>
      </c>
      <c r="H68" s="9" t="s">
        <v>50</v>
      </c>
      <c r="I68" s="1" t="s">
        <v>17</v>
      </c>
    </row>
    <row r="69" spans="1:9" x14ac:dyDescent="0.2">
      <c r="A69" s="22"/>
      <c r="B69" s="108" t="s">
        <v>11</v>
      </c>
      <c r="C69" s="113" t="s">
        <v>189</v>
      </c>
      <c r="D69" s="113" t="s">
        <v>189</v>
      </c>
      <c r="E69" s="3">
        <v>1.1999999999999999E-3</v>
      </c>
      <c r="F69" s="3">
        <v>0.05</v>
      </c>
      <c r="G69" s="91" t="s">
        <v>3</v>
      </c>
      <c r="H69" s="9" t="s">
        <v>51</v>
      </c>
      <c r="I69" s="1" t="s">
        <v>18</v>
      </c>
    </row>
    <row r="70" spans="1:9" x14ac:dyDescent="0.2">
      <c r="A70" s="22"/>
      <c r="B70" s="108" t="s">
        <v>21</v>
      </c>
      <c r="C70" s="113" t="s">
        <v>189</v>
      </c>
      <c r="D70" s="113" t="s">
        <v>189</v>
      </c>
      <c r="E70" s="3">
        <v>3.9300000000000002E-2</v>
      </c>
      <c r="F70" s="3">
        <v>0.05</v>
      </c>
      <c r="G70" s="91" t="s">
        <v>3</v>
      </c>
      <c r="H70" s="9" t="s">
        <v>51</v>
      </c>
      <c r="I70" s="1" t="s">
        <v>18</v>
      </c>
    </row>
    <row r="71" spans="1:9" x14ac:dyDescent="0.2">
      <c r="A71" s="22"/>
      <c r="B71" s="108" t="s">
        <v>12</v>
      </c>
      <c r="C71" s="113" t="s">
        <v>189</v>
      </c>
      <c r="D71" s="113" t="s">
        <v>189</v>
      </c>
      <c r="E71" s="3">
        <v>0.16139999999999999</v>
      </c>
      <c r="F71" s="3">
        <v>0.15</v>
      </c>
      <c r="G71" s="90" t="s">
        <v>3</v>
      </c>
      <c r="H71" s="9" t="s">
        <v>52</v>
      </c>
      <c r="I71" s="9" t="s">
        <v>18</v>
      </c>
    </row>
    <row r="72" spans="1:9" x14ac:dyDescent="0.2">
      <c r="A72" s="22"/>
      <c r="B72" s="108" t="s">
        <v>13</v>
      </c>
      <c r="C72" s="113" t="s">
        <v>189</v>
      </c>
      <c r="D72" s="113" t="s">
        <v>189</v>
      </c>
      <c r="E72" s="3">
        <v>3.1800000000000002E-2</v>
      </c>
      <c r="F72" s="3">
        <v>0.05</v>
      </c>
      <c r="G72" s="90" t="s">
        <v>3</v>
      </c>
      <c r="H72" s="10" t="s">
        <v>51</v>
      </c>
      <c r="I72" s="136" t="s">
        <v>189</v>
      </c>
    </row>
    <row r="73" spans="1:9" ht="15" x14ac:dyDescent="0.2">
      <c r="A73" s="22"/>
      <c r="B73" s="110" t="s">
        <v>5</v>
      </c>
      <c r="C73" s="114" t="s">
        <v>189</v>
      </c>
      <c r="D73" s="114" t="s">
        <v>189</v>
      </c>
      <c r="E73" s="103">
        <f>SUBTOTAL(109,E64:E72)</f>
        <v>1.2392000000000003</v>
      </c>
      <c r="F73" s="103">
        <f>SUBTOTAL(109,F64:F72)</f>
        <v>1.27</v>
      </c>
      <c r="G73" s="121" t="s">
        <v>189</v>
      </c>
      <c r="H73" s="122" t="s">
        <v>189</v>
      </c>
      <c r="I73" s="116" t="s">
        <v>189</v>
      </c>
    </row>
    <row r="74" spans="1:9" x14ac:dyDescent="0.2">
      <c r="A74" s="22"/>
      <c r="B74" s="108" t="s">
        <v>6</v>
      </c>
      <c r="C74" s="113" t="s">
        <v>189</v>
      </c>
      <c r="D74" s="113" t="s">
        <v>189</v>
      </c>
      <c r="E74" s="3">
        <v>0.17269999999999999</v>
      </c>
      <c r="F74" s="3">
        <v>0.18</v>
      </c>
      <c r="G74" s="90" t="s">
        <v>4</v>
      </c>
      <c r="H74" s="9" t="s">
        <v>207</v>
      </c>
      <c r="I74" s="1" t="s">
        <v>19</v>
      </c>
    </row>
    <row r="75" spans="1:9" ht="15" x14ac:dyDescent="0.25">
      <c r="A75" s="23"/>
      <c r="B75" s="110" t="s">
        <v>230</v>
      </c>
      <c r="C75" s="114" t="s">
        <v>189</v>
      </c>
      <c r="D75" s="114" t="s">
        <v>189</v>
      </c>
      <c r="E75" s="12">
        <v>2.5000000000000001E-3</v>
      </c>
      <c r="F75" s="150" t="s">
        <v>189</v>
      </c>
      <c r="G75" s="135" t="s">
        <v>189</v>
      </c>
      <c r="H75" s="135" t="s">
        <v>189</v>
      </c>
      <c r="I75" s="176" t="s">
        <v>189</v>
      </c>
    </row>
    <row r="76" spans="1:9" ht="15" x14ac:dyDescent="0.25">
      <c r="A76" s="20"/>
      <c r="B76" s="17"/>
      <c r="C76" s="17"/>
      <c r="D76" s="17"/>
      <c r="E76" s="19"/>
      <c r="F76" s="18"/>
      <c r="G76" s="92"/>
      <c r="H76" s="19"/>
      <c r="I76" s="175"/>
    </row>
    <row r="77" spans="1:9" ht="45" x14ac:dyDescent="0.25">
      <c r="A77" s="30" t="s">
        <v>67</v>
      </c>
      <c r="B77" s="38" t="s">
        <v>38</v>
      </c>
      <c r="C77" s="38"/>
      <c r="D77" s="38"/>
      <c r="E77" s="39"/>
      <c r="F77" s="40"/>
      <c r="G77" s="95"/>
      <c r="H77" s="39"/>
      <c r="I77" s="41"/>
    </row>
    <row r="78" spans="1:9" ht="23.25" x14ac:dyDescent="0.25">
      <c r="A78" s="30"/>
      <c r="B78" s="43" t="s">
        <v>42</v>
      </c>
      <c r="C78" s="43"/>
      <c r="D78" s="43"/>
      <c r="E78" s="39"/>
      <c r="F78" s="40"/>
      <c r="G78" s="95"/>
      <c r="H78" s="39"/>
      <c r="I78" s="41"/>
    </row>
    <row r="79" spans="1:9" ht="23.25" x14ac:dyDescent="0.25">
      <c r="A79" s="30"/>
      <c r="B79" s="43" t="s">
        <v>43</v>
      </c>
      <c r="C79" s="43"/>
      <c r="D79" s="43"/>
      <c r="E79" s="39"/>
      <c r="F79" s="40"/>
      <c r="G79" s="95"/>
      <c r="H79" s="39"/>
      <c r="I79" s="41"/>
    </row>
    <row r="80" spans="1:9" ht="15.75" x14ac:dyDescent="0.2">
      <c r="A80" s="31"/>
      <c r="B80" s="125" t="s">
        <v>0</v>
      </c>
      <c r="C80" s="124" t="s">
        <v>228</v>
      </c>
      <c r="D80" s="124" t="s">
        <v>227</v>
      </c>
      <c r="E80" s="124" t="s">
        <v>226</v>
      </c>
      <c r="F80" s="124" t="s">
        <v>200</v>
      </c>
      <c r="G80" s="125" t="s">
        <v>30</v>
      </c>
      <c r="H80" s="125" t="s">
        <v>20</v>
      </c>
      <c r="I80" s="125" t="s">
        <v>35</v>
      </c>
    </row>
    <row r="81" spans="1:9" ht="57" x14ac:dyDescent="0.2">
      <c r="A81" s="33"/>
      <c r="B81" s="108" t="s">
        <v>140</v>
      </c>
      <c r="C81" s="5">
        <v>1.0145</v>
      </c>
      <c r="D81" s="5">
        <v>0.99490000000000001</v>
      </c>
      <c r="E81" s="5">
        <v>0.99309999999999998</v>
      </c>
      <c r="F81" s="5">
        <v>0.99</v>
      </c>
      <c r="G81" s="89" t="s">
        <v>23</v>
      </c>
      <c r="H81" s="7" t="s">
        <v>245</v>
      </c>
      <c r="I81" s="6" t="s">
        <v>223</v>
      </c>
    </row>
    <row r="82" spans="1:9" x14ac:dyDescent="0.2">
      <c r="A82" s="32"/>
      <c r="B82" s="2" t="s">
        <v>2</v>
      </c>
      <c r="C82" s="3">
        <v>0.28270000000000001</v>
      </c>
      <c r="D82" s="3">
        <v>0.28960000000000002</v>
      </c>
      <c r="E82" s="3">
        <v>0.2969</v>
      </c>
      <c r="F82" s="3">
        <v>0.3</v>
      </c>
      <c r="G82" s="90" t="s">
        <v>24</v>
      </c>
      <c r="H82" s="4" t="s">
        <v>60</v>
      </c>
      <c r="I82" s="1" t="s">
        <v>14</v>
      </c>
    </row>
    <row r="83" spans="1:9" x14ac:dyDescent="0.2">
      <c r="A83" s="33"/>
      <c r="B83" s="72" t="s">
        <v>139</v>
      </c>
      <c r="C83" s="3">
        <v>3.8600000000000002E-2</v>
      </c>
      <c r="D83" s="3">
        <v>3.9199999999999999E-2</v>
      </c>
      <c r="E83" s="3">
        <v>4.3900000000000002E-2</v>
      </c>
      <c r="F83" s="3">
        <v>0.06</v>
      </c>
      <c r="G83" s="90" t="s">
        <v>23</v>
      </c>
      <c r="H83" s="4" t="s">
        <v>58</v>
      </c>
      <c r="I83" s="1" t="s">
        <v>15</v>
      </c>
    </row>
    <row r="84" spans="1:9" ht="28.5" x14ac:dyDescent="0.2">
      <c r="A84" s="33"/>
      <c r="B84" s="2" t="s">
        <v>9</v>
      </c>
      <c r="C84" s="3">
        <v>4.6199999999999998E-2</v>
      </c>
      <c r="D84" s="3">
        <v>3.5799999999999998E-2</v>
      </c>
      <c r="E84" s="3">
        <v>3.5000000000000003E-2</v>
      </c>
      <c r="F84" s="3">
        <v>0.05</v>
      </c>
      <c r="G84" s="91" t="s">
        <v>24</v>
      </c>
      <c r="H84" s="9" t="s">
        <v>51</v>
      </c>
      <c r="I84" s="1" t="s">
        <v>16</v>
      </c>
    </row>
    <row r="85" spans="1:9" x14ac:dyDescent="0.2">
      <c r="A85" s="33"/>
      <c r="B85" s="2" t="s">
        <v>10</v>
      </c>
      <c r="C85" s="3">
        <v>1.6000000000000001E-3</v>
      </c>
      <c r="D85" s="3">
        <v>1.6000000000000001E-3</v>
      </c>
      <c r="E85" s="3">
        <v>1.4E-3</v>
      </c>
      <c r="F85" s="3">
        <v>0.05</v>
      </c>
      <c r="G85" s="91" t="s">
        <v>24</v>
      </c>
      <c r="H85" s="9" t="s">
        <v>51</v>
      </c>
      <c r="I85" s="1" t="s">
        <v>17</v>
      </c>
    </row>
    <row r="86" spans="1:9" x14ac:dyDescent="0.2">
      <c r="A86" s="33"/>
      <c r="B86" s="2" t="s">
        <v>11</v>
      </c>
      <c r="C86" s="3">
        <v>0</v>
      </c>
      <c r="D86" s="3">
        <v>8.9999999999999998E-4</v>
      </c>
      <c r="E86" s="3">
        <v>5.9999999999999995E-4</v>
      </c>
      <c r="F86" s="3">
        <v>0.05</v>
      </c>
      <c r="G86" s="91" t="s">
        <v>24</v>
      </c>
      <c r="H86" s="9" t="s">
        <v>51</v>
      </c>
      <c r="I86" s="1" t="s">
        <v>18</v>
      </c>
    </row>
    <row r="87" spans="1:9" x14ac:dyDescent="0.2">
      <c r="A87" s="33"/>
      <c r="B87" s="2" t="s">
        <v>21</v>
      </c>
      <c r="C87" s="3">
        <v>0</v>
      </c>
      <c r="D87" s="3">
        <v>0</v>
      </c>
      <c r="E87" s="3">
        <v>0</v>
      </c>
      <c r="F87" s="3">
        <v>0.05</v>
      </c>
      <c r="G87" s="91" t="s">
        <v>24</v>
      </c>
      <c r="H87" s="9" t="s">
        <v>51</v>
      </c>
      <c r="I87" s="1" t="s">
        <v>18</v>
      </c>
    </row>
    <row r="88" spans="1:9" x14ac:dyDescent="0.2">
      <c r="A88" s="33"/>
      <c r="B88" s="2" t="s">
        <v>12</v>
      </c>
      <c r="C88" s="3">
        <v>0.19520000000000001</v>
      </c>
      <c r="D88" s="3">
        <v>0.20150000000000001</v>
      </c>
      <c r="E88" s="3">
        <v>0.1908</v>
      </c>
      <c r="F88" s="3">
        <v>0.15</v>
      </c>
      <c r="G88" s="90" t="s">
        <v>24</v>
      </c>
      <c r="H88" s="9" t="s">
        <v>52</v>
      </c>
      <c r="I88" s="9" t="s">
        <v>18</v>
      </c>
    </row>
    <row r="89" spans="1:9" x14ac:dyDescent="0.2">
      <c r="A89" s="33"/>
      <c r="B89" s="2" t="s">
        <v>13</v>
      </c>
      <c r="C89" s="3">
        <v>9.1999999999999998E-3</v>
      </c>
      <c r="D89" s="3">
        <v>8.8000000000000005E-3</v>
      </c>
      <c r="E89" s="3">
        <v>2.58E-2</v>
      </c>
      <c r="F89" s="3">
        <v>0.05</v>
      </c>
      <c r="G89" s="90" t="s">
        <v>24</v>
      </c>
      <c r="H89" s="10" t="s">
        <v>51</v>
      </c>
      <c r="I89" s="136" t="s">
        <v>189</v>
      </c>
    </row>
    <row r="90" spans="1:9" ht="15" x14ac:dyDescent="0.2">
      <c r="A90" s="33"/>
      <c r="B90" s="28" t="s">
        <v>5</v>
      </c>
      <c r="C90" s="103">
        <f>SUBTOTAL(109,C81:C89)</f>
        <v>1.5880000000000001</v>
      </c>
      <c r="D90" s="103">
        <f t="shared" ref="D90:F90" si="0">SUBTOTAL(109,D81:D89)</f>
        <v>1.5722999999999998</v>
      </c>
      <c r="E90" s="103">
        <f t="shared" si="0"/>
        <v>1.5875000000000001</v>
      </c>
      <c r="F90" s="103">
        <f t="shared" si="0"/>
        <v>1.7500000000000002</v>
      </c>
      <c r="G90" s="121" t="s">
        <v>189</v>
      </c>
      <c r="H90" s="116" t="s">
        <v>189</v>
      </c>
      <c r="I90" s="116" t="s">
        <v>189</v>
      </c>
    </row>
    <row r="91" spans="1:9" x14ac:dyDescent="0.2">
      <c r="A91" s="33"/>
      <c r="B91" s="2" t="s">
        <v>6</v>
      </c>
      <c r="C91" s="11">
        <v>0.2351</v>
      </c>
      <c r="D91" s="11">
        <v>0.22620000000000001</v>
      </c>
      <c r="E91" s="11">
        <v>0.2379</v>
      </c>
      <c r="F91" s="11">
        <v>0.22</v>
      </c>
      <c r="G91" s="90" t="s">
        <v>23</v>
      </c>
      <c r="H91" s="9" t="s">
        <v>53</v>
      </c>
      <c r="I91" s="1" t="s">
        <v>19</v>
      </c>
    </row>
    <row r="92" spans="1:9" ht="15" x14ac:dyDescent="0.2">
      <c r="A92" s="33"/>
      <c r="B92" s="28" t="s">
        <v>230</v>
      </c>
      <c r="C92" s="12">
        <v>1.4E-3</v>
      </c>
      <c r="D92" s="12">
        <v>1.4E-3</v>
      </c>
      <c r="E92" s="12">
        <v>1.1999999999999999E-3</v>
      </c>
      <c r="F92" s="150" t="s">
        <v>189</v>
      </c>
      <c r="G92" s="143" t="s">
        <v>189</v>
      </c>
      <c r="H92" s="144" t="s">
        <v>189</v>
      </c>
      <c r="I92" s="154" t="s">
        <v>189</v>
      </c>
    </row>
    <row r="93" spans="1:9" ht="15" x14ac:dyDescent="0.25">
      <c r="A93" s="20"/>
      <c r="B93" s="17"/>
      <c r="C93" s="17"/>
      <c r="D93" s="17"/>
      <c r="E93" s="19"/>
      <c r="F93" s="18"/>
      <c r="G93" s="92"/>
      <c r="H93" s="19"/>
      <c r="I93" s="175"/>
    </row>
    <row r="94" spans="1:9" ht="45" x14ac:dyDescent="0.25">
      <c r="A94" s="30" t="s">
        <v>68</v>
      </c>
      <c r="B94" s="38" t="s">
        <v>39</v>
      </c>
      <c r="C94" s="38"/>
      <c r="D94" s="38"/>
      <c r="E94" s="39"/>
      <c r="F94" s="40"/>
      <c r="G94" s="95"/>
      <c r="H94" s="39"/>
      <c r="I94" s="41"/>
    </row>
    <row r="95" spans="1:9" ht="23.25" x14ac:dyDescent="0.25">
      <c r="A95" s="30"/>
      <c r="B95" s="43" t="s">
        <v>40</v>
      </c>
      <c r="C95" s="43"/>
      <c r="D95" s="43"/>
      <c r="E95" s="39"/>
      <c r="F95" s="40"/>
      <c r="G95" s="95"/>
      <c r="H95" s="39"/>
      <c r="I95" s="41"/>
    </row>
    <row r="96" spans="1:9" ht="23.25" x14ac:dyDescent="0.25">
      <c r="A96" s="30"/>
      <c r="B96" s="43" t="s">
        <v>41</v>
      </c>
      <c r="C96" s="43"/>
      <c r="D96" s="43"/>
      <c r="E96" s="39"/>
      <c r="F96" s="40"/>
      <c r="G96" s="95"/>
      <c r="H96" s="39"/>
      <c r="I96" s="41"/>
    </row>
    <row r="97" spans="1:9" ht="15.75" x14ac:dyDescent="0.2">
      <c r="A97" s="31"/>
      <c r="B97" s="123" t="s">
        <v>0</v>
      </c>
      <c r="C97" s="124" t="s">
        <v>228</v>
      </c>
      <c r="D97" s="124" t="s">
        <v>227</v>
      </c>
      <c r="E97" s="124" t="s">
        <v>226</v>
      </c>
      <c r="F97" s="124" t="s">
        <v>200</v>
      </c>
      <c r="G97" s="125" t="s">
        <v>30</v>
      </c>
      <c r="H97" s="125" t="s">
        <v>20</v>
      </c>
      <c r="I97" s="125" t="s">
        <v>35</v>
      </c>
    </row>
    <row r="98" spans="1:9" ht="57" x14ac:dyDescent="0.2">
      <c r="A98" s="33"/>
      <c r="B98" s="2" t="s">
        <v>140</v>
      </c>
      <c r="C98" s="5">
        <v>4.7699999999999999E-2</v>
      </c>
      <c r="D98" s="5">
        <v>5.1700000000000003E-2</v>
      </c>
      <c r="E98" s="5">
        <v>4.7199999999999999E-2</v>
      </c>
      <c r="F98" s="5" t="s">
        <v>246</v>
      </c>
      <c r="G98" s="89" t="s">
        <v>23</v>
      </c>
      <c r="H98" s="7" t="s">
        <v>58</v>
      </c>
      <c r="I98" s="6" t="s">
        <v>223</v>
      </c>
    </row>
    <row r="99" spans="1:9" x14ac:dyDescent="0.2">
      <c r="A99" s="32"/>
      <c r="B99" s="2" t="s">
        <v>2</v>
      </c>
      <c r="C99" s="5">
        <v>9.7600000000000006E-2</v>
      </c>
      <c r="D99" s="5">
        <v>8.9200000000000002E-2</v>
      </c>
      <c r="E99" s="5">
        <v>9.6100000000000005E-2</v>
      </c>
      <c r="F99" s="5">
        <v>0.1</v>
      </c>
      <c r="G99" s="90" t="s">
        <v>24</v>
      </c>
      <c r="H99" s="4" t="s">
        <v>49</v>
      </c>
      <c r="I99" s="1" t="s">
        <v>14</v>
      </c>
    </row>
    <row r="100" spans="1:9" x14ac:dyDescent="0.2">
      <c r="A100" s="33"/>
      <c r="B100" s="72" t="s">
        <v>139</v>
      </c>
      <c r="C100" s="5">
        <v>0.76659999999999995</v>
      </c>
      <c r="D100" s="5">
        <v>0.78290000000000004</v>
      </c>
      <c r="E100" s="5">
        <v>0.77100000000000002</v>
      </c>
      <c r="F100" s="5">
        <v>0.8</v>
      </c>
      <c r="G100" s="90" t="s">
        <v>23</v>
      </c>
      <c r="H100" s="4" t="s">
        <v>131</v>
      </c>
      <c r="I100" s="1" t="s">
        <v>15</v>
      </c>
    </row>
    <row r="101" spans="1:9" ht="28.5" x14ac:dyDescent="0.2">
      <c r="A101" s="33"/>
      <c r="B101" s="184" t="s">
        <v>9</v>
      </c>
      <c r="C101" s="5">
        <v>1.2E-2</v>
      </c>
      <c r="D101" s="5">
        <v>1.52E-2</v>
      </c>
      <c r="E101" s="5">
        <v>1.2200000000000001E-2</v>
      </c>
      <c r="F101" s="5">
        <v>0.05</v>
      </c>
      <c r="G101" s="91" t="s">
        <v>24</v>
      </c>
      <c r="H101" s="9" t="s">
        <v>51</v>
      </c>
      <c r="I101" s="1" t="s">
        <v>16</v>
      </c>
    </row>
    <row r="102" spans="1:9" x14ac:dyDescent="0.2">
      <c r="A102" s="33"/>
      <c r="B102" s="184" t="s">
        <v>10</v>
      </c>
      <c r="C102" s="5">
        <v>1.6400000000000001E-2</v>
      </c>
      <c r="D102" s="5">
        <v>1.8800000000000001E-2</v>
      </c>
      <c r="E102" s="5">
        <v>1.4E-2</v>
      </c>
      <c r="F102" s="5">
        <v>0.05</v>
      </c>
      <c r="G102" s="91" t="s">
        <v>24</v>
      </c>
      <c r="H102" s="9" t="s">
        <v>51</v>
      </c>
      <c r="I102" s="1" t="s">
        <v>17</v>
      </c>
    </row>
    <row r="103" spans="1:9" x14ac:dyDescent="0.2">
      <c r="A103" s="33"/>
      <c r="B103" s="184" t="s">
        <v>11</v>
      </c>
      <c r="C103" s="5">
        <v>0</v>
      </c>
      <c r="D103" s="5">
        <v>0</v>
      </c>
      <c r="E103" s="5">
        <v>0</v>
      </c>
      <c r="F103" s="5">
        <v>0.05</v>
      </c>
      <c r="G103" s="91" t="s">
        <v>24</v>
      </c>
      <c r="H103" s="9" t="s">
        <v>51</v>
      </c>
      <c r="I103" s="1" t="s">
        <v>18</v>
      </c>
    </row>
    <row r="104" spans="1:9" x14ac:dyDescent="0.2">
      <c r="A104" s="33"/>
      <c r="B104" s="184" t="s">
        <v>21</v>
      </c>
      <c r="C104" s="3">
        <v>0</v>
      </c>
      <c r="D104" s="5">
        <v>0</v>
      </c>
      <c r="E104" s="3">
        <v>0</v>
      </c>
      <c r="F104" s="5">
        <v>0.05</v>
      </c>
      <c r="G104" s="91" t="s">
        <v>24</v>
      </c>
      <c r="H104" s="9" t="s">
        <v>51</v>
      </c>
      <c r="I104" s="1" t="s">
        <v>18</v>
      </c>
    </row>
    <row r="105" spans="1:9" x14ac:dyDescent="0.2">
      <c r="A105" s="33"/>
      <c r="B105" s="2" t="s">
        <v>12</v>
      </c>
      <c r="C105" s="5">
        <v>6.4600000000000005E-2</v>
      </c>
      <c r="D105" s="5">
        <v>4.8500000000000001E-2</v>
      </c>
      <c r="E105" s="5">
        <v>6.5500000000000003E-2</v>
      </c>
      <c r="F105" s="5">
        <v>0.05</v>
      </c>
      <c r="G105" s="90" t="s">
        <v>24</v>
      </c>
      <c r="H105" s="9" t="s">
        <v>51</v>
      </c>
      <c r="I105" s="9" t="s">
        <v>18</v>
      </c>
    </row>
    <row r="106" spans="1:9" x14ac:dyDescent="0.2">
      <c r="A106" s="33"/>
      <c r="B106" s="2" t="s">
        <v>13</v>
      </c>
      <c r="C106" s="3">
        <v>3.0000000000000001E-3</v>
      </c>
      <c r="D106" s="5">
        <v>2.0999999999999999E-3</v>
      </c>
      <c r="E106" s="3">
        <v>1.4E-3</v>
      </c>
      <c r="F106" s="3">
        <v>0.05</v>
      </c>
      <c r="G106" s="90" t="s">
        <v>24</v>
      </c>
      <c r="H106" s="10" t="s">
        <v>51</v>
      </c>
      <c r="I106" s="136" t="s">
        <v>189</v>
      </c>
    </row>
    <row r="107" spans="1:9" ht="15" x14ac:dyDescent="0.2">
      <c r="A107" s="33"/>
      <c r="B107" s="28" t="s">
        <v>5</v>
      </c>
      <c r="C107" s="103">
        <f>SUBTOTAL(109,C98:C106)</f>
        <v>1.0078999999999998</v>
      </c>
      <c r="D107" s="103">
        <f t="shared" ref="D107:F107" si="1">SUBTOTAL(109,D98:D106)</f>
        <v>1.0084000000000002</v>
      </c>
      <c r="E107" s="103">
        <f t="shared" si="1"/>
        <v>1.0074000000000001</v>
      </c>
      <c r="F107" s="103">
        <f t="shared" si="1"/>
        <v>1.2000000000000002</v>
      </c>
      <c r="G107" s="121" t="s">
        <v>189</v>
      </c>
      <c r="H107" s="122" t="s">
        <v>189</v>
      </c>
      <c r="I107" s="116" t="s">
        <v>189</v>
      </c>
    </row>
    <row r="108" spans="1:9" x14ac:dyDescent="0.2">
      <c r="A108" s="33"/>
      <c r="B108" s="2" t="s">
        <v>6</v>
      </c>
      <c r="C108" s="11">
        <v>5.6899999999999999E-2</v>
      </c>
      <c r="D108" s="11">
        <v>5.5399999999999998E-2</v>
      </c>
      <c r="E108" s="11">
        <v>5.0500000000000003E-2</v>
      </c>
      <c r="F108" s="11">
        <v>0.08</v>
      </c>
      <c r="G108" s="90" t="s">
        <v>23</v>
      </c>
      <c r="H108" s="9" t="s">
        <v>59</v>
      </c>
      <c r="I108" s="1" t="s">
        <v>19</v>
      </c>
    </row>
    <row r="109" spans="1:9" ht="15" x14ac:dyDescent="0.2">
      <c r="A109" s="33"/>
      <c r="B109" s="110" t="s">
        <v>230</v>
      </c>
      <c r="C109" s="12">
        <v>1E-3</v>
      </c>
      <c r="D109" s="12">
        <v>1E-3</v>
      </c>
      <c r="E109" s="12">
        <v>1E-3</v>
      </c>
      <c r="F109" s="150" t="s">
        <v>189</v>
      </c>
      <c r="G109" s="143" t="s">
        <v>189</v>
      </c>
      <c r="H109" s="144" t="s">
        <v>189</v>
      </c>
      <c r="I109" s="154" t="s">
        <v>189</v>
      </c>
    </row>
    <row r="110" spans="1:9" ht="15" x14ac:dyDescent="0.25">
      <c r="A110" s="20"/>
      <c r="B110" s="17"/>
      <c r="C110" s="17"/>
      <c r="D110" s="17"/>
      <c r="E110" s="19"/>
      <c r="F110" s="18"/>
      <c r="G110" s="92"/>
      <c r="H110" s="19"/>
      <c r="I110" s="175"/>
    </row>
    <row r="111" spans="1:9" ht="75" x14ac:dyDescent="0.25">
      <c r="A111" s="30" t="s">
        <v>69</v>
      </c>
      <c r="B111" s="38" t="s">
        <v>44</v>
      </c>
      <c r="C111" s="38"/>
      <c r="D111" s="38"/>
      <c r="E111" s="39"/>
      <c r="F111" s="40"/>
      <c r="G111" s="95"/>
      <c r="H111" s="39"/>
      <c r="I111" s="41"/>
    </row>
    <row r="112" spans="1:9" ht="23.25" x14ac:dyDescent="0.25">
      <c r="A112" s="30"/>
      <c r="B112" s="43" t="s">
        <v>45</v>
      </c>
      <c r="C112" s="43"/>
      <c r="D112" s="43"/>
      <c r="E112" s="39"/>
      <c r="F112" s="40"/>
      <c r="G112" s="95"/>
      <c r="H112" s="39"/>
      <c r="I112" s="41"/>
    </row>
    <row r="113" spans="1:9" ht="15.75" x14ac:dyDescent="0.2">
      <c r="A113" s="31"/>
      <c r="B113" s="13" t="s">
        <v>0</v>
      </c>
      <c r="C113" s="111" t="s">
        <v>189</v>
      </c>
      <c r="D113" s="64" t="s">
        <v>229</v>
      </c>
      <c r="E113" s="15" t="s">
        <v>226</v>
      </c>
      <c r="F113" s="15" t="s">
        <v>200</v>
      </c>
      <c r="G113" s="14" t="s">
        <v>30</v>
      </c>
      <c r="H113" s="14" t="s">
        <v>20</v>
      </c>
      <c r="I113" s="14" t="s">
        <v>35</v>
      </c>
    </row>
    <row r="114" spans="1:9" ht="57" x14ac:dyDescent="0.2">
      <c r="A114" s="33"/>
      <c r="B114" s="108" t="s">
        <v>140</v>
      </c>
      <c r="C114" s="112" t="s">
        <v>189</v>
      </c>
      <c r="D114" s="5">
        <v>0.24879999999999999</v>
      </c>
      <c r="E114" s="5">
        <v>0.23849999999999999</v>
      </c>
      <c r="F114" s="5">
        <v>0.24</v>
      </c>
      <c r="G114" s="185" t="s">
        <v>23</v>
      </c>
      <c r="H114" s="7" t="s">
        <v>63</v>
      </c>
      <c r="I114" s="6" t="s">
        <v>223</v>
      </c>
    </row>
    <row r="115" spans="1:9" x14ac:dyDescent="0.2">
      <c r="A115" s="32"/>
      <c r="B115" s="108" t="s">
        <v>2</v>
      </c>
      <c r="C115" s="113" t="s">
        <v>189</v>
      </c>
      <c r="D115" s="3">
        <v>0.27939999999999998</v>
      </c>
      <c r="E115" s="3">
        <v>0.28810000000000002</v>
      </c>
      <c r="F115" s="3">
        <v>0.27</v>
      </c>
      <c r="G115" s="187" t="s">
        <v>24</v>
      </c>
      <c r="H115" s="4" t="s">
        <v>179</v>
      </c>
      <c r="I115" s="1" t="s">
        <v>14</v>
      </c>
    </row>
    <row r="116" spans="1:9" x14ac:dyDescent="0.2">
      <c r="A116" s="33"/>
      <c r="B116" s="109" t="s">
        <v>139</v>
      </c>
      <c r="C116" s="112" t="s">
        <v>189</v>
      </c>
      <c r="D116" s="3">
        <v>0.33810000000000001</v>
      </c>
      <c r="E116" s="3">
        <v>0.33660000000000001</v>
      </c>
      <c r="F116" s="3">
        <v>0.35</v>
      </c>
      <c r="G116" s="187" t="s">
        <v>23</v>
      </c>
      <c r="H116" s="4" t="s">
        <v>119</v>
      </c>
      <c r="I116" s="1" t="s">
        <v>15</v>
      </c>
    </row>
    <row r="117" spans="1:9" ht="28.5" x14ac:dyDescent="0.2">
      <c r="A117" s="33"/>
      <c r="B117" s="166" t="s">
        <v>9</v>
      </c>
      <c r="C117" s="113" t="s">
        <v>189</v>
      </c>
      <c r="D117" s="3">
        <v>8.1000000000000003E-2</v>
      </c>
      <c r="E117" s="3">
        <v>5.8099999999999999E-2</v>
      </c>
      <c r="F117" s="3">
        <v>7.0000000000000007E-2</v>
      </c>
      <c r="G117" s="188" t="s">
        <v>24</v>
      </c>
      <c r="H117" s="4" t="s">
        <v>50</v>
      </c>
      <c r="I117" s="1" t="s">
        <v>16</v>
      </c>
    </row>
    <row r="118" spans="1:9" x14ac:dyDescent="0.2">
      <c r="A118" s="33"/>
      <c r="B118" s="166" t="s">
        <v>10</v>
      </c>
      <c r="C118" s="113" t="s">
        <v>189</v>
      </c>
      <c r="D118" s="3">
        <v>3.95E-2</v>
      </c>
      <c r="E118" s="3">
        <v>4.4400000000000002E-2</v>
      </c>
      <c r="F118" s="3">
        <v>0.05</v>
      </c>
      <c r="G118" s="188" t="s">
        <v>24</v>
      </c>
      <c r="H118" s="4" t="s">
        <v>51</v>
      </c>
      <c r="I118" s="1" t="s">
        <v>17</v>
      </c>
    </row>
    <row r="119" spans="1:9" x14ac:dyDescent="0.2">
      <c r="A119" s="33"/>
      <c r="B119" s="166" t="s">
        <v>11</v>
      </c>
      <c r="C119" s="113" t="s">
        <v>189</v>
      </c>
      <c r="D119" s="3">
        <v>0</v>
      </c>
      <c r="E119" s="3">
        <v>0</v>
      </c>
      <c r="F119" s="3">
        <v>0.05</v>
      </c>
      <c r="G119" s="188" t="s">
        <v>24</v>
      </c>
      <c r="H119" s="4" t="s">
        <v>51</v>
      </c>
      <c r="I119" s="1" t="s">
        <v>18</v>
      </c>
    </row>
    <row r="120" spans="1:9" x14ac:dyDescent="0.2">
      <c r="A120" s="33"/>
      <c r="B120" s="166" t="s">
        <v>21</v>
      </c>
      <c r="C120" s="113" t="s">
        <v>189</v>
      </c>
      <c r="D120" s="3">
        <v>0</v>
      </c>
      <c r="E120" s="3">
        <v>0</v>
      </c>
      <c r="F120" s="3">
        <v>0.05</v>
      </c>
      <c r="G120" s="188" t="s">
        <v>24</v>
      </c>
      <c r="H120" s="4" t="s">
        <v>51</v>
      </c>
      <c r="I120" s="1" t="s">
        <v>18</v>
      </c>
    </row>
    <row r="121" spans="1:9" x14ac:dyDescent="0.2">
      <c r="A121" s="33"/>
      <c r="B121" s="166" t="s">
        <v>12</v>
      </c>
      <c r="C121" s="113" t="s">
        <v>189</v>
      </c>
      <c r="D121" s="3">
        <v>0.16520000000000001</v>
      </c>
      <c r="E121" s="3">
        <v>0.16619999999999999</v>
      </c>
      <c r="F121" s="3">
        <v>0.12</v>
      </c>
      <c r="G121" s="187" t="s">
        <v>24</v>
      </c>
      <c r="H121" s="4" t="s">
        <v>56</v>
      </c>
      <c r="I121" s="9" t="s">
        <v>18</v>
      </c>
    </row>
    <row r="122" spans="1:9" x14ac:dyDescent="0.2">
      <c r="A122" s="33"/>
      <c r="B122" s="166" t="s">
        <v>13</v>
      </c>
      <c r="C122" s="113" t="s">
        <v>189</v>
      </c>
      <c r="D122" s="3">
        <v>2.06E-2</v>
      </c>
      <c r="E122" s="3">
        <v>2.1499999999999998E-2</v>
      </c>
      <c r="F122" s="3">
        <v>0.05</v>
      </c>
      <c r="G122" s="187" t="s">
        <v>24</v>
      </c>
      <c r="H122" s="190" t="s">
        <v>51</v>
      </c>
      <c r="I122" s="136" t="s">
        <v>189</v>
      </c>
    </row>
    <row r="123" spans="1:9" ht="15" x14ac:dyDescent="0.2">
      <c r="A123" s="33"/>
      <c r="B123" s="110" t="s">
        <v>5</v>
      </c>
      <c r="C123" s="114" t="s">
        <v>189</v>
      </c>
      <c r="D123" s="103">
        <f>SUBTOTAL(109,D114:D122)</f>
        <v>1.1726000000000001</v>
      </c>
      <c r="E123" s="103">
        <f>SUBTOTAL(109,E114:E122)</f>
        <v>1.1534</v>
      </c>
      <c r="F123" s="103">
        <f>SUBTOTAL(109,F114:F122)</f>
        <v>1.2500000000000002</v>
      </c>
      <c r="G123" s="193" t="s">
        <v>189</v>
      </c>
      <c r="H123" s="194" t="s">
        <v>189</v>
      </c>
      <c r="I123" s="116" t="s">
        <v>189</v>
      </c>
    </row>
    <row r="124" spans="1:9" x14ac:dyDescent="0.2">
      <c r="A124" s="33"/>
      <c r="B124" s="108" t="s">
        <v>6</v>
      </c>
      <c r="C124" s="113" t="s">
        <v>189</v>
      </c>
      <c r="D124" s="11">
        <v>0.17860000000000001</v>
      </c>
      <c r="E124" s="11">
        <v>0.17680000000000001</v>
      </c>
      <c r="F124" s="11">
        <v>0.18</v>
      </c>
      <c r="G124" s="187" t="s">
        <v>23</v>
      </c>
      <c r="H124" s="4" t="s">
        <v>207</v>
      </c>
      <c r="I124" s="1" t="s">
        <v>19</v>
      </c>
    </row>
    <row r="125" spans="1:9" ht="15" x14ac:dyDescent="0.2">
      <c r="A125" s="33"/>
      <c r="B125" s="110" t="s">
        <v>230</v>
      </c>
      <c r="C125" s="114" t="s">
        <v>189</v>
      </c>
      <c r="D125" s="12">
        <v>2.2000000000000001E-3</v>
      </c>
      <c r="E125" s="12">
        <v>1.6999999999999999E-3</v>
      </c>
      <c r="F125" s="150" t="s">
        <v>189</v>
      </c>
      <c r="G125" s="143" t="s">
        <v>189</v>
      </c>
      <c r="H125" s="144" t="s">
        <v>189</v>
      </c>
      <c r="I125" s="154" t="s">
        <v>189</v>
      </c>
    </row>
    <row r="126" spans="1:9" ht="15" x14ac:dyDescent="0.25">
      <c r="A126" s="20"/>
      <c r="B126" s="17"/>
      <c r="C126" s="17"/>
      <c r="D126" s="17"/>
      <c r="E126" s="19"/>
      <c r="F126" s="18"/>
      <c r="G126" s="92"/>
      <c r="H126" s="19"/>
      <c r="I126" s="175"/>
    </row>
    <row r="127" spans="1:9" ht="45" x14ac:dyDescent="0.25">
      <c r="A127" s="30" t="s">
        <v>70</v>
      </c>
      <c r="B127" s="38" t="s">
        <v>71</v>
      </c>
      <c r="C127" s="38"/>
      <c r="D127" s="38"/>
      <c r="E127" s="39"/>
      <c r="F127" s="40"/>
      <c r="G127" s="95"/>
      <c r="H127" s="39"/>
      <c r="I127" s="41"/>
    </row>
    <row r="128" spans="1:9" ht="23.25" x14ac:dyDescent="0.25">
      <c r="A128" s="30"/>
      <c r="B128" s="43" t="s">
        <v>72</v>
      </c>
      <c r="C128" s="43"/>
      <c r="D128" s="43"/>
      <c r="E128" s="39"/>
      <c r="F128" s="40"/>
      <c r="G128" s="95"/>
      <c r="H128" s="39"/>
      <c r="I128" s="41"/>
    </row>
    <row r="129" spans="1:9" ht="23.25" x14ac:dyDescent="0.25">
      <c r="A129" s="30"/>
      <c r="B129" s="43" t="s">
        <v>74</v>
      </c>
      <c r="C129" s="43"/>
      <c r="D129" s="43"/>
      <c r="E129" s="39"/>
      <c r="F129" s="40"/>
      <c r="G129" s="95"/>
      <c r="H129" s="39"/>
      <c r="I129" s="41"/>
    </row>
    <row r="130" spans="1:9" ht="15.75" x14ac:dyDescent="0.2">
      <c r="A130" s="31"/>
      <c r="B130" s="123" t="s">
        <v>0</v>
      </c>
      <c r="C130" s="124" t="s">
        <v>228</v>
      </c>
      <c r="D130" s="124" t="s">
        <v>227</v>
      </c>
      <c r="E130" s="124" t="s">
        <v>226</v>
      </c>
      <c r="F130" s="124" t="s">
        <v>200</v>
      </c>
      <c r="G130" s="125" t="s">
        <v>30</v>
      </c>
      <c r="H130" s="125" t="s">
        <v>20</v>
      </c>
      <c r="I130" s="125" t="s">
        <v>35</v>
      </c>
    </row>
    <row r="131" spans="1:9" x14ac:dyDescent="0.2">
      <c r="A131" s="33"/>
      <c r="B131" s="108" t="s">
        <v>140</v>
      </c>
      <c r="C131" s="127" t="s">
        <v>189</v>
      </c>
      <c r="D131" s="127" t="s">
        <v>189</v>
      </c>
      <c r="E131" s="127" t="s">
        <v>189</v>
      </c>
      <c r="F131" s="127" t="s">
        <v>189</v>
      </c>
      <c r="G131" s="89" t="s">
        <v>23</v>
      </c>
      <c r="H131" s="7" t="s">
        <v>73</v>
      </c>
      <c r="I131" s="155" t="s">
        <v>189</v>
      </c>
    </row>
    <row r="132" spans="1:9" x14ac:dyDescent="0.2">
      <c r="A132" s="32"/>
      <c r="B132" s="108" t="s">
        <v>2</v>
      </c>
      <c r="C132" s="57">
        <v>0.9486</v>
      </c>
      <c r="D132" s="57">
        <v>0.9325</v>
      </c>
      <c r="E132" s="57">
        <v>0.96250000000000002</v>
      </c>
      <c r="F132" s="57">
        <v>0.95</v>
      </c>
      <c r="G132" s="90" t="s">
        <v>24</v>
      </c>
      <c r="H132" s="4" t="s">
        <v>132</v>
      </c>
      <c r="I132" s="1" t="s">
        <v>14</v>
      </c>
    </row>
    <row r="133" spans="1:9" x14ac:dyDescent="0.2">
      <c r="A133" s="33"/>
      <c r="B133" s="109" t="s">
        <v>139</v>
      </c>
      <c r="C133" s="57">
        <v>1.7999999999999999E-2</v>
      </c>
      <c r="D133" s="57">
        <v>2.35E-2</v>
      </c>
      <c r="E133" s="57">
        <v>2.2800000000000001E-2</v>
      </c>
      <c r="F133" s="57">
        <v>0.06</v>
      </c>
      <c r="G133" s="90" t="s">
        <v>23</v>
      </c>
      <c r="H133" s="4" t="s">
        <v>58</v>
      </c>
      <c r="I133" s="153" t="s">
        <v>189</v>
      </c>
    </row>
    <row r="134" spans="1:9" x14ac:dyDescent="0.2">
      <c r="A134" s="33"/>
      <c r="B134" s="166" t="s">
        <v>12</v>
      </c>
      <c r="C134" s="57">
        <v>3.3300000000000003E-2</v>
      </c>
      <c r="D134" s="57">
        <v>4.3900000000000002E-2</v>
      </c>
      <c r="E134" s="57">
        <v>1.47E-2</v>
      </c>
      <c r="F134" s="57">
        <v>0.05</v>
      </c>
      <c r="G134" s="90" t="s">
        <v>24</v>
      </c>
      <c r="H134" s="9" t="s">
        <v>51</v>
      </c>
      <c r="I134" s="9" t="s">
        <v>18</v>
      </c>
    </row>
    <row r="135" spans="1:9" ht="15" x14ac:dyDescent="0.2">
      <c r="A135" s="33"/>
      <c r="B135" s="110" t="s">
        <v>5</v>
      </c>
      <c r="C135" s="29">
        <f>SUBTOTAL(109,C131:C134)</f>
        <v>0.99990000000000001</v>
      </c>
      <c r="D135" s="29">
        <f t="shared" ref="D135:F135" si="2">SUBTOTAL(109,D131:D134)</f>
        <v>0.99990000000000001</v>
      </c>
      <c r="E135" s="29">
        <f t="shared" si="2"/>
        <v>1</v>
      </c>
      <c r="F135" s="29">
        <f t="shared" si="2"/>
        <v>1.06</v>
      </c>
      <c r="G135" s="121" t="s">
        <v>189</v>
      </c>
      <c r="H135" s="42" t="s">
        <v>73</v>
      </c>
      <c r="I135" s="116" t="s">
        <v>189</v>
      </c>
    </row>
    <row r="136" spans="1:9" x14ac:dyDescent="0.2">
      <c r="A136" s="33"/>
      <c r="B136" s="108" t="s">
        <v>6</v>
      </c>
      <c r="C136" s="149" t="s">
        <v>189</v>
      </c>
      <c r="D136" s="149" t="s">
        <v>189</v>
      </c>
      <c r="E136" s="149">
        <v>0</v>
      </c>
      <c r="F136" s="149" t="s">
        <v>189</v>
      </c>
      <c r="G136" s="90" t="s">
        <v>23</v>
      </c>
      <c r="H136" s="9" t="s">
        <v>73</v>
      </c>
      <c r="I136" s="153" t="s">
        <v>189</v>
      </c>
    </row>
    <row r="137" spans="1:9" ht="15" x14ac:dyDescent="0.2">
      <c r="A137" s="33"/>
      <c r="B137" s="110" t="s">
        <v>230</v>
      </c>
      <c r="C137" s="12">
        <v>1E-3</v>
      </c>
      <c r="D137" s="12">
        <v>1E-3</v>
      </c>
      <c r="E137" s="12">
        <v>1E-3</v>
      </c>
      <c r="F137" s="150" t="s">
        <v>189</v>
      </c>
      <c r="G137" s="143" t="s">
        <v>189</v>
      </c>
      <c r="H137" s="144" t="s">
        <v>189</v>
      </c>
      <c r="I137" s="154" t="s">
        <v>189</v>
      </c>
    </row>
    <row r="138" spans="1:9" ht="15" x14ac:dyDescent="0.25">
      <c r="A138" s="20"/>
      <c r="B138" s="17"/>
      <c r="C138" s="17"/>
      <c r="D138" s="17"/>
      <c r="E138" s="19"/>
      <c r="F138" s="18"/>
      <c r="G138" s="92"/>
      <c r="H138" s="19"/>
      <c r="I138" s="175"/>
    </row>
    <row r="139" spans="1:9" ht="60" x14ac:dyDescent="0.25">
      <c r="A139" s="44" t="s">
        <v>93</v>
      </c>
      <c r="B139" s="38" t="s">
        <v>75</v>
      </c>
      <c r="C139" s="38"/>
      <c r="D139" s="38"/>
      <c r="E139" s="39"/>
      <c r="F139" s="40"/>
      <c r="G139" s="95"/>
      <c r="H139" s="39"/>
      <c r="I139" s="41"/>
    </row>
    <row r="140" spans="1:9" ht="23.25" x14ac:dyDescent="0.25">
      <c r="A140" s="44"/>
      <c r="B140" s="43" t="s">
        <v>76</v>
      </c>
      <c r="C140" s="43"/>
      <c r="D140" s="43"/>
      <c r="E140" s="39"/>
      <c r="F140" s="40"/>
      <c r="G140" s="95"/>
      <c r="H140" s="39"/>
      <c r="I140" s="41"/>
    </row>
    <row r="141" spans="1:9" ht="23.25" x14ac:dyDescent="0.25">
      <c r="A141" s="44"/>
      <c r="B141" s="43" t="s">
        <v>77</v>
      </c>
      <c r="C141" s="43"/>
      <c r="D141" s="43"/>
      <c r="E141" s="39"/>
      <c r="F141" s="40"/>
      <c r="G141" s="95"/>
      <c r="H141" s="39"/>
      <c r="I141" s="41"/>
    </row>
    <row r="142" spans="1:9" ht="15.75" x14ac:dyDescent="0.2">
      <c r="A142" s="45"/>
      <c r="B142" s="123" t="s">
        <v>0</v>
      </c>
      <c r="C142" s="124" t="s">
        <v>228</v>
      </c>
      <c r="D142" s="124" t="s">
        <v>227</v>
      </c>
      <c r="E142" s="124" t="s">
        <v>226</v>
      </c>
      <c r="F142" s="124" t="s">
        <v>200</v>
      </c>
      <c r="G142" s="125" t="s">
        <v>30</v>
      </c>
      <c r="H142" s="125" t="s">
        <v>20</v>
      </c>
      <c r="I142" s="125" t="s">
        <v>35</v>
      </c>
    </row>
    <row r="143" spans="1:9" ht="28.5" x14ac:dyDescent="0.2">
      <c r="A143" s="47"/>
      <c r="B143" s="108" t="s">
        <v>140</v>
      </c>
      <c r="C143" s="65">
        <v>0.44180000000000003</v>
      </c>
      <c r="D143" s="65">
        <v>0.44169999999999998</v>
      </c>
      <c r="E143" s="65">
        <v>0.44290000000000002</v>
      </c>
      <c r="F143" s="65">
        <v>0.46</v>
      </c>
      <c r="G143" s="89" t="s">
        <v>23</v>
      </c>
      <c r="H143" s="7" t="s">
        <v>48</v>
      </c>
      <c r="I143" s="6" t="s">
        <v>232</v>
      </c>
    </row>
    <row r="144" spans="1:9" x14ac:dyDescent="0.2">
      <c r="A144" s="46"/>
      <c r="B144" s="108" t="s">
        <v>2</v>
      </c>
      <c r="C144" s="57">
        <v>0.24099999999999999</v>
      </c>
      <c r="D144" s="57">
        <v>0.22370000000000001</v>
      </c>
      <c r="E144" s="57">
        <v>0.22009999999999999</v>
      </c>
      <c r="F144" s="57">
        <v>0.2</v>
      </c>
      <c r="G144" s="90" t="s">
        <v>24</v>
      </c>
      <c r="H144" s="4" t="s">
        <v>133</v>
      </c>
      <c r="I144" s="1" t="s">
        <v>14</v>
      </c>
    </row>
    <row r="145" spans="1:9" x14ac:dyDescent="0.2">
      <c r="A145" s="47"/>
      <c r="B145" s="109" t="s">
        <v>139</v>
      </c>
      <c r="C145" s="57">
        <v>0.38790000000000002</v>
      </c>
      <c r="D145" s="57">
        <v>0.36909999999999998</v>
      </c>
      <c r="E145" s="57">
        <v>0.36720000000000003</v>
      </c>
      <c r="F145" s="57">
        <v>0.34</v>
      </c>
      <c r="G145" s="90" t="s">
        <v>23</v>
      </c>
      <c r="H145" s="4" t="s">
        <v>127</v>
      </c>
      <c r="I145" s="1" t="s">
        <v>15</v>
      </c>
    </row>
    <row r="146" spans="1:9" x14ac:dyDescent="0.2">
      <c r="A146" s="47"/>
      <c r="B146" s="108" t="s">
        <v>12</v>
      </c>
      <c r="C146" s="57">
        <v>0.19309999999999999</v>
      </c>
      <c r="D146" s="57">
        <v>0.18629999999999999</v>
      </c>
      <c r="E146" s="57">
        <v>0.1875</v>
      </c>
      <c r="F146" s="57">
        <v>0.15</v>
      </c>
      <c r="G146" s="90" t="s">
        <v>24</v>
      </c>
      <c r="H146" s="9" t="s">
        <v>52</v>
      </c>
      <c r="I146" s="9" t="s">
        <v>18</v>
      </c>
    </row>
    <row r="147" spans="1:9" ht="15" x14ac:dyDescent="0.2">
      <c r="A147" s="47"/>
      <c r="B147" s="110" t="s">
        <v>5</v>
      </c>
      <c r="C147" s="106">
        <f>SUBTOTAL(109,C143:C146)</f>
        <v>1.2638</v>
      </c>
      <c r="D147" s="106">
        <f t="shared" ref="D147:F147" si="3">SUBTOTAL(109,D143:D146)</f>
        <v>1.2207999999999999</v>
      </c>
      <c r="E147" s="106">
        <f t="shared" si="3"/>
        <v>1.2177</v>
      </c>
      <c r="F147" s="106">
        <f t="shared" si="3"/>
        <v>1.1499999999999999</v>
      </c>
      <c r="G147" s="121" t="s">
        <v>189</v>
      </c>
      <c r="H147" s="122" t="s">
        <v>189</v>
      </c>
      <c r="I147" s="116" t="s">
        <v>189</v>
      </c>
    </row>
    <row r="148" spans="1:9" x14ac:dyDescent="0.2">
      <c r="A148" s="47"/>
      <c r="B148" s="108" t="s">
        <v>6</v>
      </c>
      <c r="C148" s="71">
        <v>0.15659999999999999</v>
      </c>
      <c r="D148" s="71">
        <v>0.1535</v>
      </c>
      <c r="E148" s="71">
        <v>0.15229999999999999</v>
      </c>
      <c r="F148" s="71">
        <v>0.18</v>
      </c>
      <c r="G148" s="90" t="s">
        <v>23</v>
      </c>
      <c r="H148" s="9" t="s">
        <v>207</v>
      </c>
      <c r="I148" s="1" t="s">
        <v>19</v>
      </c>
    </row>
    <row r="149" spans="1:9" ht="15" x14ac:dyDescent="0.2">
      <c r="A149" s="47"/>
      <c r="B149" s="110" t="s">
        <v>230</v>
      </c>
      <c r="C149" s="12">
        <v>5.9999999999999995E-4</v>
      </c>
      <c r="D149" s="12">
        <v>5.9999999999999995E-4</v>
      </c>
      <c r="E149" s="12">
        <v>5.9999999999999995E-4</v>
      </c>
      <c r="F149" s="142" t="s">
        <v>189</v>
      </c>
      <c r="G149" s="143" t="s">
        <v>189</v>
      </c>
      <c r="H149" s="144" t="s">
        <v>189</v>
      </c>
      <c r="I149" s="154" t="s">
        <v>189</v>
      </c>
    </row>
    <row r="150" spans="1:9" ht="15" x14ac:dyDescent="0.25">
      <c r="A150" s="20"/>
      <c r="B150" s="17"/>
      <c r="C150" s="17"/>
      <c r="D150" s="17"/>
      <c r="E150" s="19"/>
      <c r="F150" s="18"/>
      <c r="G150" s="92"/>
      <c r="H150" s="19"/>
      <c r="I150" s="175"/>
    </row>
    <row r="151" spans="1:9" ht="60" x14ac:dyDescent="0.25">
      <c r="A151" s="44" t="s">
        <v>83</v>
      </c>
      <c r="B151" s="38" t="s">
        <v>80</v>
      </c>
      <c r="C151" s="38"/>
      <c r="D151" s="38"/>
      <c r="E151" s="39"/>
      <c r="F151" s="40"/>
      <c r="G151" s="95"/>
      <c r="H151" s="39"/>
      <c r="I151" s="41"/>
    </row>
    <row r="152" spans="1:9" ht="23.25" x14ac:dyDescent="0.25">
      <c r="A152" s="44"/>
      <c r="B152" s="43" t="s">
        <v>81</v>
      </c>
      <c r="C152" s="43"/>
      <c r="D152" s="43"/>
      <c r="E152" s="39"/>
      <c r="F152" s="40"/>
      <c r="G152" s="95"/>
      <c r="H152" s="39"/>
      <c r="I152" s="41"/>
    </row>
    <row r="153" spans="1:9" ht="23.25" x14ac:dyDescent="0.25">
      <c r="A153" s="44"/>
      <c r="B153" s="43" t="s">
        <v>82</v>
      </c>
      <c r="C153" s="43"/>
      <c r="D153" s="43"/>
      <c r="E153" s="39"/>
      <c r="F153" s="40"/>
      <c r="G153" s="95"/>
      <c r="H153" s="39"/>
      <c r="I153" s="41"/>
    </row>
    <row r="154" spans="1:9" ht="15.75" x14ac:dyDescent="0.2">
      <c r="A154" s="45"/>
      <c r="B154" s="137" t="s">
        <v>0</v>
      </c>
      <c r="C154" s="124" t="s">
        <v>228</v>
      </c>
      <c r="D154" s="124" t="s">
        <v>227</v>
      </c>
      <c r="E154" s="124" t="s">
        <v>226</v>
      </c>
      <c r="F154" s="124" t="s">
        <v>200</v>
      </c>
      <c r="G154" s="125" t="s">
        <v>30</v>
      </c>
      <c r="H154" s="125" t="s">
        <v>20</v>
      </c>
      <c r="I154" s="125" t="s">
        <v>35</v>
      </c>
    </row>
    <row r="155" spans="1:9" ht="28.5" x14ac:dyDescent="0.2">
      <c r="A155" s="47"/>
      <c r="B155" s="184" t="s">
        <v>140</v>
      </c>
      <c r="C155" s="65">
        <v>0.96960000000000002</v>
      </c>
      <c r="D155" s="65">
        <v>0.96309999999999996</v>
      </c>
      <c r="E155" s="65">
        <v>0.96389999999999998</v>
      </c>
      <c r="F155" s="65">
        <v>0.94</v>
      </c>
      <c r="G155" s="89" t="s">
        <v>23</v>
      </c>
      <c r="H155" s="7" t="s">
        <v>99</v>
      </c>
      <c r="I155" s="6" t="s">
        <v>232</v>
      </c>
    </row>
    <row r="156" spans="1:9" x14ac:dyDescent="0.2">
      <c r="A156" s="46"/>
      <c r="B156" s="184" t="s">
        <v>2</v>
      </c>
      <c r="C156" s="57">
        <v>0.41870000000000002</v>
      </c>
      <c r="D156" s="57">
        <v>0.4289</v>
      </c>
      <c r="E156" s="57">
        <v>0.4284</v>
      </c>
      <c r="F156" s="57">
        <v>0.47</v>
      </c>
      <c r="G156" s="90" t="s">
        <v>24</v>
      </c>
      <c r="H156" s="4" t="s">
        <v>134</v>
      </c>
      <c r="I156" s="1" t="s">
        <v>14</v>
      </c>
    </row>
    <row r="157" spans="1:9" x14ac:dyDescent="0.2">
      <c r="A157" s="47"/>
      <c r="B157" s="195" t="s">
        <v>139</v>
      </c>
      <c r="C157" s="57">
        <v>2.53E-2</v>
      </c>
      <c r="D157" s="57">
        <v>2.4500000000000001E-2</v>
      </c>
      <c r="E157" s="57">
        <v>2.3900000000000001E-2</v>
      </c>
      <c r="F157" s="57">
        <v>0.06</v>
      </c>
      <c r="G157" s="90" t="s">
        <v>23</v>
      </c>
      <c r="H157" s="4" t="s">
        <v>58</v>
      </c>
      <c r="I157" s="1" t="s">
        <v>15</v>
      </c>
    </row>
    <row r="158" spans="1:9" x14ac:dyDescent="0.2">
      <c r="A158" s="47"/>
      <c r="B158" s="184" t="s">
        <v>12</v>
      </c>
      <c r="C158" s="3">
        <v>0.16120000000000001</v>
      </c>
      <c r="D158" s="3">
        <v>0.16370000000000001</v>
      </c>
      <c r="E158" s="3">
        <v>0.15340000000000001</v>
      </c>
      <c r="F158" s="3">
        <v>0.15</v>
      </c>
      <c r="G158" s="90" t="s">
        <v>24</v>
      </c>
      <c r="H158" s="9" t="s">
        <v>52</v>
      </c>
      <c r="I158" s="9" t="s">
        <v>18</v>
      </c>
    </row>
    <row r="159" spans="1:9" ht="15" x14ac:dyDescent="0.2">
      <c r="A159" s="47"/>
      <c r="B159" s="196" t="s">
        <v>5</v>
      </c>
      <c r="C159" s="103">
        <f>SUBTOTAL(109,C155:C158)</f>
        <v>1.5748000000000002</v>
      </c>
      <c r="D159" s="103">
        <f>SUBTOTAL(109,D155:D158)</f>
        <v>1.5801999999999998</v>
      </c>
      <c r="E159" s="103">
        <f>SUBTOTAL(109,E155:E158)</f>
        <v>1.5696000000000001</v>
      </c>
      <c r="F159" s="103">
        <f>SUBTOTAL(109,F155:F158)</f>
        <v>1.6199999999999999</v>
      </c>
      <c r="G159" s="121" t="s">
        <v>189</v>
      </c>
      <c r="H159" s="122" t="s">
        <v>189</v>
      </c>
      <c r="I159" s="116" t="s">
        <v>189</v>
      </c>
    </row>
    <row r="160" spans="1:9" x14ac:dyDescent="0.2">
      <c r="A160" s="47"/>
      <c r="B160" s="184" t="s">
        <v>6</v>
      </c>
      <c r="C160" s="11">
        <v>0.17899999999999999</v>
      </c>
      <c r="D160" s="11">
        <v>0.1681</v>
      </c>
      <c r="E160" s="11">
        <v>0.17780000000000001</v>
      </c>
      <c r="F160" s="11">
        <v>0.18</v>
      </c>
      <c r="G160" s="90" t="s">
        <v>23</v>
      </c>
      <c r="H160" s="9" t="s">
        <v>207</v>
      </c>
      <c r="I160" s="1" t="s">
        <v>19</v>
      </c>
    </row>
    <row r="161" spans="1:9" ht="15" x14ac:dyDescent="0.2">
      <c r="A161" s="47"/>
      <c r="B161" s="110" t="s">
        <v>230</v>
      </c>
      <c r="C161" s="12">
        <v>5.9999999999999995E-4</v>
      </c>
      <c r="D161" s="12">
        <v>5.9999999999999995E-4</v>
      </c>
      <c r="E161" s="104">
        <v>5.9999999999999995E-4</v>
      </c>
      <c r="F161" s="142" t="s">
        <v>189</v>
      </c>
      <c r="G161" s="143" t="s">
        <v>189</v>
      </c>
      <c r="H161" s="144" t="s">
        <v>189</v>
      </c>
      <c r="I161" s="154" t="s">
        <v>189</v>
      </c>
    </row>
    <row r="162" spans="1:9" ht="15" x14ac:dyDescent="0.25">
      <c r="A162" s="20"/>
      <c r="B162" s="17"/>
      <c r="C162" s="17"/>
      <c r="D162" s="17"/>
      <c r="E162" s="19"/>
      <c r="F162" s="18"/>
      <c r="G162" s="92"/>
      <c r="H162" s="19"/>
      <c r="I162" s="175"/>
    </row>
    <row r="163" spans="1:9" ht="60" x14ac:dyDescent="0.25">
      <c r="A163" s="44" t="s">
        <v>84</v>
      </c>
      <c r="B163" s="38" t="s">
        <v>85</v>
      </c>
      <c r="C163" s="38"/>
      <c r="D163" s="38"/>
      <c r="E163" s="39"/>
      <c r="F163" s="40"/>
      <c r="G163" s="95"/>
      <c r="H163" s="39"/>
      <c r="I163" s="41"/>
    </row>
    <row r="164" spans="1:9" ht="23.25" x14ac:dyDescent="0.25">
      <c r="A164" s="44"/>
      <c r="B164" s="43" t="s">
        <v>86</v>
      </c>
      <c r="C164" s="43"/>
      <c r="D164" s="43"/>
      <c r="E164" s="39"/>
      <c r="F164" s="40"/>
      <c r="G164" s="95"/>
      <c r="H164" s="39"/>
      <c r="I164" s="41"/>
    </row>
    <row r="165" spans="1:9" ht="23.25" x14ac:dyDescent="0.25">
      <c r="A165" s="44"/>
      <c r="B165" s="43" t="s">
        <v>90</v>
      </c>
      <c r="C165" s="43"/>
      <c r="D165" s="43"/>
      <c r="E165" s="39"/>
      <c r="F165" s="40"/>
      <c r="G165" s="95"/>
      <c r="H165" s="39"/>
      <c r="I165" s="41"/>
    </row>
    <row r="166" spans="1:9" ht="15.75" x14ac:dyDescent="0.2">
      <c r="A166" s="45"/>
      <c r="B166" s="137" t="s">
        <v>0</v>
      </c>
      <c r="C166" s="124" t="s">
        <v>228</v>
      </c>
      <c r="D166" s="124" t="s">
        <v>227</v>
      </c>
      <c r="E166" s="124" t="s">
        <v>226</v>
      </c>
      <c r="F166" s="124" t="s">
        <v>200</v>
      </c>
      <c r="G166" s="125" t="s">
        <v>30</v>
      </c>
      <c r="H166" s="125" t="s">
        <v>20</v>
      </c>
      <c r="I166" s="125" t="s">
        <v>35</v>
      </c>
    </row>
    <row r="167" spans="1:9" ht="28.5" x14ac:dyDescent="0.2">
      <c r="A167" s="47"/>
      <c r="B167" s="184" t="s">
        <v>140</v>
      </c>
      <c r="C167" s="5">
        <v>3.4299999999999997E-2</v>
      </c>
      <c r="D167" s="5">
        <v>2.76E-2</v>
      </c>
      <c r="E167" s="5">
        <v>2.69E-2</v>
      </c>
      <c r="F167" s="5">
        <v>0.06</v>
      </c>
      <c r="G167" s="89" t="s">
        <v>23</v>
      </c>
      <c r="H167" s="7" t="s">
        <v>58</v>
      </c>
      <c r="I167" s="6" t="s">
        <v>232</v>
      </c>
    </row>
    <row r="168" spans="1:9" x14ac:dyDescent="0.2">
      <c r="A168" s="46"/>
      <c r="B168" s="184" t="s">
        <v>2</v>
      </c>
      <c r="C168" s="3">
        <v>0.1047</v>
      </c>
      <c r="D168" s="3">
        <v>0.10580000000000001</v>
      </c>
      <c r="E168" s="3">
        <v>0.1124</v>
      </c>
      <c r="F168" s="3">
        <v>0.1</v>
      </c>
      <c r="G168" s="90" t="s">
        <v>24</v>
      </c>
      <c r="H168" s="4" t="s">
        <v>49</v>
      </c>
      <c r="I168" s="1" t="s">
        <v>14</v>
      </c>
    </row>
    <row r="169" spans="1:9" x14ac:dyDescent="0.2">
      <c r="A169" s="47"/>
      <c r="B169" s="195" t="s">
        <v>139</v>
      </c>
      <c r="C169" s="3">
        <v>0.82169999999999999</v>
      </c>
      <c r="D169" s="3">
        <v>0.82040000000000002</v>
      </c>
      <c r="E169" s="3">
        <v>0.78590000000000004</v>
      </c>
      <c r="F169" s="233">
        <v>0.85</v>
      </c>
      <c r="G169" s="90" t="s">
        <v>23</v>
      </c>
      <c r="H169" s="232" t="s">
        <v>241</v>
      </c>
      <c r="I169" s="1" t="s">
        <v>15</v>
      </c>
    </row>
    <row r="170" spans="1:9" x14ac:dyDescent="0.2">
      <c r="A170" s="47"/>
      <c r="B170" s="184" t="s">
        <v>12</v>
      </c>
      <c r="C170" s="57">
        <v>4.1700000000000001E-2</v>
      </c>
      <c r="D170" s="57">
        <v>4.8099999999999997E-2</v>
      </c>
      <c r="E170" s="57">
        <v>7.6899999999999996E-2</v>
      </c>
      <c r="F170" s="57">
        <v>0.05</v>
      </c>
      <c r="G170" s="90" t="s">
        <v>24</v>
      </c>
      <c r="H170" s="9" t="s">
        <v>51</v>
      </c>
      <c r="I170" s="9" t="s">
        <v>18</v>
      </c>
    </row>
    <row r="171" spans="1:9" ht="15" x14ac:dyDescent="0.2">
      <c r="A171" s="47"/>
      <c r="B171" s="196" t="s">
        <v>5</v>
      </c>
      <c r="C171" s="103">
        <f>SUBTOTAL(109,C167:C170)</f>
        <v>1.0024</v>
      </c>
      <c r="D171" s="103">
        <f>SUBTOTAL(109,D167:D170)</f>
        <v>1.0019</v>
      </c>
      <c r="E171" s="103">
        <f>SUBTOTAL(109,E167:E170)</f>
        <v>1.0021</v>
      </c>
      <c r="F171" s="103">
        <f>SUBTOTAL(109,F167:F170)</f>
        <v>1.06</v>
      </c>
      <c r="G171" s="121" t="s">
        <v>189</v>
      </c>
      <c r="H171" s="42" t="s">
        <v>73</v>
      </c>
      <c r="I171" s="116" t="s">
        <v>189</v>
      </c>
    </row>
    <row r="172" spans="1:9" x14ac:dyDescent="0.2">
      <c r="A172" s="47"/>
      <c r="B172" s="184" t="s">
        <v>6</v>
      </c>
      <c r="C172" s="11">
        <v>5.3999999999999999E-2</v>
      </c>
      <c r="D172" s="11">
        <v>4.5999999999999999E-2</v>
      </c>
      <c r="E172" s="11">
        <v>4.19E-2</v>
      </c>
      <c r="F172" s="11">
        <v>0.08</v>
      </c>
      <c r="G172" s="90" t="s">
        <v>23</v>
      </c>
      <c r="H172" s="9" t="s">
        <v>59</v>
      </c>
      <c r="I172" s="1" t="s">
        <v>19</v>
      </c>
    </row>
    <row r="173" spans="1:9" ht="15" x14ac:dyDescent="0.2">
      <c r="A173" s="47"/>
      <c r="B173" s="110" t="s">
        <v>230</v>
      </c>
      <c r="C173" s="12">
        <v>5.9999999999999995E-4</v>
      </c>
      <c r="D173" s="12">
        <v>5.9999999999999995E-4</v>
      </c>
      <c r="E173" s="12">
        <v>5.9999999999999995E-4</v>
      </c>
      <c r="F173" s="142" t="s">
        <v>189</v>
      </c>
      <c r="G173" s="143" t="s">
        <v>189</v>
      </c>
      <c r="H173" s="144" t="s">
        <v>189</v>
      </c>
      <c r="I173" s="154" t="s">
        <v>189</v>
      </c>
    </row>
    <row r="174" spans="1:9" ht="15" x14ac:dyDescent="0.25">
      <c r="A174" s="20"/>
      <c r="B174" s="17"/>
      <c r="C174" s="17"/>
      <c r="D174" s="17"/>
      <c r="E174" s="19"/>
      <c r="F174" s="18"/>
      <c r="G174" s="92"/>
      <c r="H174" s="19"/>
      <c r="I174" s="175"/>
    </row>
    <row r="175" spans="1:9" ht="75" x14ac:dyDescent="0.25">
      <c r="A175" s="44" t="s">
        <v>91</v>
      </c>
      <c r="B175" s="38" t="s">
        <v>89</v>
      </c>
      <c r="C175" s="38"/>
      <c r="D175" s="38"/>
      <c r="E175" s="39"/>
      <c r="F175" s="40"/>
      <c r="G175" s="95"/>
      <c r="H175" s="39"/>
      <c r="I175" s="41"/>
    </row>
    <row r="176" spans="1:9" ht="23.25" x14ac:dyDescent="0.25">
      <c r="A176" s="44"/>
      <c r="B176" s="43" t="s">
        <v>88</v>
      </c>
      <c r="C176" s="43"/>
      <c r="D176" s="43"/>
      <c r="E176" s="39"/>
      <c r="F176" s="40"/>
      <c r="G176" s="95"/>
      <c r="H176" s="39"/>
      <c r="I176" s="41"/>
    </row>
    <row r="177" spans="1:9" ht="15.75" x14ac:dyDescent="0.2">
      <c r="A177" s="45"/>
      <c r="B177" s="13" t="s">
        <v>0</v>
      </c>
      <c r="C177" s="111" t="s">
        <v>189</v>
      </c>
      <c r="D177" s="15" t="s">
        <v>227</v>
      </c>
      <c r="E177" s="15" t="s">
        <v>226</v>
      </c>
      <c r="F177" s="15" t="s">
        <v>200</v>
      </c>
      <c r="G177" s="14" t="s">
        <v>30</v>
      </c>
      <c r="H177" s="14" t="s">
        <v>20</v>
      </c>
      <c r="I177" s="14" t="s">
        <v>35</v>
      </c>
    </row>
    <row r="178" spans="1:9" ht="28.5" x14ac:dyDescent="0.2">
      <c r="A178" s="47"/>
      <c r="B178" s="108" t="s">
        <v>140</v>
      </c>
      <c r="C178" s="112" t="s">
        <v>189</v>
      </c>
      <c r="D178" s="5">
        <v>0.20569999999999999</v>
      </c>
      <c r="E178" s="5">
        <v>0.20519999999999999</v>
      </c>
      <c r="F178" s="5">
        <v>0.19</v>
      </c>
      <c r="G178" s="89" t="s">
        <v>23</v>
      </c>
      <c r="H178" s="7" t="s">
        <v>55</v>
      </c>
      <c r="I178" s="6" t="s">
        <v>232</v>
      </c>
    </row>
    <row r="179" spans="1:9" x14ac:dyDescent="0.2">
      <c r="A179" s="46"/>
      <c r="B179" s="108" t="s">
        <v>2</v>
      </c>
      <c r="C179" s="113" t="s">
        <v>189</v>
      </c>
      <c r="D179" s="3">
        <v>0.25119999999999998</v>
      </c>
      <c r="E179" s="3">
        <v>0.25729999999999997</v>
      </c>
      <c r="F179" s="3">
        <v>0.25</v>
      </c>
      <c r="G179" s="90" t="s">
        <v>24</v>
      </c>
      <c r="H179" s="4" t="s">
        <v>54</v>
      </c>
      <c r="I179" s="1" t="s">
        <v>14</v>
      </c>
    </row>
    <row r="180" spans="1:9" x14ac:dyDescent="0.2">
      <c r="A180" s="47"/>
      <c r="B180" s="109" t="s">
        <v>139</v>
      </c>
      <c r="C180" s="112" t="s">
        <v>189</v>
      </c>
      <c r="D180" s="3">
        <v>0.44259999999999999</v>
      </c>
      <c r="E180" s="3">
        <v>0.4415</v>
      </c>
      <c r="F180" s="3">
        <v>0.45</v>
      </c>
      <c r="G180" s="90" t="s">
        <v>23</v>
      </c>
      <c r="H180" s="4" t="s">
        <v>66</v>
      </c>
      <c r="I180" s="1" t="s">
        <v>15</v>
      </c>
    </row>
    <row r="181" spans="1:9" x14ac:dyDescent="0.2">
      <c r="A181" s="47"/>
      <c r="B181" s="108" t="s">
        <v>12</v>
      </c>
      <c r="C181" s="113" t="s">
        <v>189</v>
      </c>
      <c r="D181" s="3">
        <v>0.16739999999999999</v>
      </c>
      <c r="E181" s="3">
        <v>0.1661</v>
      </c>
      <c r="F181" s="3">
        <v>0.15</v>
      </c>
      <c r="G181" s="90" t="s">
        <v>24</v>
      </c>
      <c r="H181" s="9" t="s">
        <v>52</v>
      </c>
      <c r="I181" s="9" t="s">
        <v>18</v>
      </c>
    </row>
    <row r="182" spans="1:9" ht="15" x14ac:dyDescent="0.2">
      <c r="A182" s="47"/>
      <c r="B182" s="110" t="s">
        <v>5</v>
      </c>
      <c r="C182" s="113" t="s">
        <v>189</v>
      </c>
      <c r="D182" s="103">
        <f>SUBTOTAL(109,D178:D181)</f>
        <v>1.0669</v>
      </c>
      <c r="E182" s="103">
        <f>SUBTOTAL(109,E178:E181)</f>
        <v>1.0700999999999998</v>
      </c>
      <c r="F182" s="103">
        <f>SUBTOTAL(109,F178:F181)</f>
        <v>1.04</v>
      </c>
      <c r="G182" s="121" t="s">
        <v>189</v>
      </c>
      <c r="H182" s="42" t="s">
        <v>73</v>
      </c>
      <c r="I182" s="116" t="s">
        <v>189</v>
      </c>
    </row>
    <row r="183" spans="1:9" x14ac:dyDescent="0.2">
      <c r="A183" s="47"/>
      <c r="B183" s="108" t="s">
        <v>6</v>
      </c>
      <c r="C183" s="113" t="s">
        <v>189</v>
      </c>
      <c r="D183" s="11">
        <v>0.16170000000000001</v>
      </c>
      <c r="E183" s="11">
        <v>0.15620000000000001</v>
      </c>
      <c r="F183" s="11">
        <v>0.16</v>
      </c>
      <c r="G183" s="90" t="s">
        <v>23</v>
      </c>
      <c r="H183" s="9" t="s">
        <v>135</v>
      </c>
      <c r="I183" s="1" t="s">
        <v>19</v>
      </c>
    </row>
    <row r="184" spans="1:9" ht="15" x14ac:dyDescent="0.2">
      <c r="A184" s="47"/>
      <c r="B184" s="110" t="s">
        <v>230</v>
      </c>
      <c r="C184" s="113" t="s">
        <v>189</v>
      </c>
      <c r="D184" s="104">
        <v>5.9999999999999995E-4</v>
      </c>
      <c r="E184" s="104">
        <v>5.9999999999999995E-4</v>
      </c>
      <c r="F184" s="142" t="s">
        <v>189</v>
      </c>
      <c r="G184" s="143" t="s">
        <v>189</v>
      </c>
      <c r="H184" s="144" t="s">
        <v>189</v>
      </c>
      <c r="I184" s="154" t="s">
        <v>189</v>
      </c>
    </row>
    <row r="185" spans="1:9" ht="15" x14ac:dyDescent="0.25">
      <c r="A185" s="20"/>
      <c r="B185" s="17"/>
      <c r="C185" s="17"/>
      <c r="D185" s="17"/>
      <c r="E185" s="19"/>
      <c r="F185" s="18"/>
      <c r="G185" s="92"/>
      <c r="H185" s="19"/>
      <c r="I185" s="175"/>
    </row>
    <row r="186" spans="1:9" ht="45" x14ac:dyDescent="0.25">
      <c r="A186" s="48" t="s">
        <v>94</v>
      </c>
      <c r="B186" s="38" t="s">
        <v>95</v>
      </c>
      <c r="C186" s="38"/>
      <c r="D186" s="38"/>
      <c r="E186" s="39"/>
      <c r="F186" s="40"/>
      <c r="G186" s="95"/>
      <c r="H186" s="39"/>
      <c r="I186" s="41"/>
    </row>
    <row r="187" spans="1:9" ht="23.25" x14ac:dyDescent="0.25">
      <c r="A187" s="48"/>
      <c r="B187" s="43" t="s">
        <v>96</v>
      </c>
      <c r="C187" s="43"/>
      <c r="D187" s="43"/>
      <c r="E187" s="39"/>
      <c r="F187" s="40"/>
      <c r="G187" s="95"/>
      <c r="H187" s="39"/>
      <c r="I187" s="41"/>
    </row>
    <row r="188" spans="1:9" ht="23.25" x14ac:dyDescent="0.25">
      <c r="A188" s="48"/>
      <c r="B188" s="43" t="s">
        <v>97</v>
      </c>
      <c r="C188" s="43"/>
      <c r="D188" s="43"/>
      <c r="E188" s="39"/>
      <c r="F188" s="40"/>
      <c r="G188" s="95"/>
      <c r="H188" s="39"/>
      <c r="I188" s="41"/>
    </row>
    <row r="189" spans="1:9" ht="15.75" x14ac:dyDescent="0.2">
      <c r="A189" s="49"/>
      <c r="B189" s="123" t="s">
        <v>0</v>
      </c>
      <c r="C189" s="124" t="s">
        <v>228</v>
      </c>
      <c r="D189" s="124" t="s">
        <v>227</v>
      </c>
      <c r="E189" s="124" t="s">
        <v>226</v>
      </c>
      <c r="F189" s="124" t="s">
        <v>200</v>
      </c>
      <c r="G189" s="125" t="s">
        <v>30</v>
      </c>
      <c r="H189" s="125" t="s">
        <v>20</v>
      </c>
      <c r="I189" s="125" t="s">
        <v>35</v>
      </c>
    </row>
    <row r="190" spans="1:9" x14ac:dyDescent="0.2">
      <c r="A190" s="51"/>
      <c r="B190" s="108" t="s">
        <v>140</v>
      </c>
      <c r="C190" s="65">
        <v>0.43340000000000001</v>
      </c>
      <c r="D190" s="65">
        <v>0.47099999999999997</v>
      </c>
      <c r="E190" s="65">
        <v>0.43809999999999999</v>
      </c>
      <c r="F190" s="65">
        <v>0.43</v>
      </c>
      <c r="G190" s="89" t="s">
        <v>23</v>
      </c>
      <c r="H190" s="7" t="s">
        <v>98</v>
      </c>
      <c r="I190" s="54" t="s">
        <v>27</v>
      </c>
    </row>
    <row r="191" spans="1:9" x14ac:dyDescent="0.2">
      <c r="A191" s="50"/>
      <c r="B191" s="108" t="s">
        <v>2</v>
      </c>
      <c r="C191" s="57">
        <v>0.62229999999999996</v>
      </c>
      <c r="D191" s="57">
        <v>0.62350000000000005</v>
      </c>
      <c r="E191" s="57">
        <v>0.56140000000000001</v>
      </c>
      <c r="F191" s="57">
        <v>0.57999999999999996</v>
      </c>
      <c r="G191" s="90" t="s">
        <v>24</v>
      </c>
      <c r="H191" s="4" t="s">
        <v>202</v>
      </c>
      <c r="I191" s="9" t="s">
        <v>28</v>
      </c>
    </row>
    <row r="192" spans="1:9" ht="28.5" x14ac:dyDescent="0.2">
      <c r="A192" s="51"/>
      <c r="B192" s="109" t="s">
        <v>139</v>
      </c>
      <c r="C192" s="57">
        <v>0.34699999999999998</v>
      </c>
      <c r="D192" s="57">
        <v>0.34289999999999998</v>
      </c>
      <c r="E192" s="57">
        <v>0.34360000000000002</v>
      </c>
      <c r="F192" s="57">
        <v>0.33</v>
      </c>
      <c r="G192" s="90" t="s">
        <v>23</v>
      </c>
      <c r="H192" s="4" t="s">
        <v>79</v>
      </c>
      <c r="I192" s="9" t="s">
        <v>100</v>
      </c>
    </row>
    <row r="193" spans="1:9" x14ac:dyDescent="0.2">
      <c r="A193" s="51"/>
      <c r="B193" s="108" t="s">
        <v>12</v>
      </c>
      <c r="C193" s="57">
        <v>0.2596</v>
      </c>
      <c r="D193" s="57">
        <v>0.25900000000000001</v>
      </c>
      <c r="E193" s="57">
        <v>0.24149999999999999</v>
      </c>
      <c r="F193" s="57">
        <v>0.25</v>
      </c>
      <c r="G193" s="90" t="s">
        <v>24</v>
      </c>
      <c r="H193" s="9" t="s">
        <v>54</v>
      </c>
      <c r="I193" s="9" t="s">
        <v>18</v>
      </c>
    </row>
    <row r="194" spans="1:9" ht="15" x14ac:dyDescent="0.2">
      <c r="A194" s="51"/>
      <c r="B194" s="110" t="s">
        <v>5</v>
      </c>
      <c r="C194" s="106">
        <f>SUBTOTAL(109,C190:C193)</f>
        <v>1.6622999999999999</v>
      </c>
      <c r="D194" s="106">
        <f>SUBTOTAL(109,D190:D193)</f>
        <v>1.6964000000000001</v>
      </c>
      <c r="E194" s="70">
        <f>SUBTOTAL(109,E190:E193)</f>
        <v>1.5846000000000002</v>
      </c>
      <c r="F194" s="70">
        <f>SUBTOTAL(109,F190:F193)</f>
        <v>1.59</v>
      </c>
      <c r="G194" s="121" t="s">
        <v>189</v>
      </c>
      <c r="H194" s="42" t="s">
        <v>73</v>
      </c>
      <c r="I194" s="116" t="s">
        <v>189</v>
      </c>
    </row>
    <row r="195" spans="1:9" x14ac:dyDescent="0.2">
      <c r="A195" s="51"/>
      <c r="B195" s="108" t="s">
        <v>6</v>
      </c>
      <c r="C195" s="71">
        <v>0.99885000000000002</v>
      </c>
      <c r="D195" s="71">
        <v>0.99729999999999996</v>
      </c>
      <c r="E195" s="71">
        <v>0.99560000000000004</v>
      </c>
      <c r="F195" s="71">
        <v>0.94</v>
      </c>
      <c r="G195" s="90" t="s">
        <v>23</v>
      </c>
      <c r="H195" s="9" t="s">
        <v>99</v>
      </c>
      <c r="I195" s="9" t="s">
        <v>19</v>
      </c>
    </row>
    <row r="196" spans="1:9" ht="15" x14ac:dyDescent="0.2">
      <c r="A196" s="51"/>
      <c r="B196" s="110" t="s">
        <v>230</v>
      </c>
      <c r="C196" s="104">
        <v>2E-3</v>
      </c>
      <c r="D196" s="104">
        <v>2E-3</v>
      </c>
      <c r="E196" s="12">
        <v>2.5000000000000001E-3</v>
      </c>
      <c r="F196" s="142" t="s">
        <v>189</v>
      </c>
      <c r="G196" s="143" t="s">
        <v>189</v>
      </c>
      <c r="H196" s="144" t="s">
        <v>189</v>
      </c>
      <c r="I196" s="154" t="s">
        <v>189</v>
      </c>
    </row>
    <row r="197" spans="1:9" ht="15" x14ac:dyDescent="0.25">
      <c r="A197" s="20"/>
      <c r="B197" s="17"/>
      <c r="C197" s="17"/>
      <c r="D197" s="17"/>
      <c r="E197" s="19"/>
      <c r="F197" s="18"/>
      <c r="G197" s="92"/>
      <c r="H197" s="19"/>
      <c r="I197" s="175"/>
    </row>
    <row r="198" spans="1:9" ht="45" x14ac:dyDescent="0.25">
      <c r="A198" s="48" t="s">
        <v>101</v>
      </c>
      <c r="B198" s="38" t="s">
        <v>102</v>
      </c>
      <c r="C198" s="38"/>
      <c r="D198" s="38"/>
      <c r="E198" s="39"/>
      <c r="F198" s="40"/>
      <c r="G198" s="95"/>
      <c r="H198" s="39"/>
      <c r="I198" s="41"/>
    </row>
    <row r="199" spans="1:9" ht="23.25" x14ac:dyDescent="0.25">
      <c r="A199" s="48"/>
      <c r="B199" s="43" t="s">
        <v>103</v>
      </c>
      <c r="C199" s="43"/>
      <c r="D199" s="43"/>
      <c r="E199" s="39"/>
      <c r="F199" s="40"/>
      <c r="G199" s="95"/>
      <c r="H199" s="39"/>
      <c r="I199" s="41"/>
    </row>
    <row r="200" spans="1:9" ht="23.25" x14ac:dyDescent="0.25">
      <c r="A200" s="48"/>
      <c r="B200" s="43" t="s">
        <v>104</v>
      </c>
      <c r="C200" s="43"/>
      <c r="D200" s="43"/>
      <c r="E200" s="39"/>
      <c r="F200" s="40"/>
      <c r="G200" s="95"/>
      <c r="H200" s="39"/>
      <c r="I200" s="41"/>
    </row>
    <row r="201" spans="1:9" ht="15.75" x14ac:dyDescent="0.2">
      <c r="A201" s="49"/>
      <c r="B201" s="123" t="s">
        <v>0</v>
      </c>
      <c r="C201" s="124" t="s">
        <v>228</v>
      </c>
      <c r="D201" s="124" t="s">
        <v>227</v>
      </c>
      <c r="E201" s="124" t="s">
        <v>226</v>
      </c>
      <c r="F201" s="124" t="s">
        <v>200</v>
      </c>
      <c r="G201" s="125" t="s">
        <v>30</v>
      </c>
      <c r="H201" s="125" t="s">
        <v>20</v>
      </c>
      <c r="I201" s="125" t="s">
        <v>35</v>
      </c>
    </row>
    <row r="202" spans="1:9" x14ac:dyDescent="0.2">
      <c r="A202" s="51"/>
      <c r="B202" s="108" t="s">
        <v>140</v>
      </c>
      <c r="C202" s="5">
        <v>0.99980000000000002</v>
      </c>
      <c r="D202" s="5">
        <v>0.99850000000000005</v>
      </c>
      <c r="E202" s="5">
        <v>0.99660000000000004</v>
      </c>
      <c r="F202" s="5">
        <v>0.94</v>
      </c>
      <c r="G202" s="89" t="s">
        <v>23</v>
      </c>
      <c r="H202" s="7" t="s">
        <v>99</v>
      </c>
      <c r="I202" s="54" t="s">
        <v>27</v>
      </c>
    </row>
    <row r="203" spans="1:9" x14ac:dyDescent="0.2">
      <c r="A203" s="50"/>
      <c r="B203" s="108" t="s">
        <v>2</v>
      </c>
      <c r="C203" s="57">
        <v>0.56220000000000003</v>
      </c>
      <c r="D203" s="57">
        <v>0.54849999999999999</v>
      </c>
      <c r="E203" s="57">
        <v>0.55520000000000003</v>
      </c>
      <c r="F203" s="57">
        <v>0.56999999999999995</v>
      </c>
      <c r="G203" s="90" t="s">
        <v>24</v>
      </c>
      <c r="H203" s="4" t="s">
        <v>192</v>
      </c>
      <c r="I203" s="9" t="s">
        <v>14</v>
      </c>
    </row>
    <row r="204" spans="1:9" x14ac:dyDescent="0.2">
      <c r="A204" s="51"/>
      <c r="B204" s="109" t="s">
        <v>139</v>
      </c>
      <c r="C204" s="117">
        <v>0</v>
      </c>
      <c r="D204" s="117">
        <v>0</v>
      </c>
      <c r="E204" s="117">
        <v>0</v>
      </c>
      <c r="F204" s="117" t="s">
        <v>189</v>
      </c>
      <c r="G204" s="90" t="s">
        <v>23</v>
      </c>
      <c r="H204" s="4" t="s">
        <v>73</v>
      </c>
      <c r="I204" s="136" t="s">
        <v>189</v>
      </c>
    </row>
    <row r="205" spans="1:9" x14ac:dyDescent="0.2">
      <c r="A205" s="51"/>
      <c r="B205" s="108" t="s">
        <v>12</v>
      </c>
      <c r="C205" s="3">
        <v>0.22650000000000001</v>
      </c>
      <c r="D205" s="3">
        <v>0.22639999999999999</v>
      </c>
      <c r="E205" s="3">
        <v>0.2402</v>
      </c>
      <c r="F205" s="3">
        <v>0.2</v>
      </c>
      <c r="G205" s="90" t="s">
        <v>24</v>
      </c>
      <c r="H205" s="9" t="s">
        <v>133</v>
      </c>
      <c r="I205" s="9" t="s">
        <v>18</v>
      </c>
    </row>
    <row r="206" spans="1:9" ht="15" x14ac:dyDescent="0.2">
      <c r="A206" s="51"/>
      <c r="B206" s="110" t="s">
        <v>5</v>
      </c>
      <c r="C206" s="103">
        <f>SUBTOTAL(109,C202:C205)</f>
        <v>1.7885</v>
      </c>
      <c r="D206" s="103">
        <f>SUBTOTAL(109,D202:D205)</f>
        <v>1.7734000000000001</v>
      </c>
      <c r="E206" s="103">
        <f>SUBTOTAL(109,E202:E205)</f>
        <v>1.792</v>
      </c>
      <c r="F206" s="103">
        <f>SUBTOTAL(109,F202:F205)</f>
        <v>1.7099999999999997</v>
      </c>
      <c r="G206" s="121" t="s">
        <v>189</v>
      </c>
      <c r="H206" s="42" t="s">
        <v>73</v>
      </c>
      <c r="I206" s="116" t="s">
        <v>189</v>
      </c>
    </row>
    <row r="207" spans="1:9" x14ac:dyDescent="0.2">
      <c r="A207" s="51"/>
      <c r="B207" s="108" t="s">
        <v>6</v>
      </c>
      <c r="C207" s="11">
        <v>0.99404800000000004</v>
      </c>
      <c r="D207" s="11">
        <v>0.99870000000000003</v>
      </c>
      <c r="E207" s="11">
        <v>0.99760000000000004</v>
      </c>
      <c r="F207" s="11">
        <v>0.94</v>
      </c>
      <c r="G207" s="90" t="s">
        <v>23</v>
      </c>
      <c r="H207" s="9" t="s">
        <v>99</v>
      </c>
      <c r="I207" s="9" t="s">
        <v>19</v>
      </c>
    </row>
    <row r="208" spans="1:9" ht="15" x14ac:dyDescent="0.2">
      <c r="A208" s="51"/>
      <c r="B208" s="110" t="s">
        <v>230</v>
      </c>
      <c r="C208" s="12">
        <v>8.9999999999999998E-4</v>
      </c>
      <c r="D208" s="12">
        <v>8.9999999999999998E-4</v>
      </c>
      <c r="E208" s="12">
        <v>8.9999999999999998E-4</v>
      </c>
      <c r="F208" s="142" t="s">
        <v>189</v>
      </c>
      <c r="G208" s="143" t="s">
        <v>189</v>
      </c>
      <c r="H208" s="144" t="s">
        <v>189</v>
      </c>
      <c r="I208" s="154" t="s">
        <v>189</v>
      </c>
    </row>
    <row r="209" spans="1:9" ht="15" x14ac:dyDescent="0.25">
      <c r="A209" s="20"/>
      <c r="B209" s="17"/>
      <c r="C209" s="17"/>
      <c r="D209" s="17"/>
      <c r="E209" s="19"/>
      <c r="F209" s="18"/>
      <c r="G209" s="92"/>
      <c r="H209" s="19"/>
      <c r="I209" s="175"/>
    </row>
    <row r="210" spans="1:9" ht="45" x14ac:dyDescent="0.25">
      <c r="A210" s="48" t="s">
        <v>105</v>
      </c>
      <c r="B210" s="38" t="s">
        <v>106</v>
      </c>
      <c r="C210" s="38"/>
      <c r="D210" s="38"/>
      <c r="E210" s="39"/>
      <c r="F210" s="40"/>
      <c r="G210" s="95"/>
      <c r="H210" s="39"/>
      <c r="I210" s="41"/>
    </row>
    <row r="211" spans="1:9" ht="23.25" x14ac:dyDescent="0.25">
      <c r="A211" s="48"/>
      <c r="B211" s="43" t="s">
        <v>107</v>
      </c>
      <c r="C211" s="43"/>
      <c r="D211" s="43"/>
      <c r="E211" s="39"/>
      <c r="F211" s="40"/>
      <c r="G211" s="95"/>
      <c r="H211" s="39"/>
      <c r="I211" s="41"/>
    </row>
    <row r="212" spans="1:9" ht="23.25" x14ac:dyDescent="0.25">
      <c r="A212" s="48"/>
      <c r="B212" s="43" t="s">
        <v>108</v>
      </c>
      <c r="C212" s="43"/>
      <c r="D212" s="43"/>
      <c r="E212" s="39"/>
      <c r="F212" s="40"/>
      <c r="G212" s="95"/>
      <c r="H212" s="39"/>
      <c r="I212" s="41"/>
    </row>
    <row r="213" spans="1:9" ht="15.75" x14ac:dyDescent="0.2">
      <c r="A213" s="49"/>
      <c r="B213" s="123" t="s">
        <v>0</v>
      </c>
      <c r="C213" s="124" t="s">
        <v>228</v>
      </c>
      <c r="D213" s="124" t="s">
        <v>227</v>
      </c>
      <c r="E213" s="124" t="s">
        <v>226</v>
      </c>
      <c r="F213" s="124" t="s">
        <v>200</v>
      </c>
      <c r="G213" s="125" t="s">
        <v>30</v>
      </c>
      <c r="H213" s="125" t="s">
        <v>20</v>
      </c>
      <c r="I213" s="126" t="s">
        <v>35</v>
      </c>
    </row>
    <row r="214" spans="1:9" x14ac:dyDescent="0.2">
      <c r="A214" s="51"/>
      <c r="B214" s="108" t="s">
        <v>140</v>
      </c>
      <c r="C214" s="127">
        <v>0</v>
      </c>
      <c r="D214" s="127" t="s">
        <v>189</v>
      </c>
      <c r="E214" s="127" t="s">
        <v>189</v>
      </c>
      <c r="F214" s="127" t="s">
        <v>189</v>
      </c>
      <c r="G214" s="89" t="s">
        <v>23</v>
      </c>
      <c r="H214" s="7" t="s">
        <v>73</v>
      </c>
      <c r="I214" s="155" t="s">
        <v>189</v>
      </c>
    </row>
    <row r="215" spans="1:9" x14ac:dyDescent="0.2">
      <c r="A215" s="50"/>
      <c r="B215" s="108" t="s">
        <v>2</v>
      </c>
      <c r="C215" s="57">
        <v>0.62970000000000004</v>
      </c>
      <c r="D215" s="57">
        <v>0.59279999999999999</v>
      </c>
      <c r="E215" s="57">
        <v>0.59560000000000002</v>
      </c>
      <c r="F215" s="57">
        <v>0.6</v>
      </c>
      <c r="G215" s="90" t="s">
        <v>24</v>
      </c>
      <c r="H215" s="4" t="s">
        <v>201</v>
      </c>
      <c r="I215" s="1" t="s">
        <v>28</v>
      </c>
    </row>
    <row r="216" spans="1:9" ht="28.5" x14ac:dyDescent="0.2">
      <c r="A216" s="51"/>
      <c r="B216" s="109" t="s">
        <v>139</v>
      </c>
      <c r="C216" s="57">
        <v>0.74639999999999995</v>
      </c>
      <c r="D216" s="57">
        <v>0.72660000000000002</v>
      </c>
      <c r="E216" s="57">
        <v>0.72199999999999998</v>
      </c>
      <c r="F216" s="57">
        <v>0.7</v>
      </c>
      <c r="G216" s="90" t="s">
        <v>23</v>
      </c>
      <c r="H216" s="4" t="s">
        <v>87</v>
      </c>
      <c r="I216" s="9" t="s">
        <v>100</v>
      </c>
    </row>
    <row r="217" spans="1:9" x14ac:dyDescent="0.2">
      <c r="A217" s="51"/>
      <c r="B217" s="109" t="s">
        <v>12</v>
      </c>
      <c r="C217" s="57">
        <v>0.2354</v>
      </c>
      <c r="D217" s="57">
        <v>0.21609999999999999</v>
      </c>
      <c r="E217" s="57">
        <v>0.22020000000000001</v>
      </c>
      <c r="F217" s="57">
        <v>0.25</v>
      </c>
      <c r="G217" s="90" t="s">
        <v>24</v>
      </c>
      <c r="H217" s="4" t="s">
        <v>191</v>
      </c>
      <c r="I217" s="9" t="s">
        <v>18</v>
      </c>
    </row>
    <row r="218" spans="1:9" ht="15" x14ac:dyDescent="0.2">
      <c r="A218" s="51"/>
      <c r="B218" s="110" t="s">
        <v>5</v>
      </c>
      <c r="C218" s="106">
        <f>SUBTOTAL(109,C214:C217)</f>
        <v>1.6115000000000002</v>
      </c>
      <c r="D218" s="106">
        <f>SUBTOTAL(109,D214:D217)</f>
        <v>1.5354999999999999</v>
      </c>
      <c r="E218" s="106">
        <f>SUBTOTAL(109,E214:E217)</f>
        <v>1.5378000000000001</v>
      </c>
      <c r="F218" s="106">
        <f>SUBTOTAL(109,F214:F217)</f>
        <v>1.5499999999999998</v>
      </c>
      <c r="G218" s="121" t="s">
        <v>189</v>
      </c>
      <c r="H218" s="42" t="s">
        <v>73</v>
      </c>
      <c r="I218" s="115" t="s">
        <v>189</v>
      </c>
    </row>
    <row r="219" spans="1:9" x14ac:dyDescent="0.2">
      <c r="A219" s="51"/>
      <c r="B219" s="108" t="s">
        <v>6</v>
      </c>
      <c r="C219" s="71">
        <v>0.99670000000000003</v>
      </c>
      <c r="D219" s="71">
        <v>0.99409999999999998</v>
      </c>
      <c r="E219" s="71">
        <v>0.99650000000000005</v>
      </c>
      <c r="F219" s="71">
        <v>0.94</v>
      </c>
      <c r="G219" s="90" t="s">
        <v>23</v>
      </c>
      <c r="H219" s="9" t="s">
        <v>99</v>
      </c>
      <c r="I219" s="1" t="s">
        <v>19</v>
      </c>
    </row>
    <row r="220" spans="1:9" ht="15" x14ac:dyDescent="0.2">
      <c r="A220" s="51"/>
      <c r="B220" s="110" t="s">
        <v>230</v>
      </c>
      <c r="C220" s="12">
        <v>2E-3</v>
      </c>
      <c r="D220" s="12">
        <v>2E-3</v>
      </c>
      <c r="E220" s="12">
        <v>2.5000000000000001E-3</v>
      </c>
      <c r="F220" s="142" t="s">
        <v>189</v>
      </c>
      <c r="G220" s="143" t="s">
        <v>189</v>
      </c>
      <c r="H220" s="144" t="s">
        <v>189</v>
      </c>
      <c r="I220" s="154" t="s">
        <v>189</v>
      </c>
    </row>
    <row r="221" spans="1:9" ht="15" x14ac:dyDescent="0.25">
      <c r="A221" s="20"/>
      <c r="B221" s="17"/>
      <c r="C221" s="17"/>
      <c r="D221" s="17"/>
      <c r="E221" s="19"/>
      <c r="F221" s="18"/>
      <c r="G221" s="92"/>
      <c r="H221" s="19"/>
      <c r="I221" s="175"/>
    </row>
    <row r="222" spans="1:9" ht="75" x14ac:dyDescent="0.25">
      <c r="A222" s="48" t="s">
        <v>109</v>
      </c>
      <c r="B222" s="38" t="s">
        <v>110</v>
      </c>
      <c r="C222" s="38"/>
      <c r="D222" s="38"/>
      <c r="E222" s="39"/>
      <c r="F222" s="40"/>
      <c r="G222" s="95"/>
      <c r="H222" s="39"/>
      <c r="I222" s="41"/>
    </row>
    <row r="223" spans="1:9" ht="23.25" x14ac:dyDescent="0.25">
      <c r="A223" s="48"/>
      <c r="B223" s="43" t="s">
        <v>111</v>
      </c>
      <c r="C223" s="43"/>
      <c r="D223" s="43"/>
      <c r="E223" s="39"/>
      <c r="F223" s="40"/>
      <c r="G223" s="95"/>
      <c r="H223" s="39"/>
      <c r="I223" s="41"/>
    </row>
    <row r="224" spans="1:9" ht="15.75" x14ac:dyDescent="0.2">
      <c r="A224" s="49"/>
      <c r="B224" s="123" t="s">
        <v>0</v>
      </c>
      <c r="C224" s="145" t="s">
        <v>189</v>
      </c>
      <c r="D224" s="137" t="s">
        <v>227</v>
      </c>
      <c r="E224" s="124" t="s">
        <v>226</v>
      </c>
      <c r="F224" s="124" t="s">
        <v>200</v>
      </c>
      <c r="G224" s="125" t="s">
        <v>30</v>
      </c>
      <c r="H224" s="125" t="s">
        <v>20</v>
      </c>
      <c r="I224" s="125" t="s">
        <v>35</v>
      </c>
    </row>
    <row r="225" spans="1:9" x14ac:dyDescent="0.2">
      <c r="A225" s="51"/>
      <c r="B225" s="108" t="s">
        <v>140</v>
      </c>
      <c r="C225" s="146" t="s">
        <v>189</v>
      </c>
      <c r="D225" s="5">
        <v>0.15790000000000001</v>
      </c>
      <c r="E225" s="5">
        <v>0.17799999999999999</v>
      </c>
      <c r="F225" s="5">
        <v>0.19</v>
      </c>
      <c r="G225" s="89" t="s">
        <v>23</v>
      </c>
      <c r="H225" s="7" t="s">
        <v>55</v>
      </c>
      <c r="I225" s="6" t="s">
        <v>27</v>
      </c>
    </row>
    <row r="226" spans="1:9" x14ac:dyDescent="0.2">
      <c r="A226" s="50"/>
      <c r="B226" s="108" t="s">
        <v>2</v>
      </c>
      <c r="C226" s="147" t="s">
        <v>189</v>
      </c>
      <c r="D226" s="3">
        <v>0.5524</v>
      </c>
      <c r="E226" s="3">
        <v>0.54559999999999997</v>
      </c>
      <c r="F226" s="3">
        <v>0.52</v>
      </c>
      <c r="G226" s="90" t="s">
        <v>24</v>
      </c>
      <c r="H226" s="4" t="s">
        <v>193</v>
      </c>
      <c r="I226" s="1" t="s">
        <v>28</v>
      </c>
    </row>
    <row r="227" spans="1:9" ht="28.5" x14ac:dyDescent="0.2">
      <c r="A227" s="51"/>
      <c r="B227" s="109" t="s">
        <v>139</v>
      </c>
      <c r="C227" s="146" t="s">
        <v>189</v>
      </c>
      <c r="D227" s="3">
        <v>0.46339999999999998</v>
      </c>
      <c r="E227" s="3">
        <v>0.46160000000000001</v>
      </c>
      <c r="F227" s="3">
        <v>0.5</v>
      </c>
      <c r="G227" s="90" t="s">
        <v>23</v>
      </c>
      <c r="H227" s="4" t="s">
        <v>92</v>
      </c>
      <c r="I227" s="9" t="s">
        <v>100</v>
      </c>
    </row>
    <row r="228" spans="1:9" x14ac:dyDescent="0.2">
      <c r="A228" s="51"/>
      <c r="B228" s="108" t="s">
        <v>12</v>
      </c>
      <c r="C228" s="147" t="s">
        <v>189</v>
      </c>
      <c r="D228" s="3">
        <v>0.27550000000000002</v>
      </c>
      <c r="E228" s="3">
        <v>0.29170000000000001</v>
      </c>
      <c r="F228" s="3">
        <v>0.25</v>
      </c>
      <c r="G228" s="90" t="s">
        <v>24</v>
      </c>
      <c r="H228" s="9" t="s">
        <v>54</v>
      </c>
      <c r="I228" s="1" t="s">
        <v>18</v>
      </c>
    </row>
    <row r="229" spans="1:9" ht="15" x14ac:dyDescent="0.2">
      <c r="A229" s="51"/>
      <c r="B229" s="110" t="s">
        <v>5</v>
      </c>
      <c r="C229" s="147" t="s">
        <v>189</v>
      </c>
      <c r="D229" s="29">
        <f>SUBTOTAL(109,D225:D228)</f>
        <v>1.4492</v>
      </c>
      <c r="E229" s="29">
        <f>SUBTOTAL(109,E225:E228)</f>
        <v>1.4769000000000001</v>
      </c>
      <c r="F229" s="29">
        <f>SUBTOTAL(109,F225:F228)</f>
        <v>1.46</v>
      </c>
      <c r="G229" s="121" t="s">
        <v>189</v>
      </c>
      <c r="H229" s="42" t="s">
        <v>73</v>
      </c>
      <c r="I229" s="115" t="s">
        <v>189</v>
      </c>
    </row>
    <row r="230" spans="1:9" x14ac:dyDescent="0.2">
      <c r="A230" s="51"/>
      <c r="B230" s="108" t="s">
        <v>6</v>
      </c>
      <c r="C230" s="147" t="s">
        <v>189</v>
      </c>
      <c r="D230" s="11">
        <v>0.99707000000000001</v>
      </c>
      <c r="E230" s="11">
        <v>0.99619999999999997</v>
      </c>
      <c r="F230" s="11">
        <v>0.94</v>
      </c>
      <c r="G230" s="90" t="s">
        <v>23</v>
      </c>
      <c r="H230" s="9" t="s">
        <v>99</v>
      </c>
      <c r="I230" s="1" t="s">
        <v>19</v>
      </c>
    </row>
    <row r="231" spans="1:9" ht="15" x14ac:dyDescent="0.2">
      <c r="A231" s="51"/>
      <c r="B231" s="110" t="s">
        <v>230</v>
      </c>
      <c r="C231" s="148" t="s">
        <v>189</v>
      </c>
      <c r="D231" s="69">
        <v>2.5000000000000001E-3</v>
      </c>
      <c r="E231" s="12">
        <v>2.5000000000000001E-3</v>
      </c>
      <c r="F231" s="142" t="s">
        <v>189</v>
      </c>
      <c r="G231" s="143" t="s">
        <v>189</v>
      </c>
      <c r="H231" s="144" t="s">
        <v>189</v>
      </c>
      <c r="I231" s="154" t="s">
        <v>189</v>
      </c>
    </row>
    <row r="232" spans="1:9" ht="15" x14ac:dyDescent="0.25">
      <c r="A232" s="20"/>
      <c r="B232" s="167" t="s">
        <v>196</v>
      </c>
      <c r="C232" s="167" t="s">
        <v>196</v>
      </c>
      <c r="D232" s="167" t="s">
        <v>196</v>
      </c>
      <c r="E232" s="168" t="s">
        <v>196</v>
      </c>
      <c r="F232" s="168" t="s">
        <v>196</v>
      </c>
      <c r="G232" s="168" t="s">
        <v>196</v>
      </c>
      <c r="H232" s="168" t="s">
        <v>196</v>
      </c>
      <c r="I232" s="177" t="s">
        <v>196</v>
      </c>
    </row>
    <row r="233" spans="1:9" ht="45" x14ac:dyDescent="0.25">
      <c r="A233" s="48" t="s">
        <v>112</v>
      </c>
      <c r="B233" s="38" t="s">
        <v>113</v>
      </c>
      <c r="C233" s="38"/>
      <c r="D233" s="38"/>
      <c r="E233" s="39"/>
      <c r="F233" s="40"/>
      <c r="G233" s="95"/>
      <c r="H233" s="39"/>
      <c r="I233" s="41"/>
    </row>
    <row r="234" spans="1:9" ht="23.25" x14ac:dyDescent="0.25">
      <c r="A234" s="48"/>
      <c r="B234" s="43" t="s">
        <v>114</v>
      </c>
      <c r="C234" s="43"/>
      <c r="D234" s="43"/>
      <c r="E234" s="39"/>
      <c r="F234" s="40"/>
      <c r="G234" s="95"/>
      <c r="H234" s="39"/>
      <c r="I234" s="41"/>
    </row>
    <row r="235" spans="1:9" ht="23.25" x14ac:dyDescent="0.25">
      <c r="A235" s="48"/>
      <c r="B235" s="43" t="s">
        <v>115</v>
      </c>
      <c r="C235" s="43"/>
      <c r="D235" s="43"/>
      <c r="E235" s="39"/>
      <c r="F235" s="40"/>
      <c r="G235" s="95"/>
      <c r="H235" s="39"/>
      <c r="I235" s="41"/>
    </row>
    <row r="236" spans="1:9" ht="15.75" x14ac:dyDescent="0.2">
      <c r="A236" s="49"/>
      <c r="B236" s="123" t="s">
        <v>0</v>
      </c>
      <c r="C236" s="124" t="s">
        <v>228</v>
      </c>
      <c r="D236" s="124" t="s">
        <v>227</v>
      </c>
      <c r="E236" s="124" t="s">
        <v>226</v>
      </c>
      <c r="F236" s="124" t="s">
        <v>200</v>
      </c>
      <c r="G236" s="125" t="s">
        <v>30</v>
      </c>
      <c r="H236" s="125" t="s">
        <v>20</v>
      </c>
      <c r="I236" s="125" t="s">
        <v>35</v>
      </c>
    </row>
    <row r="237" spans="1:9" x14ac:dyDescent="0.2">
      <c r="A237" s="51"/>
      <c r="B237" s="108" t="s">
        <v>140</v>
      </c>
      <c r="C237" s="5">
        <v>0.99850000000000005</v>
      </c>
      <c r="D237" s="5">
        <v>0.99839999999999995</v>
      </c>
      <c r="E237" s="5">
        <v>0.99850000000000005</v>
      </c>
      <c r="F237" s="5">
        <v>0.94</v>
      </c>
      <c r="G237" s="89" t="s">
        <v>23</v>
      </c>
      <c r="H237" s="7" t="s">
        <v>99</v>
      </c>
      <c r="I237" s="6" t="s">
        <v>7</v>
      </c>
    </row>
    <row r="238" spans="1:9" x14ac:dyDescent="0.2">
      <c r="A238" s="50"/>
      <c r="B238" s="108" t="s">
        <v>2</v>
      </c>
      <c r="C238" s="3">
        <v>0.25309999999999999</v>
      </c>
      <c r="D238" s="3">
        <v>0.2361</v>
      </c>
      <c r="E238" s="3">
        <v>0.26840000000000003</v>
      </c>
      <c r="F238" s="233">
        <v>0.3</v>
      </c>
      <c r="G238" s="90" t="s">
        <v>24</v>
      </c>
      <c r="H238" s="232" t="s">
        <v>60</v>
      </c>
      <c r="I238" s="1" t="s">
        <v>14</v>
      </c>
    </row>
    <row r="239" spans="1:9" x14ac:dyDescent="0.2">
      <c r="A239" s="51"/>
      <c r="B239" s="109" t="s">
        <v>139</v>
      </c>
      <c r="C239" s="117">
        <v>0</v>
      </c>
      <c r="D239" s="117">
        <v>0</v>
      </c>
      <c r="E239" s="117">
        <v>0</v>
      </c>
      <c r="F239" s="117" t="s">
        <v>189</v>
      </c>
      <c r="G239" s="90" t="s">
        <v>23</v>
      </c>
      <c r="H239" s="4" t="s">
        <v>73</v>
      </c>
      <c r="I239" s="136" t="s">
        <v>189</v>
      </c>
    </row>
    <row r="240" spans="1:9" x14ac:dyDescent="0.2">
      <c r="A240" s="51"/>
      <c r="B240" s="108" t="s">
        <v>12</v>
      </c>
      <c r="C240" s="3">
        <v>0.2959</v>
      </c>
      <c r="D240" s="3">
        <v>0.26269999999999999</v>
      </c>
      <c r="E240" s="3">
        <v>0.29260000000000003</v>
      </c>
      <c r="F240" s="3">
        <v>0.28000000000000003</v>
      </c>
      <c r="G240" s="90" t="s">
        <v>24</v>
      </c>
      <c r="H240" s="4" t="s">
        <v>217</v>
      </c>
      <c r="I240" s="1" t="s">
        <v>18</v>
      </c>
    </row>
    <row r="241" spans="1:9" ht="15" x14ac:dyDescent="0.2">
      <c r="A241" s="51"/>
      <c r="B241" s="110" t="s">
        <v>5</v>
      </c>
      <c r="C241" s="29">
        <f>SUBTOTAL(109,C237:C240)</f>
        <v>1.5475000000000001</v>
      </c>
      <c r="D241" s="29">
        <f>SUBTOTAL(109,D237:D240)</f>
        <v>1.4971999999999999</v>
      </c>
      <c r="E241" s="29">
        <f>SUBTOTAL(109,E237:E240)</f>
        <v>1.5595000000000001</v>
      </c>
      <c r="F241" s="29">
        <f>SUBTOTAL(109,F237:F240)</f>
        <v>1.52</v>
      </c>
      <c r="G241" s="121" t="s">
        <v>189</v>
      </c>
      <c r="H241" s="42" t="s">
        <v>73</v>
      </c>
      <c r="I241" s="115" t="s">
        <v>189</v>
      </c>
    </row>
    <row r="242" spans="1:9" x14ac:dyDescent="0.2">
      <c r="A242" s="51"/>
      <c r="B242" s="108" t="s">
        <v>6</v>
      </c>
      <c r="C242" s="5">
        <v>0.99729999999999996</v>
      </c>
      <c r="D242" s="5">
        <v>0.99829999999999997</v>
      </c>
      <c r="E242" s="5">
        <v>0.99809999999999999</v>
      </c>
      <c r="F242" s="11">
        <v>0.94</v>
      </c>
      <c r="G242" s="90" t="s">
        <v>23</v>
      </c>
      <c r="H242" s="9" t="s">
        <v>99</v>
      </c>
      <c r="I242" s="1" t="s">
        <v>19</v>
      </c>
    </row>
    <row r="243" spans="1:9" ht="15" x14ac:dyDescent="0.2">
      <c r="A243" s="51"/>
      <c r="B243" s="110" t="s">
        <v>230</v>
      </c>
      <c r="C243" s="69">
        <v>8.9999999999999998E-4</v>
      </c>
      <c r="D243" s="69">
        <v>8.9999999999999998E-4</v>
      </c>
      <c r="E243" s="69">
        <v>8.9999999999999998E-4</v>
      </c>
      <c r="F243" s="142" t="s">
        <v>189</v>
      </c>
      <c r="G243" s="143" t="s">
        <v>189</v>
      </c>
      <c r="H243" s="144" t="s">
        <v>189</v>
      </c>
      <c r="I243" s="154" t="s">
        <v>189</v>
      </c>
    </row>
    <row r="244" spans="1:9" ht="15" x14ac:dyDescent="0.25">
      <c r="A244" s="20"/>
      <c r="B244" s="17"/>
      <c r="C244" s="17"/>
      <c r="D244" s="17"/>
      <c r="E244" s="19"/>
      <c r="F244" s="18"/>
      <c r="G244" s="92"/>
      <c r="H244" s="19"/>
      <c r="I244" s="175"/>
    </row>
    <row r="245" spans="1:9" ht="23.25" x14ac:dyDescent="0.25">
      <c r="A245" s="53" t="s">
        <v>116</v>
      </c>
      <c r="B245" s="34" t="s">
        <v>117</v>
      </c>
      <c r="C245" s="38"/>
      <c r="D245" s="38"/>
      <c r="E245" s="35"/>
      <c r="F245" s="36"/>
      <c r="G245" s="94"/>
      <c r="H245" s="35"/>
      <c r="I245" s="41"/>
    </row>
    <row r="246" spans="1:9" ht="15.75" x14ac:dyDescent="0.2">
      <c r="A246" s="52"/>
      <c r="B246" s="123" t="s">
        <v>0</v>
      </c>
      <c r="C246" s="129" t="s">
        <v>189</v>
      </c>
      <c r="D246" s="130" t="s">
        <v>190</v>
      </c>
      <c r="E246" s="124" t="s">
        <v>225</v>
      </c>
      <c r="F246" s="124" t="s">
        <v>200</v>
      </c>
      <c r="G246" s="128" t="s">
        <v>30</v>
      </c>
      <c r="H246" s="125" t="s">
        <v>20</v>
      </c>
      <c r="I246" s="125" t="s">
        <v>35</v>
      </c>
    </row>
    <row r="247" spans="1:9" ht="57" x14ac:dyDescent="0.2">
      <c r="A247" s="52"/>
      <c r="B247" s="108" t="s">
        <v>140</v>
      </c>
      <c r="C247" s="131" t="s">
        <v>189</v>
      </c>
      <c r="D247" s="132" t="s">
        <v>189</v>
      </c>
      <c r="E247" s="66">
        <v>0.28160000000000002</v>
      </c>
      <c r="F247" s="5">
        <v>0.24</v>
      </c>
      <c r="G247" s="89" t="s">
        <v>4</v>
      </c>
      <c r="H247" s="7" t="s">
        <v>63</v>
      </c>
      <c r="I247" s="6" t="s">
        <v>223</v>
      </c>
    </row>
    <row r="248" spans="1:9" x14ac:dyDescent="0.2">
      <c r="A248" s="52"/>
      <c r="B248" s="108" t="s">
        <v>2</v>
      </c>
      <c r="C248" s="133" t="s">
        <v>189</v>
      </c>
      <c r="D248" s="134" t="s">
        <v>189</v>
      </c>
      <c r="E248" s="67">
        <v>0.30370000000000003</v>
      </c>
      <c r="F248" s="3">
        <v>0.35</v>
      </c>
      <c r="G248" s="90" t="s">
        <v>3</v>
      </c>
      <c r="H248" s="4" t="s">
        <v>118</v>
      </c>
      <c r="I248" s="1" t="s">
        <v>14</v>
      </c>
    </row>
    <row r="249" spans="1:9" x14ac:dyDescent="0.2">
      <c r="A249" s="52"/>
      <c r="B249" s="109" t="s">
        <v>139</v>
      </c>
      <c r="C249" s="131" t="s">
        <v>189</v>
      </c>
      <c r="D249" s="132" t="s">
        <v>189</v>
      </c>
      <c r="E249" s="67">
        <v>0.32650000000000001</v>
      </c>
      <c r="F249" s="3">
        <v>0.35</v>
      </c>
      <c r="G249" s="90" t="s">
        <v>4</v>
      </c>
      <c r="H249" s="4" t="s">
        <v>119</v>
      </c>
      <c r="I249" s="1" t="s">
        <v>15</v>
      </c>
    </row>
    <row r="250" spans="1:9" ht="28.5" x14ac:dyDescent="0.2">
      <c r="A250" s="52"/>
      <c r="B250" s="166" t="s">
        <v>9</v>
      </c>
      <c r="C250" s="133" t="s">
        <v>189</v>
      </c>
      <c r="D250" s="134" t="s">
        <v>189</v>
      </c>
      <c r="E250" s="67">
        <v>6.8999999999999999E-3</v>
      </c>
      <c r="F250" s="3">
        <v>0.05</v>
      </c>
      <c r="G250" s="91" t="s">
        <v>3</v>
      </c>
      <c r="H250" s="9" t="s">
        <v>51</v>
      </c>
      <c r="I250" s="1" t="s">
        <v>16</v>
      </c>
    </row>
    <row r="251" spans="1:9" x14ac:dyDescent="0.2">
      <c r="A251" s="52"/>
      <c r="B251" s="166" t="s">
        <v>10</v>
      </c>
      <c r="C251" s="133" t="s">
        <v>189</v>
      </c>
      <c r="D251" s="134" t="s">
        <v>189</v>
      </c>
      <c r="E251" s="67">
        <v>1.4E-2</v>
      </c>
      <c r="F251" s="3">
        <v>0.05</v>
      </c>
      <c r="G251" s="91" t="s">
        <v>3</v>
      </c>
      <c r="H251" s="9" t="s">
        <v>51</v>
      </c>
      <c r="I251" s="1" t="s">
        <v>17</v>
      </c>
    </row>
    <row r="252" spans="1:9" x14ac:dyDescent="0.2">
      <c r="A252" s="52"/>
      <c r="B252" s="166" t="s">
        <v>11</v>
      </c>
      <c r="C252" s="133" t="s">
        <v>189</v>
      </c>
      <c r="D252" s="134" t="s">
        <v>189</v>
      </c>
      <c r="E252" s="67">
        <v>0</v>
      </c>
      <c r="F252" s="3">
        <v>0.05</v>
      </c>
      <c r="G252" s="91" t="s">
        <v>3</v>
      </c>
      <c r="H252" s="9" t="s">
        <v>51</v>
      </c>
      <c r="I252" s="1" t="s">
        <v>18</v>
      </c>
    </row>
    <row r="253" spans="1:9" x14ac:dyDescent="0.2">
      <c r="A253" s="52"/>
      <c r="B253" s="166" t="s">
        <v>21</v>
      </c>
      <c r="C253" s="133" t="s">
        <v>189</v>
      </c>
      <c r="D253" s="134" t="s">
        <v>189</v>
      </c>
      <c r="E253" s="141">
        <v>0</v>
      </c>
      <c r="F253" s="117" t="s">
        <v>189</v>
      </c>
      <c r="G253" s="91" t="s">
        <v>3</v>
      </c>
      <c r="H253" s="136" t="s">
        <v>189</v>
      </c>
      <c r="I253" s="153" t="s">
        <v>189</v>
      </c>
    </row>
    <row r="254" spans="1:9" ht="15.75" x14ac:dyDescent="0.2">
      <c r="A254" s="52"/>
      <c r="B254" s="166" t="s">
        <v>12</v>
      </c>
      <c r="C254" s="129" t="s">
        <v>189</v>
      </c>
      <c r="D254" s="130" t="s">
        <v>189</v>
      </c>
      <c r="E254" s="67">
        <v>0.10920000000000001</v>
      </c>
      <c r="F254" s="3">
        <v>0.15</v>
      </c>
      <c r="G254" s="90" t="s">
        <v>3</v>
      </c>
      <c r="H254" s="9" t="s">
        <v>52</v>
      </c>
      <c r="I254" s="9" t="s">
        <v>18</v>
      </c>
    </row>
    <row r="255" spans="1:9" x14ac:dyDescent="0.2">
      <c r="A255" s="52"/>
      <c r="B255" s="108" t="s">
        <v>13</v>
      </c>
      <c r="C255" s="131" t="s">
        <v>189</v>
      </c>
      <c r="D255" s="132" t="s">
        <v>189</v>
      </c>
      <c r="E255" s="67">
        <v>1.1000000000000001E-3</v>
      </c>
      <c r="F255" s="3">
        <v>0.05</v>
      </c>
      <c r="G255" s="90" t="s">
        <v>3</v>
      </c>
      <c r="H255" s="10" t="s">
        <v>51</v>
      </c>
      <c r="I255" s="136" t="s">
        <v>189</v>
      </c>
    </row>
    <row r="256" spans="1:9" ht="15" x14ac:dyDescent="0.2">
      <c r="A256" s="52"/>
      <c r="B256" s="110" t="s">
        <v>5</v>
      </c>
      <c r="C256" s="133" t="s">
        <v>189</v>
      </c>
      <c r="D256" s="134" t="s">
        <v>189</v>
      </c>
      <c r="E256" s="29">
        <f>SUBTOTAL(109,E247:E255)</f>
        <v>1.0430000000000001</v>
      </c>
      <c r="F256" s="29">
        <f>SUBTOTAL(109,F247:F255)</f>
        <v>1.29</v>
      </c>
      <c r="G256" s="121" t="s">
        <v>189</v>
      </c>
      <c r="H256" s="122" t="s">
        <v>189</v>
      </c>
      <c r="I256" s="116" t="s">
        <v>189</v>
      </c>
    </row>
    <row r="257" spans="1:9" x14ac:dyDescent="0.2">
      <c r="A257" s="52"/>
      <c r="B257" s="108" t="s">
        <v>6</v>
      </c>
      <c r="C257" s="131" t="s">
        <v>189</v>
      </c>
      <c r="D257" s="132" t="s">
        <v>189</v>
      </c>
      <c r="E257" s="68">
        <v>0.14530000000000001</v>
      </c>
      <c r="F257" s="11">
        <v>0.15</v>
      </c>
      <c r="G257" s="90" t="s">
        <v>4</v>
      </c>
      <c r="H257" s="9" t="s">
        <v>120</v>
      </c>
      <c r="I257" s="1" t="s">
        <v>19</v>
      </c>
    </row>
    <row r="258" spans="1:9" ht="15" x14ac:dyDescent="0.2">
      <c r="A258" s="52"/>
      <c r="B258" s="110" t="s">
        <v>230</v>
      </c>
      <c r="C258" s="138" t="s">
        <v>189</v>
      </c>
      <c r="D258" s="139" t="s">
        <v>189</v>
      </c>
      <c r="E258" s="69">
        <v>1.9E-3</v>
      </c>
      <c r="F258" s="115" t="s">
        <v>189</v>
      </c>
      <c r="G258" s="135" t="s">
        <v>189</v>
      </c>
      <c r="H258" s="135" t="s">
        <v>189</v>
      </c>
      <c r="I258" s="154" t="s">
        <v>189</v>
      </c>
    </row>
    <row r="259" spans="1:9" ht="15" x14ac:dyDescent="0.25">
      <c r="A259" s="20"/>
      <c r="B259" s="17"/>
      <c r="C259" s="17"/>
      <c r="D259" s="17"/>
      <c r="E259" s="19"/>
      <c r="F259" s="18"/>
      <c r="G259" s="92"/>
      <c r="H259" s="19"/>
      <c r="I259" s="175"/>
    </row>
    <row r="260" spans="1:9" ht="23.25" x14ac:dyDescent="0.25">
      <c r="A260" s="53" t="s">
        <v>116</v>
      </c>
      <c r="B260" s="34" t="s">
        <v>121</v>
      </c>
      <c r="C260" s="34"/>
      <c r="D260" s="34"/>
      <c r="E260" s="35"/>
      <c r="F260" s="36"/>
      <c r="G260" s="94"/>
      <c r="H260" s="35"/>
      <c r="I260" s="41"/>
    </row>
    <row r="261" spans="1:9" ht="15.75" x14ac:dyDescent="0.2">
      <c r="A261" s="52"/>
      <c r="B261" s="14" t="s">
        <v>0</v>
      </c>
      <c r="C261" s="230" t="s">
        <v>189</v>
      </c>
      <c r="D261" s="231" t="s">
        <v>190</v>
      </c>
      <c r="E261" s="15" t="s">
        <v>225</v>
      </c>
      <c r="F261" s="15" t="s">
        <v>200</v>
      </c>
      <c r="G261" s="88" t="s">
        <v>30</v>
      </c>
      <c r="H261" s="14" t="s">
        <v>20</v>
      </c>
      <c r="I261" s="14" t="s">
        <v>35</v>
      </c>
    </row>
    <row r="262" spans="1:9" ht="28.5" x14ac:dyDescent="0.2">
      <c r="A262" s="52"/>
      <c r="B262" s="108" t="s">
        <v>140</v>
      </c>
      <c r="C262" s="131" t="s">
        <v>189</v>
      </c>
      <c r="D262" s="132" t="s">
        <v>190</v>
      </c>
      <c r="E262" s="5" t="s">
        <v>242</v>
      </c>
      <c r="F262" s="5" t="s">
        <v>243</v>
      </c>
      <c r="G262" s="89" t="s">
        <v>4</v>
      </c>
      <c r="H262" s="7" t="s">
        <v>66</v>
      </c>
      <c r="I262" s="6" t="s">
        <v>232</v>
      </c>
    </row>
    <row r="263" spans="1:9" x14ac:dyDescent="0.2">
      <c r="A263" s="52"/>
      <c r="B263" s="108" t="s">
        <v>2</v>
      </c>
      <c r="C263" s="133" t="s">
        <v>189</v>
      </c>
      <c r="D263" s="134" t="s">
        <v>189</v>
      </c>
      <c r="E263" s="3">
        <v>0.26590000000000003</v>
      </c>
      <c r="F263" s="3">
        <v>0.3</v>
      </c>
      <c r="G263" s="90" t="s">
        <v>3</v>
      </c>
      <c r="H263" s="4" t="s">
        <v>60</v>
      </c>
      <c r="I263" s="1" t="s">
        <v>14</v>
      </c>
    </row>
    <row r="264" spans="1:9" x14ac:dyDescent="0.2">
      <c r="A264" s="52"/>
      <c r="B264" s="109" t="s">
        <v>139</v>
      </c>
      <c r="C264" s="131" t="s">
        <v>189</v>
      </c>
      <c r="D264" s="132" t="s">
        <v>189</v>
      </c>
      <c r="E264" s="3">
        <v>0.27239999999999998</v>
      </c>
      <c r="F264" s="3">
        <v>0.25</v>
      </c>
      <c r="G264" s="90" t="s">
        <v>4</v>
      </c>
      <c r="H264" s="4" t="s">
        <v>57</v>
      </c>
      <c r="I264" s="1" t="s">
        <v>15</v>
      </c>
    </row>
    <row r="265" spans="1:9" ht="28.5" x14ac:dyDescent="0.2">
      <c r="A265" s="52"/>
      <c r="B265" s="166" t="s">
        <v>9</v>
      </c>
      <c r="C265" s="133" t="s">
        <v>189</v>
      </c>
      <c r="D265" s="134" t="s">
        <v>189</v>
      </c>
      <c r="E265" s="3">
        <v>1.6999999999999999E-3</v>
      </c>
      <c r="F265" s="3">
        <v>0.05</v>
      </c>
      <c r="G265" s="91" t="s">
        <v>3</v>
      </c>
      <c r="H265" s="9" t="s">
        <v>51</v>
      </c>
      <c r="I265" s="1" t="s">
        <v>16</v>
      </c>
    </row>
    <row r="266" spans="1:9" x14ac:dyDescent="0.2">
      <c r="A266" s="52"/>
      <c r="B266" s="166" t="s">
        <v>10</v>
      </c>
      <c r="C266" s="133" t="s">
        <v>189</v>
      </c>
      <c r="D266" s="134" t="s">
        <v>189</v>
      </c>
      <c r="E266" s="3">
        <v>4.4999999999999997E-3</v>
      </c>
      <c r="F266" s="3">
        <v>0.05</v>
      </c>
      <c r="G266" s="91" t="s">
        <v>3</v>
      </c>
      <c r="H266" s="9" t="s">
        <v>51</v>
      </c>
      <c r="I266" s="1" t="s">
        <v>17</v>
      </c>
    </row>
    <row r="267" spans="1:9" x14ac:dyDescent="0.2">
      <c r="A267" s="52"/>
      <c r="B267" s="166" t="s">
        <v>11</v>
      </c>
      <c r="C267" s="133" t="s">
        <v>189</v>
      </c>
      <c r="D267" s="134" t="s">
        <v>189</v>
      </c>
      <c r="E267" s="117">
        <v>0</v>
      </c>
      <c r="F267" s="3">
        <v>0.05</v>
      </c>
      <c r="G267" s="91" t="s">
        <v>3</v>
      </c>
      <c r="H267" s="9" t="s">
        <v>51</v>
      </c>
      <c r="I267" s="1" t="s">
        <v>18</v>
      </c>
    </row>
    <row r="268" spans="1:9" x14ac:dyDescent="0.2">
      <c r="A268" s="52"/>
      <c r="B268" s="166" t="s">
        <v>21</v>
      </c>
      <c r="C268" s="133" t="s">
        <v>189</v>
      </c>
      <c r="D268" s="134" t="s">
        <v>189</v>
      </c>
      <c r="E268" s="117">
        <v>0</v>
      </c>
      <c r="F268" s="117" t="s">
        <v>189</v>
      </c>
      <c r="G268" s="91" t="s">
        <v>3</v>
      </c>
      <c r="H268" s="9" t="s">
        <v>73</v>
      </c>
      <c r="I268" s="153" t="s">
        <v>189</v>
      </c>
    </row>
    <row r="269" spans="1:9" ht="15.75" x14ac:dyDescent="0.2">
      <c r="A269" s="52"/>
      <c r="B269" s="166" t="s">
        <v>12</v>
      </c>
      <c r="C269" s="129" t="s">
        <v>189</v>
      </c>
      <c r="D269" s="130" t="s">
        <v>189</v>
      </c>
      <c r="E269" s="3">
        <v>0.1081</v>
      </c>
      <c r="F269" s="3">
        <v>0.15</v>
      </c>
      <c r="G269" s="90" t="s">
        <v>3</v>
      </c>
      <c r="H269" s="9" t="s">
        <v>52</v>
      </c>
      <c r="I269" s="9" t="s">
        <v>18</v>
      </c>
    </row>
    <row r="270" spans="1:9" x14ac:dyDescent="0.2">
      <c r="A270" s="52"/>
      <c r="B270" s="108" t="s">
        <v>13</v>
      </c>
      <c r="C270" s="131" t="s">
        <v>189</v>
      </c>
      <c r="D270" s="132" t="s">
        <v>189</v>
      </c>
      <c r="E270" s="3">
        <v>0</v>
      </c>
      <c r="F270" s="3">
        <v>0.05</v>
      </c>
      <c r="G270" s="90" t="s">
        <v>3</v>
      </c>
      <c r="H270" s="10" t="s">
        <v>51</v>
      </c>
      <c r="I270" s="136" t="s">
        <v>189</v>
      </c>
    </row>
    <row r="271" spans="1:9" ht="15" x14ac:dyDescent="0.2">
      <c r="A271" s="52"/>
      <c r="B271" s="110" t="s">
        <v>5</v>
      </c>
      <c r="C271" s="133" t="s">
        <v>189</v>
      </c>
      <c r="D271" s="134" t="s">
        <v>189</v>
      </c>
      <c r="E271" s="29">
        <f>SUBTOTAL(109,E262:E270)</f>
        <v>0.65259999999999996</v>
      </c>
      <c r="F271" s="29">
        <f>SUBTOTAL(109,F262:F270)</f>
        <v>0.90000000000000024</v>
      </c>
      <c r="G271" s="121" t="s">
        <v>189</v>
      </c>
      <c r="H271" s="42" t="s">
        <v>73</v>
      </c>
      <c r="I271" s="116" t="s">
        <v>189</v>
      </c>
    </row>
    <row r="272" spans="1:9" x14ac:dyDescent="0.2">
      <c r="A272" s="52"/>
      <c r="B272" s="108" t="s">
        <v>6</v>
      </c>
      <c r="C272" s="131" t="s">
        <v>189</v>
      </c>
      <c r="D272" s="132" t="s">
        <v>189</v>
      </c>
      <c r="E272" s="11">
        <v>0.2248</v>
      </c>
      <c r="F272" s="236">
        <v>0.2</v>
      </c>
      <c r="G272" s="90" t="s">
        <v>4</v>
      </c>
      <c r="H272" s="232" t="s">
        <v>64</v>
      </c>
      <c r="I272" s="1" t="s">
        <v>19</v>
      </c>
    </row>
    <row r="273" spans="1:9" ht="15" x14ac:dyDescent="0.2">
      <c r="A273" s="52"/>
      <c r="B273" s="110" t="s">
        <v>230</v>
      </c>
      <c r="C273" s="138" t="s">
        <v>189</v>
      </c>
      <c r="D273" s="139" t="s">
        <v>189</v>
      </c>
      <c r="E273" s="69">
        <v>1.9E-3</v>
      </c>
      <c r="F273" s="115" t="s">
        <v>189</v>
      </c>
      <c r="G273" s="135" t="s">
        <v>189</v>
      </c>
      <c r="H273" s="135" t="s">
        <v>189</v>
      </c>
      <c r="I273" s="154" t="s">
        <v>189</v>
      </c>
    </row>
    <row r="274" spans="1:9" ht="15" x14ac:dyDescent="0.25">
      <c r="A274" s="20"/>
      <c r="B274" s="17"/>
      <c r="C274" s="17"/>
      <c r="D274" s="17"/>
      <c r="E274" s="19"/>
      <c r="F274" s="18"/>
      <c r="G274" s="92"/>
      <c r="H274" s="19"/>
      <c r="I274" s="175"/>
    </row>
    <row r="275" spans="1:9" ht="23.25" x14ac:dyDescent="0.25">
      <c r="A275" s="53" t="s">
        <v>116</v>
      </c>
      <c r="B275" s="34" t="s">
        <v>122</v>
      </c>
      <c r="C275" s="34"/>
      <c r="D275" s="34"/>
      <c r="E275" s="35"/>
      <c r="F275" s="36"/>
      <c r="G275" s="94"/>
      <c r="H275" s="35"/>
      <c r="I275" s="41"/>
    </row>
    <row r="276" spans="1:9" ht="15.75" x14ac:dyDescent="0.2">
      <c r="A276" s="52"/>
      <c r="B276" s="137" t="s">
        <v>0</v>
      </c>
      <c r="C276" s="129" t="s">
        <v>189</v>
      </c>
      <c r="D276" s="130" t="s">
        <v>190</v>
      </c>
      <c r="E276" s="124" t="s">
        <v>225</v>
      </c>
      <c r="F276" s="124" t="s">
        <v>200</v>
      </c>
      <c r="G276" s="128" t="s">
        <v>30</v>
      </c>
      <c r="H276" s="125" t="s">
        <v>20</v>
      </c>
      <c r="I276" s="125" t="s">
        <v>35</v>
      </c>
    </row>
    <row r="277" spans="1:9" ht="28.5" x14ac:dyDescent="0.2">
      <c r="A277" s="52"/>
      <c r="B277" s="108" t="s">
        <v>140</v>
      </c>
      <c r="C277" s="131" t="s">
        <v>189</v>
      </c>
      <c r="D277" s="132" t="s">
        <v>189</v>
      </c>
      <c r="E277" s="5">
        <v>0.97670000000000001</v>
      </c>
      <c r="F277" s="5">
        <v>0.95</v>
      </c>
      <c r="G277" s="89" t="s">
        <v>4</v>
      </c>
      <c r="H277" s="7" t="s">
        <v>123</v>
      </c>
      <c r="I277" s="6" t="s">
        <v>232</v>
      </c>
    </row>
    <row r="278" spans="1:9" x14ac:dyDescent="0.2">
      <c r="A278" s="52"/>
      <c r="B278" s="108" t="s">
        <v>2</v>
      </c>
      <c r="C278" s="133" t="s">
        <v>189</v>
      </c>
      <c r="D278" s="134" t="s">
        <v>189</v>
      </c>
      <c r="E278" s="3">
        <v>0.27710000000000001</v>
      </c>
      <c r="F278" s="3">
        <v>0.3</v>
      </c>
      <c r="G278" s="90" t="s">
        <v>3</v>
      </c>
      <c r="H278" s="4" t="s">
        <v>60</v>
      </c>
      <c r="I278" s="1" t="s">
        <v>14</v>
      </c>
    </row>
    <row r="279" spans="1:9" x14ac:dyDescent="0.2">
      <c r="A279" s="52"/>
      <c r="B279" s="109" t="s">
        <v>139</v>
      </c>
      <c r="C279" s="131" t="s">
        <v>189</v>
      </c>
      <c r="D279" s="132" t="s">
        <v>189</v>
      </c>
      <c r="E279" s="3">
        <v>3.0599999999999999E-2</v>
      </c>
      <c r="F279" s="3">
        <v>0.06</v>
      </c>
      <c r="G279" s="90" t="s">
        <v>4</v>
      </c>
      <c r="H279" s="4" t="s">
        <v>58</v>
      </c>
      <c r="I279" s="1" t="s">
        <v>15</v>
      </c>
    </row>
    <row r="280" spans="1:9" ht="28.5" x14ac:dyDescent="0.2">
      <c r="A280" s="52"/>
      <c r="B280" s="166" t="s">
        <v>9</v>
      </c>
      <c r="C280" s="133" t="s">
        <v>189</v>
      </c>
      <c r="D280" s="134" t="s">
        <v>189</v>
      </c>
      <c r="E280" s="3">
        <v>2.2200000000000001E-2</v>
      </c>
      <c r="F280" s="3">
        <v>0.05</v>
      </c>
      <c r="G280" s="91" t="s">
        <v>3</v>
      </c>
      <c r="H280" s="9" t="s">
        <v>51</v>
      </c>
      <c r="I280" s="1" t="s">
        <v>16</v>
      </c>
    </row>
    <row r="281" spans="1:9" x14ac:dyDescent="0.2">
      <c r="A281" s="52"/>
      <c r="B281" s="166" t="s">
        <v>10</v>
      </c>
      <c r="C281" s="133" t="s">
        <v>189</v>
      </c>
      <c r="D281" s="134" t="s">
        <v>189</v>
      </c>
      <c r="E281" s="3">
        <v>2.3E-3</v>
      </c>
      <c r="F281" s="3">
        <v>0.05</v>
      </c>
      <c r="G281" s="91" t="s">
        <v>3</v>
      </c>
      <c r="H281" s="9" t="s">
        <v>51</v>
      </c>
      <c r="I281" s="1" t="s">
        <v>17</v>
      </c>
    </row>
    <row r="282" spans="1:9" x14ac:dyDescent="0.2">
      <c r="A282" s="52"/>
      <c r="B282" s="166" t="s">
        <v>11</v>
      </c>
      <c r="C282" s="133" t="s">
        <v>189</v>
      </c>
      <c r="D282" s="134" t="s">
        <v>189</v>
      </c>
      <c r="E282" s="3">
        <v>0</v>
      </c>
      <c r="F282" s="3">
        <v>0.05</v>
      </c>
      <c r="G282" s="91" t="s">
        <v>3</v>
      </c>
      <c r="H282" s="9" t="s">
        <v>51</v>
      </c>
      <c r="I282" s="1" t="s">
        <v>18</v>
      </c>
    </row>
    <row r="283" spans="1:9" x14ac:dyDescent="0.2">
      <c r="A283" s="52"/>
      <c r="B283" s="166" t="s">
        <v>21</v>
      </c>
      <c r="C283" s="133" t="s">
        <v>189</v>
      </c>
      <c r="D283" s="134" t="s">
        <v>189</v>
      </c>
      <c r="E283" s="3">
        <v>0</v>
      </c>
      <c r="F283" s="3">
        <v>0.05</v>
      </c>
      <c r="G283" s="91" t="s">
        <v>3</v>
      </c>
      <c r="H283" s="9" t="s">
        <v>51</v>
      </c>
      <c r="I283" s="1" t="s">
        <v>18</v>
      </c>
    </row>
    <row r="284" spans="1:9" ht="15.75" x14ac:dyDescent="0.2">
      <c r="A284" s="52"/>
      <c r="B284" s="108" t="s">
        <v>12</v>
      </c>
      <c r="C284" s="129" t="s">
        <v>189</v>
      </c>
      <c r="D284" s="130" t="s">
        <v>189</v>
      </c>
      <c r="E284" s="3">
        <v>0.15720000000000001</v>
      </c>
      <c r="F284" s="3">
        <v>0.12</v>
      </c>
      <c r="G284" s="90" t="s">
        <v>3</v>
      </c>
      <c r="H284" s="9" t="s">
        <v>56</v>
      </c>
      <c r="I284" s="9" t="s">
        <v>18</v>
      </c>
    </row>
    <row r="285" spans="1:9" x14ac:dyDescent="0.2">
      <c r="A285" s="52"/>
      <c r="B285" s="108" t="s">
        <v>13</v>
      </c>
      <c r="C285" s="131" t="s">
        <v>189</v>
      </c>
      <c r="D285" s="132" t="s">
        <v>189</v>
      </c>
      <c r="E285" s="3">
        <v>2E-3</v>
      </c>
      <c r="F285" s="3">
        <v>0.05</v>
      </c>
      <c r="G285" s="90" t="s">
        <v>3</v>
      </c>
      <c r="H285" s="10" t="s">
        <v>51</v>
      </c>
      <c r="I285" s="136" t="s">
        <v>189</v>
      </c>
    </row>
    <row r="286" spans="1:9" ht="15" x14ac:dyDescent="0.2">
      <c r="A286" s="52"/>
      <c r="B286" s="110" t="s">
        <v>5</v>
      </c>
      <c r="C286" s="133" t="s">
        <v>189</v>
      </c>
      <c r="D286" s="134" t="s">
        <v>189</v>
      </c>
      <c r="E286" s="103">
        <f>SUBTOTAL(109,E277:E285)</f>
        <v>1.4681</v>
      </c>
      <c r="F286" s="103">
        <f>SUBTOTAL(109,F277:F285)</f>
        <v>1.6800000000000004</v>
      </c>
      <c r="G286" s="121" t="s">
        <v>189</v>
      </c>
      <c r="H286" s="122" t="s">
        <v>189</v>
      </c>
      <c r="I286" s="116" t="s">
        <v>189</v>
      </c>
    </row>
    <row r="287" spans="1:9" x14ac:dyDescent="0.2">
      <c r="A287" s="52"/>
      <c r="B287" s="108" t="s">
        <v>6</v>
      </c>
      <c r="C287" s="131" t="s">
        <v>189</v>
      </c>
      <c r="D287" s="132" t="s">
        <v>189</v>
      </c>
      <c r="E287" s="11">
        <v>0.2243</v>
      </c>
      <c r="F287" s="236">
        <v>0.22</v>
      </c>
      <c r="G287" s="90" t="s">
        <v>4</v>
      </c>
      <c r="H287" s="232" t="s">
        <v>53</v>
      </c>
      <c r="I287" s="1" t="s">
        <v>19</v>
      </c>
    </row>
    <row r="288" spans="1:9" ht="15" x14ac:dyDescent="0.2">
      <c r="A288" s="52"/>
      <c r="B288" s="110" t="s">
        <v>230</v>
      </c>
      <c r="C288" s="138" t="s">
        <v>189</v>
      </c>
      <c r="D288" s="139" t="s">
        <v>189</v>
      </c>
      <c r="E288" s="69">
        <v>1.9E-3</v>
      </c>
      <c r="F288" s="115" t="s">
        <v>189</v>
      </c>
      <c r="G288" s="135" t="s">
        <v>189</v>
      </c>
      <c r="H288" s="135" t="s">
        <v>189</v>
      </c>
      <c r="I288" s="154" t="s">
        <v>189</v>
      </c>
    </row>
    <row r="289" spans="1:9" ht="15" x14ac:dyDescent="0.25">
      <c r="A289" s="20"/>
      <c r="B289" s="17"/>
      <c r="C289" s="17"/>
      <c r="D289" s="17"/>
      <c r="E289" s="19"/>
      <c r="F289" s="18"/>
      <c r="G289" s="92"/>
      <c r="H289" s="19"/>
      <c r="I289" s="175"/>
    </row>
    <row r="290" spans="1:9" ht="23.25" x14ac:dyDescent="0.25">
      <c r="A290" s="53" t="s">
        <v>116</v>
      </c>
      <c r="B290" s="34" t="s">
        <v>124</v>
      </c>
      <c r="C290" s="34"/>
      <c r="D290" s="34"/>
      <c r="E290" s="35"/>
      <c r="F290" s="36"/>
      <c r="G290" s="94"/>
      <c r="H290" s="35"/>
      <c r="I290" s="41"/>
    </row>
    <row r="291" spans="1:9" ht="15.75" x14ac:dyDescent="0.2">
      <c r="A291" s="52"/>
      <c r="B291" s="123" t="s">
        <v>0</v>
      </c>
      <c r="C291" s="129" t="s">
        <v>189</v>
      </c>
      <c r="D291" s="130" t="s">
        <v>190</v>
      </c>
      <c r="E291" s="124" t="s">
        <v>225</v>
      </c>
      <c r="F291" s="124" t="s">
        <v>200</v>
      </c>
      <c r="G291" s="128" t="s">
        <v>30</v>
      </c>
      <c r="H291" s="125" t="s">
        <v>20</v>
      </c>
      <c r="I291" s="125" t="s">
        <v>35</v>
      </c>
    </row>
    <row r="292" spans="1:9" ht="28.5" x14ac:dyDescent="0.2">
      <c r="A292" s="52"/>
      <c r="B292" s="108" t="s">
        <v>140</v>
      </c>
      <c r="C292" s="131" t="s">
        <v>189</v>
      </c>
      <c r="D292" s="132" t="s">
        <v>190</v>
      </c>
      <c r="E292" s="5">
        <v>0.96450000000000002</v>
      </c>
      <c r="F292" s="5">
        <v>0.94</v>
      </c>
      <c r="G292" s="90" t="s">
        <v>4</v>
      </c>
      <c r="H292" s="7" t="s">
        <v>99</v>
      </c>
      <c r="I292" s="6" t="s">
        <v>232</v>
      </c>
    </row>
    <row r="293" spans="1:9" x14ac:dyDescent="0.2">
      <c r="A293" s="52"/>
      <c r="B293" s="108" t="s">
        <v>2</v>
      </c>
      <c r="C293" s="133" t="s">
        <v>189</v>
      </c>
      <c r="D293" s="134" t="s">
        <v>189</v>
      </c>
      <c r="E293" s="3">
        <v>0.2339</v>
      </c>
      <c r="F293" s="3">
        <v>0.25</v>
      </c>
      <c r="G293" s="90" t="s">
        <v>3</v>
      </c>
      <c r="H293" s="4" t="s">
        <v>54</v>
      </c>
      <c r="I293" s="1" t="s">
        <v>14</v>
      </c>
    </row>
    <row r="294" spans="1:9" x14ac:dyDescent="0.2">
      <c r="A294" s="52"/>
      <c r="B294" s="109" t="s">
        <v>139</v>
      </c>
      <c r="C294" s="131" t="s">
        <v>189</v>
      </c>
      <c r="D294" s="132" t="s">
        <v>189</v>
      </c>
      <c r="E294" s="3">
        <v>9.3100000000000002E-2</v>
      </c>
      <c r="F294" s="3">
        <v>0.14000000000000001</v>
      </c>
      <c r="G294" s="90" t="s">
        <v>4</v>
      </c>
      <c r="H294" s="4" t="s">
        <v>125</v>
      </c>
      <c r="I294" s="1" t="s">
        <v>15</v>
      </c>
    </row>
    <row r="295" spans="1:9" x14ac:dyDescent="0.2">
      <c r="A295" s="52"/>
      <c r="B295" s="108" t="s">
        <v>12</v>
      </c>
      <c r="C295" s="133" t="s">
        <v>189</v>
      </c>
      <c r="D295" s="134" t="s">
        <v>189</v>
      </c>
      <c r="E295" s="3">
        <v>0.1628</v>
      </c>
      <c r="F295" s="3">
        <v>0.15</v>
      </c>
      <c r="G295" s="90" t="s">
        <v>3</v>
      </c>
      <c r="H295" s="9" t="s">
        <v>52</v>
      </c>
      <c r="I295" s="9" t="s">
        <v>18</v>
      </c>
    </row>
    <row r="296" spans="1:9" ht="15" x14ac:dyDescent="0.2">
      <c r="A296" s="52"/>
      <c r="B296" s="110" t="s">
        <v>5</v>
      </c>
      <c r="C296" s="133" t="s">
        <v>189</v>
      </c>
      <c r="D296" s="134" t="s">
        <v>189</v>
      </c>
      <c r="E296" s="29">
        <f>SUBTOTAL(109,E292:E295)</f>
        <v>1.4542999999999999</v>
      </c>
      <c r="F296" s="29">
        <f>SUBTOTAL(109,F292:F295)</f>
        <v>1.48</v>
      </c>
      <c r="G296" s="121" t="s">
        <v>189</v>
      </c>
      <c r="H296" s="42" t="s">
        <v>73</v>
      </c>
      <c r="I296" s="116" t="s">
        <v>189</v>
      </c>
    </row>
    <row r="297" spans="1:9" x14ac:dyDescent="0.2">
      <c r="A297" s="52"/>
      <c r="B297" s="108" t="s">
        <v>6</v>
      </c>
      <c r="C297" s="133" t="s">
        <v>189</v>
      </c>
      <c r="D297" s="134" t="s">
        <v>189</v>
      </c>
      <c r="E297" s="11">
        <v>0.27339999999999998</v>
      </c>
      <c r="F297" s="11">
        <v>0.24</v>
      </c>
      <c r="G297" s="90" t="s">
        <v>4</v>
      </c>
      <c r="H297" s="9" t="s">
        <v>63</v>
      </c>
      <c r="I297" s="1" t="s">
        <v>19</v>
      </c>
    </row>
    <row r="298" spans="1:9" ht="15" x14ac:dyDescent="0.2">
      <c r="A298" s="52"/>
      <c r="B298" s="110" t="s">
        <v>230</v>
      </c>
      <c r="C298" s="133" t="s">
        <v>189</v>
      </c>
      <c r="D298" s="134" t="s">
        <v>189</v>
      </c>
      <c r="E298" s="69">
        <v>1.5E-3</v>
      </c>
      <c r="F298" s="115" t="s">
        <v>189</v>
      </c>
      <c r="G298" s="135" t="s">
        <v>189</v>
      </c>
      <c r="H298" s="135" t="s">
        <v>189</v>
      </c>
      <c r="I298" s="154" t="s">
        <v>189</v>
      </c>
    </row>
    <row r="299" spans="1:9" ht="15" x14ac:dyDescent="0.25">
      <c r="A299" s="20"/>
      <c r="B299" s="17"/>
      <c r="C299" s="17"/>
      <c r="D299" s="17"/>
      <c r="E299" s="19"/>
      <c r="F299" s="18"/>
      <c r="G299" s="92"/>
      <c r="H299" s="19"/>
      <c r="I299" s="175"/>
    </row>
    <row r="300" spans="1:9" ht="23.25" x14ac:dyDescent="0.25">
      <c r="A300" s="53" t="s">
        <v>116</v>
      </c>
      <c r="B300" s="34" t="s">
        <v>126</v>
      </c>
      <c r="C300" s="34"/>
      <c r="D300" s="34"/>
      <c r="E300" s="35"/>
      <c r="F300" s="36"/>
      <c r="G300" s="94"/>
      <c r="H300" s="35"/>
      <c r="I300" s="41"/>
    </row>
    <row r="301" spans="1:9" ht="15.75" x14ac:dyDescent="0.2">
      <c r="A301" s="52"/>
      <c r="B301" s="123" t="s">
        <v>0</v>
      </c>
      <c r="C301" s="129" t="s">
        <v>189</v>
      </c>
      <c r="D301" s="130" t="s">
        <v>190</v>
      </c>
      <c r="E301" s="124" t="s">
        <v>225</v>
      </c>
      <c r="F301" s="124" t="s">
        <v>200</v>
      </c>
      <c r="G301" s="128" t="s">
        <v>30</v>
      </c>
      <c r="H301" s="125" t="s">
        <v>20</v>
      </c>
      <c r="I301" s="125" t="s">
        <v>35</v>
      </c>
    </row>
    <row r="302" spans="1:9" x14ac:dyDescent="0.2">
      <c r="A302" s="52"/>
      <c r="B302" s="108" t="s">
        <v>140</v>
      </c>
      <c r="C302" s="131" t="s">
        <v>189</v>
      </c>
      <c r="D302" s="132" t="s">
        <v>190</v>
      </c>
      <c r="E302" s="5" t="s">
        <v>237</v>
      </c>
      <c r="F302" s="5" t="s">
        <v>238</v>
      </c>
      <c r="G302" s="89" t="s">
        <v>4</v>
      </c>
      <c r="H302" s="7" t="s">
        <v>64</v>
      </c>
      <c r="I302" s="54" t="s">
        <v>25</v>
      </c>
    </row>
    <row r="303" spans="1:9" x14ac:dyDescent="0.2">
      <c r="A303" s="52"/>
      <c r="B303" s="108" t="s">
        <v>2</v>
      </c>
      <c r="C303" s="133" t="s">
        <v>189</v>
      </c>
      <c r="D303" s="134" t="s">
        <v>189</v>
      </c>
      <c r="E303" s="3">
        <v>0.23200000000000001</v>
      </c>
      <c r="F303" s="3">
        <v>0.25</v>
      </c>
      <c r="G303" s="90" t="s">
        <v>3</v>
      </c>
      <c r="H303" s="4" t="s">
        <v>54</v>
      </c>
      <c r="I303" s="1" t="s">
        <v>26</v>
      </c>
    </row>
    <row r="304" spans="1:9" x14ac:dyDescent="0.2">
      <c r="A304" s="52"/>
      <c r="B304" s="109" t="s">
        <v>139</v>
      </c>
      <c r="C304" s="131" t="s">
        <v>189</v>
      </c>
      <c r="D304" s="132" t="s">
        <v>189</v>
      </c>
      <c r="E304" s="3">
        <v>0.28149999999999997</v>
      </c>
      <c r="F304" s="3">
        <v>0.34</v>
      </c>
      <c r="G304" s="90" t="s">
        <v>4</v>
      </c>
      <c r="H304" s="4" t="s">
        <v>127</v>
      </c>
      <c r="I304" s="1" t="s">
        <v>26</v>
      </c>
    </row>
    <row r="305" spans="1:9" x14ac:dyDescent="0.2">
      <c r="A305" s="52"/>
      <c r="B305" s="108" t="s">
        <v>12</v>
      </c>
      <c r="C305" s="133" t="s">
        <v>189</v>
      </c>
      <c r="D305" s="134" t="s">
        <v>189</v>
      </c>
      <c r="E305" s="3">
        <v>0.23449999999999999</v>
      </c>
      <c r="F305" s="3">
        <v>0.21</v>
      </c>
      <c r="G305" s="90" t="s">
        <v>3</v>
      </c>
      <c r="H305" s="9" t="s">
        <v>128</v>
      </c>
      <c r="I305" s="9" t="s">
        <v>18</v>
      </c>
    </row>
    <row r="306" spans="1:9" ht="15" x14ac:dyDescent="0.2">
      <c r="A306" s="52"/>
      <c r="B306" s="110" t="s">
        <v>5</v>
      </c>
      <c r="C306" s="133" t="s">
        <v>189</v>
      </c>
      <c r="D306" s="134" t="s">
        <v>189</v>
      </c>
      <c r="E306" s="29">
        <f>SUBTOTAL(109,E302:E305)</f>
        <v>0.748</v>
      </c>
      <c r="F306" s="29">
        <f>SUBTOTAL(109,F302:F305)</f>
        <v>0.8</v>
      </c>
      <c r="G306" s="121" t="s">
        <v>189</v>
      </c>
      <c r="H306" s="42" t="s">
        <v>73</v>
      </c>
      <c r="I306" s="116" t="s">
        <v>189</v>
      </c>
    </row>
    <row r="307" spans="1:9" x14ac:dyDescent="0.2">
      <c r="A307" s="52"/>
      <c r="B307" s="108" t="s">
        <v>6</v>
      </c>
      <c r="C307" s="133" t="s">
        <v>189</v>
      </c>
      <c r="D307" s="134" t="s">
        <v>189</v>
      </c>
      <c r="E307" s="11">
        <v>0.83679999999999999</v>
      </c>
      <c r="F307" s="11">
        <v>0.81</v>
      </c>
      <c r="G307" s="90" t="s">
        <v>4</v>
      </c>
      <c r="H307" s="9" t="s">
        <v>129</v>
      </c>
      <c r="I307" s="1" t="s">
        <v>19</v>
      </c>
    </row>
    <row r="308" spans="1:9" ht="15" x14ac:dyDescent="0.2">
      <c r="A308" s="52"/>
      <c r="B308" s="110" t="s">
        <v>230</v>
      </c>
      <c r="C308" s="133" t="s">
        <v>189</v>
      </c>
      <c r="D308" s="134" t="s">
        <v>189</v>
      </c>
      <c r="E308" s="69">
        <v>3.0000000000000001E-3</v>
      </c>
      <c r="F308" s="115" t="s">
        <v>189</v>
      </c>
      <c r="G308" s="135" t="s">
        <v>189</v>
      </c>
      <c r="H308" s="135" t="s">
        <v>189</v>
      </c>
      <c r="I308" s="154" t="s">
        <v>189</v>
      </c>
    </row>
    <row r="309" spans="1:9" ht="15.75" x14ac:dyDescent="0.25">
      <c r="A309" s="56" t="s">
        <v>8</v>
      </c>
      <c r="B309" s="17"/>
      <c r="C309" s="17"/>
      <c r="D309" s="17"/>
      <c r="E309" s="19"/>
      <c r="F309" s="18"/>
      <c r="G309" s="92"/>
      <c r="H309" s="19"/>
      <c r="I309" s="175"/>
    </row>
    <row r="310" spans="1:9" s="99" customFormat="1" x14ac:dyDescent="0.2">
      <c r="A310" s="61" t="s">
        <v>137</v>
      </c>
      <c r="B310" s="62"/>
      <c r="C310" s="62"/>
      <c r="D310" s="62"/>
      <c r="E310" s="60"/>
      <c r="F310" s="60"/>
      <c r="G310" s="96"/>
      <c r="H310" s="60"/>
      <c r="I310" s="86"/>
    </row>
    <row r="311" spans="1:9" x14ac:dyDescent="0.2">
      <c r="A311" s="59" t="s">
        <v>136</v>
      </c>
      <c r="B311" s="63"/>
      <c r="C311" s="63"/>
      <c r="D311" s="63"/>
      <c r="E311" s="58"/>
      <c r="F311" s="58"/>
      <c r="G311" s="97"/>
      <c r="H311" s="58"/>
      <c r="I311" s="87"/>
    </row>
    <row r="312" spans="1:9" ht="15" x14ac:dyDescent="0.25">
      <c r="A312" s="55"/>
      <c r="B312" s="17"/>
      <c r="C312" s="17"/>
      <c r="D312" s="17"/>
      <c r="E312" s="19"/>
      <c r="F312" s="18"/>
      <c r="G312" s="92"/>
      <c r="H312" s="19"/>
      <c r="I312" s="175"/>
    </row>
    <row r="10000" spans="10:52" x14ac:dyDescent="0.2">
      <c r="J10000" s="98">
        <v>46</v>
      </c>
      <c r="K10000" s="98">
        <v>24</v>
      </c>
      <c r="L10000" s="98">
        <v>24</v>
      </c>
      <c r="AZ10000" s="98">
        <v>23</v>
      </c>
    </row>
  </sheetData>
  <mergeCells count="1">
    <mergeCell ref="A1:F1"/>
  </mergeCells>
  <hyperlinks>
    <hyperlink ref="A311" r:id="rId1" display="https://www.moreinvest.co.il/media/5jfhbei0/res_%D7%9E%D7%93%D7%99%D7%A0%D7%99%D7%95%D7%AA-%D7%94%D7%A9%D7%AA%D7%AA%D7%A4%D7%95%D7%AA-%D7%91%D7%90%D7%A1%D7%99%D7%A4%D7%95%D7%AA-%D7%9B%D7%9C%D7%9C%D7%99%D7%95%D7%AA-15-8-2023-1.pdf" xr:uid="{5D7F4651-9814-4B21-B76A-BD14271BFB37}"/>
  </hyperlinks>
  <pageMargins left="0.7" right="0.7" top="0.75" bottom="0.75" header="0.3" footer="0.3"/>
  <drawing r:id="rId2"/>
  <tableParts count="23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BEB54-18FB-4CFC-BF25-595E12FF43B2}">
  <sheetPr>
    <tabColor rgb="FF305598"/>
    <pageSetUpPr fitToPage="1"/>
  </sheetPr>
  <dimension ref="A1:AZ10000"/>
  <sheetViews>
    <sheetView rightToLeft="1" topLeftCell="A66" zoomScale="70" zoomScaleNormal="70" workbookViewId="0">
      <selection activeCell="D16" sqref="D16"/>
    </sheetView>
  </sheetViews>
  <sheetFormatPr defaultColWidth="9" defaultRowHeight="14.25" x14ac:dyDescent="0.2"/>
  <cols>
    <col min="1" max="1" width="17.625" style="98" customWidth="1"/>
    <col min="2" max="2" width="19.625" style="100" customWidth="1"/>
    <col min="3" max="3" width="29.5" style="199" customWidth="1"/>
    <col min="4" max="4" width="28.375" style="199" customWidth="1"/>
    <col min="5" max="5" width="16.875" style="225" customWidth="1"/>
    <col min="6" max="6" width="29" style="199" customWidth="1"/>
    <col min="7" max="7" width="22.125" style="226" customWidth="1"/>
    <col min="8" max="8" width="17.625" style="199" customWidth="1"/>
    <col min="9" max="9" width="19.625" style="227" customWidth="1"/>
    <col min="10" max="10" width="29.5" style="199" customWidth="1"/>
    <col min="11" max="11" width="28.375" style="199" customWidth="1"/>
    <col min="12" max="12" width="16.875" style="199" customWidth="1"/>
    <col min="13" max="13" width="29" style="199" customWidth="1"/>
    <col min="14" max="14" width="22.125" style="226" customWidth="1"/>
    <col min="15" max="16384" width="9" style="98"/>
  </cols>
  <sheetData>
    <row r="1" spans="1:14" ht="94.35" customHeight="1" x14ac:dyDescent="0.2">
      <c r="A1" s="237" t="s">
        <v>199</v>
      </c>
      <c r="B1" s="237"/>
      <c r="C1" s="237"/>
      <c r="D1" s="237"/>
      <c r="E1" s="237"/>
      <c r="F1" s="200"/>
      <c r="G1" s="201"/>
      <c r="H1" s="238" t="s">
        <v>224</v>
      </c>
      <c r="I1" s="238"/>
      <c r="J1" s="238"/>
      <c r="K1" s="238"/>
      <c r="L1" s="202"/>
      <c r="M1" s="202"/>
      <c r="N1" s="203"/>
    </row>
    <row r="2" spans="1:14" ht="51.75" customHeight="1" x14ac:dyDescent="0.25">
      <c r="A2" s="21" t="s">
        <v>36</v>
      </c>
      <c r="B2" s="34" t="s">
        <v>130</v>
      </c>
      <c r="C2" s="35"/>
      <c r="D2" s="36"/>
      <c r="E2" s="84"/>
      <c r="F2" s="35"/>
      <c r="G2" s="178"/>
      <c r="H2" s="204" t="s">
        <v>36</v>
      </c>
      <c r="I2" s="34" t="s">
        <v>143</v>
      </c>
      <c r="J2" s="35"/>
      <c r="K2" s="36"/>
      <c r="L2" s="37"/>
      <c r="M2" s="35"/>
      <c r="N2" s="178"/>
    </row>
    <row r="3" spans="1:14" ht="40.35" customHeight="1" x14ac:dyDescent="0.2">
      <c r="A3" s="22"/>
      <c r="B3" s="123" t="s">
        <v>0</v>
      </c>
      <c r="C3" s="124" t="s">
        <v>225</v>
      </c>
      <c r="D3" s="124" t="s">
        <v>200</v>
      </c>
      <c r="E3" s="125" t="s">
        <v>30</v>
      </c>
      <c r="F3" s="125" t="s">
        <v>20</v>
      </c>
      <c r="G3" s="125" t="s">
        <v>35</v>
      </c>
      <c r="H3" s="205"/>
      <c r="I3" s="123" t="s">
        <v>0</v>
      </c>
      <c r="J3" s="124" t="s">
        <v>225</v>
      </c>
      <c r="K3" s="124" t="s">
        <v>200</v>
      </c>
      <c r="L3" s="125" t="s">
        <v>30</v>
      </c>
      <c r="M3" s="125" t="s">
        <v>20</v>
      </c>
      <c r="N3" s="125" t="s">
        <v>35</v>
      </c>
    </row>
    <row r="4" spans="1:14" ht="15.75" x14ac:dyDescent="0.2">
      <c r="A4" s="22"/>
      <c r="B4" s="108" t="s">
        <v>171</v>
      </c>
      <c r="C4" s="5">
        <v>0.2792</v>
      </c>
      <c r="D4" s="5">
        <v>0.3</v>
      </c>
      <c r="E4" s="151" t="s">
        <v>189</v>
      </c>
      <c r="F4" s="152" t="s">
        <v>189</v>
      </c>
      <c r="G4" s="152" t="s">
        <v>189</v>
      </c>
      <c r="H4" s="205"/>
      <c r="I4" s="162" t="s">
        <v>189</v>
      </c>
      <c r="J4" s="163" t="s">
        <v>189</v>
      </c>
      <c r="K4" s="163" t="s">
        <v>189</v>
      </c>
      <c r="L4" s="152" t="s">
        <v>189</v>
      </c>
      <c r="M4" s="152" t="s">
        <v>189</v>
      </c>
      <c r="N4" s="152" t="s">
        <v>189</v>
      </c>
    </row>
    <row r="5" spans="1:14" ht="34.5" customHeight="1" x14ac:dyDescent="0.2">
      <c r="A5" s="22"/>
      <c r="B5" s="108" t="s">
        <v>140</v>
      </c>
      <c r="C5" s="5">
        <v>0.58360000000000001</v>
      </c>
      <c r="D5" s="5">
        <v>0.57999999999999996</v>
      </c>
      <c r="E5" s="6" t="s">
        <v>4</v>
      </c>
      <c r="F5" s="7" t="s">
        <v>210</v>
      </c>
      <c r="G5" s="6" t="s">
        <v>223</v>
      </c>
      <c r="H5" s="205"/>
      <c r="I5" s="108" t="s">
        <v>233</v>
      </c>
      <c r="J5" s="5">
        <v>0.56100000000000005</v>
      </c>
      <c r="K5" s="5">
        <v>0.56000000000000005</v>
      </c>
      <c r="L5" s="6" t="s">
        <v>4</v>
      </c>
      <c r="M5" s="7" t="s">
        <v>211</v>
      </c>
      <c r="N5" s="6" t="s">
        <v>223</v>
      </c>
    </row>
    <row r="6" spans="1:14" x14ac:dyDescent="0.2">
      <c r="A6" s="22"/>
      <c r="B6" s="108" t="s">
        <v>2</v>
      </c>
      <c r="C6" s="3">
        <v>9.0700000000000003E-2</v>
      </c>
      <c r="D6" s="3">
        <v>0.09</v>
      </c>
      <c r="E6" s="1" t="s">
        <v>3</v>
      </c>
      <c r="F6" s="4" t="s">
        <v>209</v>
      </c>
      <c r="G6" s="1" t="s">
        <v>14</v>
      </c>
      <c r="H6" s="205"/>
      <c r="I6" s="108" t="s">
        <v>2</v>
      </c>
      <c r="J6" s="3">
        <v>0.27579999999999999</v>
      </c>
      <c r="K6" s="3">
        <v>0.28000000000000003</v>
      </c>
      <c r="L6" s="1" t="s">
        <v>3</v>
      </c>
      <c r="M6" s="4" t="s">
        <v>46</v>
      </c>
      <c r="N6" s="1" t="s">
        <v>14</v>
      </c>
    </row>
    <row r="7" spans="1:14" ht="28.5" x14ac:dyDescent="0.2">
      <c r="A7" s="22"/>
      <c r="B7" s="109" t="s">
        <v>139</v>
      </c>
      <c r="C7" s="3">
        <v>0.14419999999999999</v>
      </c>
      <c r="D7" s="3">
        <v>0.15</v>
      </c>
      <c r="E7" s="1" t="s">
        <v>4</v>
      </c>
      <c r="F7" s="4" t="s">
        <v>120</v>
      </c>
      <c r="G7" s="1" t="s">
        <v>175</v>
      </c>
      <c r="H7" s="205"/>
      <c r="I7" s="108" t="s">
        <v>139</v>
      </c>
      <c r="J7" s="3">
        <v>0.26300000000000001</v>
      </c>
      <c r="K7" s="3">
        <v>0.3</v>
      </c>
      <c r="L7" s="1" t="s">
        <v>4</v>
      </c>
      <c r="M7" s="4" t="s">
        <v>61</v>
      </c>
      <c r="N7" s="1" t="s">
        <v>15</v>
      </c>
    </row>
    <row r="8" spans="1:14" ht="28.5" x14ac:dyDescent="0.2">
      <c r="A8" s="22"/>
      <c r="B8" s="108" t="s">
        <v>172</v>
      </c>
      <c r="C8" s="3">
        <v>1.0699999999999999E-2</v>
      </c>
      <c r="D8" s="3">
        <v>0.05</v>
      </c>
      <c r="E8" s="8" t="s">
        <v>3</v>
      </c>
      <c r="F8" s="9" t="s">
        <v>51</v>
      </c>
      <c r="G8" s="153" t="s">
        <v>189</v>
      </c>
      <c r="H8" s="205"/>
      <c r="I8" s="108" t="s">
        <v>172</v>
      </c>
      <c r="J8" s="3">
        <v>1.0800000000000001E-2</v>
      </c>
      <c r="K8" s="3">
        <v>0.05</v>
      </c>
      <c r="L8" s="8" t="s">
        <v>3</v>
      </c>
      <c r="M8" s="9" t="s">
        <v>51</v>
      </c>
      <c r="N8" s="153" t="s">
        <v>189</v>
      </c>
    </row>
    <row r="9" spans="1:14" x14ac:dyDescent="0.2">
      <c r="A9" s="22"/>
      <c r="B9" s="108" t="s">
        <v>10</v>
      </c>
      <c r="C9" s="3">
        <v>1.38E-2</v>
      </c>
      <c r="D9" s="3">
        <v>0.05</v>
      </c>
      <c r="E9" s="8" t="s">
        <v>3</v>
      </c>
      <c r="F9" s="9" t="s">
        <v>51</v>
      </c>
      <c r="G9" s="153" t="s">
        <v>189</v>
      </c>
      <c r="H9" s="205"/>
      <c r="I9" s="108" t="s">
        <v>10</v>
      </c>
      <c r="J9" s="3">
        <v>9.4000000000000004E-3</v>
      </c>
      <c r="K9" s="3">
        <v>0.05</v>
      </c>
      <c r="L9" s="8" t="s">
        <v>3</v>
      </c>
      <c r="M9" s="9" t="s">
        <v>51</v>
      </c>
      <c r="N9" s="153" t="s">
        <v>189</v>
      </c>
    </row>
    <row r="10" spans="1:14" x14ac:dyDescent="0.2">
      <c r="A10" s="22"/>
      <c r="B10" s="108" t="s">
        <v>12</v>
      </c>
      <c r="C10" s="3">
        <v>0.14019999999999999</v>
      </c>
      <c r="D10" s="3">
        <v>0.15</v>
      </c>
      <c r="E10" s="1" t="s">
        <v>3</v>
      </c>
      <c r="F10" s="9" t="s">
        <v>52</v>
      </c>
      <c r="G10" s="136" t="s">
        <v>189</v>
      </c>
      <c r="H10" s="205"/>
      <c r="I10" s="108" t="s">
        <v>12</v>
      </c>
      <c r="J10" s="3">
        <v>0.18379999999999999</v>
      </c>
      <c r="K10" s="3">
        <v>0.15</v>
      </c>
      <c r="L10" s="1" t="s">
        <v>3</v>
      </c>
      <c r="M10" s="9" t="s">
        <v>52</v>
      </c>
      <c r="N10" s="136" t="s">
        <v>189</v>
      </c>
    </row>
    <row r="11" spans="1:14" x14ac:dyDescent="0.2">
      <c r="A11" s="22"/>
      <c r="B11" s="108" t="s">
        <v>173</v>
      </c>
      <c r="C11" s="3">
        <v>7.0000000000000001E-3</v>
      </c>
      <c r="D11" s="3">
        <v>0.05</v>
      </c>
      <c r="E11" s="1" t="s">
        <v>3</v>
      </c>
      <c r="F11" s="10" t="s">
        <v>51</v>
      </c>
      <c r="G11" s="136" t="s">
        <v>189</v>
      </c>
      <c r="H11" s="205"/>
      <c r="I11" s="108" t="s">
        <v>173</v>
      </c>
      <c r="J11" s="3">
        <v>5.3E-3</v>
      </c>
      <c r="K11" s="3">
        <v>0.05</v>
      </c>
      <c r="L11" s="1" t="s">
        <v>3</v>
      </c>
      <c r="M11" s="10" t="s">
        <v>51</v>
      </c>
      <c r="N11" s="136" t="s">
        <v>189</v>
      </c>
    </row>
    <row r="12" spans="1:14" ht="15" x14ac:dyDescent="0.2">
      <c r="A12" s="22"/>
      <c r="B12" s="110" t="s">
        <v>5</v>
      </c>
      <c r="C12" s="29">
        <f>SUBTOTAL(109,C4:C11)</f>
        <v>1.2693999999999999</v>
      </c>
      <c r="D12" s="103">
        <f>SUBTOTAL(109,D4:D11)</f>
        <v>1.42</v>
      </c>
      <c r="E12" s="121" t="s">
        <v>189</v>
      </c>
      <c r="F12" s="42" t="s">
        <v>73</v>
      </c>
      <c r="G12" s="116" t="s">
        <v>189</v>
      </c>
      <c r="H12" s="205"/>
      <c r="I12" s="110" t="s">
        <v>5</v>
      </c>
      <c r="J12" s="29">
        <f>SUBTOTAL(109,J4:J11)</f>
        <v>1.3091000000000002</v>
      </c>
      <c r="K12" s="103">
        <f>SUBTOTAL(109,K4:K11)</f>
        <v>1.4400000000000002</v>
      </c>
      <c r="L12" s="122" t="s">
        <v>189</v>
      </c>
      <c r="M12" s="122" t="s">
        <v>189</v>
      </c>
      <c r="N12" s="116" t="s">
        <v>189</v>
      </c>
    </row>
    <row r="13" spans="1:14" x14ac:dyDescent="0.2">
      <c r="A13" s="22"/>
      <c r="B13" s="108" t="s">
        <v>6</v>
      </c>
      <c r="C13" s="11">
        <v>0.19939999999999999</v>
      </c>
      <c r="D13" s="11">
        <v>0.2</v>
      </c>
      <c r="E13" s="1" t="s">
        <v>4</v>
      </c>
      <c r="F13" s="9" t="s">
        <v>64</v>
      </c>
      <c r="G13" s="1" t="s">
        <v>19</v>
      </c>
      <c r="H13" s="205"/>
      <c r="I13" s="108" t="s">
        <v>6</v>
      </c>
      <c r="J13" s="11">
        <v>0.1971</v>
      </c>
      <c r="K13" s="11">
        <v>0.2</v>
      </c>
      <c r="L13" s="1" t="s">
        <v>4</v>
      </c>
      <c r="M13" s="9" t="s">
        <v>64</v>
      </c>
      <c r="N13" s="1" t="s">
        <v>19</v>
      </c>
    </row>
    <row r="14" spans="1:14" ht="30" x14ac:dyDescent="0.2">
      <c r="A14" s="23"/>
      <c r="B14" s="110" t="s">
        <v>230</v>
      </c>
      <c r="C14" s="12">
        <v>2.7000000000000001E-3</v>
      </c>
      <c r="D14" s="206" t="s">
        <v>189</v>
      </c>
      <c r="E14" s="135" t="s">
        <v>189</v>
      </c>
      <c r="F14" s="135" t="s">
        <v>189</v>
      </c>
      <c r="G14" s="179" t="s">
        <v>189</v>
      </c>
      <c r="H14" s="205"/>
      <c r="I14" s="110" t="s">
        <v>230</v>
      </c>
      <c r="J14" s="12">
        <v>2.3999999999999998E-3</v>
      </c>
      <c r="K14" s="206" t="s">
        <v>189</v>
      </c>
      <c r="L14" s="135" t="s">
        <v>189</v>
      </c>
      <c r="M14" s="135" t="s">
        <v>189</v>
      </c>
      <c r="N14" s="179" t="s">
        <v>189</v>
      </c>
    </row>
    <row r="15" spans="1:14" ht="21" customHeight="1" x14ac:dyDescent="0.2">
      <c r="A15" s="73"/>
      <c r="B15" s="169" t="s">
        <v>196</v>
      </c>
      <c r="C15" s="170" t="s">
        <v>196</v>
      </c>
      <c r="D15" s="170" t="s">
        <v>196</v>
      </c>
      <c r="E15" s="170" t="s">
        <v>196</v>
      </c>
      <c r="F15" s="170" t="s">
        <v>196</v>
      </c>
      <c r="G15" s="180" t="s">
        <v>196</v>
      </c>
      <c r="H15" s="207"/>
      <c r="I15" s="79"/>
      <c r="J15" s="80"/>
      <c r="K15" s="81"/>
      <c r="L15" s="80"/>
      <c r="M15" s="80"/>
      <c r="N15" s="182"/>
    </row>
    <row r="16" spans="1:14" ht="51.75" customHeight="1" x14ac:dyDescent="0.25">
      <c r="A16" s="21" t="s">
        <v>36</v>
      </c>
      <c r="B16" s="34" t="s">
        <v>141</v>
      </c>
      <c r="C16" s="35"/>
      <c r="D16" s="36"/>
      <c r="E16" s="84"/>
      <c r="F16" s="35"/>
      <c r="G16" s="178"/>
      <c r="H16" s="204" t="s">
        <v>36</v>
      </c>
      <c r="I16" s="34" t="s">
        <v>144</v>
      </c>
      <c r="J16" s="35"/>
      <c r="K16" s="36"/>
      <c r="L16" s="37"/>
      <c r="M16" s="35"/>
      <c r="N16" s="178"/>
    </row>
    <row r="17" spans="1:14" ht="37.5" customHeight="1" x14ac:dyDescent="0.2">
      <c r="A17" s="22"/>
      <c r="B17" s="123" t="s">
        <v>0</v>
      </c>
      <c r="C17" s="124" t="s">
        <v>225</v>
      </c>
      <c r="D17" s="124" t="s">
        <v>200</v>
      </c>
      <c r="E17" s="125" t="s">
        <v>1</v>
      </c>
      <c r="F17" s="125" t="s">
        <v>20</v>
      </c>
      <c r="G17" s="125" t="s">
        <v>35</v>
      </c>
      <c r="H17" s="205"/>
      <c r="I17" s="123" t="s">
        <v>0</v>
      </c>
      <c r="J17" s="124" t="s">
        <v>225</v>
      </c>
      <c r="K17" s="124" t="s">
        <v>200</v>
      </c>
      <c r="L17" s="125" t="s">
        <v>1</v>
      </c>
      <c r="M17" s="125" t="s">
        <v>20</v>
      </c>
      <c r="N17" s="125" t="s">
        <v>35</v>
      </c>
    </row>
    <row r="18" spans="1:14" ht="15.75" x14ac:dyDescent="0.2">
      <c r="A18" s="22"/>
      <c r="B18" s="108" t="s">
        <v>171</v>
      </c>
      <c r="C18" s="5">
        <v>0.28210000000000002</v>
      </c>
      <c r="D18" s="5">
        <v>0.3</v>
      </c>
      <c r="E18" s="151" t="s">
        <v>189</v>
      </c>
      <c r="F18" s="152" t="s">
        <v>189</v>
      </c>
      <c r="G18" s="152" t="s">
        <v>189</v>
      </c>
      <c r="H18" s="205"/>
      <c r="I18" s="162" t="s">
        <v>189</v>
      </c>
      <c r="J18" s="163" t="s">
        <v>189</v>
      </c>
      <c r="K18" s="163" t="s">
        <v>189</v>
      </c>
      <c r="L18" s="152" t="s">
        <v>189</v>
      </c>
      <c r="M18" s="152" t="s">
        <v>189</v>
      </c>
      <c r="N18" s="152" t="s">
        <v>189</v>
      </c>
    </row>
    <row r="19" spans="1:14" ht="41.25" customHeight="1" x14ac:dyDescent="0.2">
      <c r="A19" s="22"/>
      <c r="B19" s="108" t="s">
        <v>140</v>
      </c>
      <c r="C19" s="5">
        <v>0.4849</v>
      </c>
      <c r="D19" s="5">
        <v>0.45</v>
      </c>
      <c r="E19" s="6" t="s">
        <v>4</v>
      </c>
      <c r="F19" s="7" t="s">
        <v>66</v>
      </c>
      <c r="G19" s="6" t="s">
        <v>223</v>
      </c>
      <c r="H19" s="205"/>
      <c r="I19" s="108" t="s">
        <v>233</v>
      </c>
      <c r="J19" s="5">
        <v>0.46200000000000002</v>
      </c>
      <c r="K19" s="5">
        <v>0.45</v>
      </c>
      <c r="L19" s="6" t="s">
        <v>4</v>
      </c>
      <c r="M19" s="7" t="s">
        <v>66</v>
      </c>
      <c r="N19" s="6" t="s">
        <v>223</v>
      </c>
    </row>
    <row r="20" spans="1:14" ht="25.5" customHeight="1" x14ac:dyDescent="0.2">
      <c r="A20" s="22"/>
      <c r="B20" s="108" t="s">
        <v>2</v>
      </c>
      <c r="C20" s="3">
        <v>0.12520000000000001</v>
      </c>
      <c r="D20" s="3">
        <v>0.13</v>
      </c>
      <c r="E20" s="1" t="s">
        <v>3</v>
      </c>
      <c r="F20" s="4" t="s">
        <v>212</v>
      </c>
      <c r="G20" s="1" t="s">
        <v>14</v>
      </c>
      <c r="H20" s="205"/>
      <c r="I20" s="108" t="s">
        <v>2</v>
      </c>
      <c r="J20" s="3">
        <v>0.28939999999999999</v>
      </c>
      <c r="K20" s="3">
        <v>0.28999999999999998</v>
      </c>
      <c r="L20" s="1" t="s">
        <v>3</v>
      </c>
      <c r="M20" s="4" t="s">
        <v>213</v>
      </c>
      <c r="N20" s="1" t="s">
        <v>14</v>
      </c>
    </row>
    <row r="21" spans="1:14" ht="33" customHeight="1" x14ac:dyDescent="0.2">
      <c r="A21" s="22"/>
      <c r="B21" s="109" t="s">
        <v>139</v>
      </c>
      <c r="C21" s="3">
        <v>0.17899999999999999</v>
      </c>
      <c r="D21" s="3">
        <v>0.2</v>
      </c>
      <c r="E21" s="1" t="s">
        <v>4</v>
      </c>
      <c r="F21" s="4" t="s">
        <v>64</v>
      </c>
      <c r="G21" s="1" t="s">
        <v>175</v>
      </c>
      <c r="H21" s="205"/>
      <c r="I21" s="108" t="s">
        <v>139</v>
      </c>
      <c r="J21" s="3">
        <v>0.32419999999999999</v>
      </c>
      <c r="K21" s="3">
        <v>0.35</v>
      </c>
      <c r="L21" s="1" t="s">
        <v>4</v>
      </c>
      <c r="M21" s="4" t="s">
        <v>119</v>
      </c>
      <c r="N21" s="1" t="s">
        <v>15</v>
      </c>
    </row>
    <row r="22" spans="1:14" ht="28.5" x14ac:dyDescent="0.2">
      <c r="A22" s="22"/>
      <c r="B22" s="108" t="s">
        <v>172</v>
      </c>
      <c r="C22" s="3">
        <v>7.4000000000000003E-3</v>
      </c>
      <c r="D22" s="3">
        <v>0.05</v>
      </c>
      <c r="E22" s="8" t="s">
        <v>3</v>
      </c>
      <c r="F22" s="9" t="s">
        <v>51</v>
      </c>
      <c r="G22" s="153" t="s">
        <v>189</v>
      </c>
      <c r="H22" s="205"/>
      <c r="I22" s="108" t="s">
        <v>172</v>
      </c>
      <c r="J22" s="3">
        <v>4.8999999999999998E-3</v>
      </c>
      <c r="K22" s="3">
        <v>0.05</v>
      </c>
      <c r="L22" s="8" t="s">
        <v>3</v>
      </c>
      <c r="M22" s="9" t="s">
        <v>51</v>
      </c>
      <c r="N22" s="153" t="s">
        <v>189</v>
      </c>
    </row>
    <row r="23" spans="1:14" x14ac:dyDescent="0.2">
      <c r="A23" s="22"/>
      <c r="B23" s="108" t="s">
        <v>10</v>
      </c>
      <c r="C23" s="3">
        <v>1.2500000000000001E-2</v>
      </c>
      <c r="D23" s="3">
        <v>0.05</v>
      </c>
      <c r="E23" s="8" t="s">
        <v>3</v>
      </c>
      <c r="F23" s="9" t="s">
        <v>51</v>
      </c>
      <c r="G23" s="153" t="s">
        <v>189</v>
      </c>
      <c r="H23" s="205"/>
      <c r="I23" s="108" t="s">
        <v>10</v>
      </c>
      <c r="J23" s="3">
        <v>7.9000000000000008E-3</v>
      </c>
      <c r="K23" s="3">
        <v>0.05</v>
      </c>
      <c r="L23" s="8" t="s">
        <v>3</v>
      </c>
      <c r="M23" s="9" t="s">
        <v>51</v>
      </c>
      <c r="N23" s="153" t="s">
        <v>189</v>
      </c>
    </row>
    <row r="24" spans="1:14" x14ac:dyDescent="0.2">
      <c r="A24" s="22"/>
      <c r="B24" s="108" t="s">
        <v>12</v>
      </c>
      <c r="C24" s="3">
        <v>0.14580000000000001</v>
      </c>
      <c r="D24" s="3">
        <v>0.15</v>
      </c>
      <c r="E24" s="1" t="s">
        <v>3</v>
      </c>
      <c r="F24" s="9" t="s">
        <v>52</v>
      </c>
      <c r="G24" s="136" t="s">
        <v>189</v>
      </c>
      <c r="H24" s="205"/>
      <c r="I24" s="108" t="s">
        <v>12</v>
      </c>
      <c r="J24" s="3">
        <v>0.16750000000000001</v>
      </c>
      <c r="K24" s="3">
        <v>0.15</v>
      </c>
      <c r="L24" s="1" t="s">
        <v>3</v>
      </c>
      <c r="M24" s="9" t="s">
        <v>52</v>
      </c>
      <c r="N24" s="136" t="s">
        <v>189</v>
      </c>
    </row>
    <row r="25" spans="1:14" x14ac:dyDescent="0.2">
      <c r="A25" s="22"/>
      <c r="B25" s="108" t="s">
        <v>173</v>
      </c>
      <c r="C25" s="3">
        <v>5.3E-3</v>
      </c>
      <c r="D25" s="3">
        <v>0.05</v>
      </c>
      <c r="E25" s="1" t="s">
        <v>3</v>
      </c>
      <c r="F25" s="10" t="s">
        <v>51</v>
      </c>
      <c r="G25" s="136" t="s">
        <v>189</v>
      </c>
      <c r="H25" s="205"/>
      <c r="I25" s="108" t="s">
        <v>173</v>
      </c>
      <c r="J25" s="3">
        <v>4.3E-3</v>
      </c>
      <c r="K25" s="3">
        <v>0.05</v>
      </c>
      <c r="L25" s="1" t="s">
        <v>3</v>
      </c>
      <c r="M25" s="10" t="s">
        <v>51</v>
      </c>
      <c r="N25" s="136" t="s">
        <v>189</v>
      </c>
    </row>
    <row r="26" spans="1:14" ht="15" x14ac:dyDescent="0.2">
      <c r="A26" s="22"/>
      <c r="B26" s="110" t="s">
        <v>5</v>
      </c>
      <c r="C26" s="29">
        <f>SUBTOTAL(109,C18:C25)</f>
        <v>1.2422</v>
      </c>
      <c r="D26" s="103">
        <f>SUBTOTAL(109,D18:D25)</f>
        <v>1.3800000000000001</v>
      </c>
      <c r="E26" s="121" t="s">
        <v>189</v>
      </c>
      <c r="F26" s="122" t="s">
        <v>189</v>
      </c>
      <c r="G26" s="116" t="s">
        <v>189</v>
      </c>
      <c r="H26" s="205"/>
      <c r="I26" s="110" t="s">
        <v>5</v>
      </c>
      <c r="J26" s="29">
        <f>SUBTOTAL(109,J18:J25)</f>
        <v>1.2602</v>
      </c>
      <c r="K26" s="103">
        <f>SUBTOTAL(109,K18:K25)</f>
        <v>1.39</v>
      </c>
      <c r="L26" s="122" t="s">
        <v>189</v>
      </c>
      <c r="M26" s="122" t="s">
        <v>189</v>
      </c>
      <c r="N26" s="116" t="s">
        <v>189</v>
      </c>
    </row>
    <row r="27" spans="1:14" x14ac:dyDescent="0.2">
      <c r="A27" s="22"/>
      <c r="B27" s="108" t="s">
        <v>6</v>
      </c>
      <c r="C27" s="11">
        <v>0.1835</v>
      </c>
      <c r="D27" s="11">
        <v>0.2</v>
      </c>
      <c r="E27" s="1" t="s">
        <v>4</v>
      </c>
      <c r="F27" s="9" t="s">
        <v>64</v>
      </c>
      <c r="G27" s="1" t="s">
        <v>19</v>
      </c>
      <c r="H27" s="205"/>
      <c r="I27" s="108" t="s">
        <v>6</v>
      </c>
      <c r="J27" s="11">
        <v>0.16669999999999999</v>
      </c>
      <c r="K27" s="11">
        <v>0.2</v>
      </c>
      <c r="L27" s="1" t="s">
        <v>4</v>
      </c>
      <c r="M27" s="9" t="s">
        <v>64</v>
      </c>
      <c r="N27" s="1" t="s">
        <v>19</v>
      </c>
    </row>
    <row r="28" spans="1:14" ht="30" x14ac:dyDescent="0.2">
      <c r="A28" s="23"/>
      <c r="B28" s="110" t="s">
        <v>230</v>
      </c>
      <c r="C28" s="12">
        <v>2.3999999999999998E-3</v>
      </c>
      <c r="D28" s="206" t="s">
        <v>189</v>
      </c>
      <c r="E28" s="135" t="s">
        <v>189</v>
      </c>
      <c r="F28" s="135" t="s">
        <v>189</v>
      </c>
      <c r="G28" s="179" t="s">
        <v>189</v>
      </c>
      <c r="H28" s="205"/>
      <c r="I28" s="110" t="s">
        <v>230</v>
      </c>
      <c r="J28" s="12">
        <v>2.3999999999999998E-3</v>
      </c>
      <c r="K28" s="206" t="s">
        <v>189</v>
      </c>
      <c r="L28" s="135" t="s">
        <v>189</v>
      </c>
      <c r="M28" s="135" t="s">
        <v>189</v>
      </c>
      <c r="N28" s="179" t="s">
        <v>189</v>
      </c>
    </row>
    <row r="29" spans="1:14" ht="21" customHeight="1" x14ac:dyDescent="0.2">
      <c r="A29" s="73"/>
      <c r="B29" s="75"/>
      <c r="C29" s="76"/>
      <c r="D29" s="77"/>
      <c r="E29" s="76"/>
      <c r="F29" s="76"/>
      <c r="G29" s="181"/>
      <c r="H29" s="207"/>
      <c r="I29" s="79"/>
      <c r="J29" s="80"/>
      <c r="K29" s="81"/>
      <c r="L29" s="80"/>
      <c r="M29" s="80"/>
      <c r="N29" s="182"/>
    </row>
    <row r="30" spans="1:14" ht="51.75" customHeight="1" x14ac:dyDescent="0.25">
      <c r="A30" s="21" t="s">
        <v>36</v>
      </c>
      <c r="B30" s="34" t="s">
        <v>142</v>
      </c>
      <c r="C30" s="35"/>
      <c r="D30" s="36"/>
      <c r="E30" s="84"/>
      <c r="F30" s="35"/>
      <c r="G30" s="178"/>
      <c r="H30" s="204" t="s">
        <v>36</v>
      </c>
      <c r="I30" s="34" t="s">
        <v>145</v>
      </c>
      <c r="J30" s="35"/>
      <c r="K30" s="36"/>
      <c r="L30" s="37"/>
      <c r="M30" s="35"/>
      <c r="N30" s="178"/>
    </row>
    <row r="31" spans="1:14" ht="34.5" customHeight="1" x14ac:dyDescent="0.2">
      <c r="A31" s="22"/>
      <c r="B31" s="123" t="s">
        <v>0</v>
      </c>
      <c r="C31" s="124" t="s">
        <v>225</v>
      </c>
      <c r="D31" s="124" t="s">
        <v>200</v>
      </c>
      <c r="E31" s="125" t="s">
        <v>1</v>
      </c>
      <c r="F31" s="125" t="s">
        <v>20</v>
      </c>
      <c r="G31" s="125" t="s">
        <v>35</v>
      </c>
      <c r="H31" s="205"/>
      <c r="I31" s="123" t="s">
        <v>0</v>
      </c>
      <c r="J31" s="124" t="s">
        <v>225</v>
      </c>
      <c r="K31" s="124" t="s">
        <v>200</v>
      </c>
      <c r="L31" s="125" t="s">
        <v>1</v>
      </c>
      <c r="M31" s="125" t="s">
        <v>20</v>
      </c>
      <c r="N31" s="125" t="s">
        <v>35</v>
      </c>
    </row>
    <row r="32" spans="1:14" ht="15.75" x14ac:dyDescent="0.2">
      <c r="A32" s="22"/>
      <c r="B32" s="108" t="s">
        <v>171</v>
      </c>
      <c r="C32" s="3" t="s">
        <v>244</v>
      </c>
      <c r="D32" s="5" t="s">
        <v>197</v>
      </c>
      <c r="E32" s="151" t="s">
        <v>189</v>
      </c>
      <c r="F32" s="152" t="s">
        <v>190</v>
      </c>
      <c r="G32" s="152" t="s">
        <v>198</v>
      </c>
      <c r="H32" s="205"/>
      <c r="I32" s="162" t="s">
        <v>189</v>
      </c>
      <c r="J32" s="163" t="s">
        <v>189</v>
      </c>
      <c r="K32" s="163" t="s">
        <v>189</v>
      </c>
      <c r="L32" s="152" t="s">
        <v>189</v>
      </c>
      <c r="M32" s="152" t="s">
        <v>189</v>
      </c>
      <c r="N32" s="152" t="s">
        <v>189</v>
      </c>
    </row>
    <row r="33" spans="1:14" ht="38.25" customHeight="1" x14ac:dyDescent="0.2">
      <c r="A33" s="22"/>
      <c r="B33" s="108" t="s">
        <v>140</v>
      </c>
      <c r="C33" s="5">
        <v>0.27360000000000001</v>
      </c>
      <c r="D33" s="5">
        <v>0.25</v>
      </c>
      <c r="E33" s="6" t="s">
        <v>4</v>
      </c>
      <c r="F33" s="7" t="s">
        <v>57</v>
      </c>
      <c r="G33" s="6" t="s">
        <v>223</v>
      </c>
      <c r="H33" s="205"/>
      <c r="I33" s="108" t="s">
        <v>233</v>
      </c>
      <c r="J33" s="5">
        <v>0.25459999999999999</v>
      </c>
      <c r="K33" s="5">
        <v>0.27</v>
      </c>
      <c r="L33" s="6" t="s">
        <v>4</v>
      </c>
      <c r="M33" s="7" t="s">
        <v>214</v>
      </c>
      <c r="N33" s="6" t="s">
        <v>223</v>
      </c>
    </row>
    <row r="34" spans="1:14" x14ac:dyDescent="0.2">
      <c r="A34" s="22"/>
      <c r="B34" s="108" t="s">
        <v>2</v>
      </c>
      <c r="C34" s="3">
        <v>0.23019999999999999</v>
      </c>
      <c r="D34" s="3">
        <v>0.23</v>
      </c>
      <c r="E34" s="1" t="s">
        <v>3</v>
      </c>
      <c r="F34" s="4" t="s">
        <v>215</v>
      </c>
      <c r="G34" s="1" t="s">
        <v>14</v>
      </c>
      <c r="H34" s="205"/>
      <c r="I34" s="108" t="s">
        <v>2</v>
      </c>
      <c r="J34" s="3">
        <v>0.34439999999999998</v>
      </c>
      <c r="K34" s="3">
        <v>0.38</v>
      </c>
      <c r="L34" s="1" t="s">
        <v>3</v>
      </c>
      <c r="M34" s="4" t="s">
        <v>78</v>
      </c>
      <c r="N34" s="1" t="s">
        <v>14</v>
      </c>
    </row>
    <row r="35" spans="1:14" ht="28.5" x14ac:dyDescent="0.2">
      <c r="A35" s="22"/>
      <c r="B35" s="109" t="s">
        <v>139</v>
      </c>
      <c r="C35" s="3">
        <v>0.2031</v>
      </c>
      <c r="D35" s="3">
        <v>0.21</v>
      </c>
      <c r="E35" s="1" t="s">
        <v>4</v>
      </c>
      <c r="F35" s="4" t="s">
        <v>178</v>
      </c>
      <c r="G35" s="1" t="s">
        <v>175</v>
      </c>
      <c r="H35" s="205"/>
      <c r="I35" s="108" t="s">
        <v>139</v>
      </c>
      <c r="J35" s="3">
        <v>0.32029999999999997</v>
      </c>
      <c r="K35" s="3">
        <v>0.35</v>
      </c>
      <c r="L35" s="1" t="s">
        <v>4</v>
      </c>
      <c r="M35" s="4" t="s">
        <v>119</v>
      </c>
      <c r="N35" s="1" t="s">
        <v>15</v>
      </c>
    </row>
    <row r="36" spans="1:14" ht="28.5" x14ac:dyDescent="0.2">
      <c r="A36" s="22"/>
      <c r="B36" s="108" t="s">
        <v>172</v>
      </c>
      <c r="C36" s="3">
        <v>5.4999999999999997E-3</v>
      </c>
      <c r="D36" s="3">
        <v>0.05</v>
      </c>
      <c r="E36" s="8" t="s">
        <v>3</v>
      </c>
      <c r="F36" s="9" t="s">
        <v>51</v>
      </c>
      <c r="G36" s="153" t="s">
        <v>189</v>
      </c>
      <c r="H36" s="205"/>
      <c r="I36" s="108" t="s">
        <v>172</v>
      </c>
      <c r="J36" s="3">
        <v>4.5999999999999999E-3</v>
      </c>
      <c r="K36" s="3">
        <v>0.05</v>
      </c>
      <c r="L36" s="8" t="s">
        <v>3</v>
      </c>
      <c r="M36" s="9" t="s">
        <v>51</v>
      </c>
      <c r="N36" s="153" t="s">
        <v>189</v>
      </c>
    </row>
    <row r="37" spans="1:14" x14ac:dyDescent="0.2">
      <c r="A37" s="22"/>
      <c r="B37" s="108" t="s">
        <v>10</v>
      </c>
      <c r="C37" s="3">
        <v>1.55E-2</v>
      </c>
      <c r="D37" s="3">
        <v>0.05</v>
      </c>
      <c r="E37" s="8" t="s">
        <v>3</v>
      </c>
      <c r="F37" s="9" t="s">
        <v>51</v>
      </c>
      <c r="G37" s="153" t="s">
        <v>189</v>
      </c>
      <c r="H37" s="205"/>
      <c r="I37" s="108" t="s">
        <v>10</v>
      </c>
      <c r="J37" s="3">
        <v>1.0699999999999999E-2</v>
      </c>
      <c r="K37" s="3">
        <v>0.05</v>
      </c>
      <c r="L37" s="8" t="s">
        <v>3</v>
      </c>
      <c r="M37" s="9" t="s">
        <v>51</v>
      </c>
      <c r="N37" s="153" t="s">
        <v>189</v>
      </c>
    </row>
    <row r="38" spans="1:14" x14ac:dyDescent="0.2">
      <c r="A38" s="22"/>
      <c r="B38" s="108" t="s">
        <v>12</v>
      </c>
      <c r="C38" s="3">
        <v>0.14069999999999999</v>
      </c>
      <c r="D38" s="3">
        <v>0.15</v>
      </c>
      <c r="E38" s="1" t="s">
        <v>3</v>
      </c>
      <c r="F38" s="9" t="s">
        <v>52</v>
      </c>
      <c r="G38" s="136" t="s">
        <v>189</v>
      </c>
      <c r="H38" s="205"/>
      <c r="I38" s="108" t="s">
        <v>12</v>
      </c>
      <c r="J38" s="3">
        <v>0.19409999999999999</v>
      </c>
      <c r="K38" s="3">
        <v>0.15</v>
      </c>
      <c r="L38" s="1" t="s">
        <v>3</v>
      </c>
      <c r="M38" s="9" t="s">
        <v>52</v>
      </c>
      <c r="N38" s="136" t="s">
        <v>189</v>
      </c>
    </row>
    <row r="39" spans="1:14" x14ac:dyDescent="0.2">
      <c r="A39" s="22"/>
      <c r="B39" s="108" t="s">
        <v>173</v>
      </c>
      <c r="C39" s="3">
        <v>4.3E-3</v>
      </c>
      <c r="D39" s="3">
        <v>0.05</v>
      </c>
      <c r="E39" s="1" t="s">
        <v>3</v>
      </c>
      <c r="F39" s="10" t="s">
        <v>51</v>
      </c>
      <c r="G39" s="136" t="s">
        <v>189</v>
      </c>
      <c r="H39" s="205"/>
      <c r="I39" s="108" t="s">
        <v>173</v>
      </c>
      <c r="J39" s="3">
        <v>3.8999999999999998E-3</v>
      </c>
      <c r="K39" s="3">
        <v>0.05</v>
      </c>
      <c r="L39" s="1" t="s">
        <v>3</v>
      </c>
      <c r="M39" s="10" t="s">
        <v>51</v>
      </c>
      <c r="N39" s="136" t="s">
        <v>189</v>
      </c>
    </row>
    <row r="40" spans="1:14" ht="15" x14ac:dyDescent="0.2">
      <c r="A40" s="22"/>
      <c r="B40" s="110" t="s">
        <v>5</v>
      </c>
      <c r="C40" s="29">
        <f>SUBTOTAL(109,C32:C39)</f>
        <v>0.87290000000000001</v>
      </c>
      <c r="D40" s="29">
        <f>SUBTOTAL(109,D32:D39)</f>
        <v>0.9900000000000001</v>
      </c>
      <c r="E40" s="121" t="s">
        <v>189</v>
      </c>
      <c r="F40" s="42" t="s">
        <v>73</v>
      </c>
      <c r="G40" s="116" t="s">
        <v>189</v>
      </c>
      <c r="H40" s="205"/>
      <c r="I40" s="110" t="s">
        <v>5</v>
      </c>
      <c r="J40" s="29">
        <f>SUBTOTAL(109,J32:J39)</f>
        <v>1.1326000000000001</v>
      </c>
      <c r="K40" s="29">
        <f>SUBTOTAL(109,K32:K39)</f>
        <v>1.3</v>
      </c>
      <c r="L40" s="122" t="s">
        <v>189</v>
      </c>
      <c r="M40" s="122" t="s">
        <v>189</v>
      </c>
      <c r="N40" s="116" t="s">
        <v>189</v>
      </c>
    </row>
    <row r="41" spans="1:14" x14ac:dyDescent="0.2">
      <c r="A41" s="22"/>
      <c r="B41" s="108" t="s">
        <v>6</v>
      </c>
      <c r="C41" s="11">
        <v>0.14460000000000001</v>
      </c>
      <c r="D41" s="11">
        <v>0.2</v>
      </c>
      <c r="E41" s="1" t="s">
        <v>4</v>
      </c>
      <c r="F41" s="9" t="s">
        <v>64</v>
      </c>
      <c r="G41" s="1" t="s">
        <v>19</v>
      </c>
      <c r="H41" s="205"/>
      <c r="I41" s="108" t="s">
        <v>6</v>
      </c>
      <c r="J41" s="11">
        <v>0.1416</v>
      </c>
      <c r="K41" s="11">
        <v>0.16</v>
      </c>
      <c r="L41" s="1" t="s">
        <v>4</v>
      </c>
      <c r="M41" s="9" t="s">
        <v>135</v>
      </c>
      <c r="N41" s="1" t="s">
        <v>19</v>
      </c>
    </row>
    <row r="42" spans="1:14" ht="30" x14ac:dyDescent="0.2">
      <c r="A42" s="23"/>
      <c r="B42" s="110" t="s">
        <v>230</v>
      </c>
      <c r="C42" s="12">
        <v>2.2000000000000001E-3</v>
      </c>
      <c r="D42" s="206" t="s">
        <v>189</v>
      </c>
      <c r="E42" s="135" t="s">
        <v>189</v>
      </c>
      <c r="F42" s="135" t="s">
        <v>189</v>
      </c>
      <c r="G42" s="179" t="s">
        <v>189</v>
      </c>
      <c r="H42" s="205"/>
      <c r="I42" s="110" t="s">
        <v>230</v>
      </c>
      <c r="J42" s="12">
        <v>2.3999999999999998E-3</v>
      </c>
      <c r="K42" s="206" t="s">
        <v>189</v>
      </c>
      <c r="L42" s="135" t="s">
        <v>189</v>
      </c>
      <c r="M42" s="135" t="s">
        <v>189</v>
      </c>
      <c r="N42" s="179" t="s">
        <v>189</v>
      </c>
    </row>
    <row r="43" spans="1:14" ht="21" customHeight="1" x14ac:dyDescent="0.2">
      <c r="A43" s="73"/>
      <c r="B43" s="75"/>
      <c r="C43" s="76"/>
      <c r="D43" s="77"/>
      <c r="E43" s="76"/>
      <c r="F43" s="76"/>
      <c r="G43" s="181"/>
      <c r="H43" s="207"/>
      <c r="I43" s="79"/>
      <c r="J43" s="80"/>
      <c r="K43" s="81"/>
      <c r="L43" s="80"/>
      <c r="M43" s="80"/>
      <c r="N43" s="182"/>
    </row>
    <row r="44" spans="1:14" ht="51.75" customHeight="1" x14ac:dyDescent="0.25">
      <c r="A44" s="30" t="s">
        <v>67</v>
      </c>
      <c r="B44" s="38" t="s">
        <v>146</v>
      </c>
      <c r="C44" s="39"/>
      <c r="D44" s="40"/>
      <c r="E44" s="85"/>
      <c r="F44" s="39"/>
      <c r="G44" s="178"/>
      <c r="H44" s="208" t="s">
        <v>67</v>
      </c>
      <c r="I44" s="38" t="s">
        <v>147</v>
      </c>
      <c r="J44" s="39"/>
      <c r="K44" s="40"/>
      <c r="L44" s="41"/>
      <c r="M44" s="39"/>
      <c r="N44" s="178"/>
    </row>
    <row r="45" spans="1:14" ht="51.75" customHeight="1" x14ac:dyDescent="0.2">
      <c r="A45" s="31"/>
      <c r="B45" s="123" t="s">
        <v>0</v>
      </c>
      <c r="C45" s="124" t="s">
        <v>225</v>
      </c>
      <c r="D45" s="124" t="s">
        <v>200</v>
      </c>
      <c r="E45" s="125" t="s">
        <v>1</v>
      </c>
      <c r="F45" s="125" t="s">
        <v>20</v>
      </c>
      <c r="G45" s="125" t="s">
        <v>35</v>
      </c>
      <c r="H45" s="209"/>
      <c r="I45" s="123" t="s">
        <v>0</v>
      </c>
      <c r="J45" s="124" t="s">
        <v>225</v>
      </c>
      <c r="K45" s="124" t="s">
        <v>200</v>
      </c>
      <c r="L45" s="125" t="s">
        <v>1</v>
      </c>
      <c r="M45" s="125" t="s">
        <v>20</v>
      </c>
      <c r="N45" s="125" t="s">
        <v>35</v>
      </c>
    </row>
    <row r="46" spans="1:14" ht="15.75" x14ac:dyDescent="0.2">
      <c r="A46" s="31"/>
      <c r="B46" s="108" t="s">
        <v>171</v>
      </c>
      <c r="C46" s="3">
        <v>0.2757</v>
      </c>
      <c r="D46" s="5" t="s">
        <v>197</v>
      </c>
      <c r="E46" s="151" t="s">
        <v>189</v>
      </c>
      <c r="F46" s="152" t="s">
        <v>190</v>
      </c>
      <c r="G46" s="152" t="s">
        <v>198</v>
      </c>
      <c r="H46" s="209"/>
      <c r="I46" s="162" t="s">
        <v>189</v>
      </c>
      <c r="J46" s="163" t="s">
        <v>189</v>
      </c>
      <c r="K46" s="163" t="s">
        <v>189</v>
      </c>
      <c r="L46" s="152" t="s">
        <v>189</v>
      </c>
      <c r="M46" s="152" t="s">
        <v>189</v>
      </c>
      <c r="N46" s="152" t="s">
        <v>189</v>
      </c>
    </row>
    <row r="47" spans="1:14" ht="57" x14ac:dyDescent="0.2">
      <c r="A47" s="31"/>
      <c r="B47" s="108" t="s">
        <v>140</v>
      </c>
      <c r="C47" s="5">
        <v>0.72640000000000005</v>
      </c>
      <c r="D47" s="5">
        <v>0.7</v>
      </c>
      <c r="E47" s="6" t="s">
        <v>4</v>
      </c>
      <c r="F47" s="7" t="s">
        <v>87</v>
      </c>
      <c r="G47" s="6" t="s">
        <v>223</v>
      </c>
      <c r="H47" s="209"/>
      <c r="I47" s="108" t="s">
        <v>233</v>
      </c>
      <c r="J47" s="5">
        <v>0.97</v>
      </c>
      <c r="K47" s="5">
        <v>0.95</v>
      </c>
      <c r="L47" s="6" t="s">
        <v>4</v>
      </c>
      <c r="M47" s="7" t="s">
        <v>123</v>
      </c>
      <c r="N47" s="6" t="s">
        <v>223</v>
      </c>
    </row>
    <row r="48" spans="1:14" x14ac:dyDescent="0.2">
      <c r="A48" s="31"/>
      <c r="B48" s="108" t="s">
        <v>2</v>
      </c>
      <c r="C48" s="3">
        <v>0.189</v>
      </c>
      <c r="D48" s="3">
        <v>0.19</v>
      </c>
      <c r="E48" s="1" t="s">
        <v>3</v>
      </c>
      <c r="F48" s="4" t="s">
        <v>216</v>
      </c>
      <c r="G48" s="1" t="s">
        <v>14</v>
      </c>
      <c r="H48" s="209"/>
      <c r="I48" s="108" t="s">
        <v>2</v>
      </c>
      <c r="J48" s="3">
        <v>0.28410000000000002</v>
      </c>
      <c r="K48" s="3">
        <v>0.28000000000000003</v>
      </c>
      <c r="L48" s="1" t="s">
        <v>3</v>
      </c>
      <c r="M48" s="4" t="s">
        <v>217</v>
      </c>
      <c r="N48" s="1" t="s">
        <v>14</v>
      </c>
    </row>
    <row r="49" spans="1:14" ht="28.5" x14ac:dyDescent="0.2">
      <c r="A49" s="31"/>
      <c r="B49" s="109" t="s">
        <v>139</v>
      </c>
      <c r="C49" s="3">
        <v>2.5499999999999998E-2</v>
      </c>
      <c r="D49" s="3">
        <v>0.06</v>
      </c>
      <c r="E49" s="1" t="s">
        <v>4</v>
      </c>
      <c r="F49" s="4" t="s">
        <v>58</v>
      </c>
      <c r="G49" s="1" t="s">
        <v>15</v>
      </c>
      <c r="H49" s="209"/>
      <c r="I49" s="108" t="s">
        <v>139</v>
      </c>
      <c r="J49" s="3">
        <v>4.2099999999999999E-2</v>
      </c>
      <c r="K49" s="3">
        <v>0.06</v>
      </c>
      <c r="L49" s="1" t="s">
        <v>4</v>
      </c>
      <c r="M49" s="4" t="s">
        <v>58</v>
      </c>
      <c r="N49" s="1" t="s">
        <v>15</v>
      </c>
    </row>
    <row r="50" spans="1:14" ht="28.5" x14ac:dyDescent="0.2">
      <c r="A50" s="31"/>
      <c r="B50" s="108" t="s">
        <v>172</v>
      </c>
      <c r="C50" s="3">
        <v>2.8999999999999998E-3</v>
      </c>
      <c r="D50" s="3">
        <v>0.05</v>
      </c>
      <c r="E50" s="8" t="s">
        <v>3</v>
      </c>
      <c r="F50" s="9" t="s">
        <v>51</v>
      </c>
      <c r="G50" s="153" t="s">
        <v>189</v>
      </c>
      <c r="H50" s="209"/>
      <c r="I50" s="108" t="s">
        <v>172</v>
      </c>
      <c r="J50" s="3">
        <v>2E-3</v>
      </c>
      <c r="K50" s="3">
        <v>0.05</v>
      </c>
      <c r="L50" s="8" t="s">
        <v>3</v>
      </c>
      <c r="M50" s="9" t="s">
        <v>51</v>
      </c>
      <c r="N50" s="153" t="s">
        <v>189</v>
      </c>
    </row>
    <row r="51" spans="1:14" x14ac:dyDescent="0.2">
      <c r="A51" s="31"/>
      <c r="B51" s="108" t="s">
        <v>10</v>
      </c>
      <c r="C51" s="3">
        <v>5.9999999999999995E-4</v>
      </c>
      <c r="D51" s="3">
        <v>0.05</v>
      </c>
      <c r="E51" s="8" t="s">
        <v>3</v>
      </c>
      <c r="F51" s="9" t="s">
        <v>51</v>
      </c>
      <c r="G51" s="153" t="s">
        <v>189</v>
      </c>
      <c r="H51" s="209"/>
      <c r="I51" s="108" t="s">
        <v>10</v>
      </c>
      <c r="J51" s="3">
        <v>5.0000000000000001E-4</v>
      </c>
      <c r="K51" s="3">
        <v>0.05</v>
      </c>
      <c r="L51" s="8" t="s">
        <v>3</v>
      </c>
      <c r="M51" s="9" t="s">
        <v>51</v>
      </c>
      <c r="N51" s="153" t="s">
        <v>189</v>
      </c>
    </row>
    <row r="52" spans="1:14" x14ac:dyDescent="0.2">
      <c r="A52" s="31"/>
      <c r="B52" s="108" t="s">
        <v>12</v>
      </c>
      <c r="C52" s="3">
        <v>0.1608</v>
      </c>
      <c r="D52" s="3">
        <v>0.15</v>
      </c>
      <c r="E52" s="1" t="s">
        <v>3</v>
      </c>
      <c r="F52" s="9" t="s">
        <v>52</v>
      </c>
      <c r="G52" s="9" t="s">
        <v>18</v>
      </c>
      <c r="H52" s="209"/>
      <c r="I52" s="108" t="s">
        <v>12</v>
      </c>
      <c r="J52" s="3">
        <v>0.14480000000000001</v>
      </c>
      <c r="K52" s="3">
        <v>0.15</v>
      </c>
      <c r="L52" s="1" t="s">
        <v>3</v>
      </c>
      <c r="M52" s="9" t="s">
        <v>52</v>
      </c>
      <c r="N52" s="9" t="s">
        <v>18</v>
      </c>
    </row>
    <row r="53" spans="1:14" x14ac:dyDescent="0.2">
      <c r="A53" s="31"/>
      <c r="B53" s="108" t="s">
        <v>173</v>
      </c>
      <c r="C53" s="3">
        <v>0</v>
      </c>
      <c r="D53" s="3">
        <v>0.05</v>
      </c>
      <c r="E53" s="1" t="s">
        <v>3</v>
      </c>
      <c r="F53" s="10" t="s">
        <v>51</v>
      </c>
      <c r="G53" s="136" t="s">
        <v>189</v>
      </c>
      <c r="H53" s="209"/>
      <c r="I53" s="108" t="s">
        <v>173</v>
      </c>
      <c r="J53" s="3">
        <v>0</v>
      </c>
      <c r="K53" s="3">
        <v>0.05</v>
      </c>
      <c r="L53" s="1" t="s">
        <v>3</v>
      </c>
      <c r="M53" s="10" t="s">
        <v>51</v>
      </c>
      <c r="N53" s="136" t="s">
        <v>189</v>
      </c>
    </row>
    <row r="54" spans="1:14" ht="15" x14ac:dyDescent="0.2">
      <c r="A54" s="31"/>
      <c r="B54" s="110" t="s">
        <v>5</v>
      </c>
      <c r="C54" s="29">
        <f>SUBTOTAL(109,C46:C53)</f>
        <v>1.3809</v>
      </c>
      <c r="D54" s="103">
        <f>SUBTOTAL(109,D46:D53)</f>
        <v>1.25</v>
      </c>
      <c r="E54" s="121" t="s">
        <v>189</v>
      </c>
      <c r="F54" s="42" t="s">
        <v>73</v>
      </c>
      <c r="G54" s="116" t="s">
        <v>189</v>
      </c>
      <c r="H54" s="209"/>
      <c r="I54" s="110" t="s">
        <v>5</v>
      </c>
      <c r="J54" s="29">
        <f>SUBTOTAL(109,J46:J53)</f>
        <v>1.4435</v>
      </c>
      <c r="K54" s="103">
        <f>SUBTOTAL(109,K46:K53)</f>
        <v>1.59</v>
      </c>
      <c r="L54" s="122" t="s">
        <v>189</v>
      </c>
      <c r="M54" s="122" t="s">
        <v>189</v>
      </c>
      <c r="N54" s="116" t="s">
        <v>189</v>
      </c>
    </row>
    <row r="55" spans="1:14" x14ac:dyDescent="0.2">
      <c r="A55" s="31"/>
      <c r="B55" s="108" t="s">
        <v>6</v>
      </c>
      <c r="C55" s="11">
        <v>0.20200000000000001</v>
      </c>
      <c r="D55" s="11">
        <v>0.2</v>
      </c>
      <c r="E55" s="1" t="s">
        <v>4</v>
      </c>
      <c r="F55" s="9" t="s">
        <v>64</v>
      </c>
      <c r="G55" s="1" t="s">
        <v>19</v>
      </c>
      <c r="H55" s="209"/>
      <c r="I55" s="108" t="s">
        <v>6</v>
      </c>
      <c r="J55" s="11">
        <v>0.20330000000000001</v>
      </c>
      <c r="K55" s="11">
        <v>0.2</v>
      </c>
      <c r="L55" s="1" t="s">
        <v>4</v>
      </c>
      <c r="M55" s="9" t="s">
        <v>64</v>
      </c>
      <c r="N55" s="1" t="s">
        <v>19</v>
      </c>
    </row>
    <row r="56" spans="1:14" ht="30" x14ac:dyDescent="0.2">
      <c r="A56" s="31"/>
      <c r="B56" s="110" t="s">
        <v>230</v>
      </c>
      <c r="C56" s="12">
        <v>1.4E-3</v>
      </c>
      <c r="D56" s="206" t="s">
        <v>189</v>
      </c>
      <c r="E56" s="135" t="s">
        <v>189</v>
      </c>
      <c r="F56" s="135" t="s">
        <v>189</v>
      </c>
      <c r="G56" s="179" t="s">
        <v>189</v>
      </c>
      <c r="H56" s="209"/>
      <c r="I56" s="110" t="s">
        <v>230</v>
      </c>
      <c r="J56" s="12">
        <v>1.4E-3</v>
      </c>
      <c r="K56" s="206" t="s">
        <v>189</v>
      </c>
      <c r="L56" s="135" t="s">
        <v>189</v>
      </c>
      <c r="M56" s="135" t="s">
        <v>189</v>
      </c>
      <c r="N56" s="179" t="s">
        <v>189</v>
      </c>
    </row>
    <row r="57" spans="1:14" ht="21" customHeight="1" x14ac:dyDescent="0.2">
      <c r="A57" s="73"/>
      <c r="B57" s="75"/>
      <c r="C57" s="76"/>
      <c r="D57" s="77"/>
      <c r="E57" s="76"/>
      <c r="F57" s="76"/>
      <c r="G57" s="181"/>
      <c r="H57" s="207"/>
      <c r="I57" s="79"/>
      <c r="J57" s="80"/>
      <c r="K57" s="81"/>
      <c r="L57" s="80"/>
      <c r="M57" s="80"/>
      <c r="N57" s="182"/>
    </row>
    <row r="58" spans="1:14" ht="51.75" customHeight="1" x14ac:dyDescent="0.25">
      <c r="A58" s="30" t="s">
        <v>68</v>
      </c>
      <c r="B58" s="38" t="s">
        <v>148</v>
      </c>
      <c r="C58" s="39"/>
      <c r="D58" s="40"/>
      <c r="E58" s="85"/>
      <c r="F58" s="39"/>
      <c r="G58" s="178"/>
      <c r="H58" s="208" t="s">
        <v>68</v>
      </c>
      <c r="I58" s="38" t="s">
        <v>149</v>
      </c>
      <c r="J58" s="39"/>
      <c r="K58" s="40"/>
      <c r="L58" s="41"/>
      <c r="M58" s="39"/>
      <c r="N58" s="178"/>
    </row>
    <row r="59" spans="1:14" ht="51.75" customHeight="1" x14ac:dyDescent="0.2">
      <c r="A59" s="31"/>
      <c r="B59" s="123" t="s">
        <v>0</v>
      </c>
      <c r="C59" s="124" t="s">
        <v>225</v>
      </c>
      <c r="D59" s="124" t="s">
        <v>200</v>
      </c>
      <c r="E59" s="125" t="s">
        <v>22</v>
      </c>
      <c r="F59" s="125" t="s">
        <v>20</v>
      </c>
      <c r="G59" s="125" t="s">
        <v>35</v>
      </c>
      <c r="H59" s="209"/>
      <c r="I59" s="123" t="s">
        <v>0</v>
      </c>
      <c r="J59" s="124" t="s">
        <v>225</v>
      </c>
      <c r="K59" s="124" t="s">
        <v>200</v>
      </c>
      <c r="L59" s="125" t="s">
        <v>22</v>
      </c>
      <c r="M59" s="125" t="s">
        <v>20</v>
      </c>
      <c r="N59" s="125" t="s">
        <v>35</v>
      </c>
    </row>
    <row r="60" spans="1:14" ht="15.75" x14ac:dyDescent="0.2">
      <c r="A60" s="31"/>
      <c r="B60" s="2" t="s">
        <v>171</v>
      </c>
      <c r="C60" s="5">
        <v>0.27400000000000002</v>
      </c>
      <c r="D60" s="5">
        <v>0.3</v>
      </c>
      <c r="E60" s="151" t="s">
        <v>189</v>
      </c>
      <c r="F60" s="152" t="s">
        <v>189</v>
      </c>
      <c r="G60" s="152" t="s">
        <v>189</v>
      </c>
      <c r="H60" s="209"/>
      <c r="I60" s="164" t="s">
        <v>189</v>
      </c>
      <c r="J60" s="163" t="s">
        <v>189</v>
      </c>
      <c r="K60" s="163" t="s">
        <v>189</v>
      </c>
      <c r="L60" s="152" t="s">
        <v>189</v>
      </c>
      <c r="M60" s="152" t="s">
        <v>189</v>
      </c>
      <c r="N60" s="152" t="s">
        <v>189</v>
      </c>
    </row>
    <row r="61" spans="1:14" ht="57" x14ac:dyDescent="0.2">
      <c r="A61" s="31"/>
      <c r="B61" s="2" t="s">
        <v>140</v>
      </c>
      <c r="C61" s="5">
        <v>4.3700000000000003E-2</v>
      </c>
      <c r="D61" s="5">
        <v>0.06</v>
      </c>
      <c r="E61" s="6" t="s">
        <v>4</v>
      </c>
      <c r="F61" s="7" t="s">
        <v>58</v>
      </c>
      <c r="G61" s="6" t="s">
        <v>223</v>
      </c>
      <c r="H61" s="209"/>
      <c r="I61" s="2" t="s">
        <v>233</v>
      </c>
      <c r="J61" s="5">
        <v>2.87E-2</v>
      </c>
      <c r="K61" s="5">
        <v>0.06</v>
      </c>
      <c r="L61" s="6" t="s">
        <v>4</v>
      </c>
      <c r="M61" s="7" t="s">
        <v>58</v>
      </c>
      <c r="N61" s="6" t="s">
        <v>223</v>
      </c>
    </row>
    <row r="62" spans="1:14" x14ac:dyDescent="0.2">
      <c r="A62" s="31"/>
      <c r="B62" s="2" t="s">
        <v>2</v>
      </c>
      <c r="C62" s="3">
        <v>0.12970000000000001</v>
      </c>
      <c r="D62" s="3">
        <v>0.11</v>
      </c>
      <c r="E62" s="1" t="s">
        <v>3</v>
      </c>
      <c r="F62" s="4" t="s">
        <v>218</v>
      </c>
      <c r="G62" s="1" t="s">
        <v>14</v>
      </c>
      <c r="H62" s="209"/>
      <c r="I62" s="2" t="s">
        <v>2</v>
      </c>
      <c r="J62" s="3">
        <v>0.34100000000000003</v>
      </c>
      <c r="K62" s="3">
        <v>0.35</v>
      </c>
      <c r="L62" s="1" t="s">
        <v>3</v>
      </c>
      <c r="M62" s="4" t="s">
        <v>118</v>
      </c>
      <c r="N62" s="1" t="s">
        <v>14</v>
      </c>
    </row>
    <row r="63" spans="1:14" ht="28.5" x14ac:dyDescent="0.2">
      <c r="A63" s="31"/>
      <c r="B63" s="72" t="s">
        <v>139</v>
      </c>
      <c r="C63" s="3">
        <v>0.46379999999999999</v>
      </c>
      <c r="D63" s="3">
        <v>0.5</v>
      </c>
      <c r="E63" s="1" t="s">
        <v>4</v>
      </c>
      <c r="F63" s="4" t="s">
        <v>92</v>
      </c>
      <c r="G63" s="1" t="s">
        <v>15</v>
      </c>
      <c r="H63" s="209"/>
      <c r="I63" s="2" t="s">
        <v>139</v>
      </c>
      <c r="J63" s="3">
        <v>0.58160000000000001</v>
      </c>
      <c r="K63" s="3">
        <v>0.6</v>
      </c>
      <c r="L63" s="1" t="s">
        <v>4</v>
      </c>
      <c r="M63" s="4" t="s">
        <v>219</v>
      </c>
      <c r="N63" s="1" t="s">
        <v>15</v>
      </c>
    </row>
    <row r="64" spans="1:14" ht="28.5" x14ac:dyDescent="0.2">
      <c r="A64" s="31"/>
      <c r="B64" s="2" t="s">
        <v>172</v>
      </c>
      <c r="C64" s="3">
        <v>1.6000000000000001E-3</v>
      </c>
      <c r="D64" s="3">
        <v>0.05</v>
      </c>
      <c r="E64" s="8" t="s">
        <v>3</v>
      </c>
      <c r="F64" s="9" t="s">
        <v>51</v>
      </c>
      <c r="G64" s="153" t="s">
        <v>189</v>
      </c>
      <c r="H64" s="209"/>
      <c r="I64" s="2" t="s">
        <v>172</v>
      </c>
      <c r="J64" s="3">
        <v>2.0000000000000001E-4</v>
      </c>
      <c r="K64" s="3">
        <v>0.05</v>
      </c>
      <c r="L64" s="8" t="s">
        <v>3</v>
      </c>
      <c r="M64" s="9" t="s">
        <v>51</v>
      </c>
      <c r="N64" s="153" t="s">
        <v>189</v>
      </c>
    </row>
    <row r="65" spans="1:14" x14ac:dyDescent="0.2">
      <c r="A65" s="31"/>
      <c r="B65" s="2" t="s">
        <v>10</v>
      </c>
      <c r="C65" s="3">
        <v>1.5699999999999999E-2</v>
      </c>
      <c r="D65" s="3">
        <v>0.05</v>
      </c>
      <c r="E65" s="8" t="s">
        <v>3</v>
      </c>
      <c r="F65" s="9" t="s">
        <v>51</v>
      </c>
      <c r="G65" s="153" t="s">
        <v>189</v>
      </c>
      <c r="H65" s="209"/>
      <c r="I65" s="2" t="s">
        <v>10</v>
      </c>
      <c r="J65" s="3">
        <v>0</v>
      </c>
      <c r="K65" s="3">
        <v>0.05</v>
      </c>
      <c r="L65" s="8" t="s">
        <v>3</v>
      </c>
      <c r="M65" s="9" t="s">
        <v>51</v>
      </c>
      <c r="N65" s="153" t="s">
        <v>189</v>
      </c>
    </row>
    <row r="66" spans="1:14" x14ac:dyDescent="0.2">
      <c r="A66" s="31"/>
      <c r="B66" s="2" t="s">
        <v>12</v>
      </c>
      <c r="C66" s="3">
        <v>7.1400000000000005E-2</v>
      </c>
      <c r="D66" s="3">
        <v>0.05</v>
      </c>
      <c r="E66" s="1" t="s">
        <v>3</v>
      </c>
      <c r="F66" s="9" t="s">
        <v>51</v>
      </c>
      <c r="G66" s="9" t="s">
        <v>18</v>
      </c>
      <c r="H66" s="209"/>
      <c r="I66" s="2" t="s">
        <v>12</v>
      </c>
      <c r="J66" s="3">
        <v>5.0099999999999999E-2</v>
      </c>
      <c r="K66" s="3">
        <v>0.05</v>
      </c>
      <c r="L66" s="1" t="s">
        <v>3</v>
      </c>
      <c r="M66" s="9" t="s">
        <v>51</v>
      </c>
      <c r="N66" s="9" t="s">
        <v>18</v>
      </c>
    </row>
    <row r="67" spans="1:14" x14ac:dyDescent="0.2">
      <c r="A67" s="31"/>
      <c r="B67" s="2" t="s">
        <v>173</v>
      </c>
      <c r="C67" s="3">
        <v>0</v>
      </c>
      <c r="D67" s="3">
        <v>0.05</v>
      </c>
      <c r="E67" s="1" t="s">
        <v>3</v>
      </c>
      <c r="F67" s="10" t="s">
        <v>51</v>
      </c>
      <c r="G67" s="136" t="s">
        <v>189</v>
      </c>
      <c r="H67" s="209"/>
      <c r="I67" s="2" t="s">
        <v>173</v>
      </c>
      <c r="J67" s="3">
        <v>0</v>
      </c>
      <c r="K67" s="3">
        <v>0.05</v>
      </c>
      <c r="L67" s="1" t="s">
        <v>3</v>
      </c>
      <c r="M67" s="10" t="s">
        <v>51</v>
      </c>
      <c r="N67" s="136" t="s">
        <v>189</v>
      </c>
    </row>
    <row r="68" spans="1:14" ht="15" x14ac:dyDescent="0.2">
      <c r="A68" s="31"/>
      <c r="B68" s="28" t="s">
        <v>5</v>
      </c>
      <c r="C68" s="103">
        <f>SUBTOTAL(109,C60:C67)</f>
        <v>0.99990000000000012</v>
      </c>
      <c r="D68" s="103">
        <f>SUBTOTAL(109,D60:D67)</f>
        <v>1.1700000000000002</v>
      </c>
      <c r="E68" s="121" t="s">
        <v>189</v>
      </c>
      <c r="F68" s="122" t="s">
        <v>189</v>
      </c>
      <c r="G68" s="116" t="s">
        <v>189</v>
      </c>
      <c r="H68" s="209"/>
      <c r="I68" s="28" t="s">
        <v>5</v>
      </c>
      <c r="J68" s="29">
        <f>SUBTOTAL(109,J60:J67)</f>
        <v>1.0016</v>
      </c>
      <c r="K68" s="29">
        <f>SUBTOTAL(109,K60:K67)</f>
        <v>1.2100000000000002</v>
      </c>
      <c r="L68" s="122" t="s">
        <v>189</v>
      </c>
      <c r="M68" s="122" t="s">
        <v>189</v>
      </c>
      <c r="N68" s="116" t="s">
        <v>189</v>
      </c>
    </row>
    <row r="69" spans="1:14" x14ac:dyDescent="0.2">
      <c r="A69" s="31"/>
      <c r="B69" s="2" t="s">
        <v>6</v>
      </c>
      <c r="C69" s="11">
        <v>5.5100000000000003E-2</v>
      </c>
      <c r="D69" s="11">
        <v>0.06</v>
      </c>
      <c r="E69" s="1" t="s">
        <v>4</v>
      </c>
      <c r="F69" s="9" t="s">
        <v>58</v>
      </c>
      <c r="G69" s="1" t="s">
        <v>19</v>
      </c>
      <c r="H69" s="209"/>
      <c r="I69" s="2" t="s">
        <v>6</v>
      </c>
      <c r="J69" s="11">
        <v>5.28E-2</v>
      </c>
      <c r="K69" s="11">
        <v>0.06</v>
      </c>
      <c r="L69" s="1" t="s">
        <v>4</v>
      </c>
      <c r="M69" s="9" t="s">
        <v>58</v>
      </c>
      <c r="N69" s="1" t="s">
        <v>19</v>
      </c>
    </row>
    <row r="70" spans="1:14" ht="30" x14ac:dyDescent="0.2">
      <c r="A70" s="31"/>
      <c r="B70" s="110" t="s">
        <v>230</v>
      </c>
      <c r="C70" s="12">
        <v>1.4E-3</v>
      </c>
      <c r="D70" s="206" t="s">
        <v>189</v>
      </c>
      <c r="E70" s="135" t="s">
        <v>189</v>
      </c>
      <c r="F70" s="135" t="s">
        <v>189</v>
      </c>
      <c r="G70" s="179" t="s">
        <v>189</v>
      </c>
      <c r="H70" s="209"/>
      <c r="I70" s="110" t="s">
        <v>230</v>
      </c>
      <c r="J70" s="12">
        <v>2E-3</v>
      </c>
      <c r="K70" s="206" t="s">
        <v>189</v>
      </c>
      <c r="L70" s="135" t="s">
        <v>189</v>
      </c>
      <c r="M70" s="135" t="s">
        <v>189</v>
      </c>
      <c r="N70" s="179" t="s">
        <v>189</v>
      </c>
    </row>
    <row r="71" spans="1:14" ht="21" customHeight="1" x14ac:dyDescent="0.2">
      <c r="A71" s="73"/>
      <c r="B71" s="75"/>
      <c r="C71" s="76"/>
      <c r="D71" s="77"/>
      <c r="E71" s="76"/>
      <c r="F71" s="76"/>
      <c r="G71" s="181"/>
      <c r="H71" s="207"/>
      <c r="I71" s="79"/>
      <c r="J71" s="80"/>
      <c r="K71" s="81"/>
      <c r="L71" s="80"/>
      <c r="M71" s="80"/>
      <c r="N71" s="182"/>
    </row>
    <row r="72" spans="1:14" ht="51.75" customHeight="1" x14ac:dyDescent="0.25">
      <c r="A72" s="30" t="s">
        <v>70</v>
      </c>
      <c r="B72" s="38" t="s">
        <v>150</v>
      </c>
      <c r="C72" s="39"/>
      <c r="D72" s="40"/>
      <c r="E72" s="85"/>
      <c r="F72" s="39"/>
      <c r="G72" s="178"/>
      <c r="H72" s="208" t="s">
        <v>70</v>
      </c>
      <c r="I72" s="38" t="s">
        <v>151</v>
      </c>
      <c r="J72" s="39"/>
      <c r="K72" s="40"/>
      <c r="L72" s="41"/>
      <c r="M72" s="39"/>
      <c r="N72" s="178"/>
    </row>
    <row r="73" spans="1:14" ht="51.75" customHeight="1" x14ac:dyDescent="0.2">
      <c r="A73" s="31"/>
      <c r="B73" s="123" t="s">
        <v>0</v>
      </c>
      <c r="C73" s="124" t="s">
        <v>225</v>
      </c>
      <c r="D73" s="124" t="s">
        <v>200</v>
      </c>
      <c r="E73" s="125" t="s">
        <v>22</v>
      </c>
      <c r="F73" s="125" t="s">
        <v>20</v>
      </c>
      <c r="G73" s="125" t="s">
        <v>35</v>
      </c>
      <c r="H73" s="209"/>
      <c r="I73" s="123" t="s">
        <v>0</v>
      </c>
      <c r="J73" s="124" t="s">
        <v>225</v>
      </c>
      <c r="K73" s="124" t="s">
        <v>200</v>
      </c>
      <c r="L73" s="125" t="s">
        <v>22</v>
      </c>
      <c r="M73" s="125" t="s">
        <v>20</v>
      </c>
      <c r="N73" s="125" t="s">
        <v>35</v>
      </c>
    </row>
    <row r="74" spans="1:14" ht="15.75" x14ac:dyDescent="0.2">
      <c r="A74" s="31"/>
      <c r="B74" s="108" t="s">
        <v>171</v>
      </c>
      <c r="C74" s="3">
        <v>0.2329</v>
      </c>
      <c r="D74" s="5">
        <v>0.3</v>
      </c>
      <c r="E74" s="151" t="s">
        <v>189</v>
      </c>
      <c r="F74" s="152" t="s">
        <v>189</v>
      </c>
      <c r="G74" s="152" t="s">
        <v>189</v>
      </c>
      <c r="H74" s="209"/>
      <c r="I74" s="162" t="s">
        <v>189</v>
      </c>
      <c r="J74" s="163" t="s">
        <v>189</v>
      </c>
      <c r="K74" s="163" t="s">
        <v>189</v>
      </c>
      <c r="L74" s="152" t="s">
        <v>189</v>
      </c>
      <c r="M74" s="152" t="s">
        <v>189</v>
      </c>
      <c r="N74" s="152" t="s">
        <v>189</v>
      </c>
    </row>
    <row r="75" spans="1:14" ht="28.5" x14ac:dyDescent="0.2">
      <c r="A75" s="31"/>
      <c r="B75" s="108" t="s">
        <v>140</v>
      </c>
      <c r="C75" s="117">
        <v>0</v>
      </c>
      <c r="D75" s="5">
        <v>0</v>
      </c>
      <c r="E75" s="6" t="s">
        <v>4</v>
      </c>
      <c r="F75" s="7" t="s">
        <v>73</v>
      </c>
      <c r="G75" s="155" t="s">
        <v>189</v>
      </c>
      <c r="H75" s="209"/>
      <c r="I75" s="108" t="s">
        <v>233</v>
      </c>
      <c r="J75" s="165">
        <v>0</v>
      </c>
      <c r="K75" s="165" t="s">
        <v>189</v>
      </c>
      <c r="L75" s="6" t="s">
        <v>4</v>
      </c>
      <c r="M75" s="7" t="s">
        <v>73</v>
      </c>
      <c r="N75" s="155" t="s">
        <v>189</v>
      </c>
    </row>
    <row r="76" spans="1:14" x14ac:dyDescent="0.2">
      <c r="A76" s="31"/>
      <c r="B76" s="108" t="s">
        <v>2</v>
      </c>
      <c r="C76" s="3">
        <v>0.68799999999999994</v>
      </c>
      <c r="D76" s="3">
        <v>0.65</v>
      </c>
      <c r="E76" s="1" t="s">
        <v>3</v>
      </c>
      <c r="F76" s="4" t="s">
        <v>195</v>
      </c>
      <c r="G76" s="1" t="s">
        <v>14</v>
      </c>
      <c r="H76" s="209"/>
      <c r="I76" s="108" t="s">
        <v>2</v>
      </c>
      <c r="J76" s="3">
        <v>0.96209999999999996</v>
      </c>
      <c r="K76" s="3">
        <v>0.98</v>
      </c>
      <c r="L76" s="1" t="s">
        <v>3</v>
      </c>
      <c r="M76" s="4" t="s">
        <v>181</v>
      </c>
      <c r="N76" s="1" t="s">
        <v>14</v>
      </c>
    </row>
    <row r="77" spans="1:14" ht="42.75" x14ac:dyDescent="0.2">
      <c r="A77" s="31"/>
      <c r="B77" s="109" t="s">
        <v>187</v>
      </c>
      <c r="C77" s="3">
        <v>2.0000000000000001E-4</v>
      </c>
      <c r="D77" s="3">
        <v>0</v>
      </c>
      <c r="E77" s="1" t="s">
        <v>4</v>
      </c>
      <c r="F77" s="4" t="s">
        <v>73</v>
      </c>
      <c r="G77" s="153" t="s">
        <v>189</v>
      </c>
      <c r="H77" s="209"/>
      <c r="I77" s="108" t="s">
        <v>188</v>
      </c>
      <c r="J77" s="117" t="s">
        <v>189</v>
      </c>
      <c r="K77" s="117" t="s">
        <v>189</v>
      </c>
      <c r="L77" s="1" t="s">
        <v>4</v>
      </c>
      <c r="M77" s="4" t="s">
        <v>73</v>
      </c>
      <c r="N77" s="153" t="s">
        <v>189</v>
      </c>
    </row>
    <row r="78" spans="1:14" ht="28.5" x14ac:dyDescent="0.2">
      <c r="A78" s="31"/>
      <c r="B78" s="108" t="s">
        <v>172</v>
      </c>
      <c r="C78" s="117">
        <v>0</v>
      </c>
      <c r="D78" s="3">
        <v>0</v>
      </c>
      <c r="E78" s="8" t="s">
        <v>3</v>
      </c>
      <c r="F78" s="9" t="s">
        <v>73</v>
      </c>
      <c r="G78" s="153" t="s">
        <v>189</v>
      </c>
      <c r="H78" s="209"/>
      <c r="I78" s="108" t="s">
        <v>172</v>
      </c>
      <c r="J78" s="117" t="s">
        <v>189</v>
      </c>
      <c r="K78" s="117" t="s">
        <v>189</v>
      </c>
      <c r="L78" s="8" t="s">
        <v>3</v>
      </c>
      <c r="M78" s="9" t="s">
        <v>73</v>
      </c>
      <c r="N78" s="153" t="s">
        <v>189</v>
      </c>
    </row>
    <row r="79" spans="1:14" x14ac:dyDescent="0.2">
      <c r="A79" s="31"/>
      <c r="B79" s="108" t="s">
        <v>10</v>
      </c>
      <c r="C79" s="117">
        <v>0</v>
      </c>
      <c r="D79" s="3">
        <v>0</v>
      </c>
      <c r="E79" s="8" t="s">
        <v>3</v>
      </c>
      <c r="F79" s="9" t="s">
        <v>73</v>
      </c>
      <c r="G79" s="153" t="s">
        <v>189</v>
      </c>
      <c r="H79" s="209"/>
      <c r="I79" s="108" t="s">
        <v>10</v>
      </c>
      <c r="J79" s="117" t="s">
        <v>189</v>
      </c>
      <c r="K79" s="117" t="s">
        <v>189</v>
      </c>
      <c r="L79" s="8" t="s">
        <v>3</v>
      </c>
      <c r="M79" s="9" t="s">
        <v>73</v>
      </c>
      <c r="N79" s="153" t="s">
        <v>189</v>
      </c>
    </row>
    <row r="80" spans="1:14" x14ac:dyDescent="0.2">
      <c r="A80" s="31"/>
      <c r="B80" s="108" t="s">
        <v>12</v>
      </c>
      <c r="C80" s="3">
        <v>7.4899999999999994E-2</v>
      </c>
      <c r="D80" s="3">
        <v>0.05</v>
      </c>
      <c r="E80" s="1" t="s">
        <v>3</v>
      </c>
      <c r="F80" s="9" t="s">
        <v>51</v>
      </c>
      <c r="G80" s="9" t="s">
        <v>18</v>
      </c>
      <c r="H80" s="209"/>
      <c r="I80" s="108" t="s">
        <v>12</v>
      </c>
      <c r="J80" s="3">
        <v>3.6600000000000001E-2</v>
      </c>
      <c r="K80" s="3">
        <v>0.05</v>
      </c>
      <c r="L80" s="1" t="s">
        <v>3</v>
      </c>
      <c r="M80" s="9" t="s">
        <v>51</v>
      </c>
      <c r="N80" s="9" t="s">
        <v>18</v>
      </c>
    </row>
    <row r="81" spans="1:14" x14ac:dyDescent="0.2">
      <c r="A81" s="31"/>
      <c r="B81" s="108" t="s">
        <v>173</v>
      </c>
      <c r="C81" s="117">
        <v>0</v>
      </c>
      <c r="D81" s="3">
        <v>0</v>
      </c>
      <c r="E81" s="1" t="s">
        <v>3</v>
      </c>
      <c r="F81" s="10" t="s">
        <v>73</v>
      </c>
      <c r="G81" s="136" t="s">
        <v>189</v>
      </c>
      <c r="H81" s="209"/>
      <c r="I81" s="108" t="s">
        <v>173</v>
      </c>
      <c r="J81" s="117" t="s">
        <v>189</v>
      </c>
      <c r="K81" s="117" t="s">
        <v>189</v>
      </c>
      <c r="L81" s="1" t="s">
        <v>3</v>
      </c>
      <c r="M81" s="10" t="s">
        <v>73</v>
      </c>
      <c r="N81" s="136" t="s">
        <v>189</v>
      </c>
    </row>
    <row r="82" spans="1:14" ht="15" x14ac:dyDescent="0.2">
      <c r="A82" s="31"/>
      <c r="B82" s="110" t="s">
        <v>5</v>
      </c>
      <c r="C82" s="103">
        <f>SUBTOTAL(109,C74:C81)</f>
        <v>0.99599999999999989</v>
      </c>
      <c r="D82" s="103">
        <f>SUBTOTAL(109,D74:D81)</f>
        <v>1</v>
      </c>
      <c r="E82" s="121" t="s">
        <v>189</v>
      </c>
      <c r="F82" s="122" t="s">
        <v>189</v>
      </c>
      <c r="G82" s="116" t="s">
        <v>189</v>
      </c>
      <c r="H82" s="209"/>
      <c r="I82" s="110" t="s">
        <v>5</v>
      </c>
      <c r="J82" s="103">
        <f>SUBTOTAL(109,J74:J81)</f>
        <v>0.99869999999999992</v>
      </c>
      <c r="K82" s="103">
        <f>SUBTOTAL(109,K74:K81)</f>
        <v>1.03</v>
      </c>
      <c r="L82" s="122" t="s">
        <v>189</v>
      </c>
      <c r="M82" s="122" t="s">
        <v>189</v>
      </c>
      <c r="N82" s="116" t="s">
        <v>189</v>
      </c>
    </row>
    <row r="83" spans="1:14" x14ac:dyDescent="0.2">
      <c r="A83" s="31"/>
      <c r="B83" s="108" t="s">
        <v>6</v>
      </c>
      <c r="C83" s="149">
        <v>0</v>
      </c>
      <c r="D83" s="11">
        <v>0</v>
      </c>
      <c r="E83" s="1" t="s">
        <v>4</v>
      </c>
      <c r="F83" s="9" t="s">
        <v>73</v>
      </c>
      <c r="G83" s="153" t="s">
        <v>189</v>
      </c>
      <c r="H83" s="209"/>
      <c r="I83" s="108" t="s">
        <v>6</v>
      </c>
      <c r="J83" s="149" t="s">
        <v>189</v>
      </c>
      <c r="K83" s="149" t="s">
        <v>189</v>
      </c>
      <c r="L83" s="1" t="s">
        <v>4</v>
      </c>
      <c r="M83" s="9" t="s">
        <v>73</v>
      </c>
      <c r="N83" s="153" t="s">
        <v>189</v>
      </c>
    </row>
    <row r="84" spans="1:14" ht="30" x14ac:dyDescent="0.2">
      <c r="A84" s="31"/>
      <c r="B84" s="110" t="s">
        <v>230</v>
      </c>
      <c r="C84" s="12">
        <v>2E-3</v>
      </c>
      <c r="D84" s="206" t="s">
        <v>189</v>
      </c>
      <c r="E84" s="135" t="s">
        <v>189</v>
      </c>
      <c r="F84" s="135" t="s">
        <v>189</v>
      </c>
      <c r="G84" s="179" t="s">
        <v>189</v>
      </c>
      <c r="H84" s="209"/>
      <c r="I84" s="110" t="s">
        <v>230</v>
      </c>
      <c r="J84" s="12">
        <v>2E-3</v>
      </c>
      <c r="K84" s="206" t="s">
        <v>189</v>
      </c>
      <c r="L84" s="135" t="s">
        <v>189</v>
      </c>
      <c r="M84" s="135" t="s">
        <v>189</v>
      </c>
      <c r="N84" s="179" t="s">
        <v>189</v>
      </c>
    </row>
    <row r="85" spans="1:14" ht="21" customHeight="1" x14ac:dyDescent="0.2">
      <c r="A85" s="73"/>
      <c r="B85" s="75"/>
      <c r="C85" s="76"/>
      <c r="D85" s="77"/>
      <c r="E85" s="76"/>
      <c r="F85" s="76"/>
      <c r="G85" s="181"/>
      <c r="H85" s="207"/>
      <c r="I85" s="79"/>
      <c r="J85" s="80"/>
      <c r="K85" s="81"/>
      <c r="L85" s="80"/>
      <c r="M85" s="80"/>
      <c r="N85" s="182"/>
    </row>
    <row r="86" spans="1:14" ht="64.5" customHeight="1" x14ac:dyDescent="0.25">
      <c r="A86" s="44" t="s">
        <v>93</v>
      </c>
      <c r="B86" s="38" t="s">
        <v>152</v>
      </c>
      <c r="C86" s="39"/>
      <c r="D86" s="40"/>
      <c r="E86" s="85"/>
      <c r="F86" s="85"/>
      <c r="G86" s="178"/>
      <c r="H86" s="210" t="s">
        <v>93</v>
      </c>
      <c r="I86" s="38" t="s">
        <v>153</v>
      </c>
      <c r="J86" s="39"/>
      <c r="K86" s="40"/>
      <c r="L86" s="41"/>
      <c r="M86" s="41"/>
      <c r="N86" s="178"/>
    </row>
    <row r="87" spans="1:14" ht="51.75" customHeight="1" x14ac:dyDescent="0.2">
      <c r="A87" s="45"/>
      <c r="B87" s="123" t="s">
        <v>0</v>
      </c>
      <c r="C87" s="124" t="s">
        <v>225</v>
      </c>
      <c r="D87" s="124" t="s">
        <v>200</v>
      </c>
      <c r="E87" s="125" t="s">
        <v>22</v>
      </c>
      <c r="F87" s="125" t="s">
        <v>20</v>
      </c>
      <c r="G87" s="125" t="s">
        <v>35</v>
      </c>
      <c r="H87" s="211"/>
      <c r="I87" s="123" t="s">
        <v>0</v>
      </c>
      <c r="J87" s="124" t="s">
        <v>225</v>
      </c>
      <c r="K87" s="124" t="s">
        <v>200</v>
      </c>
      <c r="L87" s="125" t="s">
        <v>22</v>
      </c>
      <c r="M87" s="125" t="s">
        <v>20</v>
      </c>
      <c r="N87" s="125" t="s">
        <v>35</v>
      </c>
    </row>
    <row r="88" spans="1:14" ht="15.75" x14ac:dyDescent="0.2">
      <c r="A88" s="45"/>
      <c r="B88" s="108" t="s">
        <v>171</v>
      </c>
      <c r="C88" s="5">
        <v>0.28060000000000002</v>
      </c>
      <c r="D88" s="5">
        <v>0.3</v>
      </c>
      <c r="E88" s="151" t="s">
        <v>189</v>
      </c>
      <c r="F88" s="152" t="s">
        <v>189</v>
      </c>
      <c r="G88" s="152" t="s">
        <v>189</v>
      </c>
      <c r="H88" s="211"/>
      <c r="I88" s="162" t="s">
        <v>189</v>
      </c>
      <c r="J88" s="163" t="s">
        <v>189</v>
      </c>
      <c r="K88" s="163" t="s">
        <v>189</v>
      </c>
      <c r="L88" s="152" t="s">
        <v>189</v>
      </c>
      <c r="M88" s="152" t="s">
        <v>189</v>
      </c>
      <c r="N88" s="152" t="s">
        <v>189</v>
      </c>
    </row>
    <row r="89" spans="1:14" ht="57" x14ac:dyDescent="0.2">
      <c r="A89" s="45"/>
      <c r="B89" s="108" t="s">
        <v>140</v>
      </c>
      <c r="C89" s="5">
        <v>0.42370000000000002</v>
      </c>
      <c r="D89" s="5">
        <v>0.42</v>
      </c>
      <c r="E89" s="6" t="s">
        <v>23</v>
      </c>
      <c r="F89" s="7" t="s">
        <v>220</v>
      </c>
      <c r="G89" s="6" t="s">
        <v>223</v>
      </c>
      <c r="H89" s="211"/>
      <c r="I89" s="108" t="s">
        <v>233</v>
      </c>
      <c r="J89" s="5">
        <v>0.4521</v>
      </c>
      <c r="K89" s="5">
        <v>0.46</v>
      </c>
      <c r="L89" s="6" t="s">
        <v>23</v>
      </c>
      <c r="M89" s="7" t="s">
        <v>48</v>
      </c>
      <c r="N89" s="6" t="s">
        <v>223</v>
      </c>
    </row>
    <row r="90" spans="1:14" x14ac:dyDescent="0.2">
      <c r="A90" s="45"/>
      <c r="B90" s="108" t="s">
        <v>2</v>
      </c>
      <c r="C90" s="3">
        <v>0.11990000000000001</v>
      </c>
      <c r="D90" s="3">
        <v>0.12</v>
      </c>
      <c r="E90" s="1" t="s">
        <v>24</v>
      </c>
      <c r="F90" s="4" t="s">
        <v>221</v>
      </c>
      <c r="G90" s="1" t="s">
        <v>14</v>
      </c>
      <c r="H90" s="211"/>
      <c r="I90" s="108" t="s">
        <v>2</v>
      </c>
      <c r="J90" s="3">
        <v>0.29709999999999998</v>
      </c>
      <c r="K90" s="3">
        <v>0.3</v>
      </c>
      <c r="L90" s="1" t="s">
        <v>24</v>
      </c>
      <c r="M90" s="4" t="s">
        <v>60</v>
      </c>
      <c r="N90" s="1" t="s">
        <v>14</v>
      </c>
    </row>
    <row r="91" spans="1:14" ht="28.5" x14ac:dyDescent="0.2">
      <c r="A91" s="47"/>
      <c r="B91" s="109" t="s">
        <v>139</v>
      </c>
      <c r="C91" s="3">
        <v>0.23080000000000001</v>
      </c>
      <c r="D91" s="3">
        <v>0.23</v>
      </c>
      <c r="E91" s="1" t="s">
        <v>23</v>
      </c>
      <c r="F91" s="4" t="s">
        <v>47</v>
      </c>
      <c r="G91" s="1" t="s">
        <v>15</v>
      </c>
      <c r="H91" s="211"/>
      <c r="I91" s="108" t="s">
        <v>139</v>
      </c>
      <c r="J91" s="3">
        <v>0.2959</v>
      </c>
      <c r="K91" s="3">
        <v>0.31</v>
      </c>
      <c r="L91" s="1" t="s">
        <v>23</v>
      </c>
      <c r="M91" s="4" t="s">
        <v>182</v>
      </c>
      <c r="N91" s="1" t="s">
        <v>15</v>
      </c>
    </row>
    <row r="92" spans="1:14" x14ac:dyDescent="0.2">
      <c r="A92" s="47"/>
      <c r="B92" s="108" t="s">
        <v>12</v>
      </c>
      <c r="C92" s="3">
        <v>0.16589999999999999</v>
      </c>
      <c r="D92" s="3">
        <v>0.15</v>
      </c>
      <c r="E92" s="1" t="s">
        <v>24</v>
      </c>
      <c r="F92" s="9" t="s">
        <v>52</v>
      </c>
      <c r="G92" s="9" t="s">
        <v>18</v>
      </c>
      <c r="H92" s="211"/>
      <c r="I92" s="108" t="s">
        <v>12</v>
      </c>
      <c r="J92" s="3">
        <v>8.8400000000000006E-2</v>
      </c>
      <c r="K92" s="3">
        <v>0.05</v>
      </c>
      <c r="L92" s="1" t="s">
        <v>24</v>
      </c>
      <c r="M92" s="9" t="s">
        <v>51</v>
      </c>
      <c r="N92" s="9" t="s">
        <v>18</v>
      </c>
    </row>
    <row r="93" spans="1:14" ht="15" x14ac:dyDescent="0.2">
      <c r="A93" s="47"/>
      <c r="B93" s="110" t="s">
        <v>5</v>
      </c>
      <c r="C93" s="29">
        <f>SUBTOTAL(109,C88:C92)</f>
        <v>1.2209000000000001</v>
      </c>
      <c r="D93" s="103">
        <f>SUBTOTAL(109,D88:D92)</f>
        <v>1.22</v>
      </c>
      <c r="E93" s="121" t="s">
        <v>189</v>
      </c>
      <c r="F93" s="122" t="s">
        <v>189</v>
      </c>
      <c r="G93" s="116" t="s">
        <v>189</v>
      </c>
      <c r="H93" s="211"/>
      <c r="I93" s="110" t="s">
        <v>5</v>
      </c>
      <c r="J93" s="29">
        <f>SUBTOTAL(109,J88:J92)</f>
        <v>1.1335</v>
      </c>
      <c r="K93" s="29">
        <f>SUBTOTAL(109,K88:K92)</f>
        <v>1.1200000000000001</v>
      </c>
      <c r="L93" s="122" t="s">
        <v>189</v>
      </c>
      <c r="M93" s="42" t="s">
        <v>177</v>
      </c>
      <c r="N93" s="116" t="s">
        <v>189</v>
      </c>
    </row>
    <row r="94" spans="1:14" x14ac:dyDescent="0.2">
      <c r="A94" s="47"/>
      <c r="B94" s="108" t="s">
        <v>6</v>
      </c>
      <c r="C94" s="11">
        <v>0.16209999999999999</v>
      </c>
      <c r="D94" s="11">
        <v>0.18</v>
      </c>
      <c r="E94" s="1" t="s">
        <v>23</v>
      </c>
      <c r="F94" s="9" t="s">
        <v>207</v>
      </c>
      <c r="G94" s="1" t="s">
        <v>19</v>
      </c>
      <c r="H94" s="211"/>
      <c r="I94" s="108" t="s">
        <v>6</v>
      </c>
      <c r="J94" s="11">
        <v>0.1678</v>
      </c>
      <c r="K94" s="11">
        <v>0.18</v>
      </c>
      <c r="L94" s="1" t="s">
        <v>23</v>
      </c>
      <c r="M94" s="9" t="s">
        <v>207</v>
      </c>
      <c r="N94" s="1" t="s">
        <v>19</v>
      </c>
    </row>
    <row r="95" spans="1:14" ht="30" x14ac:dyDescent="0.2">
      <c r="A95" s="47"/>
      <c r="B95" s="110" t="s">
        <v>230</v>
      </c>
      <c r="C95" s="12">
        <v>1.5E-3</v>
      </c>
      <c r="D95" s="142" t="s">
        <v>189</v>
      </c>
      <c r="E95" s="143" t="s">
        <v>189</v>
      </c>
      <c r="F95" s="144" t="s">
        <v>189</v>
      </c>
      <c r="G95" s="179" t="s">
        <v>189</v>
      </c>
      <c r="H95" s="211"/>
      <c r="I95" s="110" t="s">
        <v>230</v>
      </c>
      <c r="J95" s="12">
        <v>1.5E-3</v>
      </c>
      <c r="K95" s="142" t="s">
        <v>189</v>
      </c>
      <c r="L95" s="144" t="s">
        <v>189</v>
      </c>
      <c r="M95" s="144" t="s">
        <v>189</v>
      </c>
      <c r="N95" s="179" t="s">
        <v>189</v>
      </c>
    </row>
    <row r="96" spans="1:14" ht="21" customHeight="1" x14ac:dyDescent="0.2">
      <c r="A96" s="73"/>
      <c r="B96" s="75"/>
      <c r="C96" s="76"/>
      <c r="D96" s="77"/>
      <c r="E96" s="76"/>
      <c r="F96" s="76"/>
      <c r="G96" s="181"/>
      <c r="H96" s="207"/>
      <c r="I96" s="79"/>
      <c r="J96" s="80"/>
      <c r="K96" s="81"/>
      <c r="L96" s="80"/>
      <c r="M96" s="80"/>
      <c r="N96" s="182"/>
    </row>
    <row r="97" spans="1:14" ht="64.5" customHeight="1" x14ac:dyDescent="0.25">
      <c r="A97" s="44" t="s">
        <v>83</v>
      </c>
      <c r="B97" s="38" t="s">
        <v>154</v>
      </c>
      <c r="C97" s="39"/>
      <c r="D97" s="40"/>
      <c r="E97" s="39"/>
      <c r="F97" s="39"/>
      <c r="G97" s="178"/>
      <c r="H97" s="210" t="s">
        <v>83</v>
      </c>
      <c r="I97" s="38" t="s">
        <v>155</v>
      </c>
      <c r="J97" s="39"/>
      <c r="K97" s="40"/>
      <c r="L97" s="41" t="s">
        <v>186</v>
      </c>
      <c r="M97" s="39"/>
      <c r="N97" s="178"/>
    </row>
    <row r="98" spans="1:14" ht="51.75" customHeight="1" x14ac:dyDescent="0.2">
      <c r="A98" s="45"/>
      <c r="B98" s="123" t="s">
        <v>0</v>
      </c>
      <c r="C98" s="124" t="s">
        <v>225</v>
      </c>
      <c r="D98" s="124" t="s">
        <v>200</v>
      </c>
      <c r="E98" s="125" t="s">
        <v>22</v>
      </c>
      <c r="F98" s="125" t="s">
        <v>20</v>
      </c>
      <c r="G98" s="125" t="s">
        <v>35</v>
      </c>
      <c r="H98" s="211"/>
      <c r="I98" s="123" t="s">
        <v>0</v>
      </c>
      <c r="J98" s="124" t="s">
        <v>225</v>
      </c>
      <c r="K98" s="124" t="s">
        <v>200</v>
      </c>
      <c r="L98" s="125" t="s">
        <v>22</v>
      </c>
      <c r="M98" s="125" t="s">
        <v>20</v>
      </c>
      <c r="N98" s="125" t="s">
        <v>35</v>
      </c>
    </row>
    <row r="99" spans="1:14" ht="15.75" x14ac:dyDescent="0.2">
      <c r="A99" s="45"/>
      <c r="B99" s="2" t="s">
        <v>171</v>
      </c>
      <c r="C99" s="5">
        <v>0.2757</v>
      </c>
      <c r="D99" s="5">
        <v>0.3</v>
      </c>
      <c r="E99" s="151" t="s">
        <v>189</v>
      </c>
      <c r="F99" s="152" t="s">
        <v>189</v>
      </c>
      <c r="G99" s="152" t="s">
        <v>189</v>
      </c>
      <c r="H99" s="211"/>
      <c r="I99" s="164" t="s">
        <v>189</v>
      </c>
      <c r="J99" s="163" t="s">
        <v>189</v>
      </c>
      <c r="K99" s="163" t="s">
        <v>189</v>
      </c>
      <c r="L99" s="152" t="s">
        <v>189</v>
      </c>
      <c r="M99" s="152" t="s">
        <v>189</v>
      </c>
      <c r="N99" s="152" t="s">
        <v>189</v>
      </c>
    </row>
    <row r="100" spans="1:14" ht="57" x14ac:dyDescent="0.2">
      <c r="A100" s="45"/>
      <c r="B100" s="2" t="s">
        <v>140</v>
      </c>
      <c r="C100" s="5">
        <v>0.70889999999999997</v>
      </c>
      <c r="D100" s="5">
        <v>0.7</v>
      </c>
      <c r="E100" s="6" t="s">
        <v>23</v>
      </c>
      <c r="F100" s="7" t="s">
        <v>194</v>
      </c>
      <c r="G100" s="6" t="s">
        <v>223</v>
      </c>
      <c r="H100" s="211"/>
      <c r="I100" s="2" t="s">
        <v>233</v>
      </c>
      <c r="J100" s="5">
        <v>0.96550000000000002</v>
      </c>
      <c r="K100" s="5">
        <v>0.94</v>
      </c>
      <c r="L100" s="6" t="s">
        <v>23</v>
      </c>
      <c r="M100" s="7" t="s">
        <v>99</v>
      </c>
      <c r="N100" s="6" t="s">
        <v>223</v>
      </c>
    </row>
    <row r="101" spans="1:14" x14ac:dyDescent="0.2">
      <c r="A101" s="46"/>
      <c r="B101" s="2" t="s">
        <v>2</v>
      </c>
      <c r="C101" s="3">
        <v>0.17580000000000001</v>
      </c>
      <c r="D101" s="3">
        <v>0.17</v>
      </c>
      <c r="E101" s="1" t="s">
        <v>24</v>
      </c>
      <c r="F101" s="4" t="s">
        <v>180</v>
      </c>
      <c r="G101" s="1" t="s">
        <v>14</v>
      </c>
      <c r="H101" s="211"/>
      <c r="I101" s="2" t="s">
        <v>2</v>
      </c>
      <c r="J101" s="3">
        <v>0.32119999999999999</v>
      </c>
      <c r="K101" s="3">
        <v>0.32</v>
      </c>
      <c r="L101" s="1" t="s">
        <v>24</v>
      </c>
      <c r="M101" s="4" t="s">
        <v>222</v>
      </c>
      <c r="N101" s="1" t="s">
        <v>14</v>
      </c>
    </row>
    <row r="102" spans="1:14" ht="28.5" x14ac:dyDescent="0.2">
      <c r="A102" s="47"/>
      <c r="B102" s="72" t="s">
        <v>139</v>
      </c>
      <c r="C102" s="3">
        <v>2.6700000000000002E-2</v>
      </c>
      <c r="D102" s="3">
        <v>0.06</v>
      </c>
      <c r="E102" s="1" t="s">
        <v>23</v>
      </c>
      <c r="F102" s="4" t="s">
        <v>58</v>
      </c>
      <c r="G102" s="1" t="s">
        <v>15</v>
      </c>
      <c r="H102" s="211"/>
      <c r="I102" s="2" t="s">
        <v>139</v>
      </c>
      <c r="J102" s="3">
        <v>5.6000000000000001E-2</v>
      </c>
      <c r="K102" s="3">
        <v>0.06</v>
      </c>
      <c r="L102" s="1" t="s">
        <v>23</v>
      </c>
      <c r="M102" s="4" t="s">
        <v>58</v>
      </c>
      <c r="N102" s="1" t="s">
        <v>15</v>
      </c>
    </row>
    <row r="103" spans="1:14" x14ac:dyDescent="0.2">
      <c r="A103" s="47"/>
      <c r="B103" s="2" t="s">
        <v>12</v>
      </c>
      <c r="C103" s="3">
        <v>0.18049999999999999</v>
      </c>
      <c r="D103" s="3">
        <v>0.15</v>
      </c>
      <c r="E103" s="1" t="s">
        <v>24</v>
      </c>
      <c r="F103" s="9" t="s">
        <v>52</v>
      </c>
      <c r="G103" s="9" t="s">
        <v>18</v>
      </c>
      <c r="H103" s="211"/>
      <c r="I103" s="2" t="s">
        <v>12</v>
      </c>
      <c r="J103" s="3">
        <v>0.19209999999999999</v>
      </c>
      <c r="K103" s="3">
        <v>0.15</v>
      </c>
      <c r="L103" s="1" t="s">
        <v>24</v>
      </c>
      <c r="M103" s="9" t="s">
        <v>52</v>
      </c>
      <c r="N103" s="9" t="s">
        <v>18</v>
      </c>
    </row>
    <row r="104" spans="1:14" ht="15" x14ac:dyDescent="0.2">
      <c r="A104" s="47"/>
      <c r="B104" s="28" t="s">
        <v>5</v>
      </c>
      <c r="C104" s="29">
        <f>SUBTOTAL(109,C99:C103)</f>
        <v>1.3675999999999999</v>
      </c>
      <c r="D104" s="29">
        <f>SUBTOTAL(109,D99:D103)</f>
        <v>1.38</v>
      </c>
      <c r="E104" s="121" t="s">
        <v>189</v>
      </c>
      <c r="F104" s="42" t="s">
        <v>177</v>
      </c>
      <c r="G104" s="116" t="s">
        <v>189</v>
      </c>
      <c r="H104" s="211"/>
      <c r="I104" s="28" t="s">
        <v>5</v>
      </c>
      <c r="J104" s="29">
        <f>SUBTOTAL(109,J99:J103)</f>
        <v>1.5347999999999999</v>
      </c>
      <c r="K104" s="103">
        <f>SUBTOTAL(109,K99:K103)</f>
        <v>1.47</v>
      </c>
      <c r="L104" s="122" t="s">
        <v>189</v>
      </c>
      <c r="M104" s="122" t="s">
        <v>189</v>
      </c>
      <c r="N104" s="116" t="s">
        <v>189</v>
      </c>
    </row>
    <row r="105" spans="1:14" x14ac:dyDescent="0.2">
      <c r="A105" s="47"/>
      <c r="B105" s="2" t="s">
        <v>6</v>
      </c>
      <c r="C105" s="11">
        <v>0.18990000000000001</v>
      </c>
      <c r="D105" s="11">
        <v>0.18</v>
      </c>
      <c r="E105" s="1" t="s">
        <v>23</v>
      </c>
      <c r="F105" s="9" t="s">
        <v>207</v>
      </c>
      <c r="G105" s="1" t="s">
        <v>19</v>
      </c>
      <c r="H105" s="211"/>
      <c r="I105" s="2" t="s">
        <v>6</v>
      </c>
      <c r="J105" s="11">
        <v>0.20599999999999999</v>
      </c>
      <c r="K105" s="11">
        <v>0.18</v>
      </c>
      <c r="L105" s="1" t="s">
        <v>23</v>
      </c>
      <c r="M105" s="9" t="s">
        <v>207</v>
      </c>
      <c r="N105" s="1" t="s">
        <v>19</v>
      </c>
    </row>
    <row r="106" spans="1:14" ht="30" x14ac:dyDescent="0.2">
      <c r="A106" s="47"/>
      <c r="B106" s="110" t="s">
        <v>230</v>
      </c>
      <c r="C106" s="12">
        <v>1.5E-3</v>
      </c>
      <c r="D106" s="142" t="s">
        <v>189</v>
      </c>
      <c r="E106" s="143" t="s">
        <v>189</v>
      </c>
      <c r="F106" s="144" t="s">
        <v>189</v>
      </c>
      <c r="G106" s="179" t="s">
        <v>189</v>
      </c>
      <c r="H106" s="211"/>
      <c r="I106" s="110" t="s">
        <v>230</v>
      </c>
      <c r="J106" s="12">
        <v>1.5E-3</v>
      </c>
      <c r="K106" s="142" t="s">
        <v>189</v>
      </c>
      <c r="L106" s="144" t="s">
        <v>189</v>
      </c>
      <c r="M106" s="144" t="s">
        <v>189</v>
      </c>
      <c r="N106" s="179" t="s">
        <v>189</v>
      </c>
    </row>
    <row r="107" spans="1:14" ht="21" customHeight="1" x14ac:dyDescent="0.2">
      <c r="A107" s="73"/>
      <c r="B107" s="75"/>
      <c r="C107" s="76"/>
      <c r="D107" s="77"/>
      <c r="E107" s="76"/>
      <c r="F107" s="76"/>
      <c r="G107" s="181"/>
      <c r="H107" s="207"/>
      <c r="I107" s="79"/>
      <c r="J107" s="80"/>
      <c r="K107" s="81"/>
      <c r="L107" s="80"/>
      <c r="M107" s="80"/>
      <c r="N107" s="182"/>
    </row>
    <row r="108" spans="1:14" ht="64.5" customHeight="1" x14ac:dyDescent="0.25">
      <c r="A108" s="44" t="s">
        <v>84</v>
      </c>
      <c r="B108" s="38" t="s">
        <v>156</v>
      </c>
      <c r="C108" s="39"/>
      <c r="D108" s="40"/>
      <c r="E108" s="85"/>
      <c r="F108" s="39"/>
      <c r="G108" s="178"/>
      <c r="H108" s="210" t="s">
        <v>84</v>
      </c>
      <c r="I108" s="38" t="s">
        <v>157</v>
      </c>
      <c r="J108" s="39"/>
      <c r="K108" s="40"/>
      <c r="L108" s="41"/>
      <c r="M108" s="39"/>
      <c r="N108" s="178"/>
    </row>
    <row r="109" spans="1:14" ht="51.75" customHeight="1" x14ac:dyDescent="0.2">
      <c r="A109" s="45"/>
      <c r="B109" s="123" t="s">
        <v>0</v>
      </c>
      <c r="C109" s="124" t="s">
        <v>225</v>
      </c>
      <c r="D109" s="124" t="s">
        <v>200</v>
      </c>
      <c r="E109" s="125" t="s">
        <v>22</v>
      </c>
      <c r="F109" s="125" t="s">
        <v>20</v>
      </c>
      <c r="G109" s="125" t="s">
        <v>35</v>
      </c>
      <c r="H109" s="211"/>
      <c r="I109" s="123" t="s">
        <v>0</v>
      </c>
      <c r="J109" s="124" t="s">
        <v>225</v>
      </c>
      <c r="K109" s="124" t="s">
        <v>200</v>
      </c>
      <c r="L109" s="125" t="s">
        <v>22</v>
      </c>
      <c r="M109" s="125" t="s">
        <v>20</v>
      </c>
      <c r="N109" s="125" t="s">
        <v>35</v>
      </c>
    </row>
    <row r="110" spans="1:14" ht="15.75" x14ac:dyDescent="0.2">
      <c r="A110" s="45"/>
      <c r="B110" s="2" t="s">
        <v>171</v>
      </c>
      <c r="C110" s="5">
        <v>0.28270000000000001</v>
      </c>
      <c r="D110" s="5">
        <v>0.3</v>
      </c>
      <c r="E110" s="151" t="s">
        <v>189</v>
      </c>
      <c r="F110" s="152" t="s">
        <v>189</v>
      </c>
      <c r="G110" s="152" t="s">
        <v>189</v>
      </c>
      <c r="H110" s="211"/>
      <c r="I110" s="164" t="s">
        <v>189</v>
      </c>
      <c r="J110" s="163" t="s">
        <v>189</v>
      </c>
      <c r="K110" s="163" t="s">
        <v>189</v>
      </c>
      <c r="L110" s="152" t="s">
        <v>189</v>
      </c>
      <c r="M110" s="152" t="s">
        <v>189</v>
      </c>
      <c r="N110" s="152" t="s">
        <v>189</v>
      </c>
    </row>
    <row r="111" spans="1:14" ht="57" x14ac:dyDescent="0.2">
      <c r="A111" s="45"/>
      <c r="B111" s="2" t="s">
        <v>140</v>
      </c>
      <c r="C111" s="5">
        <v>3.2599999999999997E-2</v>
      </c>
      <c r="D111" s="5">
        <v>0.06</v>
      </c>
      <c r="E111" s="6" t="s">
        <v>23</v>
      </c>
      <c r="F111" s="7" t="s">
        <v>58</v>
      </c>
      <c r="G111" s="6" t="s">
        <v>223</v>
      </c>
      <c r="H111" s="211"/>
      <c r="I111" s="2" t="s">
        <v>233</v>
      </c>
      <c r="J111" s="5">
        <v>2.5999999999999999E-2</v>
      </c>
      <c r="K111" s="5">
        <v>0.06</v>
      </c>
      <c r="L111" s="6" t="s">
        <v>23</v>
      </c>
      <c r="M111" s="7" t="s">
        <v>58</v>
      </c>
      <c r="N111" s="6" t="s">
        <v>223</v>
      </c>
    </row>
    <row r="112" spans="1:14" x14ac:dyDescent="0.2">
      <c r="A112" s="46"/>
      <c r="B112" s="2" t="s">
        <v>2</v>
      </c>
      <c r="C112" s="3">
        <v>0.152</v>
      </c>
      <c r="D112" s="3">
        <v>0.15</v>
      </c>
      <c r="E112" s="1" t="s">
        <v>24</v>
      </c>
      <c r="F112" s="4" t="s">
        <v>52</v>
      </c>
      <c r="G112" s="1" t="s">
        <v>14</v>
      </c>
      <c r="H112" s="211"/>
      <c r="I112" s="2" t="s">
        <v>2</v>
      </c>
      <c r="J112" s="3">
        <v>0.25390000000000001</v>
      </c>
      <c r="K112" s="3">
        <v>0.25</v>
      </c>
      <c r="L112" s="1" t="s">
        <v>24</v>
      </c>
      <c r="M112" s="4" t="s">
        <v>54</v>
      </c>
      <c r="N112" s="1" t="s">
        <v>14</v>
      </c>
    </row>
    <row r="113" spans="1:14" ht="28.5" x14ac:dyDescent="0.2">
      <c r="A113" s="47"/>
      <c r="B113" s="72" t="s">
        <v>139</v>
      </c>
      <c r="C113" s="3">
        <v>0.47239999999999999</v>
      </c>
      <c r="D113" s="3">
        <v>0.5</v>
      </c>
      <c r="E113" s="1" t="s">
        <v>23</v>
      </c>
      <c r="F113" s="4" t="s">
        <v>92</v>
      </c>
      <c r="G113" s="1" t="s">
        <v>15</v>
      </c>
      <c r="H113" s="211"/>
      <c r="I113" s="2" t="s">
        <v>139</v>
      </c>
      <c r="J113" s="3">
        <v>0.66200000000000003</v>
      </c>
      <c r="K113" s="3">
        <v>0.7</v>
      </c>
      <c r="L113" s="1" t="s">
        <v>23</v>
      </c>
      <c r="M113" s="4" t="s">
        <v>87</v>
      </c>
      <c r="N113" s="1" t="s">
        <v>15</v>
      </c>
    </row>
    <row r="114" spans="1:14" x14ac:dyDescent="0.2">
      <c r="A114" s="47"/>
      <c r="B114" s="2" t="s">
        <v>12</v>
      </c>
      <c r="C114" s="3">
        <v>6.3299999999999995E-2</v>
      </c>
      <c r="D114" s="3">
        <v>0.1</v>
      </c>
      <c r="E114" s="1" t="s">
        <v>24</v>
      </c>
      <c r="F114" s="9" t="s">
        <v>49</v>
      </c>
      <c r="G114" s="9" t="s">
        <v>18</v>
      </c>
      <c r="H114" s="211"/>
      <c r="I114" s="2" t="s">
        <v>12</v>
      </c>
      <c r="J114" s="3">
        <v>5.8099999999999999E-2</v>
      </c>
      <c r="K114" s="3">
        <v>0.05</v>
      </c>
      <c r="L114" s="1" t="s">
        <v>24</v>
      </c>
      <c r="M114" s="9" t="s">
        <v>51</v>
      </c>
      <c r="N114" s="9" t="s">
        <v>18</v>
      </c>
    </row>
    <row r="115" spans="1:14" ht="15" x14ac:dyDescent="0.2">
      <c r="A115" s="47"/>
      <c r="B115" s="28" t="s">
        <v>5</v>
      </c>
      <c r="C115" s="29">
        <f>SUBTOTAL(109,C110:C114)</f>
        <v>1.0029999999999999</v>
      </c>
      <c r="D115" s="29">
        <f>SUBTOTAL(109,D110:D114)</f>
        <v>1.1100000000000001</v>
      </c>
      <c r="E115" s="121" t="s">
        <v>189</v>
      </c>
      <c r="F115" s="122" t="s">
        <v>189</v>
      </c>
      <c r="G115" s="116" t="s">
        <v>189</v>
      </c>
      <c r="H115" s="211"/>
      <c r="I115" s="28" t="s">
        <v>5</v>
      </c>
      <c r="J115" s="29">
        <f>SUBTOTAL(109,J110:J114)</f>
        <v>1</v>
      </c>
      <c r="K115" s="29">
        <f>SUBTOTAL(109,K110:K114)</f>
        <v>1.06</v>
      </c>
      <c r="L115" s="122" t="s">
        <v>189</v>
      </c>
      <c r="M115" s="122" t="s">
        <v>189</v>
      </c>
      <c r="N115" s="116" t="s">
        <v>189</v>
      </c>
    </row>
    <row r="116" spans="1:14" x14ac:dyDescent="0.2">
      <c r="A116" s="47"/>
      <c r="B116" s="2" t="s">
        <v>6</v>
      </c>
      <c r="C116" s="11">
        <v>3.3700000000000001E-2</v>
      </c>
      <c r="D116" s="11">
        <v>0.06</v>
      </c>
      <c r="E116" s="1" t="s">
        <v>23</v>
      </c>
      <c r="F116" s="9" t="s">
        <v>58</v>
      </c>
      <c r="G116" s="1" t="s">
        <v>19</v>
      </c>
      <c r="H116" s="211"/>
      <c r="I116" s="2" t="s">
        <v>6</v>
      </c>
      <c r="J116" s="11">
        <v>3.73E-2</v>
      </c>
      <c r="K116" s="11">
        <v>0.08</v>
      </c>
      <c r="L116" s="1" t="s">
        <v>23</v>
      </c>
      <c r="M116" s="9" t="s">
        <v>59</v>
      </c>
      <c r="N116" s="1" t="s">
        <v>19</v>
      </c>
    </row>
    <row r="117" spans="1:14" ht="30" x14ac:dyDescent="0.2">
      <c r="A117" s="47"/>
      <c r="B117" s="110" t="s">
        <v>230</v>
      </c>
      <c r="C117" s="12">
        <v>1.5E-3</v>
      </c>
      <c r="D117" s="142" t="s">
        <v>189</v>
      </c>
      <c r="E117" s="143" t="s">
        <v>189</v>
      </c>
      <c r="F117" s="144" t="s">
        <v>189</v>
      </c>
      <c r="G117" s="179" t="s">
        <v>189</v>
      </c>
      <c r="H117" s="211"/>
      <c r="I117" s="110" t="s">
        <v>230</v>
      </c>
      <c r="J117" s="12">
        <v>1.5E-3</v>
      </c>
      <c r="K117" s="142" t="s">
        <v>189</v>
      </c>
      <c r="L117" s="144" t="s">
        <v>189</v>
      </c>
      <c r="M117" s="144" t="s">
        <v>189</v>
      </c>
      <c r="N117" s="179" t="s">
        <v>189</v>
      </c>
    </row>
    <row r="118" spans="1:14" ht="21" customHeight="1" x14ac:dyDescent="0.2">
      <c r="A118" s="73"/>
      <c r="B118" s="75"/>
      <c r="C118" s="76"/>
      <c r="D118" s="77"/>
      <c r="E118" s="76"/>
      <c r="F118" s="76"/>
      <c r="G118" s="181"/>
      <c r="H118" s="207"/>
      <c r="I118" s="79"/>
      <c r="J118" s="80"/>
      <c r="K118" s="81"/>
      <c r="L118" s="80"/>
      <c r="M118" s="80"/>
      <c r="N118" s="182"/>
    </row>
    <row r="119" spans="1:14" ht="51.75" customHeight="1" x14ac:dyDescent="0.25">
      <c r="A119" s="48" t="s">
        <v>94</v>
      </c>
      <c r="B119" s="38" t="s">
        <v>158</v>
      </c>
      <c r="C119" s="39"/>
      <c r="D119" s="40"/>
      <c r="E119" s="85"/>
      <c r="F119" s="39"/>
      <c r="G119" s="178"/>
      <c r="H119" s="212" t="s">
        <v>94</v>
      </c>
      <c r="I119" s="38" t="s">
        <v>159</v>
      </c>
      <c r="J119" s="39"/>
      <c r="K119" s="40"/>
      <c r="L119" s="41"/>
      <c r="M119" s="39"/>
      <c r="N119" s="178"/>
    </row>
    <row r="120" spans="1:14" ht="51.75" customHeight="1" x14ac:dyDescent="0.2">
      <c r="A120" s="49"/>
      <c r="B120" s="123" t="s">
        <v>0</v>
      </c>
      <c r="C120" s="124" t="s">
        <v>225</v>
      </c>
      <c r="D120" s="124" t="s">
        <v>200</v>
      </c>
      <c r="E120" s="125" t="s">
        <v>22</v>
      </c>
      <c r="F120" s="125" t="s">
        <v>20</v>
      </c>
      <c r="G120" s="125" t="s">
        <v>35</v>
      </c>
      <c r="H120" s="213"/>
      <c r="I120" s="123" t="s">
        <v>0</v>
      </c>
      <c r="J120" s="124" t="s">
        <v>225</v>
      </c>
      <c r="K120" s="124" t="s">
        <v>200</v>
      </c>
      <c r="L120" s="125" t="s">
        <v>22</v>
      </c>
      <c r="M120" s="125" t="s">
        <v>20</v>
      </c>
      <c r="N120" s="125" t="s">
        <v>35</v>
      </c>
    </row>
    <row r="121" spans="1:14" ht="15.75" x14ac:dyDescent="0.2">
      <c r="A121" s="49"/>
      <c r="B121" s="108" t="s">
        <v>171</v>
      </c>
      <c r="C121" s="5" t="s">
        <v>239</v>
      </c>
      <c r="D121" s="5" t="s">
        <v>197</v>
      </c>
      <c r="E121" s="151" t="s">
        <v>189</v>
      </c>
      <c r="F121" s="152" t="s">
        <v>190</v>
      </c>
      <c r="G121" s="152" t="s">
        <v>198</v>
      </c>
      <c r="H121" s="213"/>
      <c r="I121" s="162" t="s">
        <v>189</v>
      </c>
      <c r="J121" s="163" t="s">
        <v>189</v>
      </c>
      <c r="K121" s="163" t="s">
        <v>189</v>
      </c>
      <c r="L121" s="152" t="s">
        <v>189</v>
      </c>
      <c r="M121" s="152" t="s">
        <v>189</v>
      </c>
      <c r="N121" s="152" t="s">
        <v>189</v>
      </c>
    </row>
    <row r="122" spans="1:14" ht="28.5" x14ac:dyDescent="0.2">
      <c r="A122" s="49"/>
      <c r="B122" s="108" t="s">
        <v>140</v>
      </c>
      <c r="C122" s="5">
        <v>0.35039999999999999</v>
      </c>
      <c r="D122" s="5">
        <v>0.35</v>
      </c>
      <c r="E122" s="6" t="s">
        <v>23</v>
      </c>
      <c r="F122" s="7" t="s">
        <v>119</v>
      </c>
      <c r="G122" s="54" t="s">
        <v>27</v>
      </c>
      <c r="H122" s="213"/>
      <c r="I122" s="108" t="s">
        <v>233</v>
      </c>
      <c r="J122" s="5">
        <v>0.48180000000000001</v>
      </c>
      <c r="K122" s="5">
        <v>0.46</v>
      </c>
      <c r="L122" s="6" t="s">
        <v>23</v>
      </c>
      <c r="M122" s="7" t="s">
        <v>48</v>
      </c>
      <c r="N122" s="54" t="s">
        <v>27</v>
      </c>
    </row>
    <row r="123" spans="1:14" x14ac:dyDescent="0.2">
      <c r="A123" s="49"/>
      <c r="B123" s="108" t="s">
        <v>2</v>
      </c>
      <c r="C123" s="3">
        <v>0.1638</v>
      </c>
      <c r="D123" s="3">
        <v>0.2</v>
      </c>
      <c r="E123" s="1" t="s">
        <v>24</v>
      </c>
      <c r="F123" s="4" t="s">
        <v>133</v>
      </c>
      <c r="G123" s="9" t="s">
        <v>28</v>
      </c>
      <c r="H123" s="214"/>
      <c r="I123" s="108" t="s">
        <v>2</v>
      </c>
      <c r="J123" s="3">
        <v>0.23130000000000001</v>
      </c>
      <c r="K123" s="3">
        <v>0.2</v>
      </c>
      <c r="L123" s="1" t="s">
        <v>24</v>
      </c>
      <c r="M123" s="4" t="s">
        <v>133</v>
      </c>
      <c r="N123" s="9" t="s">
        <v>28</v>
      </c>
    </row>
    <row r="124" spans="1:14" ht="28.5" x14ac:dyDescent="0.2">
      <c r="A124" s="49"/>
      <c r="B124" s="109" t="s">
        <v>139</v>
      </c>
      <c r="C124" s="3">
        <v>0.223</v>
      </c>
      <c r="D124" s="3">
        <v>0.2</v>
      </c>
      <c r="E124" s="1" t="s">
        <v>23</v>
      </c>
      <c r="F124" s="4" t="s">
        <v>64</v>
      </c>
      <c r="G124" s="9" t="s">
        <v>183</v>
      </c>
      <c r="H124" s="213"/>
      <c r="I124" s="108" t="s">
        <v>139</v>
      </c>
      <c r="J124" s="3">
        <v>0.29930000000000001</v>
      </c>
      <c r="K124" s="3">
        <v>0.33</v>
      </c>
      <c r="L124" s="1" t="s">
        <v>23</v>
      </c>
      <c r="M124" s="4" t="s">
        <v>79</v>
      </c>
      <c r="N124" s="9" t="s">
        <v>183</v>
      </c>
    </row>
    <row r="125" spans="1:14" x14ac:dyDescent="0.2">
      <c r="A125" s="51"/>
      <c r="B125" s="108" t="s">
        <v>12</v>
      </c>
      <c r="C125" s="3">
        <v>0.1517</v>
      </c>
      <c r="D125" s="3">
        <v>0.15</v>
      </c>
      <c r="E125" s="1" t="s">
        <v>24</v>
      </c>
      <c r="F125" s="9" t="s">
        <v>52</v>
      </c>
      <c r="G125" s="9" t="s">
        <v>18</v>
      </c>
      <c r="H125" s="213"/>
      <c r="I125" s="108" t="s">
        <v>12</v>
      </c>
      <c r="J125" s="3">
        <v>0.14000000000000001</v>
      </c>
      <c r="K125" s="3">
        <v>0.1</v>
      </c>
      <c r="L125" s="1" t="s">
        <v>24</v>
      </c>
      <c r="M125" s="9" t="s">
        <v>49</v>
      </c>
      <c r="N125" s="9" t="s">
        <v>18</v>
      </c>
    </row>
    <row r="126" spans="1:14" ht="15" x14ac:dyDescent="0.2">
      <c r="A126" s="51"/>
      <c r="B126" s="110" t="s">
        <v>5</v>
      </c>
      <c r="C126" s="29">
        <f>SUBTOTAL(109,C121:C125)</f>
        <v>0.88890000000000002</v>
      </c>
      <c r="D126" s="29">
        <f>SUBTOTAL(109,D121:D125)</f>
        <v>0.9</v>
      </c>
      <c r="E126" s="121" t="s">
        <v>189</v>
      </c>
      <c r="F126" s="122" t="s">
        <v>189</v>
      </c>
      <c r="G126" s="116" t="s">
        <v>189</v>
      </c>
      <c r="H126" s="213"/>
      <c r="I126" s="110" t="s">
        <v>5</v>
      </c>
      <c r="J126" s="29">
        <f>SUBTOTAL(109,J121:J125)</f>
        <v>1.1524000000000001</v>
      </c>
      <c r="K126" s="29">
        <f>SUBTOTAL(109,K121:K125)</f>
        <v>1.0900000000000001</v>
      </c>
      <c r="L126" s="122" t="s">
        <v>189</v>
      </c>
      <c r="M126" s="122" t="s">
        <v>189</v>
      </c>
      <c r="N126" s="116" t="s">
        <v>189</v>
      </c>
    </row>
    <row r="127" spans="1:14" x14ac:dyDescent="0.2">
      <c r="A127" s="51"/>
      <c r="B127" s="108" t="s">
        <v>6</v>
      </c>
      <c r="C127" s="11">
        <v>0.69440000000000002</v>
      </c>
      <c r="D127" s="11">
        <v>0.64</v>
      </c>
      <c r="E127" s="1" t="s">
        <v>23</v>
      </c>
      <c r="F127" s="9" t="s">
        <v>184</v>
      </c>
      <c r="G127" s="9" t="s">
        <v>19</v>
      </c>
      <c r="H127" s="213"/>
      <c r="I127" s="108" t="s">
        <v>6</v>
      </c>
      <c r="J127" s="11">
        <v>0.99019999999999997</v>
      </c>
      <c r="K127" s="11">
        <v>0.94</v>
      </c>
      <c r="L127" s="1" t="s">
        <v>23</v>
      </c>
      <c r="M127" s="9" t="s">
        <v>99</v>
      </c>
      <c r="N127" s="9" t="s">
        <v>19</v>
      </c>
    </row>
    <row r="128" spans="1:14" ht="30" x14ac:dyDescent="0.2">
      <c r="A128" s="51"/>
      <c r="B128" s="110" t="s">
        <v>230</v>
      </c>
      <c r="C128" s="12">
        <v>4.0000000000000001E-3</v>
      </c>
      <c r="D128" s="142" t="s">
        <v>189</v>
      </c>
      <c r="E128" s="143" t="s">
        <v>189</v>
      </c>
      <c r="F128" s="144" t="s">
        <v>189</v>
      </c>
      <c r="G128" s="179" t="s">
        <v>189</v>
      </c>
      <c r="H128" s="213"/>
      <c r="I128" s="110" t="s">
        <v>230</v>
      </c>
      <c r="J128" s="12">
        <v>4.0000000000000001E-3</v>
      </c>
      <c r="K128" s="142" t="s">
        <v>189</v>
      </c>
      <c r="L128" s="144" t="s">
        <v>189</v>
      </c>
      <c r="M128" s="144" t="s">
        <v>189</v>
      </c>
      <c r="N128" s="179" t="s">
        <v>189</v>
      </c>
    </row>
    <row r="129" spans="1:14" ht="21" customHeight="1" x14ac:dyDescent="0.2">
      <c r="A129" s="73"/>
      <c r="B129" s="75"/>
      <c r="C129" s="76"/>
      <c r="D129" s="77"/>
      <c r="E129" s="76"/>
      <c r="F129" s="76"/>
      <c r="G129" s="181"/>
      <c r="H129" s="207"/>
      <c r="I129" s="79"/>
      <c r="J129" s="80"/>
      <c r="K129" s="81"/>
      <c r="L129" s="80"/>
      <c r="M129" s="80"/>
      <c r="N129" s="182"/>
    </row>
    <row r="130" spans="1:14" ht="51.75" customHeight="1" x14ac:dyDescent="0.25">
      <c r="A130" s="48" t="s">
        <v>101</v>
      </c>
      <c r="B130" s="38" t="s">
        <v>160</v>
      </c>
      <c r="C130" s="39"/>
      <c r="D130" s="40"/>
      <c r="E130" s="85"/>
      <c r="F130" s="39"/>
      <c r="G130" s="178"/>
      <c r="H130" s="212" t="s">
        <v>101</v>
      </c>
      <c r="I130" s="38" t="s">
        <v>161</v>
      </c>
      <c r="J130" s="39"/>
      <c r="K130" s="40"/>
      <c r="L130" s="41"/>
      <c r="M130" s="39"/>
      <c r="N130" s="178"/>
    </row>
    <row r="131" spans="1:14" ht="51.75" customHeight="1" x14ac:dyDescent="0.2">
      <c r="A131" s="51"/>
      <c r="B131" s="123" t="s">
        <v>0</v>
      </c>
      <c r="C131" s="124" t="s">
        <v>225</v>
      </c>
      <c r="D131" s="124" t="s">
        <v>200</v>
      </c>
      <c r="E131" s="125" t="s">
        <v>22</v>
      </c>
      <c r="F131" s="125" t="s">
        <v>20</v>
      </c>
      <c r="G131" s="125" t="s">
        <v>35</v>
      </c>
      <c r="H131" s="213"/>
      <c r="I131" s="123" t="s">
        <v>0</v>
      </c>
      <c r="J131" s="124" t="s">
        <v>225</v>
      </c>
      <c r="K131" s="124" t="s">
        <v>200</v>
      </c>
      <c r="L131" s="125" t="s">
        <v>22</v>
      </c>
      <c r="M131" s="125" t="s">
        <v>20</v>
      </c>
      <c r="N131" s="125" t="s">
        <v>35</v>
      </c>
    </row>
    <row r="132" spans="1:14" ht="15.75" x14ac:dyDescent="0.2">
      <c r="A132" s="51"/>
      <c r="B132" s="108" t="s">
        <v>171</v>
      </c>
      <c r="C132" s="5" t="s">
        <v>240</v>
      </c>
      <c r="D132" s="5" t="s">
        <v>197</v>
      </c>
      <c r="E132" s="151" t="s">
        <v>189</v>
      </c>
      <c r="F132" s="152" t="s">
        <v>190</v>
      </c>
      <c r="G132" s="152" t="s">
        <v>198</v>
      </c>
      <c r="H132" s="213"/>
      <c r="I132" s="162" t="s">
        <v>189</v>
      </c>
      <c r="J132" s="163" t="s">
        <v>189</v>
      </c>
      <c r="K132" s="163" t="s">
        <v>189</v>
      </c>
      <c r="L132" s="152" t="s">
        <v>189</v>
      </c>
      <c r="M132" s="152" t="s">
        <v>189</v>
      </c>
      <c r="N132" s="152" t="s">
        <v>189</v>
      </c>
    </row>
    <row r="133" spans="1:14" ht="28.5" x14ac:dyDescent="0.2">
      <c r="A133" s="51"/>
      <c r="B133" s="108" t="s">
        <v>140</v>
      </c>
      <c r="C133" s="5">
        <v>0.69910000000000005</v>
      </c>
      <c r="D133" s="5">
        <v>0.64</v>
      </c>
      <c r="E133" s="6" t="s">
        <v>23</v>
      </c>
      <c r="F133" s="7" t="s">
        <v>184</v>
      </c>
      <c r="G133" s="54" t="s">
        <v>27</v>
      </c>
      <c r="H133" s="213"/>
      <c r="I133" s="108" t="s">
        <v>233</v>
      </c>
      <c r="J133" s="5">
        <v>0.99519999999999997</v>
      </c>
      <c r="K133" s="5">
        <v>0.94</v>
      </c>
      <c r="L133" s="6" t="s">
        <v>23</v>
      </c>
      <c r="M133" s="7" t="s">
        <v>99</v>
      </c>
      <c r="N133" s="54" t="s">
        <v>27</v>
      </c>
    </row>
    <row r="134" spans="1:14" x14ac:dyDescent="0.2">
      <c r="A134" s="50"/>
      <c r="B134" s="108" t="s">
        <v>2</v>
      </c>
      <c r="C134" s="3">
        <v>0.2878</v>
      </c>
      <c r="D134" s="3">
        <v>0.25</v>
      </c>
      <c r="E134" s="1" t="s">
        <v>24</v>
      </c>
      <c r="F134" s="4" t="s">
        <v>191</v>
      </c>
      <c r="G134" s="9" t="s">
        <v>14</v>
      </c>
      <c r="H134" s="214"/>
      <c r="I134" s="108" t="s">
        <v>2</v>
      </c>
      <c r="J134" s="3">
        <v>0.218</v>
      </c>
      <c r="K134" s="3">
        <v>0.25</v>
      </c>
      <c r="L134" s="1" t="s">
        <v>24</v>
      </c>
      <c r="M134" s="4" t="s">
        <v>54</v>
      </c>
      <c r="N134" s="9" t="s">
        <v>14</v>
      </c>
    </row>
    <row r="135" spans="1:14" ht="28.5" x14ac:dyDescent="0.2">
      <c r="A135" s="51"/>
      <c r="B135" s="109" t="s">
        <v>139</v>
      </c>
      <c r="C135" s="3">
        <v>0</v>
      </c>
      <c r="D135" s="117" t="s">
        <v>189</v>
      </c>
      <c r="E135" s="1" t="s">
        <v>23</v>
      </c>
      <c r="F135" s="4" t="s">
        <v>73</v>
      </c>
      <c r="G135" s="136" t="s">
        <v>189</v>
      </c>
      <c r="H135" s="213"/>
      <c r="I135" s="108" t="s">
        <v>139</v>
      </c>
      <c r="J135" s="3">
        <v>0</v>
      </c>
      <c r="K135" s="117" t="s">
        <v>189</v>
      </c>
      <c r="L135" s="1" t="s">
        <v>23</v>
      </c>
      <c r="M135" s="4" t="s">
        <v>73</v>
      </c>
      <c r="N135" s="136" t="s">
        <v>189</v>
      </c>
    </row>
    <row r="136" spans="1:14" x14ac:dyDescent="0.2">
      <c r="A136" s="51"/>
      <c r="B136" s="108" t="s">
        <v>12</v>
      </c>
      <c r="C136" s="3">
        <v>0.1827</v>
      </c>
      <c r="D136" s="3">
        <v>0.15</v>
      </c>
      <c r="E136" s="1" t="s">
        <v>24</v>
      </c>
      <c r="F136" s="9" t="s">
        <v>52</v>
      </c>
      <c r="G136" s="9" t="s">
        <v>18</v>
      </c>
      <c r="H136" s="213"/>
      <c r="I136" s="108" t="s">
        <v>12</v>
      </c>
      <c r="J136" s="3">
        <v>0.14929999999999999</v>
      </c>
      <c r="K136" s="3">
        <v>0.15</v>
      </c>
      <c r="L136" s="1" t="s">
        <v>24</v>
      </c>
      <c r="M136" s="9" t="s">
        <v>52</v>
      </c>
      <c r="N136" s="9" t="s">
        <v>18</v>
      </c>
    </row>
    <row r="137" spans="1:14" ht="15" x14ac:dyDescent="0.2">
      <c r="A137" s="51"/>
      <c r="B137" s="110" t="s">
        <v>5</v>
      </c>
      <c r="C137" s="29">
        <f>SUBTOTAL(109,C132:C136)</f>
        <v>1.1696000000000002</v>
      </c>
      <c r="D137" s="29">
        <f>SUBTOTAL(109,D132:D136)</f>
        <v>1.04</v>
      </c>
      <c r="E137" s="121" t="s">
        <v>189</v>
      </c>
      <c r="F137" s="122" t="s">
        <v>189</v>
      </c>
      <c r="G137" s="116" t="s">
        <v>189</v>
      </c>
      <c r="H137" s="213"/>
      <c r="I137" s="110" t="s">
        <v>5</v>
      </c>
      <c r="J137" s="29">
        <f>SUBTOTAL(109,J132:J136)</f>
        <v>1.3625</v>
      </c>
      <c r="K137" s="29">
        <f>SUBTOTAL(109,K132:K136)</f>
        <v>1.3399999999999999</v>
      </c>
      <c r="L137" s="122" t="s">
        <v>189</v>
      </c>
      <c r="M137" s="122" t="s">
        <v>189</v>
      </c>
      <c r="N137" s="116" t="s">
        <v>189</v>
      </c>
    </row>
    <row r="138" spans="1:14" x14ac:dyDescent="0.2">
      <c r="A138" s="51"/>
      <c r="B138" s="108" t="s">
        <v>6</v>
      </c>
      <c r="C138" s="11">
        <v>0.69799999999999995</v>
      </c>
      <c r="D138" s="11">
        <v>0.64</v>
      </c>
      <c r="E138" s="1" t="s">
        <v>23</v>
      </c>
      <c r="F138" s="9" t="s">
        <v>184</v>
      </c>
      <c r="G138" s="9" t="s">
        <v>19</v>
      </c>
      <c r="H138" s="213"/>
      <c r="I138" s="108" t="s">
        <v>6</v>
      </c>
      <c r="J138" s="11">
        <v>0.996</v>
      </c>
      <c r="K138" s="11">
        <v>0.94</v>
      </c>
      <c r="L138" s="1" t="s">
        <v>23</v>
      </c>
      <c r="M138" s="9" t="s">
        <v>99</v>
      </c>
      <c r="N138" s="9" t="s">
        <v>19</v>
      </c>
    </row>
    <row r="139" spans="1:14" ht="30" x14ac:dyDescent="0.2">
      <c r="A139" s="51"/>
      <c r="B139" s="110" t="s">
        <v>138</v>
      </c>
      <c r="C139" s="12">
        <v>2E-3</v>
      </c>
      <c r="D139" s="142" t="s">
        <v>189</v>
      </c>
      <c r="E139" s="143" t="s">
        <v>189</v>
      </c>
      <c r="F139" s="144" t="s">
        <v>189</v>
      </c>
      <c r="G139" s="179" t="s">
        <v>189</v>
      </c>
      <c r="H139" s="213"/>
      <c r="I139" s="110" t="s">
        <v>138</v>
      </c>
      <c r="J139" s="12">
        <v>2E-3</v>
      </c>
      <c r="K139" s="142" t="s">
        <v>189</v>
      </c>
      <c r="L139" s="144" t="s">
        <v>189</v>
      </c>
      <c r="M139" s="144" t="s">
        <v>189</v>
      </c>
      <c r="N139" s="179" t="s">
        <v>189</v>
      </c>
    </row>
    <row r="140" spans="1:14" ht="21" customHeight="1" x14ac:dyDescent="0.2">
      <c r="A140" s="73"/>
      <c r="B140" s="75"/>
      <c r="C140" s="76"/>
      <c r="D140" s="77"/>
      <c r="E140" s="76"/>
      <c r="F140" s="76"/>
      <c r="G140" s="181"/>
      <c r="H140" s="207"/>
      <c r="I140" s="79"/>
      <c r="J140" s="80"/>
      <c r="K140" s="81"/>
      <c r="L140" s="80"/>
      <c r="M140" s="80"/>
      <c r="N140" s="182"/>
    </row>
    <row r="141" spans="1:14" ht="51.75" customHeight="1" x14ac:dyDescent="0.25">
      <c r="A141" s="48" t="s">
        <v>105</v>
      </c>
      <c r="B141" s="38" t="s">
        <v>162</v>
      </c>
      <c r="C141" s="39"/>
      <c r="D141" s="40"/>
      <c r="E141" s="85"/>
      <c r="F141" s="39"/>
      <c r="G141" s="178"/>
      <c r="H141" s="212" t="s">
        <v>105</v>
      </c>
      <c r="I141" s="38" t="s">
        <v>163</v>
      </c>
      <c r="J141" s="39"/>
      <c r="K141" s="40"/>
      <c r="L141" s="41"/>
      <c r="M141" s="39"/>
      <c r="N141" s="178"/>
    </row>
    <row r="142" spans="1:14" ht="51.75" customHeight="1" x14ac:dyDescent="0.2">
      <c r="A142" s="49"/>
      <c r="B142" s="123" t="s">
        <v>0</v>
      </c>
      <c r="C142" s="124" t="s">
        <v>225</v>
      </c>
      <c r="D142" s="124" t="s">
        <v>200</v>
      </c>
      <c r="E142" s="125" t="s">
        <v>22</v>
      </c>
      <c r="F142" s="125" t="s">
        <v>20</v>
      </c>
      <c r="G142" s="125" t="s">
        <v>35</v>
      </c>
      <c r="H142" s="213"/>
      <c r="I142" s="123" t="s">
        <v>0</v>
      </c>
      <c r="J142" s="124" t="s">
        <v>225</v>
      </c>
      <c r="K142" s="124" t="s">
        <v>200</v>
      </c>
      <c r="L142" s="125" t="s">
        <v>22</v>
      </c>
      <c r="M142" s="125" t="s">
        <v>20</v>
      </c>
      <c r="N142" s="125" t="s">
        <v>35</v>
      </c>
    </row>
    <row r="143" spans="1:14" ht="15.75" x14ac:dyDescent="0.2">
      <c r="A143" s="49"/>
      <c r="B143" s="108" t="s">
        <v>171</v>
      </c>
      <c r="C143" s="3">
        <v>0.3085</v>
      </c>
      <c r="D143" s="3">
        <v>0.3</v>
      </c>
      <c r="E143" s="151" t="s">
        <v>189</v>
      </c>
      <c r="F143" s="152" t="s">
        <v>189</v>
      </c>
      <c r="G143" s="152" t="s">
        <v>189</v>
      </c>
      <c r="H143" s="213"/>
      <c r="I143" s="162" t="s">
        <v>189</v>
      </c>
      <c r="J143" s="163" t="s">
        <v>189</v>
      </c>
      <c r="K143" s="163" t="s">
        <v>189</v>
      </c>
      <c r="L143" s="152" t="s">
        <v>189</v>
      </c>
      <c r="M143" s="152" t="s">
        <v>189</v>
      </c>
      <c r="N143" s="152" t="s">
        <v>189</v>
      </c>
    </row>
    <row r="144" spans="1:14" ht="28.5" x14ac:dyDescent="0.2">
      <c r="A144" s="49"/>
      <c r="B144" s="108" t="s">
        <v>140</v>
      </c>
      <c r="C144" s="165">
        <v>0</v>
      </c>
      <c r="D144" s="165" t="s">
        <v>189</v>
      </c>
      <c r="E144" s="6" t="s">
        <v>23</v>
      </c>
      <c r="F144" s="165" t="s">
        <v>189</v>
      </c>
      <c r="G144" s="155" t="s">
        <v>189</v>
      </c>
      <c r="H144" s="213"/>
      <c r="I144" s="108" t="s">
        <v>233</v>
      </c>
      <c r="J144" s="165" t="s">
        <v>189</v>
      </c>
      <c r="K144" s="165" t="s">
        <v>189</v>
      </c>
      <c r="L144" s="6" t="s">
        <v>23</v>
      </c>
      <c r="M144" s="165" t="s">
        <v>189</v>
      </c>
      <c r="N144" s="155" t="s">
        <v>189</v>
      </c>
    </row>
    <row r="145" spans="1:14" x14ac:dyDescent="0.2">
      <c r="A145" s="49"/>
      <c r="B145" s="108" t="s">
        <v>2</v>
      </c>
      <c r="C145" s="3">
        <v>0.20760000000000001</v>
      </c>
      <c r="D145" s="3">
        <v>0.25</v>
      </c>
      <c r="E145" s="1" t="s">
        <v>24</v>
      </c>
      <c r="F145" s="4" t="s">
        <v>54</v>
      </c>
      <c r="G145" s="1" t="s">
        <v>28</v>
      </c>
      <c r="H145" s="214"/>
      <c r="I145" s="108" t="s">
        <v>2</v>
      </c>
      <c r="J145" s="3">
        <v>0.25409999999999999</v>
      </c>
      <c r="K145" s="5">
        <v>0.3</v>
      </c>
      <c r="L145" s="1" t="s">
        <v>24</v>
      </c>
      <c r="M145" s="4" t="s">
        <v>60</v>
      </c>
      <c r="N145" s="1" t="s">
        <v>28</v>
      </c>
    </row>
    <row r="146" spans="1:14" ht="28.5" x14ac:dyDescent="0.2">
      <c r="A146" s="51"/>
      <c r="B146" s="109" t="s">
        <v>139</v>
      </c>
      <c r="C146" s="3">
        <v>0.47099999999999997</v>
      </c>
      <c r="D146" s="3">
        <v>0.5</v>
      </c>
      <c r="E146" s="1" t="s">
        <v>23</v>
      </c>
      <c r="F146" s="4" t="s">
        <v>92</v>
      </c>
      <c r="G146" s="9" t="s">
        <v>183</v>
      </c>
      <c r="H146" s="213"/>
      <c r="I146" s="166" t="s">
        <v>139</v>
      </c>
      <c r="J146" s="3">
        <v>0.65790000000000004</v>
      </c>
      <c r="K146" s="5">
        <v>0.7</v>
      </c>
      <c r="L146" s="107" t="s">
        <v>23</v>
      </c>
      <c r="M146" s="4" t="s">
        <v>87</v>
      </c>
      <c r="N146" s="4" t="s">
        <v>183</v>
      </c>
    </row>
    <row r="147" spans="1:14" x14ac:dyDescent="0.2">
      <c r="A147" s="51"/>
      <c r="B147" s="108" t="s">
        <v>12</v>
      </c>
      <c r="C147" s="3">
        <v>6.3E-3</v>
      </c>
      <c r="D147" s="3">
        <v>0.3</v>
      </c>
      <c r="E147" s="1" t="s">
        <v>24</v>
      </c>
      <c r="F147" s="9" t="s">
        <v>236</v>
      </c>
      <c r="G147" s="1" t="s">
        <v>18</v>
      </c>
      <c r="H147" s="213"/>
      <c r="I147" s="166" t="s">
        <v>12</v>
      </c>
      <c r="J147" s="3">
        <v>8.8900000000000007E-2</v>
      </c>
      <c r="K147" s="5">
        <v>0.3</v>
      </c>
      <c r="L147" s="107" t="s">
        <v>24</v>
      </c>
      <c r="M147" s="9" t="s">
        <v>236</v>
      </c>
      <c r="N147" s="107" t="s">
        <v>18</v>
      </c>
    </row>
    <row r="148" spans="1:14" ht="15" x14ac:dyDescent="0.2">
      <c r="A148" s="51"/>
      <c r="B148" s="110" t="s">
        <v>5</v>
      </c>
      <c r="C148" s="103">
        <f>SUBTOTAL(109,C143:C147)</f>
        <v>0.99339999999999995</v>
      </c>
      <c r="D148" s="103">
        <f>SUBTOTAL(109,D143:D147)</f>
        <v>1.35</v>
      </c>
      <c r="E148" s="121" t="s">
        <v>189</v>
      </c>
      <c r="F148" s="122" t="s">
        <v>189</v>
      </c>
      <c r="G148" s="115" t="s">
        <v>189</v>
      </c>
      <c r="H148" s="213"/>
      <c r="I148" s="110" t="s">
        <v>5</v>
      </c>
      <c r="J148" s="29">
        <f>SUBTOTAL(109,J143:J147)</f>
        <v>1.0009000000000001</v>
      </c>
      <c r="K148" s="29">
        <f>SUBTOTAL(109,K143:K147)</f>
        <v>1.3</v>
      </c>
      <c r="L148" s="122" t="s">
        <v>189</v>
      </c>
      <c r="M148" s="122" t="s">
        <v>189</v>
      </c>
      <c r="N148" s="115" t="s">
        <v>189</v>
      </c>
    </row>
    <row r="149" spans="1:14" x14ac:dyDescent="0.2">
      <c r="A149" s="51"/>
      <c r="B149" s="108" t="s">
        <v>6</v>
      </c>
      <c r="C149" s="11">
        <v>0.69679999999999997</v>
      </c>
      <c r="D149" s="11">
        <v>0.64</v>
      </c>
      <c r="E149" s="1" t="s">
        <v>23</v>
      </c>
      <c r="F149" s="9" t="s">
        <v>184</v>
      </c>
      <c r="G149" s="1" t="s">
        <v>19</v>
      </c>
      <c r="H149" s="213"/>
      <c r="I149" s="108" t="s">
        <v>6</v>
      </c>
      <c r="J149" s="11">
        <v>0.98029999999999995</v>
      </c>
      <c r="K149" s="11">
        <v>0.94</v>
      </c>
      <c r="L149" s="1" t="s">
        <v>23</v>
      </c>
      <c r="M149" s="9" t="s">
        <v>99</v>
      </c>
      <c r="N149" s="1" t="s">
        <v>19</v>
      </c>
    </row>
    <row r="150" spans="1:14" ht="30" x14ac:dyDescent="0.2">
      <c r="A150" s="51"/>
      <c r="B150" s="110" t="s">
        <v>230</v>
      </c>
      <c r="C150" s="12">
        <v>4.0000000000000001E-3</v>
      </c>
      <c r="D150" s="142" t="s">
        <v>189</v>
      </c>
      <c r="E150" s="143" t="s">
        <v>189</v>
      </c>
      <c r="F150" s="144" t="s">
        <v>189</v>
      </c>
      <c r="G150" s="179" t="s">
        <v>189</v>
      </c>
      <c r="H150" s="213"/>
      <c r="I150" s="110" t="s">
        <v>230</v>
      </c>
      <c r="J150" s="12">
        <v>4.0000000000000001E-3</v>
      </c>
      <c r="K150" s="142" t="s">
        <v>189</v>
      </c>
      <c r="L150" s="144" t="s">
        <v>189</v>
      </c>
      <c r="M150" s="144" t="s">
        <v>189</v>
      </c>
      <c r="N150" s="179" t="s">
        <v>189</v>
      </c>
    </row>
    <row r="151" spans="1:14" ht="21" customHeight="1" x14ac:dyDescent="0.2">
      <c r="A151" s="73"/>
      <c r="B151" s="75"/>
      <c r="C151" s="76"/>
      <c r="D151" s="77"/>
      <c r="E151" s="76"/>
      <c r="F151" s="76"/>
      <c r="G151" s="181"/>
      <c r="H151" s="207"/>
      <c r="I151" s="79"/>
      <c r="J151" s="80"/>
      <c r="K151" s="81"/>
      <c r="L151" s="80"/>
      <c r="M151" s="80"/>
      <c r="N151" s="182"/>
    </row>
    <row r="152" spans="1:14" ht="51.75" customHeight="1" x14ac:dyDescent="0.25">
      <c r="A152" s="48" t="s">
        <v>112</v>
      </c>
      <c r="B152" s="38" t="s">
        <v>164</v>
      </c>
      <c r="C152" s="39"/>
      <c r="D152" s="40"/>
      <c r="E152" s="85"/>
      <c r="F152" s="39"/>
      <c r="G152" s="178"/>
      <c r="H152" s="212" t="s">
        <v>112</v>
      </c>
      <c r="I152" s="38" t="s">
        <v>165</v>
      </c>
      <c r="J152" s="39"/>
      <c r="K152" s="40"/>
      <c r="L152" s="41"/>
      <c r="M152" s="39"/>
      <c r="N152" s="178"/>
    </row>
    <row r="153" spans="1:14" ht="51.75" customHeight="1" x14ac:dyDescent="0.2">
      <c r="A153" s="49"/>
      <c r="B153" s="123" t="s">
        <v>0</v>
      </c>
      <c r="C153" s="124" t="s">
        <v>225</v>
      </c>
      <c r="D153" s="124" t="s">
        <v>200</v>
      </c>
      <c r="E153" s="125" t="s">
        <v>22</v>
      </c>
      <c r="F153" s="125" t="s">
        <v>20</v>
      </c>
      <c r="G153" s="125" t="s">
        <v>35</v>
      </c>
      <c r="H153" s="213"/>
      <c r="I153" s="123" t="s">
        <v>0</v>
      </c>
      <c r="J153" s="124" t="s">
        <v>225</v>
      </c>
      <c r="K153" s="124" t="s">
        <v>200</v>
      </c>
      <c r="L153" s="125" t="s">
        <v>22</v>
      </c>
      <c r="M153" s="125" t="s">
        <v>20</v>
      </c>
      <c r="N153" s="125" t="s">
        <v>35</v>
      </c>
    </row>
    <row r="154" spans="1:14" ht="15.75" x14ac:dyDescent="0.2">
      <c r="A154" s="49"/>
      <c r="B154" s="108" t="s">
        <v>171</v>
      </c>
      <c r="C154" s="5">
        <v>0.39269999999999999</v>
      </c>
      <c r="D154" s="5">
        <v>0.3</v>
      </c>
      <c r="E154" s="151" t="s">
        <v>189</v>
      </c>
      <c r="F154" s="152" t="s">
        <v>189</v>
      </c>
      <c r="G154" s="155" t="s">
        <v>189</v>
      </c>
      <c r="H154" s="213"/>
      <c r="I154" s="162" t="s">
        <v>189</v>
      </c>
      <c r="J154" s="163" t="s">
        <v>189</v>
      </c>
      <c r="K154" s="163" t="s">
        <v>189</v>
      </c>
      <c r="L154" s="152" t="s">
        <v>189</v>
      </c>
      <c r="M154" s="152" t="s">
        <v>189</v>
      </c>
      <c r="N154" s="152" t="s">
        <v>189</v>
      </c>
    </row>
    <row r="155" spans="1:14" ht="28.5" x14ac:dyDescent="0.2">
      <c r="A155" s="49"/>
      <c r="B155" s="108" t="s">
        <v>140</v>
      </c>
      <c r="C155" s="5">
        <v>0.69569999999999999</v>
      </c>
      <c r="D155" s="5">
        <v>0.64</v>
      </c>
      <c r="E155" s="6" t="s">
        <v>23</v>
      </c>
      <c r="F155" s="7" t="s">
        <v>184</v>
      </c>
      <c r="G155" s="6" t="s">
        <v>7</v>
      </c>
      <c r="H155" s="213"/>
      <c r="I155" s="108" t="s">
        <v>233</v>
      </c>
      <c r="J155" s="5">
        <v>0.99780000000000002</v>
      </c>
      <c r="K155" s="5">
        <v>0.94</v>
      </c>
      <c r="L155" s="6" t="s">
        <v>23</v>
      </c>
      <c r="M155" s="7" t="s">
        <v>99</v>
      </c>
      <c r="N155" s="6" t="s">
        <v>7</v>
      </c>
    </row>
    <row r="156" spans="1:14" x14ac:dyDescent="0.2">
      <c r="A156" s="50"/>
      <c r="B156" s="108" t="s">
        <v>2</v>
      </c>
      <c r="C156" s="3">
        <v>0.24640000000000001</v>
      </c>
      <c r="D156" s="3">
        <v>0.25</v>
      </c>
      <c r="E156" s="1" t="s">
        <v>24</v>
      </c>
      <c r="F156" s="4" t="s">
        <v>54</v>
      </c>
      <c r="G156" s="1" t="s">
        <v>14</v>
      </c>
      <c r="H156" s="214"/>
      <c r="I156" s="108" t="s">
        <v>2</v>
      </c>
      <c r="J156" s="3">
        <v>0.2046</v>
      </c>
      <c r="K156" s="3">
        <v>0.25</v>
      </c>
      <c r="L156" s="1" t="s">
        <v>24</v>
      </c>
      <c r="M156" s="4" t="s">
        <v>54</v>
      </c>
      <c r="N156" s="1" t="s">
        <v>14</v>
      </c>
    </row>
    <row r="157" spans="1:14" ht="28.5" x14ac:dyDescent="0.2">
      <c r="A157" s="51"/>
      <c r="B157" s="109" t="s">
        <v>139</v>
      </c>
      <c r="C157" s="117">
        <v>0</v>
      </c>
      <c r="D157" s="117" t="s">
        <v>189</v>
      </c>
      <c r="E157" s="1" t="s">
        <v>23</v>
      </c>
      <c r="F157" s="4" t="s">
        <v>73</v>
      </c>
      <c r="G157" s="136" t="s">
        <v>189</v>
      </c>
      <c r="H157" s="213"/>
      <c r="I157" s="108" t="s">
        <v>139</v>
      </c>
      <c r="J157" s="117">
        <v>0</v>
      </c>
      <c r="K157" s="117" t="s">
        <v>189</v>
      </c>
      <c r="L157" s="1" t="s">
        <v>23</v>
      </c>
      <c r="M157" s="4" t="s">
        <v>73</v>
      </c>
      <c r="N157" s="136" t="s">
        <v>189</v>
      </c>
    </row>
    <row r="158" spans="1:14" x14ac:dyDescent="0.2">
      <c r="A158" s="51"/>
      <c r="B158" s="108" t="s">
        <v>12</v>
      </c>
      <c r="C158" s="3">
        <v>0.27179999999999999</v>
      </c>
      <c r="D158" s="3">
        <v>0.25</v>
      </c>
      <c r="E158" s="1" t="s">
        <v>24</v>
      </c>
      <c r="F158" s="4" t="s">
        <v>54</v>
      </c>
      <c r="G158" s="1" t="s">
        <v>18</v>
      </c>
      <c r="H158" s="213"/>
      <c r="I158" s="108" t="s">
        <v>12</v>
      </c>
      <c r="J158" s="3">
        <v>0.26569999999999999</v>
      </c>
      <c r="K158" s="3">
        <v>0.25</v>
      </c>
      <c r="L158" s="1" t="s">
        <v>24</v>
      </c>
      <c r="M158" s="4" t="s">
        <v>54</v>
      </c>
      <c r="N158" s="1" t="s">
        <v>18</v>
      </c>
    </row>
    <row r="159" spans="1:14" ht="15" x14ac:dyDescent="0.2">
      <c r="A159" s="51"/>
      <c r="B159" s="110" t="s">
        <v>5</v>
      </c>
      <c r="C159" s="29">
        <f>SUBTOTAL(109,C154:C158)</f>
        <v>1.6066</v>
      </c>
      <c r="D159" s="29">
        <f>SUBTOTAL(109,D154:D158)</f>
        <v>1.44</v>
      </c>
      <c r="E159" s="121" t="s">
        <v>189</v>
      </c>
      <c r="F159" s="122" t="s">
        <v>189</v>
      </c>
      <c r="G159" s="115" t="s">
        <v>189</v>
      </c>
      <c r="H159" s="213"/>
      <c r="I159" s="110" t="s">
        <v>5</v>
      </c>
      <c r="J159" s="29">
        <f>SUBTOTAL(109,J154:J158)</f>
        <v>1.4681</v>
      </c>
      <c r="K159" s="29">
        <f>SUBTOTAL(109,K154:K158)</f>
        <v>1.44</v>
      </c>
      <c r="L159" s="122" t="s">
        <v>189</v>
      </c>
      <c r="M159" s="122" t="s">
        <v>189</v>
      </c>
      <c r="N159" s="115" t="s">
        <v>189</v>
      </c>
    </row>
    <row r="160" spans="1:14" x14ac:dyDescent="0.2">
      <c r="A160" s="51"/>
      <c r="B160" s="108" t="s">
        <v>6</v>
      </c>
      <c r="C160" s="11">
        <v>0.69440000000000002</v>
      </c>
      <c r="D160" s="11">
        <v>0.64</v>
      </c>
      <c r="E160" s="1" t="s">
        <v>23</v>
      </c>
      <c r="F160" s="9" t="s">
        <v>184</v>
      </c>
      <c r="G160" s="1" t="s">
        <v>19</v>
      </c>
      <c r="H160" s="213"/>
      <c r="I160" s="108" t="s">
        <v>6</v>
      </c>
      <c r="J160" s="11">
        <v>0.99809999999999999</v>
      </c>
      <c r="K160" s="11">
        <v>0.94</v>
      </c>
      <c r="L160" s="1" t="s">
        <v>23</v>
      </c>
      <c r="M160" s="9" t="s">
        <v>99</v>
      </c>
      <c r="N160" s="1" t="s">
        <v>19</v>
      </c>
    </row>
    <row r="161" spans="1:14" ht="30" x14ac:dyDescent="0.2">
      <c r="A161" s="51"/>
      <c r="B161" s="110" t="s">
        <v>230</v>
      </c>
      <c r="C161" s="69">
        <v>2E-3</v>
      </c>
      <c r="D161" s="142" t="s">
        <v>189</v>
      </c>
      <c r="E161" s="143" t="s">
        <v>189</v>
      </c>
      <c r="F161" s="144" t="s">
        <v>189</v>
      </c>
      <c r="G161" s="179" t="s">
        <v>189</v>
      </c>
      <c r="H161" s="213"/>
      <c r="I161" s="110" t="s">
        <v>230</v>
      </c>
      <c r="J161" s="69">
        <v>2E-3</v>
      </c>
      <c r="K161" s="142" t="s">
        <v>189</v>
      </c>
      <c r="L161" s="144" t="s">
        <v>189</v>
      </c>
      <c r="M161" s="144" t="s">
        <v>189</v>
      </c>
      <c r="N161" s="179" t="s">
        <v>189</v>
      </c>
    </row>
    <row r="162" spans="1:14" ht="21" customHeight="1" x14ac:dyDescent="0.2">
      <c r="A162" s="73"/>
      <c r="B162" s="75"/>
      <c r="C162" s="76"/>
      <c r="D162" s="77"/>
      <c r="E162" s="76"/>
      <c r="F162" s="76"/>
      <c r="G162" s="181"/>
      <c r="H162" s="207"/>
      <c r="I162" s="79"/>
      <c r="J162" s="80"/>
      <c r="K162" s="81"/>
      <c r="L162" s="80"/>
      <c r="M162" s="80"/>
      <c r="N162" s="182"/>
    </row>
    <row r="163" spans="1:14" ht="51.75" customHeight="1" x14ac:dyDescent="0.25">
      <c r="A163" s="82" t="s">
        <v>166</v>
      </c>
      <c r="B163" s="34" t="s">
        <v>167</v>
      </c>
      <c r="C163" s="35"/>
      <c r="D163" s="36"/>
      <c r="E163" s="84"/>
      <c r="F163" s="35"/>
      <c r="G163" s="178"/>
      <c r="H163" s="215" t="s">
        <v>166</v>
      </c>
      <c r="I163" s="34" t="s">
        <v>169</v>
      </c>
      <c r="J163" s="35"/>
      <c r="K163" s="36"/>
      <c r="L163" s="37"/>
      <c r="M163" s="41"/>
      <c r="N163" s="178"/>
    </row>
    <row r="164" spans="1:14" ht="40.35" customHeight="1" x14ac:dyDescent="0.2">
      <c r="A164" s="83"/>
      <c r="B164" s="123" t="s">
        <v>0</v>
      </c>
      <c r="C164" s="124" t="s">
        <v>225</v>
      </c>
      <c r="D164" s="124" t="s">
        <v>200</v>
      </c>
      <c r="E164" s="125" t="s">
        <v>30</v>
      </c>
      <c r="F164" s="125" t="s">
        <v>20</v>
      </c>
      <c r="G164" s="126" t="s">
        <v>35</v>
      </c>
      <c r="H164" s="216"/>
      <c r="I164" s="123" t="s">
        <v>0</v>
      </c>
      <c r="J164" s="124" t="s">
        <v>225</v>
      </c>
      <c r="K164" s="124" t="s">
        <v>200</v>
      </c>
      <c r="L164" s="125" t="s">
        <v>30</v>
      </c>
      <c r="M164" s="125" t="s">
        <v>20</v>
      </c>
      <c r="N164" s="126" t="s">
        <v>35</v>
      </c>
    </row>
    <row r="165" spans="1:14" ht="15.75" x14ac:dyDescent="0.2">
      <c r="A165" s="83"/>
      <c r="B165" s="108" t="s">
        <v>171</v>
      </c>
      <c r="C165" s="66">
        <v>0.67090000000000005</v>
      </c>
      <c r="D165" s="5">
        <v>0.85</v>
      </c>
      <c r="E165" s="151" t="s">
        <v>189</v>
      </c>
      <c r="F165" s="152" t="s">
        <v>189</v>
      </c>
      <c r="G165" s="157" t="s">
        <v>189</v>
      </c>
      <c r="H165" s="216"/>
      <c r="I165" s="162" t="s">
        <v>189</v>
      </c>
      <c r="J165" s="163" t="s">
        <v>189</v>
      </c>
      <c r="K165" s="163" t="s">
        <v>189</v>
      </c>
      <c r="L165" s="152" t="s">
        <v>189</v>
      </c>
      <c r="M165" s="152" t="s">
        <v>189</v>
      </c>
      <c r="N165" s="157" t="s">
        <v>189</v>
      </c>
    </row>
    <row r="166" spans="1:14" ht="42" customHeight="1" x14ac:dyDescent="0.2">
      <c r="A166" s="83"/>
      <c r="B166" s="108" t="s">
        <v>140</v>
      </c>
      <c r="C166" s="66">
        <v>8.0799999999999997E-2</v>
      </c>
      <c r="D166" s="235">
        <v>0.16</v>
      </c>
      <c r="E166" s="6" t="s">
        <v>4</v>
      </c>
      <c r="F166" s="234" t="s">
        <v>135</v>
      </c>
      <c r="G166" s="228" t="s">
        <v>223</v>
      </c>
      <c r="H166" s="216"/>
      <c r="I166" s="108" t="s">
        <v>233</v>
      </c>
      <c r="J166" s="66">
        <v>0.18729999999999999</v>
      </c>
      <c r="K166" s="5">
        <v>0.2</v>
      </c>
      <c r="L166" s="6" t="s">
        <v>4</v>
      </c>
      <c r="M166" s="7" t="s">
        <v>64</v>
      </c>
      <c r="N166" s="228" t="s">
        <v>223</v>
      </c>
    </row>
    <row r="167" spans="1:14" ht="21.75" customHeight="1" x14ac:dyDescent="0.2">
      <c r="A167" s="83"/>
      <c r="B167" s="108" t="s">
        <v>2</v>
      </c>
      <c r="C167" s="67">
        <v>6.1199999999999997E-2</v>
      </c>
      <c r="D167" s="3">
        <v>0.05</v>
      </c>
      <c r="E167" s="1" t="s">
        <v>3</v>
      </c>
      <c r="F167" s="4" t="s">
        <v>51</v>
      </c>
      <c r="G167" s="118" t="s">
        <v>14</v>
      </c>
      <c r="H167" s="216"/>
      <c r="I167" s="108" t="s">
        <v>2</v>
      </c>
      <c r="J167" s="67">
        <v>0.44080000000000003</v>
      </c>
      <c r="K167" s="3">
        <v>0.45</v>
      </c>
      <c r="L167" s="1" t="s">
        <v>3</v>
      </c>
      <c r="M167" s="4" t="s">
        <v>176</v>
      </c>
      <c r="N167" s="118" t="s">
        <v>14</v>
      </c>
    </row>
    <row r="168" spans="1:14" ht="28.5" x14ac:dyDescent="0.2">
      <c r="A168" s="83"/>
      <c r="B168" s="109" t="s">
        <v>139</v>
      </c>
      <c r="C168" s="67">
        <v>6.0999999999999999E-2</v>
      </c>
      <c r="D168" s="3">
        <v>0.06</v>
      </c>
      <c r="E168" s="1" t="s">
        <v>4</v>
      </c>
      <c r="F168" s="4" t="s">
        <v>58</v>
      </c>
      <c r="G168" s="118" t="s">
        <v>185</v>
      </c>
      <c r="H168" s="216"/>
      <c r="I168" s="108" t="s">
        <v>139</v>
      </c>
      <c r="J168" s="67">
        <v>0.26440000000000002</v>
      </c>
      <c r="K168" s="3">
        <v>0.3</v>
      </c>
      <c r="L168" s="1" t="s">
        <v>4</v>
      </c>
      <c r="M168" s="4" t="s">
        <v>61</v>
      </c>
      <c r="N168" s="118" t="s">
        <v>15</v>
      </c>
    </row>
    <row r="169" spans="1:14" ht="32.25" customHeight="1" x14ac:dyDescent="0.2">
      <c r="A169" s="83"/>
      <c r="B169" s="108" t="s">
        <v>172</v>
      </c>
      <c r="C169" s="67">
        <v>0</v>
      </c>
      <c r="D169" s="3">
        <v>0.05</v>
      </c>
      <c r="E169" s="8" t="s">
        <v>3</v>
      </c>
      <c r="F169" s="9" t="s">
        <v>51</v>
      </c>
      <c r="G169" s="140" t="s">
        <v>189</v>
      </c>
      <c r="H169" s="216"/>
      <c r="I169" s="108" t="s">
        <v>172</v>
      </c>
      <c r="J169" s="67">
        <v>0</v>
      </c>
      <c r="K169" s="3">
        <v>0.05</v>
      </c>
      <c r="L169" s="8" t="s">
        <v>3</v>
      </c>
      <c r="M169" s="9" t="s">
        <v>51</v>
      </c>
      <c r="N169" s="140" t="s">
        <v>189</v>
      </c>
    </row>
    <row r="170" spans="1:14" x14ac:dyDescent="0.2">
      <c r="A170" s="83"/>
      <c r="B170" s="108" t="s">
        <v>10</v>
      </c>
      <c r="C170" s="67">
        <v>6.8999999999999999E-3</v>
      </c>
      <c r="D170" s="3">
        <v>0.05</v>
      </c>
      <c r="E170" s="8" t="s">
        <v>3</v>
      </c>
      <c r="F170" s="9" t="s">
        <v>51</v>
      </c>
      <c r="G170" s="140" t="s">
        <v>189</v>
      </c>
      <c r="H170" s="216"/>
      <c r="I170" s="108" t="s">
        <v>10</v>
      </c>
      <c r="J170" s="67">
        <v>2.0999999999999999E-3</v>
      </c>
      <c r="K170" s="3">
        <v>0.05</v>
      </c>
      <c r="L170" s="8" t="s">
        <v>3</v>
      </c>
      <c r="M170" s="9" t="s">
        <v>51</v>
      </c>
      <c r="N170" s="140" t="s">
        <v>189</v>
      </c>
    </row>
    <row r="171" spans="1:14" x14ac:dyDescent="0.2">
      <c r="A171" s="83"/>
      <c r="B171" s="108" t="s">
        <v>12</v>
      </c>
      <c r="C171" s="67">
        <v>0.11650000000000001</v>
      </c>
      <c r="D171" s="3">
        <v>0.15</v>
      </c>
      <c r="E171" s="8" t="s">
        <v>3</v>
      </c>
      <c r="F171" s="9" t="s">
        <v>52</v>
      </c>
      <c r="G171" s="140" t="s">
        <v>189</v>
      </c>
      <c r="H171" s="216"/>
      <c r="I171" s="108" t="s">
        <v>12</v>
      </c>
      <c r="J171" s="67">
        <v>0.1646</v>
      </c>
      <c r="K171" s="3">
        <v>0.15</v>
      </c>
      <c r="L171" s="8" t="s">
        <v>3</v>
      </c>
      <c r="M171" s="9" t="s">
        <v>52</v>
      </c>
      <c r="N171" s="140" t="s">
        <v>189</v>
      </c>
    </row>
    <row r="172" spans="1:14" x14ac:dyDescent="0.2">
      <c r="A172" s="83"/>
      <c r="B172" s="108" t="s">
        <v>173</v>
      </c>
      <c r="C172" s="67">
        <v>0</v>
      </c>
      <c r="D172" s="3">
        <v>0.05</v>
      </c>
      <c r="E172" s="8" t="s">
        <v>3</v>
      </c>
      <c r="F172" s="9" t="s">
        <v>51</v>
      </c>
      <c r="G172" s="140" t="s">
        <v>189</v>
      </c>
      <c r="H172" s="216"/>
      <c r="I172" s="108" t="s">
        <v>173</v>
      </c>
      <c r="J172" s="67">
        <v>0</v>
      </c>
      <c r="K172" s="3">
        <v>0.05</v>
      </c>
      <c r="L172" s="8" t="s">
        <v>3</v>
      </c>
      <c r="M172" s="9" t="s">
        <v>51</v>
      </c>
      <c r="N172" s="140" t="s">
        <v>189</v>
      </c>
    </row>
    <row r="173" spans="1:14" ht="15" x14ac:dyDescent="0.2">
      <c r="A173" s="83"/>
      <c r="B173" s="110" t="s">
        <v>5</v>
      </c>
      <c r="C173" s="103">
        <f>SUBTOTAL(109,C165:C172)</f>
        <v>0.99730000000000019</v>
      </c>
      <c r="D173" s="103">
        <f>SUBTOTAL(109,D165:D172)</f>
        <v>1.4200000000000002</v>
      </c>
      <c r="E173" s="153" t="s">
        <v>189</v>
      </c>
      <c r="F173" s="136" t="s">
        <v>189</v>
      </c>
      <c r="G173" s="120" t="s">
        <v>189</v>
      </c>
      <c r="H173" s="216"/>
      <c r="I173" s="110" t="s">
        <v>5</v>
      </c>
      <c r="J173" s="105">
        <f>SUBTOTAL(109,J165:J172)</f>
        <v>1.0592000000000001</v>
      </c>
      <c r="K173" s="105">
        <f>SUBTOTAL(109,K165:K172)</f>
        <v>1.25</v>
      </c>
      <c r="L173" s="153" t="s">
        <v>189</v>
      </c>
      <c r="M173" s="136" t="s">
        <v>189</v>
      </c>
      <c r="N173" s="120" t="s">
        <v>189</v>
      </c>
    </row>
    <row r="174" spans="1:14" x14ac:dyDescent="0.2">
      <c r="A174" s="83"/>
      <c r="B174" s="108" t="s">
        <v>6</v>
      </c>
      <c r="C174" s="67">
        <v>2.1899999999999999E-2</v>
      </c>
      <c r="D174" s="3">
        <v>0.06</v>
      </c>
      <c r="E174" s="1" t="s">
        <v>23</v>
      </c>
      <c r="F174" s="10" t="s">
        <v>58</v>
      </c>
      <c r="G174" s="119" t="s">
        <v>19</v>
      </c>
      <c r="H174" s="216"/>
      <c r="I174" s="108" t="s">
        <v>6</v>
      </c>
      <c r="J174" s="67">
        <v>0.11219999999999999</v>
      </c>
      <c r="K174" s="3">
        <v>0.16</v>
      </c>
      <c r="L174" s="1" t="s">
        <v>23</v>
      </c>
      <c r="M174" s="10" t="s">
        <v>135</v>
      </c>
      <c r="N174" s="119" t="s">
        <v>19</v>
      </c>
    </row>
    <row r="175" spans="1:14" ht="30" x14ac:dyDescent="0.2">
      <c r="A175" s="83"/>
      <c r="B175" s="229" t="s">
        <v>230</v>
      </c>
      <c r="C175" s="156">
        <v>2E-3</v>
      </c>
      <c r="D175" s="158" t="s">
        <v>189</v>
      </c>
      <c r="E175" s="159" t="s">
        <v>189</v>
      </c>
      <c r="F175" s="160" t="s">
        <v>189</v>
      </c>
      <c r="G175" s="161" t="s">
        <v>189</v>
      </c>
      <c r="H175" s="216"/>
      <c r="I175" s="229" t="s">
        <v>230</v>
      </c>
      <c r="J175" s="156">
        <v>2E-3</v>
      </c>
      <c r="K175" s="158" t="s">
        <v>189</v>
      </c>
      <c r="L175" s="160" t="s">
        <v>189</v>
      </c>
      <c r="M175" s="160" t="s">
        <v>189</v>
      </c>
      <c r="N175" s="161" t="s">
        <v>189</v>
      </c>
    </row>
    <row r="176" spans="1:14" ht="21" customHeight="1" x14ac:dyDescent="0.2">
      <c r="A176" s="73"/>
      <c r="B176" s="169" t="s">
        <v>189</v>
      </c>
      <c r="C176" s="170" t="s">
        <v>189</v>
      </c>
      <c r="D176" s="170" t="s">
        <v>189</v>
      </c>
      <c r="E176" s="170" t="s">
        <v>189</v>
      </c>
      <c r="F176" s="170" t="s">
        <v>189</v>
      </c>
      <c r="G176" s="180" t="s">
        <v>189</v>
      </c>
      <c r="H176" s="207"/>
      <c r="I176" s="79"/>
      <c r="J176" s="80"/>
      <c r="K176" s="81"/>
      <c r="L176" s="80"/>
      <c r="M176" s="80"/>
      <c r="N176" s="182"/>
    </row>
    <row r="177" spans="1:14" ht="51.75" customHeight="1" x14ac:dyDescent="0.25">
      <c r="A177" s="82" t="s">
        <v>166</v>
      </c>
      <c r="B177" s="34" t="s">
        <v>168</v>
      </c>
      <c r="C177" s="35"/>
      <c r="D177" s="36"/>
      <c r="E177" s="84"/>
      <c r="F177" s="35"/>
      <c r="G177" s="178"/>
      <c r="H177" s="215" t="s">
        <v>166</v>
      </c>
      <c r="I177" s="34" t="s">
        <v>170</v>
      </c>
      <c r="J177" s="35"/>
      <c r="K177" s="36"/>
      <c r="L177" s="37"/>
      <c r="M177" s="35"/>
      <c r="N177" s="178"/>
    </row>
    <row r="178" spans="1:14" ht="40.35" customHeight="1" x14ac:dyDescent="0.2">
      <c r="A178" s="83"/>
      <c r="B178" s="123" t="s">
        <v>0</v>
      </c>
      <c r="C178" s="124" t="s">
        <v>225</v>
      </c>
      <c r="D178" s="124" t="s">
        <v>200</v>
      </c>
      <c r="E178" s="125" t="s">
        <v>30</v>
      </c>
      <c r="F178" s="125" t="s">
        <v>20</v>
      </c>
      <c r="G178" s="125" t="s">
        <v>35</v>
      </c>
      <c r="H178" s="216"/>
      <c r="I178" s="125" t="s">
        <v>0</v>
      </c>
      <c r="J178" s="124" t="s">
        <v>225</v>
      </c>
      <c r="K178" s="124" t="s">
        <v>200</v>
      </c>
      <c r="L178" s="125" t="s">
        <v>30</v>
      </c>
      <c r="M178" s="125" t="s">
        <v>20</v>
      </c>
      <c r="N178" s="125" t="s">
        <v>35</v>
      </c>
    </row>
    <row r="179" spans="1:14" ht="15.75" x14ac:dyDescent="0.2">
      <c r="A179" s="83"/>
      <c r="B179" s="108" t="s">
        <v>171</v>
      </c>
      <c r="C179" s="5">
        <v>0.4904</v>
      </c>
      <c r="D179" s="5">
        <v>0.85</v>
      </c>
      <c r="E179" s="151" t="s">
        <v>189</v>
      </c>
      <c r="F179" s="152" t="s">
        <v>189</v>
      </c>
      <c r="G179" s="152" t="s">
        <v>189</v>
      </c>
      <c r="H179" s="216"/>
      <c r="I179" s="164" t="s">
        <v>189</v>
      </c>
      <c r="J179" s="163" t="s">
        <v>189</v>
      </c>
      <c r="K179" s="163" t="s">
        <v>189</v>
      </c>
      <c r="L179" s="152" t="s">
        <v>189</v>
      </c>
      <c r="M179" s="152" t="s">
        <v>189</v>
      </c>
      <c r="N179" s="152" t="s">
        <v>189</v>
      </c>
    </row>
    <row r="180" spans="1:14" ht="33.75" customHeight="1" x14ac:dyDescent="0.2">
      <c r="A180" s="83"/>
      <c r="B180" s="108" t="s">
        <v>140</v>
      </c>
      <c r="C180" s="5">
        <v>0.1099</v>
      </c>
      <c r="D180" s="235">
        <v>0.16</v>
      </c>
      <c r="E180" s="6" t="s">
        <v>4</v>
      </c>
      <c r="F180" s="234" t="s">
        <v>135</v>
      </c>
      <c r="G180" s="6" t="s">
        <v>223</v>
      </c>
      <c r="H180" s="216"/>
      <c r="I180" s="2" t="s">
        <v>233</v>
      </c>
      <c r="J180" s="5">
        <v>0.1507</v>
      </c>
      <c r="K180" s="5">
        <v>0.2</v>
      </c>
      <c r="L180" s="6" t="s">
        <v>4</v>
      </c>
      <c r="M180" s="7" t="s">
        <v>64</v>
      </c>
      <c r="N180" s="6" t="s">
        <v>223</v>
      </c>
    </row>
    <row r="181" spans="1:14" x14ac:dyDescent="0.2">
      <c r="A181" s="83"/>
      <c r="B181" s="108" t="s">
        <v>2</v>
      </c>
      <c r="C181" s="3">
        <v>5.9700000000000003E-2</v>
      </c>
      <c r="D181" s="3">
        <v>0.05</v>
      </c>
      <c r="E181" s="1" t="s">
        <v>3</v>
      </c>
      <c r="F181" s="4" t="s">
        <v>51</v>
      </c>
      <c r="G181" s="1" t="s">
        <v>14</v>
      </c>
      <c r="H181" s="216"/>
      <c r="I181" s="2" t="s">
        <v>2</v>
      </c>
      <c r="J181" s="3">
        <v>0.45140000000000002</v>
      </c>
      <c r="K181" s="3">
        <v>0.45</v>
      </c>
      <c r="L181" s="1" t="s">
        <v>3</v>
      </c>
      <c r="M181" s="4" t="s">
        <v>176</v>
      </c>
      <c r="N181" s="1" t="s">
        <v>14</v>
      </c>
    </row>
    <row r="182" spans="1:14" ht="28.5" x14ac:dyDescent="0.2">
      <c r="A182" s="83"/>
      <c r="B182" s="109" t="s">
        <v>139</v>
      </c>
      <c r="C182" s="3">
        <v>7.1099999999999997E-2</v>
      </c>
      <c r="D182" s="3">
        <v>0.06</v>
      </c>
      <c r="E182" s="1" t="s">
        <v>4</v>
      </c>
      <c r="F182" s="4" t="s">
        <v>58</v>
      </c>
      <c r="G182" s="1" t="s">
        <v>185</v>
      </c>
      <c r="H182" s="216"/>
      <c r="I182" s="2" t="s">
        <v>139</v>
      </c>
      <c r="J182" s="3">
        <v>0.2954</v>
      </c>
      <c r="K182" s="3">
        <v>0.3</v>
      </c>
      <c r="L182" s="1" t="s">
        <v>4</v>
      </c>
      <c r="M182" s="4" t="s">
        <v>61</v>
      </c>
      <c r="N182" s="1" t="s">
        <v>185</v>
      </c>
    </row>
    <row r="183" spans="1:14" x14ac:dyDescent="0.2">
      <c r="A183" s="83"/>
      <c r="B183" s="108" t="s">
        <v>12</v>
      </c>
      <c r="C183" s="3">
        <v>0.26889999999999997</v>
      </c>
      <c r="D183" s="3">
        <v>0.15</v>
      </c>
      <c r="E183" s="1" t="s">
        <v>3</v>
      </c>
      <c r="F183" s="9" t="s">
        <v>52</v>
      </c>
      <c r="G183" s="136" t="s">
        <v>189</v>
      </c>
      <c r="H183" s="216"/>
      <c r="I183" s="2" t="s">
        <v>12</v>
      </c>
      <c r="J183" s="3">
        <v>0.10249999999999999</v>
      </c>
      <c r="K183" s="3">
        <v>0.15</v>
      </c>
      <c r="L183" s="1" t="s">
        <v>3</v>
      </c>
      <c r="M183" s="9" t="s">
        <v>52</v>
      </c>
      <c r="N183" s="136" t="s">
        <v>189</v>
      </c>
    </row>
    <row r="184" spans="1:14" ht="15" x14ac:dyDescent="0.2">
      <c r="A184" s="83"/>
      <c r="B184" s="110" t="s">
        <v>5</v>
      </c>
      <c r="C184" s="29">
        <f>SUBTOTAL(109,C179:C183)</f>
        <v>1</v>
      </c>
      <c r="D184" s="29">
        <f>SUBTOTAL(109,D179:D183)</f>
        <v>1.27</v>
      </c>
      <c r="E184" s="121" t="s">
        <v>189</v>
      </c>
      <c r="F184" s="122" t="s">
        <v>189</v>
      </c>
      <c r="G184" s="116" t="s">
        <v>189</v>
      </c>
      <c r="H184" s="216"/>
      <c r="I184" s="28" t="s">
        <v>5</v>
      </c>
      <c r="J184" s="29">
        <f>SUBTOTAL(109,J179:J183)</f>
        <v>1</v>
      </c>
      <c r="K184" s="29">
        <f>SUBTOTAL(109,K179:K183)</f>
        <v>1.0999999999999999</v>
      </c>
      <c r="L184" s="122" t="s">
        <v>189</v>
      </c>
      <c r="M184" s="122" t="s">
        <v>189</v>
      </c>
      <c r="N184" s="116" t="s">
        <v>189</v>
      </c>
    </row>
    <row r="185" spans="1:14" x14ac:dyDescent="0.2">
      <c r="A185" s="83"/>
      <c r="B185" s="108" t="s">
        <v>6</v>
      </c>
      <c r="C185" s="11">
        <v>6.6699999999999995E-2</v>
      </c>
      <c r="D185" s="11">
        <v>0.06</v>
      </c>
      <c r="E185" s="1" t="s">
        <v>4</v>
      </c>
      <c r="F185" s="9" t="s">
        <v>58</v>
      </c>
      <c r="G185" s="1" t="s">
        <v>19</v>
      </c>
      <c r="H185" s="216"/>
      <c r="I185" s="2" t="s">
        <v>6</v>
      </c>
      <c r="J185" s="3">
        <v>0</v>
      </c>
      <c r="K185" s="11">
        <v>0.16</v>
      </c>
      <c r="L185" s="1" t="s">
        <v>4</v>
      </c>
      <c r="M185" s="9" t="s">
        <v>135</v>
      </c>
      <c r="N185" s="1" t="s">
        <v>19</v>
      </c>
    </row>
    <row r="186" spans="1:14" ht="30" x14ac:dyDescent="0.2">
      <c r="A186" s="83"/>
      <c r="B186" s="110" t="s">
        <v>230</v>
      </c>
      <c r="C186" s="69">
        <v>2E-3</v>
      </c>
      <c r="D186" s="115" t="s">
        <v>189</v>
      </c>
      <c r="E186" s="135" t="s">
        <v>189</v>
      </c>
      <c r="F186" s="135" t="s">
        <v>189</v>
      </c>
      <c r="G186" s="179" t="s">
        <v>189</v>
      </c>
      <c r="H186" s="216"/>
      <c r="I186" s="110" t="s">
        <v>230</v>
      </c>
      <c r="J186" s="69">
        <v>2E-3</v>
      </c>
      <c r="K186" s="115" t="s">
        <v>189</v>
      </c>
      <c r="L186" s="135" t="s">
        <v>189</v>
      </c>
      <c r="M186" s="135" t="s">
        <v>189</v>
      </c>
      <c r="N186" s="179" t="s">
        <v>189</v>
      </c>
    </row>
    <row r="187" spans="1:14" ht="21" customHeight="1" x14ac:dyDescent="0.2">
      <c r="A187" s="74" t="s">
        <v>8</v>
      </c>
      <c r="B187" s="75"/>
      <c r="C187" s="76"/>
      <c r="D187" s="77"/>
      <c r="E187" s="76"/>
      <c r="F187" s="76"/>
      <c r="G187" s="181"/>
      <c r="H187" s="217" t="s">
        <v>8</v>
      </c>
      <c r="I187" s="171" t="s">
        <v>189</v>
      </c>
      <c r="J187" s="172" t="s">
        <v>189</v>
      </c>
      <c r="K187" s="172" t="s">
        <v>189</v>
      </c>
      <c r="L187" s="172" t="s">
        <v>189</v>
      </c>
      <c r="M187" s="172" t="s">
        <v>189</v>
      </c>
      <c r="N187" s="183" t="s">
        <v>189</v>
      </c>
    </row>
    <row r="188" spans="1:14" s="99" customFormat="1" ht="18.75" customHeight="1" x14ac:dyDescent="0.2">
      <c r="A188" s="61" t="s">
        <v>137</v>
      </c>
      <c r="B188" s="62"/>
      <c r="C188" s="197"/>
      <c r="D188" s="197"/>
      <c r="E188" s="218"/>
      <c r="F188" s="197"/>
      <c r="G188" s="219"/>
      <c r="H188" s="220" t="s">
        <v>137</v>
      </c>
      <c r="I188" s="221"/>
      <c r="J188" s="197"/>
      <c r="K188" s="197"/>
      <c r="L188" s="197"/>
      <c r="M188" s="197"/>
      <c r="N188" s="219"/>
    </row>
    <row r="189" spans="1:14" ht="18.75" customHeight="1" x14ac:dyDescent="0.2">
      <c r="A189" s="59" t="s">
        <v>136</v>
      </c>
      <c r="B189" s="63"/>
      <c r="C189" s="198"/>
      <c r="D189" s="198"/>
      <c r="E189" s="222"/>
      <c r="F189" s="198"/>
      <c r="G189" s="219"/>
      <c r="H189" s="223" t="s">
        <v>136</v>
      </c>
      <c r="I189" s="224"/>
      <c r="J189" s="198"/>
      <c r="K189" s="198"/>
      <c r="L189" s="198"/>
      <c r="M189" s="198"/>
      <c r="N189" s="219"/>
    </row>
    <row r="190" spans="1:14" ht="18" customHeight="1" x14ac:dyDescent="0.2">
      <c r="A190" s="78"/>
      <c r="B190" s="75"/>
      <c r="C190" s="76"/>
      <c r="D190" s="77"/>
      <c r="E190" s="76"/>
      <c r="F190" s="76"/>
      <c r="G190" s="181"/>
      <c r="H190" s="79"/>
      <c r="I190" s="79"/>
      <c r="J190" s="80"/>
      <c r="K190" s="81"/>
      <c r="L190" s="80"/>
      <c r="M190" s="80"/>
      <c r="N190" s="182"/>
    </row>
    <row r="10000" spans="15:52" x14ac:dyDescent="0.2">
      <c r="O10000" s="98">
        <v>87</v>
      </c>
      <c r="P10000" s="98">
        <v>31</v>
      </c>
      <c r="Q10000" s="98">
        <v>30</v>
      </c>
      <c r="R10000" s="98">
        <v>31</v>
      </c>
      <c r="S10000" s="98">
        <v>38</v>
      </c>
      <c r="AZ10000" s="98">
        <v>33</v>
      </c>
    </row>
  </sheetData>
  <mergeCells count="2">
    <mergeCell ref="A1:E1"/>
    <mergeCell ref="H1:K1"/>
  </mergeCells>
  <hyperlinks>
    <hyperlink ref="A189" r:id="rId1" display="https://www.moreinvest.co.il/media/5jfhbei0/res_%D7%9E%D7%93%D7%99%D7%A0%D7%99%D7%95%D7%AA-%D7%94%D7%A9%D7%AA%D7%AA%D7%A4%D7%95%D7%AA-%D7%91%D7%90%D7%A1%D7%99%D7%A4%D7%95%D7%AA-%D7%9B%D7%9C%D7%9C%D7%99%D7%95%D7%AA-15-8-2023-1.pdf" xr:uid="{815D6726-D699-4A22-BD7F-E0BF01DDE68D}"/>
    <hyperlink ref="H189" r:id="rId2" display="https://www.moreinvest.co.il/media/5jfhbei0/res_%D7%9E%D7%93%D7%99%D7%A0%D7%99%D7%95%D7%AA-%D7%94%D7%A9%D7%AA%D7%AA%D7%A4%D7%95%D7%AA-%D7%91%D7%90%D7%A1%D7%99%D7%A4%D7%95%D7%AA-%D7%9B%D7%9C%D7%9C%D7%99%D7%95%D7%AA-15-8-2023-1.pdf" xr:uid="{E98BE257-74C7-4631-A1B6-08E2411DB445}"/>
  </hyperlinks>
  <pageMargins left="0.7" right="0.7" top="0.75" bottom="0.75" header="0.3" footer="0.3"/>
  <pageSetup paperSize="9" scale="15" orientation="portrait" r:id="rId3"/>
  <drawing r:id="rId4"/>
  <tableParts count="30"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גמל- מדיניות מוצהרת </vt:lpstr>
      <vt:lpstr>פנסיה - מדיניות מוצהרת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7_17_0_2024_12</dc:title>
  <dc:creator>Adi Cohen</dc:creator>
  <cp:lastModifiedBy>Avishai Fridson</cp:lastModifiedBy>
  <cp:lastPrinted>2025-12-02T12:20:37Z</cp:lastPrinted>
  <dcterms:created xsi:type="dcterms:W3CDTF">2019-11-21T10:57:46Z</dcterms:created>
  <dcterms:modified xsi:type="dcterms:W3CDTF">2026-04-20T07:48:21Z</dcterms:modified>
  <dc:language>עברית</dc:language>
</cp:coreProperties>
</file>