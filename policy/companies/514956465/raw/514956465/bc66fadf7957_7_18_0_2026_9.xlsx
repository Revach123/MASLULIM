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drawings/drawing2.xml" ContentType="application/vnd.openxmlformats-officedocument.drawing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avishaif\Downloads\"/>
    </mc:Choice>
  </mc:AlternateContent>
  <xr:revisionPtr revIDLastSave="0" documentId="13_ncr:1_{C47DD0F3-AD0A-4D2C-8D8B-8AA7BEE675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9" i="21" l="1"/>
  <c r="D199" i="21"/>
  <c r="D148" i="22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<sst xmlns="http://schemas.openxmlformats.org/spreadsheetml/2006/main" count="3101" uniqueCount="262">
  <si>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</si>
  <si>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</si>
  <si>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</si>
  <si>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</si>
  <si>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</si>
  <si>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</si>
  <si>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</si>
  <si>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</si>
  <si>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</si>
  <si>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</si>
  <si>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</si>
  <si>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</si>
  <si>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</si>
  <si>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</si>
  <si>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</si>
  <si>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</si>
  <si>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</si>
  <si>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</si>
  <si>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</si>
  <si>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</si>
  <si>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</si>
  <si>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</si>
  <si>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</si>
  <si>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</si>
  <si>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</si>
  <si>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</si>
  <si>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</si>
  <si>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</si>
  <si>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</si>
  <si>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</si>
  <si>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</si>
  <si>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</si>
  <si>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</si>
  <si>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</si>
  <si>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</si>
  <si>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</si>
  <si>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</si>
  <si>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</si>
  <si>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</si>
  <si>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</si>
  <si>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</si>
  <si>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</si>
  <si>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</si>
  <si>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</si>
  <si>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</si>
  <si>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</si>
  <si>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</si>
  <si>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</si>
  <si>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</si>
  <si>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</si>
  <si>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</si>
  <si>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</si>
  <si>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</si>
  <si>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</si>
  <si>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</si>
  <si>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</si>
  <si>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</si>
  <si>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</si>
  <si>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</si>
  <si>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</si>
  <si>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</si>
  <si>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</si>
  <si>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</si>
  <si>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</si>
  <si>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</si>
  <si>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</si>
  <si>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</si>
  <si>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</si>
  <si>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</si>
  <si>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</si>
  <si>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</si>
  <si>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</si>
  <si>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</si>
  <si>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</si>
  <si>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</si>
  <si>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</si>
  <si>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</si>
  <si>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</si>
  <si>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</si>
  <si>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</si>
  <si>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</si>
  <si>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</si>
  <si>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</si>
  <si>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</si>
  <si>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</si>
  <si>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</si>
  <si>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</si>
  <si>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</si>
  <si>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</si>
  <si>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</si>
  <si>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</si>
  <si>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</si>
  <si>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</si>
  <si>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</si>
  <si>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</si>
  <si>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</si>
  <si>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</si>
  <si>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</si>
  <si>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</si>
  <si>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</si>
  <si>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</si>
  <si>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</si>
  <si>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</si>
  <si>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</si>
  <si>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</si>
  <si>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</si>
  <si>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</si>
  <si>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</si>
  <si>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</si>
  <si>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</si>
  <si>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</si>
  <si>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</si>
  <si>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</si>
  <si>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</si>
  <si>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</si>
  <si>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</si>
  <si>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</si>
  <si>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</si>
  <si>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</si>
  <si>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</si>
  <si>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</si>
  <si>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</si>
  <si>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</si>
  <si>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</si>
  <si>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</si>
  <si>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</si>
  <si>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</si>
  <si>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</si>
  <si>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</si>
  <si>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</si>
  <si>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</si>
  <si>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</si>
  <si>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</si>
  <si>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</si>
  <si>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</si>
  <si>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</si>
  <si>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</si>
  <si>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</si>
  <si>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</si>
  <si>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</si>
  <si>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</si>
  <si>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</si>
  <si>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</si>
  <si>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</si>
  <si>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</si>
  <si>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</si>
  <si>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</si>
  <si>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</si>
  <si>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</si>
  <si>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</si>
  <si>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</si>
  <si>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</si>
  <si>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</si>
  <si>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</si>
  <si>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</si>
  <si>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</si>
  <si>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</si>
  <si>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</si>
  <si>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</si>
  <si>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</si>
  <si>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</si>
  <si>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</si>
  <si>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</si>
  <si>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</si>
  <si>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</si>
  <si>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</si>
  <si>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</si>
  <si>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</si>
  <si>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</si>
  <si>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</si>
  <si>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</si>
  <si>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</si>
  <si>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</si>
  <si>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</si>
  <si>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</si>
  <si>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</si>
  <si>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</si>
  <si>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</si>
  <si>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</si>
  <si>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</si>
  <si>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</si>
  <si>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</si>
  <si>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</si>
  <si>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</si>
  <si>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</si>
  <si>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</si>
  <si>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</si>
  <si>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</si>
  <si>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</si>
  <si>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</si>
  <si>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</si>
  <si>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</si>
  <si>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</si>
  <si>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</si>
  <si>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</si>
  <si>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</si>
  <si>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</si>
  <si>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</si>
  <si>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</si>
  <si>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</si>
  <si>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</si>
  <si>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</si>
  <si>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</si>
  <si>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</si>
  <si>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</si>
  <si>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</si>
  <si>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</si>
  <si>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</si>
  <si>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</si>
  <si>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</si>
  <si>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</si>
  <si>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</si>
  <si>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</si>
  <si>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</si>
  <si>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</si>
  <si>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</si>
  <si>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</si>
  <si>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</si>
  <si>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</si>
  <si>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</si>
  <si>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</si>
  <si>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</si>
  <si>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</si>
  <si>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</si>
  <si>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</si>
  <si>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</si>
  <si>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</si>
  <si>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</si>
  <si>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</si>
  <si>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</si>
  <si>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</si>
  <si>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</si>
  <si>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</si>
  <si>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</si>
  <si>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</si>
  <si>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</si>
  <si>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</si>
  <si>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</si>
  <si>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</si>
  <si>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</si>
  <si>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</si>
  <si>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</si>
  <si>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</si>
  <si>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</si>
  <si>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</si>
  <si>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</si>
  <si>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</si>
  <si>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</si>
  <si>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</si>
  <si>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</si>
  <si>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</si>
  <si>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</si>
  <si>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</si>
  <si>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</si>
  <si>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</si>
  <si>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</si>
  <si>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</si>
  <si>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</si>
  <si>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12% - 14%</t>
  </si>
  <si>
    <t>מ"ה: 15892 - מור פנסיה מקיפה - הלכה</t>
  </si>
  <si>
    <t>מ"ה: 15893 - מור פנסיה כללית - הלכה</t>
  </si>
  <si>
    <t>מסלולי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</si>
</sst>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70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readingOrder="2"/>
    </xf>
    <xf numFmtId="10" fontId="5" fillId="0" borderId="3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9" xfId="0" applyNumberFormat="1" applyFont="1" applyFill="1" applyBorder="1" applyAlignment="1">
      <alignment horizontal="center" vertical="center" wrapText="1" readingOrder="2"/>
    </xf>
    <xf numFmtId="165" fontId="13" fillId="12" borderId="11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3" xfId="0" applyNumberFormat="1" applyFont="1" applyFill="1" applyBorder="1" applyAlignment="1">
      <alignment horizontal="center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165" fontId="5" fillId="12" borderId="2" xfId="0" applyNumberFormat="1" applyFont="1" applyFill="1" applyBorder="1" applyAlignment="1">
      <alignment horizontal="center" vertical="center" wrapText="1"/>
    </xf>
    <xf numFmtId="165" fontId="13" fillId="2" borderId="2" xfId="0" applyNumberFormat="1" applyFont="1" applyFill="1" applyBorder="1" applyAlignment="1">
      <alignment horizontal="center" vertical="center" wrapText="1" readingOrder="2"/>
    </xf>
    <xf numFmtId="165" fontId="13" fillId="2" borderId="4" xfId="0" applyNumberFormat="1" applyFont="1" applyFill="1" applyBorder="1" applyAlignment="1">
      <alignment horizontal="center" vertical="center" wrapText="1" readingOrder="2"/>
    </xf>
    <xf numFmtId="10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9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wrapText="1" readingOrder="2"/>
    </xf>
    <xf numFmtId="10" fontId="5" fillId="11" borderId="11" xfId="0" applyNumberFormat="1" applyFont="1" applyFill="1" applyBorder="1" applyAlignment="1">
      <alignment horizontal="center" vertical="center" wrapText="1"/>
    </xf>
    <xf numFmtId="10" fontId="5" fillId="11" borderId="5" xfId="0" applyNumberFormat="1" applyFont="1" applyFill="1" applyBorder="1" applyAlignment="1">
      <alignment horizontal="center" vertical="center" wrapText="1"/>
    </xf>
    <xf numFmtId="10" fontId="7" fillId="11" borderId="2" xfId="1" applyNumberFormat="1" applyFont="1" applyFill="1" applyBorder="1" applyAlignment="1">
      <alignment horizontal="center" vertical="center" wrapText="1"/>
    </xf>
    <xf numFmtId="10" fontId="7" fillId="11" borderId="3" xfId="1" applyNumberFormat="1" applyFont="1" applyFill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1</xdr:row>
      <xdr:rowOff>269669</xdr:rowOff>
    </xdr:from>
    <xdr:to>
      <xdr:col>6</xdr:col>
      <xdr:colOff>1176167</xdr:colOff>
      <xdr:row>1</xdr:row>
      <xdr:rowOff>603044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153FE80-ED62-470A-876A-27C59F076904}" name="RowTitleRegion1.e3.i15.2" displayName="RowTitleRegion1.e3.i15.2" ref="E4:I16" totalsRowShown="0" headerRowDxfId="339" headerRowBorderDxfId="338" tableBorderDxfId="337">
  <autoFilter ref="E4:I16" xr:uid="{6153FE80-ED62-470A-876A-27C59F0769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D60EA3-2EAB-4D76-96D6-EFC7C5AFAD9E}" name="שיעור החשיפה ליום 31/12/2025"/>
    <tableColumn id="2" xr3:uid="{36D4FD7A-8F95-4571-A90D-534076940DF0}" name="שיעור חשיפה צפוי לשנת 2026"/>
    <tableColumn id="3" xr3:uid="{67C1CF05-F249-4E56-AE5A-7E53D556352B}" name="טווח סטיה מותר" dataDxfId="336"/>
    <tableColumn id="4" xr3:uid="{39674B41-069B-46CF-BE6F-7879EE54EF6D}" name="גבולות שיעור החשיפה הצפויה"/>
    <tableColumn id="5" xr3:uid="{F941A19A-F6D8-4E02-9457-041F1236B84D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6AE3BFB-5F04-41EE-A0F0-C1B4EB4D9AE7}" name="RowTitleRegion1.b19.b30.3" displayName="RowTitleRegion1.b19.b30.3" ref="B20:B31" totalsRowShown="0" headerRowDxfId="335" headerRowBorderDxfId="334" tableBorderDxfId="333" totalsRowBorderDxfId="332">
  <autoFilter ref="B20:B31" xr:uid="{26AE3BFB-5F04-41EE-A0F0-C1B4EB4D9AE7}">
    <filterColumn colId="0" hiddenButton="1"/>
  </autoFilter>
  <tableColumns count="1">
    <tableColumn id="1" xr3:uid="{16BB671A-A776-41F5-BC0E-46E3992ABBFB}" name="מניות (קרנות סל, אופציות, קרנות נאמנות)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BBB2401-C0AA-4A36-AF1F-0231F25C48B1}" name="RowTitleRegion1.e18.i31.4" displayName="RowTitleRegion1.e18.i31.4" ref="E19:I32" totalsRowShown="0" headerRowDxfId="331" headerRowBorderDxfId="330" tableBorderDxfId="329">
  <autoFilter ref="E19:I32" xr:uid="{5BBB2401-C0AA-4A36-AF1F-0231F25C48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B053F3-3743-4024-BB94-12935121FCA6}" name="שיעור החשיפה ליום 31/12/2025"/>
    <tableColumn id="2" xr3:uid="{56B33E1A-F3D4-47D7-96BE-7272FF611B42}" name="שיעור חשיפה צפוי לשנת 2026"/>
    <tableColumn id="3" xr3:uid="{E390F45B-2229-4BF5-80D4-6D252EEB6502}" name="טווח סטיה מותר"/>
    <tableColumn id="4" xr3:uid="{C383C207-5B5B-4A89-BD58-B41FD559DEED}" name="גבולות שיעור החשיפה הצפויה"/>
    <tableColumn id="5" xr3:uid="{06D76B1A-C48F-4731-9ECF-E0A611EFA031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EC97DB-4A0E-48F9-81D0-0B5151E701A7}" name="RowTitleRegion1.b33.b45.5" displayName="RowTitleRegion1.b33.b45.5" ref="B34:B46" totalsRowShown="0" headerRowDxfId="328" dataDxfId="326" headerRowBorderDxfId="327" tableBorderDxfId="325" totalsRowBorderDxfId="324">
  <autoFilter ref="B34:B46" xr:uid="{A0EC97DB-4A0E-48F9-81D0-0B5151E701A7}">
    <filterColumn colId="0" hiddenButton="1"/>
  </autoFilter>
  <tableColumns count="1">
    <tableColumn id="1" xr3:uid="{FBFA5972-F7A6-428D-A37D-EBE268A3AC43}" name="אפיק השקעה " dataDxfId="323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8350E38-E694-49AA-8ED2-C49A480A1968}" name="RowTitleRegion1.e33.i45.6" displayName="RowTitleRegion1.e33.i45.6" ref="E34:I46" totalsRowShown="0" headerRowBorderDxfId="322" tableBorderDxfId="321">
  <autoFilter ref="E34:I46" xr:uid="{B8350E38-E694-49AA-8ED2-C49A480A19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F3D7AD-046C-414D-A2F9-D8E59C87AD02}" name="שיעור החשיפה ליום 31/12/2025"/>
    <tableColumn id="2" xr3:uid="{DEC3780F-C9A8-4B09-9B76-3D0F2B51419F}" name="שיעור חשיפה צפוי לשנת 2026"/>
    <tableColumn id="3" xr3:uid="{9DA56A91-E138-4A3F-9BD9-D2D2379BE89C}" name="טווח סטיה מותר"/>
    <tableColumn id="4" xr3:uid="{25FB5856-511D-4D48-9DAE-73ACD39A7946}" name="גבולות שיעור החשיפה הצפויה"/>
    <tableColumn id="5" xr3:uid="{B495ADF4-1806-477E-B3ED-9014F478CCD0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B460DBB-87A3-49E6-BE2E-7E78494D514E}" name="RowTitleRegion1.b48.b60.7" displayName="RowTitleRegion1.b48.b60.7" ref="B49:B61" totalsRowShown="0" headerRowDxfId="320" dataDxfId="318" headerRowBorderDxfId="319" tableBorderDxfId="317" totalsRowBorderDxfId="316">
  <autoFilter ref="B49:B61" xr:uid="{FB460DBB-87A3-49E6-BE2E-7E78494D514E}">
    <filterColumn colId="0" hiddenButton="1"/>
  </autoFilter>
  <tableColumns count="1">
    <tableColumn id="1" xr3:uid="{40031B6E-912C-41C4-BC14-2C3CAB289D14}" name="אפיק השקעה " dataDxfId="315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682FDF-A8E1-420A-8914-E71D74104139}" name="RowTitleRegion1.e48.i60.8" displayName="RowTitleRegion1.e48.i60.8" ref="E49:I61" totalsRowShown="0" headerRowDxfId="314" headerRowBorderDxfId="313" tableBorderDxfId="312">
  <autoFilter ref="E49:I61" xr:uid="{72682FDF-A8E1-420A-8914-E71D7410413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150B43-BD76-4F2D-810E-2F20D50421B0}" name="שיעור החשיפה ליום 31/12/2025"/>
    <tableColumn id="2" xr3:uid="{80B8E429-427A-42C8-ACD2-F2433DC39A85}" name="שיעור חשיפה צפוי לשנת 2026"/>
    <tableColumn id="3" xr3:uid="{3C4ABE40-15C5-4DA8-8046-C6F258AC8AAF}" name="טווח סטיה מותר" dataDxfId="311"/>
    <tableColumn id="4" xr3:uid="{8A00C7CE-B355-4479-9B7B-CF8359815A86}" name="גבולות שיעור החשיפה הצפויה"/>
    <tableColumn id="5" xr3:uid="{5C1F4E55-1196-4C59-8EA9-3D7A4D6BCABF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EA8EDBA-0754-4552-877E-9E2DBBD6ABAC}" name="RowTitleRegion1.e63.i75.10" displayName="RowTitleRegion1.e63.i75.10" ref="E64:I76" totalsRowShown="0" headerRowDxfId="310" headerRowBorderDxfId="309" tableBorderDxfId="308">
  <autoFilter ref="E64:I76" xr:uid="{6EA8EDBA-0754-4552-877E-9E2DBBD6A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518094-0726-4907-98A8-3E8D9E57907C}" name="שיעור החשיפה ליום 31/12/2025" dataDxfId="307"/>
    <tableColumn id="2" xr3:uid="{7DBF2990-0522-455D-95EA-54DDFC92BFD4}" name="שיעור חשיפה צפוי לשנת 2026" dataDxfId="306"/>
    <tableColumn id="3" xr3:uid="{50D5A944-4C40-49F1-AB0D-837644D3486E}" name="טווח סטיה מותר" dataDxfId="305"/>
    <tableColumn id="4" xr3:uid="{453AE742-53A3-4963-97FB-94346BDD7634}" name="גבולות שיעור החשיפה הצפויה"/>
    <tableColumn id="5" xr3:uid="{65B1CAA8-7354-40CA-9A53-AAC97A38D46A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304" headerRowBorderDxfId="303" tableBorderDxfId="302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301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300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8E5F9A9-C515-4AE1-868F-E279C01DAD1C}" name="TitleRegion1.b97.i108.12" displayName="TitleRegion1.b97.i108.12" ref="B98:I109" totalsRowShown="0" headerRowDxfId="299" headerRowBorderDxfId="298" tableBorderDxfId="297" totalsRowBorderDxfId="296">
  <autoFilter ref="B98:I109" xr:uid="{E8E5F9A9-C515-4AE1-868F-E279C01DA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E7C614-C9E2-4EFE-B0EE-5B9D50A1DD00}" name="אפיק השקעה " dataDxfId="295"/>
    <tableColumn id="2" xr3:uid="{22372424-C3C0-4685-AB6C-0EB93DBFD0C1}" name="תגמולים שיעור החשיפה ליום 31/12/2025 " dataDxfId="294"/>
    <tableColumn id="3" xr3:uid="{3FCB0734-FF7E-4013-9381-881C78232253}" name="השתלמות שיעור החשיפה ליום 31/12/2025" dataDxfId="293"/>
    <tableColumn id="4" xr3:uid="{06F387C4-0C45-4052-8EF1-648EE37D736D}" name=" השקעה שיעור החשיפה ליום 31/12/2025" dataDxfId="292"/>
    <tableColumn id="5" xr3:uid="{56CFDF27-5250-4F70-8D07-8760CFAC110C}" name="שיעור חשיפה צפוי לשנת 2026" dataDxfId="291"/>
    <tableColumn id="6" xr3:uid="{9CF1F659-8924-4440-A490-DCFF81E7537C}" name="טווח סטיה מותר" dataDxfId="290"/>
    <tableColumn id="7" xr3:uid="{1DD03E8B-B589-4531-9AD7-A7C0D4F74C4D}" name="גבולות שיעור החשיפה הצפויה" dataDxfId="289"/>
    <tableColumn id="8" xr3:uid="{AB402CF2-6B37-4575-B7F3-757E44C738C7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BE7CE9-C28F-4D18-9302-A703923F44A4}" name="RowTitleRegion1.b113.b125.13" displayName="RowTitleRegion1.b113.b125.13" ref="B114:B126" totalsRowShown="0" headerRowDxfId="288" headerRowBorderDxfId="287" tableBorderDxfId="286" totalsRowBorderDxfId="285">
  <autoFilter ref="B114:B126" xr:uid="{6EBE7CE9-C28F-4D18-9302-A703923F44A4}">
    <filterColumn colId="0" hiddenButton="1"/>
  </autoFilter>
  <tableColumns count="1">
    <tableColumn id="1" xr3:uid="{BDE2E9DE-181D-4A29-8D70-E1E6D1FF7169}" name="אפיק השקעה 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08D4AE-FBF1-4197-AEBA-E8313D672EB4}" name="TitleRegion1.d113.i125.14" displayName="TitleRegion1.d113.i125.14" ref="D114:I126" totalsRowShown="0" headerRowDxfId="284" headerRowBorderDxfId="283" tableBorderDxfId="282">
  <autoFilter ref="D114:I126" xr:uid="{2708D4AE-FBF1-4197-AEBA-E8313D672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09CFA3-8C33-4D09-934D-17760594BB73}" name="השתלמות שיעור החשיפה ליום 31/12/2025 "/>
    <tableColumn id="2" xr3:uid="{3AE41784-FAEB-4941-B7F8-E2266331AFC4}" name=" השקעה שיעור החשיפה ליום 31/12/2025"/>
    <tableColumn id="3" xr3:uid="{179EB24E-8646-4DF4-AD03-78D93435E062}" name="שיעור חשיפה צפוי לשנת 2026"/>
    <tableColumn id="4" xr3:uid="{F93826E9-C7A9-403B-9757-BCE1F2508FCF}" name="טווח סטיה מותר" dataDxfId="281"/>
    <tableColumn id="5" xr3:uid="{F6B4BFB0-3F86-441E-ADE5-0F5DA0B7F2D5}" name="גבולות שיעור החשיפה הצפויה"/>
    <tableColumn id="6" xr3:uid="{34F19D8C-5EED-4AAC-BB55-FEB59481024C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280" headerRowBorderDxfId="279" tableBorderDxfId="278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277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276" headerRowBorderDxfId="275" tableBorderDxfId="274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273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272" headerRowBorderDxfId="271" tableBorderDxfId="270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269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268" headerRowBorderDxfId="267" tableBorderDxfId="266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265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264" headerRowBorderDxfId="263" tableBorderDxfId="262" totalsRowBorderDxfId="261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260" headerRowBorderDxfId="259" tableBorderDxfId="258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257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256" headerRowBorderDxfId="255" tableBorderDxfId="254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253" headerRowBorderDxfId="252" tableBorderDxfId="251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250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249" headerRowBorderDxfId="248" tableBorderDxfId="247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246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381033C-E4FC-46D8-81C7-ABCA11AA5BAB}" name="RowTitleRegion1.b224.b231.24" displayName="RowTitleRegion1.b224.b231.24" ref="B225:B232" totalsRowShown="0" headerRowDxfId="245" headerRowBorderDxfId="244" tableBorderDxfId="243" totalsRowBorderDxfId="242">
  <autoFilter ref="B225:B232" xr:uid="{1381033C-E4FC-46D8-81C7-ABCA11AA5BAB}">
    <filterColumn colId="0" hiddenButton="1"/>
  </autoFilter>
  <tableColumns count="1">
    <tableColumn id="1" xr3:uid="{AB7E77B7-90ED-4928-B363-DA1FF48C07A2}" name="אפיק השקעה 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6110F02-8F23-4172-ADAF-9F1CE3644055}" name="TitleRegion1.d224.i231.25" displayName="TitleRegion1.d224.i231.25" ref="D225:I232" totalsRowShown="0" headerRowDxfId="241" headerRowBorderDxfId="240" tableBorderDxfId="239">
  <autoFilter ref="D225:I232" xr:uid="{86110F02-8F23-4172-ADAF-9F1CE3644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04A311-00FA-4F80-BBF3-260030316144}" name="השתלמות שיעור החשיפה ליום 31/12/2025"/>
    <tableColumn id="2" xr3:uid="{B7FD8DBE-ABE6-478F-BEF3-CAA0FB476B6A}" name=" השקעה שיעור החשיפה ליום 31/12/2025"/>
    <tableColumn id="3" xr3:uid="{0516F8FB-42D8-49EF-84D5-4153FE388000}" name="שיעור חשיפה צפוי לשנת 2026"/>
    <tableColumn id="4" xr3:uid="{A35B65FE-BE3A-4430-8230-8DE533263777}" name="טווח סטיה מותר" dataDxfId="238"/>
    <tableColumn id="5" xr3:uid="{3B5B774A-B455-4CFB-B8D9-AF55E9909D3B}" name="גבולות שיעור החשיפה הצפויה"/>
    <tableColumn id="6" xr3:uid="{CF6AF459-940D-48DC-A22C-6F1BC0DB0BA1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237" headerRowBorderDxfId="236" tableBorderDxfId="235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234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B8B508D-3472-485A-97DE-3BF688C0BFAA}" name="RowTitleRegion1.b247.b258.27" displayName="RowTitleRegion1.b247.b258.27" ref="B248:B259" totalsRowShown="0" headerRowDxfId="233" headerRowBorderDxfId="232" tableBorderDxfId="231" totalsRowBorderDxfId="230">
  <autoFilter ref="B248:B259" xr:uid="{3B8B508D-3472-485A-97DE-3BF688C0BFAA}">
    <filterColumn colId="0" hiddenButton="1"/>
  </autoFilter>
  <tableColumns count="1">
    <tableColumn id="1" xr3:uid="{7E6CC6F8-0EFD-42E4-A036-40750DF28A4F}" name="מניות (קרנות סל, אופציות, קרנות נאמנות)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5FDFF3E-9E13-47C6-8268-A1E09138D8CC}" name="TitleRegion1.e246.i259.28" displayName="TitleRegion1.e246.i259.28" ref="E247:I260" totalsRowShown="0" headerRowBorderDxfId="229" tableBorderDxfId="228">
  <autoFilter ref="E247:I260" xr:uid="{A5FDFF3E-9E13-47C6-8268-A1E09138D8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3BCFA20-902A-49BB-A2E4-187EDF8D513C}" name="שיעור החשיפה ליום 31/12/2025"/>
    <tableColumn id="2" xr3:uid="{3A738C5D-22AC-4331-B34D-4D45C1CCE96F}" name="שיעור חשיפה צפוי לשנת 2026"/>
    <tableColumn id="3" xr3:uid="{8E4B34A8-F2D2-472E-9B16-245B32C5E0AA}" name="טווח סטיה מותר"/>
    <tableColumn id="4" xr3:uid="{1B5C5A78-4C11-40D0-BAAD-41056463B192}" name="גבולות שיעור החשיפה הצפויה"/>
    <tableColumn id="5" xr3:uid="{1C1F1A92-8895-4DE1-BD24-FCAE7C8B115E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C9E6554-A435-4B18-AC4C-8F346B7A1561}" name="RowTitleRegion1.b261.b273.29" displayName="RowTitleRegion1.b261.b273.29" ref="B262:B274" totalsRowShown="0" headerRowDxfId="227" headerRowBorderDxfId="226" tableBorderDxfId="225" totalsRowBorderDxfId="224">
  <autoFilter ref="B262:B274" xr:uid="{9C9E6554-A435-4B18-AC4C-8F346B7A1561}">
    <filterColumn colId="0" hiddenButton="1"/>
  </autoFilter>
  <tableColumns count="1">
    <tableColumn id="1" xr3:uid="{FE4E8D99-C525-43CE-A016-385939D1B662}" name="אפיק השקעה 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FFB13E-C8BF-471B-851F-2127332ED759}" name="TitleRegion1.e261.i273.30" displayName="TitleRegion1.e261.i273.30" ref="E262:I274" totalsRowShown="0" headerRowBorderDxfId="223" tableBorderDxfId="222">
  <autoFilter ref="E262:I274" xr:uid="{B0FFB13E-C8BF-471B-851F-2127332ED7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47166FA-A940-4CD7-9247-31B5F916FE31}" name="שיעור החשיפה ליום 31/12/2025"/>
    <tableColumn id="2" xr3:uid="{BDDDE238-9419-48A9-BAC1-223DF7F59BFB}" name="שיעור חשיפה צפוי לשנת 2026" dataDxfId="221"/>
    <tableColumn id="3" xr3:uid="{6E52C956-5E2E-4E67-9919-4221E2203D2D}" name="טווח סטיה מותר" dataDxfId="220" dataCellStyle="Percent"/>
    <tableColumn id="4" xr3:uid="{8568B00D-7137-4FAB-934F-F47D36C78D9E}" name="גבולות שיעור החשיפה הצפויה"/>
    <tableColumn id="5" xr3:uid="{69AC8647-6B54-4A61-9FB0-695F2DFC4D28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46056B7-DDEE-45C0-8481-1090415A49E3}" name="RowTitleRegion1.b276.b288.31" displayName="RowTitleRegion1.b276.b288.31" ref="B277:B289" totalsRowShown="0" headerRowDxfId="219" dataDxfId="217" headerRowBorderDxfId="218" tableBorderDxfId="216" totalsRowBorderDxfId="215">
  <autoFilter ref="B277:B289" xr:uid="{646056B7-DDEE-45C0-8481-1090415A49E3}">
    <filterColumn colId="0" hiddenButton="1"/>
  </autoFilter>
  <tableColumns count="1">
    <tableColumn id="1" xr3:uid="{BBD5B2B9-B1E3-4ED7-9058-CB56F9FF85A5}" name="אפיק השקעה " dataDxfId="214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345D719-A9BC-46F3-B17F-C2C67ECAD3EE}" name="TitleRegion1.e276.i288.32" displayName="TitleRegion1.e276.i288.32" ref="E277:I289" totalsRowShown="0" headerRowBorderDxfId="213" tableBorderDxfId="212">
  <autoFilter ref="E277:I289" xr:uid="{B345D719-A9BC-46F3-B17F-C2C67ECAD3E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C690D7-B06B-4712-8E51-BF2F9042209E}" name="שיעור החשיפה ליום 31/12/2025"/>
    <tableColumn id="2" xr3:uid="{F9799666-E675-4929-A77A-6AB70F62BC5D}" name="שיעור חשיפה צפוי לשנת 2026" dataDxfId="211"/>
    <tableColumn id="3" xr3:uid="{6C64841A-F8C2-450A-8F1C-3786D9F9FE42}" name="טווח סטיה מותר" dataDxfId="210" dataCellStyle="Percent"/>
    <tableColumn id="4" xr3:uid="{FD7A56C3-3321-42BC-A474-072DB687C3ED}" name="גבולות שיעור החשיפה הצפויה"/>
    <tableColumn id="5" xr3:uid="{1DE6431F-1B41-4A0F-8D67-1FAE9F14C7B6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E016DB-417B-417B-A08F-6086E9EADCB0}" name="RowTitleRegion1.b291.b298.33" displayName="RowTitleRegion1.b291.b298.33" ref="B292:B299" totalsRowShown="0" headerRowDxfId="209" headerRowBorderDxfId="208" tableBorderDxfId="207" totalsRowBorderDxfId="206">
  <autoFilter ref="B292:B299" xr:uid="{E6E016DB-417B-417B-A08F-6086E9EADCB0}">
    <filterColumn colId="0" hiddenButton="1"/>
  </autoFilter>
  <tableColumns count="1">
    <tableColumn id="1" xr3:uid="{9D358C49-196F-4A6B-81C7-588AAAB60795}" name="אפיק השקעה 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C4C643-A4DC-4870-9BB4-5391D779D547}" name="TitleRegion1.e291.i298.34" displayName="TitleRegion1.e291.i298.34" ref="E292:I299" totalsRowShown="0" headerRowBorderDxfId="205" tableBorderDxfId="204">
  <autoFilter ref="E292:I299" xr:uid="{6BC4C643-A4DC-4870-9BB4-5391D779D54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8AA5DA-6D13-4927-8DE2-208603BF683F}" name="שיעור החשיפה ליום 31/12/2025"/>
    <tableColumn id="2" xr3:uid="{D24E44D1-C2BC-458E-9FC5-FD7E3187F80B}" name="שיעור חשיפה צפוי לשנת 2026"/>
    <tableColumn id="3" xr3:uid="{C4533945-6A1C-4EDE-B596-23EB6915F394}" name="טווח סטיה מותר" dataDxfId="203"/>
    <tableColumn id="4" xr3:uid="{D3C5C19C-A361-4433-958D-FB28D1E4DD25}" name="גבולות שיעור החשיפה הצפויה"/>
    <tableColumn id="5" xr3:uid="{D84DE695-96E0-4039-8188-884849A7E060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1ACC909-E689-4E0A-846A-DBFE0E73B992}" name="RowTitleRegion1.b301.b308.35" displayName="RowTitleRegion1.b301.b308.35" ref="B302:B309" totalsRowShown="0" headerRowDxfId="202" headerRowBorderDxfId="201" tableBorderDxfId="200" totalsRowBorderDxfId="199">
  <autoFilter ref="B302:B309" xr:uid="{F1ACC909-E689-4E0A-846A-DBFE0E73B992}">
    <filterColumn colId="0" hiddenButton="1"/>
  </autoFilter>
  <tableColumns count="1">
    <tableColumn id="1" xr3:uid="{1F37A151-015A-4D0D-9DBB-9291475EDC7C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B373E0-706F-4F7F-83EF-078F2ADEF92A}" name="TitleRegion1.e301.i308.36" displayName="TitleRegion1.e301.i308.36" ref="E302:I309" totalsRowShown="0" headerRowBorderDxfId="198" tableBorderDxfId="197">
  <autoFilter ref="E302:I309" xr:uid="{67B373E0-706F-4F7F-83EF-078F2ADEF9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12888-4621-4B13-9716-A28AF37DBEB1}" name="שיעור החשיפה ליום 31/12/2025"/>
    <tableColumn id="2" xr3:uid="{4C3AFC3F-4759-4A63-9C6F-C8906853ABA0}" name="שיעור חשיפה צפוי לשנת 2026"/>
    <tableColumn id="3" xr3:uid="{0CFB3A6E-22C9-425E-8DE0-969B2E6B98F3}" name="טווח סטיה מותר" dataDxfId="196"/>
    <tableColumn id="4" xr3:uid="{2836836D-16B9-4BAB-A806-BC86B7A22291}" name="גבולות שיעור החשיפה הצפויה"/>
    <tableColumn id="5" xr3:uid="{74FE85E9-28A2-44F2-A5D8-DA424191F2B6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6:E327" totalsRowShown="0" headerRowDxfId="195" dataDxfId="194">
  <autoFilter ref="A326:E327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193" dataCellStyle="היפר-קישור"/>
    <tableColumn id="2" xr3:uid="{CBF90846-E2F6-4A91-AAB5-F031328D3A8E}" name="תא ריק במקור" dataDxfId="192"/>
    <tableColumn id="3" xr3:uid="{BE5D57AB-6227-434B-9DA4-5955FE1F5EC7}" name="תא ריק במקור2" dataDxfId="191"/>
    <tableColumn id="4" xr3:uid="{CF7BE9ED-9360-4DB8-BCE2-E6D115030C78}" name="תא ריק במקור3" dataDxfId="190"/>
    <tableColumn id="5" xr3:uid="{42DFA518-0A4C-4EDC-87B6-9C3D9414F840}" name="תא ריק במקור4" dataDxfId="189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5F1D0-C6A6-436B-9CAA-8F467EAEB749}" name="RowTitleRegion1.b4.b16.1" displayName="RowTitleRegion1.b4.b16.1" ref="B4:B16" totalsRowShown="0" headerRowDxfId="188" dataDxfId="186" headerRowBorderDxfId="187" tableBorderDxfId="185" totalsRowBorderDxfId="184">
  <autoFilter ref="B4:B16" xr:uid="{7D75F1D0-C6A6-436B-9CAA-8F467EAEB749}">
    <filterColumn colId="0" hiddenButton="1"/>
  </autoFilter>
  <tableColumns count="1">
    <tableColumn id="1" xr3:uid="{49D8215D-DEC8-40B9-B47E-DE3DF30E9A7E}" name="אפיק השקעה " dataDxfId="183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DA223-4CC1-48F3-B0A2-AE52FEE4E25F}" name="RowTitleRegion1.b64.b76.2" displayName="RowTitleRegion1.b64.b76.2" ref="B64:B76" totalsRowShown="0" headerRowDxfId="182" dataDxfId="180" headerRowBorderDxfId="181" tableBorderDxfId="179" totalsRowBorderDxfId="178">
  <autoFilter ref="B64:B76" xr:uid="{74DDA223-4CC1-48F3-B0A2-AE52FEE4E25F}">
    <filterColumn colId="0" hiddenButton="1"/>
  </autoFilter>
  <tableColumns count="1">
    <tableColumn id="1" xr3:uid="{E6C6ACA0-32B2-463F-BD7D-ED99797EDBD1}" name="אפיק השקעה " dataDxfId="177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4E5178-CBFB-4663-AF23-DA62B46A2554}" name="RowTitleRegion1.b301.b308.357" displayName="RowTitleRegion1.b301.b308.357" ref="B314:B324" totalsRowShown="0" headerRowDxfId="176" headerRowBorderDxfId="175" tableBorderDxfId="174" totalsRowBorderDxfId="173">
  <autoFilter ref="B314:B324" xr:uid="{4B4E5178-CBFB-4663-AF23-DA62B46A2554}"/>
  <tableColumns count="1">
    <tableColumn id="1" xr3:uid="{4D6D4ED3-53DB-41B5-AB4E-B6D5D860F823}" name="אפיק השקעה 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8BBA8E-4353-468E-A5C4-EC489C6824E7}" name="TitleRegion1.e301.i308.368" displayName="TitleRegion1.e301.i308.368" ref="E314:I324" totalsRowShown="0" headerRowBorderDxfId="172" tableBorderDxfId="171">
  <autoFilter ref="E314:I324" xr:uid="{108BBA8E-4353-468E-A5C4-EC489C6824E7}"/>
  <tableColumns count="5">
    <tableColumn id="1" xr3:uid="{7C2B8FA7-BA54-43B1-AE08-236A6DCC2B0F}" name="שיעור החשיפה ליום 31/12/2025" dataDxfId="170"/>
    <tableColumn id="2" xr3:uid="{DB89CF1B-F581-4901-A10C-2D4EB840B257}" name="שיעור חשיפה צפוי לשנת 2026" dataDxfId="169"/>
    <tableColumn id="3" xr3:uid="{7CBE56FC-C297-40DE-AF75-2A15FF1791EB}" name="טווח סטיה מותר" dataDxfId="168"/>
    <tableColumn id="4" xr3:uid="{B6828B24-7580-4E72-8E62-5117DD7DFB62}" name="גבולות שיעור החשיפה הצפויה"/>
    <tableColumn id="5" xr3:uid="{C59C9A0C-0D53-4E31-BDA5-2168D5B074D7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167" headerRowBorderDxfId="166" tableBorderDxfId="165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164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163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162" headerRowBorderDxfId="161" tableBorderDxfId="160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159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158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157" headerRowBorderDxfId="156" tableBorderDxfId="155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154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153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152" headerRowBorderDxfId="151" tableBorderDxfId="150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149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148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147" headerRowBorderDxfId="146" tableBorderDxfId="145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144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143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142" headerRowBorderDxfId="141" tableBorderDxfId="140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139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38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137" headerRowBorderDxfId="136" tableBorderDxfId="135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34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33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132" headerRowBorderDxfId="131" tableBorderDxfId="130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29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28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127" headerRowBorderDxfId="126" tableBorderDxfId="125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24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23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122" headerRowBorderDxfId="121" tableBorderDxfId="120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19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18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117" headerRowBorderDxfId="116" tableBorderDxfId="115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114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113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112" headerRowBorderDxfId="111" tableBorderDxfId="110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109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108" headerRowBorderDxfId="107" tableBorderDxfId="106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105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104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103" headerRowBorderDxfId="102" tableBorderDxfId="101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100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99" headerRowBorderDxfId="98" tableBorderDxfId="97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96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95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94" headerRowBorderDxfId="93" tableBorderDxfId="92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91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90" headerRowBorderDxfId="89" tableBorderDxfId="88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87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86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85" headerRowBorderDxfId="84" tableBorderDxfId="83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82"/>
    <tableColumn id="5" xr3:uid="{1339351B-DD5A-4308-82B2-D850AAFAE2C9}" name="גבולות שיעור החשיפה הצפויה"/>
    <tableColumn id="6" xr3:uid="{663DBC65-0304-4BCE-9AA9-F069A210115B}" name="מדד ייחוס*" dataDxfId="81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80" headerRowBorderDxfId="79" tableBorderDxfId="78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77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76"/>
    <tableColumn id="5" xr3:uid="{743CEBDC-D1FA-496C-A1A5-E986580A6A0A}" name="גבולות שיעור החשיפה הצפויה"/>
    <tableColumn id="6" xr3:uid="{787AD9A6-02EB-423D-B65D-E4FA1089A054}" name="מדד ייחוס*" dataDxfId="75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74" headerRowBorderDxfId="73" tableBorderDxfId="72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71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70" headerRowBorderDxfId="69" tableBorderDxfId="68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67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66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65" headerRowBorderDxfId="64" tableBorderDxfId="63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62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61" headerRowBorderDxfId="60" tableBorderDxfId="59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58" headerRowBorderDxfId="57" tableBorderDxfId="56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55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54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53" headerRowBorderDxfId="52" tableBorderDxfId="51" totalsRowBorderDxfId="50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49"/>
    <tableColumn id="2" xr3:uid="{B4627521-E489-4019-8185-F63363F0CF09}" name="שיעור החשיפה ליום 31/12/2025" dataDxfId="48"/>
    <tableColumn id="3" xr3:uid="{2B9FF3A1-7ABE-43ED-A18E-9979B286747C}" name="שיעור חשיפה צפוי לשנת 2026" dataDxfId="47"/>
    <tableColumn id="4" xr3:uid="{AC239917-97CE-4854-8165-1BF695035943}" name="טווח סטיה מותר" dataDxfId="46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45" headerRowBorderDxfId="44" tableBorderDxfId="43" totalsRowBorderDxfId="42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41"/>
    <tableColumn id="2" xr3:uid="{6AF2A5DB-E06B-4C46-9523-05B590A4FD6C}" name="שיעור החשיפה ליום 31/12/2025" dataDxfId="40"/>
    <tableColumn id="3" xr3:uid="{644F59B8-E1C2-467A-A52F-0762F99C20CD}" name="שיעור חשיפה צפוי לשנת 2026" dataDxfId="39"/>
    <tableColumn id="4" xr3:uid="{942882A3-26E4-4882-AB61-65C762601C8E}" name="טווח סטיה מותר" dataDxfId="38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37" headerRowBorderDxfId="36" tableBorderDxfId="35" totalsRowBorderDxfId="34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33"/>
    <tableColumn id="2" xr3:uid="{47F3D90D-348C-4F33-95CC-EB89E027B9C7}" name="שיעור החשיפה ליום 31/12/2025" dataDxfId="32"/>
    <tableColumn id="3" xr3:uid="{E251B1A9-513F-4AA6-8C71-49DDA1EF3CBF}" name="שיעור חשיפה צפוי לשנת 2026" dataDxfId="31"/>
    <tableColumn id="4" xr3:uid="{E240F933-B4EE-4CE8-92C2-33DEA13D244B}" name="טווח סטיה מותר" dataDxfId="30"/>
    <tableColumn id="5" xr3:uid="{8A2F6CE4-CC0E-42CB-A50C-D6977B929F51}" name="גבולות שיעור החשיפה הצפויה" dataDxfId="29"/>
    <tableColumn id="6" xr3:uid="{0430E9AC-7E0A-40D3-997A-41F5B09D758D}" name="מדד ייחוס*" dataDxfId="28"/>
  </tableColumns>
  <tableStyleInfo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0B071-F41E-4DCC-BD2B-70624C03FD85}" name="TitleRegion1.b4.g15.1" displayName="TitleRegion1.b4.g15.1" ref="B4:G15" totalsRowShown="0" headerRowDxfId="27" headerRowBorderDxfId="26" tableBorderDxfId="25">
  <autoFilter ref="B4:G15" xr:uid="{2910B071-F41E-4DCC-BD2B-70624C03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8E774-D2BF-4F7F-A83D-D0D87554A685}" name="אפיק השקעה " dataDxfId="24"/>
    <tableColumn id="2" xr3:uid="{5B1D5936-FBF5-4BBC-858C-ADDFCD47A1CB}" name="שיעור החשיפה ליום 31/12/2025"/>
    <tableColumn id="3" xr3:uid="{0568B06C-1CB5-4F38-BC99-94829673486F}" name="שיעור חשיפה צפוי לשנת 2026"/>
    <tableColumn id="4" xr3:uid="{B7F61C8C-4DA6-40DE-9F44-976EE25F4EFB}" name="טווח סטיה מותר" dataDxfId="23"/>
    <tableColumn id="5" xr3:uid="{D0CA35F3-7EF9-44D7-BF72-FB80DEE7570C}" name="גבולות שיעור החשיפה הצפויה"/>
    <tableColumn id="6" xr3:uid="{5FE14371-DF6C-43DE-BC10-DCF6A1963BB2}" name="מדד ייחוס*"/>
  </tableColumns>
  <tableStyleInfo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4:G162" totalsRowShown="0" headerRowDxfId="22" headerRowBorderDxfId="21" tableBorderDxfId="20">
  <autoFilter ref="B154:G162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19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79:G187" totalsRowShown="0" headerRowDxfId="18" tableBorderDxfId="17">
  <autoFilter ref="B179:G187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16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7EB4F0-A292-4888-9725-EF5E2DD9C529}" name="TitleRegion1.b164.g175.5814" displayName="TitleRegion1.b164.g175.5814" ref="B190:G201" totalsRowShown="0" headerRowDxfId="15" headerRowBorderDxfId="14" tableBorderDxfId="13" totalsRowBorderDxfId="12">
  <autoFilter ref="B190:G201" xr:uid="{1C7EB4F0-A292-4888-9725-EF5E2DD9C529}"/>
  <tableColumns count="6">
    <tableColumn id="1" xr3:uid="{8FBD8197-FE87-4784-939C-1B4F1E880157}" name="אפיק השקעה " dataDxfId="11"/>
    <tableColumn id="2" xr3:uid="{5353B4F3-CF5C-4176-AB76-F35BD9AED12A}" name="שיעור החשיפה ליום 31/12/2025" dataDxfId="10"/>
    <tableColumn id="3" xr3:uid="{BF61A437-D382-4839-9CC2-56990335A8BD}" name="שיעור חשיפה צפוי לשנת 2026" dataDxfId="9"/>
    <tableColumn id="4" xr3:uid="{28D5E387-CF42-4DF2-8213-B77A57E0D245}" name="טווח סטיה מותר" dataDxfId="8"/>
    <tableColumn id="5" xr3:uid="{60ACFDAD-52D8-46E7-94DF-5788D16BD7B7}" name="גבולות שיעור החשיפה הצפויה"/>
    <tableColumn id="6" xr3:uid="{16E707F8-FFFB-4211-9D20-5A0D6696B17B}" name="מדד ייחוס*"/>
  </tableColumns>
  <tableStyleInfo showFirstColumn="1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FC650F-984F-4FB6-B735-962546466D9B}" name="TitleRegion1.b164.g175.5815" displayName="TitleRegion1.b164.g175.5815" ref="I190:N201" totalsRowShown="0" headerRowDxfId="7" headerRowBorderDxfId="6" tableBorderDxfId="5" totalsRowBorderDxfId="4">
  <autoFilter ref="I190:N201" xr:uid="{C9FC650F-984F-4FB6-B735-962546466D9B}"/>
  <tableColumns count="6">
    <tableColumn id="1" xr3:uid="{59CB8A5D-1015-4ECF-AEF5-A9F2C4EDB13B}" name="אפיק השקעה " dataDxfId="3"/>
    <tableColumn id="2" xr3:uid="{499BC9BB-D64C-4B00-A578-B0A3F96FCAD6}" name="שיעור החשיפה ליום 31/12/2025" dataDxfId="2"/>
    <tableColumn id="3" xr3:uid="{6BF65D2A-648A-4CD7-BCDF-E1816878D9AB}" name="שיעור חשיפה צפוי לשנת 2026" dataDxfId="1"/>
    <tableColumn id="4" xr3:uid="{979719AA-D09F-42E7-AC59-D906E39C0F5B}" name="טווח סטיה מותר" dataDxfId="0"/>
    <tableColumn id="5" xr3:uid="{7B50EF99-1A60-4E15-9EDB-1B8A5071C7A0}" name="גבולות שיעור החשיפה הצפויה"/>
    <tableColumn id="6" xr3:uid="{6EF6D52D-890D-441A-9E8B-00E3C0AA5021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41" Type="http://schemas.openxmlformats.org/officeDocument/2006/relationships/table" Target="../tables/table39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40" Type="http://schemas.openxmlformats.org/officeDocument/2006/relationships/table" Target="../tables/table38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8.xml"/><Relationship Id="rId18" Type="http://schemas.openxmlformats.org/officeDocument/2006/relationships/table" Target="../tables/table53.xml"/><Relationship Id="rId26" Type="http://schemas.openxmlformats.org/officeDocument/2006/relationships/table" Target="../tables/table61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56.xml"/><Relationship Id="rId34" Type="http://schemas.openxmlformats.org/officeDocument/2006/relationships/table" Target="../tables/table69.xml"/><Relationship Id="rId7" Type="http://schemas.openxmlformats.org/officeDocument/2006/relationships/table" Target="../tables/table42.xml"/><Relationship Id="rId12" Type="http://schemas.openxmlformats.org/officeDocument/2006/relationships/table" Target="../tables/table47.xml"/><Relationship Id="rId17" Type="http://schemas.openxmlformats.org/officeDocument/2006/relationships/table" Target="../tables/table52.xml"/><Relationship Id="rId25" Type="http://schemas.openxmlformats.org/officeDocument/2006/relationships/table" Target="../tables/table60.xml"/><Relationship Id="rId33" Type="http://schemas.openxmlformats.org/officeDocument/2006/relationships/table" Target="../tables/table68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51.xml"/><Relationship Id="rId20" Type="http://schemas.openxmlformats.org/officeDocument/2006/relationships/table" Target="../tables/table55.xml"/><Relationship Id="rId29" Type="http://schemas.openxmlformats.org/officeDocument/2006/relationships/table" Target="../tables/table64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1.xml"/><Relationship Id="rId11" Type="http://schemas.openxmlformats.org/officeDocument/2006/relationships/table" Target="../tables/table46.xml"/><Relationship Id="rId24" Type="http://schemas.openxmlformats.org/officeDocument/2006/relationships/table" Target="../tables/table59.xml"/><Relationship Id="rId32" Type="http://schemas.openxmlformats.org/officeDocument/2006/relationships/table" Target="../tables/table67.xml"/><Relationship Id="rId5" Type="http://schemas.openxmlformats.org/officeDocument/2006/relationships/table" Target="../tables/table40.xml"/><Relationship Id="rId15" Type="http://schemas.openxmlformats.org/officeDocument/2006/relationships/table" Target="../tables/table50.xml"/><Relationship Id="rId23" Type="http://schemas.openxmlformats.org/officeDocument/2006/relationships/table" Target="../tables/table58.xml"/><Relationship Id="rId28" Type="http://schemas.openxmlformats.org/officeDocument/2006/relationships/table" Target="../tables/table63.xml"/><Relationship Id="rId36" Type="http://schemas.openxmlformats.org/officeDocument/2006/relationships/table" Target="../tables/table71.xml"/><Relationship Id="rId10" Type="http://schemas.openxmlformats.org/officeDocument/2006/relationships/table" Target="../tables/table45.xml"/><Relationship Id="rId19" Type="http://schemas.openxmlformats.org/officeDocument/2006/relationships/table" Target="../tables/table54.xml"/><Relationship Id="rId31" Type="http://schemas.openxmlformats.org/officeDocument/2006/relationships/table" Target="../tables/table66.xml"/><Relationship Id="rId4" Type="http://schemas.openxmlformats.org/officeDocument/2006/relationships/drawing" Target="../drawings/drawing2.xml"/><Relationship Id="rId9" Type="http://schemas.openxmlformats.org/officeDocument/2006/relationships/table" Target="../tables/table44.xml"/><Relationship Id="rId14" Type="http://schemas.openxmlformats.org/officeDocument/2006/relationships/table" Target="../tables/table49.xml"/><Relationship Id="rId22" Type="http://schemas.openxmlformats.org/officeDocument/2006/relationships/table" Target="../tables/table57.xml"/><Relationship Id="rId27" Type="http://schemas.openxmlformats.org/officeDocument/2006/relationships/table" Target="../tables/table62.xml"/><Relationship Id="rId30" Type="http://schemas.openxmlformats.org/officeDocument/2006/relationships/table" Target="../tables/table65.xml"/><Relationship Id="rId35" Type="http://schemas.openxmlformats.org/officeDocument/2006/relationships/table" Target="../tables/table70.xml"/><Relationship Id="rId8" Type="http://schemas.openxmlformats.org/officeDocument/2006/relationships/table" Target="../tables/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10"/>
  <sheetViews>
    <sheetView rightToLeft="1" tabSelected="1" topLeftCell="B1" zoomScale="55" zoomScaleNormal="55" workbookViewId="0">
      <selection activeCell="F3" sqref="F3"/>
    </sheetView>
  </sheetViews>
  <sheetFormatPr defaultColWidth="9" defaultRowHeight="14"/>
  <cols>
    <col min="1" max="1" width="107.08203125" style="94" customWidth="1"/>
    <col min="2" max="2" width="33.75" style="96" customWidth="1"/>
    <col min="3" max="3" width="38.83203125" style="96" customWidth="1"/>
    <col min="4" max="4" width="40.25" style="96" customWidth="1"/>
    <col min="5" max="5" width="38.33203125" style="94" customWidth="1"/>
    <col min="6" max="6" width="28.08203125" style="94" customWidth="1"/>
    <col min="7" max="7" width="16.83203125" style="97" customWidth="1"/>
    <col min="8" max="8" width="29" style="94" customWidth="1"/>
    <col min="9" max="9" width="24.08203125" style="98" customWidth="1"/>
    <col min="10" max="16384" width="9" style="94"/>
  </cols>
  <sheetData>
    <row r="1" spans="1:9">
      <c r="A1" s="246" t="s">
        <v>247</v>
      </c>
    </row>
    <row r="2" spans="1:9" ht="62.9" customHeight="1">
      <c r="A2" s="267" t="s">
        <v>226</v>
      </c>
      <c r="B2" s="267"/>
      <c r="C2" s="267"/>
      <c r="D2" s="267"/>
      <c r="E2" s="267"/>
      <c r="F2" s="267"/>
      <c r="G2" s="89"/>
      <c r="H2" s="14"/>
      <c r="I2" s="165"/>
    </row>
    <row r="3" spans="1:9" ht="23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5">
      <c r="A4" s="23"/>
      <c r="B4" s="224" t="s">
        <v>0</v>
      </c>
      <c r="C4" s="107" t="s">
        <v>187</v>
      </c>
      <c r="D4" s="107" t="s">
        <v>188</v>
      </c>
      <c r="E4" s="133" t="s">
        <v>220</v>
      </c>
      <c r="F4" s="120" t="s">
        <v>198</v>
      </c>
      <c r="G4" s="121" t="s">
        <v>30</v>
      </c>
      <c r="H4" s="121" t="s">
        <v>20</v>
      </c>
      <c r="I4" s="121" t="s">
        <v>35</v>
      </c>
    </row>
    <row r="5" spans="1:9" ht="56">
      <c r="A5" s="25"/>
      <c r="B5" s="221" t="s">
        <v>138</v>
      </c>
      <c r="C5" s="108" t="s">
        <v>187</v>
      </c>
      <c r="D5" s="108" t="s">
        <v>187</v>
      </c>
      <c r="E5" s="64">
        <v>0.50090000000000001</v>
      </c>
      <c r="F5" s="5">
        <v>0.49</v>
      </c>
      <c r="G5" s="177" t="s">
        <v>4</v>
      </c>
      <c r="H5" s="7" t="s">
        <v>241</v>
      </c>
      <c r="I5" s="178" t="s">
        <v>218</v>
      </c>
    </row>
    <row r="6" spans="1:9">
      <c r="A6" s="24"/>
      <c r="B6" s="221" t="s">
        <v>2</v>
      </c>
      <c r="C6" s="109" t="s">
        <v>187</v>
      </c>
      <c r="D6" s="109" t="s">
        <v>187</v>
      </c>
      <c r="E6" s="64">
        <v>0.2044</v>
      </c>
      <c r="F6" s="3">
        <v>0.22</v>
      </c>
      <c r="G6" s="179" t="s">
        <v>3</v>
      </c>
      <c r="H6" s="4" t="s">
        <v>201</v>
      </c>
      <c r="I6" s="103" t="s">
        <v>14</v>
      </c>
    </row>
    <row r="7" spans="1:9">
      <c r="A7" s="25"/>
      <c r="B7" s="222" t="s">
        <v>137</v>
      </c>
      <c r="C7" s="108" t="s">
        <v>187</v>
      </c>
      <c r="D7" s="108" t="s">
        <v>187</v>
      </c>
      <c r="E7" s="64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">
      <c r="A8" s="25"/>
      <c r="B8" s="221" t="s">
        <v>9</v>
      </c>
      <c r="C8" s="109" t="s">
        <v>187</v>
      </c>
      <c r="D8" s="109" t="s">
        <v>187</v>
      </c>
      <c r="E8" s="64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1" t="s">
        <v>10</v>
      </c>
      <c r="C9" s="109" t="s">
        <v>187</v>
      </c>
      <c r="D9" s="109" t="s">
        <v>187</v>
      </c>
      <c r="E9" s="64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1" t="s">
        <v>11</v>
      </c>
      <c r="C10" s="109" t="s">
        <v>187</v>
      </c>
      <c r="D10" s="109" t="s">
        <v>187</v>
      </c>
      <c r="E10" s="64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1" t="s">
        <v>21</v>
      </c>
      <c r="C11" s="109" t="s">
        <v>187</v>
      </c>
      <c r="D11" s="109" t="s">
        <v>187</v>
      </c>
      <c r="E11" s="64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1" t="s">
        <v>12</v>
      </c>
      <c r="C12" s="109" t="s">
        <v>187</v>
      </c>
      <c r="D12" s="109" t="s">
        <v>187</v>
      </c>
      <c r="E12" s="226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1" t="s">
        <v>13</v>
      </c>
      <c r="C13" s="109" t="s">
        <v>187</v>
      </c>
      <c r="D13" s="109" t="s">
        <v>187</v>
      </c>
      <c r="E13" s="64">
        <v>2.12E-2</v>
      </c>
      <c r="F13" s="3">
        <v>0.05</v>
      </c>
      <c r="G13" s="179" t="s">
        <v>3</v>
      </c>
      <c r="H13" s="181" t="s">
        <v>51</v>
      </c>
      <c r="I13" s="113" t="s">
        <v>187</v>
      </c>
    </row>
    <row r="14" spans="1:9">
      <c r="A14" s="25"/>
      <c r="B14" s="223" t="s">
        <v>5</v>
      </c>
      <c r="C14" s="110" t="s">
        <v>187</v>
      </c>
      <c r="D14" s="110" t="s">
        <v>187</v>
      </c>
      <c r="E14" s="227">
        <f>SUM(E5:E13)</f>
        <v>1.3166000000000002</v>
      </c>
      <c r="F14" s="99">
        <f>SUM(F5:F13)</f>
        <v>1.4000000000000001</v>
      </c>
      <c r="G14" s="220" t="s">
        <v>187</v>
      </c>
      <c r="H14" s="182" t="s">
        <v>187</v>
      </c>
      <c r="I14" s="182" t="s">
        <v>187</v>
      </c>
    </row>
    <row r="15" spans="1:9">
      <c r="A15" s="25"/>
      <c r="B15" s="221" t="s">
        <v>6</v>
      </c>
      <c r="C15" s="109" t="s">
        <v>187</v>
      </c>
      <c r="D15" s="109" t="s">
        <v>187</v>
      </c>
      <c r="E15" s="65">
        <v>0.1918</v>
      </c>
      <c r="F15" s="11">
        <v>0.18</v>
      </c>
      <c r="G15" s="179" t="s">
        <v>4</v>
      </c>
      <c r="H15" s="4" t="s">
        <v>203</v>
      </c>
      <c r="I15" s="103" t="s">
        <v>19</v>
      </c>
    </row>
    <row r="16" spans="1:9">
      <c r="A16" s="25"/>
      <c r="B16" s="225" t="s">
        <v>225</v>
      </c>
      <c r="C16" s="110" t="s">
        <v>187</v>
      </c>
      <c r="D16" s="110" t="s">
        <v>187</v>
      </c>
      <c r="E16" s="66">
        <v>2.5999999999999999E-3</v>
      </c>
      <c r="F16" s="142" t="s">
        <v>187</v>
      </c>
      <c r="G16" s="131" t="s">
        <v>187</v>
      </c>
      <c r="H16" s="131" t="s">
        <v>187</v>
      </c>
      <c r="I16" s="166" t="s">
        <v>187</v>
      </c>
    </row>
    <row r="17" spans="1:9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5">
      <c r="A19" s="23"/>
      <c r="B19" s="13" t="s">
        <v>0</v>
      </c>
      <c r="C19" s="107" t="s">
        <v>187</v>
      </c>
      <c r="D19" s="107" t="s">
        <v>188</v>
      </c>
      <c r="E19" s="120" t="s">
        <v>220</v>
      </c>
      <c r="F19" s="120" t="s">
        <v>198</v>
      </c>
      <c r="G19" s="121" t="s">
        <v>30</v>
      </c>
      <c r="H19" s="121" t="s">
        <v>20</v>
      </c>
      <c r="I19" s="121" t="s">
        <v>35</v>
      </c>
    </row>
    <row r="20" spans="1:9" ht="56">
      <c r="A20" s="25"/>
      <c r="B20" s="229" t="s">
        <v>138</v>
      </c>
      <c r="C20" s="109" t="s">
        <v>187</v>
      </c>
      <c r="D20" s="109" t="s">
        <v>188</v>
      </c>
      <c r="E20" s="5" t="s">
        <v>229</v>
      </c>
      <c r="F20" s="5">
        <v>0.48</v>
      </c>
      <c r="G20" s="177" t="s">
        <v>4</v>
      </c>
      <c r="H20" s="7" t="s">
        <v>242</v>
      </c>
      <c r="I20" s="6" t="s">
        <v>218</v>
      </c>
    </row>
    <row r="21" spans="1:9">
      <c r="A21" s="24"/>
      <c r="B21" s="221" t="s">
        <v>2</v>
      </c>
      <c r="C21" s="109" t="s">
        <v>187</v>
      </c>
      <c r="D21" s="109" t="s">
        <v>187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2" t="s">
        <v>137</v>
      </c>
      <c r="C22" s="109" t="s">
        <v>187</v>
      </c>
      <c r="D22" s="109" t="s">
        <v>187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">
      <c r="A23" s="25"/>
      <c r="B23" s="221" t="s">
        <v>9</v>
      </c>
      <c r="C23" s="109" t="s">
        <v>187</v>
      </c>
      <c r="D23" s="109" t="s">
        <v>187</v>
      </c>
      <c r="E23" s="3">
        <v>6.2600000000000003E-2</v>
      </c>
      <c r="F23" s="3">
        <v>0.06</v>
      </c>
      <c r="G23" s="180" t="s">
        <v>3</v>
      </c>
      <c r="H23" s="4" t="s">
        <v>172</v>
      </c>
      <c r="I23" s="1" t="s">
        <v>16</v>
      </c>
    </row>
    <row r="24" spans="1:9">
      <c r="A24" s="25"/>
      <c r="B24" s="228" t="s">
        <v>10</v>
      </c>
      <c r="C24" s="109" t="s">
        <v>187</v>
      </c>
      <c r="D24" s="109" t="s">
        <v>187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1" t="s">
        <v>11</v>
      </c>
      <c r="C25" s="109" t="s">
        <v>187</v>
      </c>
      <c r="D25" s="109" t="s">
        <v>187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1" t="s">
        <v>21</v>
      </c>
      <c r="C26" s="109" t="s">
        <v>187</v>
      </c>
      <c r="D26" s="109" t="s">
        <v>187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1" t="s">
        <v>12</v>
      </c>
      <c r="C27" s="109" t="s">
        <v>187</v>
      </c>
      <c r="D27" s="109" t="s">
        <v>187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28" t="s">
        <v>13</v>
      </c>
      <c r="C28" s="109" t="s">
        <v>187</v>
      </c>
      <c r="D28" s="109" t="s">
        <v>187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187</v>
      </c>
    </row>
    <row r="29" spans="1:9">
      <c r="A29" s="25"/>
      <c r="B29" s="223" t="s">
        <v>5</v>
      </c>
      <c r="C29" s="109" t="s">
        <v>187</v>
      </c>
      <c r="D29" s="109" t="s">
        <v>187</v>
      </c>
      <c r="E29" s="99">
        <f>SUM(E20:E28)</f>
        <v>0.81340000000000001</v>
      </c>
      <c r="F29" s="99">
        <f>SUM(F20:F28)</f>
        <v>1.37</v>
      </c>
      <c r="G29" s="220" t="s">
        <v>187</v>
      </c>
      <c r="H29" s="182" t="s">
        <v>187</v>
      </c>
      <c r="I29" s="112" t="s">
        <v>187</v>
      </c>
    </row>
    <row r="30" spans="1:9">
      <c r="A30" s="25"/>
      <c r="B30" s="221" t="s">
        <v>6</v>
      </c>
      <c r="C30" s="109" t="s">
        <v>187</v>
      </c>
      <c r="D30" s="109" t="s">
        <v>187</v>
      </c>
      <c r="E30" s="11">
        <v>0.188</v>
      </c>
      <c r="F30" s="11">
        <v>0.18</v>
      </c>
      <c r="G30" s="179" t="s">
        <v>4</v>
      </c>
      <c r="H30" s="4" t="s">
        <v>203</v>
      </c>
      <c r="I30" s="1" t="s">
        <v>19</v>
      </c>
    </row>
    <row r="31" spans="1:9">
      <c r="A31" s="25"/>
      <c r="B31" s="225" t="s">
        <v>225</v>
      </c>
      <c r="C31" s="110" t="s">
        <v>187</v>
      </c>
      <c r="D31" s="110" t="s">
        <v>187</v>
      </c>
      <c r="E31" s="12">
        <v>1.9E-3</v>
      </c>
      <c r="F31" s="142" t="s">
        <v>187</v>
      </c>
      <c r="G31" s="131" t="s">
        <v>187</v>
      </c>
      <c r="H31" s="131" t="s">
        <v>187</v>
      </c>
      <c r="I31" s="166" t="s">
        <v>187</v>
      </c>
    </row>
    <row r="32" spans="1:9">
      <c r="A32" s="18"/>
      <c r="B32" s="15"/>
      <c r="C32" s="15"/>
      <c r="D32" s="15"/>
      <c r="E32" s="160" t="s">
        <v>243</v>
      </c>
      <c r="F32" s="160" t="s">
        <v>243</v>
      </c>
      <c r="G32" s="160" t="s">
        <v>243</v>
      </c>
      <c r="H32" s="160" t="s">
        <v>243</v>
      </c>
      <c r="I32" s="169" t="s">
        <v>243</v>
      </c>
    </row>
    <row r="33" spans="1:9" ht="23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5">
      <c r="A34" s="20"/>
      <c r="B34" s="224" t="s">
        <v>0</v>
      </c>
      <c r="C34" s="107" t="s">
        <v>187</v>
      </c>
      <c r="D34" s="107" t="s">
        <v>188</v>
      </c>
      <c r="E34" s="133" t="s">
        <v>220</v>
      </c>
      <c r="F34" s="120" t="s">
        <v>198</v>
      </c>
      <c r="G34" s="124" t="s">
        <v>30</v>
      </c>
      <c r="H34" s="121" t="s">
        <v>20</v>
      </c>
      <c r="I34" s="121" t="s">
        <v>35</v>
      </c>
    </row>
    <row r="35" spans="1:9" ht="56">
      <c r="A35" s="20"/>
      <c r="B35" s="221" t="s">
        <v>138</v>
      </c>
      <c r="C35" s="108" t="s">
        <v>187</v>
      </c>
      <c r="D35" s="108" t="s">
        <v>187</v>
      </c>
      <c r="E35" s="63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218</v>
      </c>
    </row>
    <row r="36" spans="1:9">
      <c r="A36" s="20"/>
      <c r="B36" s="221" t="s">
        <v>2</v>
      </c>
      <c r="C36" s="109" t="s">
        <v>187</v>
      </c>
      <c r="D36" s="109" t="s">
        <v>187</v>
      </c>
      <c r="E36" s="64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2" t="s">
        <v>137</v>
      </c>
      <c r="C37" s="108" t="s">
        <v>187</v>
      </c>
      <c r="D37" s="108" t="s">
        <v>187</v>
      </c>
      <c r="E37" s="64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">
      <c r="A38" s="20"/>
      <c r="B38" s="221" t="s">
        <v>9</v>
      </c>
      <c r="C38" s="109" t="s">
        <v>187</v>
      </c>
      <c r="D38" s="109" t="s">
        <v>187</v>
      </c>
      <c r="E38" s="64">
        <v>7.9600000000000004E-2</v>
      </c>
      <c r="F38" s="3">
        <v>0.08</v>
      </c>
      <c r="G38" s="180" t="s">
        <v>3</v>
      </c>
      <c r="H38" s="4" t="s">
        <v>204</v>
      </c>
      <c r="I38" s="103" t="s">
        <v>16</v>
      </c>
    </row>
    <row r="39" spans="1:9">
      <c r="A39" s="20"/>
      <c r="B39" s="221" t="s">
        <v>10</v>
      </c>
      <c r="C39" s="109" t="s">
        <v>187</v>
      </c>
      <c r="D39" s="109" t="s">
        <v>187</v>
      </c>
      <c r="E39" s="64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1" t="s">
        <v>11</v>
      </c>
      <c r="C40" s="109" t="s">
        <v>187</v>
      </c>
      <c r="D40" s="109" t="s">
        <v>187</v>
      </c>
      <c r="E40" s="64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1" t="s">
        <v>21</v>
      </c>
      <c r="C41" s="109" t="s">
        <v>187</v>
      </c>
      <c r="D41" s="109" t="s">
        <v>187</v>
      </c>
      <c r="E41" s="64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1" t="s">
        <v>12</v>
      </c>
      <c r="C42" s="109" t="s">
        <v>187</v>
      </c>
      <c r="D42" s="109" t="s">
        <v>187</v>
      </c>
      <c r="E42" s="64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1" t="s">
        <v>13</v>
      </c>
      <c r="C43" s="109" t="s">
        <v>187</v>
      </c>
      <c r="D43" s="109" t="s">
        <v>187</v>
      </c>
      <c r="E43" s="64">
        <v>2.0400000000000001E-2</v>
      </c>
      <c r="F43" s="3">
        <v>0.05</v>
      </c>
      <c r="G43" s="179" t="s">
        <v>3</v>
      </c>
      <c r="H43" s="181" t="s">
        <v>51</v>
      </c>
      <c r="I43" s="113" t="s">
        <v>187</v>
      </c>
    </row>
    <row r="44" spans="1:9">
      <c r="A44" s="20"/>
      <c r="B44" s="223" t="s">
        <v>5</v>
      </c>
      <c r="C44" s="110" t="s">
        <v>187</v>
      </c>
      <c r="D44" s="110" t="s">
        <v>187</v>
      </c>
      <c r="E44" s="230">
        <f>SUBTOTAL(109,E35:E43)</f>
        <v>1.3390000000000002</v>
      </c>
      <c r="F44" s="27">
        <f>SUBTOTAL(109,F35:F43)</f>
        <v>1.4950000000000001</v>
      </c>
      <c r="G44" s="117" t="s">
        <v>187</v>
      </c>
      <c r="H44" s="118" t="s">
        <v>187</v>
      </c>
      <c r="I44" s="112" t="s">
        <v>187</v>
      </c>
    </row>
    <row r="45" spans="1:9">
      <c r="A45" s="20"/>
      <c r="B45" s="221" t="s">
        <v>6</v>
      </c>
      <c r="C45" s="109" t="s">
        <v>187</v>
      </c>
      <c r="D45" s="109" t="s">
        <v>187</v>
      </c>
      <c r="E45" s="65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>
      <c r="A46" s="21"/>
      <c r="B46" s="225" t="s">
        <v>225</v>
      </c>
      <c r="C46" s="110" t="s">
        <v>187</v>
      </c>
      <c r="D46" s="110" t="s">
        <v>187</v>
      </c>
      <c r="E46" s="66">
        <v>2.3999999999999998E-3</v>
      </c>
      <c r="F46" s="142" t="s">
        <v>187</v>
      </c>
      <c r="G46" s="131" t="s">
        <v>187</v>
      </c>
      <c r="H46" s="131" t="s">
        <v>187</v>
      </c>
      <c r="I46" s="146" t="s">
        <v>187</v>
      </c>
    </row>
    <row r="47" spans="1:9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5">
      <c r="A49" s="20"/>
      <c r="B49" s="224" t="s">
        <v>0</v>
      </c>
      <c r="C49" s="107" t="s">
        <v>187</v>
      </c>
      <c r="D49" s="107" t="s">
        <v>188</v>
      </c>
      <c r="E49" s="133" t="s">
        <v>220</v>
      </c>
      <c r="F49" s="120" t="s">
        <v>198</v>
      </c>
      <c r="G49" s="121" t="s">
        <v>30</v>
      </c>
      <c r="H49" s="121" t="s">
        <v>20</v>
      </c>
      <c r="I49" s="121" t="s">
        <v>35</v>
      </c>
    </row>
    <row r="50" spans="1:9" ht="56">
      <c r="A50" s="20"/>
      <c r="B50" s="221" t="s">
        <v>138</v>
      </c>
      <c r="C50" s="108" t="s">
        <v>187</v>
      </c>
      <c r="D50" s="108" t="s">
        <v>188</v>
      </c>
      <c r="E50" s="63">
        <v>0.48320000000000002</v>
      </c>
      <c r="F50" s="5">
        <v>0.49</v>
      </c>
      <c r="G50" s="177" t="s">
        <v>4</v>
      </c>
      <c r="H50" s="7" t="s">
        <v>241</v>
      </c>
      <c r="I50" s="6" t="s">
        <v>218</v>
      </c>
    </row>
    <row r="51" spans="1:9">
      <c r="A51" s="20"/>
      <c r="B51" s="221" t="s">
        <v>2</v>
      </c>
      <c r="C51" s="109" t="s">
        <v>187</v>
      </c>
      <c r="D51" s="109" t="s">
        <v>187</v>
      </c>
      <c r="E51" s="64">
        <v>0.20169999999999999</v>
      </c>
      <c r="F51" s="3">
        <v>0.22</v>
      </c>
      <c r="G51" s="179" t="s">
        <v>3</v>
      </c>
      <c r="H51" s="4" t="s">
        <v>201</v>
      </c>
      <c r="I51" s="1" t="s">
        <v>14</v>
      </c>
    </row>
    <row r="52" spans="1:9">
      <c r="A52" s="20"/>
      <c r="B52" s="222" t="s">
        <v>137</v>
      </c>
      <c r="C52" s="108" t="s">
        <v>187</v>
      </c>
      <c r="D52" s="108" t="s">
        <v>187</v>
      </c>
      <c r="E52" s="64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">
      <c r="A53" s="20"/>
      <c r="B53" s="221" t="s">
        <v>9</v>
      </c>
      <c r="C53" s="109" t="s">
        <v>187</v>
      </c>
      <c r="D53" s="109" t="s">
        <v>187</v>
      </c>
      <c r="E53" s="64">
        <v>8.6999999999999994E-2</v>
      </c>
      <c r="F53" s="3">
        <v>0.09</v>
      </c>
      <c r="G53" s="180" t="s">
        <v>3</v>
      </c>
      <c r="H53" s="4" t="s">
        <v>205</v>
      </c>
      <c r="I53" s="1" t="s">
        <v>16</v>
      </c>
    </row>
    <row r="54" spans="1:9">
      <c r="A54" s="20"/>
      <c r="B54" s="221" t="s">
        <v>10</v>
      </c>
      <c r="C54" s="109" t="s">
        <v>187</v>
      </c>
      <c r="D54" s="109" t="s">
        <v>187</v>
      </c>
      <c r="E54" s="64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1" t="s">
        <v>11</v>
      </c>
      <c r="C55" s="109" t="s">
        <v>187</v>
      </c>
      <c r="D55" s="109" t="s">
        <v>187</v>
      </c>
      <c r="E55" s="231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1" t="s">
        <v>21</v>
      </c>
      <c r="C56" s="109" t="s">
        <v>187</v>
      </c>
      <c r="D56" s="109" t="s">
        <v>187</v>
      </c>
      <c r="E56" s="64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1" t="s">
        <v>12</v>
      </c>
      <c r="C57" s="109" t="s">
        <v>187</v>
      </c>
      <c r="D57" s="109" t="s">
        <v>187</v>
      </c>
      <c r="E57" s="64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1" t="s">
        <v>13</v>
      </c>
      <c r="C58" s="109" t="s">
        <v>187</v>
      </c>
      <c r="D58" s="109" t="s">
        <v>187</v>
      </c>
      <c r="E58" s="64">
        <v>2.3699999999999999E-2</v>
      </c>
      <c r="F58" s="3">
        <v>0.05</v>
      </c>
      <c r="G58" s="179" t="s">
        <v>3</v>
      </c>
      <c r="H58" s="181" t="s">
        <v>51</v>
      </c>
      <c r="I58" s="132" t="s">
        <v>187</v>
      </c>
    </row>
    <row r="59" spans="1:9">
      <c r="A59" s="20"/>
      <c r="B59" s="223" t="s">
        <v>5</v>
      </c>
      <c r="C59" s="110" t="s">
        <v>187</v>
      </c>
      <c r="D59" s="110" t="s">
        <v>187</v>
      </c>
      <c r="E59" s="227">
        <f>SUBTOTAL(109,E50:E58)</f>
        <v>1.2925000000000002</v>
      </c>
      <c r="F59" s="99">
        <f>SUBTOTAL(109,F50:F58)</f>
        <v>1.3900000000000001</v>
      </c>
      <c r="G59" s="183" t="s">
        <v>187</v>
      </c>
      <c r="H59" s="184" t="s">
        <v>187</v>
      </c>
      <c r="I59" s="112" t="s">
        <v>187</v>
      </c>
    </row>
    <row r="60" spans="1:9">
      <c r="A60" s="20"/>
      <c r="B60" s="221" t="s">
        <v>6</v>
      </c>
      <c r="C60" s="109" t="s">
        <v>187</v>
      </c>
      <c r="D60" s="109" t="s">
        <v>187</v>
      </c>
      <c r="E60" s="65">
        <v>0.18940000000000001</v>
      </c>
      <c r="F60" s="11">
        <v>0.18</v>
      </c>
      <c r="G60" s="179" t="s">
        <v>4</v>
      </c>
      <c r="H60" s="4" t="s">
        <v>203</v>
      </c>
      <c r="I60" s="1" t="s">
        <v>19</v>
      </c>
    </row>
    <row r="61" spans="1:9">
      <c r="A61" s="21"/>
      <c r="B61" s="225" t="s">
        <v>225</v>
      </c>
      <c r="C61" s="110" t="s">
        <v>187</v>
      </c>
      <c r="D61" s="110" t="s">
        <v>187</v>
      </c>
      <c r="E61" s="66">
        <v>2.3999999999999998E-3</v>
      </c>
      <c r="F61" s="142" t="s">
        <v>187</v>
      </c>
      <c r="G61" s="131" t="s">
        <v>187</v>
      </c>
      <c r="H61" s="131" t="s">
        <v>187</v>
      </c>
      <c r="I61" s="166" t="s">
        <v>187</v>
      </c>
    </row>
    <row r="62" spans="1:9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5">
      <c r="A64" s="20"/>
      <c r="B64" s="121" t="s">
        <v>0</v>
      </c>
      <c r="C64" s="107" t="s">
        <v>187</v>
      </c>
      <c r="D64" s="107" t="s">
        <v>188</v>
      </c>
      <c r="E64" s="133" t="s">
        <v>220</v>
      </c>
      <c r="F64" s="120" t="s">
        <v>198</v>
      </c>
      <c r="G64" s="121" t="s">
        <v>30</v>
      </c>
      <c r="H64" s="121" t="s">
        <v>20</v>
      </c>
      <c r="I64" s="121" t="s">
        <v>35</v>
      </c>
    </row>
    <row r="65" spans="1:9" ht="56">
      <c r="A65" s="20"/>
      <c r="B65" s="221" t="s">
        <v>138</v>
      </c>
      <c r="C65" s="108" t="s">
        <v>187</v>
      </c>
      <c r="D65" s="108" t="s">
        <v>188</v>
      </c>
      <c r="E65" s="63">
        <v>0.30099999999999999</v>
      </c>
      <c r="F65" s="5">
        <v>0.3</v>
      </c>
      <c r="G65" s="177" t="s">
        <v>4</v>
      </c>
      <c r="H65" s="7" t="s">
        <v>61</v>
      </c>
      <c r="I65" s="6" t="s">
        <v>218</v>
      </c>
    </row>
    <row r="66" spans="1:9">
      <c r="A66" s="20"/>
      <c r="B66" s="221" t="s">
        <v>2</v>
      </c>
      <c r="C66" s="109" t="s">
        <v>187</v>
      </c>
      <c r="D66" s="109" t="s">
        <v>187</v>
      </c>
      <c r="E66" s="64">
        <v>0.2843</v>
      </c>
      <c r="F66" s="3">
        <v>0.26</v>
      </c>
      <c r="G66" s="86" t="s">
        <v>3</v>
      </c>
      <c r="H66" s="4" t="s">
        <v>202</v>
      </c>
      <c r="I66" s="1" t="s">
        <v>14</v>
      </c>
    </row>
    <row r="67" spans="1:9">
      <c r="A67" s="20"/>
      <c r="B67" s="222" t="s">
        <v>137</v>
      </c>
      <c r="C67" s="108" t="s">
        <v>187</v>
      </c>
      <c r="D67" s="108" t="s">
        <v>187</v>
      </c>
      <c r="E67" s="64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">
      <c r="A68" s="20"/>
      <c r="B68" s="221" t="s">
        <v>9</v>
      </c>
      <c r="C68" s="109" t="s">
        <v>187</v>
      </c>
      <c r="D68" s="109" t="s">
        <v>187</v>
      </c>
      <c r="E68" s="64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1" t="s">
        <v>10</v>
      </c>
      <c r="C69" s="109" t="s">
        <v>187</v>
      </c>
      <c r="D69" s="109" t="s">
        <v>187</v>
      </c>
      <c r="E69" s="64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1" t="s">
        <v>11</v>
      </c>
      <c r="C70" s="109" t="s">
        <v>187</v>
      </c>
      <c r="D70" s="109" t="s">
        <v>187</v>
      </c>
      <c r="E70" s="64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1" t="s">
        <v>21</v>
      </c>
      <c r="C71" s="109" t="s">
        <v>187</v>
      </c>
      <c r="D71" s="109" t="s">
        <v>187</v>
      </c>
      <c r="E71" s="64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1" t="s">
        <v>12</v>
      </c>
      <c r="C72" s="109" t="s">
        <v>187</v>
      </c>
      <c r="D72" s="109" t="s">
        <v>187</v>
      </c>
      <c r="E72" s="64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1" t="s">
        <v>13</v>
      </c>
      <c r="C73" s="109" t="s">
        <v>187</v>
      </c>
      <c r="D73" s="109" t="s">
        <v>187</v>
      </c>
      <c r="E73" s="64">
        <v>3.1800000000000002E-2</v>
      </c>
      <c r="F73" s="3">
        <v>0.05</v>
      </c>
      <c r="G73" s="86" t="s">
        <v>3</v>
      </c>
      <c r="H73" s="10" t="s">
        <v>51</v>
      </c>
      <c r="I73" s="132" t="s">
        <v>187</v>
      </c>
    </row>
    <row r="74" spans="1:9">
      <c r="A74" s="20"/>
      <c r="B74" s="223" t="s">
        <v>5</v>
      </c>
      <c r="C74" s="110" t="s">
        <v>187</v>
      </c>
      <c r="D74" s="110" t="s">
        <v>187</v>
      </c>
      <c r="E74" s="227">
        <f>SUBTOTAL(109,E65:E73)</f>
        <v>1.2392000000000003</v>
      </c>
      <c r="F74" s="99">
        <f>SUBTOTAL(109,F65:F73)</f>
        <v>1.31</v>
      </c>
      <c r="G74" s="117" t="s">
        <v>187</v>
      </c>
      <c r="H74" s="118" t="s">
        <v>187</v>
      </c>
      <c r="I74" s="112" t="s">
        <v>187</v>
      </c>
    </row>
    <row r="75" spans="1:9">
      <c r="A75" s="20"/>
      <c r="B75" s="221" t="s">
        <v>6</v>
      </c>
      <c r="C75" s="109" t="s">
        <v>187</v>
      </c>
      <c r="D75" s="109" t="s">
        <v>187</v>
      </c>
      <c r="E75" s="64">
        <v>0.17269999999999999</v>
      </c>
      <c r="F75" s="3">
        <v>0.18</v>
      </c>
      <c r="G75" s="86" t="s">
        <v>4</v>
      </c>
      <c r="H75" s="9" t="s">
        <v>203</v>
      </c>
      <c r="I75" s="1" t="s">
        <v>19</v>
      </c>
    </row>
    <row r="76" spans="1:9">
      <c r="A76" s="21"/>
      <c r="B76" s="225" t="s">
        <v>225</v>
      </c>
      <c r="C76" s="110" t="s">
        <v>187</v>
      </c>
      <c r="D76" s="110" t="s">
        <v>187</v>
      </c>
      <c r="E76" s="66">
        <v>2.5000000000000001E-3</v>
      </c>
      <c r="F76" s="142" t="s">
        <v>187</v>
      </c>
      <c r="G76" s="131" t="s">
        <v>187</v>
      </c>
      <c r="H76" s="131" t="s">
        <v>187</v>
      </c>
      <c r="I76" s="168" t="s">
        <v>187</v>
      </c>
    </row>
    <row r="77" spans="1:9">
      <c r="A77" s="18"/>
      <c r="B77" s="159" t="s">
        <v>187</v>
      </c>
      <c r="C77" s="159" t="s">
        <v>187</v>
      </c>
      <c r="D77" s="159" t="s">
        <v>187</v>
      </c>
      <c r="E77" s="160" t="s">
        <v>187</v>
      </c>
      <c r="F77" s="160" t="s">
        <v>187</v>
      </c>
      <c r="G77" s="160" t="s">
        <v>187</v>
      </c>
      <c r="H77" s="160" t="s">
        <v>187</v>
      </c>
      <c r="I77" s="169" t="s">
        <v>187</v>
      </c>
    </row>
    <row r="78" spans="1:9" ht="28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5">
      <c r="A81" s="29"/>
      <c r="B81" s="121" t="s">
        <v>0</v>
      </c>
      <c r="C81" s="120" t="s">
        <v>223</v>
      </c>
      <c r="D81" s="120" t="s">
        <v>222</v>
      </c>
      <c r="E81" s="120" t="s">
        <v>221</v>
      </c>
      <c r="F81" s="120" t="s">
        <v>198</v>
      </c>
      <c r="G81" s="121" t="s">
        <v>30</v>
      </c>
      <c r="H81" s="121" t="s">
        <v>20</v>
      </c>
      <c r="I81" s="121" t="s">
        <v>35</v>
      </c>
    </row>
    <row r="82" spans="1:9" ht="56">
      <c r="A82" s="31"/>
      <c r="B82" s="104" t="s">
        <v>138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239</v>
      </c>
      <c r="I82" s="6" t="s">
        <v>218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137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187</v>
      </c>
    </row>
    <row r="91" spans="1:9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187</v>
      </c>
      <c r="H91" s="112" t="s">
        <v>187</v>
      </c>
      <c r="I91" s="112" t="s">
        <v>187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>
      <c r="A93" s="31"/>
      <c r="B93" s="26" t="s">
        <v>225</v>
      </c>
      <c r="C93" s="12">
        <v>1.4E-3</v>
      </c>
      <c r="D93" s="12">
        <v>1.4E-3</v>
      </c>
      <c r="E93" s="12">
        <v>1.1999999999999999E-3</v>
      </c>
      <c r="F93" s="142" t="s">
        <v>187</v>
      </c>
      <c r="G93" s="139" t="s">
        <v>187</v>
      </c>
      <c r="H93" s="140" t="s">
        <v>187</v>
      </c>
      <c r="I93" s="146" t="s">
        <v>187</v>
      </c>
    </row>
    <row r="94" spans="1:9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28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5">
      <c r="A98" s="29"/>
      <c r="B98" s="119" t="s">
        <v>0</v>
      </c>
      <c r="C98" s="120" t="s">
        <v>223</v>
      </c>
      <c r="D98" s="120" t="s">
        <v>222</v>
      </c>
      <c r="E98" s="120" t="s">
        <v>221</v>
      </c>
      <c r="F98" s="120" t="s">
        <v>198</v>
      </c>
      <c r="G98" s="121" t="s">
        <v>30</v>
      </c>
      <c r="H98" s="121" t="s">
        <v>20</v>
      </c>
      <c r="I98" s="122" t="s">
        <v>35</v>
      </c>
    </row>
    <row r="99" spans="1:9" ht="56">
      <c r="A99" s="31"/>
      <c r="B99" s="2" t="s">
        <v>138</v>
      </c>
      <c r="C99" s="5">
        <v>4.7699999999999999E-2</v>
      </c>
      <c r="D99" s="5">
        <v>5.1700000000000003E-2</v>
      </c>
      <c r="E99" s="5">
        <v>4.7199999999999999E-2</v>
      </c>
      <c r="F99" s="5" t="s">
        <v>240</v>
      </c>
      <c r="G99" s="85" t="s">
        <v>23</v>
      </c>
      <c r="H99" s="7" t="s">
        <v>58</v>
      </c>
      <c r="I99" s="218" t="s">
        <v>218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14" t="s">
        <v>14</v>
      </c>
    </row>
    <row r="101" spans="1:9">
      <c r="A101" s="31"/>
      <c r="B101" s="69" t="s">
        <v>137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129</v>
      </c>
      <c r="I101" s="114" t="s">
        <v>15</v>
      </c>
    </row>
    <row r="102" spans="1:9" ht="28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14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14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14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14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115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16" t="s">
        <v>187</v>
      </c>
    </row>
    <row r="108" spans="1:9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187</v>
      </c>
      <c r="H108" s="118" t="s">
        <v>187</v>
      </c>
      <c r="I108" s="232" t="s">
        <v>187</v>
      </c>
    </row>
    <row r="109" spans="1:9">
      <c r="A109" s="31"/>
      <c r="B109" s="233" t="s">
        <v>6</v>
      </c>
      <c r="C109" s="234">
        <v>5.6899999999999999E-2</v>
      </c>
      <c r="D109" s="234">
        <v>5.5399999999999998E-2</v>
      </c>
      <c r="E109" s="234">
        <v>5.0500000000000003E-2</v>
      </c>
      <c r="F109" s="234">
        <v>0.08</v>
      </c>
      <c r="G109" s="85" t="s">
        <v>23</v>
      </c>
      <c r="H109" s="52" t="s">
        <v>59</v>
      </c>
      <c r="I109" s="218" t="s">
        <v>19</v>
      </c>
    </row>
    <row r="110" spans="1:9">
      <c r="A110" s="31"/>
      <c r="B110" s="106" t="s">
        <v>225</v>
      </c>
      <c r="C110" s="12">
        <v>1E-3</v>
      </c>
      <c r="D110" s="12">
        <v>1E-3</v>
      </c>
      <c r="E110" s="12">
        <v>1E-3</v>
      </c>
      <c r="F110" s="142" t="s">
        <v>187</v>
      </c>
      <c r="G110" s="139" t="s">
        <v>187</v>
      </c>
      <c r="H110" s="140" t="s">
        <v>187</v>
      </c>
      <c r="I110" s="146" t="s">
        <v>187</v>
      </c>
    </row>
    <row r="111" spans="1:9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28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5">
      <c r="A114" s="29"/>
      <c r="B114" s="224" t="s">
        <v>0</v>
      </c>
      <c r="C114" s="107" t="s">
        <v>187</v>
      </c>
      <c r="D114" s="133" t="s">
        <v>224</v>
      </c>
      <c r="E114" s="120" t="s">
        <v>221</v>
      </c>
      <c r="F114" s="120" t="s">
        <v>198</v>
      </c>
      <c r="G114" s="121" t="s">
        <v>30</v>
      </c>
      <c r="H114" s="121" t="s">
        <v>20</v>
      </c>
      <c r="I114" s="121" t="s">
        <v>35</v>
      </c>
    </row>
    <row r="115" spans="1:9" ht="56">
      <c r="A115" s="31"/>
      <c r="B115" s="221" t="s">
        <v>138</v>
      </c>
      <c r="C115" s="108" t="s">
        <v>187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218</v>
      </c>
    </row>
    <row r="116" spans="1:9">
      <c r="A116" s="30"/>
      <c r="B116" s="221" t="s">
        <v>2</v>
      </c>
      <c r="C116" s="109" t="s">
        <v>187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177</v>
      </c>
      <c r="I116" s="1" t="s">
        <v>14</v>
      </c>
    </row>
    <row r="117" spans="1:9">
      <c r="A117" s="31"/>
      <c r="B117" s="222" t="s">
        <v>137</v>
      </c>
      <c r="C117" s="108" t="s">
        <v>187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">
      <c r="A118" s="31"/>
      <c r="B118" s="228" t="s">
        <v>9</v>
      </c>
      <c r="C118" s="109" t="s">
        <v>187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28" t="s">
        <v>10</v>
      </c>
      <c r="C119" s="109" t="s">
        <v>187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28" t="s">
        <v>11</v>
      </c>
      <c r="C120" s="109" t="s">
        <v>187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28" t="s">
        <v>21</v>
      </c>
      <c r="C121" s="109" t="s">
        <v>187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28" t="s">
        <v>12</v>
      </c>
      <c r="C122" s="109" t="s">
        <v>187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28" t="s">
        <v>13</v>
      </c>
      <c r="C123" s="109" t="s">
        <v>187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187</v>
      </c>
    </row>
    <row r="124" spans="1:9">
      <c r="A124" s="31"/>
      <c r="B124" s="223" t="s">
        <v>5</v>
      </c>
      <c r="C124" s="110" t="s">
        <v>187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187</v>
      </c>
      <c r="H124" s="184" t="s">
        <v>187</v>
      </c>
      <c r="I124" s="112" t="s">
        <v>187</v>
      </c>
    </row>
    <row r="125" spans="1:9">
      <c r="A125" s="31"/>
      <c r="B125" s="221" t="s">
        <v>6</v>
      </c>
      <c r="C125" s="109" t="s">
        <v>187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203</v>
      </c>
      <c r="I125" s="1" t="s">
        <v>19</v>
      </c>
    </row>
    <row r="126" spans="1:9">
      <c r="A126" s="31"/>
      <c r="B126" s="225" t="s">
        <v>225</v>
      </c>
      <c r="C126" s="110" t="s">
        <v>187</v>
      </c>
      <c r="D126" s="12">
        <v>2.2000000000000001E-3</v>
      </c>
      <c r="E126" s="12">
        <v>1.6999999999999999E-3</v>
      </c>
      <c r="F126" s="142" t="s">
        <v>187</v>
      </c>
      <c r="G126" s="139" t="s">
        <v>187</v>
      </c>
      <c r="H126" s="140" t="s">
        <v>187</v>
      </c>
      <c r="I126" s="146" t="s">
        <v>187</v>
      </c>
    </row>
    <row r="127" spans="1:9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28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5">
      <c r="A131" s="29"/>
      <c r="B131" s="119" t="s">
        <v>0</v>
      </c>
      <c r="C131" s="120" t="s">
        <v>223</v>
      </c>
      <c r="D131" s="120" t="s">
        <v>222</v>
      </c>
      <c r="E131" s="120" t="s">
        <v>221</v>
      </c>
      <c r="F131" s="120" t="s">
        <v>198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138</v>
      </c>
      <c r="C132" s="123" t="s">
        <v>187</v>
      </c>
      <c r="D132" s="123" t="s">
        <v>187</v>
      </c>
      <c r="E132" s="123" t="s">
        <v>187</v>
      </c>
      <c r="F132" s="123" t="s">
        <v>187</v>
      </c>
      <c r="G132" s="85" t="s">
        <v>23</v>
      </c>
      <c r="H132" s="157" t="s">
        <v>243</v>
      </c>
      <c r="I132" s="147" t="s">
        <v>187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130</v>
      </c>
      <c r="I133" s="1" t="s">
        <v>14</v>
      </c>
    </row>
    <row r="134" spans="1:9">
      <c r="A134" s="31"/>
      <c r="B134" s="105" t="s">
        <v>137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187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187</v>
      </c>
      <c r="H136" s="118" t="s">
        <v>243</v>
      </c>
      <c r="I136" s="112" t="s">
        <v>187</v>
      </c>
    </row>
    <row r="137" spans="1:9">
      <c r="A137" s="31"/>
      <c r="B137" s="104" t="s">
        <v>6</v>
      </c>
      <c r="C137" s="141" t="s">
        <v>187</v>
      </c>
      <c r="D137" s="141" t="s">
        <v>187</v>
      </c>
      <c r="E137" s="141">
        <v>0</v>
      </c>
      <c r="F137" s="141" t="s">
        <v>187</v>
      </c>
      <c r="G137" s="86" t="s">
        <v>23</v>
      </c>
      <c r="H137" s="132" t="s">
        <v>243</v>
      </c>
      <c r="I137" s="145" t="s">
        <v>187</v>
      </c>
    </row>
    <row r="138" spans="1:9">
      <c r="A138" s="31"/>
      <c r="B138" s="106" t="s">
        <v>225</v>
      </c>
      <c r="C138" s="12">
        <v>1E-3</v>
      </c>
      <c r="D138" s="12">
        <v>1E-3</v>
      </c>
      <c r="E138" s="12">
        <v>1E-3</v>
      </c>
      <c r="F138" s="142" t="s">
        <v>187</v>
      </c>
      <c r="G138" s="139" t="s">
        <v>187</v>
      </c>
      <c r="H138" s="140" t="s">
        <v>187</v>
      </c>
      <c r="I138" s="146" t="s">
        <v>187</v>
      </c>
    </row>
    <row r="139" spans="1:9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28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5">
      <c r="A143" s="43"/>
      <c r="B143" s="119" t="s">
        <v>0</v>
      </c>
      <c r="C143" s="120" t="s">
        <v>223</v>
      </c>
      <c r="D143" s="120" t="s">
        <v>222</v>
      </c>
      <c r="E143" s="120" t="s">
        <v>221</v>
      </c>
      <c r="F143" s="120" t="s">
        <v>198</v>
      </c>
      <c r="G143" s="121" t="s">
        <v>30</v>
      </c>
      <c r="H143" s="121" t="s">
        <v>20</v>
      </c>
      <c r="I143" s="121" t="s">
        <v>35</v>
      </c>
    </row>
    <row r="144" spans="1:9" ht="28">
      <c r="A144" s="45"/>
      <c r="B144" s="104" t="s">
        <v>138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227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131</v>
      </c>
      <c r="I145" s="1" t="s">
        <v>14</v>
      </c>
    </row>
    <row r="146" spans="1:9">
      <c r="A146" s="45"/>
      <c r="B146" s="105" t="s">
        <v>137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125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187</v>
      </c>
      <c r="H148" s="118" t="s">
        <v>187</v>
      </c>
      <c r="I148" s="112" t="s">
        <v>187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203</v>
      </c>
      <c r="I149" s="1" t="s">
        <v>19</v>
      </c>
    </row>
    <row r="150" spans="1:9">
      <c r="A150" s="45"/>
      <c r="B150" s="106" t="s">
        <v>225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187</v>
      </c>
      <c r="G150" s="139" t="s">
        <v>187</v>
      </c>
      <c r="H150" s="140" t="s">
        <v>187</v>
      </c>
      <c r="I150" s="146" t="s">
        <v>187</v>
      </c>
    </row>
    <row r="151" spans="1:9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28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5">
      <c r="A155" s="43"/>
      <c r="B155" s="133" t="s">
        <v>0</v>
      </c>
      <c r="C155" s="120" t="s">
        <v>223</v>
      </c>
      <c r="D155" s="120" t="s">
        <v>222</v>
      </c>
      <c r="E155" s="120" t="s">
        <v>221</v>
      </c>
      <c r="F155" s="120" t="s">
        <v>198</v>
      </c>
      <c r="G155" s="121" t="s">
        <v>30</v>
      </c>
      <c r="H155" s="121" t="s">
        <v>20</v>
      </c>
      <c r="I155" s="121" t="s">
        <v>35</v>
      </c>
    </row>
    <row r="156" spans="1:9" ht="28">
      <c r="A156" s="45"/>
      <c r="B156" s="176" t="s">
        <v>138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227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132</v>
      </c>
      <c r="I157" s="1" t="s">
        <v>14</v>
      </c>
    </row>
    <row r="158" spans="1:9">
      <c r="A158" s="45"/>
      <c r="B158" s="185" t="s">
        <v>137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187</v>
      </c>
      <c r="H160" s="118" t="s">
        <v>187</v>
      </c>
      <c r="I160" s="112" t="s">
        <v>187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203</v>
      </c>
      <c r="I161" s="1" t="s">
        <v>19</v>
      </c>
    </row>
    <row r="162" spans="1:9">
      <c r="A162" s="45"/>
      <c r="B162" s="106" t="s">
        <v>225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187</v>
      </c>
      <c r="G162" s="139" t="s">
        <v>187</v>
      </c>
      <c r="H162" s="140" t="s">
        <v>187</v>
      </c>
      <c r="I162" s="146" t="s">
        <v>187</v>
      </c>
    </row>
    <row r="163" spans="1:9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28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5">
      <c r="A167" s="43"/>
      <c r="B167" s="133" t="s">
        <v>0</v>
      </c>
      <c r="C167" s="120" t="s">
        <v>223</v>
      </c>
      <c r="D167" s="120" t="s">
        <v>222</v>
      </c>
      <c r="E167" s="120" t="s">
        <v>221</v>
      </c>
      <c r="F167" s="120" t="s">
        <v>198</v>
      </c>
      <c r="G167" s="121" t="s">
        <v>30</v>
      </c>
      <c r="H167" s="121" t="s">
        <v>20</v>
      </c>
      <c r="I167" s="121" t="s">
        <v>35</v>
      </c>
    </row>
    <row r="168" spans="1:9" ht="28">
      <c r="A168" s="45"/>
      <c r="B168" s="176" t="s">
        <v>138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227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137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235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187</v>
      </c>
      <c r="H172" s="118" t="s">
        <v>243</v>
      </c>
      <c r="I172" s="112" t="s">
        <v>187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>
      <c r="A174" s="45"/>
      <c r="B174" s="106" t="s">
        <v>225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187</v>
      </c>
      <c r="G174" s="139" t="s">
        <v>187</v>
      </c>
      <c r="H174" s="140" t="s">
        <v>187</v>
      </c>
      <c r="I174" s="146" t="s">
        <v>187</v>
      </c>
    </row>
    <row r="175" spans="1:9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28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5">
      <c r="A178" s="43"/>
      <c r="B178" s="224" t="s">
        <v>0</v>
      </c>
      <c r="C178" s="107" t="s">
        <v>187</v>
      </c>
      <c r="D178" s="133" t="s">
        <v>222</v>
      </c>
      <c r="E178" s="120" t="s">
        <v>221</v>
      </c>
      <c r="F178" s="120" t="s">
        <v>198</v>
      </c>
      <c r="G178" s="121" t="s">
        <v>30</v>
      </c>
      <c r="H178" s="121" t="s">
        <v>20</v>
      </c>
      <c r="I178" s="121" t="s">
        <v>35</v>
      </c>
    </row>
    <row r="179" spans="1:9" ht="28">
      <c r="A179" s="45"/>
      <c r="B179" s="221" t="s">
        <v>138</v>
      </c>
      <c r="C179" s="108" t="s">
        <v>187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227</v>
      </c>
    </row>
    <row r="180" spans="1:9">
      <c r="A180" s="44"/>
      <c r="B180" s="221" t="s">
        <v>2</v>
      </c>
      <c r="C180" s="109" t="s">
        <v>187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2" t="s">
        <v>137</v>
      </c>
      <c r="C181" s="108" t="s">
        <v>187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1" t="s">
        <v>12</v>
      </c>
      <c r="C182" s="109" t="s">
        <v>187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>
      <c r="A183" s="45"/>
      <c r="B183" s="223" t="s">
        <v>5</v>
      </c>
      <c r="C183" s="109" t="s">
        <v>187</v>
      </c>
      <c r="D183" s="227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187</v>
      </c>
      <c r="H183" s="118" t="s">
        <v>243</v>
      </c>
      <c r="I183" s="112" t="s">
        <v>187</v>
      </c>
    </row>
    <row r="184" spans="1:9">
      <c r="A184" s="45"/>
      <c r="B184" s="221" t="s">
        <v>6</v>
      </c>
      <c r="C184" s="109" t="s">
        <v>187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133</v>
      </c>
      <c r="I184" s="1" t="s">
        <v>19</v>
      </c>
    </row>
    <row r="185" spans="1:9">
      <c r="A185" s="45"/>
      <c r="B185" s="225" t="s">
        <v>225</v>
      </c>
      <c r="C185" s="109" t="s">
        <v>187</v>
      </c>
      <c r="D185" s="235">
        <v>5.9999999999999995E-4</v>
      </c>
      <c r="E185" s="100">
        <v>5.9999999999999995E-4</v>
      </c>
      <c r="F185" s="138" t="s">
        <v>187</v>
      </c>
      <c r="G185" s="139" t="s">
        <v>187</v>
      </c>
      <c r="H185" s="140" t="s">
        <v>187</v>
      </c>
      <c r="I185" s="146" t="s">
        <v>187</v>
      </c>
    </row>
    <row r="186" spans="1:9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28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5">
      <c r="A190" s="47"/>
      <c r="B190" s="121" t="s">
        <v>0</v>
      </c>
      <c r="C190" s="120" t="s">
        <v>223</v>
      </c>
      <c r="D190" s="120" t="s">
        <v>222</v>
      </c>
      <c r="E190" s="120" t="s">
        <v>221</v>
      </c>
      <c r="F190" s="120" t="s">
        <v>198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138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200</v>
      </c>
      <c r="I192" s="9" t="s">
        <v>28</v>
      </c>
    </row>
    <row r="193" spans="1:9" ht="28">
      <c r="A193" s="49"/>
      <c r="B193" s="69" t="s">
        <v>137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187</v>
      </c>
      <c r="H195" s="118" t="s">
        <v>243</v>
      </c>
      <c r="I195" s="112" t="s">
        <v>187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>
      <c r="A197" s="49"/>
      <c r="B197" s="26" t="s">
        <v>225</v>
      </c>
      <c r="C197" s="100">
        <v>2E-3</v>
      </c>
      <c r="D197" s="100">
        <v>2E-3</v>
      </c>
      <c r="E197" s="12">
        <v>2.5000000000000001E-3</v>
      </c>
      <c r="F197" s="138" t="s">
        <v>187</v>
      </c>
      <c r="G197" s="139" t="s">
        <v>187</v>
      </c>
      <c r="H197" s="140" t="s">
        <v>187</v>
      </c>
      <c r="I197" s="146" t="s">
        <v>187</v>
      </c>
    </row>
    <row r="198" spans="1:9">
      <c r="A198" s="18"/>
      <c r="B198" s="159" t="s">
        <v>243</v>
      </c>
      <c r="C198" s="159" t="s">
        <v>243</v>
      </c>
      <c r="D198" s="159" t="s">
        <v>243</v>
      </c>
      <c r="E198" s="160" t="s">
        <v>243</v>
      </c>
      <c r="F198" s="160" t="s">
        <v>243</v>
      </c>
      <c r="G198" s="160" t="s">
        <v>243</v>
      </c>
      <c r="H198" s="160" t="s">
        <v>243</v>
      </c>
      <c r="I198" s="169" t="s">
        <v>243</v>
      </c>
    </row>
    <row r="199" spans="1:9" ht="28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5">
      <c r="A202" s="47"/>
      <c r="B202" s="119" t="s">
        <v>0</v>
      </c>
      <c r="C202" s="120" t="s">
        <v>223</v>
      </c>
      <c r="D202" s="120" t="s">
        <v>222</v>
      </c>
      <c r="E202" s="120" t="s">
        <v>221</v>
      </c>
      <c r="F202" s="120" t="s">
        <v>198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138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190</v>
      </c>
      <c r="I204" s="9" t="s">
        <v>14</v>
      </c>
    </row>
    <row r="205" spans="1:9">
      <c r="A205" s="49"/>
      <c r="B205" s="105" t="s">
        <v>137</v>
      </c>
      <c r="C205" s="113">
        <v>0</v>
      </c>
      <c r="D205" s="113">
        <v>0</v>
      </c>
      <c r="E205" s="113">
        <v>0</v>
      </c>
      <c r="F205" s="113" t="s">
        <v>187</v>
      </c>
      <c r="G205" s="86" t="s">
        <v>23</v>
      </c>
      <c r="H205" s="113" t="s">
        <v>243</v>
      </c>
      <c r="I205" s="132" t="s">
        <v>187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131</v>
      </c>
      <c r="I206" s="9" t="s">
        <v>18</v>
      </c>
    </row>
    <row r="207" spans="1:9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187</v>
      </c>
      <c r="H207" s="118" t="s">
        <v>243</v>
      </c>
      <c r="I207" s="112" t="s">
        <v>187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>
      <c r="A209" s="49"/>
      <c r="B209" s="106" t="s">
        <v>225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187</v>
      </c>
      <c r="G209" s="139" t="s">
        <v>187</v>
      </c>
      <c r="H209" s="140" t="s">
        <v>187</v>
      </c>
      <c r="I209" s="146" t="s">
        <v>187</v>
      </c>
    </row>
    <row r="210" spans="1:9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28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5">
      <c r="A214" s="47"/>
      <c r="B214" s="119" t="s">
        <v>0</v>
      </c>
      <c r="C214" s="120" t="s">
        <v>223</v>
      </c>
      <c r="D214" s="120" t="s">
        <v>222</v>
      </c>
      <c r="E214" s="120" t="s">
        <v>221</v>
      </c>
      <c r="F214" s="120" t="s">
        <v>198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138</v>
      </c>
      <c r="C215" s="123">
        <v>0</v>
      </c>
      <c r="D215" s="123" t="s">
        <v>187</v>
      </c>
      <c r="E215" s="123" t="s">
        <v>187</v>
      </c>
      <c r="F215" s="123" t="s">
        <v>187</v>
      </c>
      <c r="G215" s="85" t="s">
        <v>23</v>
      </c>
      <c r="H215" s="157" t="s">
        <v>243</v>
      </c>
      <c r="I215" s="147" t="s">
        <v>187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199</v>
      </c>
      <c r="I216" s="1" t="s">
        <v>28</v>
      </c>
    </row>
    <row r="217" spans="1:9" ht="28">
      <c r="A217" s="49"/>
      <c r="B217" s="105" t="s">
        <v>137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189</v>
      </c>
      <c r="I218" s="9" t="s">
        <v>18</v>
      </c>
    </row>
    <row r="219" spans="1:9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187</v>
      </c>
      <c r="H219" s="118" t="s">
        <v>243</v>
      </c>
      <c r="I219" s="111" t="s">
        <v>187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>
      <c r="A221" s="49"/>
      <c r="B221" s="106" t="s">
        <v>225</v>
      </c>
      <c r="C221" s="12">
        <v>2E-3</v>
      </c>
      <c r="D221" s="12">
        <v>2E-3</v>
      </c>
      <c r="E221" s="12">
        <v>2.5000000000000001E-3</v>
      </c>
      <c r="F221" s="138" t="s">
        <v>187</v>
      </c>
      <c r="G221" s="139" t="s">
        <v>187</v>
      </c>
      <c r="H221" s="140" t="s">
        <v>187</v>
      </c>
      <c r="I221" s="146" t="s">
        <v>187</v>
      </c>
    </row>
    <row r="222" spans="1:9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28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5">
      <c r="A225" s="47"/>
      <c r="B225" s="224" t="s">
        <v>0</v>
      </c>
      <c r="C225" s="236" t="s">
        <v>187</v>
      </c>
      <c r="D225" s="133" t="s">
        <v>222</v>
      </c>
      <c r="E225" s="120" t="s">
        <v>221</v>
      </c>
      <c r="F225" s="120" t="s">
        <v>198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1" t="s">
        <v>138</v>
      </c>
      <c r="C226" s="127" t="s">
        <v>187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1" t="s">
        <v>2</v>
      </c>
      <c r="C227" s="129" t="s">
        <v>187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191</v>
      </c>
      <c r="I227" s="1" t="s">
        <v>28</v>
      </c>
    </row>
    <row r="228" spans="1:9" ht="28">
      <c r="A228" s="49"/>
      <c r="B228" s="222" t="s">
        <v>137</v>
      </c>
      <c r="C228" s="127" t="s">
        <v>187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1" t="s">
        <v>12</v>
      </c>
      <c r="C229" s="129" t="s">
        <v>187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>
      <c r="A230" s="49"/>
      <c r="B230" s="223" t="s">
        <v>5</v>
      </c>
      <c r="C230" s="129" t="s">
        <v>187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187</v>
      </c>
      <c r="H230" s="118" t="s">
        <v>243</v>
      </c>
      <c r="I230" s="111" t="s">
        <v>187</v>
      </c>
    </row>
    <row r="231" spans="1:9">
      <c r="A231" s="49"/>
      <c r="B231" s="221" t="s">
        <v>6</v>
      </c>
      <c r="C231" s="129" t="s">
        <v>187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>
      <c r="A232" s="49"/>
      <c r="B232" s="225" t="s">
        <v>225</v>
      </c>
      <c r="C232" s="134" t="s">
        <v>187</v>
      </c>
      <c r="D232" s="66">
        <v>2.5000000000000001E-3</v>
      </c>
      <c r="E232" s="12">
        <v>2.5000000000000001E-3</v>
      </c>
      <c r="F232" s="138" t="s">
        <v>187</v>
      </c>
      <c r="G232" s="139" t="s">
        <v>187</v>
      </c>
      <c r="H232" s="140" t="s">
        <v>187</v>
      </c>
      <c r="I232" s="146" t="s">
        <v>187</v>
      </c>
    </row>
    <row r="233" spans="1:9">
      <c r="A233" s="18"/>
      <c r="B233" s="159" t="s">
        <v>194</v>
      </c>
      <c r="C233" s="159" t="s">
        <v>194</v>
      </c>
      <c r="D233" s="159" t="s">
        <v>194</v>
      </c>
      <c r="E233" s="160" t="s">
        <v>194</v>
      </c>
      <c r="F233" s="160" t="s">
        <v>194</v>
      </c>
      <c r="G233" s="160" t="s">
        <v>194</v>
      </c>
      <c r="H233" s="160" t="s">
        <v>194</v>
      </c>
      <c r="I233" s="169" t="s">
        <v>194</v>
      </c>
    </row>
    <row r="234" spans="1:9" ht="28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5">
      <c r="A237" s="47"/>
      <c r="B237" s="119" t="s">
        <v>0</v>
      </c>
      <c r="C237" s="120" t="s">
        <v>223</v>
      </c>
      <c r="D237" s="120" t="s">
        <v>222</v>
      </c>
      <c r="E237" s="120" t="s">
        <v>221</v>
      </c>
      <c r="F237" s="120" t="s">
        <v>198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138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3">
        <v>0.05</v>
      </c>
      <c r="G239" s="3" t="s">
        <v>24</v>
      </c>
      <c r="H239" s="3" t="s">
        <v>51</v>
      </c>
      <c r="I239" s="1" t="s">
        <v>14</v>
      </c>
    </row>
    <row r="240" spans="1:9">
      <c r="A240" s="49"/>
      <c r="B240" s="105" t="s">
        <v>137</v>
      </c>
      <c r="C240" s="113">
        <v>0</v>
      </c>
      <c r="D240" s="113">
        <v>0</v>
      </c>
      <c r="E240" s="113">
        <v>0</v>
      </c>
      <c r="F240" s="132" t="s">
        <v>187</v>
      </c>
      <c r="G240" s="3" t="s">
        <v>23</v>
      </c>
      <c r="H240" s="132" t="s">
        <v>187</v>
      </c>
      <c r="I240" s="132" t="s">
        <v>187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3">
        <v>0.08</v>
      </c>
      <c r="G241" s="3" t="s">
        <v>24</v>
      </c>
      <c r="H241" s="3" t="s">
        <v>204</v>
      </c>
      <c r="I241" s="1" t="s">
        <v>18</v>
      </c>
    </row>
    <row r="242" spans="1:9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1.07</v>
      </c>
      <c r="G242" s="117" t="s">
        <v>187</v>
      </c>
      <c r="H242" s="118" t="s">
        <v>243</v>
      </c>
      <c r="I242" s="111" t="s">
        <v>187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>
      <c r="A244" s="49"/>
      <c r="B244" s="106" t="s">
        <v>225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187</v>
      </c>
      <c r="G244" s="139" t="s">
        <v>187</v>
      </c>
      <c r="H244" s="140" t="s">
        <v>187</v>
      </c>
      <c r="I244" s="146" t="s">
        <v>187</v>
      </c>
    </row>
    <row r="245" spans="1:9">
      <c r="A245" s="18"/>
      <c r="B245" s="159" t="s">
        <v>187</v>
      </c>
      <c r="C245" s="159" t="s">
        <v>187</v>
      </c>
      <c r="D245" s="159" t="s">
        <v>187</v>
      </c>
      <c r="E245" s="160" t="s">
        <v>187</v>
      </c>
      <c r="F245" s="160" t="s">
        <v>187</v>
      </c>
      <c r="G245" s="160" t="s">
        <v>187</v>
      </c>
      <c r="H245" s="160" t="s">
        <v>187</v>
      </c>
      <c r="I245" s="169" t="s">
        <v>187</v>
      </c>
    </row>
    <row r="246" spans="1:9" ht="23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5">
      <c r="A247" s="50"/>
      <c r="B247" s="13" t="s">
        <v>0</v>
      </c>
      <c r="C247" s="236" t="s">
        <v>187</v>
      </c>
      <c r="D247" s="237" t="s">
        <v>188</v>
      </c>
      <c r="E247" s="120" t="s">
        <v>220</v>
      </c>
      <c r="F247" s="120" t="s">
        <v>198</v>
      </c>
      <c r="G247" s="124" t="s">
        <v>30</v>
      </c>
      <c r="H247" s="121" t="s">
        <v>20</v>
      </c>
      <c r="I247" s="121" t="s">
        <v>35</v>
      </c>
    </row>
    <row r="248" spans="1:9" ht="56">
      <c r="A248" s="50"/>
      <c r="B248" s="229" t="s">
        <v>138</v>
      </c>
      <c r="C248" s="127" t="s">
        <v>187</v>
      </c>
      <c r="D248" s="128" t="s">
        <v>187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218</v>
      </c>
    </row>
    <row r="249" spans="1:9">
      <c r="A249" s="50"/>
      <c r="B249" s="221" t="s">
        <v>2</v>
      </c>
      <c r="C249" s="129" t="s">
        <v>187</v>
      </c>
      <c r="D249" s="130" t="s">
        <v>187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2" t="s">
        <v>137</v>
      </c>
      <c r="C250" s="127" t="s">
        <v>187</v>
      </c>
      <c r="D250" s="128" t="s">
        <v>187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">
      <c r="A251" s="50"/>
      <c r="B251" s="228" t="s">
        <v>9</v>
      </c>
      <c r="C251" s="129" t="s">
        <v>187</v>
      </c>
      <c r="D251" s="130" t="s">
        <v>187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28" t="s">
        <v>10</v>
      </c>
      <c r="C252" s="129" t="s">
        <v>187</v>
      </c>
      <c r="D252" s="130" t="s">
        <v>187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28" t="s">
        <v>11</v>
      </c>
      <c r="C253" s="129" t="s">
        <v>187</v>
      </c>
      <c r="D253" s="130" t="s">
        <v>187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28" t="s">
        <v>21</v>
      </c>
      <c r="C254" s="129" t="s">
        <v>187</v>
      </c>
      <c r="D254" s="130" t="s">
        <v>187</v>
      </c>
      <c r="E254" s="137">
        <v>0</v>
      </c>
      <c r="F254" s="113" t="s">
        <v>187</v>
      </c>
      <c r="G254" s="87" t="s">
        <v>3</v>
      </c>
      <c r="H254" s="132" t="s">
        <v>187</v>
      </c>
      <c r="I254" s="145" t="s">
        <v>187</v>
      </c>
    </row>
    <row r="255" spans="1:9" ht="15.5">
      <c r="A255" s="50"/>
      <c r="B255" s="228" t="s">
        <v>12</v>
      </c>
      <c r="C255" s="125" t="s">
        <v>187</v>
      </c>
      <c r="D255" s="126" t="s">
        <v>187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1" t="s">
        <v>13</v>
      </c>
      <c r="C256" s="127" t="s">
        <v>187</v>
      </c>
      <c r="D256" s="128" t="s">
        <v>187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187</v>
      </c>
    </row>
    <row r="257" spans="1:9">
      <c r="A257" s="50"/>
      <c r="B257" s="223" t="s">
        <v>5</v>
      </c>
      <c r="C257" s="129" t="s">
        <v>187</v>
      </c>
      <c r="D257" s="130" t="s">
        <v>187</v>
      </c>
      <c r="E257" s="27">
        <f>SUBTOTAL(109,E248:E256)</f>
        <v>1.0430000000000001</v>
      </c>
      <c r="F257" s="27">
        <f>SUBTOTAL(109,F248:F256)</f>
        <v>1.29</v>
      </c>
      <c r="G257" s="117" t="s">
        <v>187</v>
      </c>
      <c r="H257" s="118" t="s">
        <v>187</v>
      </c>
      <c r="I257" s="112" t="s">
        <v>187</v>
      </c>
    </row>
    <row r="258" spans="1:9">
      <c r="A258" s="50"/>
      <c r="B258" s="221" t="s">
        <v>6</v>
      </c>
      <c r="C258" s="127" t="s">
        <v>187</v>
      </c>
      <c r="D258" s="128" t="s">
        <v>187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>
      <c r="A259" s="50"/>
      <c r="B259" s="225" t="s">
        <v>225</v>
      </c>
      <c r="C259" s="134" t="s">
        <v>187</v>
      </c>
      <c r="D259" s="135" t="s">
        <v>187</v>
      </c>
      <c r="E259" s="66">
        <v>1.9E-3</v>
      </c>
      <c r="F259" s="111" t="s">
        <v>187</v>
      </c>
      <c r="G259" s="131" t="s">
        <v>187</v>
      </c>
      <c r="H259" s="131" t="s">
        <v>187</v>
      </c>
      <c r="I259" s="146" t="s">
        <v>187</v>
      </c>
    </row>
    <row r="260" spans="1:9">
      <c r="A260" s="18"/>
      <c r="B260" s="15"/>
      <c r="C260" s="15"/>
      <c r="D260" s="15"/>
      <c r="E260" s="160" t="s">
        <v>243</v>
      </c>
      <c r="F260" s="160" t="s">
        <v>243</v>
      </c>
      <c r="G260" s="160" t="s">
        <v>243</v>
      </c>
      <c r="H260" s="160" t="s">
        <v>243</v>
      </c>
      <c r="I260" s="169" t="s">
        <v>243</v>
      </c>
    </row>
    <row r="261" spans="1:9" ht="23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5">
      <c r="A262" s="50"/>
      <c r="B262" s="224" t="s">
        <v>0</v>
      </c>
      <c r="C262" s="236" t="s">
        <v>187</v>
      </c>
      <c r="D262" s="238" t="s">
        <v>188</v>
      </c>
      <c r="E262" s="120" t="s">
        <v>220</v>
      </c>
      <c r="F262" s="120" t="s">
        <v>198</v>
      </c>
      <c r="G262" s="124" t="s">
        <v>30</v>
      </c>
      <c r="H262" s="121" t="s">
        <v>20</v>
      </c>
      <c r="I262" s="121" t="s">
        <v>35</v>
      </c>
    </row>
    <row r="263" spans="1:9" ht="28">
      <c r="A263" s="50"/>
      <c r="B263" s="221" t="s">
        <v>138</v>
      </c>
      <c r="C263" s="127" t="s">
        <v>187</v>
      </c>
      <c r="D263" s="108" t="s">
        <v>188</v>
      </c>
      <c r="E263" s="5" t="s">
        <v>236</v>
      </c>
      <c r="F263" s="5" t="s">
        <v>237</v>
      </c>
      <c r="G263" s="85" t="s">
        <v>4</v>
      </c>
      <c r="H263" s="7" t="s">
        <v>66</v>
      </c>
      <c r="I263" s="6" t="s">
        <v>227</v>
      </c>
    </row>
    <row r="264" spans="1:9">
      <c r="A264" s="50"/>
      <c r="B264" s="221" t="s">
        <v>2</v>
      </c>
      <c r="C264" s="129" t="s">
        <v>187</v>
      </c>
      <c r="D264" s="109" t="s">
        <v>187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2" t="s">
        <v>137</v>
      </c>
      <c r="C265" s="127" t="s">
        <v>187</v>
      </c>
      <c r="D265" s="108" t="s">
        <v>187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">
      <c r="A266" s="50"/>
      <c r="B266" s="228" t="s">
        <v>9</v>
      </c>
      <c r="C266" s="129" t="s">
        <v>187</v>
      </c>
      <c r="D266" s="109" t="s">
        <v>187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28" t="s">
        <v>10</v>
      </c>
      <c r="C267" s="129" t="s">
        <v>187</v>
      </c>
      <c r="D267" s="109" t="s">
        <v>187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28" t="s">
        <v>11</v>
      </c>
      <c r="C268" s="129" t="s">
        <v>187</v>
      </c>
      <c r="D268" s="109" t="s">
        <v>187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28" t="s">
        <v>21</v>
      </c>
      <c r="C269" s="129" t="s">
        <v>187</v>
      </c>
      <c r="D269" s="109" t="s">
        <v>187</v>
      </c>
      <c r="E269" s="113">
        <v>0</v>
      </c>
      <c r="F269" s="113" t="s">
        <v>187</v>
      </c>
      <c r="G269" s="87" t="s">
        <v>3</v>
      </c>
      <c r="H269" s="132" t="s">
        <v>243</v>
      </c>
      <c r="I269" s="145" t="s">
        <v>187</v>
      </c>
    </row>
    <row r="270" spans="1:9" ht="15.5">
      <c r="A270" s="50"/>
      <c r="B270" s="228" t="s">
        <v>12</v>
      </c>
      <c r="C270" s="125" t="s">
        <v>187</v>
      </c>
      <c r="D270" s="107" t="s">
        <v>187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1" t="s">
        <v>13</v>
      </c>
      <c r="C271" s="127" t="s">
        <v>187</v>
      </c>
      <c r="D271" s="108" t="s">
        <v>187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187</v>
      </c>
    </row>
    <row r="272" spans="1:9">
      <c r="A272" s="50"/>
      <c r="B272" s="223" t="s">
        <v>5</v>
      </c>
      <c r="C272" s="129" t="s">
        <v>187</v>
      </c>
      <c r="D272" s="109" t="s">
        <v>187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187</v>
      </c>
      <c r="H272" s="118" t="s">
        <v>243</v>
      </c>
      <c r="I272" s="112" t="s">
        <v>187</v>
      </c>
    </row>
    <row r="273" spans="1:9">
      <c r="A273" s="50"/>
      <c r="B273" s="221" t="s">
        <v>6</v>
      </c>
      <c r="C273" s="127" t="s">
        <v>187</v>
      </c>
      <c r="D273" s="108" t="s">
        <v>187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>
      <c r="A274" s="50"/>
      <c r="B274" s="225" t="s">
        <v>225</v>
      </c>
      <c r="C274" s="134" t="s">
        <v>187</v>
      </c>
      <c r="D274" s="239" t="s">
        <v>187</v>
      </c>
      <c r="E274" s="66">
        <v>1.9E-3</v>
      </c>
      <c r="F274" s="111" t="s">
        <v>187</v>
      </c>
      <c r="G274" s="131" t="s">
        <v>187</v>
      </c>
      <c r="H274" s="131" t="s">
        <v>187</v>
      </c>
      <c r="I274" s="146" t="s">
        <v>187</v>
      </c>
    </row>
    <row r="275" spans="1:9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5">
      <c r="A277" s="50"/>
      <c r="B277" s="240" t="s">
        <v>0</v>
      </c>
      <c r="C277" s="236" t="s">
        <v>187</v>
      </c>
      <c r="D277" s="238" t="s">
        <v>188</v>
      </c>
      <c r="E277" s="120" t="s">
        <v>220</v>
      </c>
      <c r="F277" s="120" t="s">
        <v>198</v>
      </c>
      <c r="G277" s="124" t="s">
        <v>30</v>
      </c>
      <c r="H277" s="121" t="s">
        <v>20</v>
      </c>
      <c r="I277" s="121" t="s">
        <v>35</v>
      </c>
    </row>
    <row r="278" spans="1:9" ht="28">
      <c r="A278" s="50"/>
      <c r="B278" s="221" t="s">
        <v>138</v>
      </c>
      <c r="C278" s="127" t="s">
        <v>187</v>
      </c>
      <c r="D278" s="108" t="s">
        <v>187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227</v>
      </c>
    </row>
    <row r="279" spans="1:9">
      <c r="A279" s="50"/>
      <c r="B279" s="221" t="s">
        <v>2</v>
      </c>
      <c r="C279" s="129" t="s">
        <v>187</v>
      </c>
      <c r="D279" s="109" t="s">
        <v>187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2" t="s">
        <v>137</v>
      </c>
      <c r="C280" s="127" t="s">
        <v>187</v>
      </c>
      <c r="D280" s="108" t="s">
        <v>187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">
      <c r="A281" s="50"/>
      <c r="B281" s="228" t="s">
        <v>9</v>
      </c>
      <c r="C281" s="129" t="s">
        <v>187</v>
      </c>
      <c r="D281" s="109" t="s">
        <v>187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28" t="s">
        <v>10</v>
      </c>
      <c r="C282" s="129" t="s">
        <v>187</v>
      </c>
      <c r="D282" s="109" t="s">
        <v>187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28" t="s">
        <v>11</v>
      </c>
      <c r="C283" s="129" t="s">
        <v>187</v>
      </c>
      <c r="D283" s="109" t="s">
        <v>187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28" t="s">
        <v>21</v>
      </c>
      <c r="C284" s="129" t="s">
        <v>187</v>
      </c>
      <c r="D284" s="109" t="s">
        <v>187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5">
      <c r="A285" s="50"/>
      <c r="B285" s="221" t="s">
        <v>12</v>
      </c>
      <c r="C285" s="125" t="s">
        <v>187</v>
      </c>
      <c r="D285" s="107" t="s">
        <v>187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1" t="s">
        <v>13</v>
      </c>
      <c r="C286" s="127" t="s">
        <v>187</v>
      </c>
      <c r="D286" s="108" t="s">
        <v>187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187</v>
      </c>
    </row>
    <row r="287" spans="1:9">
      <c r="A287" s="50"/>
      <c r="B287" s="223" t="s">
        <v>5</v>
      </c>
      <c r="C287" s="129" t="s">
        <v>187</v>
      </c>
      <c r="D287" s="109" t="s">
        <v>187</v>
      </c>
      <c r="E287" s="99">
        <f>SUBTOTAL(109,E278:E286)</f>
        <v>1.4681</v>
      </c>
      <c r="F287" s="99">
        <f>SUBTOTAL(109,F278:F286)</f>
        <v>1.6800000000000004</v>
      </c>
      <c r="G287" s="117" t="s">
        <v>187</v>
      </c>
      <c r="H287" s="118" t="s">
        <v>187</v>
      </c>
      <c r="I287" s="112" t="s">
        <v>187</v>
      </c>
    </row>
    <row r="288" spans="1:9">
      <c r="A288" s="50"/>
      <c r="B288" s="221" t="s">
        <v>6</v>
      </c>
      <c r="C288" s="127" t="s">
        <v>187</v>
      </c>
      <c r="D288" s="108" t="s">
        <v>187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>
      <c r="A289" s="50"/>
      <c r="B289" s="225" t="s">
        <v>225</v>
      </c>
      <c r="C289" s="134" t="s">
        <v>187</v>
      </c>
      <c r="D289" s="239" t="s">
        <v>187</v>
      </c>
      <c r="E289" s="66">
        <v>1.9E-3</v>
      </c>
      <c r="F289" s="111" t="s">
        <v>187</v>
      </c>
      <c r="G289" s="131" t="s">
        <v>187</v>
      </c>
      <c r="H289" s="131" t="s">
        <v>187</v>
      </c>
      <c r="I289" s="146" t="s">
        <v>187</v>
      </c>
    </row>
    <row r="290" spans="1:9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5">
      <c r="A292" s="50"/>
      <c r="B292" s="224" t="s">
        <v>0</v>
      </c>
      <c r="C292" s="236" t="s">
        <v>187</v>
      </c>
      <c r="D292" s="238" t="s">
        <v>188</v>
      </c>
      <c r="E292" s="120" t="s">
        <v>220</v>
      </c>
      <c r="F292" s="120" t="s">
        <v>198</v>
      </c>
      <c r="G292" s="124" t="s">
        <v>30</v>
      </c>
      <c r="H292" s="121" t="s">
        <v>20</v>
      </c>
      <c r="I292" s="121" t="s">
        <v>35</v>
      </c>
    </row>
    <row r="293" spans="1:9" ht="28">
      <c r="A293" s="50"/>
      <c r="B293" s="221" t="s">
        <v>138</v>
      </c>
      <c r="C293" s="127" t="s">
        <v>187</v>
      </c>
      <c r="D293" s="108" t="s">
        <v>188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227</v>
      </c>
    </row>
    <row r="294" spans="1:9">
      <c r="A294" s="50"/>
      <c r="B294" s="221" t="s">
        <v>2</v>
      </c>
      <c r="C294" s="129" t="s">
        <v>187</v>
      </c>
      <c r="D294" s="109" t="s">
        <v>187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2" t="s">
        <v>137</v>
      </c>
      <c r="C295" s="127" t="s">
        <v>187</v>
      </c>
      <c r="D295" s="108" t="s">
        <v>187</v>
      </c>
      <c r="E295" s="3">
        <v>9.3100000000000002E-2</v>
      </c>
      <c r="F295" s="3">
        <v>0.06</v>
      </c>
      <c r="G295" s="86" t="s">
        <v>4</v>
      </c>
      <c r="H295" s="3" t="s">
        <v>58</v>
      </c>
      <c r="I295" s="1" t="s">
        <v>15</v>
      </c>
    </row>
    <row r="296" spans="1:9">
      <c r="A296" s="50"/>
      <c r="B296" s="221" t="s">
        <v>12</v>
      </c>
      <c r="C296" s="129" t="s">
        <v>187</v>
      </c>
      <c r="D296" s="109" t="s">
        <v>187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>
      <c r="A297" s="50"/>
      <c r="B297" s="223" t="s">
        <v>5</v>
      </c>
      <c r="C297" s="129" t="s">
        <v>187</v>
      </c>
      <c r="D297" s="109" t="s">
        <v>187</v>
      </c>
      <c r="E297" s="27">
        <f>SUBTOTAL(109,E293:E296)</f>
        <v>1.4542999999999999</v>
      </c>
      <c r="F297" s="27">
        <f>SUBTOTAL(109,F293:F296)</f>
        <v>1.4</v>
      </c>
      <c r="G297" s="117" t="s">
        <v>187</v>
      </c>
      <c r="H297" s="118" t="s">
        <v>243</v>
      </c>
      <c r="I297" s="112" t="s">
        <v>187</v>
      </c>
    </row>
    <row r="298" spans="1:9">
      <c r="A298" s="50"/>
      <c r="B298" s="221" t="s">
        <v>6</v>
      </c>
      <c r="C298" s="129" t="s">
        <v>187</v>
      </c>
      <c r="D298" s="109" t="s">
        <v>187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>
      <c r="A299" s="50"/>
      <c r="B299" s="225" t="s">
        <v>225</v>
      </c>
      <c r="C299" s="129" t="s">
        <v>187</v>
      </c>
      <c r="D299" s="109" t="s">
        <v>187</v>
      </c>
      <c r="E299" s="66">
        <v>1.5E-3</v>
      </c>
      <c r="F299" s="111" t="s">
        <v>187</v>
      </c>
      <c r="G299" s="131" t="s">
        <v>187</v>
      </c>
      <c r="H299" s="131" t="s">
        <v>187</v>
      </c>
      <c r="I299" s="146" t="s">
        <v>187</v>
      </c>
    </row>
    <row r="300" spans="1:9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">
      <c r="A301" s="51" t="s">
        <v>115</v>
      </c>
      <c r="B301" s="32" t="s">
        <v>124</v>
      </c>
      <c r="C301" s="32"/>
      <c r="D301" s="32"/>
      <c r="E301" s="33"/>
      <c r="F301" s="34"/>
      <c r="G301" s="90"/>
      <c r="H301" s="33"/>
      <c r="I301" s="39"/>
    </row>
    <row r="302" spans="1:9" ht="15.5">
      <c r="A302" s="50"/>
      <c r="B302" s="224" t="s">
        <v>0</v>
      </c>
      <c r="C302" s="236" t="s">
        <v>187</v>
      </c>
      <c r="D302" s="238" t="s">
        <v>188</v>
      </c>
      <c r="E302" s="120" t="s">
        <v>220</v>
      </c>
      <c r="F302" s="120" t="s">
        <v>198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1" t="s">
        <v>138</v>
      </c>
      <c r="C303" s="127" t="s">
        <v>187</v>
      </c>
      <c r="D303" s="108" t="s">
        <v>188</v>
      </c>
      <c r="E303" s="5" t="s">
        <v>231</v>
      </c>
      <c r="F303" s="5" t="s">
        <v>232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1" t="s">
        <v>2</v>
      </c>
      <c r="C304" s="129" t="s">
        <v>187</v>
      </c>
      <c r="D304" s="109" t="s">
        <v>187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2" t="s">
        <v>137</v>
      </c>
      <c r="C305" s="127" t="s">
        <v>187</v>
      </c>
      <c r="D305" s="108" t="s">
        <v>187</v>
      </c>
      <c r="E305" s="3">
        <v>0.28149999999999997</v>
      </c>
      <c r="F305" s="3">
        <v>0.34</v>
      </c>
      <c r="G305" s="86" t="s">
        <v>4</v>
      </c>
      <c r="H305" s="4" t="s">
        <v>125</v>
      </c>
      <c r="I305" s="1" t="s">
        <v>26</v>
      </c>
    </row>
    <row r="306" spans="1:9">
      <c r="A306" s="50"/>
      <c r="B306" s="221" t="s">
        <v>12</v>
      </c>
      <c r="C306" s="129" t="s">
        <v>187</v>
      </c>
      <c r="D306" s="109" t="s">
        <v>187</v>
      </c>
      <c r="E306" s="3">
        <v>0.23449999999999999</v>
      </c>
      <c r="F306" s="3">
        <v>0.21</v>
      </c>
      <c r="G306" s="86" t="s">
        <v>3</v>
      </c>
      <c r="H306" s="9" t="s">
        <v>126</v>
      </c>
      <c r="I306" s="9" t="s">
        <v>18</v>
      </c>
    </row>
    <row r="307" spans="1:9">
      <c r="A307" s="50"/>
      <c r="B307" s="223" t="s">
        <v>5</v>
      </c>
      <c r="C307" s="129" t="s">
        <v>187</v>
      </c>
      <c r="D307" s="109" t="s">
        <v>187</v>
      </c>
      <c r="E307" s="27">
        <f>SUBTOTAL(109,E303:E306)</f>
        <v>0.748</v>
      </c>
      <c r="F307" s="27">
        <f>SUBTOTAL(109,F303:F306)</f>
        <v>0.8</v>
      </c>
      <c r="G307" s="117" t="s">
        <v>187</v>
      </c>
      <c r="H307" s="118" t="s">
        <v>243</v>
      </c>
      <c r="I307" s="112" t="s">
        <v>187</v>
      </c>
    </row>
    <row r="308" spans="1:9">
      <c r="A308" s="50"/>
      <c r="B308" s="221" t="s">
        <v>6</v>
      </c>
      <c r="C308" s="129" t="s">
        <v>187</v>
      </c>
      <c r="D308" s="109" t="s">
        <v>187</v>
      </c>
      <c r="E308" s="11">
        <v>0.83679999999999999</v>
      </c>
      <c r="F308" s="11">
        <v>0.81</v>
      </c>
      <c r="G308" s="86" t="s">
        <v>4</v>
      </c>
      <c r="H308" s="9" t="s">
        <v>127</v>
      </c>
      <c r="I308" s="1" t="s">
        <v>19</v>
      </c>
    </row>
    <row r="309" spans="1:9">
      <c r="A309" s="50"/>
      <c r="B309" s="225" t="s">
        <v>225</v>
      </c>
      <c r="C309" s="129" t="s">
        <v>187</v>
      </c>
      <c r="D309" s="109" t="s">
        <v>187</v>
      </c>
      <c r="E309" s="66">
        <v>3.0000000000000001E-3</v>
      </c>
      <c r="F309" s="111" t="s">
        <v>187</v>
      </c>
      <c r="G309" s="131" t="s">
        <v>187</v>
      </c>
      <c r="H309" s="131" t="s">
        <v>187</v>
      </c>
      <c r="I309" s="146" t="s">
        <v>187</v>
      </c>
    </row>
    <row r="310" spans="1:9">
      <c r="A310" s="18"/>
      <c r="B310" s="15"/>
      <c r="C310" s="15"/>
      <c r="D310" s="15"/>
      <c r="E310" s="17"/>
      <c r="F310" s="16"/>
      <c r="G310" s="88"/>
      <c r="H310" s="17"/>
      <c r="I310" s="167"/>
    </row>
    <row r="311" spans="1:9" ht="23">
      <c r="A311" s="252"/>
      <c r="B311" s="36" t="s">
        <v>255</v>
      </c>
      <c r="C311" s="36"/>
      <c r="D311" s="36"/>
      <c r="E311" s="37"/>
      <c r="F311" s="38"/>
      <c r="G311" s="91"/>
      <c r="H311" s="37"/>
      <c r="I311" s="39"/>
    </row>
    <row r="312" spans="1:9" ht="23">
      <c r="A312" s="252"/>
      <c r="B312" s="41" t="s">
        <v>256</v>
      </c>
      <c r="C312" s="41"/>
      <c r="D312" s="41"/>
      <c r="E312" s="37"/>
      <c r="F312" s="38"/>
      <c r="G312" s="91"/>
      <c r="H312" s="37"/>
      <c r="I312" s="39"/>
    </row>
    <row r="313" spans="1:9" ht="23">
      <c r="A313" s="252"/>
      <c r="B313" s="41" t="s">
        <v>257</v>
      </c>
      <c r="C313" s="41"/>
      <c r="D313" s="41"/>
      <c r="E313" s="37"/>
      <c r="F313" s="38"/>
      <c r="G313" s="91"/>
      <c r="H313" s="37"/>
      <c r="I313" s="39"/>
    </row>
    <row r="314" spans="1:9" ht="15.5">
      <c r="A314" s="252"/>
      <c r="B314" s="224" t="s">
        <v>0</v>
      </c>
      <c r="C314" s="236" t="s">
        <v>187</v>
      </c>
      <c r="D314" s="238" t="s">
        <v>188</v>
      </c>
      <c r="E314" s="120" t="s">
        <v>220</v>
      </c>
      <c r="F314" s="133" t="s">
        <v>198</v>
      </c>
      <c r="G314" s="124" t="s">
        <v>30</v>
      </c>
      <c r="H314" s="121" t="s">
        <v>20</v>
      </c>
      <c r="I314" s="121" t="s">
        <v>35</v>
      </c>
    </row>
    <row r="315" spans="1:9">
      <c r="A315" s="252"/>
      <c r="B315" s="221" t="s">
        <v>138</v>
      </c>
      <c r="C315" s="127" t="s">
        <v>187</v>
      </c>
      <c r="D315" s="108" t="s">
        <v>188</v>
      </c>
      <c r="E315" s="255">
        <v>0</v>
      </c>
      <c r="F315" s="63">
        <v>0.99</v>
      </c>
      <c r="G315" s="85" t="s">
        <v>4</v>
      </c>
      <c r="H315" s="7" t="s">
        <v>250</v>
      </c>
      <c r="I315" s="52" t="s">
        <v>249</v>
      </c>
    </row>
    <row r="316" spans="1:9">
      <c r="A316" s="252"/>
      <c r="B316" s="221" t="s">
        <v>2</v>
      </c>
      <c r="C316" s="129" t="s">
        <v>187</v>
      </c>
      <c r="D316" s="109" t="s">
        <v>187</v>
      </c>
      <c r="E316" s="255">
        <v>0</v>
      </c>
      <c r="F316" s="64">
        <v>0.3</v>
      </c>
      <c r="G316" s="86" t="s">
        <v>3</v>
      </c>
      <c r="H316" s="4" t="s">
        <v>251</v>
      </c>
      <c r="I316" s="1" t="s">
        <v>14</v>
      </c>
    </row>
    <row r="317" spans="1:9">
      <c r="A317" s="252"/>
      <c r="B317" s="222" t="s">
        <v>137</v>
      </c>
      <c r="C317" s="127" t="s">
        <v>187</v>
      </c>
      <c r="D317" s="108" t="s">
        <v>187</v>
      </c>
      <c r="E317" s="255">
        <v>0</v>
      </c>
      <c r="F317" s="64">
        <v>0.06</v>
      </c>
      <c r="G317" s="85" t="s">
        <v>4</v>
      </c>
      <c r="H317" s="4" t="s">
        <v>252</v>
      </c>
      <c r="I317" s="1" t="s">
        <v>15</v>
      </c>
    </row>
    <row r="318" spans="1:9">
      <c r="A318" s="252"/>
      <c r="B318" s="228" t="s">
        <v>10</v>
      </c>
      <c r="C318" s="129" t="s">
        <v>187</v>
      </c>
      <c r="D318" s="109" t="s">
        <v>187</v>
      </c>
      <c r="E318" s="255">
        <v>0</v>
      </c>
      <c r="F318" s="64">
        <v>0.05</v>
      </c>
      <c r="G318" s="86" t="s">
        <v>3</v>
      </c>
      <c r="H318" s="9" t="s">
        <v>253</v>
      </c>
      <c r="I318" s="1" t="s">
        <v>17</v>
      </c>
    </row>
    <row r="319" spans="1:9">
      <c r="A319" s="252"/>
      <c r="B319" s="228" t="s">
        <v>21</v>
      </c>
      <c r="C319" s="129" t="s">
        <v>187</v>
      </c>
      <c r="D319" s="109" t="s">
        <v>187</v>
      </c>
      <c r="E319" s="255">
        <v>0</v>
      </c>
      <c r="F319" s="64">
        <v>0.05</v>
      </c>
      <c r="G319" s="86" t="s">
        <v>3</v>
      </c>
      <c r="H319" s="9" t="s">
        <v>253</v>
      </c>
      <c r="I319" s="9" t="s">
        <v>18</v>
      </c>
    </row>
    <row r="320" spans="1:9">
      <c r="A320" s="252"/>
      <c r="B320" s="221" t="s">
        <v>12</v>
      </c>
      <c r="C320" s="129" t="s">
        <v>187</v>
      </c>
      <c r="D320" s="109" t="s">
        <v>187</v>
      </c>
      <c r="E320" s="255">
        <v>0</v>
      </c>
      <c r="F320" s="65">
        <v>0.15</v>
      </c>
      <c r="G320" s="86" t="s">
        <v>3</v>
      </c>
      <c r="H320" s="9" t="s">
        <v>254</v>
      </c>
      <c r="I320" s="9" t="s">
        <v>18</v>
      </c>
    </row>
    <row r="321" spans="1:9">
      <c r="A321" s="252"/>
      <c r="B321" s="221" t="s">
        <v>13</v>
      </c>
      <c r="C321" s="129" t="s">
        <v>187</v>
      </c>
      <c r="D321" s="109"/>
      <c r="E321" s="255">
        <v>0</v>
      </c>
      <c r="F321" s="64">
        <v>0.05</v>
      </c>
      <c r="G321" s="86" t="s">
        <v>3</v>
      </c>
      <c r="H321" s="9" t="s">
        <v>253</v>
      </c>
      <c r="I321" s="1"/>
    </row>
    <row r="322" spans="1:9">
      <c r="A322" s="253"/>
      <c r="B322" s="225" t="s">
        <v>5</v>
      </c>
      <c r="C322" s="129"/>
      <c r="D322" s="109"/>
      <c r="E322" s="255">
        <v>0</v>
      </c>
      <c r="F322" s="249">
        <v>1.65</v>
      </c>
      <c r="G322" s="85"/>
      <c r="H322" s="250"/>
      <c r="I322" s="251"/>
    </row>
    <row r="323" spans="1:9" s="95" customFormat="1">
      <c r="A323" s="254"/>
      <c r="B323" s="221" t="s">
        <v>6</v>
      </c>
      <c r="C323" s="129"/>
      <c r="D323" s="109"/>
      <c r="E323" s="255">
        <v>0</v>
      </c>
      <c r="F323" s="64">
        <v>0.06</v>
      </c>
      <c r="G323" s="85" t="s">
        <v>4</v>
      </c>
      <c r="H323" s="9" t="s">
        <v>252</v>
      </c>
      <c r="I323" s="1" t="s">
        <v>19</v>
      </c>
    </row>
    <row r="324" spans="1:9">
      <c r="A324" s="253"/>
      <c r="B324" s="225" t="s">
        <v>225</v>
      </c>
      <c r="C324" s="129"/>
      <c r="D324" s="109"/>
      <c r="E324" s="255">
        <v>0</v>
      </c>
      <c r="F324" s="64">
        <v>3.0000000000000001E-3</v>
      </c>
      <c r="G324" s="85"/>
      <c r="H324" s="250"/>
      <c r="I324" s="251"/>
    </row>
    <row r="325" spans="1:9" ht="15.5">
      <c r="A325" s="54" t="s">
        <v>8</v>
      </c>
      <c r="B325" s="15"/>
      <c r="C325" s="15"/>
      <c r="D325" s="15"/>
      <c r="E325" s="17"/>
      <c r="F325" s="16"/>
      <c r="G325" s="88"/>
      <c r="H325" s="17"/>
      <c r="I325" s="167"/>
    </row>
    <row r="326" spans="1:9">
      <c r="A326" s="59" t="s">
        <v>135</v>
      </c>
      <c r="B326" s="241" t="s">
        <v>243</v>
      </c>
      <c r="C326" s="241" t="s">
        <v>244</v>
      </c>
      <c r="D326" s="241" t="s">
        <v>245</v>
      </c>
      <c r="E326" s="242" t="s">
        <v>246</v>
      </c>
      <c r="F326" s="58"/>
      <c r="G326" s="92"/>
      <c r="H326" s="58"/>
      <c r="I326" s="83"/>
    </row>
    <row r="327" spans="1:9">
      <c r="A327" s="57" t="s">
        <v>134</v>
      </c>
      <c r="B327" s="243" t="s">
        <v>243</v>
      </c>
      <c r="C327" s="243" t="s">
        <v>243</v>
      </c>
      <c r="D327" s="243" t="s">
        <v>243</v>
      </c>
      <c r="E327" s="244" t="s">
        <v>243</v>
      </c>
      <c r="F327" s="56"/>
      <c r="G327" s="93"/>
      <c r="H327" s="56"/>
      <c r="I327" s="84"/>
    </row>
    <row r="328" spans="1:9">
      <c r="A328" s="53"/>
      <c r="B328" s="15"/>
      <c r="C328" s="15"/>
      <c r="D328" s="15"/>
      <c r="E328" s="17"/>
      <c r="F328" s="16"/>
      <c r="G328" s="88"/>
      <c r="H328" s="17"/>
      <c r="I328" s="167"/>
    </row>
    <row r="10009" spans="10:52">
      <c r="AZ10009" s="94">
        <v>2</v>
      </c>
    </row>
    <row r="10010" spans="10:52">
      <c r="J10010" s="94">
        <v>46</v>
      </c>
      <c r="K10010" s="94">
        <v>24</v>
      </c>
      <c r="L10010" s="94">
        <v>24</v>
      </c>
      <c r="M10010" s="94">
        <v>23</v>
      </c>
      <c r="N10010" s="94">
        <v>23</v>
      </c>
      <c r="O10010" s="94">
        <v>37</v>
      </c>
    </row>
  </sheetData>
  <mergeCells count="1">
    <mergeCell ref="A2:F2"/>
  </mergeCells>
  <hyperlinks>
    <hyperlink ref="A327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39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15"/>
  <sheetViews>
    <sheetView rightToLeft="1" zoomScale="40" zoomScaleNormal="40" workbookViewId="0">
      <selection activeCell="A158" sqref="A158"/>
    </sheetView>
  </sheetViews>
  <sheetFormatPr defaultColWidth="9" defaultRowHeight="14"/>
  <cols>
    <col min="1" max="1" width="17.58203125" style="94" customWidth="1"/>
    <col min="2" max="2" width="19.58203125" style="96" customWidth="1"/>
    <col min="3" max="3" width="30.5" style="189" customWidth="1"/>
    <col min="4" max="4" width="28.33203125" style="189" customWidth="1"/>
    <col min="5" max="5" width="16.83203125" style="215" customWidth="1"/>
    <col min="6" max="6" width="29" style="189" customWidth="1"/>
    <col min="7" max="7" width="22.08203125" style="216" customWidth="1"/>
    <col min="8" max="8" width="17.58203125" style="189" customWidth="1"/>
    <col min="9" max="9" width="19.58203125" style="217" customWidth="1"/>
    <col min="10" max="10" width="30.5" style="189" customWidth="1"/>
    <col min="11" max="11" width="28.33203125" style="189" customWidth="1"/>
    <col min="12" max="12" width="16.83203125" style="189" customWidth="1"/>
    <col min="13" max="13" width="29" style="189" customWidth="1"/>
    <col min="14" max="14" width="22.08203125" style="216" customWidth="1"/>
    <col min="15" max="16384" width="9" style="94"/>
  </cols>
  <sheetData>
    <row r="1" spans="1:14">
      <c r="A1" s="246" t="s">
        <v>248</v>
      </c>
    </row>
    <row r="2" spans="1:14" ht="94.4" customHeight="1">
      <c r="A2" s="268" t="s">
        <v>197</v>
      </c>
      <c r="B2" s="268"/>
      <c r="C2" s="268"/>
      <c r="D2" s="268"/>
      <c r="E2" s="268"/>
      <c r="F2" s="190"/>
      <c r="G2" s="191"/>
      <c r="H2" s="269" t="s">
        <v>219</v>
      </c>
      <c r="I2" s="269"/>
      <c r="J2" s="269"/>
      <c r="K2" s="269"/>
      <c r="L2" s="192"/>
      <c r="M2" s="192"/>
      <c r="N2" s="193"/>
    </row>
    <row r="3" spans="1:14" ht="51.75" customHeight="1">
      <c r="A3" s="19" t="s">
        <v>36</v>
      </c>
      <c r="B3" s="32" t="s">
        <v>128</v>
      </c>
      <c r="C3" s="33"/>
      <c r="D3" s="34"/>
      <c r="E3" s="81"/>
      <c r="F3" s="33"/>
      <c r="G3" s="170"/>
      <c r="H3" s="194" t="s">
        <v>36</v>
      </c>
      <c r="I3" s="32" t="s">
        <v>141</v>
      </c>
      <c r="J3" s="33"/>
      <c r="K3" s="34"/>
      <c r="L3" s="35"/>
      <c r="M3" s="33"/>
      <c r="N3" s="170"/>
    </row>
    <row r="4" spans="1:14" ht="40.4" customHeight="1">
      <c r="A4" s="20"/>
      <c r="B4" s="119" t="s">
        <v>0</v>
      </c>
      <c r="C4" s="120" t="s">
        <v>220</v>
      </c>
      <c r="D4" s="120" t="s">
        <v>198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220</v>
      </c>
      <c r="K4" s="120" t="s">
        <v>198</v>
      </c>
      <c r="L4" s="121" t="s">
        <v>30</v>
      </c>
      <c r="M4" s="121" t="s">
        <v>20</v>
      </c>
      <c r="N4" s="121" t="s">
        <v>35</v>
      </c>
    </row>
    <row r="5" spans="1:14" ht="15.5">
      <c r="A5" s="20"/>
      <c r="B5" s="104" t="s">
        <v>169</v>
      </c>
      <c r="C5" s="5">
        <v>0.2792</v>
      </c>
      <c r="D5" s="5">
        <v>0.3</v>
      </c>
      <c r="E5" s="143" t="s">
        <v>187</v>
      </c>
      <c r="F5" s="144" t="s">
        <v>187</v>
      </c>
      <c r="G5" s="144" t="s">
        <v>187</v>
      </c>
      <c r="H5" s="195"/>
      <c r="I5" s="154" t="s">
        <v>187</v>
      </c>
      <c r="J5" s="155" t="s">
        <v>187</v>
      </c>
      <c r="K5" s="155" t="s">
        <v>187</v>
      </c>
      <c r="L5" s="144" t="s">
        <v>187</v>
      </c>
      <c r="M5" s="144" t="s">
        <v>187</v>
      </c>
      <c r="N5" s="144" t="s">
        <v>187</v>
      </c>
    </row>
    <row r="6" spans="1:14" ht="34.5" customHeight="1">
      <c r="A6" s="20"/>
      <c r="B6" s="104" t="s">
        <v>138</v>
      </c>
      <c r="C6" s="5">
        <v>0.58360000000000001</v>
      </c>
      <c r="D6" s="5">
        <v>0.57999999999999996</v>
      </c>
      <c r="E6" s="6" t="s">
        <v>4</v>
      </c>
      <c r="F6" s="7" t="s">
        <v>206</v>
      </c>
      <c r="G6" s="6" t="s">
        <v>218</v>
      </c>
      <c r="H6" s="195"/>
      <c r="I6" s="104" t="s">
        <v>228</v>
      </c>
      <c r="J6" s="5">
        <v>0.56100000000000005</v>
      </c>
      <c r="K6" s="5">
        <v>0.57999999999999996</v>
      </c>
      <c r="L6" s="178" t="s">
        <v>4</v>
      </c>
      <c r="M6" s="7" t="s">
        <v>206</v>
      </c>
      <c r="N6" s="6" t="s">
        <v>218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205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">
      <c r="A8" s="20"/>
      <c r="B8" s="105" t="s">
        <v>137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173</v>
      </c>
      <c r="H8" s="195"/>
      <c r="I8" s="104" t="s">
        <v>137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">
      <c r="A9" s="20"/>
      <c r="B9" s="104" t="s">
        <v>170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187</v>
      </c>
      <c r="H9" s="195"/>
      <c r="I9" s="104" t="s">
        <v>170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187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187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187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187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187</v>
      </c>
    </row>
    <row r="12" spans="1:14">
      <c r="A12" s="20"/>
      <c r="B12" s="104" t="s">
        <v>171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187</v>
      </c>
      <c r="H12" s="195"/>
      <c r="I12" s="104" t="s">
        <v>171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187</v>
      </c>
    </row>
    <row r="13" spans="1:14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187</v>
      </c>
      <c r="F13" s="118" t="s">
        <v>243</v>
      </c>
      <c r="G13" s="112" t="s">
        <v>187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1.46</v>
      </c>
      <c r="L13" s="118" t="s">
        <v>187</v>
      </c>
      <c r="M13" s="118" t="s">
        <v>187</v>
      </c>
      <c r="N13" s="112" t="s">
        <v>187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28">
      <c r="A15" s="21"/>
      <c r="B15" s="106" t="s">
        <v>225</v>
      </c>
      <c r="C15" s="12">
        <v>2.7000000000000001E-3</v>
      </c>
      <c r="D15" s="196" t="s">
        <v>187</v>
      </c>
      <c r="E15" s="131" t="s">
        <v>187</v>
      </c>
      <c r="F15" s="131" t="s">
        <v>187</v>
      </c>
      <c r="G15" s="171" t="s">
        <v>187</v>
      </c>
      <c r="H15" s="195"/>
      <c r="I15" s="106" t="s">
        <v>225</v>
      </c>
      <c r="J15" s="12">
        <v>2.3999999999999998E-3</v>
      </c>
      <c r="K15" s="196" t="s">
        <v>187</v>
      </c>
      <c r="L15" s="131" t="s">
        <v>187</v>
      </c>
      <c r="M15" s="131" t="s">
        <v>187</v>
      </c>
      <c r="N15" s="171" t="s">
        <v>187</v>
      </c>
    </row>
    <row r="16" spans="1:14" ht="21" customHeight="1">
      <c r="A16" s="70"/>
      <c r="B16" s="161" t="s">
        <v>194</v>
      </c>
      <c r="C16" s="162" t="s">
        <v>194</v>
      </c>
      <c r="D16" s="162" t="s">
        <v>194</v>
      </c>
      <c r="E16" s="162" t="s">
        <v>194</v>
      </c>
      <c r="F16" s="162" t="s">
        <v>194</v>
      </c>
      <c r="G16" s="172" t="s">
        <v>194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139</v>
      </c>
      <c r="C17" s="33"/>
      <c r="D17" s="34"/>
      <c r="E17" s="81"/>
      <c r="F17" s="33"/>
      <c r="G17" s="170"/>
      <c r="H17" s="194" t="s">
        <v>36</v>
      </c>
      <c r="I17" s="32" t="s">
        <v>142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220</v>
      </c>
      <c r="D18" s="120" t="s">
        <v>198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220</v>
      </c>
      <c r="K18" s="120" t="s">
        <v>198</v>
      </c>
      <c r="L18" s="121" t="s">
        <v>1</v>
      </c>
      <c r="M18" s="121" t="s">
        <v>20</v>
      </c>
      <c r="N18" s="121" t="s">
        <v>35</v>
      </c>
    </row>
    <row r="19" spans="1:14" ht="15.5">
      <c r="A19" s="20"/>
      <c r="B19" s="104" t="s">
        <v>169</v>
      </c>
      <c r="C19" s="5">
        <v>0.28210000000000002</v>
      </c>
      <c r="D19" s="5">
        <v>0.3</v>
      </c>
      <c r="E19" s="143" t="s">
        <v>187</v>
      </c>
      <c r="F19" s="144" t="s">
        <v>187</v>
      </c>
      <c r="G19" s="144" t="s">
        <v>187</v>
      </c>
      <c r="H19" s="195"/>
      <c r="I19" s="154" t="s">
        <v>187</v>
      </c>
      <c r="J19" s="155" t="s">
        <v>187</v>
      </c>
      <c r="K19" s="155" t="s">
        <v>187</v>
      </c>
      <c r="L19" s="144" t="s">
        <v>187</v>
      </c>
      <c r="M19" s="144" t="s">
        <v>187</v>
      </c>
      <c r="N19" s="144" t="s">
        <v>187</v>
      </c>
    </row>
    <row r="20" spans="1:14" ht="41.25" customHeight="1">
      <c r="A20" s="20"/>
      <c r="B20" s="104" t="s">
        <v>138</v>
      </c>
      <c r="C20" s="5">
        <v>0.4849</v>
      </c>
      <c r="D20" s="5">
        <v>0.5</v>
      </c>
      <c r="E20" s="178" t="s">
        <v>4</v>
      </c>
      <c r="F20" s="7" t="s">
        <v>91</v>
      </c>
      <c r="G20" s="6" t="s">
        <v>218</v>
      </c>
      <c r="H20" s="195"/>
      <c r="I20" s="104" t="s">
        <v>228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218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207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208</v>
      </c>
      <c r="N21" s="1" t="s">
        <v>14</v>
      </c>
    </row>
    <row r="22" spans="1:14" ht="33" customHeight="1">
      <c r="A22" s="20"/>
      <c r="B22" s="105" t="s">
        <v>137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173</v>
      </c>
      <c r="H22" s="195"/>
      <c r="I22" s="104" t="s">
        <v>137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">
      <c r="A23" s="20"/>
      <c r="B23" s="104" t="s">
        <v>170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187</v>
      </c>
      <c r="H23" s="195"/>
      <c r="I23" s="104" t="s">
        <v>170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187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187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187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187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187</v>
      </c>
    </row>
    <row r="26" spans="1:14">
      <c r="A26" s="20"/>
      <c r="B26" s="104" t="s">
        <v>171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187</v>
      </c>
      <c r="H26" s="195"/>
      <c r="I26" s="104" t="s">
        <v>171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187</v>
      </c>
    </row>
    <row r="27" spans="1:14">
      <c r="A27" s="20"/>
      <c r="B27" s="106" t="s">
        <v>5</v>
      </c>
      <c r="C27" s="27">
        <f>SUBTOTAL(109,C19:C26)</f>
        <v>1.2422</v>
      </c>
      <c r="D27" s="99">
        <f>SUBTOTAL(109,D19:D26)</f>
        <v>1.4300000000000002</v>
      </c>
      <c r="E27" s="117" t="s">
        <v>187</v>
      </c>
      <c r="F27" s="118" t="s">
        <v>187</v>
      </c>
      <c r="G27" s="112" t="s">
        <v>187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187</v>
      </c>
      <c r="M27" s="118" t="s">
        <v>187</v>
      </c>
      <c r="N27" s="112" t="s">
        <v>187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28">
      <c r="A29" s="21"/>
      <c r="B29" s="106" t="s">
        <v>225</v>
      </c>
      <c r="C29" s="12">
        <v>2.3999999999999998E-3</v>
      </c>
      <c r="D29" s="196" t="s">
        <v>187</v>
      </c>
      <c r="E29" s="131" t="s">
        <v>187</v>
      </c>
      <c r="F29" s="131" t="s">
        <v>187</v>
      </c>
      <c r="G29" s="171" t="s">
        <v>187</v>
      </c>
      <c r="H29" s="195"/>
      <c r="I29" s="106" t="s">
        <v>225</v>
      </c>
      <c r="J29" s="12">
        <v>2.3999999999999998E-3</v>
      </c>
      <c r="K29" s="196" t="s">
        <v>187</v>
      </c>
      <c r="L29" s="131" t="s">
        <v>187</v>
      </c>
      <c r="M29" s="131" t="s">
        <v>187</v>
      </c>
      <c r="N29" s="171" t="s">
        <v>187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140</v>
      </c>
      <c r="C31" s="33"/>
      <c r="D31" s="34"/>
      <c r="E31" s="81"/>
      <c r="F31" s="33"/>
      <c r="G31" s="170"/>
      <c r="H31" s="194" t="s">
        <v>36</v>
      </c>
      <c r="I31" s="32" t="s">
        <v>143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220</v>
      </c>
      <c r="D32" s="120" t="s">
        <v>198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220</v>
      </c>
      <c r="K32" s="120" t="s">
        <v>198</v>
      </c>
      <c r="L32" s="121" t="s">
        <v>1</v>
      </c>
      <c r="M32" s="121" t="s">
        <v>20</v>
      </c>
      <c r="N32" s="121" t="s">
        <v>35</v>
      </c>
    </row>
    <row r="33" spans="1:14" ht="15.5">
      <c r="A33" s="20"/>
      <c r="B33" s="104" t="s">
        <v>169</v>
      </c>
      <c r="C33" s="3" t="s">
        <v>238</v>
      </c>
      <c r="D33" s="5" t="s">
        <v>195</v>
      </c>
      <c r="E33" s="143" t="s">
        <v>187</v>
      </c>
      <c r="F33" s="144" t="s">
        <v>188</v>
      </c>
      <c r="G33" s="144" t="s">
        <v>196</v>
      </c>
      <c r="H33" s="195"/>
      <c r="I33" s="154" t="s">
        <v>187</v>
      </c>
      <c r="J33" s="155" t="s">
        <v>187</v>
      </c>
      <c r="K33" s="155" t="s">
        <v>187</v>
      </c>
      <c r="L33" s="144" t="s">
        <v>187</v>
      </c>
      <c r="M33" s="144" t="s">
        <v>187</v>
      </c>
      <c r="N33" s="144" t="s">
        <v>187</v>
      </c>
    </row>
    <row r="34" spans="1:14" ht="38.25" customHeight="1">
      <c r="A34" s="20"/>
      <c r="B34" s="104" t="s">
        <v>138</v>
      </c>
      <c r="C34" s="5">
        <v>0.27360000000000001</v>
      </c>
      <c r="D34" s="5">
        <v>0.3</v>
      </c>
      <c r="E34" s="178" t="s">
        <v>4</v>
      </c>
      <c r="F34" s="7" t="s">
        <v>61</v>
      </c>
      <c r="G34" s="6" t="s">
        <v>218</v>
      </c>
      <c r="H34" s="195"/>
      <c r="I34" s="104" t="s">
        <v>228</v>
      </c>
      <c r="J34" s="5">
        <v>0.25459999999999999</v>
      </c>
      <c r="K34" s="5">
        <v>0.27</v>
      </c>
      <c r="L34" s="6" t="s">
        <v>4</v>
      </c>
      <c r="M34" s="7" t="s">
        <v>209</v>
      </c>
      <c r="N34" s="6" t="s">
        <v>218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210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">
      <c r="A36" s="20"/>
      <c r="B36" s="105" t="s">
        <v>137</v>
      </c>
      <c r="C36" s="3">
        <v>0.2031</v>
      </c>
      <c r="D36" s="3">
        <v>0.21</v>
      </c>
      <c r="E36" s="1" t="s">
        <v>4</v>
      </c>
      <c r="F36" s="4" t="s">
        <v>176</v>
      </c>
      <c r="G36" s="1" t="s">
        <v>173</v>
      </c>
      <c r="H36" s="195"/>
      <c r="I36" s="104" t="s">
        <v>137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">
      <c r="A37" s="20"/>
      <c r="B37" s="104" t="s">
        <v>170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187</v>
      </c>
      <c r="H37" s="195"/>
      <c r="I37" s="104" t="s">
        <v>170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187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187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187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187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187</v>
      </c>
    </row>
    <row r="40" spans="1:14">
      <c r="A40" s="20"/>
      <c r="B40" s="104" t="s">
        <v>171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187</v>
      </c>
      <c r="H40" s="195"/>
      <c r="I40" s="104" t="s">
        <v>171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187</v>
      </c>
    </row>
    <row r="41" spans="1:14">
      <c r="A41" s="20"/>
      <c r="B41" s="106" t="s">
        <v>5</v>
      </c>
      <c r="C41" s="27">
        <f>SUBTOTAL(109,C33:C40)</f>
        <v>0.87290000000000001</v>
      </c>
      <c r="D41" s="27">
        <f>SUBTOTAL(109,D33:D40)</f>
        <v>1.04</v>
      </c>
      <c r="E41" s="117" t="s">
        <v>187</v>
      </c>
      <c r="F41" s="118" t="s">
        <v>243</v>
      </c>
      <c r="G41" s="112" t="s">
        <v>187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187</v>
      </c>
      <c r="M41" s="118" t="s">
        <v>187</v>
      </c>
      <c r="N41" s="112" t="s">
        <v>187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133</v>
      </c>
      <c r="N42" s="1" t="s">
        <v>19</v>
      </c>
    </row>
    <row r="43" spans="1:14" ht="28">
      <c r="A43" s="21"/>
      <c r="B43" s="106" t="s">
        <v>225</v>
      </c>
      <c r="C43" s="12">
        <v>2.2000000000000001E-3</v>
      </c>
      <c r="D43" s="196" t="s">
        <v>187</v>
      </c>
      <c r="E43" s="131" t="s">
        <v>187</v>
      </c>
      <c r="F43" s="131" t="s">
        <v>187</v>
      </c>
      <c r="G43" s="171" t="s">
        <v>187</v>
      </c>
      <c r="H43" s="195"/>
      <c r="I43" s="106" t="s">
        <v>225</v>
      </c>
      <c r="J43" s="12">
        <v>2.3999999999999998E-3</v>
      </c>
      <c r="K43" s="196" t="s">
        <v>187</v>
      </c>
      <c r="L43" s="131" t="s">
        <v>187</v>
      </c>
      <c r="M43" s="131" t="s">
        <v>187</v>
      </c>
      <c r="N43" s="171" t="s">
        <v>187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144</v>
      </c>
      <c r="C45" s="37"/>
      <c r="D45" s="38"/>
      <c r="E45" s="82"/>
      <c r="F45" s="37"/>
      <c r="G45" s="170"/>
      <c r="H45" s="198" t="s">
        <v>67</v>
      </c>
      <c r="I45" s="36" t="s">
        <v>145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220</v>
      </c>
      <c r="D46" s="120" t="s">
        <v>198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220</v>
      </c>
      <c r="K46" s="120" t="s">
        <v>198</v>
      </c>
      <c r="L46" s="121" t="s">
        <v>1</v>
      </c>
      <c r="M46" s="121" t="s">
        <v>20</v>
      </c>
      <c r="N46" s="121" t="s">
        <v>35</v>
      </c>
    </row>
    <row r="47" spans="1:14" ht="15.5">
      <c r="A47" s="29"/>
      <c r="B47" s="104" t="s">
        <v>169</v>
      </c>
      <c r="C47" s="3">
        <v>0.2757</v>
      </c>
      <c r="D47" s="5" t="s">
        <v>195</v>
      </c>
      <c r="E47" s="143" t="s">
        <v>187</v>
      </c>
      <c r="F47" s="144" t="s">
        <v>188</v>
      </c>
      <c r="G47" s="144" t="s">
        <v>196</v>
      </c>
      <c r="H47" s="199"/>
      <c r="I47" s="154" t="s">
        <v>187</v>
      </c>
      <c r="J47" s="155" t="s">
        <v>187</v>
      </c>
      <c r="K47" s="155" t="s">
        <v>187</v>
      </c>
      <c r="L47" s="144" t="s">
        <v>187</v>
      </c>
      <c r="M47" s="144" t="s">
        <v>187</v>
      </c>
      <c r="N47" s="144" t="s">
        <v>187</v>
      </c>
    </row>
    <row r="48" spans="1:14" ht="56">
      <c r="A48" s="29"/>
      <c r="B48" s="104" t="s">
        <v>138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218</v>
      </c>
      <c r="H48" s="199"/>
      <c r="I48" s="104" t="s">
        <v>228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218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211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212</v>
      </c>
      <c r="N49" s="1" t="s">
        <v>14</v>
      </c>
    </row>
    <row r="50" spans="1:14" ht="28">
      <c r="A50" s="29"/>
      <c r="B50" s="105" t="s">
        <v>137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137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">
      <c r="A51" s="29"/>
      <c r="B51" s="104" t="s">
        <v>170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187</v>
      </c>
      <c r="H51" s="199"/>
      <c r="I51" s="104" t="s">
        <v>170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187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187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187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171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187</v>
      </c>
      <c r="H54" s="199"/>
      <c r="I54" s="104" t="s">
        <v>171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187</v>
      </c>
    </row>
    <row r="55" spans="1:14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187</v>
      </c>
      <c r="F55" s="118" t="s">
        <v>243</v>
      </c>
      <c r="G55" s="112" t="s">
        <v>187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187</v>
      </c>
      <c r="M55" s="118" t="s">
        <v>187</v>
      </c>
      <c r="N55" s="112" t="s">
        <v>187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28">
      <c r="A57" s="29"/>
      <c r="B57" s="106" t="s">
        <v>225</v>
      </c>
      <c r="C57" s="12">
        <v>1.4E-3</v>
      </c>
      <c r="D57" s="196" t="s">
        <v>187</v>
      </c>
      <c r="E57" s="131" t="s">
        <v>187</v>
      </c>
      <c r="F57" s="131" t="s">
        <v>187</v>
      </c>
      <c r="G57" s="171" t="s">
        <v>187</v>
      </c>
      <c r="H57" s="199"/>
      <c r="I57" s="106" t="s">
        <v>225</v>
      </c>
      <c r="J57" s="12">
        <v>1.4E-3</v>
      </c>
      <c r="K57" s="196" t="s">
        <v>187</v>
      </c>
      <c r="L57" s="131" t="s">
        <v>187</v>
      </c>
      <c r="M57" s="131" t="s">
        <v>187</v>
      </c>
      <c r="N57" s="171" t="s">
        <v>187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146</v>
      </c>
      <c r="C59" s="37"/>
      <c r="D59" s="38"/>
      <c r="E59" s="82"/>
      <c r="F59" s="37"/>
      <c r="G59" s="170"/>
      <c r="H59" s="198" t="s">
        <v>68</v>
      </c>
      <c r="I59" s="36" t="s">
        <v>147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220</v>
      </c>
      <c r="D60" s="120" t="s">
        <v>198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220</v>
      </c>
      <c r="K60" s="120" t="s">
        <v>198</v>
      </c>
      <c r="L60" s="121" t="s">
        <v>22</v>
      </c>
      <c r="M60" s="121" t="s">
        <v>20</v>
      </c>
      <c r="N60" s="121" t="s">
        <v>35</v>
      </c>
    </row>
    <row r="61" spans="1:14" ht="15.5">
      <c r="A61" s="29"/>
      <c r="B61" s="2" t="s">
        <v>169</v>
      </c>
      <c r="C61" s="5">
        <v>0.27400000000000002</v>
      </c>
      <c r="D61" s="5">
        <v>0.3</v>
      </c>
      <c r="E61" s="143" t="s">
        <v>187</v>
      </c>
      <c r="F61" s="144" t="s">
        <v>187</v>
      </c>
      <c r="G61" s="144" t="s">
        <v>187</v>
      </c>
      <c r="H61" s="199"/>
      <c r="I61" s="156" t="s">
        <v>187</v>
      </c>
      <c r="J61" s="155" t="s">
        <v>187</v>
      </c>
      <c r="K61" s="155" t="s">
        <v>187</v>
      </c>
      <c r="L61" s="144" t="s">
        <v>187</v>
      </c>
      <c r="M61" s="144" t="s">
        <v>187</v>
      </c>
      <c r="N61" s="144" t="s">
        <v>187</v>
      </c>
    </row>
    <row r="62" spans="1:14" ht="56">
      <c r="A62" s="29"/>
      <c r="B62" s="2" t="s">
        <v>138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218</v>
      </c>
      <c r="H62" s="199"/>
      <c r="I62" s="2" t="s">
        <v>228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218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213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">
      <c r="A64" s="29"/>
      <c r="B64" s="69" t="s">
        <v>137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137</v>
      </c>
      <c r="J64" s="3">
        <v>0.58160000000000001</v>
      </c>
      <c r="K64" s="3">
        <v>0.6</v>
      </c>
      <c r="L64" s="1" t="s">
        <v>4</v>
      </c>
      <c r="M64" s="4" t="s">
        <v>214</v>
      </c>
      <c r="N64" s="1" t="s">
        <v>15</v>
      </c>
    </row>
    <row r="65" spans="1:14" ht="28">
      <c r="A65" s="29"/>
      <c r="B65" s="2" t="s">
        <v>170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187</v>
      </c>
      <c r="H65" s="199"/>
      <c r="I65" s="2" t="s">
        <v>170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187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187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187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171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187</v>
      </c>
      <c r="H68" s="199"/>
      <c r="I68" s="2" t="s">
        <v>171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187</v>
      </c>
    </row>
    <row r="69" spans="1:14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187</v>
      </c>
      <c r="F69" s="118" t="s">
        <v>187</v>
      </c>
      <c r="G69" s="112" t="s">
        <v>187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187</v>
      </c>
      <c r="M69" s="118" t="s">
        <v>187</v>
      </c>
      <c r="N69" s="112" t="s">
        <v>187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28">
      <c r="A71" s="29"/>
      <c r="B71" s="106" t="s">
        <v>225</v>
      </c>
      <c r="C71" s="12">
        <v>1.4E-3</v>
      </c>
      <c r="D71" s="196" t="s">
        <v>187</v>
      </c>
      <c r="E71" s="131" t="s">
        <v>187</v>
      </c>
      <c r="F71" s="131" t="s">
        <v>187</v>
      </c>
      <c r="G71" s="171" t="s">
        <v>187</v>
      </c>
      <c r="H71" s="199"/>
      <c r="I71" s="106" t="s">
        <v>225</v>
      </c>
      <c r="J71" s="12">
        <v>2E-3</v>
      </c>
      <c r="K71" s="196" t="s">
        <v>187</v>
      </c>
      <c r="L71" s="131" t="s">
        <v>187</v>
      </c>
      <c r="M71" s="131" t="s">
        <v>187</v>
      </c>
      <c r="N71" s="171" t="s">
        <v>187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148</v>
      </c>
      <c r="C73" s="37"/>
      <c r="D73" s="38"/>
      <c r="E73" s="82"/>
      <c r="F73" s="37"/>
      <c r="G73" s="170"/>
      <c r="H73" s="198" t="s">
        <v>70</v>
      </c>
      <c r="I73" s="36" t="s">
        <v>149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220</v>
      </c>
      <c r="D74" s="120" t="s">
        <v>198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220</v>
      </c>
      <c r="K74" s="120" t="s">
        <v>198</v>
      </c>
      <c r="L74" s="121" t="s">
        <v>22</v>
      </c>
      <c r="M74" s="121" t="s">
        <v>20</v>
      </c>
      <c r="N74" s="121" t="s">
        <v>35</v>
      </c>
    </row>
    <row r="75" spans="1:14" ht="15.5">
      <c r="A75" s="29"/>
      <c r="B75" s="104" t="s">
        <v>169</v>
      </c>
      <c r="C75" s="3">
        <v>0.2329</v>
      </c>
      <c r="D75" s="5">
        <v>0.3</v>
      </c>
      <c r="E75" s="143" t="s">
        <v>187</v>
      </c>
      <c r="F75" s="144" t="s">
        <v>187</v>
      </c>
      <c r="G75" s="144" t="s">
        <v>187</v>
      </c>
      <c r="H75" s="199"/>
      <c r="I75" s="154" t="s">
        <v>187</v>
      </c>
      <c r="J75" s="155" t="s">
        <v>187</v>
      </c>
      <c r="K75" s="155" t="s">
        <v>187</v>
      </c>
      <c r="L75" s="144" t="s">
        <v>187</v>
      </c>
      <c r="M75" s="144" t="s">
        <v>187</v>
      </c>
      <c r="N75" s="144" t="s">
        <v>187</v>
      </c>
    </row>
    <row r="76" spans="1:14" ht="28">
      <c r="A76" s="29"/>
      <c r="B76" s="104" t="s">
        <v>138</v>
      </c>
      <c r="C76" s="113">
        <v>0</v>
      </c>
      <c r="D76" s="5">
        <v>0</v>
      </c>
      <c r="E76" s="6" t="s">
        <v>4</v>
      </c>
      <c r="F76" s="157" t="s">
        <v>243</v>
      </c>
      <c r="G76" s="147" t="s">
        <v>187</v>
      </c>
      <c r="H76" s="199"/>
      <c r="I76" s="104" t="s">
        <v>228</v>
      </c>
      <c r="J76" s="157">
        <v>0</v>
      </c>
      <c r="K76" s="157" t="s">
        <v>187</v>
      </c>
      <c r="L76" s="6" t="s">
        <v>4</v>
      </c>
      <c r="M76" s="157" t="s">
        <v>243</v>
      </c>
      <c r="N76" s="147" t="s">
        <v>187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193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179</v>
      </c>
      <c r="N77" s="1" t="s">
        <v>14</v>
      </c>
    </row>
    <row r="78" spans="1:14" ht="42">
      <c r="A78" s="29"/>
      <c r="B78" s="105" t="s">
        <v>185</v>
      </c>
      <c r="C78" s="3">
        <v>2.0000000000000001E-4</v>
      </c>
      <c r="D78" s="3">
        <v>0</v>
      </c>
      <c r="E78" s="1" t="s">
        <v>4</v>
      </c>
      <c r="F78" s="113" t="s">
        <v>243</v>
      </c>
      <c r="G78" s="145" t="s">
        <v>187</v>
      </c>
      <c r="H78" s="199"/>
      <c r="I78" s="104" t="s">
        <v>186</v>
      </c>
      <c r="J78" s="113" t="s">
        <v>187</v>
      </c>
      <c r="K78" s="113" t="s">
        <v>187</v>
      </c>
      <c r="L78" s="1" t="s">
        <v>4</v>
      </c>
      <c r="M78" s="113" t="s">
        <v>243</v>
      </c>
      <c r="N78" s="145" t="s">
        <v>187</v>
      </c>
    </row>
    <row r="79" spans="1:14" ht="28">
      <c r="A79" s="29"/>
      <c r="B79" s="104" t="s">
        <v>170</v>
      </c>
      <c r="C79" s="113">
        <v>0</v>
      </c>
      <c r="D79" s="3">
        <v>0</v>
      </c>
      <c r="E79" s="8" t="s">
        <v>3</v>
      </c>
      <c r="F79" s="132" t="s">
        <v>243</v>
      </c>
      <c r="G79" s="145" t="s">
        <v>187</v>
      </c>
      <c r="H79" s="199"/>
      <c r="I79" s="104" t="s">
        <v>170</v>
      </c>
      <c r="J79" s="113" t="s">
        <v>187</v>
      </c>
      <c r="K79" s="113" t="s">
        <v>187</v>
      </c>
      <c r="L79" s="8" t="s">
        <v>3</v>
      </c>
      <c r="M79" s="132" t="s">
        <v>243</v>
      </c>
      <c r="N79" s="145" t="s">
        <v>187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243</v>
      </c>
      <c r="G80" s="145" t="s">
        <v>187</v>
      </c>
      <c r="H80" s="199"/>
      <c r="I80" s="104" t="s">
        <v>10</v>
      </c>
      <c r="J80" s="113" t="s">
        <v>187</v>
      </c>
      <c r="K80" s="113" t="s">
        <v>187</v>
      </c>
      <c r="L80" s="8" t="s">
        <v>3</v>
      </c>
      <c r="M80" s="132" t="s">
        <v>243</v>
      </c>
      <c r="N80" s="145" t="s">
        <v>187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171</v>
      </c>
      <c r="C82" s="113">
        <v>0</v>
      </c>
      <c r="D82" s="3">
        <v>0</v>
      </c>
      <c r="E82" s="1" t="s">
        <v>3</v>
      </c>
      <c r="F82" s="245" t="s">
        <v>243</v>
      </c>
      <c r="G82" s="132" t="s">
        <v>187</v>
      </c>
      <c r="H82" s="199"/>
      <c r="I82" s="104" t="s">
        <v>171</v>
      </c>
      <c r="J82" s="113" t="s">
        <v>187</v>
      </c>
      <c r="K82" s="113" t="s">
        <v>187</v>
      </c>
      <c r="L82" s="1" t="s">
        <v>3</v>
      </c>
      <c r="M82" s="245" t="s">
        <v>243</v>
      </c>
      <c r="N82" s="132" t="s">
        <v>187</v>
      </c>
    </row>
    <row r="83" spans="1:14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187</v>
      </c>
      <c r="F83" s="118" t="s">
        <v>187</v>
      </c>
      <c r="G83" s="112" t="s">
        <v>187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187</v>
      </c>
      <c r="M83" s="118" t="s">
        <v>187</v>
      </c>
      <c r="N83" s="112" t="s">
        <v>187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243</v>
      </c>
      <c r="G84" s="145" t="s">
        <v>187</v>
      </c>
      <c r="H84" s="199"/>
      <c r="I84" s="104" t="s">
        <v>6</v>
      </c>
      <c r="J84" s="141" t="s">
        <v>187</v>
      </c>
      <c r="K84" s="141" t="s">
        <v>187</v>
      </c>
      <c r="L84" s="1" t="s">
        <v>4</v>
      </c>
      <c r="M84" s="132" t="s">
        <v>243</v>
      </c>
      <c r="N84" s="145" t="s">
        <v>187</v>
      </c>
    </row>
    <row r="85" spans="1:14" ht="28">
      <c r="A85" s="29"/>
      <c r="B85" s="106" t="s">
        <v>225</v>
      </c>
      <c r="C85" s="12">
        <v>2E-3</v>
      </c>
      <c r="D85" s="196" t="s">
        <v>187</v>
      </c>
      <c r="E85" s="131" t="s">
        <v>187</v>
      </c>
      <c r="F85" s="131" t="s">
        <v>187</v>
      </c>
      <c r="G85" s="171" t="s">
        <v>187</v>
      </c>
      <c r="H85" s="199"/>
      <c r="I85" s="106" t="s">
        <v>225</v>
      </c>
      <c r="J85" s="12">
        <v>2E-3</v>
      </c>
      <c r="K85" s="196" t="s">
        <v>187</v>
      </c>
      <c r="L85" s="131" t="s">
        <v>187</v>
      </c>
      <c r="M85" s="131" t="s">
        <v>187</v>
      </c>
      <c r="N85" s="171" t="s">
        <v>187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150</v>
      </c>
      <c r="C87" s="37"/>
      <c r="D87" s="38"/>
      <c r="E87" s="82"/>
      <c r="F87" s="82"/>
      <c r="G87" s="170"/>
      <c r="H87" s="200" t="s">
        <v>92</v>
      </c>
      <c r="I87" s="36" t="s">
        <v>151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220</v>
      </c>
      <c r="D88" s="120" t="s">
        <v>198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220</v>
      </c>
      <c r="K88" s="120" t="s">
        <v>198</v>
      </c>
      <c r="L88" s="121" t="s">
        <v>22</v>
      </c>
      <c r="M88" s="121" t="s">
        <v>20</v>
      </c>
      <c r="N88" s="121" t="s">
        <v>35</v>
      </c>
    </row>
    <row r="89" spans="1:14" ht="15.5">
      <c r="A89" s="43"/>
      <c r="B89" s="104" t="s">
        <v>169</v>
      </c>
      <c r="C89" s="5">
        <v>0.28060000000000002</v>
      </c>
      <c r="D89" s="5">
        <v>0.3</v>
      </c>
      <c r="E89" s="143" t="s">
        <v>187</v>
      </c>
      <c r="F89" s="144" t="s">
        <v>187</v>
      </c>
      <c r="G89" s="144" t="s">
        <v>187</v>
      </c>
      <c r="H89" s="201"/>
      <c r="I89" s="154" t="s">
        <v>187</v>
      </c>
      <c r="J89" s="155" t="s">
        <v>187</v>
      </c>
      <c r="K89" s="155" t="s">
        <v>187</v>
      </c>
      <c r="L89" s="144" t="s">
        <v>187</v>
      </c>
      <c r="M89" s="144" t="s">
        <v>187</v>
      </c>
      <c r="N89" s="144" t="s">
        <v>187</v>
      </c>
    </row>
    <row r="90" spans="1:14" ht="56">
      <c r="A90" s="43"/>
      <c r="B90" s="104" t="s">
        <v>138</v>
      </c>
      <c r="C90" s="5">
        <v>0.42370000000000002</v>
      </c>
      <c r="D90" s="5">
        <v>0.42</v>
      </c>
      <c r="E90" s="6" t="s">
        <v>23</v>
      </c>
      <c r="F90" s="7" t="s">
        <v>215</v>
      </c>
      <c r="G90" s="6" t="s">
        <v>218</v>
      </c>
      <c r="H90" s="201"/>
      <c r="I90" s="104" t="s">
        <v>228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218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216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">
      <c r="A92" s="45"/>
      <c r="B92" s="105" t="s">
        <v>137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137</v>
      </c>
      <c r="J92" s="3">
        <v>0.2959</v>
      </c>
      <c r="K92" s="3">
        <v>0.31</v>
      </c>
      <c r="L92" s="1" t="s">
        <v>23</v>
      </c>
      <c r="M92" s="4" t="s">
        <v>180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187</v>
      </c>
      <c r="F94" s="118" t="s">
        <v>187</v>
      </c>
      <c r="G94" s="112" t="s">
        <v>187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187</v>
      </c>
      <c r="M94" s="40" t="s">
        <v>175</v>
      </c>
      <c r="N94" s="112" t="s">
        <v>187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203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203</v>
      </c>
      <c r="N95" s="1" t="s">
        <v>19</v>
      </c>
    </row>
    <row r="96" spans="1:14" ht="28">
      <c r="A96" s="45"/>
      <c r="B96" s="106" t="s">
        <v>225</v>
      </c>
      <c r="C96" s="12">
        <v>1.5E-3</v>
      </c>
      <c r="D96" s="138" t="s">
        <v>187</v>
      </c>
      <c r="E96" s="139" t="s">
        <v>187</v>
      </c>
      <c r="F96" s="140" t="s">
        <v>187</v>
      </c>
      <c r="G96" s="171" t="s">
        <v>187</v>
      </c>
      <c r="H96" s="201"/>
      <c r="I96" s="106" t="s">
        <v>225</v>
      </c>
      <c r="J96" s="12">
        <v>1.5E-3</v>
      </c>
      <c r="K96" s="138" t="s">
        <v>187</v>
      </c>
      <c r="L96" s="140" t="s">
        <v>187</v>
      </c>
      <c r="M96" s="140" t="s">
        <v>187</v>
      </c>
      <c r="N96" s="171" t="s">
        <v>187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152</v>
      </c>
      <c r="C98" s="37"/>
      <c r="D98" s="38"/>
      <c r="E98" s="37"/>
      <c r="F98" s="37"/>
      <c r="G98" s="170"/>
      <c r="H98" s="200" t="s">
        <v>82</v>
      </c>
      <c r="I98" s="36" t="s">
        <v>153</v>
      </c>
      <c r="J98" s="37"/>
      <c r="K98" s="38"/>
      <c r="L98" s="39" t="s">
        <v>184</v>
      </c>
      <c r="M98" s="37"/>
      <c r="N98" s="170"/>
    </row>
    <row r="99" spans="1:14" ht="51.75" customHeight="1">
      <c r="A99" s="43"/>
      <c r="B99" s="119" t="s">
        <v>0</v>
      </c>
      <c r="C99" s="120" t="s">
        <v>220</v>
      </c>
      <c r="D99" s="120" t="s">
        <v>198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220</v>
      </c>
      <c r="K99" s="120" t="s">
        <v>198</v>
      </c>
      <c r="L99" s="121" t="s">
        <v>22</v>
      </c>
      <c r="M99" s="121" t="s">
        <v>20</v>
      </c>
      <c r="N99" s="121" t="s">
        <v>35</v>
      </c>
    </row>
    <row r="100" spans="1:14" ht="15.5">
      <c r="A100" s="43"/>
      <c r="B100" s="2" t="s">
        <v>169</v>
      </c>
      <c r="C100" s="5">
        <v>0.2757</v>
      </c>
      <c r="D100" s="5">
        <v>0.3</v>
      </c>
      <c r="E100" s="143" t="s">
        <v>187</v>
      </c>
      <c r="F100" s="144" t="s">
        <v>187</v>
      </c>
      <c r="G100" s="144" t="s">
        <v>187</v>
      </c>
      <c r="H100" s="201"/>
      <c r="I100" s="156" t="s">
        <v>187</v>
      </c>
      <c r="J100" s="155" t="s">
        <v>187</v>
      </c>
      <c r="K100" s="155" t="s">
        <v>187</v>
      </c>
      <c r="L100" s="144" t="s">
        <v>187</v>
      </c>
      <c r="M100" s="144" t="s">
        <v>187</v>
      </c>
      <c r="N100" s="144" t="s">
        <v>187</v>
      </c>
    </row>
    <row r="101" spans="1:14" ht="56">
      <c r="A101" s="43"/>
      <c r="B101" s="2" t="s">
        <v>138</v>
      </c>
      <c r="C101" s="5">
        <v>0.70889999999999997</v>
      </c>
      <c r="D101" s="5">
        <v>0.7</v>
      </c>
      <c r="E101" s="6" t="s">
        <v>23</v>
      </c>
      <c r="F101" s="7" t="s">
        <v>192</v>
      </c>
      <c r="G101" s="6" t="s">
        <v>218</v>
      </c>
      <c r="H101" s="201"/>
      <c r="I101" s="2" t="s">
        <v>228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218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178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217</v>
      </c>
      <c r="N102" s="1" t="s">
        <v>14</v>
      </c>
    </row>
    <row r="103" spans="1:14" ht="28">
      <c r="A103" s="45"/>
      <c r="B103" s="69" t="s">
        <v>137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137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187</v>
      </c>
      <c r="F105" s="40" t="s">
        <v>175</v>
      </c>
      <c r="G105" s="112" t="s">
        <v>187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187</v>
      </c>
      <c r="M105" s="118" t="s">
        <v>187</v>
      </c>
      <c r="N105" s="112" t="s">
        <v>187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203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203</v>
      </c>
      <c r="N106" s="1" t="s">
        <v>19</v>
      </c>
    </row>
    <row r="107" spans="1:14" ht="28">
      <c r="A107" s="45"/>
      <c r="B107" s="106" t="s">
        <v>225</v>
      </c>
      <c r="C107" s="12">
        <v>1.5E-3</v>
      </c>
      <c r="D107" s="138" t="s">
        <v>187</v>
      </c>
      <c r="E107" s="139" t="s">
        <v>187</v>
      </c>
      <c r="F107" s="140" t="s">
        <v>187</v>
      </c>
      <c r="G107" s="171" t="s">
        <v>187</v>
      </c>
      <c r="H107" s="201"/>
      <c r="I107" s="106" t="s">
        <v>225</v>
      </c>
      <c r="J107" s="12">
        <v>1.5E-3</v>
      </c>
      <c r="K107" s="138" t="s">
        <v>187</v>
      </c>
      <c r="L107" s="140" t="s">
        <v>187</v>
      </c>
      <c r="M107" s="140" t="s">
        <v>187</v>
      </c>
      <c r="N107" s="171" t="s">
        <v>187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154</v>
      </c>
      <c r="C109" s="37"/>
      <c r="D109" s="38"/>
      <c r="E109" s="82"/>
      <c r="F109" s="37"/>
      <c r="G109" s="170"/>
      <c r="H109" s="200" t="s">
        <v>83</v>
      </c>
      <c r="I109" s="36" t="s">
        <v>155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220</v>
      </c>
      <c r="D110" s="120" t="s">
        <v>198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220</v>
      </c>
      <c r="K110" s="120" t="s">
        <v>198</v>
      </c>
      <c r="L110" s="121" t="s">
        <v>22</v>
      </c>
      <c r="M110" s="121" t="s">
        <v>20</v>
      </c>
      <c r="N110" s="121" t="s">
        <v>35</v>
      </c>
    </row>
    <row r="111" spans="1:14" ht="15.5">
      <c r="A111" s="43"/>
      <c r="B111" s="2" t="s">
        <v>169</v>
      </c>
      <c r="C111" s="5">
        <v>0.28270000000000001</v>
      </c>
      <c r="D111" s="5">
        <v>0.3</v>
      </c>
      <c r="E111" s="143" t="s">
        <v>187</v>
      </c>
      <c r="F111" s="144" t="s">
        <v>187</v>
      </c>
      <c r="G111" s="144" t="s">
        <v>187</v>
      </c>
      <c r="H111" s="201"/>
      <c r="I111" s="156" t="s">
        <v>187</v>
      </c>
      <c r="J111" s="155" t="s">
        <v>187</v>
      </c>
      <c r="K111" s="155" t="s">
        <v>187</v>
      </c>
      <c r="L111" s="144" t="s">
        <v>187</v>
      </c>
      <c r="M111" s="144" t="s">
        <v>187</v>
      </c>
      <c r="N111" s="144" t="s">
        <v>187</v>
      </c>
    </row>
    <row r="112" spans="1:14" ht="56">
      <c r="A112" s="43"/>
      <c r="B112" s="2" t="s">
        <v>138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218</v>
      </c>
      <c r="H112" s="201"/>
      <c r="I112" s="2" t="s">
        <v>228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218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">
      <c r="A114" s="45"/>
      <c r="B114" s="69" t="s">
        <v>137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137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187</v>
      </c>
      <c r="F116" s="118" t="s">
        <v>187</v>
      </c>
      <c r="G116" s="112" t="s">
        <v>187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187</v>
      </c>
      <c r="M116" s="118" t="s">
        <v>187</v>
      </c>
      <c r="N116" s="112" t="s">
        <v>187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28">
      <c r="A118" s="45"/>
      <c r="B118" s="106" t="s">
        <v>225</v>
      </c>
      <c r="C118" s="12">
        <v>1.5E-3</v>
      </c>
      <c r="D118" s="138" t="s">
        <v>187</v>
      </c>
      <c r="E118" s="139" t="s">
        <v>187</v>
      </c>
      <c r="F118" s="140" t="s">
        <v>187</v>
      </c>
      <c r="G118" s="171" t="s">
        <v>187</v>
      </c>
      <c r="H118" s="201"/>
      <c r="I118" s="106" t="s">
        <v>225</v>
      </c>
      <c r="J118" s="12">
        <v>1.5E-3</v>
      </c>
      <c r="K118" s="138" t="s">
        <v>187</v>
      </c>
      <c r="L118" s="140" t="s">
        <v>187</v>
      </c>
      <c r="M118" s="140" t="s">
        <v>187</v>
      </c>
      <c r="N118" s="171" t="s">
        <v>187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156</v>
      </c>
      <c r="C120" s="37"/>
      <c r="D120" s="38"/>
      <c r="E120" s="82"/>
      <c r="F120" s="37"/>
      <c r="G120" s="170"/>
      <c r="H120" s="202" t="s">
        <v>93</v>
      </c>
      <c r="I120" s="36" t="s">
        <v>157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220</v>
      </c>
      <c r="D121" s="120" t="s">
        <v>198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220</v>
      </c>
      <c r="K121" s="120" t="s">
        <v>198</v>
      </c>
      <c r="L121" s="121" t="s">
        <v>22</v>
      </c>
      <c r="M121" s="121" t="s">
        <v>20</v>
      </c>
      <c r="N121" s="121" t="s">
        <v>35</v>
      </c>
    </row>
    <row r="122" spans="1:14" ht="15.5">
      <c r="A122" s="47"/>
      <c r="B122" s="104" t="s">
        <v>169</v>
      </c>
      <c r="C122" s="5" t="s">
        <v>233</v>
      </c>
      <c r="D122" s="5" t="s">
        <v>195</v>
      </c>
      <c r="E122" s="143" t="s">
        <v>187</v>
      </c>
      <c r="F122" s="144" t="s">
        <v>188</v>
      </c>
      <c r="G122" s="144" t="s">
        <v>196</v>
      </c>
      <c r="H122" s="203"/>
      <c r="I122" s="154" t="s">
        <v>187</v>
      </c>
      <c r="J122" s="155" t="s">
        <v>187</v>
      </c>
      <c r="K122" s="155" t="s">
        <v>187</v>
      </c>
      <c r="L122" s="144" t="s">
        <v>187</v>
      </c>
      <c r="M122" s="144" t="s">
        <v>187</v>
      </c>
      <c r="N122" s="144" t="s">
        <v>187</v>
      </c>
    </row>
    <row r="123" spans="1:14" ht="28">
      <c r="A123" s="47"/>
      <c r="B123" s="104" t="s">
        <v>138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228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131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131</v>
      </c>
      <c r="N124" s="9" t="s">
        <v>28</v>
      </c>
    </row>
    <row r="125" spans="1:14" ht="28">
      <c r="A125" s="47"/>
      <c r="B125" s="105" t="s">
        <v>137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181</v>
      </c>
      <c r="H125" s="203"/>
      <c r="I125" s="104" t="s">
        <v>137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181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187</v>
      </c>
      <c r="F127" s="118" t="s">
        <v>187</v>
      </c>
      <c r="G127" s="112" t="s">
        <v>187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187</v>
      </c>
      <c r="M127" s="118" t="s">
        <v>187</v>
      </c>
      <c r="N127" s="112" t="s">
        <v>187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182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28">
      <c r="A129" s="49"/>
      <c r="B129" s="106" t="s">
        <v>225</v>
      </c>
      <c r="C129" s="12">
        <v>4.0000000000000001E-3</v>
      </c>
      <c r="D129" s="138" t="s">
        <v>187</v>
      </c>
      <c r="E129" s="139" t="s">
        <v>187</v>
      </c>
      <c r="F129" s="140" t="s">
        <v>187</v>
      </c>
      <c r="G129" s="171" t="s">
        <v>187</v>
      </c>
      <c r="H129" s="203"/>
      <c r="I129" s="106" t="s">
        <v>225</v>
      </c>
      <c r="J129" s="12">
        <v>4.0000000000000001E-3</v>
      </c>
      <c r="K129" s="138" t="s">
        <v>187</v>
      </c>
      <c r="L129" s="140" t="s">
        <v>187</v>
      </c>
      <c r="M129" s="140" t="s">
        <v>187</v>
      </c>
      <c r="N129" s="171" t="s">
        <v>187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158</v>
      </c>
      <c r="C131" s="37"/>
      <c r="D131" s="38"/>
      <c r="E131" s="82"/>
      <c r="F131" s="37"/>
      <c r="G131" s="170"/>
      <c r="H131" s="202" t="s">
        <v>100</v>
      </c>
      <c r="I131" s="36" t="s">
        <v>159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220</v>
      </c>
      <c r="D132" s="120" t="s">
        <v>198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220</v>
      </c>
      <c r="K132" s="120" t="s">
        <v>198</v>
      </c>
      <c r="L132" s="121" t="s">
        <v>22</v>
      </c>
      <c r="M132" s="121" t="s">
        <v>20</v>
      </c>
      <c r="N132" s="121" t="s">
        <v>35</v>
      </c>
    </row>
    <row r="133" spans="1:14" ht="15.5">
      <c r="A133" s="49"/>
      <c r="B133" s="104" t="s">
        <v>169</v>
      </c>
      <c r="C133" s="5" t="s">
        <v>234</v>
      </c>
      <c r="D133" s="5" t="s">
        <v>195</v>
      </c>
      <c r="E133" s="143" t="s">
        <v>187</v>
      </c>
      <c r="F133" s="144" t="s">
        <v>188</v>
      </c>
      <c r="G133" s="144" t="s">
        <v>196</v>
      </c>
      <c r="H133" s="203"/>
      <c r="I133" s="154" t="s">
        <v>187</v>
      </c>
      <c r="J133" s="155" t="s">
        <v>187</v>
      </c>
      <c r="K133" s="155" t="s">
        <v>187</v>
      </c>
      <c r="L133" s="144" t="s">
        <v>187</v>
      </c>
      <c r="M133" s="144" t="s">
        <v>187</v>
      </c>
      <c r="N133" s="144" t="s">
        <v>187</v>
      </c>
    </row>
    <row r="134" spans="1:14" ht="28">
      <c r="A134" s="49"/>
      <c r="B134" s="104" t="s">
        <v>138</v>
      </c>
      <c r="C134" s="5">
        <v>0.69910000000000005</v>
      </c>
      <c r="D134" s="5">
        <v>0.64</v>
      </c>
      <c r="E134" s="6" t="s">
        <v>23</v>
      </c>
      <c r="F134" s="7" t="s">
        <v>182</v>
      </c>
      <c r="G134" s="52" t="s">
        <v>27</v>
      </c>
      <c r="H134" s="203"/>
      <c r="I134" s="104" t="s">
        <v>228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189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">
      <c r="A136" s="49"/>
      <c r="B136" s="105" t="s">
        <v>137</v>
      </c>
      <c r="C136" s="3">
        <v>0</v>
      </c>
      <c r="D136" s="113" t="s">
        <v>187</v>
      </c>
      <c r="E136" s="1" t="s">
        <v>23</v>
      </c>
      <c r="F136" s="113" t="s">
        <v>243</v>
      </c>
      <c r="G136" s="132" t="s">
        <v>187</v>
      </c>
      <c r="H136" s="203"/>
      <c r="I136" s="104" t="s">
        <v>137</v>
      </c>
      <c r="J136" s="3">
        <v>0</v>
      </c>
      <c r="K136" s="113" t="s">
        <v>187</v>
      </c>
      <c r="L136" s="1" t="s">
        <v>23</v>
      </c>
      <c r="M136" s="113" t="s">
        <v>243</v>
      </c>
      <c r="N136" s="132" t="s">
        <v>187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187</v>
      </c>
      <c r="F138" s="118" t="s">
        <v>187</v>
      </c>
      <c r="G138" s="112" t="s">
        <v>187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187</v>
      </c>
      <c r="M138" s="118" t="s">
        <v>187</v>
      </c>
      <c r="N138" s="112" t="s">
        <v>187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182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28">
      <c r="A140" s="49"/>
      <c r="B140" s="106" t="s">
        <v>136</v>
      </c>
      <c r="C140" s="12">
        <v>2E-3</v>
      </c>
      <c r="D140" s="138" t="s">
        <v>187</v>
      </c>
      <c r="E140" s="139" t="s">
        <v>187</v>
      </c>
      <c r="F140" s="140" t="s">
        <v>187</v>
      </c>
      <c r="G140" s="171" t="s">
        <v>187</v>
      </c>
      <c r="H140" s="203"/>
      <c r="I140" s="106" t="s">
        <v>136</v>
      </c>
      <c r="J140" s="12">
        <v>2E-3</v>
      </c>
      <c r="K140" s="138" t="s">
        <v>187</v>
      </c>
      <c r="L140" s="140" t="s">
        <v>187</v>
      </c>
      <c r="M140" s="140" t="s">
        <v>187</v>
      </c>
      <c r="N140" s="171" t="s">
        <v>187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160</v>
      </c>
      <c r="C142" s="37"/>
      <c r="D142" s="38"/>
      <c r="E142" s="82"/>
      <c r="F142" s="37"/>
      <c r="G142" s="170"/>
      <c r="H142" s="202" t="s">
        <v>104</v>
      </c>
      <c r="I142" s="36" t="s">
        <v>161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220</v>
      </c>
      <c r="D143" s="120" t="s">
        <v>198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220</v>
      </c>
      <c r="K143" s="120" t="s">
        <v>198</v>
      </c>
      <c r="L143" s="121" t="s">
        <v>22</v>
      </c>
      <c r="M143" s="121" t="s">
        <v>20</v>
      </c>
      <c r="N143" s="121" t="s">
        <v>35</v>
      </c>
    </row>
    <row r="144" spans="1:14" ht="15.5">
      <c r="A144" s="47"/>
      <c r="B144" s="104" t="s">
        <v>169</v>
      </c>
      <c r="C144" s="3">
        <v>0.3085</v>
      </c>
      <c r="D144" s="3">
        <v>0.3</v>
      </c>
      <c r="E144" s="143" t="s">
        <v>187</v>
      </c>
      <c r="F144" s="144" t="s">
        <v>187</v>
      </c>
      <c r="G144" s="144" t="s">
        <v>187</v>
      </c>
      <c r="H144" s="203"/>
      <c r="I144" s="154" t="s">
        <v>187</v>
      </c>
      <c r="J144" s="155" t="s">
        <v>187</v>
      </c>
      <c r="K144" s="155" t="s">
        <v>187</v>
      </c>
      <c r="L144" s="144" t="s">
        <v>187</v>
      </c>
      <c r="M144" s="144" t="s">
        <v>187</v>
      </c>
      <c r="N144" s="144" t="s">
        <v>187</v>
      </c>
    </row>
    <row r="145" spans="1:14" ht="28">
      <c r="A145" s="47"/>
      <c r="B145" s="104" t="s">
        <v>138</v>
      </c>
      <c r="C145" s="157">
        <v>0</v>
      </c>
      <c r="D145" s="157" t="s">
        <v>187</v>
      </c>
      <c r="E145" s="6" t="s">
        <v>23</v>
      </c>
      <c r="F145" s="157" t="s">
        <v>187</v>
      </c>
      <c r="G145" s="147" t="s">
        <v>187</v>
      </c>
      <c r="H145" s="203"/>
      <c r="I145" s="104" t="s">
        <v>228</v>
      </c>
      <c r="J145" s="157" t="s">
        <v>187</v>
      </c>
      <c r="K145" s="157" t="s">
        <v>187</v>
      </c>
      <c r="L145" s="6" t="s">
        <v>23</v>
      </c>
      <c r="M145" s="157" t="s">
        <v>187</v>
      </c>
      <c r="N145" s="147" t="s">
        <v>187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">
      <c r="A147" s="49"/>
      <c r="B147" s="105" t="s">
        <v>137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181</v>
      </c>
      <c r="H147" s="203"/>
      <c r="I147" s="158" t="s">
        <v>137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181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230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230</v>
      </c>
      <c r="N148" s="103" t="s">
        <v>18</v>
      </c>
    </row>
    <row r="149" spans="1:14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187</v>
      </c>
      <c r="F149" s="118" t="s">
        <v>187</v>
      </c>
      <c r="G149" s="111" t="s">
        <v>187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187</v>
      </c>
      <c r="M149" s="118" t="s">
        <v>187</v>
      </c>
      <c r="N149" s="111" t="s">
        <v>187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182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28">
      <c r="A151" s="49"/>
      <c r="B151" s="106" t="s">
        <v>225</v>
      </c>
      <c r="C151" s="12">
        <v>4.0000000000000001E-3</v>
      </c>
      <c r="D151" s="138" t="s">
        <v>187</v>
      </c>
      <c r="E151" s="139" t="s">
        <v>187</v>
      </c>
      <c r="F151" s="140" t="s">
        <v>187</v>
      </c>
      <c r="G151" s="171" t="s">
        <v>187</v>
      </c>
      <c r="H151" s="203"/>
      <c r="I151" s="106" t="s">
        <v>225</v>
      </c>
      <c r="J151" s="12">
        <v>4.0000000000000001E-3</v>
      </c>
      <c r="K151" s="138" t="s">
        <v>187</v>
      </c>
      <c r="L151" s="140" t="s">
        <v>187</v>
      </c>
      <c r="M151" s="140" t="s">
        <v>187</v>
      </c>
      <c r="N151" s="171" t="s">
        <v>187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162</v>
      </c>
      <c r="C153" s="37"/>
      <c r="D153" s="38"/>
      <c r="E153" s="82"/>
      <c r="F153" s="37"/>
      <c r="G153" s="170"/>
      <c r="H153" s="202" t="s">
        <v>111</v>
      </c>
      <c r="I153" s="36" t="s">
        <v>163</v>
      </c>
      <c r="J153" s="37"/>
      <c r="K153" s="38"/>
      <c r="L153" s="39"/>
      <c r="M153" s="37"/>
      <c r="N153" s="170"/>
    </row>
    <row r="154" spans="1:14" ht="51.75" customHeight="1">
      <c r="A154" s="47"/>
      <c r="B154" s="224" t="s">
        <v>0</v>
      </c>
      <c r="C154" s="120" t="s">
        <v>220</v>
      </c>
      <c r="D154" s="120" t="s">
        <v>198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220</v>
      </c>
      <c r="K154" s="120" t="s">
        <v>198</v>
      </c>
      <c r="L154" s="121" t="s">
        <v>22</v>
      </c>
      <c r="M154" s="121" t="s">
        <v>20</v>
      </c>
      <c r="N154" s="121" t="s">
        <v>35</v>
      </c>
    </row>
    <row r="155" spans="1:14" ht="15.5">
      <c r="A155" s="47"/>
      <c r="B155" s="221" t="s">
        <v>169</v>
      </c>
      <c r="C155" s="5">
        <v>0.39269999999999999</v>
      </c>
      <c r="D155" s="5">
        <v>0.3</v>
      </c>
      <c r="E155" s="143" t="s">
        <v>187</v>
      </c>
      <c r="F155" s="144" t="s">
        <v>187</v>
      </c>
      <c r="G155" s="147" t="s">
        <v>187</v>
      </c>
      <c r="H155" s="203"/>
      <c r="I155" s="154" t="s">
        <v>187</v>
      </c>
      <c r="J155" s="155" t="s">
        <v>187</v>
      </c>
      <c r="K155" s="155" t="s">
        <v>187</v>
      </c>
      <c r="L155" s="144" t="s">
        <v>187</v>
      </c>
      <c r="M155" s="144" t="s">
        <v>187</v>
      </c>
      <c r="N155" s="144" t="s">
        <v>187</v>
      </c>
    </row>
    <row r="156" spans="1:14" ht="28">
      <c r="A156" s="47"/>
      <c r="B156" s="221" t="s">
        <v>138</v>
      </c>
      <c r="C156" s="5">
        <v>0.69569999999999999</v>
      </c>
      <c r="D156" s="5">
        <v>0.64</v>
      </c>
      <c r="E156" s="6" t="s">
        <v>23</v>
      </c>
      <c r="F156" s="7" t="s">
        <v>182</v>
      </c>
      <c r="G156" s="6" t="s">
        <v>7</v>
      </c>
      <c r="H156" s="203"/>
      <c r="I156" s="104" t="s">
        <v>228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21" t="s">
        <v>2</v>
      </c>
      <c r="C157" s="3">
        <v>0.24640000000000001</v>
      </c>
      <c r="D157" s="5">
        <v>0.05</v>
      </c>
      <c r="E157" s="103" t="s">
        <v>24</v>
      </c>
      <c r="F157" s="5" t="s">
        <v>51</v>
      </c>
      <c r="G157" s="1" t="s">
        <v>14</v>
      </c>
      <c r="H157" s="204"/>
      <c r="I157" s="104" t="s">
        <v>2</v>
      </c>
      <c r="J157" s="3">
        <v>0.2046</v>
      </c>
      <c r="K157" s="5">
        <v>0.05</v>
      </c>
      <c r="L157" s="103" t="s">
        <v>24</v>
      </c>
      <c r="M157" s="5" t="s">
        <v>51</v>
      </c>
      <c r="N157" s="1" t="s">
        <v>14</v>
      </c>
    </row>
    <row r="158" spans="1:14" ht="28">
      <c r="A158" s="49"/>
      <c r="B158" s="222" t="s">
        <v>137</v>
      </c>
      <c r="C158" s="113">
        <v>0</v>
      </c>
      <c r="D158" s="113" t="s">
        <v>187</v>
      </c>
      <c r="E158" s="1" t="s">
        <v>23</v>
      </c>
      <c r="F158" s="113" t="s">
        <v>243</v>
      </c>
      <c r="G158" s="132" t="s">
        <v>187</v>
      </c>
      <c r="H158" s="203"/>
      <c r="I158" s="104" t="s">
        <v>137</v>
      </c>
      <c r="J158" s="113">
        <v>0</v>
      </c>
      <c r="K158" s="113" t="s">
        <v>187</v>
      </c>
      <c r="L158" s="1" t="s">
        <v>23</v>
      </c>
      <c r="M158" s="113" t="s">
        <v>243</v>
      </c>
      <c r="N158" s="132" t="s">
        <v>187</v>
      </c>
    </row>
    <row r="159" spans="1:14">
      <c r="A159" s="49"/>
      <c r="B159" s="221" t="s">
        <v>12</v>
      </c>
      <c r="C159" s="3">
        <v>0.27179999999999999</v>
      </c>
      <c r="D159" s="248">
        <v>0.05</v>
      </c>
      <c r="E159" s="1" t="s">
        <v>24</v>
      </c>
      <c r="F159" s="247" t="s">
        <v>51</v>
      </c>
      <c r="G159" s="1" t="s">
        <v>18</v>
      </c>
      <c r="H159" s="203"/>
      <c r="I159" s="104" t="s">
        <v>12</v>
      </c>
      <c r="J159" s="3">
        <v>0.26569999999999999</v>
      </c>
      <c r="K159" s="248">
        <v>0.05</v>
      </c>
      <c r="L159" s="1" t="s">
        <v>24</v>
      </c>
      <c r="M159" s="247" t="s">
        <v>51</v>
      </c>
      <c r="N159" s="1" t="s">
        <v>18</v>
      </c>
    </row>
    <row r="160" spans="1:14">
      <c r="A160" s="49"/>
      <c r="B160" s="223" t="s">
        <v>5</v>
      </c>
      <c r="C160" s="27">
        <f>SUBTOTAL(109,C155:C159)</f>
        <v>1.6066</v>
      </c>
      <c r="D160" s="27">
        <f>SUBTOTAL(109,D155:D159)</f>
        <v>1.04</v>
      </c>
      <c r="E160" s="117" t="s">
        <v>187</v>
      </c>
      <c r="F160" s="118" t="s">
        <v>187</v>
      </c>
      <c r="G160" s="111" t="s">
        <v>187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1.04</v>
      </c>
      <c r="L160" s="118" t="s">
        <v>187</v>
      </c>
      <c r="M160" s="118" t="s">
        <v>187</v>
      </c>
      <c r="N160" s="111" t="s">
        <v>187</v>
      </c>
    </row>
    <row r="161" spans="1:14">
      <c r="A161" s="49"/>
      <c r="B161" s="221" t="s">
        <v>6</v>
      </c>
      <c r="C161" s="11">
        <v>0.69440000000000002</v>
      </c>
      <c r="D161" s="11">
        <v>0.64</v>
      </c>
      <c r="E161" s="1" t="s">
        <v>23</v>
      </c>
      <c r="F161" s="9" t="s">
        <v>182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28">
      <c r="A162" s="49"/>
      <c r="B162" s="223" t="s">
        <v>225</v>
      </c>
      <c r="C162" s="12">
        <v>2E-3</v>
      </c>
      <c r="D162" s="138" t="s">
        <v>187</v>
      </c>
      <c r="E162" s="139" t="s">
        <v>187</v>
      </c>
      <c r="F162" s="140" t="s">
        <v>187</v>
      </c>
      <c r="G162" s="171" t="s">
        <v>187</v>
      </c>
      <c r="H162" s="203"/>
      <c r="I162" s="106" t="s">
        <v>225</v>
      </c>
      <c r="J162" s="66">
        <v>2E-3</v>
      </c>
      <c r="K162" s="138" t="s">
        <v>187</v>
      </c>
      <c r="L162" s="140" t="s">
        <v>187</v>
      </c>
      <c r="M162" s="140" t="s">
        <v>187</v>
      </c>
      <c r="N162" s="171" t="s">
        <v>187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164</v>
      </c>
      <c r="B164" s="32" t="s">
        <v>165</v>
      </c>
      <c r="C164" s="33"/>
      <c r="D164" s="34"/>
      <c r="E164" s="81"/>
      <c r="F164" s="33"/>
      <c r="G164" s="170"/>
      <c r="H164" s="205" t="s">
        <v>164</v>
      </c>
      <c r="I164" s="32" t="s">
        <v>167</v>
      </c>
      <c r="J164" s="33"/>
      <c r="K164" s="34"/>
      <c r="L164" s="35"/>
      <c r="M164" s="39"/>
      <c r="N164" s="170"/>
    </row>
    <row r="165" spans="1:14" ht="40.4" customHeight="1">
      <c r="A165" s="80"/>
      <c r="B165" s="119" t="s">
        <v>0</v>
      </c>
      <c r="C165" s="120" t="s">
        <v>220</v>
      </c>
      <c r="D165" s="120" t="s">
        <v>198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220</v>
      </c>
      <c r="K165" s="120" t="s">
        <v>198</v>
      </c>
      <c r="L165" s="121" t="s">
        <v>30</v>
      </c>
      <c r="M165" s="121" t="s">
        <v>20</v>
      </c>
      <c r="N165" s="122" t="s">
        <v>35</v>
      </c>
    </row>
    <row r="166" spans="1:14" ht="15.5">
      <c r="A166" s="80"/>
      <c r="B166" s="104" t="s">
        <v>169</v>
      </c>
      <c r="C166" s="261"/>
      <c r="D166" s="63">
        <v>0.3</v>
      </c>
      <c r="E166" s="143" t="s">
        <v>187</v>
      </c>
      <c r="F166" s="144" t="s">
        <v>187</v>
      </c>
      <c r="G166" s="149" t="s">
        <v>187</v>
      </c>
      <c r="H166" s="206"/>
      <c r="I166" s="154" t="s">
        <v>187</v>
      </c>
      <c r="J166" s="261"/>
      <c r="K166" s="155" t="s">
        <v>187</v>
      </c>
      <c r="L166" s="144" t="s">
        <v>187</v>
      </c>
      <c r="M166" s="144" t="s">
        <v>187</v>
      </c>
      <c r="N166" s="149" t="s">
        <v>187</v>
      </c>
    </row>
    <row r="167" spans="1:14" ht="42" customHeight="1">
      <c r="A167" s="80"/>
      <c r="B167" s="104" t="s">
        <v>138</v>
      </c>
      <c r="C167" s="261"/>
      <c r="D167" s="63">
        <v>0.7</v>
      </c>
      <c r="E167" s="1" t="s">
        <v>4</v>
      </c>
      <c r="F167" s="4" t="s">
        <v>133</v>
      </c>
      <c r="G167" s="218" t="s">
        <v>218</v>
      </c>
      <c r="H167" s="206"/>
      <c r="I167" s="104" t="s">
        <v>228</v>
      </c>
      <c r="J167" s="261"/>
      <c r="K167" s="5">
        <v>0.95</v>
      </c>
      <c r="L167" s="6" t="s">
        <v>4</v>
      </c>
      <c r="M167" s="7" t="s">
        <v>64</v>
      </c>
      <c r="N167" s="218" t="s">
        <v>218</v>
      </c>
    </row>
    <row r="168" spans="1:14" ht="21.75" customHeight="1">
      <c r="A168" s="80"/>
      <c r="B168" s="104" t="s">
        <v>2</v>
      </c>
      <c r="C168" s="262"/>
      <c r="D168" s="64">
        <v>0.19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262"/>
      <c r="K168" s="3">
        <v>0.28000000000000003</v>
      </c>
      <c r="L168" s="1" t="s">
        <v>3</v>
      </c>
      <c r="M168" s="4" t="s">
        <v>174</v>
      </c>
      <c r="N168" s="114" t="s">
        <v>14</v>
      </c>
    </row>
    <row r="169" spans="1:14" ht="28">
      <c r="A169" s="80"/>
      <c r="B169" s="105" t="s">
        <v>137</v>
      </c>
      <c r="C169" s="262"/>
      <c r="D169" s="64">
        <v>0.06</v>
      </c>
      <c r="E169" s="1" t="s">
        <v>4</v>
      </c>
      <c r="F169" s="4" t="s">
        <v>58</v>
      </c>
      <c r="G169" s="114" t="s">
        <v>183</v>
      </c>
      <c r="H169" s="206"/>
      <c r="I169" s="104" t="s">
        <v>137</v>
      </c>
      <c r="J169" s="262"/>
      <c r="K169" s="3">
        <v>0.06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170</v>
      </c>
      <c r="C170" s="262"/>
      <c r="D170" s="64">
        <v>0.05</v>
      </c>
      <c r="E170" s="8" t="s">
        <v>3</v>
      </c>
      <c r="F170" s="9" t="s">
        <v>51</v>
      </c>
      <c r="G170" s="136" t="s">
        <v>187</v>
      </c>
      <c r="H170" s="206"/>
      <c r="I170" s="104" t="s">
        <v>170</v>
      </c>
      <c r="J170" s="262"/>
      <c r="K170" s="3">
        <v>0.05</v>
      </c>
      <c r="L170" s="8" t="s">
        <v>3</v>
      </c>
      <c r="M170" s="9" t="s">
        <v>51</v>
      </c>
      <c r="N170" s="136" t="s">
        <v>187</v>
      </c>
    </row>
    <row r="171" spans="1:14">
      <c r="A171" s="80"/>
      <c r="B171" s="104" t="s">
        <v>10</v>
      </c>
      <c r="C171" s="262"/>
      <c r="D171" s="64">
        <v>0.05</v>
      </c>
      <c r="E171" s="8" t="s">
        <v>3</v>
      </c>
      <c r="F171" s="9" t="s">
        <v>51</v>
      </c>
      <c r="G171" s="136" t="s">
        <v>187</v>
      </c>
      <c r="H171" s="206"/>
      <c r="I171" s="104" t="s">
        <v>10</v>
      </c>
      <c r="J171" s="262"/>
      <c r="K171" s="3">
        <v>0.05</v>
      </c>
      <c r="L171" s="8" t="s">
        <v>3</v>
      </c>
      <c r="M171" s="9" t="s">
        <v>51</v>
      </c>
      <c r="N171" s="136" t="s">
        <v>187</v>
      </c>
    </row>
    <row r="172" spans="1:14">
      <c r="A172" s="80"/>
      <c r="B172" s="104" t="s">
        <v>12</v>
      </c>
      <c r="C172" s="262"/>
      <c r="D172" s="64">
        <v>0.15</v>
      </c>
      <c r="E172" s="8" t="s">
        <v>3</v>
      </c>
      <c r="F172" s="9" t="s">
        <v>52</v>
      </c>
      <c r="G172" s="136" t="s">
        <v>187</v>
      </c>
      <c r="H172" s="206"/>
      <c r="I172" s="104" t="s">
        <v>12</v>
      </c>
      <c r="J172" s="262"/>
      <c r="K172" s="3">
        <v>0.15</v>
      </c>
      <c r="L172" s="8" t="s">
        <v>3</v>
      </c>
      <c r="M172" s="9" t="s">
        <v>52</v>
      </c>
      <c r="N172" s="136" t="s">
        <v>187</v>
      </c>
    </row>
    <row r="173" spans="1:14">
      <c r="A173" s="80"/>
      <c r="B173" s="104" t="s">
        <v>171</v>
      </c>
      <c r="C173" s="262"/>
      <c r="D173" s="64">
        <v>0.05</v>
      </c>
      <c r="E173" s="8" t="s">
        <v>3</v>
      </c>
      <c r="F173" s="9" t="s">
        <v>51</v>
      </c>
      <c r="G173" s="136" t="s">
        <v>187</v>
      </c>
      <c r="H173" s="206"/>
      <c r="I173" s="104" t="s">
        <v>171</v>
      </c>
      <c r="J173" s="262"/>
      <c r="K173" s="3">
        <v>0.05</v>
      </c>
      <c r="L173" s="8" t="s">
        <v>3</v>
      </c>
      <c r="M173" s="9" t="s">
        <v>51</v>
      </c>
      <c r="N173" s="136" t="s">
        <v>187</v>
      </c>
    </row>
    <row r="174" spans="1:14">
      <c r="A174" s="80"/>
      <c r="B174" s="106" t="s">
        <v>5</v>
      </c>
      <c r="C174" s="263"/>
      <c r="D174" s="99">
        <f>SUBTOTAL(109,D166:D173)</f>
        <v>1.55</v>
      </c>
      <c r="E174" s="145" t="s">
        <v>187</v>
      </c>
      <c r="F174" s="132" t="s">
        <v>187</v>
      </c>
      <c r="G174" s="116" t="s">
        <v>187</v>
      </c>
      <c r="H174" s="206"/>
      <c r="I174" s="106" t="s">
        <v>5</v>
      </c>
      <c r="J174" s="263"/>
      <c r="K174" s="101">
        <f>SUBTOTAL(109,K166:K173)</f>
        <v>1.59</v>
      </c>
      <c r="L174" s="145" t="s">
        <v>187</v>
      </c>
      <c r="M174" s="132" t="s">
        <v>187</v>
      </c>
      <c r="N174" s="116" t="s">
        <v>187</v>
      </c>
    </row>
    <row r="175" spans="1:14">
      <c r="A175" s="80"/>
      <c r="B175" s="104" t="s">
        <v>6</v>
      </c>
      <c r="C175" s="262"/>
      <c r="D175" s="64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262"/>
      <c r="K175" s="3">
        <v>0.06</v>
      </c>
      <c r="L175" s="1" t="s">
        <v>23</v>
      </c>
      <c r="M175" s="10" t="s">
        <v>133</v>
      </c>
      <c r="N175" s="115" t="s">
        <v>19</v>
      </c>
    </row>
    <row r="176" spans="1:14" ht="28">
      <c r="A176" s="80"/>
      <c r="B176" s="219" t="s">
        <v>225</v>
      </c>
      <c r="C176" s="264"/>
      <c r="D176" s="148">
        <v>3.0000000000000001E-3</v>
      </c>
      <c r="E176" s="151" t="s">
        <v>187</v>
      </c>
      <c r="F176" s="152" t="s">
        <v>187</v>
      </c>
      <c r="G176" s="153" t="s">
        <v>187</v>
      </c>
      <c r="H176" s="206"/>
      <c r="I176" s="219" t="s">
        <v>225</v>
      </c>
      <c r="J176" s="264"/>
      <c r="K176" s="150">
        <v>3.0000000000000001E-3</v>
      </c>
      <c r="L176" s="152" t="s">
        <v>187</v>
      </c>
      <c r="M176" s="152" t="s">
        <v>187</v>
      </c>
      <c r="N176" s="153" t="s">
        <v>187</v>
      </c>
    </row>
    <row r="177" spans="1:14" ht="21" customHeight="1">
      <c r="A177" s="70"/>
      <c r="B177" s="161" t="s">
        <v>187</v>
      </c>
      <c r="C177" s="162" t="s">
        <v>187</v>
      </c>
      <c r="D177" s="162" t="s">
        <v>187</v>
      </c>
      <c r="E177" s="162" t="s">
        <v>187</v>
      </c>
      <c r="F177" s="162" t="s">
        <v>187</v>
      </c>
      <c r="G177" s="172" t="s">
        <v>187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164</v>
      </c>
      <c r="B178" s="32" t="s">
        <v>166</v>
      </c>
      <c r="C178" s="33"/>
      <c r="D178" s="34"/>
      <c r="E178" s="81"/>
      <c r="F178" s="33"/>
      <c r="G178" s="170"/>
      <c r="H178" s="205" t="s">
        <v>164</v>
      </c>
      <c r="I178" s="32" t="s">
        <v>168</v>
      </c>
      <c r="J178" s="33"/>
      <c r="K178" s="34"/>
      <c r="L178" s="35"/>
      <c r="M178" s="33"/>
      <c r="N178" s="170"/>
    </row>
    <row r="179" spans="1:14" ht="40.4" customHeight="1">
      <c r="A179" s="80"/>
      <c r="B179" s="119" t="s">
        <v>0</v>
      </c>
      <c r="C179" s="120" t="s">
        <v>220</v>
      </c>
      <c r="D179" s="120" t="s">
        <v>198</v>
      </c>
      <c r="E179" s="121" t="s">
        <v>30</v>
      </c>
      <c r="F179" s="121" t="s">
        <v>20</v>
      </c>
      <c r="G179" s="122" t="s">
        <v>35</v>
      </c>
      <c r="H179" s="206"/>
      <c r="I179" s="119" t="s">
        <v>0</v>
      </c>
      <c r="J179" s="120" t="s">
        <v>220</v>
      </c>
      <c r="K179" s="120" t="s">
        <v>198</v>
      </c>
      <c r="L179" s="121" t="s">
        <v>30</v>
      </c>
      <c r="M179" s="121" t="s">
        <v>20</v>
      </c>
      <c r="N179" s="122" t="s">
        <v>35</v>
      </c>
    </row>
    <row r="180" spans="1:14" ht="15.5">
      <c r="A180" s="80"/>
      <c r="B180" s="104" t="s">
        <v>169</v>
      </c>
      <c r="C180" s="3">
        <v>0.4904</v>
      </c>
      <c r="D180" s="3">
        <v>0.85</v>
      </c>
      <c r="E180" s="156" t="s">
        <v>187</v>
      </c>
      <c r="F180" s="256" t="s">
        <v>187</v>
      </c>
      <c r="G180" s="257" t="s">
        <v>187</v>
      </c>
      <c r="H180" s="206"/>
      <c r="I180" s="154" t="s">
        <v>187</v>
      </c>
      <c r="J180" s="260" t="s">
        <v>187</v>
      </c>
      <c r="K180" s="260" t="s">
        <v>187</v>
      </c>
      <c r="L180" s="256" t="s">
        <v>187</v>
      </c>
      <c r="M180" s="256" t="s">
        <v>187</v>
      </c>
      <c r="N180" s="257" t="s">
        <v>187</v>
      </c>
    </row>
    <row r="181" spans="1:14" ht="33.75" customHeight="1">
      <c r="A181" s="80"/>
      <c r="B181" s="104" t="s">
        <v>138</v>
      </c>
      <c r="C181" s="3">
        <v>0.1099</v>
      </c>
      <c r="D181" s="3">
        <v>0.16</v>
      </c>
      <c r="E181" s="1" t="s">
        <v>4</v>
      </c>
      <c r="F181" s="4" t="s">
        <v>133</v>
      </c>
      <c r="G181" s="114" t="s">
        <v>218</v>
      </c>
      <c r="H181" s="206"/>
      <c r="I181" s="104" t="s">
        <v>228</v>
      </c>
      <c r="J181" s="3">
        <v>0.1507</v>
      </c>
      <c r="K181" s="3">
        <v>0.2</v>
      </c>
      <c r="L181" s="1" t="s">
        <v>4</v>
      </c>
      <c r="M181" s="4" t="s">
        <v>64</v>
      </c>
      <c r="N181" s="114" t="s">
        <v>218</v>
      </c>
    </row>
    <row r="182" spans="1:14">
      <c r="A182" s="80"/>
      <c r="B182" s="104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14" t="s">
        <v>14</v>
      </c>
      <c r="H182" s="206"/>
      <c r="I182" s="104" t="s">
        <v>2</v>
      </c>
      <c r="J182" s="3">
        <v>0.45140000000000002</v>
      </c>
      <c r="K182" s="3">
        <v>0.45</v>
      </c>
      <c r="L182" s="1" t="s">
        <v>3</v>
      </c>
      <c r="M182" s="4" t="s">
        <v>174</v>
      </c>
      <c r="N182" s="114" t="s">
        <v>14</v>
      </c>
    </row>
    <row r="183" spans="1:14" ht="28">
      <c r="A183" s="80"/>
      <c r="B183" s="105" t="s">
        <v>137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14" t="s">
        <v>183</v>
      </c>
      <c r="H183" s="206"/>
      <c r="I183" s="104" t="s">
        <v>137</v>
      </c>
      <c r="J183" s="3">
        <v>0.2954</v>
      </c>
      <c r="K183" s="3">
        <v>0.3</v>
      </c>
      <c r="L183" s="1" t="s">
        <v>4</v>
      </c>
      <c r="M183" s="4" t="s">
        <v>61</v>
      </c>
      <c r="N183" s="114" t="s">
        <v>183</v>
      </c>
    </row>
    <row r="184" spans="1:14">
      <c r="A184" s="80"/>
      <c r="B184" s="104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16" t="s">
        <v>187</v>
      </c>
      <c r="H184" s="206"/>
      <c r="I184" s="104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16" t="s">
        <v>187</v>
      </c>
    </row>
    <row r="185" spans="1:14">
      <c r="A185" s="80"/>
      <c r="B185" s="106" t="s">
        <v>5</v>
      </c>
      <c r="C185" s="27">
        <f>SUBTOTAL(109,C180:C184)</f>
        <v>1</v>
      </c>
      <c r="D185" s="27">
        <f>SUBTOTAL(109,D180:D184)</f>
        <v>1.27</v>
      </c>
      <c r="E185" s="117" t="s">
        <v>187</v>
      </c>
      <c r="F185" s="118" t="s">
        <v>187</v>
      </c>
      <c r="G185" s="232" t="s">
        <v>187</v>
      </c>
      <c r="H185" s="206"/>
      <c r="I185" s="10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187</v>
      </c>
      <c r="M185" s="118" t="s">
        <v>187</v>
      </c>
      <c r="N185" s="232" t="s">
        <v>187</v>
      </c>
    </row>
    <row r="186" spans="1:14">
      <c r="A186" s="80"/>
      <c r="B186" s="104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14" t="s">
        <v>19</v>
      </c>
      <c r="H186" s="206"/>
      <c r="I186" s="104" t="s">
        <v>6</v>
      </c>
      <c r="J186" s="3">
        <v>0</v>
      </c>
      <c r="K186" s="11">
        <v>0.16</v>
      </c>
      <c r="L186" s="1" t="s">
        <v>4</v>
      </c>
      <c r="M186" s="9" t="s">
        <v>133</v>
      </c>
      <c r="N186" s="114" t="s">
        <v>19</v>
      </c>
    </row>
    <row r="187" spans="1:14" ht="28">
      <c r="A187" s="80"/>
      <c r="B187" s="219" t="s">
        <v>225</v>
      </c>
      <c r="C187" s="258">
        <v>2E-3</v>
      </c>
      <c r="D187" s="250" t="s">
        <v>187</v>
      </c>
      <c r="E187" s="250" t="s">
        <v>187</v>
      </c>
      <c r="F187" s="250" t="s">
        <v>187</v>
      </c>
      <c r="G187" s="259" t="s">
        <v>187</v>
      </c>
      <c r="H187" s="206"/>
      <c r="I187" s="219" t="s">
        <v>225</v>
      </c>
      <c r="J187" s="258">
        <v>2E-3</v>
      </c>
      <c r="K187" s="250" t="s">
        <v>187</v>
      </c>
      <c r="L187" s="250" t="s">
        <v>187</v>
      </c>
      <c r="M187" s="250" t="s">
        <v>187</v>
      </c>
      <c r="N187" s="259" t="s">
        <v>187</v>
      </c>
    </row>
    <row r="188" spans="1:14">
      <c r="A188" s="70"/>
      <c r="B188" s="161" t="s">
        <v>187</v>
      </c>
      <c r="C188" s="162" t="s">
        <v>187</v>
      </c>
      <c r="D188" s="162" t="s">
        <v>187</v>
      </c>
      <c r="E188" s="162" t="s">
        <v>187</v>
      </c>
      <c r="F188" s="162" t="s">
        <v>187</v>
      </c>
      <c r="G188" s="172" t="s">
        <v>187</v>
      </c>
      <c r="H188" s="197"/>
      <c r="I188" s="76"/>
      <c r="J188" s="77"/>
      <c r="K188" s="78"/>
      <c r="L188" s="77"/>
      <c r="M188" s="77"/>
      <c r="N188" s="174"/>
    </row>
    <row r="189" spans="1:14" ht="51" customHeight="1">
      <c r="A189" s="265" t="s">
        <v>261</v>
      </c>
      <c r="B189" s="36" t="s">
        <v>259</v>
      </c>
      <c r="C189" s="37"/>
      <c r="D189" s="38"/>
      <c r="E189" s="82"/>
      <c r="F189" s="37"/>
      <c r="G189" s="170"/>
      <c r="H189" s="265" t="s">
        <v>261</v>
      </c>
      <c r="I189" s="36" t="s">
        <v>260</v>
      </c>
      <c r="J189" s="37"/>
      <c r="K189" s="38"/>
      <c r="L189" s="39"/>
      <c r="M189" s="37"/>
      <c r="N189" s="170"/>
    </row>
    <row r="190" spans="1:14" ht="15.5">
      <c r="A190" s="266"/>
      <c r="B190" s="119" t="s">
        <v>0</v>
      </c>
      <c r="C190" s="120" t="s">
        <v>220</v>
      </c>
      <c r="D190" s="120" t="s">
        <v>198</v>
      </c>
      <c r="E190" s="121" t="s">
        <v>30</v>
      </c>
      <c r="F190" s="121" t="s">
        <v>20</v>
      </c>
      <c r="G190" s="122" t="s">
        <v>35</v>
      </c>
      <c r="H190" s="266"/>
      <c r="I190" s="119" t="s">
        <v>0</v>
      </c>
      <c r="J190" s="120" t="s">
        <v>220</v>
      </c>
      <c r="K190" s="120" t="s">
        <v>198</v>
      </c>
      <c r="L190" s="121" t="s">
        <v>30</v>
      </c>
      <c r="M190" s="121" t="s">
        <v>20</v>
      </c>
      <c r="N190" s="122" t="s">
        <v>35</v>
      </c>
    </row>
    <row r="191" spans="1:14" ht="15.5">
      <c r="A191" s="266"/>
      <c r="B191" s="104" t="s">
        <v>169</v>
      </c>
      <c r="C191" s="261"/>
      <c r="D191" s="5">
        <v>0.3</v>
      </c>
      <c r="E191" s="143" t="s">
        <v>187</v>
      </c>
      <c r="F191" s="144" t="s">
        <v>187</v>
      </c>
      <c r="G191" s="149" t="s">
        <v>187</v>
      </c>
      <c r="H191" s="266"/>
      <c r="I191" s="154" t="s">
        <v>187</v>
      </c>
      <c r="J191" s="261"/>
      <c r="K191" s="5"/>
      <c r="L191" s="144" t="s">
        <v>187</v>
      </c>
      <c r="M191" s="144" t="s">
        <v>187</v>
      </c>
      <c r="N191" s="149" t="s">
        <v>187</v>
      </c>
    </row>
    <row r="192" spans="1:14" ht="28">
      <c r="A192" s="266"/>
      <c r="B192" s="104" t="s">
        <v>138</v>
      </c>
      <c r="C192" s="261"/>
      <c r="D192" s="3">
        <v>0.7</v>
      </c>
      <c r="E192" s="1" t="s">
        <v>4</v>
      </c>
      <c r="F192" s="4" t="s">
        <v>86</v>
      </c>
      <c r="G192" s="52" t="s">
        <v>249</v>
      </c>
      <c r="H192" s="266"/>
      <c r="I192" s="104" t="s">
        <v>138</v>
      </c>
      <c r="J192" s="261"/>
      <c r="K192" s="3">
        <v>0.95</v>
      </c>
      <c r="L192" s="1" t="s">
        <v>4</v>
      </c>
      <c r="M192" s="4" t="s">
        <v>122</v>
      </c>
      <c r="N192" s="52" t="s">
        <v>249</v>
      </c>
    </row>
    <row r="193" spans="1:14">
      <c r="A193" s="266"/>
      <c r="B193" s="104" t="s">
        <v>2</v>
      </c>
      <c r="C193" s="262"/>
      <c r="D193" s="3">
        <v>0.19</v>
      </c>
      <c r="E193" s="1" t="s">
        <v>3</v>
      </c>
      <c r="F193" s="4" t="s">
        <v>258</v>
      </c>
      <c r="G193" s="114" t="s">
        <v>14</v>
      </c>
      <c r="H193" s="266"/>
      <c r="I193" s="104" t="s">
        <v>2</v>
      </c>
      <c r="J193" s="262"/>
      <c r="K193" s="3">
        <v>0.28000000000000003</v>
      </c>
      <c r="L193" s="1" t="s">
        <v>3</v>
      </c>
      <c r="M193" s="4" t="s">
        <v>212</v>
      </c>
      <c r="N193" s="114" t="s">
        <v>14</v>
      </c>
    </row>
    <row r="194" spans="1:14" ht="28">
      <c r="A194" s="266"/>
      <c r="B194" s="105" t="s">
        <v>137</v>
      </c>
      <c r="C194" s="262"/>
      <c r="D194" s="3">
        <v>0.06</v>
      </c>
      <c r="E194" s="1" t="s">
        <v>4</v>
      </c>
      <c r="F194" s="4" t="s">
        <v>58</v>
      </c>
      <c r="G194" s="1" t="s">
        <v>15</v>
      </c>
      <c r="H194" s="266"/>
      <c r="I194" s="105" t="s">
        <v>137</v>
      </c>
      <c r="J194" s="262"/>
      <c r="K194" s="3">
        <v>0.06</v>
      </c>
      <c r="L194" s="1" t="s">
        <v>4</v>
      </c>
      <c r="M194" s="4" t="s">
        <v>58</v>
      </c>
      <c r="N194" s="1" t="s">
        <v>15</v>
      </c>
    </row>
    <row r="195" spans="1:14" ht="28">
      <c r="A195" s="266"/>
      <c r="B195" s="104" t="s">
        <v>170</v>
      </c>
      <c r="C195" s="262"/>
      <c r="D195" s="3">
        <v>0.05</v>
      </c>
      <c r="E195" s="8" t="s">
        <v>3</v>
      </c>
      <c r="F195" s="9" t="s">
        <v>51</v>
      </c>
      <c r="G195" s="136"/>
      <c r="H195" s="266"/>
      <c r="I195" s="104" t="s">
        <v>170</v>
      </c>
      <c r="J195" s="262"/>
      <c r="K195" s="3">
        <v>0.05</v>
      </c>
      <c r="L195" s="8" t="s">
        <v>3</v>
      </c>
      <c r="M195" s="9" t="s">
        <v>51</v>
      </c>
      <c r="N195" s="136"/>
    </row>
    <row r="196" spans="1:14">
      <c r="A196" s="266"/>
      <c r="B196" s="104" t="s">
        <v>10</v>
      </c>
      <c r="C196" s="262"/>
      <c r="D196" s="3">
        <v>0.05</v>
      </c>
      <c r="E196" s="8" t="s">
        <v>3</v>
      </c>
      <c r="F196" s="9" t="s">
        <v>51</v>
      </c>
      <c r="G196" s="136" t="s">
        <v>187</v>
      </c>
      <c r="H196" s="266"/>
      <c r="I196" s="104" t="s">
        <v>10</v>
      </c>
      <c r="J196" s="262"/>
      <c r="K196" s="3">
        <v>0.05</v>
      </c>
      <c r="L196" s="8" t="s">
        <v>3</v>
      </c>
      <c r="M196" s="9" t="s">
        <v>51</v>
      </c>
      <c r="N196" s="136"/>
    </row>
    <row r="197" spans="1:14">
      <c r="A197" s="266"/>
      <c r="B197" s="104" t="s">
        <v>12</v>
      </c>
      <c r="C197" s="262"/>
      <c r="D197" s="3">
        <v>0.15</v>
      </c>
      <c r="E197" s="8" t="s">
        <v>3</v>
      </c>
      <c r="F197" s="9" t="s">
        <v>52</v>
      </c>
      <c r="G197" s="1" t="s">
        <v>18</v>
      </c>
      <c r="H197" s="266"/>
      <c r="I197" s="104" t="s">
        <v>12</v>
      </c>
      <c r="J197" s="262"/>
      <c r="K197" s="3">
        <v>0.15</v>
      </c>
      <c r="L197" s="8" t="s">
        <v>3</v>
      </c>
      <c r="M197" s="9" t="s">
        <v>52</v>
      </c>
      <c r="N197" s="1" t="s">
        <v>18</v>
      </c>
    </row>
    <row r="198" spans="1:14">
      <c r="A198" s="266"/>
      <c r="B198" s="104" t="s">
        <v>171</v>
      </c>
      <c r="C198" s="262"/>
      <c r="D198" s="3">
        <v>0.05</v>
      </c>
      <c r="E198" s="8" t="s">
        <v>3</v>
      </c>
      <c r="F198" s="9" t="s">
        <v>51</v>
      </c>
      <c r="G198" s="136" t="s">
        <v>187</v>
      </c>
      <c r="H198" s="266"/>
      <c r="I198" s="104" t="s">
        <v>171</v>
      </c>
      <c r="J198" s="262"/>
      <c r="K198" s="3">
        <v>0.05</v>
      </c>
      <c r="L198" s="8" t="s">
        <v>3</v>
      </c>
      <c r="M198" s="9" t="s">
        <v>51</v>
      </c>
      <c r="N198" s="136"/>
    </row>
    <row r="199" spans="1:14">
      <c r="A199" s="266"/>
      <c r="B199" s="106" t="s">
        <v>5</v>
      </c>
      <c r="C199" s="263"/>
      <c r="D199" s="99">
        <f>SUBTOTAL(109,D191:D198)</f>
        <v>1.55</v>
      </c>
      <c r="E199" s="145" t="s">
        <v>187</v>
      </c>
      <c r="F199" s="132" t="s">
        <v>187</v>
      </c>
      <c r="G199" s="116" t="s">
        <v>187</v>
      </c>
      <c r="H199" s="266"/>
      <c r="I199" s="106" t="s">
        <v>5</v>
      </c>
      <c r="J199" s="263"/>
      <c r="K199" s="99">
        <f>SUBTOTAL(109,K191:K198)</f>
        <v>1.59</v>
      </c>
      <c r="L199" s="145" t="s">
        <v>187</v>
      </c>
      <c r="M199" s="132" t="s">
        <v>187</v>
      </c>
      <c r="N199" s="116"/>
    </row>
    <row r="200" spans="1:14">
      <c r="A200" s="266"/>
      <c r="B200" s="104" t="s">
        <v>6</v>
      </c>
      <c r="C200" s="262"/>
      <c r="D200" s="3">
        <v>0.06</v>
      </c>
      <c r="E200" s="1" t="s">
        <v>23</v>
      </c>
      <c r="F200" s="10" t="s">
        <v>58</v>
      </c>
      <c r="G200" s="115" t="s">
        <v>19</v>
      </c>
      <c r="H200" s="266"/>
      <c r="I200" s="104" t="s">
        <v>6</v>
      </c>
      <c r="J200" s="262"/>
      <c r="K200" s="3">
        <v>0.06</v>
      </c>
      <c r="L200" s="1" t="s">
        <v>23</v>
      </c>
      <c r="M200" s="10" t="s">
        <v>58</v>
      </c>
      <c r="N200" s="115" t="s">
        <v>19</v>
      </c>
    </row>
    <row r="201" spans="1:14" ht="28">
      <c r="A201" s="266"/>
      <c r="B201" s="219" t="s">
        <v>225</v>
      </c>
      <c r="C201" s="264"/>
      <c r="D201" s="258">
        <v>3.0000000000000001E-3</v>
      </c>
      <c r="E201" s="151" t="s">
        <v>187</v>
      </c>
      <c r="F201" s="152" t="s">
        <v>187</v>
      </c>
      <c r="G201" s="153" t="s">
        <v>187</v>
      </c>
      <c r="H201" s="266"/>
      <c r="I201" s="219" t="s">
        <v>225</v>
      </c>
      <c r="J201" s="264"/>
      <c r="K201" s="258">
        <v>3.0000000000000001E-3</v>
      </c>
      <c r="L201" s="151" t="s">
        <v>187</v>
      </c>
      <c r="M201" s="152" t="s">
        <v>187</v>
      </c>
      <c r="N201" s="153" t="s">
        <v>187</v>
      </c>
    </row>
    <row r="202" spans="1:14" ht="21" customHeight="1">
      <c r="A202" s="71" t="s">
        <v>8</v>
      </c>
      <c r="B202" s="72"/>
      <c r="C202" s="73"/>
      <c r="D202" s="74"/>
      <c r="E202" s="73"/>
      <c r="F202" s="73"/>
      <c r="G202" s="173"/>
      <c r="H202" s="207" t="s">
        <v>8</v>
      </c>
      <c r="I202" s="163" t="s">
        <v>187</v>
      </c>
      <c r="J202" s="164" t="s">
        <v>187</v>
      </c>
      <c r="K202" s="164" t="s">
        <v>187</v>
      </c>
      <c r="L202" s="164" t="s">
        <v>187</v>
      </c>
      <c r="M202" s="164" t="s">
        <v>187</v>
      </c>
      <c r="N202" s="175" t="s">
        <v>187</v>
      </c>
    </row>
    <row r="203" spans="1:14" s="95" customFormat="1" ht="18.75" customHeight="1">
      <c r="A203" s="59" t="s">
        <v>135</v>
      </c>
      <c r="B203" s="60"/>
      <c r="C203" s="187"/>
      <c r="D203" s="187"/>
      <c r="E203" s="208"/>
      <c r="F203" s="187"/>
      <c r="G203" s="209"/>
      <c r="H203" s="210" t="s">
        <v>135</v>
      </c>
      <c r="I203" s="211"/>
      <c r="J203" s="187"/>
      <c r="K203" s="187"/>
      <c r="L203" s="187"/>
      <c r="M203" s="187"/>
      <c r="N203" s="209"/>
    </row>
    <row r="204" spans="1:14" ht="18.75" customHeight="1">
      <c r="A204" s="57" t="s">
        <v>134</v>
      </c>
      <c r="B204" s="61"/>
      <c r="C204" s="188"/>
      <c r="D204" s="188"/>
      <c r="E204" s="212"/>
      <c r="F204" s="188"/>
      <c r="G204" s="209"/>
      <c r="H204" s="213" t="s">
        <v>134</v>
      </c>
      <c r="I204" s="214"/>
      <c r="J204" s="188"/>
      <c r="K204" s="188"/>
      <c r="L204" s="188"/>
      <c r="M204" s="188"/>
      <c r="N204" s="209"/>
    </row>
    <row r="205" spans="1:14" ht="18" customHeight="1">
      <c r="A205" s="75"/>
      <c r="B205" s="72"/>
      <c r="C205" s="73"/>
      <c r="D205" s="74"/>
      <c r="E205" s="73"/>
      <c r="F205" s="73"/>
      <c r="G205" s="173"/>
      <c r="H205" s="76"/>
      <c r="I205" s="76"/>
      <c r="J205" s="77"/>
      <c r="K205" s="78"/>
      <c r="L205" s="77"/>
      <c r="M205" s="77"/>
      <c r="N205" s="174"/>
    </row>
    <row r="10014" spans="15:52">
      <c r="AZ10014" s="94">
        <v>3</v>
      </c>
    </row>
    <row r="10015" spans="15:52">
      <c r="O10015" s="94">
        <v>61</v>
      </c>
    </row>
  </sheetData>
  <mergeCells count="2">
    <mergeCell ref="A2:E2"/>
    <mergeCell ref="H2:K2"/>
  </mergeCells>
  <hyperlinks>
    <hyperlink ref="A204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204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Avishai Fridson</cp:lastModifiedBy>
  <cp:lastPrinted>2025-12-02T12:20:37Z</cp:lastPrinted>
  <dcterms:created xsi:type="dcterms:W3CDTF">2019-11-21T10:57:46Z</dcterms:created>
  <dcterms:modified xsi:type="dcterms:W3CDTF">2026-09-29T07:35:00Z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