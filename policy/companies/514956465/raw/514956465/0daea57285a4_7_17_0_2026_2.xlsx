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ofeks\Desktop\הנגשות משולב סחיר\"/>
    </mc:Choice>
  </mc:AlternateContent>
  <xr:revisionPtr revIDLastSave="0" documentId="13_ncr:1_{BADC5759-8B4F-43E8-BC6F-90815E4D63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'!$A$1:$N$190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2" l="1"/>
  <c r="E147" i="22"/>
  <c r="F147" i="22"/>
  <c r="D135" i="22"/>
  <c r="E135" i="22"/>
  <c r="F135" i="22"/>
  <c r="E123" i="22"/>
  <c r="F123" i="22"/>
  <c r="D107" i="22"/>
  <c r="E107" i="22"/>
  <c r="F107" i="22"/>
  <c r="D90" i="22"/>
  <c r="E90" i="22"/>
  <c r="F90" i="22"/>
  <c r="F13" i="22"/>
  <c r="K184" i="21"/>
  <c r="D184" i="21"/>
  <c r="K173" i="21"/>
  <c r="D173" i="21"/>
  <c r="K159" i="21"/>
  <c r="D159" i="21"/>
  <c r="K148" i="21"/>
  <c r="D148" i="21"/>
  <c r="K137" i="21"/>
  <c r="D137" i="21"/>
  <c r="K126" i="21"/>
  <c r="D126" i="21"/>
  <c r="K115" i="21"/>
  <c r="D115" i="21"/>
  <c r="K104" i="21"/>
  <c r="D104" i="21"/>
  <c r="K93" i="21"/>
  <c r="D93" i="21"/>
  <c r="K82" i="21"/>
  <c r="D82" i="21"/>
  <c r="K68" i="21"/>
  <c r="D68" i="21"/>
  <c r="K54" i="21"/>
  <c r="D54" i="21"/>
  <c r="K40" i="21"/>
  <c r="D40" i="21"/>
  <c r="K26" i="21"/>
  <c r="D26" i="21"/>
  <c r="K12" i="21"/>
  <c r="D12" i="21"/>
  <c r="F306" i="22"/>
  <c r="F296" i="22"/>
  <c r="F286" i="22"/>
  <c r="F271" i="22"/>
  <c r="F256" i="22"/>
  <c r="F241" i="22"/>
  <c r="F229" i="22"/>
  <c r="F218" i="22"/>
  <c r="F206" i="22"/>
  <c r="F194" i="22"/>
  <c r="F182" i="22"/>
  <c r="E182" i="22"/>
  <c r="F171" i="22"/>
  <c r="E171" i="22"/>
  <c r="F159" i="22"/>
  <c r="F73" i="22"/>
  <c r="F58" i="22"/>
  <c r="F43" i="22"/>
  <c r="F28" i="22"/>
  <c r="E13" i="22"/>
  <c r="J184" i="21"/>
  <c r="J173" i="21"/>
  <c r="J159" i="21"/>
  <c r="J148" i="21"/>
  <c r="J137" i="21"/>
  <c r="J126" i="21"/>
  <c r="J115" i="21"/>
  <c r="J104" i="21"/>
  <c r="J93" i="21"/>
  <c r="J82" i="21"/>
  <c r="J68" i="21"/>
  <c r="J40" i="21"/>
  <c r="J26" i="21"/>
  <c r="C184" i="21"/>
  <c r="C173" i="21"/>
  <c r="C159" i="21"/>
  <c r="C148" i="21"/>
  <c r="C137" i="21"/>
  <c r="C126" i="21"/>
  <c r="C115" i="21"/>
  <c r="C104" i="21"/>
  <c r="C93" i="21"/>
  <c r="C82" i="21"/>
  <c r="C68" i="21" l="1"/>
  <c r="C26" i="21"/>
  <c r="J54" i="21"/>
  <c r="C12" i="21"/>
  <c r="J12" i="21"/>
  <c r="C54" i="21"/>
  <c r="C40" i="21"/>
  <c r="E306" i="22"/>
  <c r="E296" i="22"/>
  <c r="E286" i="22"/>
  <c r="E271" i="22"/>
  <c r="E256" i="22"/>
  <c r="E241" i="22"/>
  <c r="D241" i="22"/>
  <c r="C241" i="22"/>
  <c r="E229" i="22"/>
  <c r="D229" i="22"/>
  <c r="D218" i="22"/>
  <c r="C218" i="22"/>
  <c r="E218" i="22"/>
  <c r="E206" i="22"/>
  <c r="D206" i="22"/>
  <c r="C206" i="22"/>
  <c r="E194" i="22"/>
  <c r="D194" i="22"/>
  <c r="C194" i="22"/>
  <c r="D182" i="22"/>
  <c r="D171" i="22"/>
  <c r="C171" i="22"/>
  <c r="E159" i="22"/>
  <c r="D159" i="22"/>
  <c r="C159" i="22"/>
  <c r="C147" i="22" l="1"/>
  <c r="C135" i="22"/>
  <c r="C107" i="22"/>
  <c r="E73" i="22" l="1"/>
  <c r="D123" i="22"/>
  <c r="E58" i="22"/>
  <c r="C90" i="22"/>
  <c r="E43" i="22"/>
  <c r="E28" i="22"/>
</calcChain>
</file>

<file path=xl/sharedStrings.xml><?xml version="1.0" encoding="utf-8"?>
<sst xmlns="http://schemas.openxmlformats.org/spreadsheetml/2006/main" count="2902" uniqueCount="241">
  <si>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</si>
  <si>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</si>
  <si>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</si>
  <si>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</si>
  <si>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</si>
  <si>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</si>
  <si>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</si>
  <si>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</si>
  <si>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</si>
  <si>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</si>
  <si>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</si>
  <si>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</si>
  <si>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</si>
  <si>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</si>
  <si>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</si>
  <si>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</si>
  <si>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</si>
  <si>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</si>
  <si>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</si>
  <si>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</si>
  <si>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</si>
  <si>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</si>
  <si>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</si>
  <si>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</si>
  <si>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</si>
  <si>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</si>
  <si>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</si>
  <si>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</si>
  <si>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</si>
  <si>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</si>
  <si>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</si>
  <si>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</si>
  <si>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</si>
  <si>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</si>
  <si>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</si>
  <si>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</si>
  <si>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</si>
  <si>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</si>
  <si>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</si>
  <si>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</si>
  <si>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</si>
  <si>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</si>
  <si>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</si>
  <si>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</si>
  <si>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</si>
  <si>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</si>
  <si>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</si>
  <si>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</si>
  <si>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</si>
  <si>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</si>
  <si>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</si>
  <si>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</si>
  <si>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</si>
  <si>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</si>
  <si>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</si>
  <si>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</si>
  <si>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</si>
  <si>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</si>
  <si>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</si>
  <si>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</si>
  <si>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</si>
  <si>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</si>
  <si>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</si>
  <si>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</si>
  <si>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</si>
  <si>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</si>
  <si>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</si>
  <si>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</si>
  <si>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</si>
  <si>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</si>
  <si>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</si>
  <si>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</si>
  <si>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</si>
  <si>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/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</si>
  <si>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</si>
  <si>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</si>
  <si>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</si>
  <si>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</si>
  <si>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</si>
  <si>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</si>
  <si>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</si>
  <si>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</si>
  <si>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</si>
  <si>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</si>
  <si>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</si>
  <si>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</si>
  <si>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</si>
  <si>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</si>
  <si>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</si>
  <si>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</si>
  <si>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</si>
  <si>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</si>
  <si>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</si>
  <si>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</si>
  <si>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</si>
  <si>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</si>
  <si>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</si>
  <si>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</si>
  <si>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</si>
  <si>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</si>
  <si>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</si>
  <si>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</si>
  <si>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</si>
  <si>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</si>
  <si>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</si>
  <si>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</si>
  <si>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</si>
  <si>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</si>
  <si>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</si>
  <si>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</si>
  <si>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</si>
  <si>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</si>
  <si>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</si>
  <si>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</si>
  <si>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</si>
  <si>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</si>
  <si>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</si>
  <si>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</si>
  <si>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</si>
  <si>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</si>
  <si>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</si>
  <si>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</si>
  <si>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</si>
  <si>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</si>
  <si>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</si>
  <si>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</si>
  <si>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</si>
  <si>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</si>
  <si>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</si>
  <si>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</si>
  <si>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</si>
  <si>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</si>
  <si>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</si>
  <si>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</si>
  <si>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</si>
  <si>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</si>
  <si>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</si>
  <si>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</si>
  <si>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</si>
  <si>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</si>
  <si>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</si>
  <si>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</si>
  <si>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</si>
  <si>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</si>
  <si>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</si>
  <si>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</si>
  <si>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</si>
  <si>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</si>
  <si>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</si>
  <si>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</si>
  <si>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</si>
  <si>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</si>
  <si>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</si>
  <si>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</si>
  <si>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</si>
  <si>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</si>
  <si>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</si>
  <si>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</si>
  <si>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</si>
  <si>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</si>
  <si>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</si>
  <si>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</si>
  <si>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</si>
  <si>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</si>
  <si>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</si>
  <si>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</si>
  <si>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</si>
  <si>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</si>
  <si>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</si>
  <si>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</si>
  <si>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</si>
  <si>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</si>
  <si>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</si>
  <si>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</si>
  <si>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</si>
  <si>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</si>
  <si>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</si>
  <si>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</si>
  <si>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</si>
  <si>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</si>
  <si>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</si>
  <si>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</si>
  <si>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</si>
  <si>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</si>
  <si>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</si>
  <si>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</si>
  <si>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</si>
  <si>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</si>
  <si>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</si>
  <si>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</si>
  <si>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</si>
  <si>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</si>
  <si>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</si>
  <si>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</si>
  <si>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</si>
  <si>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</si>
  <si>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</si>
  <si>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</si>
  <si>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</si>
  <si>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</si>
  <si>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</si>
  <si>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</si>
  <si>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</si>
  <si>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</si>
  <si>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41% - 53%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</si>
  <si>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</si>
  <si>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</si>
  <si>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</si>
  <si>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</si>
  <si>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</si>
  <si>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</si>
  <si>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</si>
  <si>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</si>
  <si>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</si>
  <si>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</si>
  <si>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</si>
  <si>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</si>
  <si>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</si>
  <si>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</si>
  <si>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</si>
  <si>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</si>
  <si>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</si>
  <si>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</si>
  <si>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</si>
  <si>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</si>
  <si>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</si>
  <si>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</si>
  <si>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</si>
  <si>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</si>
  <si>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</si>
  <si>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</si>
  <si>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</si>
  <si>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</si>
  <si>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</si>
  <si>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</si>
  <si>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46.00%</t>
  </si>
  <si>
    <t>25% -35%</t>
  </si>
  <si>
    <t>25.20%</t>
  </si>
  <si>
    <t>20.00%</t>
  </si>
  <si>
    <t>31.49%</t>
  </si>
  <si>
    <t>30.12%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</si>
</sst>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9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0" fontId="13" fillId="0" borderId="5" xfId="0" applyFont="1" applyBorder="1" applyAlignment="1">
      <alignment horizontal="center" vertical="center" wrapText="1" readingOrder="2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3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3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3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1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13" fillId="12" borderId="8" xfId="0" applyNumberFormat="1" applyFont="1" applyFill="1" applyBorder="1" applyAlignment="1">
      <alignment horizontal="center" vertical="center" wrapText="1" readingOrder="2"/>
    </xf>
    <xf numFmtId="165" fontId="4" fillId="12" borderId="8" xfId="0" applyNumberFormat="1" applyFont="1" applyFill="1" applyBorder="1" applyAlignment="1">
      <alignment horizontal="right" vertical="center" wrapText="1" readingOrder="2"/>
    </xf>
    <xf numFmtId="165" fontId="5" fillId="12" borderId="8" xfId="0" applyNumberFormat="1" applyFont="1" applyFill="1" applyBorder="1" applyAlignment="1">
      <alignment horizontal="right" vertical="center" wrapText="1" readingOrder="2"/>
    </xf>
    <xf numFmtId="165" fontId="5" fillId="12" borderId="9" xfId="0" applyNumberFormat="1" applyFont="1" applyFill="1" applyBorder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10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 readingOrder="2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165" fontId="13" fillId="12" borderId="10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0" fontId="5" fillId="2" borderId="11" xfId="0" applyFont="1" applyFill="1" applyBorder="1" applyAlignment="1">
      <alignment horizontal="right" vertical="center" wrapText="1" readingOrder="2"/>
    </xf>
    <xf numFmtId="10" fontId="5" fillId="0" borderId="8" xfId="0" applyNumberFormat="1" applyFont="1" applyBorder="1" applyAlignment="1">
      <alignment horizontal="center" vertical="center" wrapText="1"/>
    </xf>
    <xf numFmtId="165" fontId="13" fillId="16" borderId="8" xfId="0" applyNumberFormat="1" applyFont="1" applyFill="1" applyBorder="1" applyAlignment="1">
      <alignment horizontal="center" vertical="center" wrapText="1" readingOrder="2"/>
    </xf>
    <xf numFmtId="165" fontId="13" fillId="2" borderId="8" xfId="0" applyNumberFormat="1" applyFont="1" applyFill="1" applyBorder="1" applyAlignment="1">
      <alignment horizontal="center" vertical="center" wrapText="1" readingOrder="2"/>
    </xf>
  </cellXfs>
  <cellStyles count="5">
    <cellStyle name="Comma 2" xfId="3" xr:uid="{798A546B-9DF4-49D8-A5C6-543A90EC0982}"/>
    <cellStyle name="Comma 3" xfId="4" xr:uid="{91ACC48A-0824-4EE2-A7AD-8C40F260338E}"/>
    <cellStyle name="Hyperlink" xfId="2" builtinId="8"/>
    <cellStyle name="Normal" xfId="0" builtinId="0"/>
    <cellStyle name="Percent" xfId="1" builtinId="5"/>
  </cellStyles>
  <dxfs count="24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0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148828</xdr:colOff>
      <xdr:row>0</xdr:row>
      <xdr:rowOff>0</xdr:rowOff>
    </xdr:from>
    <xdr:to>
      <xdr:col>9</xdr:col>
      <xdr:colOff>482203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996312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0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0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0</xdr:row>
      <xdr:rowOff>259772</xdr:rowOff>
    </xdr:from>
    <xdr:to>
      <xdr:col>11</xdr:col>
      <xdr:colOff>402648</xdr:colOff>
      <xdr:row>0</xdr:row>
      <xdr:rowOff>593147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807534" y="25977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F0FB8-7619-4D87-B93A-1CB859041EBD}" name="TitleRegion1.b3.i15.1" displayName="TitleRegion1.b3.i15.1" ref="B3:I15" totalsRowShown="0" headerRowDxfId="240" tableBorderDxfId="245">
  <autoFilter ref="B3:I15" xr:uid="{0DFF0FB8-7619-4D87-B93A-1CB859041E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54F520C-16A3-4C8F-A47D-EACBF0C31F56}" name="אפיק השקעה " dataDxfId="244"/>
    <tableColumn id="2" xr3:uid="{C20F05DD-13B4-4CA5-A637-AC93C8EC0844}" name="ריק במקור" dataDxfId="243"/>
    <tableColumn id="3" xr3:uid="{1D255E1F-CEE4-449C-974E-88762F2C6169}" name="ריק במקור2" dataDxfId="242"/>
    <tableColumn id="4" xr3:uid="{9A6514F4-A835-4BA1-9323-E722AFE9BEE7}" name="שיעור החשיפה ליום 31/12/2025"/>
    <tableColumn id="5" xr3:uid="{207CD400-62F1-43CE-89B9-39983E6F5AD7}" name="שיעור חשיפה צפוי לשנת 2026"/>
    <tableColumn id="6" xr3:uid="{EA3E6779-7447-44F6-B86E-0618A8F93644}" name="טווח סטיה מותר" dataDxfId="241"/>
    <tableColumn id="7" xr3:uid="{B318CDFE-DA09-4555-9547-168DA7E19B1D}" name="גבולות שיעור החשיפה הצפויה"/>
    <tableColumn id="8" xr3:uid="{F4F992E1-69B0-43B2-BE7B-577F3AE95C94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84403-3578-40A0-AAD9-843DA06BBE05}" name="TitleRegion1.b18.i30.2" displayName="TitleRegion1.b18.i30.2" ref="B18:I30" totalsRowShown="0" headerRowDxfId="235" tableBorderDxfId="239">
  <autoFilter ref="B18:I30" xr:uid="{20F84403-3578-40A0-AAD9-843DA06BBE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9F444E5-E293-4565-B247-B19489FE2F08}" name="אפיק השקעה "/>
    <tableColumn id="2" xr3:uid="{5FBB8AD6-74F2-4AA3-B6B4-35CEF0916EC5}" name="ריק במקור" dataDxfId="238"/>
    <tableColumn id="3" xr3:uid="{0DE4DEF4-7748-4318-97D0-6A5C6FED78C0}" name="ריק במקור2" dataDxfId="237"/>
    <tableColumn id="4" xr3:uid="{476CEFD2-0B9A-4356-9667-0EBF0DD24C17}" name="שיעור החשיפה ליום 31/12/2025"/>
    <tableColumn id="5" xr3:uid="{63BD02DF-DC4F-4EF0-A7A2-4234AD4C6519}" name="שיעור חשיפה צפוי לשנת 2026"/>
    <tableColumn id="6" xr3:uid="{36A227A8-00A5-49B9-8890-FC4183444F77}" name="טווח סטיה מותר" dataDxfId="236"/>
    <tableColumn id="7" xr3:uid="{1B9EBC0B-5A6B-46E5-BEE7-F285FFDF04E2}" name="גבולות שיעור החשיפה הצפויה"/>
    <tableColumn id="8" xr3:uid="{B2D71333-C4A2-43D7-BB11-4A8057F73C30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F1CF27-A97D-476F-96C1-7C97F6542048}" name="TitleRegion1.b33.i45.3" displayName="TitleRegion1.b33.i45.3" ref="B33:I45" totalsRowShown="0" tableBorderDxfId="234">
  <autoFilter ref="B33:I45" xr:uid="{6EF1CF27-A97D-476F-96C1-7C97F65420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E8DF139-0539-4DAC-9506-8E10850056E2}" name="אפיק השקעה " dataDxfId="233"/>
    <tableColumn id="2" xr3:uid="{BEA4C9A3-DD6D-4875-9DAC-3B27E4CBAF23}" name="ריק במקור" dataDxfId="232"/>
    <tableColumn id="3" xr3:uid="{1BBD4D23-477E-4F2C-ACCB-BE2B3E0A1679}" name="ריק במקור2" dataDxfId="231"/>
    <tableColumn id="4" xr3:uid="{FB30EE54-0972-440E-9D24-0CC938CB57FE}" name="שיעור החשיפה ליום 31/12/2025"/>
    <tableColumn id="5" xr3:uid="{3D5E7FFA-0412-4DDC-9E63-27E87D8C031F}" name="שיעור חשיפה צפוי לשנת 2026"/>
    <tableColumn id="6" xr3:uid="{8A832E82-307F-4F1F-9AA8-89D3CF43A763}" name="טווח סטיה מותר"/>
    <tableColumn id="7" xr3:uid="{D4D4DDCA-F3F2-43B4-A9EB-1090B42ED21C}" name="גבולות שיעור החשיפה הצפויה"/>
    <tableColumn id="8" xr3:uid="{41A7B753-0EC8-454E-9FE1-B4F89AC23A12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03FBEF-3895-482D-957C-738F8C50B4D5}" name="TitleRegion1.b48.i60.4" displayName="TitleRegion1.b48.i60.4" ref="B48:I60" totalsRowShown="0" headerRowDxfId="225" tableBorderDxfId="230">
  <autoFilter ref="B48:I60" xr:uid="{A403FBEF-3895-482D-957C-738F8C50B4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8261592-30AA-4062-9BC5-E2AC95EAD5FA}" name="אפיק השקעה " dataDxfId="229"/>
    <tableColumn id="2" xr3:uid="{CEF13231-AED5-445E-AF25-74383B091710}" name="ריק במקור" dataDxfId="228"/>
    <tableColumn id="3" xr3:uid="{9CADC09C-FDEA-405D-950C-300AF115CAF7}" name="ריק במקור2" dataDxfId="227"/>
    <tableColumn id="4" xr3:uid="{895A876A-CEA4-4282-B4AE-4727F5287C18}" name="שיעור החשיפה ליום 31/12/2025"/>
    <tableColumn id="5" xr3:uid="{B5794576-B1AF-429E-9A55-0276034D4255}" name="שיעור חשיפה צפוי לשנת 2026"/>
    <tableColumn id="6" xr3:uid="{0218A4F3-8CF3-458A-81F8-2D3FBDC5A768}" name="טווח סטיה מותר" dataDxfId="226"/>
    <tableColumn id="7" xr3:uid="{EA369FA7-058F-4F6D-A6CE-4A87F97200A2}" name="גבולות שיעור החשיפה הצפויה"/>
    <tableColumn id="8" xr3:uid="{44366A72-8286-4903-85AA-D570CD22428B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2E9488-7F75-4E59-846C-1CABBB0400E0}" name="TitleRegion1.b63.i75.5" displayName="TitleRegion1.b63.i75.5" ref="B63:I75" totalsRowShown="0" headerRowDxfId="217" tableBorderDxfId="224">
  <autoFilter ref="B63:I75" xr:uid="{5D2E9488-7F75-4E59-846C-1CABBB0400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D010DA3-606D-49EC-9CBF-2C87D1512EB8}" name="אפיק השקעה " dataDxfId="223"/>
    <tableColumn id="2" xr3:uid="{D084C5CC-266D-4817-8686-5F030A0124AA}" name="ריק במקור" dataDxfId="222"/>
    <tableColumn id="3" xr3:uid="{E27B6512-3A52-42B6-B2C6-D18FE6DF9E3D}" name="ריק במקור2" dataDxfId="221"/>
    <tableColumn id="4" xr3:uid="{3A4A0D33-2E39-47BE-A927-07EA34A34472}" name="שיעור החשיפה ליום 31/12/2025" dataDxfId="220"/>
    <tableColumn id="5" xr3:uid="{3E9E5F11-7D0D-4A00-B3A3-46C10679CF19}" name="שיעור חשיפה צפוי לשנת 2026" dataDxfId="219"/>
    <tableColumn id="6" xr3:uid="{0737B8C3-F016-4846-9B07-E7782C5F4F5C}" name="טווח סטיה מותר" dataDxfId="218"/>
    <tableColumn id="7" xr3:uid="{88EFBE09-7E16-43B9-8658-9611C3785064}" name="גבולות שיעור החשיפה הצפויה"/>
    <tableColumn id="8" xr3:uid="{4F984B69-209B-4176-8D59-FCE4A9BED522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776792-A7FB-4C4D-BCBB-4E0482D1B074}" name="TitleRegion1.b80.i92.6" displayName="TitleRegion1.b80.i92.6" ref="B80:I92" totalsRowShown="0" headerRowDxfId="212" headerRowBorderDxfId="215" tableBorderDxfId="216">
  <autoFilter ref="B80:I92" xr:uid="{E3776792-A7FB-4C4D-BCBB-4E0482D1B0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52446F5-8098-4717-8BF1-DD46E9840693}" name="אפיק השקעה " dataDxfId="214"/>
    <tableColumn id="2" xr3:uid="{44FD3DF7-0BBA-4986-8A6A-5DEBC4E0CE6F}" name="תגמולים שיעור החשיפה ליום 31/12/2025 "/>
    <tableColumn id="3" xr3:uid="{DA8DE152-6B39-4112-A447-FEA1A67EDED3}" name="השתלמות שיעור החשיפה ליום 31/12/2025"/>
    <tableColumn id="4" xr3:uid="{6E53A543-C943-448C-A595-9DC9D7A9EDA8}" name=" השקעה שיעור החשיפה ליום 31/12/2025"/>
    <tableColumn id="5" xr3:uid="{B563B1C3-739C-420F-9B14-388A7E31A69B}" name="שיעור חשיפה צפוי לשנת 2026"/>
    <tableColumn id="6" xr3:uid="{6698088E-4EE9-4D3E-91F9-79FB1121E966}" name="טווח סטיה מותר" dataDxfId="213"/>
    <tableColumn id="7" xr3:uid="{59F0E76D-07A8-4590-A97F-1A68CCB7819D}" name="גבולות שיעור החשיפה הצפויה"/>
    <tableColumn id="8" xr3:uid="{2406383A-E74F-4B4C-B9CF-ACD4A4363017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688E69-E962-44E6-9A59-55C520C76598}" name="TitleRegion1.b97.i109.7" displayName="TitleRegion1.b97.i109.7" ref="B97:I109" totalsRowShown="0" headerRowDxfId="207" headerRowBorderDxfId="210" tableBorderDxfId="211">
  <autoFilter ref="B97:I109" xr:uid="{42688E69-E962-44E6-9A59-55C520C765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C74A99C-F6EA-4B32-9DC7-21661FB996D0}" name="אפיק השקעה " dataDxfId="209"/>
    <tableColumn id="2" xr3:uid="{BA923928-C819-415B-97A7-52271C9F9041}" name="תגמולים שיעור החשיפה ליום 31/12/2025 "/>
    <tableColumn id="3" xr3:uid="{93C5AF5C-3370-47D5-8476-F583895DADC5}" name="השתלמות שיעור החשיפה ליום 31/12/2025"/>
    <tableColumn id="4" xr3:uid="{603D6A2B-FAD6-458B-BDA4-30C957D53BAE}" name=" השקעה שיעור החשיפה ליום 31/12/2025"/>
    <tableColumn id="5" xr3:uid="{7EB1A9E2-A7C3-4008-BEB9-84F29C09E130}" name="שיעור חשיפה צפוי לשנת 2026"/>
    <tableColumn id="6" xr3:uid="{4D0F5C7B-33B3-457F-9A45-7D102D9F4210}" name="טווח סטיה מותר" dataDxfId="208"/>
    <tableColumn id="7" xr3:uid="{C5DAB376-45DE-40A8-B694-F539B092A056}" name="גבולות שיעור החשיפה הצפויה"/>
    <tableColumn id="8" xr3:uid="{0E452B9B-E049-4B5B-A6CE-D5451DA11330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D7FC16-4DB7-4177-841E-ED406DDE36BD}" name="TitleRegion1.b113.i125.8" displayName="TitleRegion1.b113.i125.8" ref="B113:I125" totalsRowShown="0" headerRowDxfId="203" tableBorderDxfId="206">
  <autoFilter ref="B113:I125" xr:uid="{F5D7FC16-4DB7-4177-841E-ED406DDE36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1B6C132-A55D-4FA7-AD77-349C7BD0C303}" name="אפיק השקעה "/>
    <tableColumn id="2" xr3:uid="{BAEB4A2C-81EB-4956-B138-29F42B625680}" name="ריק במקור" dataDxfId="205"/>
    <tableColumn id="3" xr3:uid="{8B13F93D-2F35-49F4-BF7C-151BC23D8830}" name="השתלמות שיעור החשיפה ליום 31/12/2025 "/>
    <tableColumn id="4" xr3:uid="{BA86AD98-C135-435B-8538-9A74BB574159}" name=" השקעה שיעור החשיפה ליום 31/12/2025"/>
    <tableColumn id="5" xr3:uid="{4E1C001A-B436-473D-995D-AF5D0F94B44B}" name="שיעור חשיפה צפוי לשנת 2026"/>
    <tableColumn id="6" xr3:uid="{77B4FE9F-2AC4-44D1-801B-C47AEAC3A849}" name="טווח סטיה מותר" dataDxfId="204"/>
    <tableColumn id="7" xr3:uid="{05F57DDD-E568-43CB-B5C9-1084E3873B93}" name="גבולות שיעור החשיפה הצפויה"/>
    <tableColumn id="8" xr3:uid="{D0CD6301-82A6-4743-B305-64C33696C0DD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1D99D3-FA30-4D83-AAA6-C8B75B210184}" name="TitleRegion1.b130.i137.9" displayName="TitleRegion1.b130.i137.9" ref="B130:I137" totalsRowShown="0" headerRowDxfId="199" headerRowBorderDxfId="201" tableBorderDxfId="202">
  <autoFilter ref="B130:I137" xr:uid="{7E1D99D3-FA30-4D83-AAA6-C8B75B2101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B4D9AE1-0C9D-41ED-A3C7-8218032D1E94}" name="אפיק השקעה "/>
    <tableColumn id="2" xr3:uid="{B63802DC-B372-40D5-821E-C4484830EC0A}" name="תגמולים שיעור החשיפה ליום 31/12/2025 "/>
    <tableColumn id="3" xr3:uid="{FEB7B4CA-198B-411F-9675-F9AD43EE6B7B}" name="השתלמות שיעור החשיפה ליום 31/12/2025"/>
    <tableColumn id="4" xr3:uid="{F501877A-F08C-4220-9EA8-F0CEC75ECCFC}" name=" השקעה שיעור החשיפה ליום 31/12/2025"/>
    <tableColumn id="5" xr3:uid="{271BB9DD-3037-469B-BCE4-183FBC742B74}" name="שיעור חשיפה צפוי לשנת 2026"/>
    <tableColumn id="6" xr3:uid="{5FD6B300-E202-435B-A82D-418BDE497DA2}" name="טווח סטיה מותר" dataDxfId="200"/>
    <tableColumn id="7" xr3:uid="{31FF402D-0D36-4827-815F-A63213EAB7FD}" name="גבולות שיעור החשיפה הצפויה"/>
    <tableColumn id="8" xr3:uid="{254D1626-F051-43B2-9514-C212BC9716FA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36A2C6-5AAB-48E4-A1E5-3BA9773262D7}" name="TitleRegion1.b142.i149.10" displayName="TitleRegion1.b142.i149.10" ref="B142:I149" totalsRowShown="0" headerRowDxfId="195" headerRowBorderDxfId="197" tableBorderDxfId="198">
  <autoFilter ref="B142:I149" xr:uid="{9236A2C6-5AAB-48E4-A1E5-3BA9773262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885D7D6-6F19-4581-84FE-957936241836}" name="אפיק השקעה "/>
    <tableColumn id="2" xr3:uid="{9D465A5A-1D02-44AF-9AD7-C7C5F0228878}" name="תגמולים שיעור החשיפה ליום 31/12/2025 "/>
    <tableColumn id="3" xr3:uid="{BB1FB1C9-C99D-4E8E-8AEC-4D682ED441F5}" name="השתלמות שיעור החשיפה ליום 31/12/2025"/>
    <tableColumn id="4" xr3:uid="{E7C520F7-F24A-4408-B5CD-221367260E1F}" name=" השקעה שיעור החשיפה ליום 31/12/2025"/>
    <tableColumn id="5" xr3:uid="{43104499-5685-4559-BC5E-D7020D5A6485}" name="שיעור חשיפה צפוי לשנת 2026"/>
    <tableColumn id="6" xr3:uid="{34875E74-A1AD-4713-8082-21239F45CA59}" name="טווח סטיה מותר" dataDxfId="196"/>
    <tableColumn id="7" xr3:uid="{A0711346-6B65-4E9C-871B-EC2FB70EA6DB}" name="גבולות שיעור החשיפה הצפויה"/>
    <tableColumn id="8" xr3:uid="{61A334CA-3E79-4C66-8CB9-43C436E2576D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C7548F-0EB6-490A-BF5E-51455ECF0FFF}" name="TitleRegion1.b154.i161.11" displayName="TitleRegion1.b154.i161.11" ref="B154:I161" totalsRowShown="0" headerRowDxfId="191" headerRowBorderDxfId="193" tableBorderDxfId="194">
  <autoFilter ref="B154:I161" xr:uid="{09C7548F-0EB6-490A-BF5E-51455ECF0F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B963B90-B739-4744-A60A-9F1ED1E3E365}" name="אפיק השקעה "/>
    <tableColumn id="2" xr3:uid="{BDA2CCF4-11A4-4389-8C99-165B4FD337C9}" name="תגמולים שיעור החשיפה ליום 31/12/2025 "/>
    <tableColumn id="3" xr3:uid="{1683230C-5BF2-4468-9534-D43D66806D32}" name="השתלמות שיעור החשיפה ליום 31/12/2025"/>
    <tableColumn id="4" xr3:uid="{75D4C134-BDF8-4D47-B1EE-9D03869385DE}" name=" השקעה שיעור החשיפה ליום 31/12/2025"/>
    <tableColumn id="5" xr3:uid="{53EEA98D-DD4E-432D-9593-80F088E3BB30}" name="שיעור חשיפה צפוי לשנת 2026"/>
    <tableColumn id="6" xr3:uid="{EA1EF7C0-4B53-496C-A6CD-DE4E4207AB3B}" name="טווח סטיה מותר" dataDxfId="192"/>
    <tableColumn id="7" xr3:uid="{6EB0A4DF-0E79-45EC-8B3F-AA2D2F5B2196}" name="גבולות שיעור החשיפה הצפויה"/>
    <tableColumn id="8" xr3:uid="{6CB7C6EF-078E-485C-B6B4-D7B53077C95F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77A14EE-C3DC-4F8F-9577-FC6626F36614}" name="TitleRegion1.b166.i173.12" displayName="TitleRegion1.b166.i173.12" ref="B166:I173" totalsRowShown="0" headerRowDxfId="187" headerRowBorderDxfId="189" tableBorderDxfId="190">
  <autoFilter ref="B166:I173" xr:uid="{377A14EE-C3DC-4F8F-9577-FC6626F366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9866A2-34E5-44A1-97D0-AE61A654CE97}" name="אפיק השקעה "/>
    <tableColumn id="2" xr3:uid="{76B42100-602A-4DDE-B34D-00343ED66E19}" name="תגמולים שיעור החשיפה ליום 31/12/2025 "/>
    <tableColumn id="3" xr3:uid="{60C4F52E-5D6D-49C0-9E8D-F0F79827B50C}" name="השתלמות שיעור החשיפה ליום 31/12/2025"/>
    <tableColumn id="4" xr3:uid="{0E600139-926A-4FF5-9EAF-3A3FF7EF459E}" name=" השקעה שיעור החשיפה ליום 31/12/2025"/>
    <tableColumn id="5" xr3:uid="{4ACD46C8-6966-43CC-81BA-E0D9A8C5A7DD}" name="שיעור חשיפה צפוי לשנת 2026"/>
    <tableColumn id="6" xr3:uid="{5806FCA2-1C02-4C70-8D9C-D0F38B4B5AE9}" name="טווח סטיה מותר" dataDxfId="188"/>
    <tableColumn id="7" xr3:uid="{EA5F9000-32B5-410B-AC84-0425EA57BC50}" name="גבולות שיעור החשיפה הצפויה"/>
    <tableColumn id="8" xr3:uid="{35BAF2E6-106E-4121-A5A0-10617BB98B5D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A4244A2-C2C1-4486-86ED-91063E1FA8CB}" name="TitleRegion1.b177.i184.13" displayName="TitleRegion1.b177.i184.13" ref="B177:I184" totalsRowShown="0" headerRowDxfId="183" tableBorderDxfId="186">
  <autoFilter ref="B177:I184" xr:uid="{DA4244A2-C2C1-4486-86ED-91063E1FA8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A30EE4-E087-45C7-BFDD-BE645538D448}" name="אפיק השקעה "/>
    <tableColumn id="2" xr3:uid="{D7BDE2B5-F1E9-4678-85DF-06FFA8364BA8}" name="ריק במקור" dataDxfId="185"/>
    <tableColumn id="3" xr3:uid="{66989DD6-53D8-4D25-8B93-1DB9A1B389EC}" name="השתלמות שיעור החשיפה ליום 31/12/2025"/>
    <tableColumn id="4" xr3:uid="{B609E84C-F3D8-46BE-9368-2162F1E0146D}" name=" השקעה שיעור החשיפה ליום 31/12/2025"/>
    <tableColumn id="5" xr3:uid="{6EB37A12-5469-489A-AF9E-CA67FFA27166}" name="שיעור חשיפה צפוי לשנת 2026"/>
    <tableColumn id="6" xr3:uid="{583090B4-C72E-4F45-9D9E-2BE606E33263}" name="טווח סטיה מותר" dataDxfId="184"/>
    <tableColumn id="7" xr3:uid="{1017416E-7B32-4335-9A03-FA441EFB2CAE}" name="גבולות שיעור החשיפה הצפויה"/>
    <tableColumn id="8" xr3:uid="{7614B87A-D227-46CA-9B88-D49B7D4F7CD7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3B6F971-2F21-4FFD-B07B-A6B5E2339F4D}" name="TitleRegion1.b189.i196.14" displayName="TitleRegion1.b189.i196.14" ref="B189:I196" totalsRowShown="0" headerRowDxfId="178" headerRowBorderDxfId="181" tableBorderDxfId="182">
  <autoFilter ref="B189:I196" xr:uid="{B3B6F971-2F21-4FFD-B07B-A6B5E2339F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A7775D1-3DBA-40AC-992C-80FF2EED2422}" name="אפיק השקעה "/>
    <tableColumn id="2" xr3:uid="{4DEBEE32-23FE-4008-9695-9E2C8DE4B6FB}" name="תגמולים שיעור החשיפה ליום 31/12/2025 "/>
    <tableColumn id="3" xr3:uid="{F4AE33C8-D2C6-4435-A5EC-CA495480DC67}" name="השתלמות שיעור החשיפה ליום 31/12/2025"/>
    <tableColumn id="4" xr3:uid="{CAA25E2D-4E3C-4DEC-ADA0-9ED687EEDD3D}" name=" השקעה שיעור החשיפה ליום 31/12/2025"/>
    <tableColumn id="5" xr3:uid="{252BF9F9-D6A1-41F7-99FC-632096128CB7}" name="שיעור חשיפה צפוי לשנת 2026"/>
    <tableColumn id="6" xr3:uid="{804AC8EE-0292-4EDD-888B-9B9B53D7BEE3}" name="טווח סטיה מותר" dataDxfId="180"/>
    <tableColumn id="7" xr3:uid="{8A0D5E8A-0A7C-49B6-9A77-C53890DD3486}" name="גבולות שיעור החשיפה הצפויה"/>
    <tableColumn id="8" xr3:uid="{44D1FD79-6B7C-45E7-BAAC-6E705A9D088E}" name="מדד ייחוס*" dataDxfId="179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82F78C-12DC-43DA-8108-969823E0524C}" name="TitleRegion1.b201.i208.15" displayName="TitleRegion1.b201.i208.15" ref="B201:I208" totalsRowShown="0" headerRowDxfId="174" headerRowBorderDxfId="176" tableBorderDxfId="177">
  <autoFilter ref="B201:I208" xr:uid="{5782F78C-12DC-43DA-8108-969823E052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9AE13DF-AEFF-4B0E-996B-C6ECB19A9639}" name="אפיק השקעה "/>
    <tableColumn id="2" xr3:uid="{9A33380F-F49D-4693-86CB-0DEC579C88FB}" name="תגמולים שיעור החשיפה ליום 31/12/2025 "/>
    <tableColumn id="3" xr3:uid="{3A0F42C3-98B6-40AA-AE57-9135749519E9}" name="השתלמות שיעור החשיפה ליום 31/12/2025"/>
    <tableColumn id="4" xr3:uid="{6B01F3A3-0B1E-4E46-8EA0-E2D5EB4CEA57}" name=" השקעה שיעור החשיפה ליום 31/12/2025"/>
    <tableColumn id="5" xr3:uid="{FA16D3AB-5F84-490D-B21D-DCE37D16FAAA}" name="שיעור חשיפה צפוי לשנת 2026"/>
    <tableColumn id="6" xr3:uid="{EA025D98-ABE7-4F91-9394-8A7A7AA44922}" name="טווח סטיה מותר" dataDxfId="175"/>
    <tableColumn id="7" xr3:uid="{AB99B48D-83C9-44B4-9DE7-D7EF943DB9CA}" name="גבולות שיעור החשיפה הצפויה"/>
    <tableColumn id="8" xr3:uid="{CE3908D9-383D-4709-90E4-C969409E591E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372E58A-4B24-4B97-B483-EFB86DF6654B}" name="TitleRegion1.b213.i220.16" displayName="TitleRegion1.b213.i220.16" ref="B213:I220" totalsRowShown="0" headerRowDxfId="170" headerRowBorderDxfId="172" tableBorderDxfId="173">
  <autoFilter ref="B213:I220" xr:uid="{9372E58A-4B24-4B97-B483-EFB86DF665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E4C449B-2934-486C-804D-0DFB8EE8F91D}" name="אפיק השקעה "/>
    <tableColumn id="2" xr3:uid="{249A5294-6AD8-403B-9F0A-2BDD393B99AE}" name="תגמולים שיעור החשיפה ליום 31/12/2025 "/>
    <tableColumn id="3" xr3:uid="{56587F6D-E788-43D4-915A-5DBF845BE494}" name="השתלמות שיעור החשיפה ליום 31/12/2025"/>
    <tableColumn id="4" xr3:uid="{8DB2E662-CAC4-4C6B-8DFB-D8A777E6336D}" name=" השקעה שיעור החשיפה ליום 31/12/2025"/>
    <tableColumn id="5" xr3:uid="{B80A94A6-49EA-46B6-8A1F-F605B1682D87}" name="שיעור חשיפה צפוי לשנת 2026"/>
    <tableColumn id="6" xr3:uid="{D020C387-0B78-49EC-B8E3-7B4BA169473C}" name="טווח סטיה מותר" dataDxfId="171"/>
    <tableColumn id="7" xr3:uid="{97ACA9C6-9699-4250-9C08-16C3CAB610A0}" name="גבולות שיעור החשיפה הצפויה"/>
    <tableColumn id="8" xr3:uid="{530AAB3C-73C7-4F43-9D7C-17A1EE89BBCE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75D4FC-19C1-46D9-ACB5-4614D1EB7902}" name="TitleRegion1.b224.i231.17" displayName="TitleRegion1.b224.i231.17" ref="B224:I231" totalsRowShown="0" headerRowDxfId="166" tableBorderDxfId="169">
  <autoFilter ref="B224:I231" xr:uid="{8275D4FC-19C1-46D9-ACB5-4614D1EB79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B8DFA91-7D88-4222-846F-E5D2826B26B8}" name="אפיק השקעה "/>
    <tableColumn id="2" xr3:uid="{F5814B18-1A89-4407-BD6E-2CC6A15B11EB}" name="ריק במקור" dataDxfId="168"/>
    <tableColumn id="3" xr3:uid="{BAE0771D-B7B5-4D30-9F52-4DBD0A209DAA}" name="השתלמות שיעור החשיפה ליום 31/12/2025"/>
    <tableColumn id="4" xr3:uid="{305E8941-6762-4B72-8431-170F41D007E9}" name=" השקעה שיעור החשיפה ליום 31/12/2025"/>
    <tableColumn id="5" xr3:uid="{816D5B60-BC00-42F7-8FF6-E1018F01DCFD}" name="שיעור חשיפה צפוי לשנת 2026"/>
    <tableColumn id="6" xr3:uid="{AB7DA54F-A643-4550-8D5D-816657896E6A}" name="טווח סטיה מותר" dataDxfId="167"/>
    <tableColumn id="7" xr3:uid="{48F8C300-80B8-4F7F-A715-91AC2C7C67CB}" name="גבולות שיעור החשיפה הצפויה"/>
    <tableColumn id="8" xr3:uid="{4C9FDB80-25AB-46FD-B7C2-325A16C620B1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7F1A741-5E63-4325-8707-5218EB37D6D4}" name="TitleRegion1.b236.i243.18" displayName="TitleRegion1.b236.i243.18" ref="B236:I243" totalsRowShown="0" headerRowDxfId="162" headerRowBorderDxfId="164" tableBorderDxfId="165">
  <autoFilter ref="B236:I243" xr:uid="{37F1A741-5E63-4325-8707-5218EB37D6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471BAA5-0ECD-4636-9B36-7DE2BF4CD3A4}" name="אפיק השקעה "/>
    <tableColumn id="2" xr3:uid="{6B48A374-8B3C-4E85-893F-5BC6B7ABDADF}" name="תגמולים שיעור החשיפה ליום 31/12/2025 "/>
    <tableColumn id="3" xr3:uid="{D562B2DC-9C75-447F-8BAE-837BC512812A}" name="השתלמות שיעור החשיפה ליום 31/12/2025"/>
    <tableColumn id="4" xr3:uid="{D162CB67-32DF-4CDB-B6EE-297ABB25BABB}" name=" השקעה שיעור החשיפה ליום 31/12/2025"/>
    <tableColumn id="5" xr3:uid="{82D5CB07-C168-426E-BC9C-765DBF7CFE94}" name="שיעור חשיפה צפוי לשנת 2026"/>
    <tableColumn id="6" xr3:uid="{179A8F13-0A1D-419A-9A3E-BBCAF99678DF}" name="טווח סטיה מותר" dataDxfId="163"/>
    <tableColumn id="7" xr3:uid="{80293CBF-0B39-4BAF-A8D2-DA9685FD50B0}" name="גבולות שיעור החשיפה הצפויה"/>
    <tableColumn id="8" xr3:uid="{B46AFA09-63CD-4325-A3A3-741E435C6388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F2249AB-A283-45F7-9F5B-985C7B255DF1}" name="TitleRegion1.b246.i258.19" displayName="TitleRegion1.b246.i258.19" ref="B246:I258" totalsRowShown="0" tableBorderDxfId="161">
  <autoFilter ref="B246:I258" xr:uid="{2F2249AB-A283-45F7-9F5B-985C7B255D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E7FBAB-274C-4C8C-9611-24EDA0518FD3}" name="אפיק השקעה "/>
    <tableColumn id="2" xr3:uid="{B4EA20E4-0BEC-4303-8F64-FA15981E9573}" name="ריק במקור"/>
    <tableColumn id="3" xr3:uid="{C09F1A07-65B1-4D83-888B-D252ECB71760}" name="ריק במקור2"/>
    <tableColumn id="4" xr3:uid="{A8841912-EA75-4EC4-9C78-FDC2974A3E0B}" name="שיעור החשיפה ליום 31/12/2025"/>
    <tableColumn id="5" xr3:uid="{C1C685AF-1326-4573-950B-60D0374B7880}" name="שיעור חשיפה צפוי לשנת 2026"/>
    <tableColumn id="6" xr3:uid="{5F409FEC-DE15-4559-A893-B5AC25F60EA0}" name="טווח סטיה מותר" dataDxfId="160"/>
    <tableColumn id="7" xr3:uid="{A8371EDA-5185-4FC3-96CB-EB88ED534474}" name="גבולות שיעור החשיפה הצפויה"/>
    <tableColumn id="8" xr3:uid="{4089F56C-865B-49A9-AE50-C7216DD13094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5D6E3B6-8886-4B13-A8A8-368841DF9DA3}" name="TitleRegion1.b261.i273.20" displayName="TitleRegion1.b261.i273.20" ref="B261:I273" totalsRowShown="0" tableBorderDxfId="159">
  <autoFilter ref="B261:I273" xr:uid="{85D6E3B6-8886-4B13-A8A8-368841DF9D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3DDAA2A-6C06-4F4E-8E9F-91199D1631F6}" name="אפיק השקעה "/>
    <tableColumn id="2" xr3:uid="{39F684EB-12CE-494B-9276-4951D5B00AED}" name="ריק במקור"/>
    <tableColumn id="3" xr3:uid="{502C3E86-850D-45AB-8069-F31399F66667}" name="ריק במקור2"/>
    <tableColumn id="4" xr3:uid="{1D1AF302-4296-4432-91A3-975C12C99249}" name="שיעור החשיפה ליום 31/12/2025"/>
    <tableColumn id="5" xr3:uid="{F8778F52-653C-49FC-ACDE-B6627C805C11}" name="שיעור חשיפה צפוי לשנת 2026"/>
    <tableColumn id="6" xr3:uid="{679EC6AF-1BDD-4CCD-9912-801E2B086DB9}" name="טווח סטיה מותר" dataDxfId="158"/>
    <tableColumn id="7" xr3:uid="{B2AB7222-B2C9-4E71-8D58-EE73FEC674FD}" name="גבולות שיעור החשיפה הצפויה"/>
    <tableColumn id="8" xr3:uid="{45011EFF-089C-45DD-9C3C-CDF8CB23E8AB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62CEAF2-B0DE-4781-A533-D9568034C805}" name="TitleRegion1.b276.i288.21" displayName="TitleRegion1.b276.i288.21" ref="B276:I288" totalsRowShown="0" tableBorderDxfId="157">
  <autoFilter ref="B276:I288" xr:uid="{462CEAF2-B0DE-4781-A533-D9568034C8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BDF6F59-B09D-418F-9C44-BAC21EF2099B}" name="אפיק השקעה " dataDxfId="156"/>
    <tableColumn id="2" xr3:uid="{C097614C-6B89-45E3-8713-0098DAE9B457}" name="ריק במקור"/>
    <tableColumn id="3" xr3:uid="{272F9E29-946A-47B5-A2C8-1E768A5A804A}" name="ריק במקור2"/>
    <tableColumn id="4" xr3:uid="{38827CE4-6061-4E5F-B6C0-20B2DC934E3D}" name="שיעור החשיפה ליום 31/12/2025"/>
    <tableColumn id="5" xr3:uid="{C245538D-0759-41F8-93B6-D61B20FA9B6E}" name="שיעור חשיפה צפוי לשנת 2026"/>
    <tableColumn id="6" xr3:uid="{A90374AF-F0FB-4245-90E6-F4612E5C93B7}" name="טווח סטיה מותר" dataDxfId="155"/>
    <tableColumn id="7" xr3:uid="{1A73D58D-FA85-4313-8C4D-481F29CED847}" name="גבולות שיעור החשיפה הצפויה"/>
    <tableColumn id="8" xr3:uid="{12F36CFB-3799-4669-8C93-6980D4473232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1D2C7A5-93C8-4F38-9950-1252319F8729}" name="TitleRegion1.b291.i298.22" displayName="TitleRegion1.b291.i298.22" ref="B291:I298" totalsRowShown="0" tableBorderDxfId="154">
  <autoFilter ref="B291:I298" xr:uid="{C1D2C7A5-93C8-4F38-9950-1252319F87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9560F60-B224-4CB6-826D-45384B05C654}" name="אפיק השקעה "/>
    <tableColumn id="2" xr3:uid="{63314E0D-D898-4AE6-BDFD-397C9C97414F}" name="ריק במקור" dataDxfId="153"/>
    <tableColumn id="3" xr3:uid="{167F8A1F-B8C7-4FB9-BE50-FA8BA60CB5E5}" name="ריק במקור2" dataDxfId="152"/>
    <tableColumn id="4" xr3:uid="{2D86F015-5721-4702-AA10-E66483EFA638}" name="שיעור החשיפה ליום 31/12/2025"/>
    <tableColumn id="5" xr3:uid="{ED71F8BC-BB63-453F-A85C-F7D5A02620D5}" name="שיעור חשיפה צפוי לשנת 2026"/>
    <tableColumn id="6" xr3:uid="{322535B0-159D-4F7B-988D-B0310E286D45}" name="טווח סטיה מותר" dataDxfId="151"/>
    <tableColumn id="7" xr3:uid="{039FBD83-E6D2-48F2-BF2C-7B8C53BEEEB3}" name="גבולות שיעור החשיפה הצפויה"/>
    <tableColumn id="8" xr3:uid="{F05EF7A2-FA39-411C-9512-FF1DD162B938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7787D13-E29E-446D-BDC5-FF13D92177C0}" name="TitleRegion1.b302.i308.24" displayName="TitleRegion1.b302.i308.24" ref="B302:I308" totalsRowShown="0" tableBorderDxfId="150">
  <autoFilter ref="B302:I308" xr:uid="{47787D13-E29E-446D-BDC5-FF13D92177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D42DA95-2B3F-4E1C-846B-87D96E5BD0E5}" name="מניות (קרנות סל, אופציות, קרנות נאמנות)"/>
    <tableColumn id="2" xr3:uid="{B5AB0128-8780-4007-93C7-BB02DED08169}" name="ריק במקור" dataDxfId="149"/>
    <tableColumn id="3" xr3:uid="{E80D9BE9-9976-4A48-B918-05509BFD6C31}" name="ריק במקור2" dataDxfId="148"/>
    <tableColumn id="4" xr3:uid="{BC1D6719-8F0C-4CD8-A3EF-070A97C45713}" name="25.20%"/>
    <tableColumn id="5" xr3:uid="{4D0CB0CB-1DF9-47A3-9F31-32ED09B5E736}" name="20.00%"/>
    <tableColumn id="6" xr3:uid="{68CEE1B9-8E93-4571-8679-AD4139667E25}" name="6%+/-" dataDxfId="147"/>
    <tableColumn id="7" xr3:uid="{FEC98156-97F0-40F8-A164-76A52559BF94}" name="14% - 26%"/>
    <tableColumn id="8" xr3:uid="{E13461AA-82F4-43EB-A43E-023CED577A54}" name="MSCI Islamic Index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22AE8F2-3F0D-49B9-864A-A7873286F482}" name="TitleRegion1.b3.g14.1" displayName="TitleRegion1.b3.g14.1" ref="B3:G14" totalsRowShown="0" headerRowDxfId="142" headerRowBorderDxfId="145" tableBorderDxfId="146">
  <autoFilter ref="B3:G14" xr:uid="{B22AE8F2-3F0D-49B9-864A-A7873286F4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C4768B9-F47C-435C-AC08-AA24BC02D0E8}" name="אפיק השקעה " dataDxfId="144"/>
    <tableColumn id="2" xr3:uid="{2B4123F2-9373-4592-B23F-8E237B10AAA1}" name="שיעור החשיפה ליום 31/12/2025"/>
    <tableColumn id="3" xr3:uid="{F167F795-4C97-4E5D-910E-6041FC0FEEC8}" name="שיעור חשיפה צפוי לשנת 2026"/>
    <tableColumn id="4" xr3:uid="{085B2E9B-90B4-47BB-B752-F5C91A1E8D05}" name="טווח סטיה מותר" dataDxfId="143"/>
    <tableColumn id="5" xr3:uid="{2578CDC9-EB3A-41D6-A385-00B1ADEB6B67}" name="גבולות שיעור החשיפה הצפויה"/>
    <tableColumn id="6" xr3:uid="{9EC0FD37-59BD-4656-ACD1-964EA5F982CA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EBADF40-6D38-4D38-99BF-267587607506}" name="TitleRegion1.i3.n14.2" displayName="TitleRegion1.i3.n14.2" ref="I3:N14" totalsRowShown="0" headerRowDxfId="137" headerRowBorderDxfId="140" tableBorderDxfId="141">
  <autoFilter ref="I3:N14" xr:uid="{7EBADF40-6D38-4D38-99BF-2675876075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A13860E-4294-4FFD-A476-2DC1BB7DE369}" name="אפיק השקעה " dataDxfId="139"/>
    <tableColumn id="2" xr3:uid="{09050E3F-B0A5-406D-B131-1AF7962CC811}" name="שיעור החשיפה ליום 31/12/2025"/>
    <tableColumn id="3" xr3:uid="{E100C041-980D-49EB-B63B-3FAB38ECFC6E}" name="שיעור חשיפה צפוי לשנת 2026"/>
    <tableColumn id="4" xr3:uid="{2F41DC1D-3BEB-4700-AA5F-76093A4BCDFC}" name="טווח סטיה מותר" dataDxfId="138"/>
    <tableColumn id="5" xr3:uid="{E166CBAF-99FB-432E-9E85-D099366508C7}" name="גבולות שיעור החשיפה הצפויה"/>
    <tableColumn id="6" xr3:uid="{0961AFD8-B5FB-4925-B2DF-B26741C397B5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11138F7-7FB7-448C-A200-42B5B3F613B7}" name="TitleRegion1.b17.g28.3" displayName="TitleRegion1.b17.g28.3" ref="B17:G28" totalsRowShown="0" headerRowDxfId="132" headerRowBorderDxfId="135" tableBorderDxfId="136">
  <autoFilter ref="B17:G28" xr:uid="{311138F7-7FB7-448C-A200-42B5B3F613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B469C91-678D-4158-B1F1-5C84B8076FA9}" name="אפיק השקעה " dataDxfId="134"/>
    <tableColumn id="2" xr3:uid="{399D764B-D06A-4DBB-A204-92092B6AEF76}" name="שיעור החשיפה ליום 31/12/2025"/>
    <tableColumn id="3" xr3:uid="{F388322F-E1AE-4DAA-AB1D-7A6AA17A833A}" name="שיעור חשיפה צפוי לשנת 2026"/>
    <tableColumn id="4" xr3:uid="{0C37D6EB-2D40-4278-B856-341E85AB7DA4}" name="טווח סטייה" dataDxfId="133"/>
    <tableColumn id="5" xr3:uid="{4FE9E8C3-25E3-4F97-8995-03F49698D6E4}" name="גבולות שיעור החשיפה הצפויה"/>
    <tableColumn id="6" xr3:uid="{274A5976-2ACE-49A9-AD87-D97B116C1F9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0DF86A9-0584-475F-909A-AADAD25418B7}" name="TitleRegion1.i17.n28.4" displayName="TitleRegion1.i17.n28.4" ref="I17:N28" totalsRowShown="0" headerRowDxfId="127" headerRowBorderDxfId="130" tableBorderDxfId="131">
  <autoFilter ref="I17:N28" xr:uid="{70DF86A9-0584-475F-909A-AADAD25418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DA9EF21-55A7-4AFD-876F-4C7D69859E7C}" name="אפיק השקעה " dataDxfId="129"/>
    <tableColumn id="2" xr3:uid="{9FEC8EA6-EC44-4425-9F79-65DFFC181304}" name="שיעור החשיפה ליום 31/12/2025"/>
    <tableColumn id="3" xr3:uid="{4E776127-B4B1-4672-9952-4B50A052D70F}" name="שיעור חשיפה צפוי לשנת 2026"/>
    <tableColumn id="4" xr3:uid="{CCE5A87C-DCA1-4A02-91A2-21B5DC851164}" name="טווח סטייה" dataDxfId="128"/>
    <tableColumn id="5" xr3:uid="{EE96507D-1C4A-46AB-905A-A53D1BE857FD}" name="גבולות שיעור החשיפה הצפויה"/>
    <tableColumn id="6" xr3:uid="{72F358D6-6E92-4D0C-AC82-B06493E43F3A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A7F7A2E-0999-4314-B1BE-52844B684E7B}" name="TitleRegion1.b31.g42.5" displayName="TitleRegion1.b31.g42.5" ref="B31:G42" totalsRowShown="0" headerRowDxfId="122" headerRowBorderDxfId="125" tableBorderDxfId="126">
  <autoFilter ref="B31:G42" xr:uid="{7A7F7A2E-0999-4314-B1BE-52844B684E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9959440-19E4-43AB-930E-612DD9235AE6}" name="אפיק השקעה " dataDxfId="124"/>
    <tableColumn id="2" xr3:uid="{B54E87BE-CAD2-4124-A898-22F5D18F8D5E}" name="שיעור החשיפה ליום 31/12/2025"/>
    <tableColumn id="3" xr3:uid="{40A81D45-A480-40CE-B1C5-BA5B40A16480}" name="שיעור חשיפה צפוי לשנת 2026"/>
    <tableColumn id="4" xr3:uid="{C4D2969B-1B00-4C79-917E-A89CFB819E1C}" name="טווח סטייה" dataDxfId="123"/>
    <tableColumn id="5" xr3:uid="{732130F8-0F22-43B3-8A88-858C6964B17C}" name="גבולות שיעור החשיפה הצפויה"/>
    <tableColumn id="6" xr3:uid="{C945D687-CAB1-402B-8038-D2E3180228B6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D0D58F7-BFCB-4618-83C4-D8AF3540B135}" name="TitleRegion1.i31.n42.6" displayName="TitleRegion1.i31.n42.6" ref="I31:N42" totalsRowShown="0" headerRowDxfId="117" headerRowBorderDxfId="120" tableBorderDxfId="121">
  <autoFilter ref="I31:N42" xr:uid="{1D0D58F7-BFCB-4618-83C4-D8AF3540B1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921C1ED-E059-4D39-BF8F-090B5F48B1D7}" name="אפיק השקעה " dataDxfId="119"/>
    <tableColumn id="2" xr3:uid="{EFBBF422-995C-4429-8671-78A7ADCF4102}" name="שיעור החשיפה ליום 31/12/2025"/>
    <tableColumn id="3" xr3:uid="{79850919-C0E2-49E8-BCE8-9466FE7666B1}" name="שיעור חשיפה צפוי לשנת 2026"/>
    <tableColumn id="4" xr3:uid="{C3A80B93-8888-4B2D-A043-B8B3D170B3F6}" name="טווח סטייה" dataDxfId="118"/>
    <tableColumn id="5" xr3:uid="{EEA6FAE3-D38B-4E9F-AB90-63CB7359DC0C}" name="גבולות שיעור החשיפה הצפויה"/>
    <tableColumn id="6" xr3:uid="{CCD8A2C3-7CF6-454C-A38B-7D5912607304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01061AA-0EF5-41AB-A815-955418DCC31E}" name="TitleRegion1.b45.g56.7" displayName="TitleRegion1.b45.g56.7" ref="B45:G56" totalsRowShown="0" headerRowDxfId="112" headerRowBorderDxfId="115" tableBorderDxfId="116">
  <autoFilter ref="B45:G56" xr:uid="{301061AA-0EF5-41AB-A815-955418DCC3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2A846F8-61D3-49A0-A366-E3293C2BEF04}" name="אפיק השקעה " dataDxfId="114"/>
    <tableColumn id="2" xr3:uid="{908D5CFB-92C9-449C-8AD3-87FFD7C89C14}" name="שיעור החשיפה ליום 31/12/2025"/>
    <tableColumn id="3" xr3:uid="{749BBCE3-94DF-4FBC-8CBF-C4955956DA1F}" name="שיעור חשיפה צפוי לשנת 2026"/>
    <tableColumn id="4" xr3:uid="{4D0AAFC3-8CC2-47BD-B802-12C67F604742}" name="טווח סטייה" dataDxfId="113"/>
    <tableColumn id="5" xr3:uid="{116EBDD4-B008-4CBC-9129-1BB27F132AB1}" name="גבולות שיעור החשיפה הצפויה"/>
    <tableColumn id="6" xr3:uid="{B2060DC9-3C5C-4955-950E-7C37BFD3D7FD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F243A8A-CF11-45B5-B689-CC644F471F04}" name="TitleRegion1.i45.n56.8" displayName="TitleRegion1.i45.n56.8" ref="I45:N56" totalsRowShown="0" headerRowDxfId="107" headerRowBorderDxfId="110" tableBorderDxfId="111">
  <autoFilter ref="I45:N56" xr:uid="{8F243A8A-CF11-45B5-B689-CC644F471F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E21F5D-0FD8-4444-9708-2800B2B4D845}" name="אפיק השקעה " dataDxfId="109"/>
    <tableColumn id="2" xr3:uid="{8011AAE2-8A02-4524-AEA0-15EBFED6FFF6}" name="שיעור החשיפה ליום 31/12/2025"/>
    <tableColumn id="3" xr3:uid="{E8406217-DB11-48E7-B2FA-88C98FE2558C}" name="שיעור חשיפה צפוי לשנת 2026"/>
    <tableColumn id="4" xr3:uid="{50ED65E5-263E-4DA4-8FDA-188E83A43E69}" name="טווח סטייה" dataDxfId="108"/>
    <tableColumn id="5" xr3:uid="{4656E8E2-43F8-4FE4-9AB4-880166CB2624}" name="גבולות שיעור החשיפה הצפויה"/>
    <tableColumn id="6" xr3:uid="{04977269-0A73-451F-82BE-592E976F1762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9EE07D7-44BB-4A6D-88A2-D3ACFDFAEB28}" name="TitleRegion1.b59.g70.9" displayName="TitleRegion1.b59.g70.9" ref="B59:G70" totalsRowShown="0" headerRowDxfId="102" headerRowBorderDxfId="105" tableBorderDxfId="106">
  <autoFilter ref="B59:G70" xr:uid="{49EE07D7-44BB-4A6D-88A2-D3ACFDFAEB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25B3C5F-DCE0-44C0-B39A-3E9BA0BA1681}" name="אפיק השקעה " dataDxfId="104"/>
    <tableColumn id="2" xr3:uid="{47452223-1F63-4255-9666-9BB4893D458D}" name="שיעור החשיפה ליום 31/12/2025"/>
    <tableColumn id="3" xr3:uid="{7A7D68BA-6627-486F-AADA-3ECF6E827EDE}" name="שיעור חשיפה צפוי לשנת 2026"/>
    <tableColumn id="4" xr3:uid="{305CED3F-3F32-40D6-9D5A-59EEDF3D10F8}" name="_x0009_טווח סטייה" dataDxfId="103"/>
    <tableColumn id="5" xr3:uid="{6665510D-3C82-45E1-A5E1-3B73BEE5BEAE}" name="גבולות שיעור החשיפה הצפויה"/>
    <tableColumn id="6" xr3:uid="{838216AC-0288-4366-ABD4-FABE8C01CC49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9009906-ABB0-402F-BAF3-652CC5EFA17E}" name="TitleRegion1.i59.n70.10" displayName="TitleRegion1.i59.n70.10" ref="I59:N70" totalsRowShown="0" headerRowDxfId="97" headerRowBorderDxfId="100" tableBorderDxfId="101">
  <autoFilter ref="I59:N70" xr:uid="{19009906-ABB0-402F-BAF3-652CC5EFA1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995683-7991-4724-8284-4EB6212D712C}" name="אפיק השקעה " dataDxfId="99"/>
    <tableColumn id="2" xr3:uid="{B5410A7D-5D70-48BD-898A-65C09A4BC697}" name="שיעור החשיפה ליום 31/12/2025"/>
    <tableColumn id="3" xr3:uid="{CA9DCEBC-7CC0-430F-B417-C7B0C96DB3AF}" name="שיעור חשיפה צפוי לשנת 2026"/>
    <tableColumn id="4" xr3:uid="{9DADD94D-0F06-4373-9CEF-2DB4AAC8913B}" name="_x0009_טווח סטייה" dataDxfId="98"/>
    <tableColumn id="5" xr3:uid="{6DEAB056-F60C-480A-ADE7-C6E645CB05D7}" name="גבולות שיעור החשיפה הצפויה"/>
    <tableColumn id="6" xr3:uid="{F4720E91-31DD-44FD-AF69-DE311BDFF401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9519D2A-55E0-4239-9362-180715C8A0A8}" name="TitleRegion1.b73.g84.11" displayName="TitleRegion1.b73.g84.11" ref="B73:G84" totalsRowShown="0" headerRowDxfId="92" headerRowBorderDxfId="95" tableBorderDxfId="96">
  <autoFilter ref="B73:G84" xr:uid="{99519D2A-55E0-4239-9362-180715C8A0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72A8866-917B-47C4-923C-EA03D961B784}" name="אפיק השקעה " dataDxfId="94"/>
    <tableColumn id="2" xr3:uid="{8C14D5F0-9158-44A2-BBCE-208A86F5BAE2}" name="שיעור החשיפה ליום 31/12/2025"/>
    <tableColumn id="3" xr3:uid="{3C0DC746-38AC-4B0A-9F78-9856137DA198}" name="שיעור חשיפה צפוי לשנת 2026"/>
    <tableColumn id="4" xr3:uid="{D1B68324-87FE-4B80-853C-676C3C464884}" name="_x0009_טווח סטייה" dataDxfId="93"/>
    <tableColumn id="5" xr3:uid="{F2DE05C3-1338-40DC-B1BF-2E364A00C52F}" name="גבולות שיעור החשיפה הצפויה"/>
    <tableColumn id="6" xr3:uid="{3187B0E8-6D8E-4034-8BEA-2D385942AD50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AAF54F6-F3B0-4219-B171-C6360BF2A729}" name="TitleRegion1.i73.n84.12" displayName="TitleRegion1.i73.n84.12" ref="I73:N84" totalsRowShown="0" headerRowDxfId="87" headerRowBorderDxfId="90" tableBorderDxfId="91">
  <autoFilter ref="I73:N84" xr:uid="{2AAF54F6-F3B0-4219-B171-C6360BF2A7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3C05690-A796-4A71-A96E-3AA1C93CE2D0}" name="אפיק השקעה " dataDxfId="89"/>
    <tableColumn id="2" xr3:uid="{D33CAEAA-52B3-4F71-B7A6-BECDC546496C}" name="שיעור החשיפה ליום 31/12/2025"/>
    <tableColumn id="3" xr3:uid="{8C1A4C7E-8A9D-4588-A34E-17062413B163}" name="שיעור חשיפה צפוי לשנת 2026"/>
    <tableColumn id="4" xr3:uid="{F8D4A9E1-5C5D-4939-92C4-50E6819953D1}" name="_x0009_טווח סטייה" dataDxfId="88"/>
    <tableColumn id="5" xr3:uid="{40D58C48-A472-4683-85CA-33543A7C0656}" name="גבולות שיעור החשיפה הצפויה"/>
    <tableColumn id="6" xr3:uid="{4B534F6C-9392-4CFE-9A34-DA513315B9D2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E8E7609-0C26-43C8-878A-254600CF65B7}" name="TitleRegion1.b87.g95.13" displayName="TitleRegion1.b87.g95.13" ref="B87:G95" totalsRowShown="0" headerRowDxfId="83" headerRowBorderDxfId="85" tableBorderDxfId="86">
  <autoFilter ref="B87:G95" xr:uid="{8E8E7609-0C26-43C8-878A-254600CF65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A2DB-82BA-4BDE-8FC9-F2FC8EDFE5E7}" name="אפיק השקעה "/>
    <tableColumn id="2" xr3:uid="{94625CAD-4587-4307-AD16-481FFA5F781E}" name="שיעור החשיפה ליום 31/12/2025"/>
    <tableColumn id="3" xr3:uid="{F788714C-5935-4F43-A965-7DF519985709}" name="שיעור חשיפה צפוי לשנת 2026"/>
    <tableColumn id="4" xr3:uid="{EA821A8B-4605-4961-9FDB-F2C191B3A78F}" name="_x0009_טווח סטייה" dataDxfId="84"/>
    <tableColumn id="5" xr3:uid="{51692DA8-675B-4F1F-8D90-F8FBD4F97C7C}" name="גבולות שיעור החשיפה הצפויה"/>
    <tableColumn id="6" xr3:uid="{A825AFF3-DD56-4EF8-909F-E60D3D3F2696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4B1BC07-F8E0-4FA9-A654-6672D9F63E88}" name="TitleRegion1.i87.n95.14" displayName="TitleRegion1.i87.n95.14" ref="I87:N95" totalsRowShown="0" headerRowDxfId="78" headerRowBorderDxfId="81" tableBorderDxfId="82">
  <autoFilter ref="I87:N95" xr:uid="{B4B1BC07-F8E0-4FA9-A654-6672D9F63E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3E9335F-79A7-4C1C-BE97-8FB3D7CC3FD7}" name="אפיק השקעה " dataDxfId="80"/>
    <tableColumn id="2" xr3:uid="{E02C1D27-10CF-488E-A700-7320991203A1}" name="שיעור החשיפה ליום 31/12/2025"/>
    <tableColumn id="3" xr3:uid="{C0ED21A0-4D20-4919-AB3E-59A27A663A1C}" name="שיעור חשיפה צפוי לשנת 2026"/>
    <tableColumn id="4" xr3:uid="{2ADEC26E-4E93-4727-8BD8-E0494694FAED}" name="_x0009_טווח סטייה" dataDxfId="79"/>
    <tableColumn id="5" xr3:uid="{E6BEB02C-1A96-43F0-AE78-509732FF5996}" name="גבולות שיעור החשיפה הצפויה"/>
    <tableColumn id="6" xr3:uid="{A55D100E-DC30-4A8E-88FE-79BB430547EA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A524A38-79A8-436F-8EC7-D3DB03DDA372}" name="TitleRegion1.b98.g106.15" displayName="TitleRegion1.b98.g106.15" ref="B98:G106" totalsRowShown="0" headerRowDxfId="74" headerRowBorderDxfId="76" tableBorderDxfId="77">
  <autoFilter ref="B98:G106" xr:uid="{BA524A38-79A8-436F-8EC7-D3DB03DDA3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84D5195-8C38-4454-8F56-B2945379B423}" name="אפיק השקעה "/>
    <tableColumn id="2" xr3:uid="{628BD000-99C0-4F2D-A578-CF8ADBD2DAAE}" name="שיעור החשיפה ליום 31/12/2025"/>
    <tableColumn id="3" xr3:uid="{1D3E6E26-0FF8-43CC-8B7D-2E2CB01AF6A6}" name="שיעור חשיפה צפוי לשנת 2026"/>
    <tableColumn id="4" xr3:uid="{D9A65D15-3995-4AB6-A1E6-CC8AC0644A5C}" name="_x0009_טווח סטייה" dataDxfId="75"/>
    <tableColumn id="5" xr3:uid="{7ED62851-E8BB-4476-8C6D-C0FCFA3E0E79}" name="גבולות שיעור החשיפה הצפויה"/>
    <tableColumn id="6" xr3:uid="{AFFAD521-580A-43AE-AA64-2E122F14FF1A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3194328-CD71-4A46-8E5C-24284BF04199}" name="TitleRegion1.i98.n106.16" displayName="TitleRegion1.i98.n106.16" ref="I98:N106" totalsRowShown="0" headerRowDxfId="69" headerRowBorderDxfId="72" tableBorderDxfId="73">
  <autoFilter ref="I98:N106" xr:uid="{93194328-CD71-4A46-8E5C-24284BF041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6512C1-FDC6-4A3B-996E-1E71139B2AA2}" name="אפיק השקעה " dataDxfId="71"/>
    <tableColumn id="2" xr3:uid="{DE1BB071-B1FD-4B2F-9E9D-B44940DC40DF}" name="שיעור החשיפה ליום 31/12/2025"/>
    <tableColumn id="3" xr3:uid="{C971715C-9B86-4B0E-9CB7-40BE105F250D}" name="שיעור חשיפה צפוי לשנת 2026"/>
    <tableColumn id="4" xr3:uid="{ED40CDE1-AB5B-450E-9EF5-0290DDFA3E79}" name="_x0009_טווח סטייה" dataDxfId="70"/>
    <tableColumn id="5" xr3:uid="{C2CF6CA0-A1F4-4299-B97F-BC9610EA07D0}" name="גבולות שיעור החשיפה הצפויה"/>
    <tableColumn id="6" xr3:uid="{BC4EF1B2-C95C-4BB5-AAE0-D3CD59B7B518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0C58531-F7E8-46FA-AD46-5D6ED231A061}" name="TitleRegion1.b109.g117.17" displayName="TitleRegion1.b109.g117.17" ref="B109:G117" totalsRowShown="0" headerRowDxfId="65" headerRowBorderDxfId="67" tableBorderDxfId="68">
  <autoFilter ref="B109:G117" xr:uid="{50C58531-F7E8-46FA-AD46-5D6ED231A0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5690C71-A966-4198-AAEF-938613827DA5}" name="אפיק השקעה "/>
    <tableColumn id="2" xr3:uid="{93890C66-CB06-428E-82F0-FECD87B82EAF}" name="שיעור החשיפה ליום 31/12/2025"/>
    <tableColumn id="3" xr3:uid="{FF8776C3-F1AB-4853-BCB3-8CCAB9A2E6E3}" name="שיעור חשיפה צפוי לשנת 2026"/>
    <tableColumn id="4" xr3:uid="{D3EB7C1F-880B-45E3-B8BF-B70C89697CC4}" name="_x0009_טווח סטייה" dataDxfId="66"/>
    <tableColumn id="5" xr3:uid="{6F136385-D9CD-4441-8944-34B45E9D791E}" name="גבולות שיעור החשיפה הצפויה"/>
    <tableColumn id="6" xr3:uid="{DCADBCE0-8859-4CB1-A63E-83900994917F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91B4CD2-8CAE-493B-8ACD-DF90DF0CD468}" name="TitleRegion1.i109.n117.18" displayName="TitleRegion1.i109.n117.18" ref="I109:N117" totalsRowShown="0" headerRowDxfId="60" headerRowBorderDxfId="63" tableBorderDxfId="64">
  <autoFilter ref="I109:N117" xr:uid="{591B4CD2-8CAE-493B-8ACD-DF90DF0CD4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20C0B1B-16AC-4740-BD73-4FBFE651E6E2}" name="אפיק השקעה " dataDxfId="62"/>
    <tableColumn id="2" xr3:uid="{A94A5619-F49A-4DF2-AC94-465D1C940FD6}" name="שיעור החשיפה ליום 31/12/2025"/>
    <tableColumn id="3" xr3:uid="{10E5053E-A434-4103-BF9D-88B15DC6AF2D}" name="שיעור חשיפה צפוי לשנת 2026"/>
    <tableColumn id="4" xr3:uid="{F36CC959-D979-426F-ADEC-CEAFA827407F}" name="_x0009_טווח סטייה" dataDxfId="61"/>
    <tableColumn id="5" xr3:uid="{F024AB1B-300E-4463-9069-C462CF95E8C0}" name="גבולות שיעור החשיפה הצפויה"/>
    <tableColumn id="6" xr3:uid="{DF6C47EB-2580-4528-9AE6-74E404531A7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A578E6D-95B7-4455-9359-746C723D1F66}" name="TitleRegion1.b120.g128.21" displayName="TitleRegion1.b120.g128.21" ref="B120:G128" totalsRowShown="0" headerRowDxfId="55" headerRowBorderDxfId="58" tableBorderDxfId="59">
  <autoFilter ref="B120:G128" xr:uid="{8A578E6D-95B7-4455-9359-746C723D1F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CB6EE22-0D75-4081-927A-F26EEF514DE9}" name="אפיק השקעה "/>
    <tableColumn id="2" xr3:uid="{0B127575-0F97-4EAD-AE97-B1692BD34030}" name="שיעור החשיפה ליום 31/12/2025"/>
    <tableColumn id="3" xr3:uid="{5C0C4AC4-51CF-463F-A451-01FDCD77BB00}" name="שיעור חשיפה צפוי לשנת 2026"/>
    <tableColumn id="4" xr3:uid="{5D9CED2A-CC3A-4F2A-A309-D5DA0A03D000}" name="_x0009_טווח סטייה" dataDxfId="57"/>
    <tableColumn id="5" xr3:uid="{8AB6DA4C-EBD3-47EA-974A-C6EC3DEEF78C}" name="גבולות שיעור החשיפה הצפויה"/>
    <tableColumn id="6" xr3:uid="{178EA48A-CA4E-46CA-8CAC-34F6B2DDC700}" name="מדד ייחוס*" dataDxfId="56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0974957-D701-4C90-A9F6-3CE03CEF93C8}" name="TitleRegion1.i120.n128.23" displayName="TitleRegion1.i120.n128.23" ref="I120:N128" totalsRowShown="0" headerRowDxfId="49" headerRowBorderDxfId="53" tableBorderDxfId="54">
  <autoFilter ref="I120:N128" xr:uid="{90974957-D701-4C90-A9F6-3CE03CEF9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8C9F1BD-C0E0-4847-9987-0ACB7EE8334D}" name="אפיק השקעה " dataDxfId="52"/>
    <tableColumn id="2" xr3:uid="{EE9F5000-08FD-4F6A-B8C7-A3F8A3003905}" name="שיעור החשיפה ליום 31/12/2025"/>
    <tableColumn id="3" xr3:uid="{BC11144C-778A-434C-9C9C-80DA3B8D251B}" name="שיעור חשיפה צפוי לשנת 2026"/>
    <tableColumn id="4" xr3:uid="{48D5DB97-2457-410C-A978-E99BFD3C7D21}" name="_x0009_טווח סטייה" dataDxfId="51"/>
    <tableColumn id="5" xr3:uid="{4FED7700-661C-46B0-ACDD-3E5DB4891B80}" name="גבולות שיעור החשיפה הצפויה"/>
    <tableColumn id="6" xr3:uid="{C446C415-5547-4833-996E-4A3B0A36A13E}" name="מדד ייחוס*" dataDxfId="50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7857059-781D-496F-9EA0-83C4E52D8BA6}" name="TitleRegion1.b132.g139.26" displayName="TitleRegion1.b132.g139.26" ref="B132:G139" totalsRowShown="0" tableBorderDxfId="48">
  <autoFilter ref="B132:G139" xr:uid="{C7857059-781D-496F-9EA0-83C4E52D8B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050622C-4622-445C-8E8D-FE026F0A829C}" name="אג&quot;ח מיועדות"/>
    <tableColumn id="2" xr3:uid="{18810C16-3AF1-4E01-A81D-A96D3D322A9F}" name="30.12%"/>
    <tableColumn id="3" xr3:uid="{0DCC5600-AD58-45AB-A706-FEEFAAA4C7C4}" name="30.00%"/>
    <tableColumn id="4" xr3:uid="{03845ADD-94E5-480E-811D-7BE14431908D}" name="ריק במקור" dataDxfId="47"/>
    <tableColumn id="5" xr3:uid="{9F324F4F-8ECE-443F-AA91-3C401D096342}" name="ריק במקור2"/>
    <tableColumn id="6" xr3:uid="{30A55213-3B89-41C2-8008-C209CD24AF50}" name="ריק במקור3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92D9F753-F879-4AA2-AEC7-DF444C0605EF}" name="TitleRegion1.i131.n139.27" displayName="TitleRegion1.i131.n139.27" ref="I131:N139" totalsRowShown="0" headerRowDxfId="42" headerRowBorderDxfId="45" tableBorderDxfId="46">
  <autoFilter ref="I131:N139" xr:uid="{92D9F753-F879-4AA2-AEC7-DF444C0605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4CA0B7-F28F-487F-8D72-55D3DD2C20AD}" name="אפיק השקעה " dataDxfId="44"/>
    <tableColumn id="2" xr3:uid="{213EBF4F-4E6A-45C5-BDDB-CFC328B20F9F}" name="שיעור החשיפה ליום 31/12/2025"/>
    <tableColumn id="3" xr3:uid="{AEC5599A-7288-4FB4-A19D-3C5E50E8284D}" name="שיעור חשיפה צפוי לשנת 2026"/>
    <tableColumn id="4" xr3:uid="{075B66C3-1246-491A-808B-F08D201AB86B}" name="_x0009_טווח סטייה" dataDxfId="43"/>
    <tableColumn id="5" xr3:uid="{CD04121B-4599-453A-A0B4-034DA36D1CF3}" name="גבולות שיעור החשיפה הצפויה"/>
    <tableColumn id="6" xr3:uid="{E40098E8-DC1D-4F0F-901A-C11FB31964B6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551130AC-7181-4F8B-B301-3FCC370F498B}" name="TitleRegion1.b142.g150.29" displayName="TitleRegion1.b142.g150.29" ref="B142:G150" totalsRowShown="0" headerRowDxfId="38" headerRowBorderDxfId="40" tableBorderDxfId="41">
  <autoFilter ref="B142:G150" xr:uid="{551130AC-7181-4F8B-B301-3FCC370F49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D4D4B66-DAAD-47B9-BBA4-AF891A65FB9B}" name="אפיק השקעה "/>
    <tableColumn id="2" xr3:uid="{9846C626-5B38-4894-9F7A-290C1F0FD1BB}" name="שיעור החשיפה ליום 31/12/2025"/>
    <tableColumn id="3" xr3:uid="{2423BCF1-A676-413F-9ADF-40810941A8CC}" name="שיעור חשיפה צפוי לשנת 2026"/>
    <tableColumn id="4" xr3:uid="{DFD2F976-20C3-4241-93F6-84839469F220}" name="_x0009_טווח סטייה" dataDxfId="39"/>
    <tableColumn id="5" xr3:uid="{8A91FA7E-650F-422B-8B47-943D484F0F2F}" name="גבולות שיעור החשיפה הצפויה"/>
    <tableColumn id="6" xr3:uid="{FD27C3B8-116C-4C36-8D25-C44C46286FE9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C83A783-8483-411A-9B58-B9369D2F68CD}" name="TitleRegion1.i142.n150.30" displayName="TitleRegion1.i142.n150.30" ref="I142:N150" totalsRowShown="0" headerRowDxfId="35" headerRowBorderDxfId="36" tableBorderDxfId="37">
  <autoFilter ref="I142:N150" xr:uid="{DC83A783-8483-411A-9B58-B9369D2F68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C1EDAB3-7376-4740-92E6-2FB355CA0A69}" name="אפיק השקעה "/>
    <tableColumn id="2" xr3:uid="{B081DD01-C5CB-48E5-B024-2D16C3C696A1}" name="שיעור החשיפה ליום 31/12/2025"/>
    <tableColumn id="3" xr3:uid="{6043EC16-3CA9-41D4-945F-07D02B070AEC}" name="שיעור חשיפה צפוי לשנת 2026"/>
    <tableColumn id="4" xr3:uid="{CB32984D-70F3-48B4-BFE7-8EECB1A486AF}" name="_x0009_טווח סטייה"/>
    <tableColumn id="5" xr3:uid="{AE2760EC-4533-457D-9D95-996E7B4E8F00}" name="גבולות שיעור החשיפה הצפויה"/>
    <tableColumn id="6" xr3:uid="{EAF3F196-1F16-4AC5-83EE-E045404C4ED5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EEC0A90-AF6E-404C-8141-BE6394D0ADFF}" name="TitleRegion1.b153.g161.31" displayName="TitleRegion1.b153.g161.31" ref="B153:G161" totalsRowShown="0" headerRowDxfId="31" headerRowBorderDxfId="33" tableBorderDxfId="34">
  <autoFilter ref="B153:G161" xr:uid="{DEEC0A90-AF6E-404C-8141-BE6394D0AD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6E3DDF7-28D8-423B-B3E4-B0F679A0221B}" name="אפיק השקעה "/>
    <tableColumn id="2" xr3:uid="{316B2558-C1B9-40AF-A55F-219266B2E66F}" name="שיעור החשיפה ליום 31/12/2025"/>
    <tableColumn id="3" xr3:uid="{A0336B38-0C29-4856-A8A2-705C24010340}" name="שיעור חשיפה צפוי לשנת 2026"/>
    <tableColumn id="4" xr3:uid="{94C1721B-E050-4CFB-9823-47ADD7198FB9}" name="_x0009_טווח סטייה" dataDxfId="32"/>
    <tableColumn id="5" xr3:uid="{541C1AF1-18C5-44A0-9108-F041B9872D7B}" name="גבולות שיעור החשיפה הצפויה"/>
    <tableColumn id="6" xr3:uid="{43840DA2-AEE7-41BB-BE3F-0599C66F0450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AD1688C-FDB0-41E3-A81C-72D11E20F9C6}" name="TitleRegion1.i153.n161.32" displayName="TitleRegion1.i153.n161.32" ref="I153:N161" totalsRowShown="0" headerRowDxfId="26" headerRowBorderDxfId="29" tableBorderDxfId="30">
  <autoFilter ref="I153:N161" xr:uid="{9AD1688C-FDB0-41E3-A81C-72D11E20F9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BA77F74-F386-4456-86A7-5D115F817515}" name="אפיק השקעה " dataDxfId="28"/>
    <tableColumn id="2" xr3:uid="{09388D6F-A63A-4397-BD5F-36FD0627115B}" name="שיעור החשיפה ליום 31/12/2025"/>
    <tableColumn id="3" xr3:uid="{CA5722CF-D3E6-4986-94CC-607C883F647A}" name="שיעור חשיפה צפוי לשנת 2026"/>
    <tableColumn id="4" xr3:uid="{94B895DF-2ADE-49A3-BB76-4B097442C44A}" name="_x0009_טווח סטייה" dataDxfId="27"/>
    <tableColumn id="5" xr3:uid="{8E2DDABE-7485-401B-AF1D-247B8BA10EBD}" name="גבולות שיעור החשיפה הצפויה"/>
    <tableColumn id="6" xr3:uid="{7DD6B160-1274-4CC7-8739-753CAFEAD630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E8B908E-2225-4734-B44E-D4B7A0CC30CD}" name="TitleRegion1.b164.g175.35" displayName="TitleRegion1.b164.g175.35" ref="B164:G175" totalsRowShown="0" headerRowDxfId="18" headerRowBorderDxfId="24" tableBorderDxfId="25" totalsRowBorderDxfId="23">
  <autoFilter ref="B164:G175" xr:uid="{6E8B908E-2225-4734-B44E-D4B7A0CC30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55CDEC7-6BA7-4385-9BCA-0940BF917D4D}" name="אפיק השקעה " dataDxfId="22"/>
    <tableColumn id="2" xr3:uid="{43794A7A-5171-43EC-89B7-60F156A45430}" name="שיעור החשיפה ליום 31/12/2025" dataDxfId="21"/>
    <tableColumn id="3" xr3:uid="{B5DCEEC4-15F1-4AAD-A4B0-EC66F9F29281}" name="שיעור חשיפה צפוי לשנת 2026" dataDxfId="20"/>
    <tableColumn id="4" xr3:uid="{1C66B17B-00FA-4410-8AAE-406D2237786E}" name="טווח סטיה מותר" dataDxfId="19"/>
    <tableColumn id="5" xr3:uid="{C66D4A40-59F7-4632-9622-7815A513770E}" name="גבולות שיעור החשיפה הצפויה"/>
    <tableColumn id="6" xr3:uid="{A09735DF-DC96-4E83-AF87-589F1B277C89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31AC8FC-9402-4CD1-98E2-0C4694D896A4}" name="TitleRegion1.i164.n175.36" displayName="TitleRegion1.i164.n175.36" ref="I164:N175" totalsRowShown="0" headerRowDxfId="10" headerRowBorderDxfId="16" tableBorderDxfId="17" totalsRowBorderDxfId="15">
  <autoFilter ref="I164:N175" xr:uid="{B31AC8FC-9402-4CD1-98E2-0C4694D896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B22C427-0A86-48B2-B923-95808C884AAE}" name="אפיק השקעה " dataDxfId="14"/>
    <tableColumn id="2" xr3:uid="{170BFDE9-8B31-4D16-A216-E613408F7301}" name="שיעור החשיפה ליום 31/12/2025" dataDxfId="13"/>
    <tableColumn id="3" xr3:uid="{F1227A92-A0EA-4A0B-9E41-167A19154E27}" name="שיעור חשיפה צפוי לשנת 2026" dataDxfId="12"/>
    <tableColumn id="4" xr3:uid="{33B8032D-050F-4F9E-A64A-08826B85DCB4}" name="טווח סטיה מותר" dataDxfId="11"/>
    <tableColumn id="5" xr3:uid="{D6063AC1-1103-4465-B4E9-60E5124DB22C}" name="גבולות שיעור החשיפה הצפויה"/>
    <tableColumn id="6" xr3:uid="{BFBDA043-64EF-4E17-95ED-BD60A41CB087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9858E1B5-B070-478E-B86B-BB2E5C9A47DC}" name="TitleRegion1.b178.g186.37" displayName="TitleRegion1.b178.g186.37" ref="B178:G186" totalsRowShown="0" headerRowDxfId="6" headerRowBorderDxfId="8" tableBorderDxfId="9">
  <autoFilter ref="B178:G186" xr:uid="{9858E1B5-B070-478E-B86B-BB2E5C9A47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F19681D-6893-4A4D-BF5C-868AA067C52A}" name="אפיק השקעה "/>
    <tableColumn id="2" xr3:uid="{23818CCD-D661-41BA-8E04-087C7D3CFD8B}" name="שיעור החשיפה ליום 31/12/2025"/>
    <tableColumn id="3" xr3:uid="{8ECD17D2-A517-4106-94C0-F8956E8D8D2E}" name="שיעור חשיפה צפוי לשנת 2026"/>
    <tableColumn id="4" xr3:uid="{A3539229-1594-46F3-99CF-E453F4652309}" name="טווח סטיה מותר" dataDxfId="7"/>
    <tableColumn id="5" xr3:uid="{36CECCC8-22F3-4EE6-BF61-F567BAD15F24}" name="גבולות שיעור החשיפה הצפויה"/>
    <tableColumn id="6" xr3:uid="{2B0F8519-22CE-49D2-B544-6B2FC4E4D2AB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88B4924B-65B5-4181-ADB9-E9B482476F42}" name="TitleRegion1.i178.n186.38" displayName="TitleRegion1.i178.n186.38" ref="I178:N186" totalsRowShown="0" headerRowDxfId="0" headerRowBorderDxfId="4" tableBorderDxfId="5">
  <autoFilter ref="I178:N186" xr:uid="{88B4924B-65B5-4181-ADB9-E9B482476F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A8CCDA-F7B6-4990-9D60-35C95FF54723}" name="אפיק השקעה " dataDxfId="3"/>
    <tableColumn id="2" xr3:uid="{FB11680E-965A-43FD-9B73-721A1ABC7056}" name="שיעור החשיפה ליום 31/12/2025" dataDxfId="2"/>
    <tableColumn id="3" xr3:uid="{7BE281B1-6FA7-4512-B39F-1740589C7D41}" name="שיעור חשיפה צפוי לשנת 2026"/>
    <tableColumn id="4" xr3:uid="{9F1FB4EF-9F2D-41E5-ABEC-A2FB5D13AB09}" name="טווח סטיה מותר" dataDxfId="1"/>
    <tableColumn id="5" xr3:uid="{302B18F1-D0ED-42E7-932B-ED6D4A794BA8}" name="גבולות שיעור החשיפה הצפויה"/>
    <tableColumn id="6" xr3:uid="{222BB753-5504-4918-9519-8EDE5BC451FC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26" Type="http://schemas.openxmlformats.org/officeDocument/2006/relationships/table" Target="../tables/table45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0.xml"/><Relationship Id="rId34" Type="http://schemas.openxmlformats.org/officeDocument/2006/relationships/table" Target="../tables/table53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5" Type="http://schemas.openxmlformats.org/officeDocument/2006/relationships/table" Target="../tables/table44.xml"/><Relationship Id="rId33" Type="http://schemas.openxmlformats.org/officeDocument/2006/relationships/table" Target="../tables/table52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29" Type="http://schemas.openxmlformats.org/officeDocument/2006/relationships/table" Target="../tables/table4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24" Type="http://schemas.openxmlformats.org/officeDocument/2006/relationships/table" Target="../tables/table43.xml"/><Relationship Id="rId32" Type="http://schemas.openxmlformats.org/officeDocument/2006/relationships/table" Target="../tables/table51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28" Type="http://schemas.openxmlformats.org/officeDocument/2006/relationships/table" Target="../tables/table47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31" Type="http://schemas.openxmlformats.org/officeDocument/2006/relationships/table" Target="../tables/table50.xml"/><Relationship Id="rId4" Type="http://schemas.openxmlformats.org/officeDocument/2006/relationships/drawing" Target="../drawings/drawing2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Relationship Id="rId27" Type="http://schemas.openxmlformats.org/officeDocument/2006/relationships/table" Target="../tables/table46.xml"/><Relationship Id="rId30" Type="http://schemas.openxmlformats.org/officeDocument/2006/relationships/table" Target="../tables/table49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0"/>
  <sheetViews>
    <sheetView rightToLeft="1" topLeftCell="A275" zoomScale="40" zoomScaleNormal="40" workbookViewId="0">
      <selection activeCell="B303" sqref="B303:I308"/>
    </sheetView>
  </sheetViews>
  <sheetFormatPr defaultColWidth="9" defaultRowHeight="13.8" x14ac:dyDescent="0.25"/>
  <cols>
    <col min="1" max="1" width="17.796875" style="98" customWidth="1"/>
    <col min="2" max="2" width="32.796875" style="100" customWidth="1"/>
    <col min="3" max="3" width="37.796875" style="100" customWidth="1"/>
    <col min="4" max="4" width="38.796875" style="100" customWidth="1"/>
    <col min="5" max="5" width="36.796875" style="98" customWidth="1"/>
    <col min="6" max="6" width="28.296875" style="98" customWidth="1"/>
    <col min="7" max="7" width="16.796875" style="101" customWidth="1"/>
    <col min="8" max="8" width="29" style="98" customWidth="1"/>
    <col min="9" max="9" width="24.296875" style="102" customWidth="1"/>
    <col min="10" max="16384" width="9" style="98"/>
  </cols>
  <sheetData>
    <row r="1" spans="1:9" ht="62.55" customHeight="1" x14ac:dyDescent="0.4">
      <c r="A1" s="230" t="s">
        <v>231</v>
      </c>
      <c r="B1" s="230"/>
      <c r="C1" s="230"/>
      <c r="D1" s="230"/>
      <c r="E1" s="230"/>
      <c r="F1" s="230"/>
      <c r="G1" s="93"/>
      <c r="H1" s="16"/>
      <c r="I1" s="173"/>
    </row>
    <row r="2" spans="1:9" ht="22.8" x14ac:dyDescent="0.25">
      <c r="A2" s="24" t="s">
        <v>37</v>
      </c>
      <c r="B2" s="34" t="s">
        <v>33</v>
      </c>
      <c r="C2" s="38"/>
      <c r="D2" s="38"/>
      <c r="E2" s="35"/>
      <c r="F2" s="36"/>
      <c r="G2" s="94"/>
      <c r="H2" s="35"/>
      <c r="I2" s="41"/>
    </row>
    <row r="3" spans="1:9" ht="31.2" x14ac:dyDescent="0.25">
      <c r="A3" s="25"/>
      <c r="B3" s="13" t="s">
        <v>0</v>
      </c>
      <c r="C3" s="111" t="s">
        <v>189</v>
      </c>
      <c r="D3" s="111" t="s">
        <v>190</v>
      </c>
      <c r="E3" s="15" t="s">
        <v>225</v>
      </c>
      <c r="F3" s="15" t="s">
        <v>200</v>
      </c>
      <c r="G3" s="14" t="s">
        <v>30</v>
      </c>
      <c r="H3" s="14" t="s">
        <v>20</v>
      </c>
      <c r="I3" s="14" t="s">
        <v>35</v>
      </c>
    </row>
    <row r="4" spans="1:9" ht="55.2" x14ac:dyDescent="0.25">
      <c r="A4" s="27"/>
      <c r="B4" s="108" t="s">
        <v>140</v>
      </c>
      <c r="C4" s="112" t="s">
        <v>189</v>
      </c>
      <c r="D4" s="112" t="s">
        <v>189</v>
      </c>
      <c r="E4" s="3">
        <v>0.50090000000000001</v>
      </c>
      <c r="F4" s="5">
        <v>0.47</v>
      </c>
      <c r="G4" s="185" t="s">
        <v>4</v>
      </c>
      <c r="H4" s="7" t="s">
        <v>204</v>
      </c>
      <c r="I4" s="186" t="s">
        <v>223</v>
      </c>
    </row>
    <row r="5" spans="1:9" x14ac:dyDescent="0.25">
      <c r="A5" s="26"/>
      <c r="B5" s="108" t="s">
        <v>2</v>
      </c>
      <c r="C5" s="113" t="s">
        <v>189</v>
      </c>
      <c r="D5" s="113" t="s">
        <v>189</v>
      </c>
      <c r="E5" s="3">
        <v>0.2044</v>
      </c>
      <c r="F5" s="3">
        <v>0.22</v>
      </c>
      <c r="G5" s="187" t="s">
        <v>3</v>
      </c>
      <c r="H5" s="4" t="s">
        <v>205</v>
      </c>
      <c r="I5" s="107" t="s">
        <v>14</v>
      </c>
    </row>
    <row r="6" spans="1:9" x14ac:dyDescent="0.25">
      <c r="A6" s="27"/>
      <c r="B6" s="109" t="s">
        <v>139</v>
      </c>
      <c r="C6" s="112" t="s">
        <v>189</v>
      </c>
      <c r="D6" s="112" t="s">
        <v>189</v>
      </c>
      <c r="E6" s="3">
        <v>0.20710000000000001</v>
      </c>
      <c r="F6" s="3">
        <v>0.22</v>
      </c>
      <c r="G6" s="187" t="s">
        <v>4</v>
      </c>
      <c r="H6" s="4" t="s">
        <v>53</v>
      </c>
      <c r="I6" s="107" t="s">
        <v>15</v>
      </c>
    </row>
    <row r="7" spans="1:9" ht="27.6" x14ac:dyDescent="0.25">
      <c r="A7" s="27"/>
      <c r="B7" s="108" t="s">
        <v>9</v>
      </c>
      <c r="C7" s="113" t="s">
        <v>189</v>
      </c>
      <c r="D7" s="113" t="s">
        <v>189</v>
      </c>
      <c r="E7" s="3">
        <v>9.9900000000000003E-2</v>
      </c>
      <c r="F7" s="3">
        <v>0.1</v>
      </c>
      <c r="G7" s="188" t="s">
        <v>3</v>
      </c>
      <c r="H7" s="4" t="s">
        <v>49</v>
      </c>
      <c r="I7" s="107" t="s">
        <v>16</v>
      </c>
    </row>
    <row r="8" spans="1:9" x14ac:dyDescent="0.25">
      <c r="A8" s="27"/>
      <c r="B8" s="108" t="s">
        <v>10</v>
      </c>
      <c r="C8" s="113" t="s">
        <v>189</v>
      </c>
      <c r="D8" s="113" t="s">
        <v>189</v>
      </c>
      <c r="E8" s="3">
        <v>3.2800000000000003E-2</v>
      </c>
      <c r="F8" s="3">
        <v>7.0000000000000007E-2</v>
      </c>
      <c r="G8" s="188" t="s">
        <v>3</v>
      </c>
      <c r="H8" s="4" t="s">
        <v>50</v>
      </c>
      <c r="I8" s="107" t="s">
        <v>17</v>
      </c>
    </row>
    <row r="9" spans="1:9" x14ac:dyDescent="0.25">
      <c r="A9" s="27"/>
      <c r="B9" s="108" t="s">
        <v>11</v>
      </c>
      <c r="C9" s="113" t="s">
        <v>189</v>
      </c>
      <c r="D9" s="113" t="s">
        <v>189</v>
      </c>
      <c r="E9" s="3">
        <v>7.0699999999999999E-2</v>
      </c>
      <c r="F9" s="3">
        <v>0.05</v>
      </c>
      <c r="G9" s="188" t="s">
        <v>3</v>
      </c>
      <c r="H9" s="4" t="s">
        <v>51</v>
      </c>
      <c r="I9" s="107" t="s">
        <v>18</v>
      </c>
    </row>
    <row r="10" spans="1:9" x14ac:dyDescent="0.25">
      <c r="A10" s="27"/>
      <c r="B10" s="108" t="s">
        <v>21</v>
      </c>
      <c r="C10" s="113" t="s">
        <v>189</v>
      </c>
      <c r="D10" s="113" t="s">
        <v>189</v>
      </c>
      <c r="E10" s="3">
        <v>0</v>
      </c>
      <c r="F10" s="3">
        <v>0.05</v>
      </c>
      <c r="G10" s="188" t="s">
        <v>3</v>
      </c>
      <c r="H10" s="4" t="s">
        <v>51</v>
      </c>
      <c r="I10" s="107" t="s">
        <v>18</v>
      </c>
    </row>
    <row r="11" spans="1:9" x14ac:dyDescent="0.25">
      <c r="A11" s="27"/>
      <c r="B11" s="108" t="s">
        <v>12</v>
      </c>
      <c r="C11" s="113" t="s">
        <v>189</v>
      </c>
      <c r="D11" s="113" t="s">
        <v>189</v>
      </c>
      <c r="E11" s="189">
        <v>0.17960000000000001</v>
      </c>
      <c r="F11" s="3">
        <v>0.15</v>
      </c>
      <c r="G11" s="187" t="s">
        <v>3</v>
      </c>
      <c r="H11" s="4" t="s">
        <v>52</v>
      </c>
      <c r="I11" s="4" t="s">
        <v>18</v>
      </c>
    </row>
    <row r="12" spans="1:9" x14ac:dyDescent="0.25">
      <c r="A12" s="27"/>
      <c r="B12" s="108" t="s">
        <v>13</v>
      </c>
      <c r="C12" s="113" t="s">
        <v>189</v>
      </c>
      <c r="D12" s="113" t="s">
        <v>189</v>
      </c>
      <c r="E12" s="3">
        <v>2.12E-2</v>
      </c>
      <c r="F12" s="3">
        <v>0.05</v>
      </c>
      <c r="G12" s="187" t="s">
        <v>3</v>
      </c>
      <c r="H12" s="190" t="s">
        <v>51</v>
      </c>
      <c r="I12" s="117" t="s">
        <v>189</v>
      </c>
    </row>
    <row r="13" spans="1:9" x14ac:dyDescent="0.25">
      <c r="A13" s="27"/>
      <c r="B13" s="110" t="s">
        <v>5</v>
      </c>
      <c r="C13" s="114" t="s">
        <v>189</v>
      </c>
      <c r="D13" s="114" t="s">
        <v>189</v>
      </c>
      <c r="E13" s="103">
        <f>SUM(E4:E12)</f>
        <v>1.3166000000000002</v>
      </c>
      <c r="F13" s="103">
        <f>SUM(F4:F12)</f>
        <v>1.3800000000000001</v>
      </c>
      <c r="G13" s="191" t="s">
        <v>189</v>
      </c>
      <c r="H13" s="192" t="s">
        <v>189</v>
      </c>
      <c r="I13" s="192" t="s">
        <v>189</v>
      </c>
    </row>
    <row r="14" spans="1:9" x14ac:dyDescent="0.25">
      <c r="A14" s="27"/>
      <c r="B14" s="108" t="s">
        <v>6</v>
      </c>
      <c r="C14" s="113" t="s">
        <v>189</v>
      </c>
      <c r="D14" s="113" t="s">
        <v>189</v>
      </c>
      <c r="E14" s="11">
        <v>0.1918</v>
      </c>
      <c r="F14" s="11">
        <v>0.2</v>
      </c>
      <c r="G14" s="187" t="s">
        <v>4</v>
      </c>
      <c r="H14" s="4" t="s">
        <v>64</v>
      </c>
      <c r="I14" s="107" t="s">
        <v>19</v>
      </c>
    </row>
    <row r="15" spans="1:9" x14ac:dyDescent="0.25">
      <c r="A15" s="27"/>
      <c r="B15" s="110" t="s">
        <v>230</v>
      </c>
      <c r="C15" s="114" t="s">
        <v>189</v>
      </c>
      <c r="D15" s="114" t="s">
        <v>189</v>
      </c>
      <c r="E15" s="12">
        <v>2.5999999999999999E-3</v>
      </c>
      <c r="F15" s="150" t="s">
        <v>189</v>
      </c>
      <c r="G15" s="135" t="s">
        <v>189</v>
      </c>
      <c r="H15" s="135" t="s">
        <v>189</v>
      </c>
      <c r="I15" s="174" t="s">
        <v>189</v>
      </c>
    </row>
    <row r="16" spans="1:9" x14ac:dyDescent="0.25">
      <c r="A16" s="20"/>
      <c r="B16" s="17"/>
      <c r="C16" s="17"/>
      <c r="D16" s="17"/>
      <c r="E16" s="19"/>
      <c r="F16" s="18"/>
      <c r="G16" s="92"/>
      <c r="H16" s="19"/>
      <c r="I16" s="175"/>
    </row>
    <row r="17" spans="1:9" ht="22.8" x14ac:dyDescent="0.25">
      <c r="A17" s="24" t="s">
        <v>37</v>
      </c>
      <c r="B17" s="34" t="s">
        <v>34</v>
      </c>
      <c r="C17" s="34"/>
      <c r="D17" s="34"/>
      <c r="E17" s="35"/>
      <c r="F17" s="36"/>
      <c r="G17" s="94"/>
      <c r="H17" s="35"/>
      <c r="I17" s="41"/>
    </row>
    <row r="18" spans="1:9" ht="31.2" x14ac:dyDescent="0.25">
      <c r="A18" s="25"/>
      <c r="B18" s="13" t="s">
        <v>0</v>
      </c>
      <c r="C18" s="111" t="s">
        <v>189</v>
      </c>
      <c r="D18" s="111" t="s">
        <v>190</v>
      </c>
      <c r="E18" s="15" t="s">
        <v>225</v>
      </c>
      <c r="F18" s="15" t="s">
        <v>200</v>
      </c>
      <c r="G18" s="14" t="s">
        <v>30</v>
      </c>
      <c r="H18" s="14" t="s">
        <v>20</v>
      </c>
      <c r="I18" s="14" t="s">
        <v>35</v>
      </c>
    </row>
    <row r="19" spans="1:9" ht="55.2" x14ac:dyDescent="0.25">
      <c r="A19" s="27"/>
      <c r="B19" s="108" t="s">
        <v>140</v>
      </c>
      <c r="C19" s="113" t="s">
        <v>189</v>
      </c>
      <c r="D19" s="113" t="s">
        <v>190</v>
      </c>
      <c r="E19" s="5" t="s">
        <v>234</v>
      </c>
      <c r="F19" s="5" t="s">
        <v>235</v>
      </c>
      <c r="G19" s="185" t="s">
        <v>4</v>
      </c>
      <c r="H19" s="7" t="s">
        <v>176</v>
      </c>
      <c r="I19" s="6" t="s">
        <v>223</v>
      </c>
    </row>
    <row r="20" spans="1:9" x14ac:dyDescent="0.25">
      <c r="A20" s="26"/>
      <c r="B20" s="108" t="s">
        <v>2</v>
      </c>
      <c r="C20" s="113" t="s">
        <v>189</v>
      </c>
      <c r="D20" s="113" t="s">
        <v>189</v>
      </c>
      <c r="E20" s="3">
        <v>0.24310000000000001</v>
      </c>
      <c r="F20" s="3">
        <v>0.24</v>
      </c>
      <c r="G20" s="187" t="s">
        <v>3</v>
      </c>
      <c r="H20" s="4" t="s">
        <v>46</v>
      </c>
      <c r="I20" s="1" t="s">
        <v>14</v>
      </c>
    </row>
    <row r="21" spans="1:9" x14ac:dyDescent="0.25">
      <c r="A21" s="27"/>
      <c r="B21" s="109" t="s">
        <v>139</v>
      </c>
      <c r="C21" s="113" t="s">
        <v>189</v>
      </c>
      <c r="D21" s="113" t="s">
        <v>189</v>
      </c>
      <c r="E21" s="3">
        <v>0.2155</v>
      </c>
      <c r="F21" s="3">
        <v>0.22</v>
      </c>
      <c r="G21" s="187" t="s">
        <v>4</v>
      </c>
      <c r="H21" s="4" t="s">
        <v>53</v>
      </c>
      <c r="I21" s="1" t="s">
        <v>15</v>
      </c>
    </row>
    <row r="22" spans="1:9" ht="27.6" x14ac:dyDescent="0.25">
      <c r="A22" s="27"/>
      <c r="B22" s="108" t="s">
        <v>9</v>
      </c>
      <c r="C22" s="113" t="s">
        <v>189</v>
      </c>
      <c r="D22" s="113" t="s">
        <v>189</v>
      </c>
      <c r="E22" s="3">
        <v>6.2600000000000003E-2</v>
      </c>
      <c r="F22" s="3">
        <v>0.06</v>
      </c>
      <c r="G22" s="188" t="s">
        <v>3</v>
      </c>
      <c r="H22" s="9" t="s">
        <v>174</v>
      </c>
      <c r="I22" s="1" t="s">
        <v>16</v>
      </c>
    </row>
    <row r="23" spans="1:9" x14ac:dyDescent="0.25">
      <c r="A23" s="27"/>
      <c r="B23" s="166" t="s">
        <v>10</v>
      </c>
      <c r="C23" s="113" t="s">
        <v>189</v>
      </c>
      <c r="D23" s="113" t="s">
        <v>189</v>
      </c>
      <c r="E23" s="3">
        <v>3.4000000000000002E-2</v>
      </c>
      <c r="F23" s="3">
        <v>7.0000000000000007E-2</v>
      </c>
      <c r="G23" s="188" t="s">
        <v>3</v>
      </c>
      <c r="H23" s="9" t="s">
        <v>50</v>
      </c>
      <c r="I23" s="1" t="s">
        <v>17</v>
      </c>
    </row>
    <row r="24" spans="1:9" x14ac:dyDescent="0.25">
      <c r="A24" s="27"/>
      <c r="B24" s="108" t="s">
        <v>11</v>
      </c>
      <c r="C24" s="113" t="s">
        <v>189</v>
      </c>
      <c r="D24" s="113" t="s">
        <v>189</v>
      </c>
      <c r="E24" s="3">
        <v>5.2499999999999998E-2</v>
      </c>
      <c r="F24" s="3">
        <v>0.05</v>
      </c>
      <c r="G24" s="188" t="s">
        <v>3</v>
      </c>
      <c r="H24" s="9" t="s">
        <v>51</v>
      </c>
      <c r="I24" s="1" t="s">
        <v>18</v>
      </c>
    </row>
    <row r="25" spans="1:9" x14ac:dyDescent="0.25">
      <c r="A25" s="27"/>
      <c r="B25" s="108" t="s">
        <v>21</v>
      </c>
      <c r="C25" s="113" t="s">
        <v>189</v>
      </c>
      <c r="D25" s="113" t="s">
        <v>189</v>
      </c>
      <c r="E25" s="3">
        <v>0</v>
      </c>
      <c r="F25" s="3">
        <v>0.05</v>
      </c>
      <c r="G25" s="188" t="s">
        <v>3</v>
      </c>
      <c r="H25" s="9" t="s">
        <v>51</v>
      </c>
      <c r="I25" s="1" t="s">
        <v>18</v>
      </c>
    </row>
    <row r="26" spans="1:9" x14ac:dyDescent="0.25">
      <c r="A26" s="27"/>
      <c r="B26" s="108" t="s">
        <v>12</v>
      </c>
      <c r="C26" s="113" t="s">
        <v>189</v>
      </c>
      <c r="D26" s="113" t="s">
        <v>189</v>
      </c>
      <c r="E26" s="3">
        <v>0.18920000000000001</v>
      </c>
      <c r="F26" s="3">
        <v>0.15</v>
      </c>
      <c r="G26" s="187" t="s">
        <v>3</v>
      </c>
      <c r="H26" s="9" t="s">
        <v>52</v>
      </c>
      <c r="I26" s="9" t="s">
        <v>18</v>
      </c>
    </row>
    <row r="27" spans="1:9" x14ac:dyDescent="0.25">
      <c r="A27" s="27"/>
      <c r="B27" s="166" t="s">
        <v>13</v>
      </c>
      <c r="C27" s="113" t="s">
        <v>189</v>
      </c>
      <c r="D27" s="113" t="s">
        <v>189</v>
      </c>
      <c r="E27" s="3">
        <v>1.6500000000000001E-2</v>
      </c>
      <c r="F27" s="3">
        <v>0.05</v>
      </c>
      <c r="G27" s="187" t="s">
        <v>3</v>
      </c>
      <c r="H27" s="10" t="s">
        <v>51</v>
      </c>
      <c r="I27" s="136" t="s">
        <v>189</v>
      </c>
    </row>
    <row r="28" spans="1:9" x14ac:dyDescent="0.25">
      <c r="A28" s="27"/>
      <c r="B28" s="110" t="s">
        <v>5</v>
      </c>
      <c r="C28" s="113" t="s">
        <v>189</v>
      </c>
      <c r="D28" s="113" t="s">
        <v>189</v>
      </c>
      <c r="E28" s="103">
        <f>SUM(E19:E27)</f>
        <v>0.81340000000000001</v>
      </c>
      <c r="F28" s="103">
        <f>SUM(F19:F27)</f>
        <v>0.89000000000000024</v>
      </c>
      <c r="G28" s="191" t="s">
        <v>189</v>
      </c>
      <c r="H28" s="116" t="s">
        <v>189</v>
      </c>
      <c r="I28" s="116" t="s">
        <v>189</v>
      </c>
    </row>
    <row r="29" spans="1:9" x14ac:dyDescent="0.25">
      <c r="A29" s="27"/>
      <c r="B29" s="108" t="s">
        <v>6</v>
      </c>
      <c r="C29" s="113" t="s">
        <v>189</v>
      </c>
      <c r="D29" s="113" t="s">
        <v>189</v>
      </c>
      <c r="E29" s="11">
        <v>0.188</v>
      </c>
      <c r="F29" s="11">
        <v>0.2</v>
      </c>
      <c r="G29" s="187" t="s">
        <v>4</v>
      </c>
      <c r="H29" s="9" t="s">
        <v>64</v>
      </c>
      <c r="I29" s="1" t="s">
        <v>19</v>
      </c>
    </row>
    <row r="30" spans="1:9" x14ac:dyDescent="0.25">
      <c r="A30" s="27"/>
      <c r="B30" s="110" t="s">
        <v>230</v>
      </c>
      <c r="C30" s="114" t="s">
        <v>189</v>
      </c>
      <c r="D30" s="114" t="s">
        <v>189</v>
      </c>
      <c r="E30" s="12">
        <v>1.9E-3</v>
      </c>
      <c r="F30" s="150" t="s">
        <v>189</v>
      </c>
      <c r="G30" s="135" t="s">
        <v>189</v>
      </c>
      <c r="H30" s="135" t="s">
        <v>189</v>
      </c>
      <c r="I30" s="174" t="s">
        <v>189</v>
      </c>
    </row>
    <row r="31" spans="1:9" x14ac:dyDescent="0.25">
      <c r="A31" s="20"/>
      <c r="B31" s="17"/>
      <c r="C31" s="17"/>
      <c r="D31" s="17"/>
      <c r="E31" s="19"/>
      <c r="F31" s="18"/>
      <c r="G31" s="92"/>
      <c r="H31" s="19"/>
      <c r="I31" s="175"/>
    </row>
    <row r="32" spans="1:9" ht="27.6" x14ac:dyDescent="0.25">
      <c r="A32" s="21" t="s">
        <v>36</v>
      </c>
      <c r="B32" s="34" t="s">
        <v>29</v>
      </c>
      <c r="C32" s="34"/>
      <c r="D32" s="34"/>
      <c r="E32" s="35"/>
      <c r="F32" s="36"/>
      <c r="G32" s="94"/>
      <c r="H32" s="35"/>
      <c r="I32" s="41"/>
    </row>
    <row r="33" spans="1:9" ht="31.2" x14ac:dyDescent="0.25">
      <c r="A33" s="22"/>
      <c r="B33" s="13" t="s">
        <v>0</v>
      </c>
      <c r="C33" s="111" t="s">
        <v>189</v>
      </c>
      <c r="D33" s="111" t="s">
        <v>190</v>
      </c>
      <c r="E33" s="15" t="s">
        <v>225</v>
      </c>
      <c r="F33" s="15" t="s">
        <v>200</v>
      </c>
      <c r="G33" s="88" t="s">
        <v>30</v>
      </c>
      <c r="H33" s="14" t="s">
        <v>20</v>
      </c>
      <c r="I33" s="14" t="s">
        <v>35</v>
      </c>
    </row>
    <row r="34" spans="1:9" ht="55.2" x14ac:dyDescent="0.25">
      <c r="A34" s="22"/>
      <c r="B34" s="108" t="s">
        <v>140</v>
      </c>
      <c r="C34" s="112" t="s">
        <v>189</v>
      </c>
      <c r="D34" s="112" t="s">
        <v>189</v>
      </c>
      <c r="E34" s="5">
        <v>0.58220000000000005</v>
      </c>
      <c r="F34" s="5">
        <v>0.59499999999999997</v>
      </c>
      <c r="G34" s="185" t="s">
        <v>4</v>
      </c>
      <c r="H34" s="7" t="s">
        <v>65</v>
      </c>
      <c r="I34" s="186" t="s">
        <v>223</v>
      </c>
    </row>
    <row r="35" spans="1:9" x14ac:dyDescent="0.25">
      <c r="A35" s="22"/>
      <c r="B35" s="108" t="s">
        <v>2</v>
      </c>
      <c r="C35" s="113" t="s">
        <v>189</v>
      </c>
      <c r="D35" s="113" t="s">
        <v>189</v>
      </c>
      <c r="E35" s="3">
        <v>0.24129999999999999</v>
      </c>
      <c r="F35" s="3">
        <v>0.25</v>
      </c>
      <c r="G35" s="187" t="s">
        <v>3</v>
      </c>
      <c r="H35" s="4" t="s">
        <v>54</v>
      </c>
      <c r="I35" s="107" t="s">
        <v>14</v>
      </c>
    </row>
    <row r="36" spans="1:9" x14ac:dyDescent="0.25">
      <c r="A36" s="22"/>
      <c r="B36" s="109" t="s">
        <v>139</v>
      </c>
      <c r="C36" s="112" t="s">
        <v>189</v>
      </c>
      <c r="D36" s="112" t="s">
        <v>189</v>
      </c>
      <c r="E36" s="3">
        <v>0.18959999999999999</v>
      </c>
      <c r="F36" s="3">
        <v>0.2</v>
      </c>
      <c r="G36" s="187" t="s">
        <v>4</v>
      </c>
      <c r="H36" s="4" t="s">
        <v>64</v>
      </c>
      <c r="I36" s="107" t="s">
        <v>15</v>
      </c>
    </row>
    <row r="37" spans="1:9" ht="27.6" x14ac:dyDescent="0.25">
      <c r="A37" s="22"/>
      <c r="B37" s="108" t="s">
        <v>9</v>
      </c>
      <c r="C37" s="113" t="s">
        <v>189</v>
      </c>
      <c r="D37" s="113" t="s">
        <v>189</v>
      </c>
      <c r="E37" s="3">
        <v>7.9600000000000004E-2</v>
      </c>
      <c r="F37" s="3">
        <v>0.08</v>
      </c>
      <c r="G37" s="188" t="s">
        <v>3</v>
      </c>
      <c r="H37" s="4" t="s">
        <v>208</v>
      </c>
      <c r="I37" s="107" t="s">
        <v>16</v>
      </c>
    </row>
    <row r="38" spans="1:9" x14ac:dyDescent="0.25">
      <c r="A38" s="22"/>
      <c r="B38" s="108" t="s">
        <v>10</v>
      </c>
      <c r="C38" s="113" t="s">
        <v>189</v>
      </c>
      <c r="D38" s="113" t="s">
        <v>189</v>
      </c>
      <c r="E38" s="3">
        <v>3.2300000000000002E-2</v>
      </c>
      <c r="F38" s="3">
        <v>7.0000000000000007E-2</v>
      </c>
      <c r="G38" s="188" t="s">
        <v>3</v>
      </c>
      <c r="H38" s="4" t="s">
        <v>50</v>
      </c>
      <c r="I38" s="107" t="s">
        <v>17</v>
      </c>
    </row>
    <row r="39" spans="1:9" x14ac:dyDescent="0.25">
      <c r="A39" s="22"/>
      <c r="B39" s="108" t="s">
        <v>11</v>
      </c>
      <c r="C39" s="113" t="s">
        <v>189</v>
      </c>
      <c r="D39" s="113" t="s">
        <v>189</v>
      </c>
      <c r="E39" s="3">
        <v>2.2000000000000001E-3</v>
      </c>
      <c r="F39" s="3">
        <v>0.05</v>
      </c>
      <c r="G39" s="188" t="s">
        <v>3</v>
      </c>
      <c r="H39" s="4" t="s">
        <v>51</v>
      </c>
      <c r="I39" s="107" t="s">
        <v>18</v>
      </c>
    </row>
    <row r="40" spans="1:9" x14ac:dyDescent="0.25">
      <c r="A40" s="22"/>
      <c r="B40" s="108" t="s">
        <v>21</v>
      </c>
      <c r="C40" s="113" t="s">
        <v>189</v>
      </c>
      <c r="D40" s="113" t="s">
        <v>189</v>
      </c>
      <c r="E40" s="3">
        <v>0</v>
      </c>
      <c r="F40" s="3">
        <v>0.05</v>
      </c>
      <c r="G40" s="188" t="s">
        <v>3</v>
      </c>
      <c r="H40" s="4" t="s">
        <v>51</v>
      </c>
      <c r="I40" s="107" t="s">
        <v>18</v>
      </c>
    </row>
    <row r="41" spans="1:9" x14ac:dyDescent="0.25">
      <c r="A41" s="22"/>
      <c r="B41" s="108" t="s">
        <v>12</v>
      </c>
      <c r="C41" s="113" t="s">
        <v>189</v>
      </c>
      <c r="D41" s="113" t="s">
        <v>189</v>
      </c>
      <c r="E41" s="3">
        <v>0.19139999999999999</v>
      </c>
      <c r="F41" s="3">
        <v>0.15</v>
      </c>
      <c r="G41" s="187" t="s">
        <v>3</v>
      </c>
      <c r="H41" s="4" t="s">
        <v>52</v>
      </c>
      <c r="I41" s="4" t="s">
        <v>18</v>
      </c>
    </row>
    <row r="42" spans="1:9" x14ac:dyDescent="0.25">
      <c r="A42" s="22"/>
      <c r="B42" s="108" t="s">
        <v>13</v>
      </c>
      <c r="C42" s="113" t="s">
        <v>189</v>
      </c>
      <c r="D42" s="113" t="s">
        <v>189</v>
      </c>
      <c r="E42" s="3">
        <v>2.0400000000000001E-2</v>
      </c>
      <c r="F42" s="3">
        <v>0.05</v>
      </c>
      <c r="G42" s="187" t="s">
        <v>3</v>
      </c>
      <c r="H42" s="190" t="s">
        <v>51</v>
      </c>
      <c r="I42" s="117" t="s">
        <v>189</v>
      </c>
    </row>
    <row r="43" spans="1:9" x14ac:dyDescent="0.25">
      <c r="A43" s="22"/>
      <c r="B43" s="110" t="s">
        <v>5</v>
      </c>
      <c r="C43" s="114" t="s">
        <v>189</v>
      </c>
      <c r="D43" s="114" t="s">
        <v>189</v>
      </c>
      <c r="E43" s="29">
        <f>SUBTOTAL(109,E34:E42)</f>
        <v>1.3390000000000002</v>
      </c>
      <c r="F43" s="29">
        <f>SUBTOTAL(109,F34:F42)</f>
        <v>1.4950000000000001</v>
      </c>
      <c r="G43" s="121" t="s">
        <v>189</v>
      </c>
      <c r="H43" s="122" t="s">
        <v>189</v>
      </c>
      <c r="I43" s="116" t="s">
        <v>189</v>
      </c>
    </row>
    <row r="44" spans="1:9" x14ac:dyDescent="0.25">
      <c r="A44" s="22"/>
      <c r="B44" s="108" t="s">
        <v>6</v>
      </c>
      <c r="C44" s="113" t="s">
        <v>189</v>
      </c>
      <c r="D44" s="113" t="s">
        <v>189</v>
      </c>
      <c r="E44" s="11">
        <v>0.21179999999999999</v>
      </c>
      <c r="F44" s="11">
        <v>0.2</v>
      </c>
      <c r="G44" s="90" t="s">
        <v>4</v>
      </c>
      <c r="H44" s="9" t="s">
        <v>64</v>
      </c>
      <c r="I44" s="1" t="s">
        <v>19</v>
      </c>
    </row>
    <row r="45" spans="1:9" x14ac:dyDescent="0.25">
      <c r="A45" s="23"/>
      <c r="B45" s="110" t="s">
        <v>230</v>
      </c>
      <c r="C45" s="114" t="s">
        <v>189</v>
      </c>
      <c r="D45" s="114" t="s">
        <v>189</v>
      </c>
      <c r="E45" s="12">
        <v>2.3999999999999998E-3</v>
      </c>
      <c r="F45" s="150" t="s">
        <v>189</v>
      </c>
      <c r="G45" s="135" t="s">
        <v>189</v>
      </c>
      <c r="H45" s="135" t="s">
        <v>189</v>
      </c>
      <c r="I45" s="154" t="s">
        <v>189</v>
      </c>
    </row>
    <row r="46" spans="1:9" x14ac:dyDescent="0.25">
      <c r="A46" s="20"/>
      <c r="B46" s="17"/>
      <c r="C46" s="17"/>
      <c r="D46" s="17"/>
      <c r="E46" s="19"/>
      <c r="F46" s="18"/>
      <c r="G46" s="92"/>
      <c r="H46" s="19"/>
      <c r="I46" s="175"/>
    </row>
    <row r="47" spans="1:9" ht="27.6" x14ac:dyDescent="0.25">
      <c r="A47" s="21" t="s">
        <v>36</v>
      </c>
      <c r="B47" s="34" t="s">
        <v>31</v>
      </c>
      <c r="C47" s="34"/>
      <c r="D47" s="34"/>
      <c r="E47" s="35"/>
      <c r="F47" s="36"/>
      <c r="G47" s="94"/>
      <c r="H47" s="35"/>
      <c r="I47" s="41"/>
    </row>
    <row r="48" spans="1:9" ht="31.2" x14ac:dyDescent="0.25">
      <c r="A48" s="22"/>
      <c r="B48" s="13" t="s">
        <v>0</v>
      </c>
      <c r="C48" s="111" t="s">
        <v>189</v>
      </c>
      <c r="D48" s="111" t="s">
        <v>190</v>
      </c>
      <c r="E48" s="15" t="s">
        <v>225</v>
      </c>
      <c r="F48" s="15" t="s">
        <v>200</v>
      </c>
      <c r="G48" s="14" t="s">
        <v>30</v>
      </c>
      <c r="H48" s="14" t="s">
        <v>20</v>
      </c>
      <c r="I48" s="14" t="s">
        <v>35</v>
      </c>
    </row>
    <row r="49" spans="1:9" ht="55.2" x14ac:dyDescent="0.25">
      <c r="A49" s="22"/>
      <c r="B49" s="108" t="s">
        <v>140</v>
      </c>
      <c r="C49" s="112" t="s">
        <v>189</v>
      </c>
      <c r="D49" s="112" t="s">
        <v>190</v>
      </c>
      <c r="E49" s="5">
        <v>0.48320000000000002</v>
      </c>
      <c r="F49" s="5">
        <v>0.47</v>
      </c>
      <c r="G49" s="185" t="s">
        <v>4</v>
      </c>
      <c r="H49" s="7" t="s">
        <v>204</v>
      </c>
      <c r="I49" s="6" t="s">
        <v>223</v>
      </c>
    </row>
    <row r="50" spans="1:9" x14ac:dyDescent="0.25">
      <c r="A50" s="22"/>
      <c r="B50" s="108" t="s">
        <v>2</v>
      </c>
      <c r="C50" s="113" t="s">
        <v>189</v>
      </c>
      <c r="D50" s="113" t="s">
        <v>189</v>
      </c>
      <c r="E50" s="3">
        <v>0.20169999999999999</v>
      </c>
      <c r="F50" s="3">
        <v>0.22</v>
      </c>
      <c r="G50" s="187" t="s">
        <v>3</v>
      </c>
      <c r="H50" s="4" t="s">
        <v>205</v>
      </c>
      <c r="I50" s="1" t="s">
        <v>14</v>
      </c>
    </row>
    <row r="51" spans="1:9" x14ac:dyDescent="0.25">
      <c r="A51" s="22"/>
      <c r="B51" s="109" t="s">
        <v>139</v>
      </c>
      <c r="C51" s="112" t="s">
        <v>189</v>
      </c>
      <c r="D51" s="112" t="s">
        <v>189</v>
      </c>
      <c r="E51" s="3">
        <v>0.21379999999999999</v>
      </c>
      <c r="F51" s="3">
        <v>0.22</v>
      </c>
      <c r="G51" s="187" t="s">
        <v>4</v>
      </c>
      <c r="H51" s="4" t="s">
        <v>53</v>
      </c>
      <c r="I51" s="1" t="s">
        <v>15</v>
      </c>
    </row>
    <row r="52" spans="1:9" ht="27.6" x14ac:dyDescent="0.25">
      <c r="A52" s="22"/>
      <c r="B52" s="108" t="s">
        <v>9</v>
      </c>
      <c r="C52" s="113" t="s">
        <v>189</v>
      </c>
      <c r="D52" s="113" t="s">
        <v>189</v>
      </c>
      <c r="E52" s="3">
        <v>8.6999999999999994E-2</v>
      </c>
      <c r="F52" s="3">
        <v>0.09</v>
      </c>
      <c r="G52" s="188" t="s">
        <v>3</v>
      </c>
      <c r="H52" s="9" t="s">
        <v>209</v>
      </c>
      <c r="I52" s="1" t="s">
        <v>16</v>
      </c>
    </row>
    <row r="53" spans="1:9" x14ac:dyDescent="0.25">
      <c r="A53" s="22"/>
      <c r="B53" s="108" t="s">
        <v>10</v>
      </c>
      <c r="C53" s="113" t="s">
        <v>189</v>
      </c>
      <c r="D53" s="113" t="s">
        <v>189</v>
      </c>
      <c r="E53" s="3">
        <v>3.8600000000000002E-2</v>
      </c>
      <c r="F53" s="3">
        <v>7.0000000000000007E-2</v>
      </c>
      <c r="G53" s="188" t="s">
        <v>3</v>
      </c>
      <c r="H53" s="9" t="s">
        <v>50</v>
      </c>
      <c r="I53" s="1" t="s">
        <v>17</v>
      </c>
    </row>
    <row r="54" spans="1:9" x14ac:dyDescent="0.25">
      <c r="A54" s="22"/>
      <c r="B54" s="108" t="s">
        <v>11</v>
      </c>
      <c r="C54" s="113" t="s">
        <v>189</v>
      </c>
      <c r="D54" s="113" t="s">
        <v>189</v>
      </c>
      <c r="E54" s="57">
        <v>5.3800000000000001E-2</v>
      </c>
      <c r="F54" s="3">
        <v>0.05</v>
      </c>
      <c r="G54" s="188" t="s">
        <v>3</v>
      </c>
      <c r="H54" s="9" t="s">
        <v>51</v>
      </c>
      <c r="I54" s="1" t="s">
        <v>18</v>
      </c>
    </row>
    <row r="55" spans="1:9" x14ac:dyDescent="0.25">
      <c r="A55" s="22"/>
      <c r="B55" s="108" t="s">
        <v>21</v>
      </c>
      <c r="C55" s="113" t="s">
        <v>189</v>
      </c>
      <c r="D55" s="113" t="s">
        <v>189</v>
      </c>
      <c r="E55" s="3">
        <v>0</v>
      </c>
      <c r="F55" s="3">
        <v>0.05</v>
      </c>
      <c r="G55" s="188" t="s">
        <v>3</v>
      </c>
      <c r="H55" s="9" t="s">
        <v>51</v>
      </c>
      <c r="I55" s="1" t="s">
        <v>18</v>
      </c>
    </row>
    <row r="56" spans="1:9" x14ac:dyDescent="0.25">
      <c r="A56" s="22"/>
      <c r="B56" s="108" t="s">
        <v>12</v>
      </c>
      <c r="C56" s="113" t="s">
        <v>189</v>
      </c>
      <c r="D56" s="113" t="s">
        <v>189</v>
      </c>
      <c r="E56" s="3">
        <v>0.19070000000000001</v>
      </c>
      <c r="F56" s="3">
        <v>0.15</v>
      </c>
      <c r="G56" s="187" t="s">
        <v>3</v>
      </c>
      <c r="H56" s="9" t="s">
        <v>52</v>
      </c>
      <c r="I56" s="9" t="s">
        <v>18</v>
      </c>
    </row>
    <row r="57" spans="1:9" x14ac:dyDescent="0.25">
      <c r="A57" s="22"/>
      <c r="B57" s="108" t="s">
        <v>13</v>
      </c>
      <c r="C57" s="113" t="s">
        <v>189</v>
      </c>
      <c r="D57" s="113" t="s">
        <v>189</v>
      </c>
      <c r="E57" s="3">
        <v>2.3699999999999999E-2</v>
      </c>
      <c r="F57" s="3">
        <v>0.05</v>
      </c>
      <c r="G57" s="187" t="s">
        <v>3</v>
      </c>
      <c r="H57" s="10" t="s">
        <v>51</v>
      </c>
      <c r="I57" s="136" t="s">
        <v>189</v>
      </c>
    </row>
    <row r="58" spans="1:9" x14ac:dyDescent="0.25">
      <c r="A58" s="22"/>
      <c r="B58" s="110" t="s">
        <v>5</v>
      </c>
      <c r="C58" s="114" t="s">
        <v>189</v>
      </c>
      <c r="D58" s="114" t="s">
        <v>189</v>
      </c>
      <c r="E58" s="103">
        <f>SUBTOTAL(109,E49:E57)</f>
        <v>1.2925000000000002</v>
      </c>
      <c r="F58" s="103">
        <f>SUBTOTAL(109,F49:F57)</f>
        <v>1.3699999999999999</v>
      </c>
      <c r="G58" s="193" t="s">
        <v>189</v>
      </c>
      <c r="H58" s="122" t="s">
        <v>189</v>
      </c>
      <c r="I58" s="116" t="s">
        <v>189</v>
      </c>
    </row>
    <row r="59" spans="1:9" x14ac:dyDescent="0.25">
      <c r="A59" s="22"/>
      <c r="B59" s="108" t="s">
        <v>6</v>
      </c>
      <c r="C59" s="113" t="s">
        <v>189</v>
      </c>
      <c r="D59" s="113" t="s">
        <v>189</v>
      </c>
      <c r="E59" s="11">
        <v>0.18940000000000001</v>
      </c>
      <c r="F59" s="11">
        <v>0.2</v>
      </c>
      <c r="G59" s="187" t="s">
        <v>4</v>
      </c>
      <c r="H59" s="9" t="s">
        <v>64</v>
      </c>
      <c r="I59" s="1" t="s">
        <v>19</v>
      </c>
    </row>
    <row r="60" spans="1:9" x14ac:dyDescent="0.25">
      <c r="A60" s="23"/>
      <c r="B60" s="110" t="s">
        <v>230</v>
      </c>
      <c r="C60" s="114" t="s">
        <v>189</v>
      </c>
      <c r="D60" s="114" t="s">
        <v>189</v>
      </c>
      <c r="E60" s="12">
        <v>2.3999999999999998E-3</v>
      </c>
      <c r="F60" s="150" t="s">
        <v>189</v>
      </c>
      <c r="G60" s="135" t="s">
        <v>189</v>
      </c>
      <c r="H60" s="135" t="s">
        <v>189</v>
      </c>
      <c r="I60" s="174" t="s">
        <v>189</v>
      </c>
    </row>
    <row r="61" spans="1:9" x14ac:dyDescent="0.25">
      <c r="A61" s="20"/>
      <c r="B61" s="17"/>
      <c r="C61" s="17"/>
      <c r="D61" s="17"/>
      <c r="E61" s="19"/>
      <c r="F61" s="18"/>
      <c r="G61" s="92"/>
      <c r="H61" s="19"/>
      <c r="I61" s="175"/>
    </row>
    <row r="62" spans="1:9" ht="27.6" x14ac:dyDescent="0.25">
      <c r="A62" s="21" t="s">
        <v>36</v>
      </c>
      <c r="B62" s="34" t="s">
        <v>32</v>
      </c>
      <c r="C62" s="34"/>
      <c r="D62" s="34"/>
      <c r="E62" s="35"/>
      <c r="F62" s="36"/>
      <c r="G62" s="94"/>
      <c r="H62" s="35"/>
      <c r="I62" s="41"/>
    </row>
    <row r="63" spans="1:9" ht="31.2" x14ac:dyDescent="0.25">
      <c r="A63" s="22"/>
      <c r="B63" s="13" t="s">
        <v>0</v>
      </c>
      <c r="C63" s="111" t="s">
        <v>189</v>
      </c>
      <c r="D63" s="111" t="s">
        <v>190</v>
      </c>
      <c r="E63" s="15" t="s">
        <v>225</v>
      </c>
      <c r="F63" s="15" t="s">
        <v>200</v>
      </c>
      <c r="G63" s="14" t="s">
        <v>30</v>
      </c>
      <c r="H63" s="14" t="s">
        <v>20</v>
      </c>
      <c r="I63" s="14" t="s">
        <v>35</v>
      </c>
    </row>
    <row r="64" spans="1:9" ht="55.2" x14ac:dyDescent="0.25">
      <c r="A64" s="22"/>
      <c r="B64" s="108" t="s">
        <v>140</v>
      </c>
      <c r="C64" s="112" t="s">
        <v>189</v>
      </c>
      <c r="D64" s="112" t="s">
        <v>190</v>
      </c>
      <c r="E64" s="5">
        <v>0.30099999999999999</v>
      </c>
      <c r="F64" s="5">
        <v>0.26</v>
      </c>
      <c r="G64" s="89" t="s">
        <v>4</v>
      </c>
      <c r="H64" s="7" t="s">
        <v>203</v>
      </c>
      <c r="I64" s="6" t="s">
        <v>223</v>
      </c>
    </row>
    <row r="65" spans="1:9" x14ac:dyDescent="0.25">
      <c r="A65" s="22"/>
      <c r="B65" s="108" t="s">
        <v>2</v>
      </c>
      <c r="C65" s="113" t="s">
        <v>189</v>
      </c>
      <c r="D65" s="113" t="s">
        <v>189</v>
      </c>
      <c r="E65" s="3">
        <v>0.2843</v>
      </c>
      <c r="F65" s="3">
        <v>0.26</v>
      </c>
      <c r="G65" s="90" t="s">
        <v>3</v>
      </c>
      <c r="H65" s="4" t="s">
        <v>206</v>
      </c>
      <c r="I65" s="1" t="s">
        <v>14</v>
      </c>
    </row>
    <row r="66" spans="1:9" x14ac:dyDescent="0.25">
      <c r="A66" s="22"/>
      <c r="B66" s="109" t="s">
        <v>139</v>
      </c>
      <c r="C66" s="112" t="s">
        <v>189</v>
      </c>
      <c r="D66" s="112" t="s">
        <v>189</v>
      </c>
      <c r="E66" s="3">
        <v>0.27910000000000001</v>
      </c>
      <c r="F66" s="3">
        <v>0.28000000000000003</v>
      </c>
      <c r="G66" s="90" t="s">
        <v>4</v>
      </c>
      <c r="H66" s="4" t="s">
        <v>62</v>
      </c>
      <c r="I66" s="1" t="s">
        <v>15</v>
      </c>
    </row>
    <row r="67" spans="1:9" ht="27.6" x14ac:dyDescent="0.25">
      <c r="A67" s="22"/>
      <c r="B67" s="108" t="s">
        <v>9</v>
      </c>
      <c r="C67" s="113" t="s">
        <v>189</v>
      </c>
      <c r="D67" s="113" t="s">
        <v>189</v>
      </c>
      <c r="E67" s="3">
        <v>9.7299999999999998E-2</v>
      </c>
      <c r="F67" s="3">
        <v>0.1</v>
      </c>
      <c r="G67" s="91" t="s">
        <v>3</v>
      </c>
      <c r="H67" s="9" t="s">
        <v>49</v>
      </c>
      <c r="I67" s="1" t="s">
        <v>16</v>
      </c>
    </row>
    <row r="68" spans="1:9" x14ac:dyDescent="0.25">
      <c r="A68" s="22"/>
      <c r="B68" s="108" t="s">
        <v>10</v>
      </c>
      <c r="C68" s="113" t="s">
        <v>189</v>
      </c>
      <c r="D68" s="113" t="s">
        <v>189</v>
      </c>
      <c r="E68" s="3">
        <v>4.3799999999999999E-2</v>
      </c>
      <c r="F68" s="3">
        <v>7.0000000000000007E-2</v>
      </c>
      <c r="G68" s="91" t="s">
        <v>3</v>
      </c>
      <c r="H68" s="9" t="s">
        <v>50</v>
      </c>
      <c r="I68" s="1" t="s">
        <v>17</v>
      </c>
    </row>
    <row r="69" spans="1:9" x14ac:dyDescent="0.25">
      <c r="A69" s="22"/>
      <c r="B69" s="108" t="s">
        <v>11</v>
      </c>
      <c r="C69" s="113" t="s">
        <v>189</v>
      </c>
      <c r="D69" s="113" t="s">
        <v>189</v>
      </c>
      <c r="E69" s="3">
        <v>1.1999999999999999E-3</v>
      </c>
      <c r="F69" s="3">
        <v>0.05</v>
      </c>
      <c r="G69" s="91" t="s">
        <v>3</v>
      </c>
      <c r="H69" s="9" t="s">
        <v>51</v>
      </c>
      <c r="I69" s="1" t="s">
        <v>18</v>
      </c>
    </row>
    <row r="70" spans="1:9" x14ac:dyDescent="0.25">
      <c r="A70" s="22"/>
      <c r="B70" s="108" t="s">
        <v>21</v>
      </c>
      <c r="C70" s="113" t="s">
        <v>189</v>
      </c>
      <c r="D70" s="113" t="s">
        <v>189</v>
      </c>
      <c r="E70" s="3">
        <v>3.9300000000000002E-2</v>
      </c>
      <c r="F70" s="3">
        <v>0.05</v>
      </c>
      <c r="G70" s="91" t="s">
        <v>3</v>
      </c>
      <c r="H70" s="9" t="s">
        <v>51</v>
      </c>
      <c r="I70" s="1" t="s">
        <v>18</v>
      </c>
    </row>
    <row r="71" spans="1:9" x14ac:dyDescent="0.25">
      <c r="A71" s="22"/>
      <c r="B71" s="108" t="s">
        <v>12</v>
      </c>
      <c r="C71" s="113" t="s">
        <v>189</v>
      </c>
      <c r="D71" s="113" t="s">
        <v>189</v>
      </c>
      <c r="E71" s="3">
        <v>0.16139999999999999</v>
      </c>
      <c r="F71" s="3">
        <v>0.15</v>
      </c>
      <c r="G71" s="90" t="s">
        <v>3</v>
      </c>
      <c r="H71" s="9" t="s">
        <v>52</v>
      </c>
      <c r="I71" s="9" t="s">
        <v>18</v>
      </c>
    </row>
    <row r="72" spans="1:9" x14ac:dyDescent="0.25">
      <c r="A72" s="22"/>
      <c r="B72" s="108" t="s">
        <v>13</v>
      </c>
      <c r="C72" s="113" t="s">
        <v>189</v>
      </c>
      <c r="D72" s="113" t="s">
        <v>189</v>
      </c>
      <c r="E72" s="3">
        <v>3.1800000000000002E-2</v>
      </c>
      <c r="F72" s="3">
        <v>0.05</v>
      </c>
      <c r="G72" s="90" t="s">
        <v>3</v>
      </c>
      <c r="H72" s="10" t="s">
        <v>51</v>
      </c>
      <c r="I72" s="136" t="s">
        <v>189</v>
      </c>
    </row>
    <row r="73" spans="1:9" x14ac:dyDescent="0.25">
      <c r="A73" s="22"/>
      <c r="B73" s="110" t="s">
        <v>5</v>
      </c>
      <c r="C73" s="114" t="s">
        <v>189</v>
      </c>
      <c r="D73" s="114" t="s">
        <v>189</v>
      </c>
      <c r="E73" s="103">
        <f>SUBTOTAL(109,E64:E72)</f>
        <v>1.2392000000000003</v>
      </c>
      <c r="F73" s="103">
        <f>SUBTOTAL(109,F64:F72)</f>
        <v>1.27</v>
      </c>
      <c r="G73" s="121" t="s">
        <v>189</v>
      </c>
      <c r="H73" s="122" t="s">
        <v>189</v>
      </c>
      <c r="I73" s="116" t="s">
        <v>189</v>
      </c>
    </row>
    <row r="74" spans="1:9" x14ac:dyDescent="0.25">
      <c r="A74" s="22"/>
      <c r="B74" s="108" t="s">
        <v>6</v>
      </c>
      <c r="C74" s="113" t="s">
        <v>189</v>
      </c>
      <c r="D74" s="113" t="s">
        <v>189</v>
      </c>
      <c r="E74" s="3">
        <v>0.17269999999999999</v>
      </c>
      <c r="F74" s="3">
        <v>0.18</v>
      </c>
      <c r="G74" s="90" t="s">
        <v>4</v>
      </c>
      <c r="H74" s="9" t="s">
        <v>207</v>
      </c>
      <c r="I74" s="1" t="s">
        <v>19</v>
      </c>
    </row>
    <row r="75" spans="1:9" x14ac:dyDescent="0.25">
      <c r="A75" s="23"/>
      <c r="B75" s="110" t="s">
        <v>230</v>
      </c>
      <c r="C75" s="114" t="s">
        <v>189</v>
      </c>
      <c r="D75" s="114" t="s">
        <v>189</v>
      </c>
      <c r="E75" s="12">
        <v>2.5000000000000001E-3</v>
      </c>
      <c r="F75" s="150" t="s">
        <v>189</v>
      </c>
      <c r="G75" s="135" t="s">
        <v>189</v>
      </c>
      <c r="H75" s="135" t="s">
        <v>189</v>
      </c>
      <c r="I75" s="176" t="s">
        <v>189</v>
      </c>
    </row>
    <row r="76" spans="1:9" x14ac:dyDescent="0.25">
      <c r="A76" s="20"/>
      <c r="B76" s="17"/>
      <c r="C76" s="17"/>
      <c r="D76" s="17"/>
      <c r="E76" s="19"/>
      <c r="F76" s="18"/>
      <c r="G76" s="92"/>
      <c r="H76" s="19"/>
      <c r="I76" s="175"/>
    </row>
    <row r="77" spans="1:9" ht="41.4" x14ac:dyDescent="0.25">
      <c r="A77" s="30" t="s">
        <v>67</v>
      </c>
      <c r="B77" s="38" t="s">
        <v>38</v>
      </c>
      <c r="C77" s="38"/>
      <c r="D77" s="38"/>
      <c r="E77" s="39"/>
      <c r="F77" s="40"/>
      <c r="G77" s="95"/>
      <c r="H77" s="39"/>
      <c r="I77" s="41"/>
    </row>
    <row r="78" spans="1:9" ht="22.8" x14ac:dyDescent="0.25">
      <c r="A78" s="30"/>
      <c r="B78" s="43" t="s">
        <v>42</v>
      </c>
      <c r="C78" s="43"/>
      <c r="D78" s="43"/>
      <c r="E78" s="39"/>
      <c r="F78" s="40"/>
      <c r="G78" s="95"/>
      <c r="H78" s="39"/>
      <c r="I78" s="41"/>
    </row>
    <row r="79" spans="1:9" ht="22.8" x14ac:dyDescent="0.25">
      <c r="A79" s="30"/>
      <c r="B79" s="43" t="s">
        <v>43</v>
      </c>
      <c r="C79" s="43"/>
      <c r="D79" s="43"/>
      <c r="E79" s="39"/>
      <c r="F79" s="40"/>
      <c r="G79" s="95"/>
      <c r="H79" s="39"/>
      <c r="I79" s="41"/>
    </row>
    <row r="80" spans="1:9" ht="31.2" x14ac:dyDescent="0.25">
      <c r="A80" s="31"/>
      <c r="B80" s="125" t="s">
        <v>0</v>
      </c>
      <c r="C80" s="124" t="s">
        <v>228</v>
      </c>
      <c r="D80" s="124" t="s">
        <v>227</v>
      </c>
      <c r="E80" s="124" t="s">
        <v>226</v>
      </c>
      <c r="F80" s="124" t="s">
        <v>200</v>
      </c>
      <c r="G80" s="125" t="s">
        <v>30</v>
      </c>
      <c r="H80" s="125" t="s">
        <v>20</v>
      </c>
      <c r="I80" s="125" t="s">
        <v>35</v>
      </c>
    </row>
    <row r="81" spans="1:9" x14ac:dyDescent="0.25">
      <c r="A81" s="33"/>
      <c r="B81" s="150" t="s">
        <v>189</v>
      </c>
      <c r="C81" s="150" t="s">
        <v>189</v>
      </c>
      <c r="D81" s="150" t="s">
        <v>189</v>
      </c>
      <c r="E81" s="150" t="s">
        <v>189</v>
      </c>
      <c r="F81" s="150" t="s">
        <v>189</v>
      </c>
      <c r="G81" s="150" t="s">
        <v>189</v>
      </c>
      <c r="H81" s="150" t="s">
        <v>189</v>
      </c>
      <c r="I81" s="150" t="s">
        <v>189</v>
      </c>
    </row>
    <row r="82" spans="1:9" x14ac:dyDescent="0.25">
      <c r="A82" s="32"/>
      <c r="B82" s="2" t="s">
        <v>2</v>
      </c>
      <c r="C82" s="3">
        <v>0.28270000000000001</v>
      </c>
      <c r="D82" s="3">
        <v>0.28960000000000002</v>
      </c>
      <c r="E82" s="3">
        <v>0.2969</v>
      </c>
      <c r="F82" s="3">
        <v>0.3</v>
      </c>
      <c r="G82" s="90" t="s">
        <v>24</v>
      </c>
      <c r="H82" s="4" t="s">
        <v>60</v>
      </c>
      <c r="I82" s="1" t="s">
        <v>14</v>
      </c>
    </row>
    <row r="83" spans="1:9" x14ac:dyDescent="0.25">
      <c r="A83" s="33"/>
      <c r="B83" s="72" t="s">
        <v>139</v>
      </c>
      <c r="C83" s="3">
        <v>3.8600000000000002E-2</v>
      </c>
      <c r="D83" s="3">
        <v>3.9199999999999999E-2</v>
      </c>
      <c r="E83" s="3">
        <v>4.3900000000000002E-2</v>
      </c>
      <c r="F83" s="3">
        <v>0.06</v>
      </c>
      <c r="G83" s="90" t="s">
        <v>23</v>
      </c>
      <c r="H83" s="4" t="s">
        <v>58</v>
      </c>
      <c r="I83" s="1" t="s">
        <v>15</v>
      </c>
    </row>
    <row r="84" spans="1:9" ht="27.6" x14ac:dyDescent="0.25">
      <c r="A84" s="33"/>
      <c r="B84" s="2" t="s">
        <v>9</v>
      </c>
      <c r="C84" s="3">
        <v>4.6199999999999998E-2</v>
      </c>
      <c r="D84" s="3">
        <v>3.5799999999999998E-2</v>
      </c>
      <c r="E84" s="3">
        <v>3.5000000000000003E-2</v>
      </c>
      <c r="F84" s="3">
        <v>0.05</v>
      </c>
      <c r="G84" s="91" t="s">
        <v>24</v>
      </c>
      <c r="H84" s="9" t="s">
        <v>51</v>
      </c>
      <c r="I84" s="1" t="s">
        <v>16</v>
      </c>
    </row>
    <row r="85" spans="1:9" x14ac:dyDescent="0.25">
      <c r="A85" s="33"/>
      <c r="B85" s="2" t="s">
        <v>10</v>
      </c>
      <c r="C85" s="3">
        <v>1.6000000000000001E-3</v>
      </c>
      <c r="D85" s="3">
        <v>1.6000000000000001E-3</v>
      </c>
      <c r="E85" s="3">
        <v>1.4E-3</v>
      </c>
      <c r="F85" s="3">
        <v>0.05</v>
      </c>
      <c r="G85" s="91" t="s">
        <v>24</v>
      </c>
      <c r="H85" s="9" t="s">
        <v>51</v>
      </c>
      <c r="I85" s="1" t="s">
        <v>17</v>
      </c>
    </row>
    <row r="86" spans="1:9" x14ac:dyDescent="0.25">
      <c r="A86" s="33"/>
      <c r="B86" s="2" t="s">
        <v>11</v>
      </c>
      <c r="C86" s="3">
        <v>0</v>
      </c>
      <c r="D86" s="3">
        <v>8.9999999999999998E-4</v>
      </c>
      <c r="E86" s="3">
        <v>5.9999999999999995E-4</v>
      </c>
      <c r="F86" s="3">
        <v>0.05</v>
      </c>
      <c r="G86" s="91" t="s">
        <v>24</v>
      </c>
      <c r="H86" s="9" t="s">
        <v>51</v>
      </c>
      <c r="I86" s="1" t="s">
        <v>18</v>
      </c>
    </row>
    <row r="87" spans="1:9" x14ac:dyDescent="0.25">
      <c r="A87" s="33"/>
      <c r="B87" s="2" t="s">
        <v>21</v>
      </c>
      <c r="C87" s="3">
        <v>0</v>
      </c>
      <c r="D87" s="3">
        <v>0</v>
      </c>
      <c r="E87" s="3">
        <v>0</v>
      </c>
      <c r="F87" s="3">
        <v>0.05</v>
      </c>
      <c r="G87" s="91" t="s">
        <v>24</v>
      </c>
      <c r="H87" s="9" t="s">
        <v>51</v>
      </c>
      <c r="I87" s="1" t="s">
        <v>18</v>
      </c>
    </row>
    <row r="88" spans="1:9" x14ac:dyDescent="0.25">
      <c r="A88" s="33"/>
      <c r="B88" s="2" t="s">
        <v>12</v>
      </c>
      <c r="C88" s="3">
        <v>0.19520000000000001</v>
      </c>
      <c r="D88" s="3">
        <v>0.20150000000000001</v>
      </c>
      <c r="E88" s="3">
        <v>0.1908</v>
      </c>
      <c r="F88" s="3">
        <v>0.15</v>
      </c>
      <c r="G88" s="90" t="s">
        <v>24</v>
      </c>
      <c r="H88" s="9" t="s">
        <v>52</v>
      </c>
      <c r="I88" s="9" t="s">
        <v>18</v>
      </c>
    </row>
    <row r="89" spans="1:9" x14ac:dyDescent="0.25">
      <c r="A89" s="33"/>
      <c r="B89" s="2" t="s">
        <v>13</v>
      </c>
      <c r="C89" s="3">
        <v>9.1999999999999998E-3</v>
      </c>
      <c r="D89" s="3">
        <v>8.8000000000000005E-3</v>
      </c>
      <c r="E89" s="3">
        <v>2.58E-2</v>
      </c>
      <c r="F89" s="3">
        <v>0.05</v>
      </c>
      <c r="G89" s="90" t="s">
        <v>24</v>
      </c>
      <c r="H89" s="10" t="s">
        <v>51</v>
      </c>
      <c r="I89" s="136" t="s">
        <v>189</v>
      </c>
    </row>
    <row r="90" spans="1:9" x14ac:dyDescent="0.25">
      <c r="A90" s="33"/>
      <c r="B90" s="28" t="s">
        <v>5</v>
      </c>
      <c r="C90" s="103">
        <f>SUBTOTAL(109,C81:C89)</f>
        <v>0.57350000000000001</v>
      </c>
      <c r="D90" s="103">
        <f t="shared" ref="D90:F90" si="0">SUBTOTAL(109,D81:D89)</f>
        <v>0.57740000000000002</v>
      </c>
      <c r="E90" s="103">
        <f t="shared" si="0"/>
        <v>0.59440000000000004</v>
      </c>
      <c r="F90" s="103">
        <f t="shared" si="0"/>
        <v>0.76000000000000012</v>
      </c>
      <c r="G90" s="121" t="s">
        <v>189</v>
      </c>
      <c r="H90" s="116" t="s">
        <v>189</v>
      </c>
      <c r="I90" s="116" t="s">
        <v>189</v>
      </c>
    </row>
    <row r="91" spans="1:9" x14ac:dyDescent="0.25">
      <c r="A91" s="33"/>
      <c r="B91" s="2" t="s">
        <v>6</v>
      </c>
      <c r="C91" s="11">
        <v>0.2351</v>
      </c>
      <c r="D91" s="11">
        <v>0.22620000000000001</v>
      </c>
      <c r="E91" s="11">
        <v>0.2379</v>
      </c>
      <c r="F91" s="11">
        <v>0.22</v>
      </c>
      <c r="G91" s="90" t="s">
        <v>23</v>
      </c>
      <c r="H91" s="9" t="s">
        <v>53</v>
      </c>
      <c r="I91" s="1" t="s">
        <v>19</v>
      </c>
    </row>
    <row r="92" spans="1:9" x14ac:dyDescent="0.25">
      <c r="A92" s="33"/>
      <c r="B92" s="28" t="s">
        <v>230</v>
      </c>
      <c r="C92" s="12">
        <v>1.4E-3</v>
      </c>
      <c r="D92" s="12">
        <v>1.4E-3</v>
      </c>
      <c r="E92" s="12">
        <v>1.1999999999999999E-3</v>
      </c>
      <c r="F92" s="150" t="s">
        <v>189</v>
      </c>
      <c r="G92" s="143" t="s">
        <v>189</v>
      </c>
      <c r="H92" s="144" t="s">
        <v>189</v>
      </c>
      <c r="I92" s="154" t="s">
        <v>189</v>
      </c>
    </row>
    <row r="93" spans="1:9" x14ac:dyDescent="0.25">
      <c r="A93" s="20"/>
      <c r="B93" s="17"/>
      <c r="C93" s="17"/>
      <c r="D93" s="17"/>
      <c r="E93" s="19"/>
      <c r="F93" s="18"/>
      <c r="G93" s="92"/>
      <c r="H93" s="19"/>
      <c r="I93" s="175"/>
    </row>
    <row r="94" spans="1:9" ht="41.4" x14ac:dyDescent="0.25">
      <c r="A94" s="30" t="s">
        <v>68</v>
      </c>
      <c r="B94" s="38" t="s">
        <v>39</v>
      </c>
      <c r="C94" s="38"/>
      <c r="D94" s="38"/>
      <c r="E94" s="39"/>
      <c r="F94" s="40"/>
      <c r="G94" s="95"/>
      <c r="H94" s="39"/>
      <c r="I94" s="41"/>
    </row>
    <row r="95" spans="1:9" ht="22.8" x14ac:dyDescent="0.25">
      <c r="A95" s="30"/>
      <c r="B95" s="43" t="s">
        <v>40</v>
      </c>
      <c r="C95" s="43"/>
      <c r="D95" s="43"/>
      <c r="E95" s="39"/>
      <c r="F95" s="40"/>
      <c r="G95" s="95"/>
      <c r="H95" s="39"/>
      <c r="I95" s="41"/>
    </row>
    <row r="96" spans="1:9" ht="22.8" x14ac:dyDescent="0.25">
      <c r="A96" s="30"/>
      <c r="B96" s="43" t="s">
        <v>41</v>
      </c>
      <c r="C96" s="43"/>
      <c r="D96" s="43"/>
      <c r="E96" s="39"/>
      <c r="F96" s="40"/>
      <c r="G96" s="95"/>
      <c r="H96" s="39"/>
      <c r="I96" s="41"/>
    </row>
    <row r="97" spans="1:9" ht="31.2" x14ac:dyDescent="0.25">
      <c r="A97" s="31"/>
      <c r="B97" s="123" t="s">
        <v>0</v>
      </c>
      <c r="C97" s="124" t="s">
        <v>228</v>
      </c>
      <c r="D97" s="124" t="s">
        <v>227</v>
      </c>
      <c r="E97" s="124" t="s">
        <v>226</v>
      </c>
      <c r="F97" s="124" t="s">
        <v>200</v>
      </c>
      <c r="G97" s="125" t="s">
        <v>30</v>
      </c>
      <c r="H97" s="125" t="s">
        <v>20</v>
      </c>
      <c r="I97" s="125" t="s">
        <v>35</v>
      </c>
    </row>
    <row r="98" spans="1:9" x14ac:dyDescent="0.25">
      <c r="A98" s="33"/>
      <c r="B98" s="150" t="s">
        <v>189</v>
      </c>
      <c r="C98" s="150" t="s">
        <v>189</v>
      </c>
      <c r="D98" s="150" t="s">
        <v>189</v>
      </c>
      <c r="E98" s="150" t="s">
        <v>189</v>
      </c>
      <c r="F98" s="150" t="s">
        <v>189</v>
      </c>
      <c r="G98" s="150" t="s">
        <v>189</v>
      </c>
      <c r="H98" s="150" t="s">
        <v>189</v>
      </c>
      <c r="I98" s="150" t="s">
        <v>189</v>
      </c>
    </row>
    <row r="99" spans="1:9" x14ac:dyDescent="0.25">
      <c r="A99" s="32"/>
      <c r="B99" s="2" t="s">
        <v>2</v>
      </c>
      <c r="C99" s="5">
        <v>9.7600000000000006E-2</v>
      </c>
      <c r="D99" s="5">
        <v>8.9200000000000002E-2</v>
      </c>
      <c r="E99" s="5">
        <v>9.6100000000000005E-2</v>
      </c>
      <c r="F99" s="5">
        <v>0.1</v>
      </c>
      <c r="G99" s="90" t="s">
        <v>24</v>
      </c>
      <c r="H99" s="4" t="s">
        <v>49</v>
      </c>
      <c r="I99" s="1" t="s">
        <v>14</v>
      </c>
    </row>
    <row r="100" spans="1:9" x14ac:dyDescent="0.25">
      <c r="A100" s="33"/>
      <c r="B100" s="72" t="s">
        <v>139</v>
      </c>
      <c r="C100" s="5">
        <v>0.76659999999999995</v>
      </c>
      <c r="D100" s="5">
        <v>0.78290000000000004</v>
      </c>
      <c r="E100" s="5">
        <v>0.77100000000000002</v>
      </c>
      <c r="F100" s="5">
        <v>0.8</v>
      </c>
      <c r="G100" s="90" t="s">
        <v>23</v>
      </c>
      <c r="H100" s="4" t="s">
        <v>131</v>
      </c>
      <c r="I100" s="1" t="s">
        <v>15</v>
      </c>
    </row>
    <row r="101" spans="1:9" ht="27.6" x14ac:dyDescent="0.25">
      <c r="A101" s="33"/>
      <c r="B101" s="184" t="s">
        <v>9</v>
      </c>
      <c r="C101" s="5">
        <v>1.2E-2</v>
      </c>
      <c r="D101" s="5">
        <v>1.52E-2</v>
      </c>
      <c r="E101" s="5">
        <v>1.2200000000000001E-2</v>
      </c>
      <c r="F101" s="5">
        <v>0.05</v>
      </c>
      <c r="G101" s="91" t="s">
        <v>24</v>
      </c>
      <c r="H101" s="9" t="s">
        <v>51</v>
      </c>
      <c r="I101" s="1" t="s">
        <v>16</v>
      </c>
    </row>
    <row r="102" spans="1:9" x14ac:dyDescent="0.25">
      <c r="A102" s="33"/>
      <c r="B102" s="184" t="s">
        <v>10</v>
      </c>
      <c r="C102" s="5">
        <v>1.6400000000000001E-2</v>
      </c>
      <c r="D102" s="5">
        <v>1.8800000000000001E-2</v>
      </c>
      <c r="E102" s="5">
        <v>1.4E-2</v>
      </c>
      <c r="F102" s="5">
        <v>0.05</v>
      </c>
      <c r="G102" s="91" t="s">
        <v>24</v>
      </c>
      <c r="H102" s="9" t="s">
        <v>51</v>
      </c>
      <c r="I102" s="1" t="s">
        <v>17</v>
      </c>
    </row>
    <row r="103" spans="1:9" x14ac:dyDescent="0.25">
      <c r="A103" s="33"/>
      <c r="B103" s="184" t="s">
        <v>11</v>
      </c>
      <c r="C103" s="5">
        <v>0</v>
      </c>
      <c r="D103" s="5">
        <v>0</v>
      </c>
      <c r="E103" s="5">
        <v>0</v>
      </c>
      <c r="F103" s="5">
        <v>0.05</v>
      </c>
      <c r="G103" s="91" t="s">
        <v>24</v>
      </c>
      <c r="H103" s="9" t="s">
        <v>51</v>
      </c>
      <c r="I103" s="1" t="s">
        <v>18</v>
      </c>
    </row>
    <row r="104" spans="1:9" x14ac:dyDescent="0.25">
      <c r="A104" s="33"/>
      <c r="B104" s="184" t="s">
        <v>21</v>
      </c>
      <c r="C104" s="3">
        <v>0</v>
      </c>
      <c r="D104" s="5">
        <v>0</v>
      </c>
      <c r="E104" s="3">
        <v>0</v>
      </c>
      <c r="F104" s="5">
        <v>0.05</v>
      </c>
      <c r="G104" s="91" t="s">
        <v>24</v>
      </c>
      <c r="H104" s="9" t="s">
        <v>51</v>
      </c>
      <c r="I104" s="1" t="s">
        <v>18</v>
      </c>
    </row>
    <row r="105" spans="1:9" x14ac:dyDescent="0.25">
      <c r="A105" s="33"/>
      <c r="B105" s="2" t="s">
        <v>12</v>
      </c>
      <c r="C105" s="5">
        <v>6.4600000000000005E-2</v>
      </c>
      <c r="D105" s="5">
        <v>4.8500000000000001E-2</v>
      </c>
      <c r="E105" s="5">
        <v>6.5500000000000003E-2</v>
      </c>
      <c r="F105" s="5">
        <v>0.05</v>
      </c>
      <c r="G105" s="90" t="s">
        <v>24</v>
      </c>
      <c r="H105" s="9" t="s">
        <v>51</v>
      </c>
      <c r="I105" s="9" t="s">
        <v>18</v>
      </c>
    </row>
    <row r="106" spans="1:9" x14ac:dyDescent="0.25">
      <c r="A106" s="33"/>
      <c r="B106" s="2" t="s">
        <v>13</v>
      </c>
      <c r="C106" s="3">
        <v>3.0000000000000001E-3</v>
      </c>
      <c r="D106" s="5">
        <v>2.0999999999999999E-3</v>
      </c>
      <c r="E106" s="3">
        <v>1.4E-3</v>
      </c>
      <c r="F106" s="3">
        <v>0.05</v>
      </c>
      <c r="G106" s="90" t="s">
        <v>24</v>
      </c>
      <c r="H106" s="10" t="s">
        <v>51</v>
      </c>
      <c r="I106" s="136" t="s">
        <v>189</v>
      </c>
    </row>
    <row r="107" spans="1:9" x14ac:dyDescent="0.25">
      <c r="A107" s="33"/>
      <c r="B107" s="28" t="s">
        <v>5</v>
      </c>
      <c r="C107" s="103">
        <f>SUBTOTAL(109,C98:C106)</f>
        <v>0.96019999999999994</v>
      </c>
      <c r="D107" s="103">
        <f t="shared" ref="D107:F107" si="1">SUBTOTAL(109,D98:D106)</f>
        <v>0.95670000000000011</v>
      </c>
      <c r="E107" s="103">
        <f t="shared" si="1"/>
        <v>0.96019999999999994</v>
      </c>
      <c r="F107" s="103">
        <f t="shared" si="1"/>
        <v>1.2000000000000002</v>
      </c>
      <c r="G107" s="121" t="s">
        <v>189</v>
      </c>
      <c r="H107" s="122" t="s">
        <v>189</v>
      </c>
      <c r="I107" s="116" t="s">
        <v>189</v>
      </c>
    </row>
    <row r="108" spans="1:9" x14ac:dyDescent="0.25">
      <c r="A108" s="33"/>
      <c r="B108" s="2" t="s">
        <v>6</v>
      </c>
      <c r="C108" s="11">
        <v>5.6899999999999999E-2</v>
      </c>
      <c r="D108" s="11">
        <v>5.5399999999999998E-2</v>
      </c>
      <c r="E108" s="11">
        <v>5.0500000000000003E-2</v>
      </c>
      <c r="F108" s="11">
        <v>0.08</v>
      </c>
      <c r="G108" s="90" t="s">
        <v>23</v>
      </c>
      <c r="H108" s="9" t="s">
        <v>59</v>
      </c>
      <c r="I108" s="1" t="s">
        <v>19</v>
      </c>
    </row>
    <row r="109" spans="1:9" x14ac:dyDescent="0.25">
      <c r="A109" s="33"/>
      <c r="B109" s="110" t="s">
        <v>230</v>
      </c>
      <c r="C109" s="12">
        <v>1E-3</v>
      </c>
      <c r="D109" s="12">
        <v>1E-3</v>
      </c>
      <c r="E109" s="12">
        <v>1E-3</v>
      </c>
      <c r="F109" s="150" t="s">
        <v>189</v>
      </c>
      <c r="G109" s="143" t="s">
        <v>189</v>
      </c>
      <c r="H109" s="144" t="s">
        <v>189</v>
      </c>
      <c r="I109" s="154" t="s">
        <v>189</v>
      </c>
    </row>
    <row r="110" spans="1:9" x14ac:dyDescent="0.25">
      <c r="A110" s="20"/>
      <c r="B110" s="17"/>
      <c r="C110" s="17"/>
      <c r="D110" s="17"/>
      <c r="E110" s="19"/>
      <c r="F110" s="18"/>
      <c r="G110" s="92"/>
      <c r="H110" s="19"/>
      <c r="I110" s="175"/>
    </row>
    <row r="111" spans="1:9" ht="69" x14ac:dyDescent="0.25">
      <c r="A111" s="30" t="s">
        <v>69</v>
      </c>
      <c r="B111" s="38" t="s">
        <v>44</v>
      </c>
      <c r="C111" s="38"/>
      <c r="D111" s="38"/>
      <c r="E111" s="39"/>
      <c r="F111" s="40"/>
      <c r="G111" s="95"/>
      <c r="H111" s="39"/>
      <c r="I111" s="41"/>
    </row>
    <row r="112" spans="1:9" ht="22.8" x14ac:dyDescent="0.25">
      <c r="A112" s="30"/>
      <c r="B112" s="43" t="s">
        <v>45</v>
      </c>
      <c r="C112" s="43"/>
      <c r="D112" s="43"/>
      <c r="E112" s="39"/>
      <c r="F112" s="40"/>
      <c r="G112" s="95"/>
      <c r="H112" s="39"/>
      <c r="I112" s="41"/>
    </row>
    <row r="113" spans="1:9" ht="31.2" x14ac:dyDescent="0.25">
      <c r="A113" s="31"/>
      <c r="B113" s="13" t="s">
        <v>0</v>
      </c>
      <c r="C113" s="111" t="s">
        <v>189</v>
      </c>
      <c r="D113" s="64" t="s">
        <v>229</v>
      </c>
      <c r="E113" s="15" t="s">
        <v>226</v>
      </c>
      <c r="F113" s="15" t="s">
        <v>200</v>
      </c>
      <c r="G113" s="14" t="s">
        <v>30</v>
      </c>
      <c r="H113" s="14" t="s">
        <v>20</v>
      </c>
      <c r="I113" s="14" t="s">
        <v>35</v>
      </c>
    </row>
    <row r="114" spans="1:9" ht="55.2" x14ac:dyDescent="0.25">
      <c r="A114" s="33"/>
      <c r="B114" s="108" t="s">
        <v>140</v>
      </c>
      <c r="C114" s="112" t="s">
        <v>189</v>
      </c>
      <c r="D114" s="5">
        <v>0.24879999999999999</v>
      </c>
      <c r="E114" s="5">
        <v>0.23849999999999999</v>
      </c>
      <c r="F114" s="5">
        <v>0.24</v>
      </c>
      <c r="G114" s="185" t="s">
        <v>23</v>
      </c>
      <c r="H114" s="7" t="s">
        <v>63</v>
      </c>
      <c r="I114" s="6" t="s">
        <v>223</v>
      </c>
    </row>
    <row r="115" spans="1:9" x14ac:dyDescent="0.25">
      <c r="A115" s="32"/>
      <c r="B115" s="108" t="s">
        <v>2</v>
      </c>
      <c r="C115" s="113" t="s">
        <v>189</v>
      </c>
      <c r="D115" s="3">
        <v>0.27939999999999998</v>
      </c>
      <c r="E115" s="3">
        <v>0.28810000000000002</v>
      </c>
      <c r="F115" s="3">
        <v>0.27</v>
      </c>
      <c r="G115" s="187" t="s">
        <v>24</v>
      </c>
      <c r="H115" s="4" t="s">
        <v>179</v>
      </c>
      <c r="I115" s="1" t="s">
        <v>14</v>
      </c>
    </row>
    <row r="116" spans="1:9" x14ac:dyDescent="0.25">
      <c r="A116" s="33"/>
      <c r="B116" s="109" t="s">
        <v>139</v>
      </c>
      <c r="C116" s="112" t="s">
        <v>189</v>
      </c>
      <c r="D116" s="3">
        <v>0.33810000000000001</v>
      </c>
      <c r="E116" s="3">
        <v>0.33660000000000001</v>
      </c>
      <c r="F116" s="3">
        <v>0.35</v>
      </c>
      <c r="G116" s="187" t="s">
        <v>23</v>
      </c>
      <c r="H116" s="4" t="s">
        <v>119</v>
      </c>
      <c r="I116" s="1" t="s">
        <v>15</v>
      </c>
    </row>
    <row r="117" spans="1:9" ht="27.6" x14ac:dyDescent="0.25">
      <c r="A117" s="33"/>
      <c r="B117" s="166" t="s">
        <v>9</v>
      </c>
      <c r="C117" s="113" t="s">
        <v>189</v>
      </c>
      <c r="D117" s="3">
        <v>8.1000000000000003E-2</v>
      </c>
      <c r="E117" s="3">
        <v>5.8099999999999999E-2</v>
      </c>
      <c r="F117" s="3">
        <v>7.0000000000000007E-2</v>
      </c>
      <c r="G117" s="188" t="s">
        <v>24</v>
      </c>
      <c r="H117" s="4" t="s">
        <v>50</v>
      </c>
      <c r="I117" s="1" t="s">
        <v>16</v>
      </c>
    </row>
    <row r="118" spans="1:9" x14ac:dyDescent="0.25">
      <c r="A118" s="33"/>
      <c r="B118" s="166" t="s">
        <v>10</v>
      </c>
      <c r="C118" s="113" t="s">
        <v>189</v>
      </c>
      <c r="D118" s="3">
        <v>3.95E-2</v>
      </c>
      <c r="E118" s="3">
        <v>4.4400000000000002E-2</v>
      </c>
      <c r="F118" s="3">
        <v>0.05</v>
      </c>
      <c r="G118" s="188" t="s">
        <v>24</v>
      </c>
      <c r="H118" s="4" t="s">
        <v>51</v>
      </c>
      <c r="I118" s="1" t="s">
        <v>17</v>
      </c>
    </row>
    <row r="119" spans="1:9" x14ac:dyDescent="0.25">
      <c r="A119" s="33"/>
      <c r="B119" s="166" t="s">
        <v>11</v>
      </c>
      <c r="C119" s="113" t="s">
        <v>189</v>
      </c>
      <c r="D119" s="3">
        <v>0</v>
      </c>
      <c r="E119" s="3">
        <v>0</v>
      </c>
      <c r="F119" s="3">
        <v>0.05</v>
      </c>
      <c r="G119" s="188" t="s">
        <v>24</v>
      </c>
      <c r="H119" s="4" t="s">
        <v>51</v>
      </c>
      <c r="I119" s="1" t="s">
        <v>18</v>
      </c>
    </row>
    <row r="120" spans="1:9" x14ac:dyDescent="0.25">
      <c r="A120" s="33"/>
      <c r="B120" s="166" t="s">
        <v>21</v>
      </c>
      <c r="C120" s="113" t="s">
        <v>189</v>
      </c>
      <c r="D120" s="3">
        <v>0</v>
      </c>
      <c r="E120" s="3">
        <v>0</v>
      </c>
      <c r="F120" s="3">
        <v>0.05</v>
      </c>
      <c r="G120" s="188" t="s">
        <v>24</v>
      </c>
      <c r="H120" s="4" t="s">
        <v>51</v>
      </c>
      <c r="I120" s="1" t="s">
        <v>18</v>
      </c>
    </row>
    <row r="121" spans="1:9" x14ac:dyDescent="0.25">
      <c r="A121" s="33"/>
      <c r="B121" s="166" t="s">
        <v>12</v>
      </c>
      <c r="C121" s="113" t="s">
        <v>189</v>
      </c>
      <c r="D121" s="3">
        <v>0.16520000000000001</v>
      </c>
      <c r="E121" s="3">
        <v>0.16619999999999999</v>
      </c>
      <c r="F121" s="3">
        <v>0.12</v>
      </c>
      <c r="G121" s="187" t="s">
        <v>24</v>
      </c>
      <c r="H121" s="4" t="s">
        <v>56</v>
      </c>
      <c r="I121" s="9" t="s">
        <v>18</v>
      </c>
    </row>
    <row r="122" spans="1:9" x14ac:dyDescent="0.25">
      <c r="A122" s="33"/>
      <c r="B122" s="166" t="s">
        <v>13</v>
      </c>
      <c r="C122" s="113" t="s">
        <v>189</v>
      </c>
      <c r="D122" s="3">
        <v>2.06E-2</v>
      </c>
      <c r="E122" s="3">
        <v>2.1499999999999998E-2</v>
      </c>
      <c r="F122" s="3">
        <v>0.05</v>
      </c>
      <c r="G122" s="187" t="s">
        <v>24</v>
      </c>
      <c r="H122" s="190" t="s">
        <v>51</v>
      </c>
      <c r="I122" s="136" t="s">
        <v>189</v>
      </c>
    </row>
    <row r="123" spans="1:9" x14ac:dyDescent="0.25">
      <c r="A123" s="33"/>
      <c r="B123" s="110" t="s">
        <v>5</v>
      </c>
      <c r="C123" s="114" t="s">
        <v>189</v>
      </c>
      <c r="D123" s="103">
        <f>SUBTOTAL(109,D114:D122)</f>
        <v>1.1726000000000001</v>
      </c>
      <c r="E123" s="103">
        <f t="shared" ref="E123:F123" si="2">SUBTOTAL(109,E114:E122)</f>
        <v>1.1534</v>
      </c>
      <c r="F123" s="103">
        <f t="shared" si="2"/>
        <v>1.2500000000000002</v>
      </c>
      <c r="G123" s="193" t="s">
        <v>189</v>
      </c>
      <c r="H123" s="194" t="s">
        <v>189</v>
      </c>
      <c r="I123" s="116" t="s">
        <v>189</v>
      </c>
    </row>
    <row r="124" spans="1:9" x14ac:dyDescent="0.25">
      <c r="A124" s="33"/>
      <c r="B124" s="108" t="s">
        <v>6</v>
      </c>
      <c r="C124" s="113" t="s">
        <v>189</v>
      </c>
      <c r="D124" s="11">
        <v>0.17860000000000001</v>
      </c>
      <c r="E124" s="11">
        <v>0.17680000000000001</v>
      </c>
      <c r="F124" s="11">
        <v>0.18</v>
      </c>
      <c r="G124" s="187" t="s">
        <v>23</v>
      </c>
      <c r="H124" s="4" t="s">
        <v>207</v>
      </c>
      <c r="I124" s="1" t="s">
        <v>19</v>
      </c>
    </row>
    <row r="125" spans="1:9" x14ac:dyDescent="0.25">
      <c r="A125" s="33"/>
      <c r="B125" s="110" t="s">
        <v>230</v>
      </c>
      <c r="C125" s="114" t="s">
        <v>189</v>
      </c>
      <c r="D125" s="12">
        <v>2.2000000000000001E-3</v>
      </c>
      <c r="E125" s="12">
        <v>1.6999999999999999E-3</v>
      </c>
      <c r="F125" s="150" t="s">
        <v>189</v>
      </c>
      <c r="G125" s="143" t="s">
        <v>189</v>
      </c>
      <c r="H125" s="144" t="s">
        <v>189</v>
      </c>
      <c r="I125" s="154" t="s">
        <v>189</v>
      </c>
    </row>
    <row r="126" spans="1:9" x14ac:dyDescent="0.25">
      <c r="A126" s="20"/>
      <c r="B126" s="17"/>
      <c r="C126" s="17"/>
      <c r="D126" s="17"/>
      <c r="E126" s="19"/>
      <c r="F126" s="18"/>
      <c r="G126" s="92"/>
      <c r="H126" s="19"/>
      <c r="I126" s="175"/>
    </row>
    <row r="127" spans="1:9" ht="41.4" x14ac:dyDescent="0.25">
      <c r="A127" s="30" t="s">
        <v>70</v>
      </c>
      <c r="B127" s="38" t="s">
        <v>71</v>
      </c>
      <c r="C127" s="38"/>
      <c r="D127" s="38"/>
      <c r="E127" s="39"/>
      <c r="F127" s="40"/>
      <c r="G127" s="95"/>
      <c r="H127" s="39"/>
      <c r="I127" s="41"/>
    </row>
    <row r="128" spans="1:9" ht="22.8" x14ac:dyDescent="0.25">
      <c r="A128" s="30"/>
      <c r="B128" s="43" t="s">
        <v>72</v>
      </c>
      <c r="C128" s="43"/>
      <c r="D128" s="43"/>
      <c r="E128" s="39"/>
      <c r="F128" s="40"/>
      <c r="G128" s="95"/>
      <c r="H128" s="39"/>
      <c r="I128" s="41"/>
    </row>
    <row r="129" spans="1:9" ht="22.8" x14ac:dyDescent="0.25">
      <c r="A129" s="30"/>
      <c r="B129" s="43" t="s">
        <v>74</v>
      </c>
      <c r="C129" s="43"/>
      <c r="D129" s="43"/>
      <c r="E129" s="39"/>
      <c r="F129" s="40"/>
      <c r="G129" s="95"/>
      <c r="H129" s="39"/>
      <c r="I129" s="41"/>
    </row>
    <row r="130" spans="1:9" ht="31.2" x14ac:dyDescent="0.25">
      <c r="A130" s="31"/>
      <c r="B130" s="123" t="s">
        <v>0</v>
      </c>
      <c r="C130" s="124" t="s">
        <v>228</v>
      </c>
      <c r="D130" s="124" t="s">
        <v>227</v>
      </c>
      <c r="E130" s="124" t="s">
        <v>226</v>
      </c>
      <c r="F130" s="124" t="s">
        <v>200</v>
      </c>
      <c r="G130" s="125" t="s">
        <v>30</v>
      </c>
      <c r="H130" s="125" t="s">
        <v>20</v>
      </c>
      <c r="I130" s="125" t="s">
        <v>35</v>
      </c>
    </row>
    <row r="131" spans="1:9" x14ac:dyDescent="0.25">
      <c r="A131" s="33"/>
      <c r="B131" s="108" t="s">
        <v>140</v>
      </c>
      <c r="C131" s="127" t="s">
        <v>189</v>
      </c>
      <c r="D131" s="127" t="s">
        <v>189</v>
      </c>
      <c r="E131" s="127" t="s">
        <v>189</v>
      </c>
      <c r="F131" s="127" t="s">
        <v>189</v>
      </c>
      <c r="G131" s="89" t="s">
        <v>23</v>
      </c>
      <c r="H131" s="7" t="s">
        <v>73</v>
      </c>
      <c r="I131" s="155" t="s">
        <v>189</v>
      </c>
    </row>
    <row r="132" spans="1:9" x14ac:dyDescent="0.25">
      <c r="A132" s="32"/>
      <c r="B132" s="108" t="s">
        <v>2</v>
      </c>
      <c r="C132" s="57">
        <v>0.9486</v>
      </c>
      <c r="D132" s="57">
        <v>0.9325</v>
      </c>
      <c r="E132" s="57">
        <v>0.96250000000000002</v>
      </c>
      <c r="F132" s="57">
        <v>0.95</v>
      </c>
      <c r="G132" s="90" t="s">
        <v>24</v>
      </c>
      <c r="H132" s="4" t="s">
        <v>132</v>
      </c>
      <c r="I132" s="1" t="s">
        <v>14</v>
      </c>
    </row>
    <row r="133" spans="1:9" x14ac:dyDescent="0.25">
      <c r="A133" s="33"/>
      <c r="B133" s="109" t="s">
        <v>139</v>
      </c>
      <c r="C133" s="57">
        <v>1.7999999999999999E-2</v>
      </c>
      <c r="D133" s="57">
        <v>2.35E-2</v>
      </c>
      <c r="E133" s="57">
        <v>2.2800000000000001E-2</v>
      </c>
      <c r="F133" s="57">
        <v>0.06</v>
      </c>
      <c r="G133" s="90" t="s">
        <v>23</v>
      </c>
      <c r="H133" s="4" t="s">
        <v>58</v>
      </c>
      <c r="I133" s="153" t="s">
        <v>189</v>
      </c>
    </row>
    <row r="134" spans="1:9" x14ac:dyDescent="0.25">
      <c r="A134" s="33"/>
      <c r="B134" s="166" t="s">
        <v>12</v>
      </c>
      <c r="C134" s="57">
        <v>3.3300000000000003E-2</v>
      </c>
      <c r="D134" s="57">
        <v>4.3900000000000002E-2</v>
      </c>
      <c r="E134" s="57">
        <v>1.47E-2</v>
      </c>
      <c r="F134" s="57">
        <v>0.05</v>
      </c>
      <c r="G134" s="90" t="s">
        <v>24</v>
      </c>
      <c r="H134" s="9" t="s">
        <v>51</v>
      </c>
      <c r="I134" s="9" t="s">
        <v>18</v>
      </c>
    </row>
    <row r="135" spans="1:9" x14ac:dyDescent="0.25">
      <c r="A135" s="33"/>
      <c r="B135" s="110" t="s">
        <v>5</v>
      </c>
      <c r="C135" s="29">
        <f>SUBTOTAL(109,C131:C134)</f>
        <v>0.99990000000000001</v>
      </c>
      <c r="D135" s="29">
        <f t="shared" ref="D135:F135" si="3">SUBTOTAL(109,D131:D134)</f>
        <v>0.99990000000000001</v>
      </c>
      <c r="E135" s="29">
        <f t="shared" si="3"/>
        <v>1</v>
      </c>
      <c r="F135" s="29">
        <f t="shared" si="3"/>
        <v>1.06</v>
      </c>
      <c r="G135" s="121" t="s">
        <v>189</v>
      </c>
      <c r="H135" s="42" t="s">
        <v>73</v>
      </c>
      <c r="I135" s="116" t="s">
        <v>189</v>
      </c>
    </row>
    <row r="136" spans="1:9" x14ac:dyDescent="0.25">
      <c r="A136" s="33"/>
      <c r="B136" s="108" t="s">
        <v>6</v>
      </c>
      <c r="C136" s="149" t="s">
        <v>189</v>
      </c>
      <c r="D136" s="149" t="s">
        <v>189</v>
      </c>
      <c r="E136" s="149">
        <v>0</v>
      </c>
      <c r="F136" s="149" t="s">
        <v>189</v>
      </c>
      <c r="G136" s="90" t="s">
        <v>23</v>
      </c>
      <c r="H136" s="9" t="s">
        <v>73</v>
      </c>
      <c r="I136" s="153" t="s">
        <v>189</v>
      </c>
    </row>
    <row r="137" spans="1:9" x14ac:dyDescent="0.25">
      <c r="A137" s="33"/>
      <c r="B137" s="110" t="s">
        <v>230</v>
      </c>
      <c r="C137" s="12">
        <v>1E-3</v>
      </c>
      <c r="D137" s="12">
        <v>1E-3</v>
      </c>
      <c r="E137" s="12">
        <v>1E-3</v>
      </c>
      <c r="F137" s="150" t="s">
        <v>189</v>
      </c>
      <c r="G137" s="143" t="s">
        <v>189</v>
      </c>
      <c r="H137" s="144" t="s">
        <v>189</v>
      </c>
      <c r="I137" s="154" t="s">
        <v>189</v>
      </c>
    </row>
    <row r="138" spans="1:9" x14ac:dyDescent="0.25">
      <c r="A138" s="20"/>
      <c r="B138" s="17"/>
      <c r="C138" s="17"/>
      <c r="D138" s="17"/>
      <c r="E138" s="19"/>
      <c r="F138" s="18"/>
      <c r="G138" s="92"/>
      <c r="H138" s="19"/>
      <c r="I138" s="175"/>
    </row>
    <row r="139" spans="1:9" ht="55.2" x14ac:dyDescent="0.25">
      <c r="A139" s="44" t="s">
        <v>93</v>
      </c>
      <c r="B139" s="38" t="s">
        <v>75</v>
      </c>
      <c r="C139" s="38"/>
      <c r="D139" s="38"/>
      <c r="E139" s="39"/>
      <c r="F139" s="40"/>
      <c r="G139" s="95"/>
      <c r="H139" s="39"/>
      <c r="I139" s="41"/>
    </row>
    <row r="140" spans="1:9" ht="22.8" x14ac:dyDescent="0.25">
      <c r="A140" s="44"/>
      <c r="B140" s="43" t="s">
        <v>76</v>
      </c>
      <c r="C140" s="43"/>
      <c r="D140" s="43"/>
      <c r="E140" s="39"/>
      <c r="F140" s="40"/>
      <c r="G140" s="95"/>
      <c r="H140" s="39"/>
      <c r="I140" s="41"/>
    </row>
    <row r="141" spans="1:9" ht="22.8" x14ac:dyDescent="0.25">
      <c r="A141" s="44"/>
      <c r="B141" s="43" t="s">
        <v>77</v>
      </c>
      <c r="C141" s="43"/>
      <c r="D141" s="43"/>
      <c r="E141" s="39"/>
      <c r="F141" s="40"/>
      <c r="G141" s="95"/>
      <c r="H141" s="39"/>
      <c r="I141" s="41"/>
    </row>
    <row r="142" spans="1:9" ht="31.2" x14ac:dyDescent="0.25">
      <c r="A142" s="45"/>
      <c r="B142" s="123" t="s">
        <v>0</v>
      </c>
      <c r="C142" s="124" t="s">
        <v>228</v>
      </c>
      <c r="D142" s="124" t="s">
        <v>227</v>
      </c>
      <c r="E142" s="124" t="s">
        <v>226</v>
      </c>
      <c r="F142" s="124" t="s">
        <v>200</v>
      </c>
      <c r="G142" s="125" t="s">
        <v>30</v>
      </c>
      <c r="H142" s="125" t="s">
        <v>20</v>
      </c>
      <c r="I142" s="125" t="s">
        <v>35</v>
      </c>
    </row>
    <row r="143" spans="1:9" ht="27.6" x14ac:dyDescent="0.25">
      <c r="A143" s="47"/>
      <c r="B143" s="108" t="s">
        <v>140</v>
      </c>
      <c r="C143" s="65">
        <v>0.44180000000000003</v>
      </c>
      <c r="D143" s="65">
        <v>0.44169999999999998</v>
      </c>
      <c r="E143" s="65">
        <v>0.44290000000000002</v>
      </c>
      <c r="F143" s="65">
        <v>0.46</v>
      </c>
      <c r="G143" s="89" t="s">
        <v>23</v>
      </c>
      <c r="H143" s="7" t="s">
        <v>48</v>
      </c>
      <c r="I143" s="6" t="s">
        <v>232</v>
      </c>
    </row>
    <row r="144" spans="1:9" x14ac:dyDescent="0.25">
      <c r="A144" s="46"/>
      <c r="B144" s="108" t="s">
        <v>2</v>
      </c>
      <c r="C144" s="57">
        <v>0.24099999999999999</v>
      </c>
      <c r="D144" s="57">
        <v>0.22370000000000001</v>
      </c>
      <c r="E144" s="57">
        <v>0.22009999999999999</v>
      </c>
      <c r="F144" s="57">
        <v>0.2</v>
      </c>
      <c r="G144" s="90" t="s">
        <v>24</v>
      </c>
      <c r="H144" s="4" t="s">
        <v>133</v>
      </c>
      <c r="I144" s="1" t="s">
        <v>14</v>
      </c>
    </row>
    <row r="145" spans="1:9" x14ac:dyDescent="0.25">
      <c r="A145" s="47"/>
      <c r="B145" s="109" t="s">
        <v>139</v>
      </c>
      <c r="C145" s="57">
        <v>0.38790000000000002</v>
      </c>
      <c r="D145" s="57">
        <v>0.36909999999999998</v>
      </c>
      <c r="E145" s="57">
        <v>0.36720000000000003</v>
      </c>
      <c r="F145" s="57">
        <v>0.34</v>
      </c>
      <c r="G145" s="90" t="s">
        <v>23</v>
      </c>
      <c r="H145" s="4" t="s">
        <v>127</v>
      </c>
      <c r="I145" s="1" t="s">
        <v>15</v>
      </c>
    </row>
    <row r="146" spans="1:9" x14ac:dyDescent="0.25">
      <c r="A146" s="47"/>
      <c r="B146" s="108" t="s">
        <v>12</v>
      </c>
      <c r="C146" s="57">
        <v>0.19309999999999999</v>
      </c>
      <c r="D146" s="57">
        <v>0.18629999999999999</v>
      </c>
      <c r="E146" s="57">
        <v>0.1875</v>
      </c>
      <c r="F146" s="57">
        <v>0.15</v>
      </c>
      <c r="G146" s="90" t="s">
        <v>24</v>
      </c>
      <c r="H146" s="9" t="s">
        <v>52</v>
      </c>
      <c r="I146" s="9" t="s">
        <v>18</v>
      </c>
    </row>
    <row r="147" spans="1:9" x14ac:dyDescent="0.25">
      <c r="A147" s="47"/>
      <c r="B147" s="110" t="s">
        <v>5</v>
      </c>
      <c r="C147" s="106">
        <f>SUBTOTAL(109,C143:C146)</f>
        <v>1.2638</v>
      </c>
      <c r="D147" s="106">
        <f t="shared" ref="D147:F147" si="4">SUBTOTAL(109,D143:D146)</f>
        <v>1.2207999999999999</v>
      </c>
      <c r="E147" s="106">
        <f t="shared" si="4"/>
        <v>1.2177</v>
      </c>
      <c r="F147" s="106">
        <f t="shared" si="4"/>
        <v>1.1499999999999999</v>
      </c>
      <c r="G147" s="121" t="s">
        <v>189</v>
      </c>
      <c r="H147" s="122" t="s">
        <v>189</v>
      </c>
      <c r="I147" s="116" t="s">
        <v>189</v>
      </c>
    </row>
    <row r="148" spans="1:9" x14ac:dyDescent="0.25">
      <c r="A148" s="47"/>
      <c r="B148" s="108" t="s">
        <v>6</v>
      </c>
      <c r="C148" s="71">
        <v>0.15659999999999999</v>
      </c>
      <c r="D148" s="71">
        <v>0.1535</v>
      </c>
      <c r="E148" s="71">
        <v>0.15229999999999999</v>
      </c>
      <c r="F148" s="71">
        <v>0.18</v>
      </c>
      <c r="G148" s="90" t="s">
        <v>23</v>
      </c>
      <c r="H148" s="9" t="s">
        <v>207</v>
      </c>
      <c r="I148" s="1" t="s">
        <v>19</v>
      </c>
    </row>
    <row r="149" spans="1:9" x14ac:dyDescent="0.25">
      <c r="A149" s="47"/>
      <c r="B149" s="110" t="s">
        <v>230</v>
      </c>
      <c r="C149" s="12">
        <v>5.9999999999999995E-4</v>
      </c>
      <c r="D149" s="12">
        <v>5.9999999999999995E-4</v>
      </c>
      <c r="E149" s="12">
        <v>5.9999999999999995E-4</v>
      </c>
      <c r="F149" s="142" t="s">
        <v>189</v>
      </c>
      <c r="G149" s="143" t="s">
        <v>189</v>
      </c>
      <c r="H149" s="144" t="s">
        <v>189</v>
      </c>
      <c r="I149" s="154" t="s">
        <v>189</v>
      </c>
    </row>
    <row r="150" spans="1:9" x14ac:dyDescent="0.25">
      <c r="A150" s="20"/>
      <c r="B150" s="17"/>
      <c r="C150" s="17"/>
      <c r="D150" s="17"/>
      <c r="E150" s="19"/>
      <c r="F150" s="18"/>
      <c r="G150" s="92"/>
      <c r="H150" s="19"/>
      <c r="I150" s="175"/>
    </row>
    <row r="151" spans="1:9" ht="55.2" x14ac:dyDescent="0.25">
      <c r="A151" s="44" t="s">
        <v>83</v>
      </c>
      <c r="B151" s="38" t="s">
        <v>80</v>
      </c>
      <c r="C151" s="38"/>
      <c r="D151" s="38"/>
      <c r="E151" s="39"/>
      <c r="F151" s="40"/>
      <c r="G151" s="95"/>
      <c r="H151" s="39"/>
      <c r="I151" s="41"/>
    </row>
    <row r="152" spans="1:9" ht="22.8" x14ac:dyDescent="0.25">
      <c r="A152" s="44"/>
      <c r="B152" s="43" t="s">
        <v>81</v>
      </c>
      <c r="C152" s="43"/>
      <c r="D152" s="43"/>
      <c r="E152" s="39"/>
      <c r="F152" s="40"/>
      <c r="G152" s="95"/>
      <c r="H152" s="39"/>
      <c r="I152" s="41"/>
    </row>
    <row r="153" spans="1:9" ht="22.8" x14ac:dyDescent="0.25">
      <c r="A153" s="44"/>
      <c r="B153" s="43" t="s">
        <v>82</v>
      </c>
      <c r="C153" s="43"/>
      <c r="D153" s="43"/>
      <c r="E153" s="39"/>
      <c r="F153" s="40"/>
      <c r="G153" s="95"/>
      <c r="H153" s="39"/>
      <c r="I153" s="41"/>
    </row>
    <row r="154" spans="1:9" ht="31.2" x14ac:dyDescent="0.25">
      <c r="A154" s="45"/>
      <c r="B154" s="137" t="s">
        <v>0</v>
      </c>
      <c r="C154" s="124" t="s">
        <v>228</v>
      </c>
      <c r="D154" s="124" t="s">
        <v>227</v>
      </c>
      <c r="E154" s="124" t="s">
        <v>226</v>
      </c>
      <c r="F154" s="124" t="s">
        <v>200</v>
      </c>
      <c r="G154" s="125" t="s">
        <v>30</v>
      </c>
      <c r="H154" s="125" t="s">
        <v>20</v>
      </c>
      <c r="I154" s="125" t="s">
        <v>35</v>
      </c>
    </row>
    <row r="155" spans="1:9" ht="27.6" x14ac:dyDescent="0.25">
      <c r="A155" s="47"/>
      <c r="B155" s="184" t="s">
        <v>140</v>
      </c>
      <c r="C155" s="65">
        <v>0.96960000000000002</v>
      </c>
      <c r="D155" s="65">
        <v>0.96309999999999996</v>
      </c>
      <c r="E155" s="65">
        <v>0.96389999999999998</v>
      </c>
      <c r="F155" s="65">
        <v>0.94</v>
      </c>
      <c r="G155" s="89" t="s">
        <v>23</v>
      </c>
      <c r="H155" s="7" t="s">
        <v>99</v>
      </c>
      <c r="I155" s="6" t="s">
        <v>232</v>
      </c>
    </row>
    <row r="156" spans="1:9" x14ac:dyDescent="0.25">
      <c r="A156" s="46"/>
      <c r="B156" s="184" t="s">
        <v>2</v>
      </c>
      <c r="C156" s="57">
        <v>0.41870000000000002</v>
      </c>
      <c r="D156" s="57">
        <v>0.4289</v>
      </c>
      <c r="E156" s="57">
        <v>0.4284</v>
      </c>
      <c r="F156" s="57">
        <v>0.47</v>
      </c>
      <c r="G156" s="90" t="s">
        <v>24</v>
      </c>
      <c r="H156" s="4" t="s">
        <v>134</v>
      </c>
      <c r="I156" s="1" t="s">
        <v>14</v>
      </c>
    </row>
    <row r="157" spans="1:9" x14ac:dyDescent="0.25">
      <c r="A157" s="47"/>
      <c r="B157" s="195" t="s">
        <v>139</v>
      </c>
      <c r="C157" s="57">
        <v>2.53E-2</v>
      </c>
      <c r="D157" s="57">
        <v>2.4500000000000001E-2</v>
      </c>
      <c r="E157" s="57">
        <v>2.3900000000000001E-2</v>
      </c>
      <c r="F157" s="57">
        <v>0.06</v>
      </c>
      <c r="G157" s="90" t="s">
        <v>23</v>
      </c>
      <c r="H157" s="4" t="s">
        <v>58</v>
      </c>
      <c r="I157" s="1" t="s">
        <v>15</v>
      </c>
    </row>
    <row r="158" spans="1:9" x14ac:dyDescent="0.25">
      <c r="A158" s="47"/>
      <c r="B158" s="184" t="s">
        <v>12</v>
      </c>
      <c r="C158" s="3">
        <v>0.16120000000000001</v>
      </c>
      <c r="D158" s="3">
        <v>0.16370000000000001</v>
      </c>
      <c r="E158" s="3">
        <v>0.15340000000000001</v>
      </c>
      <c r="F158" s="3">
        <v>0.15</v>
      </c>
      <c r="G158" s="90" t="s">
        <v>24</v>
      </c>
      <c r="H158" s="9" t="s">
        <v>52</v>
      </c>
      <c r="I158" s="9" t="s">
        <v>18</v>
      </c>
    </row>
    <row r="159" spans="1:9" x14ac:dyDescent="0.25">
      <c r="A159" s="47"/>
      <c r="B159" s="196" t="s">
        <v>5</v>
      </c>
      <c r="C159" s="103">
        <f>SUBTOTAL(109,C155:C158)</f>
        <v>1.5748000000000002</v>
      </c>
      <c r="D159" s="103">
        <f>SUBTOTAL(109,D155:D158)</f>
        <v>1.5801999999999998</v>
      </c>
      <c r="E159" s="103">
        <f>SUBTOTAL(109,E155:E158)</f>
        <v>1.5696000000000001</v>
      </c>
      <c r="F159" s="103">
        <f>SUBTOTAL(109,F155:F158)</f>
        <v>1.6199999999999999</v>
      </c>
      <c r="G159" s="121" t="s">
        <v>189</v>
      </c>
      <c r="H159" s="122" t="s">
        <v>189</v>
      </c>
      <c r="I159" s="116" t="s">
        <v>189</v>
      </c>
    </row>
    <row r="160" spans="1:9" x14ac:dyDescent="0.25">
      <c r="A160" s="47"/>
      <c r="B160" s="184" t="s">
        <v>6</v>
      </c>
      <c r="C160" s="11">
        <v>0.17899999999999999</v>
      </c>
      <c r="D160" s="11">
        <v>0.1681</v>
      </c>
      <c r="E160" s="11">
        <v>0.17780000000000001</v>
      </c>
      <c r="F160" s="11">
        <v>0.18</v>
      </c>
      <c r="G160" s="90" t="s">
        <v>23</v>
      </c>
      <c r="H160" s="9" t="s">
        <v>207</v>
      </c>
      <c r="I160" s="1" t="s">
        <v>19</v>
      </c>
    </row>
    <row r="161" spans="1:9" x14ac:dyDescent="0.25">
      <c r="A161" s="47"/>
      <c r="B161" s="110" t="s">
        <v>230</v>
      </c>
      <c r="C161" s="12">
        <v>5.9999999999999995E-4</v>
      </c>
      <c r="D161" s="12">
        <v>5.9999999999999995E-4</v>
      </c>
      <c r="E161" s="104">
        <v>5.9999999999999995E-4</v>
      </c>
      <c r="F161" s="142" t="s">
        <v>189</v>
      </c>
      <c r="G161" s="143" t="s">
        <v>189</v>
      </c>
      <c r="H161" s="144" t="s">
        <v>189</v>
      </c>
      <c r="I161" s="154" t="s">
        <v>189</v>
      </c>
    </row>
    <row r="162" spans="1:9" x14ac:dyDescent="0.25">
      <c r="A162" s="20"/>
      <c r="B162" s="17"/>
      <c r="C162" s="17"/>
      <c r="D162" s="17"/>
      <c r="E162" s="19"/>
      <c r="F162" s="18"/>
      <c r="G162" s="92"/>
      <c r="H162" s="19"/>
      <c r="I162" s="175"/>
    </row>
    <row r="163" spans="1:9" ht="55.2" x14ac:dyDescent="0.25">
      <c r="A163" s="44" t="s">
        <v>84</v>
      </c>
      <c r="B163" s="38" t="s">
        <v>85</v>
      </c>
      <c r="C163" s="38"/>
      <c r="D163" s="38"/>
      <c r="E163" s="39"/>
      <c r="F163" s="40"/>
      <c r="G163" s="95"/>
      <c r="H163" s="39"/>
      <c r="I163" s="41"/>
    </row>
    <row r="164" spans="1:9" ht="22.8" x14ac:dyDescent="0.25">
      <c r="A164" s="44"/>
      <c r="B164" s="43" t="s">
        <v>86</v>
      </c>
      <c r="C164" s="43"/>
      <c r="D164" s="43"/>
      <c r="E164" s="39"/>
      <c r="F164" s="40"/>
      <c r="G164" s="95"/>
      <c r="H164" s="39"/>
      <c r="I164" s="41"/>
    </row>
    <row r="165" spans="1:9" ht="22.8" x14ac:dyDescent="0.25">
      <c r="A165" s="44"/>
      <c r="B165" s="43" t="s">
        <v>90</v>
      </c>
      <c r="C165" s="43"/>
      <c r="D165" s="43"/>
      <c r="E165" s="39"/>
      <c r="F165" s="40"/>
      <c r="G165" s="95"/>
      <c r="H165" s="39"/>
      <c r="I165" s="41"/>
    </row>
    <row r="166" spans="1:9" ht="31.2" x14ac:dyDescent="0.25">
      <c r="A166" s="45"/>
      <c r="B166" s="137" t="s">
        <v>0</v>
      </c>
      <c r="C166" s="124" t="s">
        <v>228</v>
      </c>
      <c r="D166" s="124" t="s">
        <v>227</v>
      </c>
      <c r="E166" s="124" t="s">
        <v>226</v>
      </c>
      <c r="F166" s="124" t="s">
        <v>200</v>
      </c>
      <c r="G166" s="125" t="s">
        <v>30</v>
      </c>
      <c r="H166" s="125" t="s">
        <v>20</v>
      </c>
      <c r="I166" s="125" t="s">
        <v>35</v>
      </c>
    </row>
    <row r="167" spans="1:9" ht="27.6" x14ac:dyDescent="0.25">
      <c r="A167" s="47"/>
      <c r="B167" s="184" t="s">
        <v>140</v>
      </c>
      <c r="C167" s="5">
        <v>3.4299999999999997E-2</v>
      </c>
      <c r="D167" s="5">
        <v>2.76E-2</v>
      </c>
      <c r="E167" s="5">
        <v>2.69E-2</v>
      </c>
      <c r="F167" s="5">
        <v>0.06</v>
      </c>
      <c r="G167" s="89" t="s">
        <v>23</v>
      </c>
      <c r="H167" s="7" t="s">
        <v>58</v>
      </c>
      <c r="I167" s="6" t="s">
        <v>232</v>
      </c>
    </row>
    <row r="168" spans="1:9" x14ac:dyDescent="0.25">
      <c r="A168" s="46"/>
      <c r="B168" s="184" t="s">
        <v>2</v>
      </c>
      <c r="C168" s="3">
        <v>0.1047</v>
      </c>
      <c r="D168" s="3">
        <v>0.10580000000000001</v>
      </c>
      <c r="E168" s="3">
        <v>0.1124</v>
      </c>
      <c r="F168" s="3">
        <v>0.1</v>
      </c>
      <c r="G168" s="90" t="s">
        <v>24</v>
      </c>
      <c r="H168" s="4" t="s">
        <v>49</v>
      </c>
      <c r="I168" s="1" t="s">
        <v>14</v>
      </c>
    </row>
    <row r="169" spans="1:9" x14ac:dyDescent="0.25">
      <c r="A169" s="47"/>
      <c r="B169" s="195" t="s">
        <v>139</v>
      </c>
      <c r="C169" s="3">
        <v>0.82169999999999999</v>
      </c>
      <c r="D169" s="3">
        <v>0.82040000000000002</v>
      </c>
      <c r="E169" s="3">
        <v>0.78590000000000004</v>
      </c>
      <c r="F169" s="3">
        <v>0.8</v>
      </c>
      <c r="G169" s="90" t="s">
        <v>23</v>
      </c>
      <c r="H169" s="4" t="s">
        <v>131</v>
      </c>
      <c r="I169" s="1" t="s">
        <v>15</v>
      </c>
    </row>
    <row r="170" spans="1:9" x14ac:dyDescent="0.25">
      <c r="A170" s="47"/>
      <c r="B170" s="184" t="s">
        <v>12</v>
      </c>
      <c r="C170" s="57">
        <v>4.1700000000000001E-2</v>
      </c>
      <c r="D170" s="57">
        <v>4.8099999999999997E-2</v>
      </c>
      <c r="E170" s="57">
        <v>7.6899999999999996E-2</v>
      </c>
      <c r="F170" s="57">
        <v>0.05</v>
      </c>
      <c r="G170" s="90" t="s">
        <v>24</v>
      </c>
      <c r="H170" s="9" t="s">
        <v>51</v>
      </c>
      <c r="I170" s="9" t="s">
        <v>18</v>
      </c>
    </row>
    <row r="171" spans="1:9" x14ac:dyDescent="0.25">
      <c r="A171" s="47"/>
      <c r="B171" s="196" t="s">
        <v>5</v>
      </c>
      <c r="C171" s="103">
        <f>SUBTOTAL(109,C167:C170)</f>
        <v>1.0024</v>
      </c>
      <c r="D171" s="103">
        <f>SUBTOTAL(109,D167:D170)</f>
        <v>1.0019</v>
      </c>
      <c r="E171" s="103">
        <f>SUBTOTAL(109,E167:E170)</f>
        <v>1.0021</v>
      </c>
      <c r="F171" s="103">
        <f>SUBTOTAL(109,F167:F170)</f>
        <v>1.01</v>
      </c>
      <c r="G171" s="121" t="s">
        <v>189</v>
      </c>
      <c r="H171" s="42" t="s">
        <v>73</v>
      </c>
      <c r="I171" s="116" t="s">
        <v>189</v>
      </c>
    </row>
    <row r="172" spans="1:9" x14ac:dyDescent="0.25">
      <c r="A172" s="47"/>
      <c r="B172" s="184" t="s">
        <v>6</v>
      </c>
      <c r="C172" s="11">
        <v>5.3999999999999999E-2</v>
      </c>
      <c r="D172" s="11">
        <v>4.5999999999999999E-2</v>
      </c>
      <c r="E172" s="11">
        <v>4.19E-2</v>
      </c>
      <c r="F172" s="11">
        <v>0.08</v>
      </c>
      <c r="G172" s="90" t="s">
        <v>23</v>
      </c>
      <c r="H172" s="9" t="s">
        <v>59</v>
      </c>
      <c r="I172" s="1" t="s">
        <v>19</v>
      </c>
    </row>
    <row r="173" spans="1:9" x14ac:dyDescent="0.25">
      <c r="A173" s="47"/>
      <c r="B173" s="110" t="s">
        <v>230</v>
      </c>
      <c r="C173" s="12">
        <v>5.9999999999999995E-4</v>
      </c>
      <c r="D173" s="12">
        <v>5.9999999999999995E-4</v>
      </c>
      <c r="E173" s="12">
        <v>5.9999999999999995E-4</v>
      </c>
      <c r="F173" s="142" t="s">
        <v>189</v>
      </c>
      <c r="G173" s="143" t="s">
        <v>189</v>
      </c>
      <c r="H173" s="144" t="s">
        <v>189</v>
      </c>
      <c r="I173" s="154" t="s">
        <v>189</v>
      </c>
    </row>
    <row r="174" spans="1:9" x14ac:dyDescent="0.25">
      <c r="A174" s="20"/>
      <c r="B174" s="17"/>
      <c r="C174" s="17"/>
      <c r="D174" s="17"/>
      <c r="E174" s="19"/>
      <c r="F174" s="18"/>
      <c r="G174" s="92"/>
      <c r="H174" s="19"/>
      <c r="I174" s="175"/>
    </row>
    <row r="175" spans="1:9" ht="69" x14ac:dyDescent="0.25">
      <c r="A175" s="44" t="s">
        <v>91</v>
      </c>
      <c r="B175" s="38" t="s">
        <v>89</v>
      </c>
      <c r="C175" s="38"/>
      <c r="D175" s="38"/>
      <c r="E175" s="39"/>
      <c r="F175" s="40"/>
      <c r="G175" s="95"/>
      <c r="H175" s="39"/>
      <c r="I175" s="41"/>
    </row>
    <row r="176" spans="1:9" ht="22.8" x14ac:dyDescent="0.25">
      <c r="A176" s="44"/>
      <c r="B176" s="43" t="s">
        <v>88</v>
      </c>
      <c r="C176" s="43"/>
      <c r="D176" s="43"/>
      <c r="E176" s="39"/>
      <c r="F176" s="40"/>
      <c r="G176" s="95"/>
      <c r="H176" s="39"/>
      <c r="I176" s="41"/>
    </row>
    <row r="177" spans="1:9" ht="31.2" x14ac:dyDescent="0.25">
      <c r="A177" s="45"/>
      <c r="B177" s="13" t="s">
        <v>0</v>
      </c>
      <c r="C177" s="111" t="s">
        <v>189</v>
      </c>
      <c r="D177" s="15" t="s">
        <v>227</v>
      </c>
      <c r="E177" s="15" t="s">
        <v>226</v>
      </c>
      <c r="F177" s="15" t="s">
        <v>200</v>
      </c>
      <c r="G177" s="14" t="s">
        <v>30</v>
      </c>
      <c r="H177" s="14" t="s">
        <v>20</v>
      </c>
      <c r="I177" s="14" t="s">
        <v>35</v>
      </c>
    </row>
    <row r="178" spans="1:9" ht="27.6" x14ac:dyDescent="0.25">
      <c r="A178" s="47"/>
      <c r="B178" s="108" t="s">
        <v>140</v>
      </c>
      <c r="C178" s="112" t="s">
        <v>189</v>
      </c>
      <c r="D178" s="5">
        <v>0.20569999999999999</v>
      </c>
      <c r="E178" s="5">
        <v>0.20519999999999999</v>
      </c>
      <c r="F178" s="5">
        <v>0.19</v>
      </c>
      <c r="G178" s="89" t="s">
        <v>23</v>
      </c>
      <c r="H178" s="7" t="s">
        <v>55</v>
      </c>
      <c r="I178" s="6" t="s">
        <v>232</v>
      </c>
    </row>
    <row r="179" spans="1:9" x14ac:dyDescent="0.25">
      <c r="A179" s="46"/>
      <c r="B179" s="108" t="s">
        <v>2</v>
      </c>
      <c r="C179" s="113" t="s">
        <v>189</v>
      </c>
      <c r="D179" s="3">
        <v>0.25119999999999998</v>
      </c>
      <c r="E179" s="3">
        <v>0.25729999999999997</v>
      </c>
      <c r="F179" s="3">
        <v>0.25</v>
      </c>
      <c r="G179" s="90" t="s">
        <v>24</v>
      </c>
      <c r="H179" s="4" t="s">
        <v>54</v>
      </c>
      <c r="I179" s="1" t="s">
        <v>14</v>
      </c>
    </row>
    <row r="180" spans="1:9" x14ac:dyDescent="0.25">
      <c r="A180" s="47"/>
      <c r="B180" s="109" t="s">
        <v>139</v>
      </c>
      <c r="C180" s="112" t="s">
        <v>189</v>
      </c>
      <c r="D180" s="3">
        <v>0.44259999999999999</v>
      </c>
      <c r="E180" s="3">
        <v>0.4415</v>
      </c>
      <c r="F180" s="3">
        <v>0.45</v>
      </c>
      <c r="G180" s="90" t="s">
        <v>23</v>
      </c>
      <c r="H180" s="4" t="s">
        <v>66</v>
      </c>
      <c r="I180" s="1" t="s">
        <v>15</v>
      </c>
    </row>
    <row r="181" spans="1:9" x14ac:dyDescent="0.25">
      <c r="A181" s="47"/>
      <c r="B181" s="108" t="s">
        <v>12</v>
      </c>
      <c r="C181" s="113" t="s">
        <v>189</v>
      </c>
      <c r="D181" s="3">
        <v>0.16739999999999999</v>
      </c>
      <c r="E181" s="3">
        <v>0.1661</v>
      </c>
      <c r="F181" s="3">
        <v>0.15</v>
      </c>
      <c r="G181" s="90" t="s">
        <v>24</v>
      </c>
      <c r="H181" s="9" t="s">
        <v>52</v>
      </c>
      <c r="I181" s="9" t="s">
        <v>18</v>
      </c>
    </row>
    <row r="182" spans="1:9" x14ac:dyDescent="0.25">
      <c r="A182" s="47"/>
      <c r="B182" s="110" t="s">
        <v>5</v>
      </c>
      <c r="C182" s="113" t="s">
        <v>189</v>
      </c>
      <c r="D182" s="103">
        <f>SUBTOTAL(109,D178:D181)</f>
        <v>1.0669</v>
      </c>
      <c r="E182" s="103">
        <f>SUBTOTAL(109,E178:E181)</f>
        <v>1.0700999999999998</v>
      </c>
      <c r="F182" s="103">
        <f>SUBTOTAL(109,F178:F181)</f>
        <v>1.04</v>
      </c>
      <c r="G182" s="121" t="s">
        <v>189</v>
      </c>
      <c r="H182" s="42" t="s">
        <v>73</v>
      </c>
      <c r="I182" s="116" t="s">
        <v>189</v>
      </c>
    </row>
    <row r="183" spans="1:9" x14ac:dyDescent="0.25">
      <c r="A183" s="47"/>
      <c r="B183" s="108" t="s">
        <v>6</v>
      </c>
      <c r="C183" s="113" t="s">
        <v>189</v>
      </c>
      <c r="D183" s="11">
        <v>0.16170000000000001</v>
      </c>
      <c r="E183" s="11">
        <v>0.15620000000000001</v>
      </c>
      <c r="F183" s="11">
        <v>0.16</v>
      </c>
      <c r="G183" s="90" t="s">
        <v>23</v>
      </c>
      <c r="H183" s="9" t="s">
        <v>135</v>
      </c>
      <c r="I183" s="1" t="s">
        <v>19</v>
      </c>
    </row>
    <row r="184" spans="1:9" x14ac:dyDescent="0.25">
      <c r="A184" s="47"/>
      <c r="B184" s="110" t="s">
        <v>230</v>
      </c>
      <c r="C184" s="113" t="s">
        <v>189</v>
      </c>
      <c r="D184" s="104">
        <v>5.9999999999999995E-4</v>
      </c>
      <c r="E184" s="104">
        <v>5.9999999999999995E-4</v>
      </c>
      <c r="F184" s="142" t="s">
        <v>189</v>
      </c>
      <c r="G184" s="143" t="s">
        <v>189</v>
      </c>
      <c r="H184" s="144" t="s">
        <v>189</v>
      </c>
      <c r="I184" s="154" t="s">
        <v>189</v>
      </c>
    </row>
    <row r="185" spans="1:9" x14ac:dyDescent="0.25">
      <c r="A185" s="20"/>
      <c r="B185" s="17"/>
      <c r="C185" s="17"/>
      <c r="D185" s="17"/>
      <c r="E185" s="19"/>
      <c r="F185" s="18"/>
      <c r="G185" s="92"/>
      <c r="H185" s="19"/>
      <c r="I185" s="175"/>
    </row>
    <row r="186" spans="1:9" ht="41.4" x14ac:dyDescent="0.25">
      <c r="A186" s="48" t="s">
        <v>94</v>
      </c>
      <c r="B186" s="38" t="s">
        <v>95</v>
      </c>
      <c r="C186" s="38"/>
      <c r="D186" s="38"/>
      <c r="E186" s="39"/>
      <c r="F186" s="40"/>
      <c r="G186" s="95"/>
      <c r="H186" s="39"/>
      <c r="I186" s="41"/>
    </row>
    <row r="187" spans="1:9" ht="22.8" x14ac:dyDescent="0.25">
      <c r="A187" s="48"/>
      <c r="B187" s="43" t="s">
        <v>96</v>
      </c>
      <c r="C187" s="43"/>
      <c r="D187" s="43"/>
      <c r="E187" s="39"/>
      <c r="F187" s="40"/>
      <c r="G187" s="95"/>
      <c r="H187" s="39"/>
      <c r="I187" s="41"/>
    </row>
    <row r="188" spans="1:9" ht="22.8" x14ac:dyDescent="0.25">
      <c r="A188" s="48"/>
      <c r="B188" s="43" t="s">
        <v>97</v>
      </c>
      <c r="C188" s="43"/>
      <c r="D188" s="43"/>
      <c r="E188" s="39"/>
      <c r="F188" s="40"/>
      <c r="G188" s="95"/>
      <c r="H188" s="39"/>
      <c r="I188" s="41"/>
    </row>
    <row r="189" spans="1:9" ht="31.2" x14ac:dyDescent="0.25">
      <c r="A189" s="49"/>
      <c r="B189" s="123" t="s">
        <v>0</v>
      </c>
      <c r="C189" s="124" t="s">
        <v>228</v>
      </c>
      <c r="D189" s="124" t="s">
        <v>227</v>
      </c>
      <c r="E189" s="124" t="s">
        <v>226</v>
      </c>
      <c r="F189" s="124" t="s">
        <v>200</v>
      </c>
      <c r="G189" s="125" t="s">
        <v>30</v>
      </c>
      <c r="H189" s="125" t="s">
        <v>20</v>
      </c>
      <c r="I189" s="125" t="s">
        <v>35</v>
      </c>
    </row>
    <row r="190" spans="1:9" x14ac:dyDescent="0.25">
      <c r="A190" s="51"/>
      <c r="B190" s="108" t="s">
        <v>140</v>
      </c>
      <c r="C190" s="65">
        <v>0.43340000000000001</v>
      </c>
      <c r="D190" s="65">
        <v>0.47099999999999997</v>
      </c>
      <c r="E190" s="65">
        <v>0.43809999999999999</v>
      </c>
      <c r="F190" s="65">
        <v>0.43</v>
      </c>
      <c r="G190" s="89" t="s">
        <v>23</v>
      </c>
      <c r="H190" s="7" t="s">
        <v>98</v>
      </c>
      <c r="I190" s="54" t="s">
        <v>27</v>
      </c>
    </row>
    <row r="191" spans="1:9" x14ac:dyDescent="0.25">
      <c r="A191" s="50"/>
      <c r="B191" s="108" t="s">
        <v>2</v>
      </c>
      <c r="C191" s="57">
        <v>0.62229999999999996</v>
      </c>
      <c r="D191" s="57">
        <v>0.62350000000000005</v>
      </c>
      <c r="E191" s="57">
        <v>0.56140000000000001</v>
      </c>
      <c r="F191" s="57">
        <v>0.57999999999999996</v>
      </c>
      <c r="G191" s="90" t="s">
        <v>24</v>
      </c>
      <c r="H191" s="4" t="s">
        <v>202</v>
      </c>
      <c r="I191" s="9" t="s">
        <v>28</v>
      </c>
    </row>
    <row r="192" spans="1:9" ht="27.6" x14ac:dyDescent="0.25">
      <c r="A192" s="51"/>
      <c r="B192" s="109" t="s">
        <v>139</v>
      </c>
      <c r="C192" s="57">
        <v>0.34699999999999998</v>
      </c>
      <c r="D192" s="57">
        <v>0.34289999999999998</v>
      </c>
      <c r="E192" s="57">
        <v>0.34360000000000002</v>
      </c>
      <c r="F192" s="57">
        <v>0.33</v>
      </c>
      <c r="G192" s="90" t="s">
        <v>23</v>
      </c>
      <c r="H192" s="4" t="s">
        <v>79</v>
      </c>
      <c r="I192" s="9" t="s">
        <v>100</v>
      </c>
    </row>
    <row r="193" spans="1:9" x14ac:dyDescent="0.25">
      <c r="A193" s="51"/>
      <c r="B193" s="108" t="s">
        <v>12</v>
      </c>
      <c r="C193" s="57">
        <v>0.2596</v>
      </c>
      <c r="D193" s="57">
        <v>0.25900000000000001</v>
      </c>
      <c r="E193" s="57">
        <v>0.24149999999999999</v>
      </c>
      <c r="F193" s="57">
        <v>0.25</v>
      </c>
      <c r="G193" s="90" t="s">
        <v>24</v>
      </c>
      <c r="H193" s="9" t="s">
        <v>54</v>
      </c>
      <c r="I193" s="9" t="s">
        <v>18</v>
      </c>
    </row>
    <row r="194" spans="1:9" x14ac:dyDescent="0.25">
      <c r="A194" s="51"/>
      <c r="B194" s="110" t="s">
        <v>5</v>
      </c>
      <c r="C194" s="106">
        <f>SUBTOTAL(109,C190:C193)</f>
        <v>1.6622999999999999</v>
      </c>
      <c r="D194" s="106">
        <f>SUBTOTAL(109,D190:D193)</f>
        <v>1.6964000000000001</v>
      </c>
      <c r="E194" s="70">
        <f>SUBTOTAL(109,E190:E193)</f>
        <v>1.5846000000000002</v>
      </c>
      <c r="F194" s="70">
        <f>SUBTOTAL(109,F190:F193)</f>
        <v>1.59</v>
      </c>
      <c r="G194" s="121" t="s">
        <v>189</v>
      </c>
      <c r="H194" s="42" t="s">
        <v>73</v>
      </c>
      <c r="I194" s="116" t="s">
        <v>189</v>
      </c>
    </row>
    <row r="195" spans="1:9" x14ac:dyDescent="0.25">
      <c r="A195" s="51"/>
      <c r="B195" s="108" t="s">
        <v>6</v>
      </c>
      <c r="C195" s="71">
        <v>0.99885000000000002</v>
      </c>
      <c r="D195" s="71">
        <v>0.99729999999999996</v>
      </c>
      <c r="E195" s="71">
        <v>0.99560000000000004</v>
      </c>
      <c r="F195" s="71">
        <v>0.94</v>
      </c>
      <c r="G195" s="90" t="s">
        <v>23</v>
      </c>
      <c r="H195" s="9" t="s">
        <v>99</v>
      </c>
      <c r="I195" s="9" t="s">
        <v>19</v>
      </c>
    </row>
    <row r="196" spans="1:9" x14ac:dyDescent="0.25">
      <c r="A196" s="51"/>
      <c r="B196" s="110" t="s">
        <v>230</v>
      </c>
      <c r="C196" s="104">
        <v>2E-3</v>
      </c>
      <c r="D196" s="104">
        <v>2E-3</v>
      </c>
      <c r="E196" s="12">
        <v>2.5000000000000001E-3</v>
      </c>
      <c r="F196" s="142" t="s">
        <v>189</v>
      </c>
      <c r="G196" s="143" t="s">
        <v>189</v>
      </c>
      <c r="H196" s="144" t="s">
        <v>189</v>
      </c>
      <c r="I196" s="154" t="s">
        <v>189</v>
      </c>
    </row>
    <row r="197" spans="1:9" x14ac:dyDescent="0.25">
      <c r="A197" s="20"/>
      <c r="B197" s="17"/>
      <c r="C197" s="17"/>
      <c r="D197" s="17"/>
      <c r="E197" s="19"/>
      <c r="F197" s="18"/>
      <c r="G197" s="92"/>
      <c r="H197" s="19"/>
      <c r="I197" s="175"/>
    </row>
    <row r="198" spans="1:9" ht="41.4" x14ac:dyDescent="0.25">
      <c r="A198" s="48" t="s">
        <v>101</v>
      </c>
      <c r="B198" s="38" t="s">
        <v>102</v>
      </c>
      <c r="C198" s="38"/>
      <c r="D198" s="38"/>
      <c r="E198" s="39"/>
      <c r="F198" s="40"/>
      <c r="G198" s="95"/>
      <c r="H198" s="39"/>
      <c r="I198" s="41"/>
    </row>
    <row r="199" spans="1:9" ht="22.8" x14ac:dyDescent="0.25">
      <c r="A199" s="48"/>
      <c r="B199" s="43" t="s">
        <v>103</v>
      </c>
      <c r="C199" s="43"/>
      <c r="D199" s="43"/>
      <c r="E199" s="39"/>
      <c r="F199" s="40"/>
      <c r="G199" s="95"/>
      <c r="H199" s="39"/>
      <c r="I199" s="41"/>
    </row>
    <row r="200" spans="1:9" ht="22.8" x14ac:dyDescent="0.25">
      <c r="A200" s="48"/>
      <c r="B200" s="43" t="s">
        <v>104</v>
      </c>
      <c r="C200" s="43"/>
      <c r="D200" s="43"/>
      <c r="E200" s="39"/>
      <c r="F200" s="40"/>
      <c r="G200" s="95"/>
      <c r="H200" s="39"/>
      <c r="I200" s="41"/>
    </row>
    <row r="201" spans="1:9" ht="31.2" x14ac:dyDescent="0.25">
      <c r="A201" s="49"/>
      <c r="B201" s="123" t="s">
        <v>0</v>
      </c>
      <c r="C201" s="124" t="s">
        <v>228</v>
      </c>
      <c r="D201" s="124" t="s">
        <v>227</v>
      </c>
      <c r="E201" s="124" t="s">
        <v>226</v>
      </c>
      <c r="F201" s="124" t="s">
        <v>200</v>
      </c>
      <c r="G201" s="125" t="s">
        <v>30</v>
      </c>
      <c r="H201" s="125" t="s">
        <v>20</v>
      </c>
      <c r="I201" s="125" t="s">
        <v>35</v>
      </c>
    </row>
    <row r="202" spans="1:9" x14ac:dyDescent="0.25">
      <c r="A202" s="51"/>
      <c r="B202" s="108" t="s">
        <v>140</v>
      </c>
      <c r="C202" s="5">
        <v>0.99980000000000002</v>
      </c>
      <c r="D202" s="5">
        <v>0.99850000000000005</v>
      </c>
      <c r="E202" s="5">
        <v>0.99660000000000004</v>
      </c>
      <c r="F202" s="5">
        <v>0.94</v>
      </c>
      <c r="G202" s="89" t="s">
        <v>23</v>
      </c>
      <c r="H202" s="7" t="s">
        <v>99</v>
      </c>
      <c r="I202" s="54" t="s">
        <v>27</v>
      </c>
    </row>
    <row r="203" spans="1:9" x14ac:dyDescent="0.25">
      <c r="A203" s="50"/>
      <c r="B203" s="108" t="s">
        <v>2</v>
      </c>
      <c r="C203" s="57">
        <v>0.56220000000000003</v>
      </c>
      <c r="D203" s="57">
        <v>0.54849999999999999</v>
      </c>
      <c r="E203" s="57">
        <v>0.55520000000000003</v>
      </c>
      <c r="F203" s="57">
        <v>0.56999999999999995</v>
      </c>
      <c r="G203" s="90" t="s">
        <v>24</v>
      </c>
      <c r="H203" s="4" t="s">
        <v>192</v>
      </c>
      <c r="I203" s="9" t="s">
        <v>14</v>
      </c>
    </row>
    <row r="204" spans="1:9" x14ac:dyDescent="0.25">
      <c r="A204" s="51"/>
      <c r="B204" s="109" t="s">
        <v>139</v>
      </c>
      <c r="C204" s="117">
        <v>0</v>
      </c>
      <c r="D204" s="117">
        <v>0</v>
      </c>
      <c r="E204" s="117">
        <v>0</v>
      </c>
      <c r="F204" s="117" t="s">
        <v>189</v>
      </c>
      <c r="G204" s="90" t="s">
        <v>23</v>
      </c>
      <c r="H204" s="4" t="s">
        <v>73</v>
      </c>
      <c r="I204" s="136" t="s">
        <v>189</v>
      </c>
    </row>
    <row r="205" spans="1:9" x14ac:dyDescent="0.25">
      <c r="A205" s="51"/>
      <c r="B205" s="108" t="s">
        <v>12</v>
      </c>
      <c r="C205" s="3">
        <v>0.22650000000000001</v>
      </c>
      <c r="D205" s="3">
        <v>0.22639999999999999</v>
      </c>
      <c r="E205" s="3">
        <v>0.2402</v>
      </c>
      <c r="F205" s="3">
        <v>0.2</v>
      </c>
      <c r="G205" s="90" t="s">
        <v>24</v>
      </c>
      <c r="H205" s="9" t="s">
        <v>133</v>
      </c>
      <c r="I205" s="9" t="s">
        <v>18</v>
      </c>
    </row>
    <row r="206" spans="1:9" x14ac:dyDescent="0.25">
      <c r="A206" s="51"/>
      <c r="B206" s="110" t="s">
        <v>5</v>
      </c>
      <c r="C206" s="103">
        <f>SUBTOTAL(109,C202:C205)</f>
        <v>1.7885</v>
      </c>
      <c r="D206" s="103">
        <f>SUBTOTAL(109,D202:D205)</f>
        <v>1.7734000000000001</v>
      </c>
      <c r="E206" s="103">
        <f>SUBTOTAL(109,E202:E205)</f>
        <v>1.792</v>
      </c>
      <c r="F206" s="103">
        <f>SUBTOTAL(109,F202:F205)</f>
        <v>1.7099999999999997</v>
      </c>
      <c r="G206" s="121" t="s">
        <v>189</v>
      </c>
      <c r="H206" s="42" t="s">
        <v>73</v>
      </c>
      <c r="I206" s="116" t="s">
        <v>189</v>
      </c>
    </row>
    <row r="207" spans="1:9" x14ac:dyDescent="0.25">
      <c r="A207" s="51"/>
      <c r="B207" s="108" t="s">
        <v>6</v>
      </c>
      <c r="C207" s="11">
        <v>0.99404800000000004</v>
      </c>
      <c r="D207" s="11">
        <v>0.99870000000000003</v>
      </c>
      <c r="E207" s="11">
        <v>0.99760000000000004</v>
      </c>
      <c r="F207" s="11">
        <v>0.94</v>
      </c>
      <c r="G207" s="90" t="s">
        <v>23</v>
      </c>
      <c r="H207" s="9" t="s">
        <v>99</v>
      </c>
      <c r="I207" s="9" t="s">
        <v>19</v>
      </c>
    </row>
    <row r="208" spans="1:9" x14ac:dyDescent="0.25">
      <c r="A208" s="51"/>
      <c r="B208" s="110" t="s">
        <v>230</v>
      </c>
      <c r="C208" s="12">
        <v>8.9999999999999998E-4</v>
      </c>
      <c r="D208" s="12">
        <v>8.9999999999999998E-4</v>
      </c>
      <c r="E208" s="12">
        <v>8.9999999999999998E-4</v>
      </c>
      <c r="F208" s="142" t="s">
        <v>189</v>
      </c>
      <c r="G208" s="143" t="s">
        <v>189</v>
      </c>
      <c r="H208" s="144" t="s">
        <v>189</v>
      </c>
      <c r="I208" s="154" t="s">
        <v>189</v>
      </c>
    </row>
    <row r="209" spans="1:9" x14ac:dyDescent="0.25">
      <c r="A209" s="20"/>
      <c r="B209" s="17"/>
      <c r="C209" s="17"/>
      <c r="D209" s="17"/>
      <c r="E209" s="19"/>
      <c r="F209" s="18"/>
      <c r="G209" s="92"/>
      <c r="H209" s="19"/>
      <c r="I209" s="175"/>
    </row>
    <row r="210" spans="1:9" ht="41.4" x14ac:dyDescent="0.25">
      <c r="A210" s="48" t="s">
        <v>105</v>
      </c>
      <c r="B210" s="38" t="s">
        <v>106</v>
      </c>
      <c r="C210" s="38"/>
      <c r="D210" s="38"/>
      <c r="E210" s="39"/>
      <c r="F210" s="40"/>
      <c r="G210" s="95"/>
      <c r="H210" s="39"/>
      <c r="I210" s="41"/>
    </row>
    <row r="211" spans="1:9" ht="22.8" x14ac:dyDescent="0.25">
      <c r="A211" s="48"/>
      <c r="B211" s="43" t="s">
        <v>107</v>
      </c>
      <c r="C211" s="43"/>
      <c r="D211" s="43"/>
      <c r="E211" s="39"/>
      <c r="F211" s="40"/>
      <c r="G211" s="95"/>
      <c r="H211" s="39"/>
      <c r="I211" s="41"/>
    </row>
    <row r="212" spans="1:9" ht="22.8" x14ac:dyDescent="0.25">
      <c r="A212" s="48"/>
      <c r="B212" s="43" t="s">
        <v>108</v>
      </c>
      <c r="C212" s="43"/>
      <c r="D212" s="43"/>
      <c r="E212" s="39"/>
      <c r="F212" s="40"/>
      <c r="G212" s="95"/>
      <c r="H212" s="39"/>
      <c r="I212" s="41"/>
    </row>
    <row r="213" spans="1:9" ht="31.2" x14ac:dyDescent="0.25">
      <c r="A213" s="49"/>
      <c r="B213" s="123" t="s">
        <v>0</v>
      </c>
      <c r="C213" s="124" t="s">
        <v>228</v>
      </c>
      <c r="D213" s="124" t="s">
        <v>227</v>
      </c>
      <c r="E213" s="124" t="s">
        <v>226</v>
      </c>
      <c r="F213" s="124" t="s">
        <v>200</v>
      </c>
      <c r="G213" s="125" t="s">
        <v>30</v>
      </c>
      <c r="H213" s="125" t="s">
        <v>20</v>
      </c>
      <c r="I213" s="126" t="s">
        <v>35</v>
      </c>
    </row>
    <row r="214" spans="1:9" x14ac:dyDescent="0.25">
      <c r="A214" s="51"/>
      <c r="B214" s="108" t="s">
        <v>140</v>
      </c>
      <c r="C214" s="127">
        <v>0</v>
      </c>
      <c r="D214" s="127" t="s">
        <v>189</v>
      </c>
      <c r="E214" s="127" t="s">
        <v>189</v>
      </c>
      <c r="F214" s="127" t="s">
        <v>189</v>
      </c>
      <c r="G214" s="89" t="s">
        <v>23</v>
      </c>
      <c r="H214" s="7" t="s">
        <v>73</v>
      </c>
      <c r="I214" s="155" t="s">
        <v>189</v>
      </c>
    </row>
    <row r="215" spans="1:9" x14ac:dyDescent="0.25">
      <c r="A215" s="50"/>
      <c r="B215" s="108" t="s">
        <v>2</v>
      </c>
      <c r="C215" s="57">
        <v>0.62970000000000004</v>
      </c>
      <c r="D215" s="57">
        <v>0.59279999999999999</v>
      </c>
      <c r="E215" s="57">
        <v>0.59560000000000002</v>
      </c>
      <c r="F215" s="57">
        <v>0.6</v>
      </c>
      <c r="G215" s="90" t="s">
        <v>24</v>
      </c>
      <c r="H215" s="4" t="s">
        <v>201</v>
      </c>
      <c r="I215" s="1" t="s">
        <v>28</v>
      </c>
    </row>
    <row r="216" spans="1:9" ht="27.6" x14ac:dyDescent="0.25">
      <c r="A216" s="51"/>
      <c r="B216" s="109" t="s">
        <v>139</v>
      </c>
      <c r="C216" s="57">
        <v>0.74639999999999995</v>
      </c>
      <c r="D216" s="57">
        <v>0.72660000000000002</v>
      </c>
      <c r="E216" s="57">
        <v>0.72199999999999998</v>
      </c>
      <c r="F216" s="57">
        <v>0.7</v>
      </c>
      <c r="G216" s="90" t="s">
        <v>23</v>
      </c>
      <c r="H216" s="4" t="s">
        <v>87</v>
      </c>
      <c r="I216" s="9" t="s">
        <v>100</v>
      </c>
    </row>
    <row r="217" spans="1:9" x14ac:dyDescent="0.25">
      <c r="A217" s="51"/>
      <c r="B217" s="109" t="s">
        <v>12</v>
      </c>
      <c r="C217" s="57">
        <v>0.2354</v>
      </c>
      <c r="D217" s="57">
        <v>0.21609999999999999</v>
      </c>
      <c r="E217" s="57">
        <v>0.22020000000000001</v>
      </c>
      <c r="F217" s="57">
        <v>0.25</v>
      </c>
      <c r="G217" s="90" t="s">
        <v>24</v>
      </c>
      <c r="H217" s="4" t="s">
        <v>191</v>
      </c>
      <c r="I217" s="9" t="s">
        <v>18</v>
      </c>
    </row>
    <row r="218" spans="1:9" x14ac:dyDescent="0.25">
      <c r="A218" s="51"/>
      <c r="B218" s="110" t="s">
        <v>5</v>
      </c>
      <c r="C218" s="106">
        <f>SUBTOTAL(109,C214:C217)</f>
        <v>1.6115000000000002</v>
      </c>
      <c r="D218" s="106">
        <f>SUBTOTAL(109,D214:D217)</f>
        <v>1.5354999999999999</v>
      </c>
      <c r="E218" s="106">
        <f>SUBTOTAL(109,E214:E217)</f>
        <v>1.5378000000000001</v>
      </c>
      <c r="F218" s="106">
        <f>SUBTOTAL(109,F214:F217)</f>
        <v>1.5499999999999998</v>
      </c>
      <c r="G218" s="121" t="s">
        <v>189</v>
      </c>
      <c r="H218" s="42" t="s">
        <v>73</v>
      </c>
      <c r="I218" s="115" t="s">
        <v>189</v>
      </c>
    </row>
    <row r="219" spans="1:9" x14ac:dyDescent="0.25">
      <c r="A219" s="51"/>
      <c r="B219" s="108" t="s">
        <v>6</v>
      </c>
      <c r="C219" s="71">
        <v>0.99670000000000003</v>
      </c>
      <c r="D219" s="71">
        <v>0.99409999999999998</v>
      </c>
      <c r="E219" s="71">
        <v>0.99650000000000005</v>
      </c>
      <c r="F219" s="71">
        <v>0.94</v>
      </c>
      <c r="G219" s="90" t="s">
        <v>23</v>
      </c>
      <c r="H219" s="9" t="s">
        <v>99</v>
      </c>
      <c r="I219" s="1" t="s">
        <v>19</v>
      </c>
    </row>
    <row r="220" spans="1:9" x14ac:dyDescent="0.25">
      <c r="A220" s="51"/>
      <c r="B220" s="110" t="s">
        <v>230</v>
      </c>
      <c r="C220" s="12">
        <v>2E-3</v>
      </c>
      <c r="D220" s="12">
        <v>2E-3</v>
      </c>
      <c r="E220" s="12">
        <v>2.5000000000000001E-3</v>
      </c>
      <c r="F220" s="142" t="s">
        <v>189</v>
      </c>
      <c r="G220" s="143" t="s">
        <v>189</v>
      </c>
      <c r="H220" s="144" t="s">
        <v>189</v>
      </c>
      <c r="I220" s="154" t="s">
        <v>189</v>
      </c>
    </row>
    <row r="221" spans="1:9" x14ac:dyDescent="0.25">
      <c r="A221" s="20"/>
      <c r="B221" s="17"/>
      <c r="C221" s="17"/>
      <c r="D221" s="17"/>
      <c r="E221" s="19"/>
      <c r="F221" s="18"/>
      <c r="G221" s="92"/>
      <c r="H221" s="19"/>
      <c r="I221" s="175"/>
    </row>
    <row r="222" spans="1:9" ht="69" x14ac:dyDescent="0.25">
      <c r="A222" s="48" t="s">
        <v>109</v>
      </c>
      <c r="B222" s="38" t="s">
        <v>110</v>
      </c>
      <c r="C222" s="38"/>
      <c r="D222" s="38"/>
      <c r="E222" s="39"/>
      <c r="F222" s="40"/>
      <c r="G222" s="95"/>
      <c r="H222" s="39"/>
      <c r="I222" s="41"/>
    </row>
    <row r="223" spans="1:9" ht="22.8" x14ac:dyDescent="0.25">
      <c r="A223" s="48"/>
      <c r="B223" s="43" t="s">
        <v>111</v>
      </c>
      <c r="C223" s="43"/>
      <c r="D223" s="43"/>
      <c r="E223" s="39"/>
      <c r="F223" s="40"/>
      <c r="G223" s="95"/>
      <c r="H223" s="39"/>
      <c r="I223" s="41"/>
    </row>
    <row r="224" spans="1:9" ht="31.2" x14ac:dyDescent="0.25">
      <c r="A224" s="49"/>
      <c r="B224" s="123" t="s">
        <v>0</v>
      </c>
      <c r="C224" s="145" t="s">
        <v>189</v>
      </c>
      <c r="D224" s="137" t="s">
        <v>227</v>
      </c>
      <c r="E224" s="124" t="s">
        <v>226</v>
      </c>
      <c r="F224" s="124" t="s">
        <v>200</v>
      </c>
      <c r="G224" s="125" t="s">
        <v>30</v>
      </c>
      <c r="H224" s="125" t="s">
        <v>20</v>
      </c>
      <c r="I224" s="125" t="s">
        <v>35</v>
      </c>
    </row>
    <row r="225" spans="1:9" x14ac:dyDescent="0.25">
      <c r="A225" s="51"/>
      <c r="B225" s="108" t="s">
        <v>140</v>
      </c>
      <c r="C225" s="146" t="s">
        <v>189</v>
      </c>
      <c r="D225" s="5">
        <v>0.15790000000000001</v>
      </c>
      <c r="E225" s="5">
        <v>0.17799999999999999</v>
      </c>
      <c r="F225" s="5">
        <v>0.19</v>
      </c>
      <c r="G225" s="89" t="s">
        <v>23</v>
      </c>
      <c r="H225" s="7" t="s">
        <v>55</v>
      </c>
      <c r="I225" s="6" t="s">
        <v>27</v>
      </c>
    </row>
    <row r="226" spans="1:9" x14ac:dyDescent="0.25">
      <c r="A226" s="50"/>
      <c r="B226" s="108" t="s">
        <v>2</v>
      </c>
      <c r="C226" s="147" t="s">
        <v>189</v>
      </c>
      <c r="D226" s="3">
        <v>0.5524</v>
      </c>
      <c r="E226" s="3">
        <v>0.54559999999999997</v>
      </c>
      <c r="F226" s="3">
        <v>0.52</v>
      </c>
      <c r="G226" s="90" t="s">
        <v>24</v>
      </c>
      <c r="H226" s="4" t="s">
        <v>193</v>
      </c>
      <c r="I226" s="1" t="s">
        <v>28</v>
      </c>
    </row>
    <row r="227" spans="1:9" ht="27.6" x14ac:dyDescent="0.25">
      <c r="A227" s="51"/>
      <c r="B227" s="109" t="s">
        <v>139</v>
      </c>
      <c r="C227" s="146" t="s">
        <v>189</v>
      </c>
      <c r="D227" s="3">
        <v>0.46339999999999998</v>
      </c>
      <c r="E227" s="3">
        <v>0.46160000000000001</v>
      </c>
      <c r="F227" s="3">
        <v>0.5</v>
      </c>
      <c r="G227" s="90" t="s">
        <v>23</v>
      </c>
      <c r="H227" s="4" t="s">
        <v>92</v>
      </c>
      <c r="I227" s="9" t="s">
        <v>100</v>
      </c>
    </row>
    <row r="228" spans="1:9" x14ac:dyDescent="0.25">
      <c r="A228" s="51"/>
      <c r="B228" s="108" t="s">
        <v>12</v>
      </c>
      <c r="C228" s="147" t="s">
        <v>189</v>
      </c>
      <c r="D228" s="3">
        <v>0.27550000000000002</v>
      </c>
      <c r="E228" s="3">
        <v>0.29170000000000001</v>
      </c>
      <c r="F228" s="3">
        <v>0.25</v>
      </c>
      <c r="G228" s="90" t="s">
        <v>24</v>
      </c>
      <c r="H228" s="9" t="s">
        <v>54</v>
      </c>
      <c r="I228" s="1" t="s">
        <v>18</v>
      </c>
    </row>
    <row r="229" spans="1:9" x14ac:dyDescent="0.25">
      <c r="A229" s="51"/>
      <c r="B229" s="110" t="s">
        <v>5</v>
      </c>
      <c r="C229" s="147" t="s">
        <v>189</v>
      </c>
      <c r="D229" s="29">
        <f>SUBTOTAL(109,D225:D228)</f>
        <v>1.4492</v>
      </c>
      <c r="E229" s="29">
        <f>SUBTOTAL(109,E225:E228)</f>
        <v>1.4769000000000001</v>
      </c>
      <c r="F229" s="29">
        <f>SUBTOTAL(109,F225:F228)</f>
        <v>1.46</v>
      </c>
      <c r="G229" s="121" t="s">
        <v>189</v>
      </c>
      <c r="H229" s="42" t="s">
        <v>73</v>
      </c>
      <c r="I229" s="115" t="s">
        <v>189</v>
      </c>
    </row>
    <row r="230" spans="1:9" x14ac:dyDescent="0.25">
      <c r="A230" s="51"/>
      <c r="B230" s="108" t="s">
        <v>6</v>
      </c>
      <c r="C230" s="147" t="s">
        <v>189</v>
      </c>
      <c r="D230" s="11">
        <v>0.99707000000000001</v>
      </c>
      <c r="E230" s="11">
        <v>0.99619999999999997</v>
      </c>
      <c r="F230" s="11">
        <v>0.94</v>
      </c>
      <c r="G230" s="90" t="s">
        <v>23</v>
      </c>
      <c r="H230" s="9" t="s">
        <v>99</v>
      </c>
      <c r="I230" s="1" t="s">
        <v>19</v>
      </c>
    </row>
    <row r="231" spans="1:9" x14ac:dyDescent="0.25">
      <c r="A231" s="51"/>
      <c r="B231" s="110" t="s">
        <v>230</v>
      </c>
      <c r="C231" s="148" t="s">
        <v>189</v>
      </c>
      <c r="D231" s="69">
        <v>2.5000000000000001E-3</v>
      </c>
      <c r="E231" s="12">
        <v>2.5000000000000001E-3</v>
      </c>
      <c r="F231" s="142" t="s">
        <v>189</v>
      </c>
      <c r="G231" s="143" t="s">
        <v>189</v>
      </c>
      <c r="H231" s="144" t="s">
        <v>189</v>
      </c>
      <c r="I231" s="154" t="s">
        <v>189</v>
      </c>
    </row>
    <row r="232" spans="1:9" x14ac:dyDescent="0.25">
      <c r="A232" s="20"/>
      <c r="B232" s="167" t="s">
        <v>196</v>
      </c>
      <c r="C232" s="167" t="s">
        <v>196</v>
      </c>
      <c r="D232" s="167" t="s">
        <v>196</v>
      </c>
      <c r="E232" s="168" t="s">
        <v>196</v>
      </c>
      <c r="F232" s="168" t="s">
        <v>196</v>
      </c>
      <c r="G232" s="168" t="s">
        <v>196</v>
      </c>
      <c r="H232" s="168" t="s">
        <v>196</v>
      </c>
      <c r="I232" s="177" t="s">
        <v>196</v>
      </c>
    </row>
    <row r="233" spans="1:9" ht="41.4" x14ac:dyDescent="0.25">
      <c r="A233" s="48" t="s">
        <v>112</v>
      </c>
      <c r="B233" s="38" t="s">
        <v>113</v>
      </c>
      <c r="C233" s="38"/>
      <c r="D233" s="38"/>
      <c r="E233" s="39"/>
      <c r="F233" s="40"/>
      <c r="G233" s="95"/>
      <c r="H233" s="39"/>
      <c r="I233" s="41"/>
    </row>
    <row r="234" spans="1:9" ht="22.8" x14ac:dyDescent="0.25">
      <c r="A234" s="48"/>
      <c r="B234" s="43" t="s">
        <v>114</v>
      </c>
      <c r="C234" s="43"/>
      <c r="D234" s="43"/>
      <c r="E234" s="39"/>
      <c r="F234" s="40"/>
      <c r="G234" s="95"/>
      <c r="H234" s="39"/>
      <c r="I234" s="41"/>
    </row>
    <row r="235" spans="1:9" ht="22.8" x14ac:dyDescent="0.25">
      <c r="A235" s="48"/>
      <c r="B235" s="43" t="s">
        <v>115</v>
      </c>
      <c r="C235" s="43"/>
      <c r="D235" s="43"/>
      <c r="E235" s="39"/>
      <c r="F235" s="40"/>
      <c r="G235" s="95"/>
      <c r="H235" s="39"/>
      <c r="I235" s="41"/>
    </row>
    <row r="236" spans="1:9" ht="31.2" x14ac:dyDescent="0.25">
      <c r="A236" s="49"/>
      <c r="B236" s="123" t="s">
        <v>0</v>
      </c>
      <c r="C236" s="124" t="s">
        <v>228</v>
      </c>
      <c r="D236" s="124" t="s">
        <v>227</v>
      </c>
      <c r="E236" s="124" t="s">
        <v>226</v>
      </c>
      <c r="F236" s="124" t="s">
        <v>200</v>
      </c>
      <c r="G236" s="125" t="s">
        <v>30</v>
      </c>
      <c r="H236" s="125" t="s">
        <v>20</v>
      </c>
      <c r="I236" s="125" t="s">
        <v>35</v>
      </c>
    </row>
    <row r="237" spans="1:9" x14ac:dyDescent="0.25">
      <c r="A237" s="51"/>
      <c r="B237" s="108" t="s">
        <v>140</v>
      </c>
      <c r="C237" s="5">
        <v>0.99850000000000005</v>
      </c>
      <c r="D237" s="5">
        <v>0.99839999999999995</v>
      </c>
      <c r="E237" s="5">
        <v>0.99850000000000005</v>
      </c>
      <c r="F237" s="5">
        <v>0.94</v>
      </c>
      <c r="G237" s="89" t="s">
        <v>23</v>
      </c>
      <c r="H237" s="7" t="s">
        <v>99</v>
      </c>
      <c r="I237" s="6" t="s">
        <v>7</v>
      </c>
    </row>
    <row r="238" spans="1:9" x14ac:dyDescent="0.25">
      <c r="A238" s="50"/>
      <c r="B238" s="108" t="s">
        <v>2</v>
      </c>
      <c r="C238" s="3">
        <v>0.25309999999999999</v>
      </c>
      <c r="D238" s="3">
        <v>0.2361</v>
      </c>
      <c r="E238" s="3">
        <v>0.26840000000000003</v>
      </c>
      <c r="F238" s="3">
        <v>0.25</v>
      </c>
      <c r="G238" s="90" t="s">
        <v>24</v>
      </c>
      <c r="H238" s="4" t="s">
        <v>54</v>
      </c>
      <c r="I238" s="1" t="s">
        <v>14</v>
      </c>
    </row>
    <row r="239" spans="1:9" x14ac:dyDescent="0.25">
      <c r="A239" s="51"/>
      <c r="B239" s="109" t="s">
        <v>139</v>
      </c>
      <c r="C239" s="117">
        <v>0</v>
      </c>
      <c r="D239" s="117">
        <v>0</v>
      </c>
      <c r="E239" s="117">
        <v>0</v>
      </c>
      <c r="F239" s="117" t="s">
        <v>189</v>
      </c>
      <c r="G239" s="90" t="s">
        <v>23</v>
      </c>
      <c r="H239" s="4" t="s">
        <v>73</v>
      </c>
      <c r="I239" s="136" t="s">
        <v>189</v>
      </c>
    </row>
    <row r="240" spans="1:9" x14ac:dyDescent="0.25">
      <c r="A240" s="51"/>
      <c r="B240" s="108" t="s">
        <v>12</v>
      </c>
      <c r="C240" s="3">
        <v>0.2959</v>
      </c>
      <c r="D240" s="3">
        <v>0.26269999999999999</v>
      </c>
      <c r="E240" s="3">
        <v>0.29260000000000003</v>
      </c>
      <c r="F240" s="3">
        <v>0.28000000000000003</v>
      </c>
      <c r="G240" s="90" t="s">
        <v>24</v>
      </c>
      <c r="H240" s="4" t="s">
        <v>217</v>
      </c>
      <c r="I240" s="1" t="s">
        <v>18</v>
      </c>
    </row>
    <row r="241" spans="1:9" x14ac:dyDescent="0.25">
      <c r="A241" s="51"/>
      <c r="B241" s="110" t="s">
        <v>5</v>
      </c>
      <c r="C241" s="29">
        <f>SUBTOTAL(109,C237:C240)</f>
        <v>1.5475000000000001</v>
      </c>
      <c r="D241" s="29">
        <f>SUBTOTAL(109,D237:D240)</f>
        <v>1.4971999999999999</v>
      </c>
      <c r="E241" s="29">
        <f>SUBTOTAL(109,E237:E240)</f>
        <v>1.5595000000000001</v>
      </c>
      <c r="F241" s="29">
        <f>SUBTOTAL(109,F237:F240)</f>
        <v>1.47</v>
      </c>
      <c r="G241" s="121" t="s">
        <v>189</v>
      </c>
      <c r="H241" s="42" t="s">
        <v>73</v>
      </c>
      <c r="I241" s="115" t="s">
        <v>189</v>
      </c>
    </row>
    <row r="242" spans="1:9" x14ac:dyDescent="0.25">
      <c r="A242" s="51"/>
      <c r="B242" s="108" t="s">
        <v>6</v>
      </c>
      <c r="C242" s="5">
        <v>0.99729999999999996</v>
      </c>
      <c r="D242" s="5">
        <v>0.99829999999999997</v>
      </c>
      <c r="E242" s="5">
        <v>0.99809999999999999</v>
      </c>
      <c r="F242" s="11">
        <v>0.94</v>
      </c>
      <c r="G242" s="90" t="s">
        <v>23</v>
      </c>
      <c r="H242" s="9" t="s">
        <v>99</v>
      </c>
      <c r="I242" s="1" t="s">
        <v>19</v>
      </c>
    </row>
    <row r="243" spans="1:9" x14ac:dyDescent="0.25">
      <c r="A243" s="51"/>
      <c r="B243" s="110" t="s">
        <v>230</v>
      </c>
      <c r="C243" s="69">
        <v>8.9999999999999998E-4</v>
      </c>
      <c r="D243" s="69">
        <v>8.9999999999999998E-4</v>
      </c>
      <c r="E243" s="69">
        <v>8.9999999999999998E-4</v>
      </c>
      <c r="F243" s="142" t="s">
        <v>189</v>
      </c>
      <c r="G243" s="143" t="s">
        <v>189</v>
      </c>
      <c r="H243" s="144" t="s">
        <v>189</v>
      </c>
      <c r="I243" s="154" t="s">
        <v>189</v>
      </c>
    </row>
    <row r="244" spans="1:9" x14ac:dyDescent="0.25">
      <c r="A244" s="20"/>
      <c r="B244" s="17"/>
      <c r="C244" s="17"/>
      <c r="D244" s="17"/>
      <c r="E244" s="19"/>
      <c r="F244" s="18"/>
      <c r="G244" s="92"/>
      <c r="H244" s="19"/>
      <c r="I244" s="175"/>
    </row>
    <row r="245" spans="1:9" ht="22.8" x14ac:dyDescent="0.25">
      <c r="A245" s="53" t="s">
        <v>116</v>
      </c>
      <c r="B245" s="34" t="s">
        <v>117</v>
      </c>
      <c r="C245" s="38"/>
      <c r="D245" s="38"/>
      <c r="E245" s="35"/>
      <c r="F245" s="36"/>
      <c r="G245" s="94"/>
      <c r="H245" s="35"/>
      <c r="I245" s="41"/>
    </row>
    <row r="246" spans="1:9" ht="31.2" x14ac:dyDescent="0.25">
      <c r="A246" s="52"/>
      <c r="B246" s="123" t="s">
        <v>0</v>
      </c>
      <c r="C246" s="129" t="s">
        <v>189</v>
      </c>
      <c r="D246" s="130" t="s">
        <v>190</v>
      </c>
      <c r="E246" s="124" t="s">
        <v>225</v>
      </c>
      <c r="F246" s="124" t="s">
        <v>200</v>
      </c>
      <c r="G246" s="128" t="s">
        <v>30</v>
      </c>
      <c r="H246" s="125" t="s">
        <v>20</v>
      </c>
      <c r="I246" s="125" t="s">
        <v>35</v>
      </c>
    </row>
    <row r="247" spans="1:9" ht="55.2" x14ac:dyDescent="0.25">
      <c r="A247" s="52"/>
      <c r="B247" s="108" t="s">
        <v>140</v>
      </c>
      <c r="C247" s="131" t="s">
        <v>189</v>
      </c>
      <c r="D247" s="132" t="s">
        <v>189</v>
      </c>
      <c r="E247" s="66">
        <v>0.28160000000000002</v>
      </c>
      <c r="F247" s="5">
        <v>0.24</v>
      </c>
      <c r="G247" s="89" t="s">
        <v>4</v>
      </c>
      <c r="H247" s="7" t="s">
        <v>63</v>
      </c>
      <c r="I247" s="6" t="s">
        <v>223</v>
      </c>
    </row>
    <row r="248" spans="1:9" x14ac:dyDescent="0.25">
      <c r="A248" s="52"/>
      <c r="B248" s="108" t="s">
        <v>2</v>
      </c>
      <c r="C248" s="133" t="s">
        <v>189</v>
      </c>
      <c r="D248" s="134" t="s">
        <v>189</v>
      </c>
      <c r="E248" s="67">
        <v>0.30370000000000003</v>
      </c>
      <c r="F248" s="3">
        <v>0.35</v>
      </c>
      <c r="G248" s="90" t="s">
        <v>3</v>
      </c>
      <c r="H248" s="4" t="s">
        <v>118</v>
      </c>
      <c r="I248" s="1" t="s">
        <v>14</v>
      </c>
    </row>
    <row r="249" spans="1:9" x14ac:dyDescent="0.25">
      <c r="A249" s="52"/>
      <c r="B249" s="109" t="s">
        <v>139</v>
      </c>
      <c r="C249" s="131" t="s">
        <v>189</v>
      </c>
      <c r="D249" s="132" t="s">
        <v>189</v>
      </c>
      <c r="E249" s="67">
        <v>0.32650000000000001</v>
      </c>
      <c r="F249" s="3">
        <v>0.35</v>
      </c>
      <c r="G249" s="90" t="s">
        <v>4</v>
      </c>
      <c r="H249" s="4" t="s">
        <v>119</v>
      </c>
      <c r="I249" s="1" t="s">
        <v>15</v>
      </c>
    </row>
    <row r="250" spans="1:9" ht="27.6" x14ac:dyDescent="0.25">
      <c r="A250" s="52"/>
      <c r="B250" s="166" t="s">
        <v>9</v>
      </c>
      <c r="C250" s="133" t="s">
        <v>189</v>
      </c>
      <c r="D250" s="134" t="s">
        <v>189</v>
      </c>
      <c r="E250" s="67">
        <v>6.8999999999999999E-3</v>
      </c>
      <c r="F250" s="3">
        <v>0.05</v>
      </c>
      <c r="G250" s="91" t="s">
        <v>3</v>
      </c>
      <c r="H250" s="9" t="s">
        <v>51</v>
      </c>
      <c r="I250" s="1" t="s">
        <v>16</v>
      </c>
    </row>
    <row r="251" spans="1:9" x14ac:dyDescent="0.25">
      <c r="A251" s="52"/>
      <c r="B251" s="166" t="s">
        <v>10</v>
      </c>
      <c r="C251" s="133" t="s">
        <v>189</v>
      </c>
      <c r="D251" s="134" t="s">
        <v>189</v>
      </c>
      <c r="E251" s="67">
        <v>1.4E-2</v>
      </c>
      <c r="F251" s="3">
        <v>0.05</v>
      </c>
      <c r="G251" s="91" t="s">
        <v>3</v>
      </c>
      <c r="H251" s="9" t="s">
        <v>51</v>
      </c>
      <c r="I251" s="1" t="s">
        <v>17</v>
      </c>
    </row>
    <row r="252" spans="1:9" x14ac:dyDescent="0.25">
      <c r="A252" s="52"/>
      <c r="B252" s="166" t="s">
        <v>11</v>
      </c>
      <c r="C252" s="133" t="s">
        <v>189</v>
      </c>
      <c r="D252" s="134" t="s">
        <v>189</v>
      </c>
      <c r="E252" s="67">
        <v>0</v>
      </c>
      <c r="F252" s="3">
        <v>0.05</v>
      </c>
      <c r="G252" s="91" t="s">
        <v>3</v>
      </c>
      <c r="H252" s="9" t="s">
        <v>51</v>
      </c>
      <c r="I252" s="1" t="s">
        <v>18</v>
      </c>
    </row>
    <row r="253" spans="1:9" x14ac:dyDescent="0.25">
      <c r="A253" s="52"/>
      <c r="B253" s="166" t="s">
        <v>21</v>
      </c>
      <c r="C253" s="133" t="s">
        <v>189</v>
      </c>
      <c r="D253" s="134" t="s">
        <v>189</v>
      </c>
      <c r="E253" s="141">
        <v>0</v>
      </c>
      <c r="F253" s="117" t="s">
        <v>189</v>
      </c>
      <c r="G253" s="91" t="s">
        <v>3</v>
      </c>
      <c r="H253" s="136" t="s">
        <v>189</v>
      </c>
      <c r="I253" s="153" t="s">
        <v>189</v>
      </c>
    </row>
    <row r="254" spans="1:9" ht="15.6" x14ac:dyDescent="0.25">
      <c r="A254" s="52"/>
      <c r="B254" s="166" t="s">
        <v>12</v>
      </c>
      <c r="C254" s="129" t="s">
        <v>189</v>
      </c>
      <c r="D254" s="130" t="s">
        <v>189</v>
      </c>
      <c r="E254" s="67">
        <v>0.10920000000000001</v>
      </c>
      <c r="F254" s="3">
        <v>0.15</v>
      </c>
      <c r="G254" s="90" t="s">
        <v>3</v>
      </c>
      <c r="H254" s="9" t="s">
        <v>52</v>
      </c>
      <c r="I254" s="9" t="s">
        <v>18</v>
      </c>
    </row>
    <row r="255" spans="1:9" x14ac:dyDescent="0.25">
      <c r="A255" s="52"/>
      <c r="B255" s="108" t="s">
        <v>13</v>
      </c>
      <c r="C255" s="131" t="s">
        <v>189</v>
      </c>
      <c r="D255" s="132" t="s">
        <v>189</v>
      </c>
      <c r="E255" s="67">
        <v>1.1000000000000001E-3</v>
      </c>
      <c r="F255" s="3">
        <v>0.05</v>
      </c>
      <c r="G255" s="90" t="s">
        <v>3</v>
      </c>
      <c r="H255" s="10" t="s">
        <v>51</v>
      </c>
      <c r="I255" s="136" t="s">
        <v>189</v>
      </c>
    </row>
    <row r="256" spans="1:9" x14ac:dyDescent="0.25">
      <c r="A256" s="52"/>
      <c r="B256" s="110" t="s">
        <v>5</v>
      </c>
      <c r="C256" s="133" t="s">
        <v>189</v>
      </c>
      <c r="D256" s="134" t="s">
        <v>189</v>
      </c>
      <c r="E256" s="29">
        <f>SUBTOTAL(109,E247:E255)</f>
        <v>1.0430000000000001</v>
      </c>
      <c r="F256" s="29">
        <f>SUBTOTAL(109,F247:F255)</f>
        <v>1.29</v>
      </c>
      <c r="G256" s="121" t="s">
        <v>189</v>
      </c>
      <c r="H256" s="122" t="s">
        <v>189</v>
      </c>
      <c r="I256" s="116" t="s">
        <v>189</v>
      </c>
    </row>
    <row r="257" spans="1:9" x14ac:dyDescent="0.25">
      <c r="A257" s="52"/>
      <c r="B257" s="108" t="s">
        <v>6</v>
      </c>
      <c r="C257" s="131" t="s">
        <v>189</v>
      </c>
      <c r="D257" s="132" t="s">
        <v>189</v>
      </c>
      <c r="E257" s="68">
        <v>0.14530000000000001</v>
      </c>
      <c r="F257" s="11">
        <v>0.15</v>
      </c>
      <c r="G257" s="90" t="s">
        <v>4</v>
      </c>
      <c r="H257" s="9" t="s">
        <v>120</v>
      </c>
      <c r="I257" s="1" t="s">
        <v>19</v>
      </c>
    </row>
    <row r="258" spans="1:9" x14ac:dyDescent="0.25">
      <c r="A258" s="52"/>
      <c r="B258" s="110" t="s">
        <v>230</v>
      </c>
      <c r="C258" s="138" t="s">
        <v>189</v>
      </c>
      <c r="D258" s="139" t="s">
        <v>189</v>
      </c>
      <c r="E258" s="69">
        <v>1.9E-3</v>
      </c>
      <c r="F258" s="115" t="s">
        <v>189</v>
      </c>
      <c r="G258" s="135" t="s">
        <v>189</v>
      </c>
      <c r="H258" s="135" t="s">
        <v>189</v>
      </c>
      <c r="I258" s="154" t="s">
        <v>189</v>
      </c>
    </row>
    <row r="259" spans="1:9" x14ac:dyDescent="0.25">
      <c r="A259" s="20"/>
      <c r="B259" s="17"/>
      <c r="C259" s="17"/>
      <c r="D259" s="17"/>
      <c r="E259" s="19"/>
      <c r="F259" s="18"/>
      <c r="G259" s="92"/>
      <c r="H259" s="19"/>
      <c r="I259" s="175"/>
    </row>
    <row r="260" spans="1:9" ht="22.8" x14ac:dyDescent="0.25">
      <c r="A260" s="53" t="s">
        <v>116</v>
      </c>
      <c r="B260" s="34" t="s">
        <v>121</v>
      </c>
      <c r="C260" s="34"/>
      <c r="D260" s="34"/>
      <c r="E260" s="35"/>
      <c r="F260" s="36"/>
      <c r="G260" s="94"/>
      <c r="H260" s="35"/>
      <c r="I260" s="41"/>
    </row>
    <row r="261" spans="1:9" ht="31.2" x14ac:dyDescent="0.25">
      <c r="A261" s="52"/>
      <c r="B261" s="123" t="s">
        <v>0</v>
      </c>
      <c r="C261" s="129" t="s">
        <v>189</v>
      </c>
      <c r="D261" s="130" t="s">
        <v>190</v>
      </c>
      <c r="E261" s="124" t="s">
        <v>225</v>
      </c>
      <c r="F261" s="124" t="s">
        <v>200</v>
      </c>
      <c r="G261" s="128" t="s">
        <v>30</v>
      </c>
      <c r="H261" s="125" t="s">
        <v>20</v>
      </c>
      <c r="I261" s="125" t="s">
        <v>35</v>
      </c>
    </row>
    <row r="262" spans="1:9" ht="27.6" x14ac:dyDescent="0.25">
      <c r="A262" s="52"/>
      <c r="B262" s="108" t="s">
        <v>140</v>
      </c>
      <c r="C262" s="131" t="s">
        <v>189</v>
      </c>
      <c r="D262" s="132" t="s">
        <v>189</v>
      </c>
      <c r="E262" s="5">
        <v>0.48180000000000001</v>
      </c>
      <c r="F262" s="5">
        <v>0.45</v>
      </c>
      <c r="G262" s="89" t="s">
        <v>4</v>
      </c>
      <c r="H262" s="7" t="s">
        <v>66</v>
      </c>
      <c r="I262" s="6" t="s">
        <v>232</v>
      </c>
    </row>
    <row r="263" spans="1:9" x14ac:dyDescent="0.25">
      <c r="A263" s="52"/>
      <c r="B263" s="108" t="s">
        <v>2</v>
      </c>
      <c r="C263" s="133" t="s">
        <v>189</v>
      </c>
      <c r="D263" s="134" t="s">
        <v>189</v>
      </c>
      <c r="E263" s="3">
        <v>0.26590000000000003</v>
      </c>
      <c r="F263" s="3">
        <v>0.3</v>
      </c>
      <c r="G263" s="90" t="s">
        <v>3</v>
      </c>
      <c r="H263" s="4" t="s">
        <v>60</v>
      </c>
      <c r="I263" s="1" t="s">
        <v>14</v>
      </c>
    </row>
    <row r="264" spans="1:9" x14ac:dyDescent="0.25">
      <c r="A264" s="52"/>
      <c r="B264" s="109" t="s">
        <v>139</v>
      </c>
      <c r="C264" s="131" t="s">
        <v>189</v>
      </c>
      <c r="D264" s="132" t="s">
        <v>189</v>
      </c>
      <c r="E264" s="3">
        <v>0.27239999999999998</v>
      </c>
      <c r="F264" s="3">
        <v>0.25</v>
      </c>
      <c r="G264" s="90" t="s">
        <v>4</v>
      </c>
      <c r="H264" s="4" t="s">
        <v>57</v>
      </c>
      <c r="I264" s="1" t="s">
        <v>15</v>
      </c>
    </row>
    <row r="265" spans="1:9" ht="27.6" x14ac:dyDescent="0.25">
      <c r="A265" s="52"/>
      <c r="B265" s="166" t="s">
        <v>9</v>
      </c>
      <c r="C265" s="133" t="s">
        <v>189</v>
      </c>
      <c r="D265" s="134" t="s">
        <v>189</v>
      </c>
      <c r="E265" s="3">
        <v>1.6999999999999999E-3</v>
      </c>
      <c r="F265" s="3">
        <v>0.05</v>
      </c>
      <c r="G265" s="91" t="s">
        <v>3</v>
      </c>
      <c r="H265" s="9" t="s">
        <v>51</v>
      </c>
      <c r="I265" s="1" t="s">
        <v>16</v>
      </c>
    </row>
    <row r="266" spans="1:9" x14ac:dyDescent="0.25">
      <c r="A266" s="52"/>
      <c r="B266" s="166" t="s">
        <v>10</v>
      </c>
      <c r="C266" s="133" t="s">
        <v>189</v>
      </c>
      <c r="D266" s="134" t="s">
        <v>189</v>
      </c>
      <c r="E266" s="3">
        <v>4.4999999999999997E-3</v>
      </c>
      <c r="F266" s="3">
        <v>0.05</v>
      </c>
      <c r="G266" s="91" t="s">
        <v>3</v>
      </c>
      <c r="H266" s="9" t="s">
        <v>51</v>
      </c>
      <c r="I266" s="1" t="s">
        <v>17</v>
      </c>
    </row>
    <row r="267" spans="1:9" x14ac:dyDescent="0.25">
      <c r="A267" s="52"/>
      <c r="B267" s="166" t="s">
        <v>11</v>
      </c>
      <c r="C267" s="133" t="s">
        <v>189</v>
      </c>
      <c r="D267" s="134" t="s">
        <v>189</v>
      </c>
      <c r="E267" s="117">
        <v>0</v>
      </c>
      <c r="F267" s="3">
        <v>0.05</v>
      </c>
      <c r="G267" s="91" t="s">
        <v>3</v>
      </c>
      <c r="H267" s="9" t="s">
        <v>51</v>
      </c>
      <c r="I267" s="1" t="s">
        <v>18</v>
      </c>
    </row>
    <row r="268" spans="1:9" x14ac:dyDescent="0.25">
      <c r="A268" s="52"/>
      <c r="B268" s="166" t="s">
        <v>21</v>
      </c>
      <c r="C268" s="133" t="s">
        <v>189</v>
      </c>
      <c r="D268" s="134" t="s">
        <v>189</v>
      </c>
      <c r="E268" s="117">
        <v>0</v>
      </c>
      <c r="F268" s="117" t="s">
        <v>189</v>
      </c>
      <c r="G268" s="91" t="s">
        <v>3</v>
      </c>
      <c r="H268" s="9" t="s">
        <v>73</v>
      </c>
      <c r="I268" s="153" t="s">
        <v>189</v>
      </c>
    </row>
    <row r="269" spans="1:9" ht="15.6" x14ac:dyDescent="0.25">
      <c r="A269" s="52"/>
      <c r="B269" s="166" t="s">
        <v>12</v>
      </c>
      <c r="C269" s="129" t="s">
        <v>189</v>
      </c>
      <c r="D269" s="130" t="s">
        <v>189</v>
      </c>
      <c r="E269" s="3">
        <v>0.1081</v>
      </c>
      <c r="F269" s="3">
        <v>0.15</v>
      </c>
      <c r="G269" s="90" t="s">
        <v>3</v>
      </c>
      <c r="H269" s="9" t="s">
        <v>52</v>
      </c>
      <c r="I269" s="9" t="s">
        <v>18</v>
      </c>
    </row>
    <row r="270" spans="1:9" x14ac:dyDescent="0.25">
      <c r="A270" s="52"/>
      <c r="B270" s="108" t="s">
        <v>13</v>
      </c>
      <c r="C270" s="131" t="s">
        <v>189</v>
      </c>
      <c r="D270" s="132" t="s">
        <v>189</v>
      </c>
      <c r="E270" s="3">
        <v>0</v>
      </c>
      <c r="F270" s="3">
        <v>0.05</v>
      </c>
      <c r="G270" s="90" t="s">
        <v>3</v>
      </c>
      <c r="H270" s="10" t="s">
        <v>51</v>
      </c>
      <c r="I270" s="136" t="s">
        <v>189</v>
      </c>
    </row>
    <row r="271" spans="1:9" x14ac:dyDescent="0.25">
      <c r="A271" s="52"/>
      <c r="B271" s="110" t="s">
        <v>5</v>
      </c>
      <c r="C271" s="133" t="s">
        <v>189</v>
      </c>
      <c r="D271" s="134" t="s">
        <v>189</v>
      </c>
      <c r="E271" s="29">
        <f>SUBTOTAL(109,E262:E270)</f>
        <v>1.1344000000000001</v>
      </c>
      <c r="F271" s="29">
        <f>SUBTOTAL(109,F262:F270)</f>
        <v>1.35</v>
      </c>
      <c r="G271" s="121" t="s">
        <v>189</v>
      </c>
      <c r="H271" s="42" t="s">
        <v>73</v>
      </c>
      <c r="I271" s="116" t="s">
        <v>189</v>
      </c>
    </row>
    <row r="272" spans="1:9" x14ac:dyDescent="0.25">
      <c r="A272" s="52"/>
      <c r="B272" s="108" t="s">
        <v>6</v>
      </c>
      <c r="C272" s="131" t="s">
        <v>189</v>
      </c>
      <c r="D272" s="132" t="s">
        <v>189</v>
      </c>
      <c r="E272" s="11">
        <v>0.2248</v>
      </c>
      <c r="F272" s="11">
        <v>0.25</v>
      </c>
      <c r="G272" s="90" t="s">
        <v>4</v>
      </c>
      <c r="H272" s="9" t="s">
        <v>57</v>
      </c>
      <c r="I272" s="1" t="s">
        <v>19</v>
      </c>
    </row>
    <row r="273" spans="1:9" x14ac:dyDescent="0.25">
      <c r="A273" s="52"/>
      <c r="B273" s="110" t="s">
        <v>230</v>
      </c>
      <c r="C273" s="138" t="s">
        <v>189</v>
      </c>
      <c r="D273" s="139" t="s">
        <v>189</v>
      </c>
      <c r="E273" s="69">
        <v>1.9E-3</v>
      </c>
      <c r="F273" s="115" t="s">
        <v>189</v>
      </c>
      <c r="G273" s="135" t="s">
        <v>189</v>
      </c>
      <c r="H273" s="135" t="s">
        <v>189</v>
      </c>
      <c r="I273" s="154" t="s">
        <v>189</v>
      </c>
    </row>
    <row r="274" spans="1:9" x14ac:dyDescent="0.25">
      <c r="A274" s="20"/>
      <c r="B274" s="17"/>
      <c r="C274" s="17"/>
      <c r="D274" s="17"/>
      <c r="E274" s="19"/>
      <c r="F274" s="18"/>
      <c r="G274" s="92"/>
      <c r="H274" s="19"/>
      <c r="I274" s="175"/>
    </row>
    <row r="275" spans="1:9" ht="22.8" x14ac:dyDescent="0.25">
      <c r="A275" s="53" t="s">
        <v>116</v>
      </c>
      <c r="B275" s="34" t="s">
        <v>122</v>
      </c>
      <c r="C275" s="34"/>
      <c r="D275" s="34"/>
      <c r="E275" s="35"/>
      <c r="F275" s="36"/>
      <c r="G275" s="94"/>
      <c r="H275" s="35"/>
      <c r="I275" s="41"/>
    </row>
    <row r="276" spans="1:9" ht="31.2" x14ac:dyDescent="0.25">
      <c r="A276" s="52"/>
      <c r="B276" s="137" t="s">
        <v>0</v>
      </c>
      <c r="C276" s="129" t="s">
        <v>189</v>
      </c>
      <c r="D276" s="130" t="s">
        <v>190</v>
      </c>
      <c r="E276" s="124" t="s">
        <v>225</v>
      </c>
      <c r="F276" s="124" t="s">
        <v>200</v>
      </c>
      <c r="G276" s="128" t="s">
        <v>30</v>
      </c>
      <c r="H276" s="125" t="s">
        <v>20</v>
      </c>
      <c r="I276" s="125" t="s">
        <v>35</v>
      </c>
    </row>
    <row r="277" spans="1:9" ht="27.6" x14ac:dyDescent="0.25">
      <c r="A277" s="52"/>
      <c r="B277" s="108" t="s">
        <v>140</v>
      </c>
      <c r="C277" s="131" t="s">
        <v>189</v>
      </c>
      <c r="D277" s="132" t="s">
        <v>189</v>
      </c>
      <c r="E277" s="5">
        <v>0.97670000000000001</v>
      </c>
      <c r="F277" s="5">
        <v>0.95</v>
      </c>
      <c r="G277" s="89" t="s">
        <v>4</v>
      </c>
      <c r="H277" s="7" t="s">
        <v>123</v>
      </c>
      <c r="I277" s="6" t="s">
        <v>232</v>
      </c>
    </row>
    <row r="278" spans="1:9" x14ac:dyDescent="0.25">
      <c r="A278" s="52"/>
      <c r="B278" s="108" t="s">
        <v>2</v>
      </c>
      <c r="C278" s="133" t="s">
        <v>189</v>
      </c>
      <c r="D278" s="134" t="s">
        <v>189</v>
      </c>
      <c r="E278" s="3">
        <v>0.27710000000000001</v>
      </c>
      <c r="F278" s="3">
        <v>0.3</v>
      </c>
      <c r="G278" s="90" t="s">
        <v>3</v>
      </c>
      <c r="H278" s="4" t="s">
        <v>60</v>
      </c>
      <c r="I278" s="1" t="s">
        <v>14</v>
      </c>
    </row>
    <row r="279" spans="1:9" x14ac:dyDescent="0.25">
      <c r="A279" s="52"/>
      <c r="B279" s="109" t="s">
        <v>139</v>
      </c>
      <c r="C279" s="131" t="s">
        <v>189</v>
      </c>
      <c r="D279" s="132" t="s">
        <v>189</v>
      </c>
      <c r="E279" s="3">
        <v>3.0599999999999999E-2</v>
      </c>
      <c r="F279" s="3">
        <v>0.06</v>
      </c>
      <c r="G279" s="90" t="s">
        <v>4</v>
      </c>
      <c r="H279" s="4" t="s">
        <v>58</v>
      </c>
      <c r="I279" s="1" t="s">
        <v>15</v>
      </c>
    </row>
    <row r="280" spans="1:9" ht="27.6" x14ac:dyDescent="0.25">
      <c r="A280" s="52"/>
      <c r="B280" s="166" t="s">
        <v>9</v>
      </c>
      <c r="C280" s="133" t="s">
        <v>189</v>
      </c>
      <c r="D280" s="134" t="s">
        <v>189</v>
      </c>
      <c r="E280" s="3">
        <v>2.2200000000000001E-2</v>
      </c>
      <c r="F280" s="3">
        <v>0.05</v>
      </c>
      <c r="G280" s="91" t="s">
        <v>3</v>
      </c>
      <c r="H280" s="9" t="s">
        <v>51</v>
      </c>
      <c r="I280" s="1" t="s">
        <v>16</v>
      </c>
    </row>
    <row r="281" spans="1:9" x14ac:dyDescent="0.25">
      <c r="A281" s="52"/>
      <c r="B281" s="166" t="s">
        <v>10</v>
      </c>
      <c r="C281" s="133" t="s">
        <v>189</v>
      </c>
      <c r="D281" s="134" t="s">
        <v>189</v>
      </c>
      <c r="E281" s="3">
        <v>2.3E-3</v>
      </c>
      <c r="F281" s="3">
        <v>0.05</v>
      </c>
      <c r="G281" s="91" t="s">
        <v>3</v>
      </c>
      <c r="H281" s="9" t="s">
        <v>51</v>
      </c>
      <c r="I281" s="1" t="s">
        <v>17</v>
      </c>
    </row>
    <row r="282" spans="1:9" x14ac:dyDescent="0.25">
      <c r="A282" s="52"/>
      <c r="B282" s="166" t="s">
        <v>11</v>
      </c>
      <c r="C282" s="133" t="s">
        <v>189</v>
      </c>
      <c r="D282" s="134" t="s">
        <v>189</v>
      </c>
      <c r="E282" s="3">
        <v>0</v>
      </c>
      <c r="F282" s="3">
        <v>0.05</v>
      </c>
      <c r="G282" s="91" t="s">
        <v>3</v>
      </c>
      <c r="H282" s="9" t="s">
        <v>51</v>
      </c>
      <c r="I282" s="1" t="s">
        <v>18</v>
      </c>
    </row>
    <row r="283" spans="1:9" x14ac:dyDescent="0.25">
      <c r="A283" s="52"/>
      <c r="B283" s="166" t="s">
        <v>21</v>
      </c>
      <c r="C283" s="133" t="s">
        <v>189</v>
      </c>
      <c r="D283" s="134" t="s">
        <v>189</v>
      </c>
      <c r="E283" s="3">
        <v>0</v>
      </c>
      <c r="F283" s="3">
        <v>0.05</v>
      </c>
      <c r="G283" s="91" t="s">
        <v>3</v>
      </c>
      <c r="H283" s="9" t="s">
        <v>51</v>
      </c>
      <c r="I283" s="1" t="s">
        <v>18</v>
      </c>
    </row>
    <row r="284" spans="1:9" ht="15.6" x14ac:dyDescent="0.25">
      <c r="A284" s="52"/>
      <c r="B284" s="108" t="s">
        <v>12</v>
      </c>
      <c r="C284" s="129" t="s">
        <v>189</v>
      </c>
      <c r="D284" s="130" t="s">
        <v>189</v>
      </c>
      <c r="E284" s="3">
        <v>0.15720000000000001</v>
      </c>
      <c r="F284" s="3">
        <v>0.12</v>
      </c>
      <c r="G284" s="90" t="s">
        <v>3</v>
      </c>
      <c r="H284" s="9" t="s">
        <v>56</v>
      </c>
      <c r="I284" s="9" t="s">
        <v>18</v>
      </c>
    </row>
    <row r="285" spans="1:9" x14ac:dyDescent="0.25">
      <c r="A285" s="52"/>
      <c r="B285" s="108" t="s">
        <v>13</v>
      </c>
      <c r="C285" s="131" t="s">
        <v>189</v>
      </c>
      <c r="D285" s="132" t="s">
        <v>189</v>
      </c>
      <c r="E285" s="3">
        <v>2E-3</v>
      </c>
      <c r="F285" s="3">
        <v>0.05</v>
      </c>
      <c r="G285" s="90" t="s">
        <v>3</v>
      </c>
      <c r="H285" s="10" t="s">
        <v>51</v>
      </c>
      <c r="I285" s="136" t="s">
        <v>189</v>
      </c>
    </row>
    <row r="286" spans="1:9" x14ac:dyDescent="0.25">
      <c r="A286" s="52"/>
      <c r="B286" s="110" t="s">
        <v>5</v>
      </c>
      <c r="C286" s="133" t="s">
        <v>189</v>
      </c>
      <c r="D286" s="134" t="s">
        <v>189</v>
      </c>
      <c r="E286" s="103">
        <f>SUBTOTAL(109,E277:E285)</f>
        <v>1.4681</v>
      </c>
      <c r="F286" s="103">
        <f>SUBTOTAL(109,F277:F285)</f>
        <v>1.6800000000000004</v>
      </c>
      <c r="G286" s="121" t="s">
        <v>189</v>
      </c>
      <c r="H286" s="122" t="s">
        <v>189</v>
      </c>
      <c r="I286" s="116" t="s">
        <v>189</v>
      </c>
    </row>
    <row r="287" spans="1:9" x14ac:dyDescent="0.25">
      <c r="A287" s="52"/>
      <c r="B287" s="108" t="s">
        <v>6</v>
      </c>
      <c r="C287" s="131" t="s">
        <v>189</v>
      </c>
      <c r="D287" s="132" t="s">
        <v>189</v>
      </c>
      <c r="E287" s="11">
        <v>0.2243</v>
      </c>
      <c r="F287" s="11">
        <v>0.26</v>
      </c>
      <c r="G287" s="90" t="s">
        <v>4</v>
      </c>
      <c r="H287" s="9" t="s">
        <v>203</v>
      </c>
      <c r="I287" s="1" t="s">
        <v>19</v>
      </c>
    </row>
    <row r="288" spans="1:9" x14ac:dyDescent="0.25">
      <c r="A288" s="52"/>
      <c r="B288" s="110" t="s">
        <v>230</v>
      </c>
      <c r="C288" s="138" t="s">
        <v>189</v>
      </c>
      <c r="D288" s="139" t="s">
        <v>189</v>
      </c>
      <c r="E288" s="69">
        <v>1.9E-3</v>
      </c>
      <c r="F288" s="115" t="s">
        <v>189</v>
      </c>
      <c r="G288" s="135" t="s">
        <v>189</v>
      </c>
      <c r="H288" s="135" t="s">
        <v>189</v>
      </c>
      <c r="I288" s="154" t="s">
        <v>189</v>
      </c>
    </row>
    <row r="289" spans="1:9" x14ac:dyDescent="0.25">
      <c r="A289" s="20"/>
      <c r="B289" s="17"/>
      <c r="C289" s="17"/>
      <c r="D289" s="17"/>
      <c r="E289" s="19"/>
      <c r="F289" s="18"/>
      <c r="G289" s="92"/>
      <c r="H289" s="19"/>
      <c r="I289" s="175"/>
    </row>
    <row r="290" spans="1:9" ht="22.8" x14ac:dyDescent="0.25">
      <c r="A290" s="53" t="s">
        <v>116</v>
      </c>
      <c r="B290" s="34" t="s">
        <v>124</v>
      </c>
      <c r="C290" s="34"/>
      <c r="D290" s="34"/>
      <c r="E290" s="35"/>
      <c r="F290" s="36"/>
      <c r="G290" s="94"/>
      <c r="H290" s="35"/>
      <c r="I290" s="41"/>
    </row>
    <row r="291" spans="1:9" ht="31.2" x14ac:dyDescent="0.25">
      <c r="A291" s="52"/>
      <c r="B291" s="123" t="s">
        <v>0</v>
      </c>
      <c r="C291" s="129" t="s">
        <v>189</v>
      </c>
      <c r="D291" s="130" t="s">
        <v>190</v>
      </c>
      <c r="E291" s="124" t="s">
        <v>225</v>
      </c>
      <c r="F291" s="124" t="s">
        <v>200</v>
      </c>
      <c r="G291" s="128" t="s">
        <v>30</v>
      </c>
      <c r="H291" s="125" t="s">
        <v>20</v>
      </c>
      <c r="I291" s="125" t="s">
        <v>35</v>
      </c>
    </row>
    <row r="292" spans="1:9" ht="27.6" x14ac:dyDescent="0.25">
      <c r="A292" s="52"/>
      <c r="B292" s="108" t="s">
        <v>140</v>
      </c>
      <c r="C292" s="131" t="s">
        <v>189</v>
      </c>
      <c r="D292" s="132" t="s">
        <v>190</v>
      </c>
      <c r="E292" s="5">
        <v>0.96450000000000002</v>
      </c>
      <c r="F292" s="5">
        <v>0.94</v>
      </c>
      <c r="G292" s="90" t="s">
        <v>4</v>
      </c>
      <c r="H292" s="7" t="s">
        <v>99</v>
      </c>
      <c r="I292" s="6" t="s">
        <v>232</v>
      </c>
    </row>
    <row r="293" spans="1:9" x14ac:dyDescent="0.25">
      <c r="A293" s="52"/>
      <c r="B293" s="108" t="s">
        <v>2</v>
      </c>
      <c r="C293" s="133" t="s">
        <v>189</v>
      </c>
      <c r="D293" s="134" t="s">
        <v>189</v>
      </c>
      <c r="E293" s="3">
        <v>0.2339</v>
      </c>
      <c r="F293" s="3">
        <v>0.25</v>
      </c>
      <c r="G293" s="90" t="s">
        <v>3</v>
      </c>
      <c r="H293" s="4" t="s">
        <v>54</v>
      </c>
      <c r="I293" s="1" t="s">
        <v>14</v>
      </c>
    </row>
    <row r="294" spans="1:9" x14ac:dyDescent="0.25">
      <c r="A294" s="52"/>
      <c r="B294" s="109" t="s">
        <v>139</v>
      </c>
      <c r="C294" s="131" t="s">
        <v>189</v>
      </c>
      <c r="D294" s="132" t="s">
        <v>189</v>
      </c>
      <c r="E294" s="3">
        <v>9.3100000000000002E-2</v>
      </c>
      <c r="F294" s="3">
        <v>0.14000000000000001</v>
      </c>
      <c r="G294" s="90" t="s">
        <v>4</v>
      </c>
      <c r="H294" s="4" t="s">
        <v>125</v>
      </c>
      <c r="I294" s="1" t="s">
        <v>15</v>
      </c>
    </row>
    <row r="295" spans="1:9" x14ac:dyDescent="0.25">
      <c r="A295" s="52"/>
      <c r="B295" s="108" t="s">
        <v>12</v>
      </c>
      <c r="C295" s="133" t="s">
        <v>189</v>
      </c>
      <c r="D295" s="134" t="s">
        <v>189</v>
      </c>
      <c r="E295" s="3">
        <v>0.1628</v>
      </c>
      <c r="F295" s="3">
        <v>0.15</v>
      </c>
      <c r="G295" s="90" t="s">
        <v>3</v>
      </c>
      <c r="H295" s="9" t="s">
        <v>52</v>
      </c>
      <c r="I295" s="9" t="s">
        <v>18</v>
      </c>
    </row>
    <row r="296" spans="1:9" x14ac:dyDescent="0.25">
      <c r="A296" s="52"/>
      <c r="B296" s="110" t="s">
        <v>5</v>
      </c>
      <c r="C296" s="133" t="s">
        <v>189</v>
      </c>
      <c r="D296" s="134" t="s">
        <v>189</v>
      </c>
      <c r="E296" s="29">
        <f>SUBTOTAL(109,E292:E295)</f>
        <v>1.4542999999999999</v>
      </c>
      <c r="F296" s="29">
        <f>SUBTOTAL(109,F292:F295)</f>
        <v>1.48</v>
      </c>
      <c r="G296" s="121" t="s">
        <v>189</v>
      </c>
      <c r="H296" s="42" t="s">
        <v>73</v>
      </c>
      <c r="I296" s="116" t="s">
        <v>189</v>
      </c>
    </row>
    <row r="297" spans="1:9" x14ac:dyDescent="0.25">
      <c r="A297" s="52"/>
      <c r="B297" s="108" t="s">
        <v>6</v>
      </c>
      <c r="C297" s="133" t="s">
        <v>189</v>
      </c>
      <c r="D297" s="134" t="s">
        <v>189</v>
      </c>
      <c r="E297" s="11">
        <v>0.27339999999999998</v>
      </c>
      <c r="F297" s="11">
        <v>0.24</v>
      </c>
      <c r="G297" s="90" t="s">
        <v>4</v>
      </c>
      <c r="H297" s="9" t="s">
        <v>63</v>
      </c>
      <c r="I297" s="1" t="s">
        <v>19</v>
      </c>
    </row>
    <row r="298" spans="1:9" x14ac:dyDescent="0.25">
      <c r="A298" s="52"/>
      <c r="B298" s="110" t="s">
        <v>230</v>
      </c>
      <c r="C298" s="133" t="s">
        <v>189</v>
      </c>
      <c r="D298" s="134" t="s">
        <v>189</v>
      </c>
      <c r="E298" s="69">
        <v>1.5E-3</v>
      </c>
      <c r="F298" s="115" t="s">
        <v>189</v>
      </c>
      <c r="G298" s="135" t="s">
        <v>189</v>
      </c>
      <c r="H298" s="135" t="s">
        <v>189</v>
      </c>
      <c r="I298" s="154" t="s">
        <v>189</v>
      </c>
    </row>
    <row r="299" spans="1:9" x14ac:dyDescent="0.25">
      <c r="A299" s="20"/>
      <c r="B299" s="17"/>
      <c r="C299" s="17"/>
      <c r="D299" s="17"/>
      <c r="E299" s="19"/>
      <c r="F299" s="18"/>
      <c r="G299" s="92"/>
      <c r="H299" s="19"/>
      <c r="I299" s="175"/>
    </row>
    <row r="300" spans="1:9" ht="22.8" x14ac:dyDescent="0.25">
      <c r="A300" s="53" t="s">
        <v>116</v>
      </c>
      <c r="B300" s="34" t="s">
        <v>126</v>
      </c>
      <c r="C300" s="34"/>
      <c r="D300" s="34"/>
      <c r="E300" s="35"/>
      <c r="F300" s="36"/>
      <c r="G300" s="94"/>
      <c r="H300" s="35"/>
      <c r="I300" s="41"/>
    </row>
    <row r="301" spans="1:9" ht="31.2" x14ac:dyDescent="0.25">
      <c r="A301" s="52"/>
      <c r="B301" s="14" t="s">
        <v>0</v>
      </c>
      <c r="C301" s="233" t="s">
        <v>189</v>
      </c>
      <c r="D301" s="234" t="s">
        <v>190</v>
      </c>
      <c r="E301" s="15" t="s">
        <v>225</v>
      </c>
      <c r="F301" s="15" t="s">
        <v>200</v>
      </c>
      <c r="G301" s="88" t="s">
        <v>30</v>
      </c>
      <c r="H301" s="14" t="s">
        <v>20</v>
      </c>
      <c r="I301" s="14" t="s">
        <v>35</v>
      </c>
    </row>
    <row r="302" spans="1:9" x14ac:dyDescent="0.25">
      <c r="A302" s="52"/>
      <c r="B302" s="108" t="s">
        <v>140</v>
      </c>
      <c r="C302" s="131" t="s">
        <v>189</v>
      </c>
      <c r="D302" s="132" t="s">
        <v>190</v>
      </c>
      <c r="E302" s="5" t="s">
        <v>237</v>
      </c>
      <c r="F302" s="5" t="s">
        <v>238</v>
      </c>
      <c r="G302" s="89" t="s">
        <v>4</v>
      </c>
      <c r="H302" s="7" t="s">
        <v>64</v>
      </c>
      <c r="I302" s="54" t="s">
        <v>25</v>
      </c>
    </row>
    <row r="303" spans="1:9" x14ac:dyDescent="0.25">
      <c r="A303" s="52"/>
      <c r="B303" s="108" t="s">
        <v>2</v>
      </c>
      <c r="C303" s="133" t="s">
        <v>189</v>
      </c>
      <c r="D303" s="134" t="s">
        <v>189</v>
      </c>
      <c r="E303" s="3">
        <v>0.23200000000000001</v>
      </c>
      <c r="F303" s="3">
        <v>0.25</v>
      </c>
      <c r="G303" s="90" t="s">
        <v>3</v>
      </c>
      <c r="H303" s="4" t="s">
        <v>54</v>
      </c>
      <c r="I303" s="1" t="s">
        <v>26</v>
      </c>
    </row>
    <row r="304" spans="1:9" x14ac:dyDescent="0.25">
      <c r="A304" s="52"/>
      <c r="B304" s="109" t="s">
        <v>139</v>
      </c>
      <c r="C304" s="131" t="s">
        <v>189</v>
      </c>
      <c r="D304" s="132" t="s">
        <v>189</v>
      </c>
      <c r="E304" s="3">
        <v>0.28149999999999997</v>
      </c>
      <c r="F304" s="3">
        <v>0.34</v>
      </c>
      <c r="G304" s="90" t="s">
        <v>4</v>
      </c>
      <c r="H304" s="4" t="s">
        <v>127</v>
      </c>
      <c r="I304" s="1" t="s">
        <v>26</v>
      </c>
    </row>
    <row r="305" spans="1:9" x14ac:dyDescent="0.25">
      <c r="A305" s="52"/>
      <c r="B305" s="108" t="s">
        <v>12</v>
      </c>
      <c r="C305" s="133" t="s">
        <v>189</v>
      </c>
      <c r="D305" s="134" t="s">
        <v>189</v>
      </c>
      <c r="E305" s="3">
        <v>0.23449999999999999</v>
      </c>
      <c r="F305" s="3">
        <v>0.21</v>
      </c>
      <c r="G305" s="90" t="s">
        <v>3</v>
      </c>
      <c r="H305" s="9" t="s">
        <v>128</v>
      </c>
      <c r="I305" s="9" t="s">
        <v>18</v>
      </c>
    </row>
    <row r="306" spans="1:9" x14ac:dyDescent="0.25">
      <c r="A306" s="52"/>
      <c r="B306" s="110" t="s">
        <v>5</v>
      </c>
      <c r="C306" s="133" t="s">
        <v>189</v>
      </c>
      <c r="D306" s="134" t="s">
        <v>189</v>
      </c>
      <c r="E306" s="29">
        <f>SUBTOTAL(109,E302:E305)</f>
        <v>0.748</v>
      </c>
      <c r="F306" s="29">
        <f>SUBTOTAL(109,F302:F305)</f>
        <v>0.8</v>
      </c>
      <c r="G306" s="121" t="s">
        <v>189</v>
      </c>
      <c r="H306" s="42" t="s">
        <v>73</v>
      </c>
      <c r="I306" s="116" t="s">
        <v>189</v>
      </c>
    </row>
    <row r="307" spans="1:9" x14ac:dyDescent="0.25">
      <c r="A307" s="52"/>
      <c r="B307" s="108" t="s">
        <v>6</v>
      </c>
      <c r="C307" s="133" t="s">
        <v>189</v>
      </c>
      <c r="D307" s="134" t="s">
        <v>189</v>
      </c>
      <c r="E307" s="11">
        <v>0.83679999999999999</v>
      </c>
      <c r="F307" s="11">
        <v>0.81</v>
      </c>
      <c r="G307" s="90" t="s">
        <v>4</v>
      </c>
      <c r="H307" s="9" t="s">
        <v>129</v>
      </c>
      <c r="I307" s="1" t="s">
        <v>19</v>
      </c>
    </row>
    <row r="308" spans="1:9" x14ac:dyDescent="0.25">
      <c r="A308" s="52"/>
      <c r="B308" s="110" t="s">
        <v>230</v>
      </c>
      <c r="C308" s="133" t="s">
        <v>189</v>
      </c>
      <c r="D308" s="134" t="s">
        <v>189</v>
      </c>
      <c r="E308" s="69">
        <v>3.0000000000000001E-3</v>
      </c>
      <c r="F308" s="115" t="s">
        <v>189</v>
      </c>
      <c r="G308" s="135" t="s">
        <v>189</v>
      </c>
      <c r="H308" s="135" t="s">
        <v>189</v>
      </c>
      <c r="I308" s="154" t="s">
        <v>189</v>
      </c>
    </row>
    <row r="309" spans="1:9" ht="15.6" x14ac:dyDescent="0.25">
      <c r="A309" s="56" t="s">
        <v>8</v>
      </c>
      <c r="B309" s="17"/>
      <c r="C309" s="17"/>
      <c r="D309" s="17"/>
      <c r="E309" s="19"/>
      <c r="F309" s="18"/>
      <c r="G309" s="92"/>
      <c r="H309" s="19"/>
      <c r="I309" s="175"/>
    </row>
    <row r="310" spans="1:9" s="99" customFormat="1" x14ac:dyDescent="0.25">
      <c r="A310" s="61" t="s">
        <v>137</v>
      </c>
      <c r="B310" s="62"/>
      <c r="C310" s="62"/>
      <c r="D310" s="62"/>
      <c r="E310" s="60"/>
      <c r="F310" s="60"/>
      <c r="G310" s="96"/>
      <c r="H310" s="60"/>
      <c r="I310" s="86"/>
    </row>
    <row r="311" spans="1:9" x14ac:dyDescent="0.25">
      <c r="A311" s="59" t="s">
        <v>136</v>
      </c>
      <c r="B311" s="63"/>
      <c r="C311" s="63"/>
      <c r="D311" s="63"/>
      <c r="E311" s="58"/>
      <c r="F311" s="58"/>
      <c r="G311" s="97"/>
      <c r="H311" s="58"/>
      <c r="I311" s="87"/>
    </row>
    <row r="312" spans="1:9" x14ac:dyDescent="0.25">
      <c r="A312" s="55"/>
      <c r="B312" s="17"/>
      <c r="C312" s="17"/>
      <c r="D312" s="17"/>
      <c r="E312" s="19"/>
      <c r="F312" s="18"/>
      <c r="G312" s="92"/>
      <c r="H312" s="19"/>
      <c r="I312" s="175"/>
    </row>
    <row r="10000" spans="10:52" x14ac:dyDescent="0.25">
      <c r="J10000" s="98">
        <v>46</v>
      </c>
      <c r="K10000" s="98">
        <v>24</v>
      </c>
      <c r="AZ10000" s="98">
        <v>24</v>
      </c>
    </row>
  </sheetData>
  <mergeCells count="1">
    <mergeCell ref="A1:F1"/>
  </mergeCells>
  <hyperlinks>
    <hyperlink ref="A311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tabSelected="1" zoomScale="40" zoomScaleNormal="40" workbookViewId="0">
      <selection activeCell="I179" sqref="I179:N186"/>
    </sheetView>
  </sheetViews>
  <sheetFormatPr defaultColWidth="9" defaultRowHeight="13.8" x14ac:dyDescent="0.25"/>
  <cols>
    <col min="1" max="1" width="17.796875" style="98" customWidth="1"/>
    <col min="2" max="2" width="19.59765625" style="100" customWidth="1"/>
    <col min="3" max="3" width="29.5" style="199" customWidth="1"/>
    <col min="4" max="4" width="28.296875" style="199" customWidth="1"/>
    <col min="5" max="5" width="16.796875" style="225" customWidth="1"/>
    <col min="6" max="6" width="29" style="199" customWidth="1"/>
    <col min="7" max="7" width="22.19921875" style="226" customWidth="1"/>
    <col min="8" max="8" width="17.796875" style="199" customWidth="1"/>
    <col min="9" max="9" width="19.59765625" style="227" customWidth="1"/>
    <col min="10" max="10" width="29.5" style="199" customWidth="1"/>
    <col min="11" max="11" width="28.296875" style="199" customWidth="1"/>
    <col min="12" max="12" width="16.796875" style="199" customWidth="1"/>
    <col min="13" max="13" width="29" style="199" customWidth="1"/>
    <col min="14" max="14" width="22.19921875" style="226" customWidth="1"/>
    <col min="15" max="16384" width="9" style="98"/>
  </cols>
  <sheetData>
    <row r="1" spans="1:14" ht="94.2" customHeight="1" x14ac:dyDescent="0.25">
      <c r="A1" s="231" t="s">
        <v>199</v>
      </c>
      <c r="B1" s="231"/>
      <c r="C1" s="231"/>
      <c r="D1" s="231"/>
      <c r="E1" s="231"/>
      <c r="F1" s="200"/>
      <c r="G1" s="201"/>
      <c r="H1" s="232" t="s">
        <v>224</v>
      </c>
      <c r="I1" s="232"/>
      <c r="J1" s="232"/>
      <c r="K1" s="232"/>
      <c r="L1" s="202"/>
      <c r="M1" s="202"/>
      <c r="N1" s="203"/>
    </row>
    <row r="2" spans="1:14" ht="51.75" customHeight="1" x14ac:dyDescent="0.25">
      <c r="A2" s="21" t="s">
        <v>36</v>
      </c>
      <c r="B2" s="34" t="s">
        <v>130</v>
      </c>
      <c r="C2" s="35"/>
      <c r="D2" s="36"/>
      <c r="E2" s="84"/>
      <c r="F2" s="35"/>
      <c r="G2" s="178"/>
      <c r="H2" s="204" t="s">
        <v>36</v>
      </c>
      <c r="I2" s="34" t="s">
        <v>143</v>
      </c>
      <c r="J2" s="35"/>
      <c r="K2" s="36"/>
      <c r="L2" s="37"/>
      <c r="M2" s="35"/>
      <c r="N2" s="178"/>
    </row>
    <row r="3" spans="1:14" ht="40.200000000000003" customHeight="1" x14ac:dyDescent="0.25">
      <c r="A3" s="22"/>
      <c r="B3" s="123" t="s">
        <v>0</v>
      </c>
      <c r="C3" s="124" t="s">
        <v>225</v>
      </c>
      <c r="D3" s="124" t="s">
        <v>200</v>
      </c>
      <c r="E3" s="125" t="s">
        <v>30</v>
      </c>
      <c r="F3" s="125" t="s">
        <v>20</v>
      </c>
      <c r="G3" s="125" t="s">
        <v>35</v>
      </c>
      <c r="H3" s="205"/>
      <c r="I3" s="123" t="s">
        <v>0</v>
      </c>
      <c r="J3" s="124" t="s">
        <v>225</v>
      </c>
      <c r="K3" s="124" t="s">
        <v>200</v>
      </c>
      <c r="L3" s="125" t="s">
        <v>30</v>
      </c>
      <c r="M3" s="125" t="s">
        <v>20</v>
      </c>
      <c r="N3" s="125" t="s">
        <v>35</v>
      </c>
    </row>
    <row r="4" spans="1:14" ht="15.6" x14ac:dyDescent="0.25">
      <c r="A4" s="22"/>
      <c r="B4" s="108" t="s">
        <v>171</v>
      </c>
      <c r="C4" s="5">
        <v>0.2792</v>
      </c>
      <c r="D4" s="5">
        <v>0.3</v>
      </c>
      <c r="E4" s="151" t="s">
        <v>189</v>
      </c>
      <c r="F4" s="152" t="s">
        <v>189</v>
      </c>
      <c r="G4" s="152" t="s">
        <v>189</v>
      </c>
      <c r="H4" s="205"/>
      <c r="I4" s="162" t="s">
        <v>189</v>
      </c>
      <c r="J4" s="163" t="s">
        <v>189</v>
      </c>
      <c r="K4" s="163" t="s">
        <v>189</v>
      </c>
      <c r="L4" s="152" t="s">
        <v>189</v>
      </c>
      <c r="M4" s="152" t="s">
        <v>189</v>
      </c>
      <c r="N4" s="152" t="s">
        <v>189</v>
      </c>
    </row>
    <row r="5" spans="1:14" ht="34.5" customHeight="1" x14ac:dyDescent="0.25">
      <c r="A5" s="22"/>
      <c r="B5" s="108" t="s">
        <v>140</v>
      </c>
      <c r="C5" s="5">
        <v>0.58360000000000001</v>
      </c>
      <c r="D5" s="5">
        <v>0.57999999999999996</v>
      </c>
      <c r="E5" s="6" t="s">
        <v>4</v>
      </c>
      <c r="F5" s="7" t="s">
        <v>210</v>
      </c>
      <c r="G5" s="6" t="s">
        <v>223</v>
      </c>
      <c r="H5" s="205"/>
      <c r="I5" s="108" t="s">
        <v>233</v>
      </c>
      <c r="J5" s="5">
        <v>0.56100000000000005</v>
      </c>
      <c r="K5" s="5">
        <v>0.56000000000000005</v>
      </c>
      <c r="L5" s="6" t="s">
        <v>4</v>
      </c>
      <c r="M5" s="7" t="s">
        <v>211</v>
      </c>
      <c r="N5" s="6" t="s">
        <v>223</v>
      </c>
    </row>
    <row r="6" spans="1:14" x14ac:dyDescent="0.25">
      <c r="A6" s="22"/>
      <c r="B6" s="108" t="s">
        <v>2</v>
      </c>
      <c r="C6" s="3">
        <v>9.0700000000000003E-2</v>
      </c>
      <c r="D6" s="3">
        <v>0.09</v>
      </c>
      <c r="E6" s="1" t="s">
        <v>3</v>
      </c>
      <c r="F6" s="4" t="s">
        <v>209</v>
      </c>
      <c r="G6" s="1" t="s">
        <v>14</v>
      </c>
      <c r="H6" s="205"/>
      <c r="I6" s="108" t="s">
        <v>2</v>
      </c>
      <c r="J6" s="3">
        <v>0.27579999999999999</v>
      </c>
      <c r="K6" s="3">
        <v>0.28000000000000003</v>
      </c>
      <c r="L6" s="1" t="s">
        <v>3</v>
      </c>
      <c r="M6" s="4" t="s">
        <v>46</v>
      </c>
      <c r="N6" s="1" t="s">
        <v>14</v>
      </c>
    </row>
    <row r="7" spans="1:14" ht="27.6" x14ac:dyDescent="0.25">
      <c r="A7" s="22"/>
      <c r="B7" s="109" t="s">
        <v>139</v>
      </c>
      <c r="C7" s="3">
        <v>0.14419999999999999</v>
      </c>
      <c r="D7" s="3">
        <v>0.15</v>
      </c>
      <c r="E7" s="1" t="s">
        <v>4</v>
      </c>
      <c r="F7" s="4" t="s">
        <v>120</v>
      </c>
      <c r="G7" s="1" t="s">
        <v>175</v>
      </c>
      <c r="H7" s="205"/>
      <c r="I7" s="108" t="s">
        <v>139</v>
      </c>
      <c r="J7" s="3">
        <v>0.26300000000000001</v>
      </c>
      <c r="K7" s="3">
        <v>0.3</v>
      </c>
      <c r="L7" s="1" t="s">
        <v>4</v>
      </c>
      <c r="M7" s="4" t="s">
        <v>61</v>
      </c>
      <c r="N7" s="1" t="s">
        <v>15</v>
      </c>
    </row>
    <row r="8" spans="1:14" ht="27.6" x14ac:dyDescent="0.25">
      <c r="A8" s="22"/>
      <c r="B8" s="108" t="s">
        <v>172</v>
      </c>
      <c r="C8" s="3">
        <v>1.0699999999999999E-2</v>
      </c>
      <c r="D8" s="3">
        <v>0.05</v>
      </c>
      <c r="E8" s="8" t="s">
        <v>3</v>
      </c>
      <c r="F8" s="9" t="s">
        <v>51</v>
      </c>
      <c r="G8" s="153" t="s">
        <v>189</v>
      </c>
      <c r="H8" s="205"/>
      <c r="I8" s="108" t="s">
        <v>172</v>
      </c>
      <c r="J8" s="3">
        <v>1.0800000000000001E-2</v>
      </c>
      <c r="K8" s="3">
        <v>0.05</v>
      </c>
      <c r="L8" s="8" t="s">
        <v>3</v>
      </c>
      <c r="M8" s="9" t="s">
        <v>51</v>
      </c>
      <c r="N8" s="153" t="s">
        <v>189</v>
      </c>
    </row>
    <row r="9" spans="1:14" x14ac:dyDescent="0.25">
      <c r="A9" s="22"/>
      <c r="B9" s="108" t="s">
        <v>10</v>
      </c>
      <c r="C9" s="3">
        <v>1.38E-2</v>
      </c>
      <c r="D9" s="3">
        <v>0.05</v>
      </c>
      <c r="E9" s="8" t="s">
        <v>3</v>
      </c>
      <c r="F9" s="9" t="s">
        <v>51</v>
      </c>
      <c r="G9" s="153" t="s">
        <v>189</v>
      </c>
      <c r="H9" s="205"/>
      <c r="I9" s="108" t="s">
        <v>10</v>
      </c>
      <c r="J9" s="3">
        <v>9.4000000000000004E-3</v>
      </c>
      <c r="K9" s="3">
        <v>0.05</v>
      </c>
      <c r="L9" s="8" t="s">
        <v>3</v>
      </c>
      <c r="M9" s="9" t="s">
        <v>51</v>
      </c>
      <c r="N9" s="153" t="s">
        <v>189</v>
      </c>
    </row>
    <row r="10" spans="1:14" x14ac:dyDescent="0.25">
      <c r="A10" s="22"/>
      <c r="B10" s="108" t="s">
        <v>12</v>
      </c>
      <c r="C10" s="3">
        <v>0.14019999999999999</v>
      </c>
      <c r="D10" s="3">
        <v>0.15</v>
      </c>
      <c r="E10" s="1" t="s">
        <v>3</v>
      </c>
      <c r="F10" s="9" t="s">
        <v>52</v>
      </c>
      <c r="G10" s="136" t="s">
        <v>189</v>
      </c>
      <c r="H10" s="205"/>
      <c r="I10" s="108" t="s">
        <v>12</v>
      </c>
      <c r="J10" s="3">
        <v>0.18379999999999999</v>
      </c>
      <c r="K10" s="3">
        <v>0.15</v>
      </c>
      <c r="L10" s="1" t="s">
        <v>3</v>
      </c>
      <c r="M10" s="9" t="s">
        <v>52</v>
      </c>
      <c r="N10" s="136" t="s">
        <v>189</v>
      </c>
    </row>
    <row r="11" spans="1:14" x14ac:dyDescent="0.25">
      <c r="A11" s="22"/>
      <c r="B11" s="108" t="s">
        <v>173</v>
      </c>
      <c r="C11" s="3">
        <v>7.0000000000000001E-3</v>
      </c>
      <c r="D11" s="3">
        <v>0.05</v>
      </c>
      <c r="E11" s="1" t="s">
        <v>3</v>
      </c>
      <c r="F11" s="10" t="s">
        <v>51</v>
      </c>
      <c r="G11" s="136" t="s">
        <v>189</v>
      </c>
      <c r="H11" s="205"/>
      <c r="I11" s="108" t="s">
        <v>173</v>
      </c>
      <c r="J11" s="3">
        <v>5.3E-3</v>
      </c>
      <c r="K11" s="3">
        <v>0.05</v>
      </c>
      <c r="L11" s="1" t="s">
        <v>3</v>
      </c>
      <c r="M11" s="10" t="s">
        <v>51</v>
      </c>
      <c r="N11" s="136" t="s">
        <v>189</v>
      </c>
    </row>
    <row r="12" spans="1:14" x14ac:dyDescent="0.25">
      <c r="A12" s="22"/>
      <c r="B12" s="110" t="s">
        <v>5</v>
      </c>
      <c r="C12" s="29">
        <f>SUBTOTAL(109,C4:C11)</f>
        <v>1.2693999999999999</v>
      </c>
      <c r="D12" s="103">
        <f>SUBTOTAL(109,D4:D11)</f>
        <v>1.42</v>
      </c>
      <c r="E12" s="121" t="s">
        <v>189</v>
      </c>
      <c r="F12" s="42" t="s">
        <v>73</v>
      </c>
      <c r="G12" s="116" t="s">
        <v>189</v>
      </c>
      <c r="H12" s="205"/>
      <c r="I12" s="110" t="s">
        <v>5</v>
      </c>
      <c r="J12" s="29">
        <f>SUBTOTAL(109,J4:J11)</f>
        <v>1.3091000000000002</v>
      </c>
      <c r="K12" s="103">
        <f>SUBTOTAL(109,K4:K11)</f>
        <v>1.4400000000000002</v>
      </c>
      <c r="L12" s="122" t="s">
        <v>189</v>
      </c>
      <c r="M12" s="122" t="s">
        <v>189</v>
      </c>
      <c r="N12" s="116" t="s">
        <v>189</v>
      </c>
    </row>
    <row r="13" spans="1:14" x14ac:dyDescent="0.25">
      <c r="A13" s="22"/>
      <c r="B13" s="108" t="s">
        <v>6</v>
      </c>
      <c r="C13" s="11">
        <v>0.19939999999999999</v>
      </c>
      <c r="D13" s="11">
        <v>0.2</v>
      </c>
      <c r="E13" s="1" t="s">
        <v>4</v>
      </c>
      <c r="F13" s="9" t="s">
        <v>64</v>
      </c>
      <c r="G13" s="1" t="s">
        <v>19</v>
      </c>
      <c r="H13" s="205"/>
      <c r="I13" s="108" t="s">
        <v>6</v>
      </c>
      <c r="J13" s="11">
        <v>0.1971</v>
      </c>
      <c r="K13" s="11">
        <v>0.2</v>
      </c>
      <c r="L13" s="1" t="s">
        <v>4</v>
      </c>
      <c r="M13" s="9" t="s">
        <v>64</v>
      </c>
      <c r="N13" s="1" t="s">
        <v>19</v>
      </c>
    </row>
    <row r="14" spans="1:14" ht="27.6" x14ac:dyDescent="0.25">
      <c r="A14" s="23"/>
      <c r="B14" s="110" t="s">
        <v>230</v>
      </c>
      <c r="C14" s="12">
        <v>2.7000000000000001E-3</v>
      </c>
      <c r="D14" s="206" t="s">
        <v>189</v>
      </c>
      <c r="E14" s="135" t="s">
        <v>189</v>
      </c>
      <c r="F14" s="135" t="s">
        <v>189</v>
      </c>
      <c r="G14" s="179" t="s">
        <v>189</v>
      </c>
      <c r="H14" s="205"/>
      <c r="I14" s="110" t="s">
        <v>230</v>
      </c>
      <c r="J14" s="12">
        <v>2.3999999999999998E-3</v>
      </c>
      <c r="K14" s="206" t="s">
        <v>189</v>
      </c>
      <c r="L14" s="135" t="s">
        <v>189</v>
      </c>
      <c r="M14" s="135" t="s">
        <v>189</v>
      </c>
      <c r="N14" s="179" t="s">
        <v>189</v>
      </c>
    </row>
    <row r="15" spans="1:14" ht="21" customHeight="1" x14ac:dyDescent="0.25">
      <c r="A15" s="73"/>
      <c r="B15" s="169" t="s">
        <v>196</v>
      </c>
      <c r="C15" s="170" t="s">
        <v>196</v>
      </c>
      <c r="D15" s="170" t="s">
        <v>196</v>
      </c>
      <c r="E15" s="170" t="s">
        <v>196</v>
      </c>
      <c r="F15" s="170" t="s">
        <v>196</v>
      </c>
      <c r="G15" s="180" t="s">
        <v>196</v>
      </c>
      <c r="H15" s="207"/>
      <c r="I15" s="79"/>
      <c r="J15" s="80"/>
      <c r="K15" s="81"/>
      <c r="L15" s="80"/>
      <c r="M15" s="80"/>
      <c r="N15" s="182"/>
    </row>
    <row r="16" spans="1:14" ht="51.75" customHeight="1" x14ac:dyDescent="0.25">
      <c r="A16" s="21" t="s">
        <v>36</v>
      </c>
      <c r="B16" s="34" t="s">
        <v>141</v>
      </c>
      <c r="C16" s="35"/>
      <c r="D16" s="36"/>
      <c r="E16" s="84"/>
      <c r="F16" s="35"/>
      <c r="G16" s="178"/>
      <c r="H16" s="204" t="s">
        <v>36</v>
      </c>
      <c r="I16" s="34" t="s">
        <v>144</v>
      </c>
      <c r="J16" s="35"/>
      <c r="K16" s="36"/>
      <c r="L16" s="37"/>
      <c r="M16" s="35"/>
      <c r="N16" s="178"/>
    </row>
    <row r="17" spans="1:14" ht="37.5" customHeight="1" x14ac:dyDescent="0.25">
      <c r="A17" s="22"/>
      <c r="B17" s="123" t="s">
        <v>0</v>
      </c>
      <c r="C17" s="124" t="s">
        <v>225</v>
      </c>
      <c r="D17" s="124" t="s">
        <v>200</v>
      </c>
      <c r="E17" s="125" t="s">
        <v>1</v>
      </c>
      <c r="F17" s="125" t="s">
        <v>20</v>
      </c>
      <c r="G17" s="125" t="s">
        <v>35</v>
      </c>
      <c r="H17" s="205"/>
      <c r="I17" s="123" t="s">
        <v>0</v>
      </c>
      <c r="J17" s="124" t="s">
        <v>225</v>
      </c>
      <c r="K17" s="124" t="s">
        <v>200</v>
      </c>
      <c r="L17" s="125" t="s">
        <v>1</v>
      </c>
      <c r="M17" s="125" t="s">
        <v>20</v>
      </c>
      <c r="N17" s="125" t="s">
        <v>35</v>
      </c>
    </row>
    <row r="18" spans="1:14" ht="15.6" x14ac:dyDescent="0.25">
      <c r="A18" s="22"/>
      <c r="B18" s="108" t="s">
        <v>171</v>
      </c>
      <c r="C18" s="5">
        <v>0.28210000000000002</v>
      </c>
      <c r="D18" s="5">
        <v>0.3</v>
      </c>
      <c r="E18" s="151" t="s">
        <v>189</v>
      </c>
      <c r="F18" s="152" t="s">
        <v>189</v>
      </c>
      <c r="G18" s="152" t="s">
        <v>189</v>
      </c>
      <c r="H18" s="205"/>
      <c r="I18" s="162" t="s">
        <v>189</v>
      </c>
      <c r="J18" s="163" t="s">
        <v>189</v>
      </c>
      <c r="K18" s="163" t="s">
        <v>189</v>
      </c>
      <c r="L18" s="152" t="s">
        <v>189</v>
      </c>
      <c r="M18" s="152" t="s">
        <v>189</v>
      </c>
      <c r="N18" s="152" t="s">
        <v>189</v>
      </c>
    </row>
    <row r="19" spans="1:14" ht="41.25" customHeight="1" x14ac:dyDescent="0.25">
      <c r="A19" s="22"/>
      <c r="B19" s="108" t="s">
        <v>140</v>
      </c>
      <c r="C19" s="5">
        <v>0.4849</v>
      </c>
      <c r="D19" s="5">
        <v>0.45</v>
      </c>
      <c r="E19" s="6" t="s">
        <v>4</v>
      </c>
      <c r="F19" s="7" t="s">
        <v>66</v>
      </c>
      <c r="G19" s="6" t="s">
        <v>223</v>
      </c>
      <c r="H19" s="205"/>
      <c r="I19" s="108" t="s">
        <v>233</v>
      </c>
      <c r="J19" s="5">
        <v>0.46200000000000002</v>
      </c>
      <c r="K19" s="5">
        <v>0.45</v>
      </c>
      <c r="L19" s="6" t="s">
        <v>4</v>
      </c>
      <c r="M19" s="7" t="s">
        <v>66</v>
      </c>
      <c r="N19" s="6" t="s">
        <v>223</v>
      </c>
    </row>
    <row r="20" spans="1:14" ht="25.5" customHeight="1" x14ac:dyDescent="0.25">
      <c r="A20" s="22"/>
      <c r="B20" s="108" t="s">
        <v>2</v>
      </c>
      <c r="C20" s="3">
        <v>0.12520000000000001</v>
      </c>
      <c r="D20" s="3">
        <v>0.13</v>
      </c>
      <c r="E20" s="1" t="s">
        <v>3</v>
      </c>
      <c r="F20" s="4" t="s">
        <v>212</v>
      </c>
      <c r="G20" s="1" t="s">
        <v>14</v>
      </c>
      <c r="H20" s="205"/>
      <c r="I20" s="108" t="s">
        <v>2</v>
      </c>
      <c r="J20" s="3">
        <v>0.28939999999999999</v>
      </c>
      <c r="K20" s="3">
        <v>0.28999999999999998</v>
      </c>
      <c r="L20" s="1" t="s">
        <v>3</v>
      </c>
      <c r="M20" s="4" t="s">
        <v>213</v>
      </c>
      <c r="N20" s="1" t="s">
        <v>14</v>
      </c>
    </row>
    <row r="21" spans="1:14" ht="33" customHeight="1" x14ac:dyDescent="0.25">
      <c r="A21" s="22"/>
      <c r="B21" s="109" t="s">
        <v>139</v>
      </c>
      <c r="C21" s="3">
        <v>0.17899999999999999</v>
      </c>
      <c r="D21" s="3">
        <v>0.2</v>
      </c>
      <c r="E21" s="1" t="s">
        <v>4</v>
      </c>
      <c r="F21" s="4" t="s">
        <v>64</v>
      </c>
      <c r="G21" s="1" t="s">
        <v>175</v>
      </c>
      <c r="H21" s="205"/>
      <c r="I21" s="108" t="s">
        <v>139</v>
      </c>
      <c r="J21" s="3">
        <v>0.32419999999999999</v>
      </c>
      <c r="K21" s="3">
        <v>0.35</v>
      </c>
      <c r="L21" s="1" t="s">
        <v>4</v>
      </c>
      <c r="M21" s="4" t="s">
        <v>119</v>
      </c>
      <c r="N21" s="1" t="s">
        <v>15</v>
      </c>
    </row>
    <row r="22" spans="1:14" ht="27.6" x14ac:dyDescent="0.25">
      <c r="A22" s="22"/>
      <c r="B22" s="108" t="s">
        <v>172</v>
      </c>
      <c r="C22" s="3">
        <v>7.4000000000000003E-3</v>
      </c>
      <c r="D22" s="3">
        <v>0.05</v>
      </c>
      <c r="E22" s="8" t="s">
        <v>3</v>
      </c>
      <c r="F22" s="9" t="s">
        <v>51</v>
      </c>
      <c r="G22" s="153" t="s">
        <v>189</v>
      </c>
      <c r="H22" s="205"/>
      <c r="I22" s="108" t="s">
        <v>172</v>
      </c>
      <c r="J22" s="3">
        <v>4.8999999999999998E-3</v>
      </c>
      <c r="K22" s="3">
        <v>0.05</v>
      </c>
      <c r="L22" s="8" t="s">
        <v>3</v>
      </c>
      <c r="M22" s="9" t="s">
        <v>51</v>
      </c>
      <c r="N22" s="153" t="s">
        <v>189</v>
      </c>
    </row>
    <row r="23" spans="1:14" x14ac:dyDescent="0.25">
      <c r="A23" s="22"/>
      <c r="B23" s="108" t="s">
        <v>10</v>
      </c>
      <c r="C23" s="3">
        <v>1.2500000000000001E-2</v>
      </c>
      <c r="D23" s="3">
        <v>0.05</v>
      </c>
      <c r="E23" s="8" t="s">
        <v>3</v>
      </c>
      <c r="F23" s="9" t="s">
        <v>51</v>
      </c>
      <c r="G23" s="153" t="s">
        <v>189</v>
      </c>
      <c r="H23" s="205"/>
      <c r="I23" s="108" t="s">
        <v>10</v>
      </c>
      <c r="J23" s="3">
        <v>7.9000000000000008E-3</v>
      </c>
      <c r="K23" s="3">
        <v>0.05</v>
      </c>
      <c r="L23" s="8" t="s">
        <v>3</v>
      </c>
      <c r="M23" s="9" t="s">
        <v>51</v>
      </c>
      <c r="N23" s="153" t="s">
        <v>189</v>
      </c>
    </row>
    <row r="24" spans="1:14" x14ac:dyDescent="0.25">
      <c r="A24" s="22"/>
      <c r="B24" s="108" t="s">
        <v>12</v>
      </c>
      <c r="C24" s="3">
        <v>0.14580000000000001</v>
      </c>
      <c r="D24" s="3">
        <v>0.15</v>
      </c>
      <c r="E24" s="1" t="s">
        <v>3</v>
      </c>
      <c r="F24" s="9" t="s">
        <v>52</v>
      </c>
      <c r="G24" s="136" t="s">
        <v>189</v>
      </c>
      <c r="H24" s="205"/>
      <c r="I24" s="108" t="s">
        <v>12</v>
      </c>
      <c r="J24" s="3">
        <v>0.16750000000000001</v>
      </c>
      <c r="K24" s="3">
        <v>0.15</v>
      </c>
      <c r="L24" s="1" t="s">
        <v>3</v>
      </c>
      <c r="M24" s="9" t="s">
        <v>52</v>
      </c>
      <c r="N24" s="136" t="s">
        <v>189</v>
      </c>
    </row>
    <row r="25" spans="1:14" x14ac:dyDescent="0.25">
      <c r="A25" s="22"/>
      <c r="B25" s="108" t="s">
        <v>173</v>
      </c>
      <c r="C25" s="3">
        <v>5.3E-3</v>
      </c>
      <c r="D25" s="3">
        <v>0.05</v>
      </c>
      <c r="E25" s="1" t="s">
        <v>3</v>
      </c>
      <c r="F25" s="10" t="s">
        <v>51</v>
      </c>
      <c r="G25" s="136" t="s">
        <v>189</v>
      </c>
      <c r="H25" s="205"/>
      <c r="I25" s="108" t="s">
        <v>173</v>
      </c>
      <c r="J25" s="3">
        <v>4.3E-3</v>
      </c>
      <c r="K25" s="3">
        <v>0.05</v>
      </c>
      <c r="L25" s="1" t="s">
        <v>3</v>
      </c>
      <c r="M25" s="10" t="s">
        <v>51</v>
      </c>
      <c r="N25" s="136" t="s">
        <v>189</v>
      </c>
    </row>
    <row r="26" spans="1:14" x14ac:dyDescent="0.25">
      <c r="A26" s="22"/>
      <c r="B26" s="110" t="s">
        <v>5</v>
      </c>
      <c r="C26" s="29">
        <f>SUBTOTAL(109,C18:C25)</f>
        <v>1.2422</v>
      </c>
      <c r="D26" s="103">
        <f>SUBTOTAL(109,D18:D25)</f>
        <v>1.3800000000000001</v>
      </c>
      <c r="E26" s="121" t="s">
        <v>189</v>
      </c>
      <c r="F26" s="122" t="s">
        <v>189</v>
      </c>
      <c r="G26" s="116" t="s">
        <v>189</v>
      </c>
      <c r="H26" s="205"/>
      <c r="I26" s="110" t="s">
        <v>5</v>
      </c>
      <c r="J26" s="29">
        <f>SUBTOTAL(109,J18:J25)</f>
        <v>1.2602</v>
      </c>
      <c r="K26" s="103">
        <f>SUBTOTAL(109,K18:K25)</f>
        <v>1.39</v>
      </c>
      <c r="L26" s="122" t="s">
        <v>189</v>
      </c>
      <c r="M26" s="122" t="s">
        <v>189</v>
      </c>
      <c r="N26" s="116" t="s">
        <v>189</v>
      </c>
    </row>
    <row r="27" spans="1:14" x14ac:dyDescent="0.25">
      <c r="A27" s="22"/>
      <c r="B27" s="108" t="s">
        <v>6</v>
      </c>
      <c r="C27" s="11">
        <v>0.1835</v>
      </c>
      <c r="D27" s="11">
        <v>0.2</v>
      </c>
      <c r="E27" s="1" t="s">
        <v>4</v>
      </c>
      <c r="F27" s="9" t="s">
        <v>64</v>
      </c>
      <c r="G27" s="1" t="s">
        <v>19</v>
      </c>
      <c r="H27" s="205"/>
      <c r="I27" s="108" t="s">
        <v>6</v>
      </c>
      <c r="J27" s="11">
        <v>0.16669999999999999</v>
      </c>
      <c r="K27" s="11">
        <v>0.2</v>
      </c>
      <c r="L27" s="1" t="s">
        <v>4</v>
      </c>
      <c r="M27" s="9" t="s">
        <v>64</v>
      </c>
      <c r="N27" s="1" t="s">
        <v>19</v>
      </c>
    </row>
    <row r="28" spans="1:14" ht="27.6" x14ac:dyDescent="0.25">
      <c r="A28" s="23"/>
      <c r="B28" s="110" t="s">
        <v>230</v>
      </c>
      <c r="C28" s="12">
        <v>2.3999999999999998E-3</v>
      </c>
      <c r="D28" s="206" t="s">
        <v>189</v>
      </c>
      <c r="E28" s="135" t="s">
        <v>189</v>
      </c>
      <c r="F28" s="135" t="s">
        <v>189</v>
      </c>
      <c r="G28" s="179" t="s">
        <v>189</v>
      </c>
      <c r="H28" s="205"/>
      <c r="I28" s="110" t="s">
        <v>230</v>
      </c>
      <c r="J28" s="12">
        <v>2.3999999999999998E-3</v>
      </c>
      <c r="K28" s="206" t="s">
        <v>189</v>
      </c>
      <c r="L28" s="135" t="s">
        <v>189</v>
      </c>
      <c r="M28" s="135" t="s">
        <v>189</v>
      </c>
      <c r="N28" s="179" t="s">
        <v>189</v>
      </c>
    </row>
    <row r="29" spans="1:14" ht="21" customHeight="1" x14ac:dyDescent="0.25">
      <c r="A29" s="73"/>
      <c r="B29" s="75"/>
      <c r="C29" s="76"/>
      <c r="D29" s="77"/>
      <c r="E29" s="76"/>
      <c r="F29" s="76"/>
      <c r="G29" s="181"/>
      <c r="H29" s="207"/>
      <c r="I29" s="79"/>
      <c r="J29" s="80"/>
      <c r="K29" s="81"/>
      <c r="L29" s="80"/>
      <c r="M29" s="80"/>
      <c r="N29" s="182"/>
    </row>
    <row r="30" spans="1:14" ht="51.75" customHeight="1" x14ac:dyDescent="0.25">
      <c r="A30" s="21" t="s">
        <v>36</v>
      </c>
      <c r="B30" s="34" t="s">
        <v>142</v>
      </c>
      <c r="C30" s="35"/>
      <c r="D30" s="36"/>
      <c r="E30" s="84"/>
      <c r="F30" s="35"/>
      <c r="G30" s="178"/>
      <c r="H30" s="204" t="s">
        <v>36</v>
      </c>
      <c r="I30" s="34" t="s">
        <v>145</v>
      </c>
      <c r="J30" s="35"/>
      <c r="K30" s="36"/>
      <c r="L30" s="37"/>
      <c r="M30" s="35"/>
      <c r="N30" s="178"/>
    </row>
    <row r="31" spans="1:14" ht="34.5" customHeight="1" x14ac:dyDescent="0.25">
      <c r="A31" s="22"/>
      <c r="B31" s="123" t="s">
        <v>0</v>
      </c>
      <c r="C31" s="124" t="s">
        <v>225</v>
      </c>
      <c r="D31" s="124" t="s">
        <v>200</v>
      </c>
      <c r="E31" s="125" t="s">
        <v>1</v>
      </c>
      <c r="F31" s="125" t="s">
        <v>20</v>
      </c>
      <c r="G31" s="125" t="s">
        <v>35</v>
      </c>
      <c r="H31" s="205"/>
      <c r="I31" s="123" t="s">
        <v>0</v>
      </c>
      <c r="J31" s="124" t="s">
        <v>225</v>
      </c>
      <c r="K31" s="124" t="s">
        <v>200</v>
      </c>
      <c r="L31" s="125" t="s">
        <v>1</v>
      </c>
      <c r="M31" s="125" t="s">
        <v>20</v>
      </c>
      <c r="N31" s="125" t="s">
        <v>35</v>
      </c>
    </row>
    <row r="32" spans="1:14" ht="15.6" x14ac:dyDescent="0.25">
      <c r="A32" s="22"/>
      <c r="B32" s="108" t="s">
        <v>171</v>
      </c>
      <c r="C32" s="3">
        <v>0.28100000000000003</v>
      </c>
      <c r="D32" s="5">
        <v>0.3</v>
      </c>
      <c r="E32" s="151" t="s">
        <v>189</v>
      </c>
      <c r="F32" s="152" t="s">
        <v>189</v>
      </c>
      <c r="G32" s="152" t="s">
        <v>189</v>
      </c>
      <c r="H32" s="205"/>
      <c r="I32" s="162" t="s">
        <v>189</v>
      </c>
      <c r="J32" s="163" t="s">
        <v>189</v>
      </c>
      <c r="K32" s="163" t="s">
        <v>189</v>
      </c>
      <c r="L32" s="152" t="s">
        <v>189</v>
      </c>
      <c r="M32" s="152" t="s">
        <v>189</v>
      </c>
      <c r="N32" s="152" t="s">
        <v>189</v>
      </c>
    </row>
    <row r="33" spans="1:14" ht="38.25" customHeight="1" x14ac:dyDescent="0.25">
      <c r="A33" s="22"/>
      <c r="B33" s="108" t="s">
        <v>140</v>
      </c>
      <c r="C33" s="5">
        <v>0.27360000000000001</v>
      </c>
      <c r="D33" s="5">
        <v>0.25</v>
      </c>
      <c r="E33" s="6" t="s">
        <v>4</v>
      </c>
      <c r="F33" s="7" t="s">
        <v>57</v>
      </c>
      <c r="G33" s="6" t="s">
        <v>223</v>
      </c>
      <c r="H33" s="205"/>
      <c r="I33" s="108" t="s">
        <v>233</v>
      </c>
      <c r="J33" s="5">
        <v>0.25459999999999999</v>
      </c>
      <c r="K33" s="5">
        <v>0.27</v>
      </c>
      <c r="L33" s="6" t="s">
        <v>4</v>
      </c>
      <c r="M33" s="7" t="s">
        <v>214</v>
      </c>
      <c r="N33" s="6" t="s">
        <v>223</v>
      </c>
    </row>
    <row r="34" spans="1:14" x14ac:dyDescent="0.25">
      <c r="A34" s="22"/>
      <c r="B34" s="108" t="s">
        <v>2</v>
      </c>
      <c r="C34" s="3">
        <v>0.23019999999999999</v>
      </c>
      <c r="D34" s="3">
        <v>0.23</v>
      </c>
      <c r="E34" s="1" t="s">
        <v>3</v>
      </c>
      <c r="F34" s="4" t="s">
        <v>215</v>
      </c>
      <c r="G34" s="1" t="s">
        <v>14</v>
      </c>
      <c r="H34" s="205"/>
      <c r="I34" s="108" t="s">
        <v>2</v>
      </c>
      <c r="J34" s="3">
        <v>0.34439999999999998</v>
      </c>
      <c r="K34" s="3">
        <v>0.38</v>
      </c>
      <c r="L34" s="1" t="s">
        <v>3</v>
      </c>
      <c r="M34" s="4" t="s">
        <v>78</v>
      </c>
      <c r="N34" s="1" t="s">
        <v>14</v>
      </c>
    </row>
    <row r="35" spans="1:14" ht="27.6" x14ac:dyDescent="0.25">
      <c r="A35" s="22"/>
      <c r="B35" s="109" t="s">
        <v>139</v>
      </c>
      <c r="C35" s="3">
        <v>0.2031</v>
      </c>
      <c r="D35" s="3">
        <v>0.21</v>
      </c>
      <c r="E35" s="1" t="s">
        <v>4</v>
      </c>
      <c r="F35" s="4" t="s">
        <v>178</v>
      </c>
      <c r="G35" s="1" t="s">
        <v>175</v>
      </c>
      <c r="H35" s="205"/>
      <c r="I35" s="108" t="s">
        <v>139</v>
      </c>
      <c r="J35" s="3">
        <v>0.32029999999999997</v>
      </c>
      <c r="K35" s="3">
        <v>0.35</v>
      </c>
      <c r="L35" s="1" t="s">
        <v>4</v>
      </c>
      <c r="M35" s="4" t="s">
        <v>119</v>
      </c>
      <c r="N35" s="1" t="s">
        <v>15</v>
      </c>
    </row>
    <row r="36" spans="1:14" ht="27.6" x14ac:dyDescent="0.25">
      <c r="A36" s="22"/>
      <c r="B36" s="108" t="s">
        <v>172</v>
      </c>
      <c r="C36" s="3">
        <v>5.4999999999999997E-3</v>
      </c>
      <c r="D36" s="3">
        <v>0.05</v>
      </c>
      <c r="E36" s="8" t="s">
        <v>3</v>
      </c>
      <c r="F36" s="9" t="s">
        <v>51</v>
      </c>
      <c r="G36" s="153" t="s">
        <v>189</v>
      </c>
      <c r="H36" s="205"/>
      <c r="I36" s="108" t="s">
        <v>172</v>
      </c>
      <c r="J36" s="3">
        <v>4.5999999999999999E-3</v>
      </c>
      <c r="K36" s="3">
        <v>0.05</v>
      </c>
      <c r="L36" s="8" t="s">
        <v>3</v>
      </c>
      <c r="M36" s="9" t="s">
        <v>51</v>
      </c>
      <c r="N36" s="153" t="s">
        <v>189</v>
      </c>
    </row>
    <row r="37" spans="1:14" x14ac:dyDescent="0.25">
      <c r="A37" s="22"/>
      <c r="B37" s="108" t="s">
        <v>10</v>
      </c>
      <c r="C37" s="3">
        <v>1.55E-2</v>
      </c>
      <c r="D37" s="3">
        <v>0.05</v>
      </c>
      <c r="E37" s="8" t="s">
        <v>3</v>
      </c>
      <c r="F37" s="9" t="s">
        <v>51</v>
      </c>
      <c r="G37" s="153" t="s">
        <v>189</v>
      </c>
      <c r="H37" s="205"/>
      <c r="I37" s="108" t="s">
        <v>10</v>
      </c>
      <c r="J37" s="3">
        <v>1.0699999999999999E-2</v>
      </c>
      <c r="K37" s="3">
        <v>0.05</v>
      </c>
      <c r="L37" s="8" t="s">
        <v>3</v>
      </c>
      <c r="M37" s="9" t="s">
        <v>51</v>
      </c>
      <c r="N37" s="153" t="s">
        <v>189</v>
      </c>
    </row>
    <row r="38" spans="1:14" x14ac:dyDescent="0.25">
      <c r="A38" s="22"/>
      <c r="B38" s="108" t="s">
        <v>12</v>
      </c>
      <c r="C38" s="3">
        <v>0.14069999999999999</v>
      </c>
      <c r="D38" s="3">
        <v>0.15</v>
      </c>
      <c r="E38" s="1" t="s">
        <v>3</v>
      </c>
      <c r="F38" s="9" t="s">
        <v>52</v>
      </c>
      <c r="G38" s="136" t="s">
        <v>189</v>
      </c>
      <c r="H38" s="205"/>
      <c r="I38" s="108" t="s">
        <v>12</v>
      </c>
      <c r="J38" s="3">
        <v>0.19409999999999999</v>
      </c>
      <c r="K38" s="3">
        <v>0.15</v>
      </c>
      <c r="L38" s="1" t="s">
        <v>3</v>
      </c>
      <c r="M38" s="9" t="s">
        <v>52</v>
      </c>
      <c r="N38" s="136" t="s">
        <v>189</v>
      </c>
    </row>
    <row r="39" spans="1:14" x14ac:dyDescent="0.25">
      <c r="A39" s="22"/>
      <c r="B39" s="108" t="s">
        <v>173</v>
      </c>
      <c r="C39" s="3">
        <v>4.3E-3</v>
      </c>
      <c r="D39" s="3">
        <v>0.05</v>
      </c>
      <c r="E39" s="1" t="s">
        <v>3</v>
      </c>
      <c r="F39" s="10" t="s">
        <v>51</v>
      </c>
      <c r="G39" s="136" t="s">
        <v>189</v>
      </c>
      <c r="H39" s="205"/>
      <c r="I39" s="108" t="s">
        <v>173</v>
      </c>
      <c r="J39" s="3">
        <v>3.8999999999999998E-3</v>
      </c>
      <c r="K39" s="3">
        <v>0.05</v>
      </c>
      <c r="L39" s="1" t="s">
        <v>3</v>
      </c>
      <c r="M39" s="10" t="s">
        <v>51</v>
      </c>
      <c r="N39" s="136" t="s">
        <v>189</v>
      </c>
    </row>
    <row r="40" spans="1:14" x14ac:dyDescent="0.25">
      <c r="A40" s="22"/>
      <c r="B40" s="110" t="s">
        <v>5</v>
      </c>
      <c r="C40" s="29">
        <f>SUBTOTAL(109,C32:C39)</f>
        <v>1.1538999999999999</v>
      </c>
      <c r="D40" s="29">
        <f>SUBTOTAL(109,D32:D39)</f>
        <v>1.29</v>
      </c>
      <c r="E40" s="121" t="s">
        <v>189</v>
      </c>
      <c r="F40" s="42" t="s">
        <v>73</v>
      </c>
      <c r="G40" s="116" t="s">
        <v>189</v>
      </c>
      <c r="H40" s="205"/>
      <c r="I40" s="110" t="s">
        <v>5</v>
      </c>
      <c r="J40" s="29">
        <f>SUBTOTAL(109,J32:J39)</f>
        <v>1.1326000000000001</v>
      </c>
      <c r="K40" s="29">
        <f>SUBTOTAL(109,K32:K39)</f>
        <v>1.3</v>
      </c>
      <c r="L40" s="122" t="s">
        <v>189</v>
      </c>
      <c r="M40" s="122" t="s">
        <v>189</v>
      </c>
      <c r="N40" s="116" t="s">
        <v>189</v>
      </c>
    </row>
    <row r="41" spans="1:14" x14ac:dyDescent="0.25">
      <c r="A41" s="22"/>
      <c r="B41" s="108" t="s">
        <v>6</v>
      </c>
      <c r="C41" s="11">
        <v>0.14460000000000001</v>
      </c>
      <c r="D41" s="11">
        <v>0.2</v>
      </c>
      <c r="E41" s="1" t="s">
        <v>4</v>
      </c>
      <c r="F41" s="9" t="s">
        <v>64</v>
      </c>
      <c r="G41" s="1" t="s">
        <v>19</v>
      </c>
      <c r="H41" s="205"/>
      <c r="I41" s="108" t="s">
        <v>6</v>
      </c>
      <c r="J41" s="11">
        <v>0.1416</v>
      </c>
      <c r="K41" s="11">
        <v>0.16</v>
      </c>
      <c r="L41" s="1" t="s">
        <v>4</v>
      </c>
      <c r="M41" s="9" t="s">
        <v>135</v>
      </c>
      <c r="N41" s="1" t="s">
        <v>19</v>
      </c>
    </row>
    <row r="42" spans="1:14" ht="27.6" x14ac:dyDescent="0.25">
      <c r="A42" s="23"/>
      <c r="B42" s="110" t="s">
        <v>230</v>
      </c>
      <c r="C42" s="12">
        <v>2.2000000000000001E-3</v>
      </c>
      <c r="D42" s="206" t="s">
        <v>189</v>
      </c>
      <c r="E42" s="135" t="s">
        <v>189</v>
      </c>
      <c r="F42" s="135" t="s">
        <v>189</v>
      </c>
      <c r="G42" s="179" t="s">
        <v>189</v>
      </c>
      <c r="H42" s="205"/>
      <c r="I42" s="110" t="s">
        <v>230</v>
      </c>
      <c r="J42" s="12">
        <v>2.3999999999999998E-3</v>
      </c>
      <c r="K42" s="206" t="s">
        <v>189</v>
      </c>
      <c r="L42" s="135" t="s">
        <v>189</v>
      </c>
      <c r="M42" s="135" t="s">
        <v>189</v>
      </c>
      <c r="N42" s="179" t="s">
        <v>189</v>
      </c>
    </row>
    <row r="43" spans="1:14" ht="21" customHeight="1" x14ac:dyDescent="0.25">
      <c r="A43" s="73"/>
      <c r="B43" s="75"/>
      <c r="C43" s="76"/>
      <c r="D43" s="77"/>
      <c r="E43" s="76"/>
      <c r="F43" s="76"/>
      <c r="G43" s="181"/>
      <c r="H43" s="207"/>
      <c r="I43" s="79"/>
      <c r="J43" s="80"/>
      <c r="K43" s="81"/>
      <c r="L43" s="80"/>
      <c r="M43" s="80"/>
      <c r="N43" s="182"/>
    </row>
    <row r="44" spans="1:14" ht="51.75" customHeight="1" x14ac:dyDescent="0.25">
      <c r="A44" s="30" t="s">
        <v>67</v>
      </c>
      <c r="B44" s="38" t="s">
        <v>146</v>
      </c>
      <c r="C44" s="39"/>
      <c r="D44" s="40"/>
      <c r="E44" s="85"/>
      <c r="F44" s="39"/>
      <c r="G44" s="178"/>
      <c r="H44" s="208" t="s">
        <v>67</v>
      </c>
      <c r="I44" s="38" t="s">
        <v>147</v>
      </c>
      <c r="J44" s="39"/>
      <c r="K44" s="40"/>
      <c r="L44" s="41"/>
      <c r="M44" s="39"/>
      <c r="N44" s="178"/>
    </row>
    <row r="45" spans="1:14" ht="51.75" customHeight="1" x14ac:dyDescent="0.25">
      <c r="A45" s="31"/>
      <c r="B45" s="123" t="s">
        <v>0</v>
      </c>
      <c r="C45" s="124" t="s">
        <v>225</v>
      </c>
      <c r="D45" s="124" t="s">
        <v>200</v>
      </c>
      <c r="E45" s="125" t="s">
        <v>1</v>
      </c>
      <c r="F45" s="125" t="s">
        <v>20</v>
      </c>
      <c r="G45" s="125" t="s">
        <v>35</v>
      </c>
      <c r="H45" s="209"/>
      <c r="I45" s="123" t="s">
        <v>0</v>
      </c>
      <c r="J45" s="124" t="s">
        <v>225</v>
      </c>
      <c r="K45" s="124" t="s">
        <v>200</v>
      </c>
      <c r="L45" s="125" t="s">
        <v>1</v>
      </c>
      <c r="M45" s="125" t="s">
        <v>20</v>
      </c>
      <c r="N45" s="125" t="s">
        <v>35</v>
      </c>
    </row>
    <row r="46" spans="1:14" ht="15.6" x14ac:dyDescent="0.25">
      <c r="A46" s="31"/>
      <c r="B46" s="108" t="s">
        <v>171</v>
      </c>
      <c r="C46" s="3">
        <v>0.2757</v>
      </c>
      <c r="D46" s="5" t="s">
        <v>197</v>
      </c>
      <c r="E46" s="151" t="s">
        <v>189</v>
      </c>
      <c r="F46" s="152" t="s">
        <v>190</v>
      </c>
      <c r="G46" s="152" t="s">
        <v>198</v>
      </c>
      <c r="H46" s="209"/>
      <c r="I46" s="162" t="s">
        <v>189</v>
      </c>
      <c r="J46" s="163" t="s">
        <v>189</v>
      </c>
      <c r="K46" s="163" t="s">
        <v>189</v>
      </c>
      <c r="L46" s="152" t="s">
        <v>189</v>
      </c>
      <c r="M46" s="152" t="s">
        <v>189</v>
      </c>
      <c r="N46" s="152" t="s">
        <v>189</v>
      </c>
    </row>
    <row r="47" spans="1:14" ht="55.2" x14ac:dyDescent="0.25">
      <c r="A47" s="31"/>
      <c r="B47" s="108" t="s">
        <v>140</v>
      </c>
      <c r="C47" s="5">
        <v>0.72640000000000005</v>
      </c>
      <c r="D47" s="5">
        <v>0.7</v>
      </c>
      <c r="E47" s="6" t="s">
        <v>4</v>
      </c>
      <c r="F47" s="7" t="s">
        <v>87</v>
      </c>
      <c r="G47" s="6" t="s">
        <v>223</v>
      </c>
      <c r="H47" s="209"/>
      <c r="I47" s="108" t="s">
        <v>233</v>
      </c>
      <c r="J47" s="5">
        <v>0.97</v>
      </c>
      <c r="K47" s="5">
        <v>0.95</v>
      </c>
      <c r="L47" s="6" t="s">
        <v>4</v>
      </c>
      <c r="M47" s="7" t="s">
        <v>123</v>
      </c>
      <c r="N47" s="6" t="s">
        <v>223</v>
      </c>
    </row>
    <row r="48" spans="1:14" x14ac:dyDescent="0.25">
      <c r="A48" s="31"/>
      <c r="B48" s="108" t="s">
        <v>2</v>
      </c>
      <c r="C48" s="3">
        <v>0.189</v>
      </c>
      <c r="D48" s="3">
        <v>0.19</v>
      </c>
      <c r="E48" s="1" t="s">
        <v>3</v>
      </c>
      <c r="F48" s="4" t="s">
        <v>216</v>
      </c>
      <c r="G48" s="1" t="s">
        <v>14</v>
      </c>
      <c r="H48" s="209"/>
      <c r="I48" s="108" t="s">
        <v>2</v>
      </c>
      <c r="J48" s="3">
        <v>0.28410000000000002</v>
      </c>
      <c r="K48" s="3">
        <v>0.28000000000000003</v>
      </c>
      <c r="L48" s="1" t="s">
        <v>3</v>
      </c>
      <c r="M48" s="4" t="s">
        <v>217</v>
      </c>
      <c r="N48" s="1" t="s">
        <v>14</v>
      </c>
    </row>
    <row r="49" spans="1:14" ht="27.6" x14ac:dyDescent="0.25">
      <c r="A49" s="31"/>
      <c r="B49" s="109" t="s">
        <v>139</v>
      </c>
      <c r="C49" s="3">
        <v>2.5499999999999998E-2</v>
      </c>
      <c r="D49" s="3">
        <v>0.06</v>
      </c>
      <c r="E49" s="1" t="s">
        <v>4</v>
      </c>
      <c r="F49" s="4" t="s">
        <v>58</v>
      </c>
      <c r="G49" s="1" t="s">
        <v>15</v>
      </c>
      <c r="H49" s="209"/>
      <c r="I49" s="108" t="s">
        <v>139</v>
      </c>
      <c r="J49" s="3">
        <v>4.2099999999999999E-2</v>
      </c>
      <c r="K49" s="3">
        <v>0.06</v>
      </c>
      <c r="L49" s="1" t="s">
        <v>4</v>
      </c>
      <c r="M49" s="4" t="s">
        <v>58</v>
      </c>
      <c r="N49" s="1" t="s">
        <v>15</v>
      </c>
    </row>
    <row r="50" spans="1:14" ht="27.6" x14ac:dyDescent="0.25">
      <c r="A50" s="31"/>
      <c r="B50" s="108" t="s">
        <v>172</v>
      </c>
      <c r="C50" s="3">
        <v>2.8999999999999998E-3</v>
      </c>
      <c r="D50" s="3">
        <v>0.05</v>
      </c>
      <c r="E50" s="8" t="s">
        <v>3</v>
      </c>
      <c r="F50" s="9" t="s">
        <v>51</v>
      </c>
      <c r="G50" s="153" t="s">
        <v>189</v>
      </c>
      <c r="H50" s="209"/>
      <c r="I50" s="108" t="s">
        <v>172</v>
      </c>
      <c r="J50" s="3">
        <v>2E-3</v>
      </c>
      <c r="K50" s="3">
        <v>0.05</v>
      </c>
      <c r="L50" s="8" t="s">
        <v>3</v>
      </c>
      <c r="M50" s="9" t="s">
        <v>51</v>
      </c>
      <c r="N50" s="153" t="s">
        <v>189</v>
      </c>
    </row>
    <row r="51" spans="1:14" x14ac:dyDescent="0.25">
      <c r="A51" s="31"/>
      <c r="B51" s="108" t="s">
        <v>10</v>
      </c>
      <c r="C51" s="3">
        <v>5.9999999999999995E-4</v>
      </c>
      <c r="D51" s="3">
        <v>0.05</v>
      </c>
      <c r="E51" s="8" t="s">
        <v>3</v>
      </c>
      <c r="F51" s="9" t="s">
        <v>51</v>
      </c>
      <c r="G51" s="153" t="s">
        <v>189</v>
      </c>
      <c r="H51" s="209"/>
      <c r="I51" s="108" t="s">
        <v>10</v>
      </c>
      <c r="J51" s="3">
        <v>5.0000000000000001E-4</v>
      </c>
      <c r="K51" s="3">
        <v>0.05</v>
      </c>
      <c r="L51" s="8" t="s">
        <v>3</v>
      </c>
      <c r="M51" s="9" t="s">
        <v>51</v>
      </c>
      <c r="N51" s="153" t="s">
        <v>189</v>
      </c>
    </row>
    <row r="52" spans="1:14" x14ac:dyDescent="0.25">
      <c r="A52" s="31"/>
      <c r="B52" s="108" t="s">
        <v>12</v>
      </c>
      <c r="C52" s="3">
        <v>0.1608</v>
      </c>
      <c r="D52" s="3">
        <v>0.15</v>
      </c>
      <c r="E52" s="1" t="s">
        <v>3</v>
      </c>
      <c r="F52" s="9" t="s">
        <v>52</v>
      </c>
      <c r="G52" s="9" t="s">
        <v>18</v>
      </c>
      <c r="H52" s="209"/>
      <c r="I52" s="108" t="s">
        <v>12</v>
      </c>
      <c r="J52" s="3">
        <v>0.14480000000000001</v>
      </c>
      <c r="K52" s="3">
        <v>0.15</v>
      </c>
      <c r="L52" s="1" t="s">
        <v>3</v>
      </c>
      <c r="M52" s="9" t="s">
        <v>52</v>
      </c>
      <c r="N52" s="9" t="s">
        <v>18</v>
      </c>
    </row>
    <row r="53" spans="1:14" x14ac:dyDescent="0.25">
      <c r="A53" s="31"/>
      <c r="B53" s="108" t="s">
        <v>173</v>
      </c>
      <c r="C53" s="3">
        <v>0</v>
      </c>
      <c r="D53" s="3">
        <v>0.05</v>
      </c>
      <c r="E53" s="1" t="s">
        <v>3</v>
      </c>
      <c r="F53" s="10" t="s">
        <v>51</v>
      </c>
      <c r="G53" s="136" t="s">
        <v>189</v>
      </c>
      <c r="H53" s="209"/>
      <c r="I53" s="108" t="s">
        <v>173</v>
      </c>
      <c r="J53" s="3">
        <v>0</v>
      </c>
      <c r="K53" s="3">
        <v>0.05</v>
      </c>
      <c r="L53" s="1" t="s">
        <v>3</v>
      </c>
      <c r="M53" s="10" t="s">
        <v>51</v>
      </c>
      <c r="N53" s="136" t="s">
        <v>189</v>
      </c>
    </row>
    <row r="54" spans="1:14" x14ac:dyDescent="0.25">
      <c r="A54" s="31"/>
      <c r="B54" s="110" t="s">
        <v>5</v>
      </c>
      <c r="C54" s="29">
        <f>SUBTOTAL(109,C46:C53)</f>
        <v>1.3809</v>
      </c>
      <c r="D54" s="103">
        <f>SUBTOTAL(109,D46:D53)</f>
        <v>1.25</v>
      </c>
      <c r="E54" s="121" t="s">
        <v>189</v>
      </c>
      <c r="F54" s="42" t="s">
        <v>73</v>
      </c>
      <c r="G54" s="116" t="s">
        <v>189</v>
      </c>
      <c r="H54" s="209"/>
      <c r="I54" s="110" t="s">
        <v>5</v>
      </c>
      <c r="J54" s="29">
        <f>SUBTOTAL(109,J46:J53)</f>
        <v>1.4435</v>
      </c>
      <c r="K54" s="103">
        <f>SUBTOTAL(109,K46:K53)</f>
        <v>1.59</v>
      </c>
      <c r="L54" s="122" t="s">
        <v>189</v>
      </c>
      <c r="M54" s="122" t="s">
        <v>189</v>
      </c>
      <c r="N54" s="116" t="s">
        <v>189</v>
      </c>
    </row>
    <row r="55" spans="1:14" x14ac:dyDescent="0.25">
      <c r="A55" s="31"/>
      <c r="B55" s="108" t="s">
        <v>6</v>
      </c>
      <c r="C55" s="11">
        <v>0.20200000000000001</v>
      </c>
      <c r="D55" s="11">
        <v>0.2</v>
      </c>
      <c r="E55" s="1" t="s">
        <v>4</v>
      </c>
      <c r="F55" s="9" t="s">
        <v>64</v>
      </c>
      <c r="G55" s="1" t="s">
        <v>19</v>
      </c>
      <c r="H55" s="209"/>
      <c r="I55" s="108" t="s">
        <v>6</v>
      </c>
      <c r="J55" s="11">
        <v>0.20330000000000001</v>
      </c>
      <c r="K55" s="11">
        <v>0.2</v>
      </c>
      <c r="L55" s="1" t="s">
        <v>4</v>
      </c>
      <c r="M55" s="9" t="s">
        <v>64</v>
      </c>
      <c r="N55" s="1" t="s">
        <v>19</v>
      </c>
    </row>
    <row r="56" spans="1:14" ht="27.6" x14ac:dyDescent="0.25">
      <c r="A56" s="31"/>
      <c r="B56" s="110" t="s">
        <v>230</v>
      </c>
      <c r="C56" s="12">
        <v>1.4E-3</v>
      </c>
      <c r="D56" s="206" t="s">
        <v>189</v>
      </c>
      <c r="E56" s="135" t="s">
        <v>189</v>
      </c>
      <c r="F56" s="135" t="s">
        <v>189</v>
      </c>
      <c r="G56" s="179" t="s">
        <v>189</v>
      </c>
      <c r="H56" s="209"/>
      <c r="I56" s="110" t="s">
        <v>230</v>
      </c>
      <c r="J56" s="12">
        <v>1.4E-3</v>
      </c>
      <c r="K56" s="206" t="s">
        <v>189</v>
      </c>
      <c r="L56" s="135" t="s">
        <v>189</v>
      </c>
      <c r="M56" s="135" t="s">
        <v>189</v>
      </c>
      <c r="N56" s="179" t="s">
        <v>189</v>
      </c>
    </row>
    <row r="57" spans="1:14" ht="21" customHeight="1" x14ac:dyDescent="0.25">
      <c r="A57" s="73"/>
      <c r="B57" s="75"/>
      <c r="C57" s="76"/>
      <c r="D57" s="77"/>
      <c r="E57" s="76"/>
      <c r="F57" s="76"/>
      <c r="G57" s="181"/>
      <c r="H57" s="207"/>
      <c r="I57" s="79"/>
      <c r="J57" s="80"/>
      <c r="K57" s="81"/>
      <c r="L57" s="80"/>
      <c r="M57" s="80"/>
      <c r="N57" s="182"/>
    </row>
    <row r="58" spans="1:14" ht="51.75" customHeight="1" x14ac:dyDescent="0.25">
      <c r="A58" s="30" t="s">
        <v>68</v>
      </c>
      <c r="B58" s="38" t="s">
        <v>148</v>
      </c>
      <c r="C58" s="39"/>
      <c r="D58" s="40"/>
      <c r="E58" s="85"/>
      <c r="F58" s="39"/>
      <c r="G58" s="178"/>
      <c r="H58" s="208" t="s">
        <v>68</v>
      </c>
      <c r="I58" s="38" t="s">
        <v>149</v>
      </c>
      <c r="J58" s="39"/>
      <c r="K58" s="40"/>
      <c r="L58" s="41"/>
      <c r="M58" s="39"/>
      <c r="N58" s="178"/>
    </row>
    <row r="59" spans="1:14" ht="51.75" customHeight="1" x14ac:dyDescent="0.25">
      <c r="A59" s="31"/>
      <c r="B59" s="123" t="s">
        <v>0</v>
      </c>
      <c r="C59" s="124" t="s">
        <v>225</v>
      </c>
      <c r="D59" s="124" t="s">
        <v>200</v>
      </c>
      <c r="E59" s="125" t="s">
        <v>22</v>
      </c>
      <c r="F59" s="125" t="s">
        <v>20</v>
      </c>
      <c r="G59" s="125" t="s">
        <v>35</v>
      </c>
      <c r="H59" s="209"/>
      <c r="I59" s="123" t="s">
        <v>0</v>
      </c>
      <c r="J59" s="124" t="s">
        <v>225</v>
      </c>
      <c r="K59" s="124" t="s">
        <v>200</v>
      </c>
      <c r="L59" s="125" t="s">
        <v>22</v>
      </c>
      <c r="M59" s="125" t="s">
        <v>20</v>
      </c>
      <c r="N59" s="125" t="s">
        <v>35</v>
      </c>
    </row>
    <row r="60" spans="1:14" ht="15.6" x14ac:dyDescent="0.25">
      <c r="A60" s="31"/>
      <c r="B60" s="2" t="s">
        <v>171</v>
      </c>
      <c r="C60" s="5">
        <v>0.27400000000000002</v>
      </c>
      <c r="D60" s="5">
        <v>0.3</v>
      </c>
      <c r="E60" s="151" t="s">
        <v>189</v>
      </c>
      <c r="F60" s="152" t="s">
        <v>189</v>
      </c>
      <c r="G60" s="152" t="s">
        <v>189</v>
      </c>
      <c r="H60" s="209"/>
      <c r="I60" s="164" t="s">
        <v>189</v>
      </c>
      <c r="J60" s="163" t="s">
        <v>189</v>
      </c>
      <c r="K60" s="163" t="s">
        <v>189</v>
      </c>
      <c r="L60" s="152" t="s">
        <v>189</v>
      </c>
      <c r="M60" s="152" t="s">
        <v>189</v>
      </c>
      <c r="N60" s="152" t="s">
        <v>189</v>
      </c>
    </row>
    <row r="61" spans="1:14" ht="55.2" x14ac:dyDescent="0.25">
      <c r="A61" s="31"/>
      <c r="B61" s="2" t="s">
        <v>140</v>
      </c>
      <c r="C61" s="5">
        <v>4.3700000000000003E-2</v>
      </c>
      <c r="D61" s="5">
        <v>0.06</v>
      </c>
      <c r="E61" s="6" t="s">
        <v>4</v>
      </c>
      <c r="F61" s="7" t="s">
        <v>58</v>
      </c>
      <c r="G61" s="6" t="s">
        <v>223</v>
      </c>
      <c r="H61" s="209"/>
      <c r="I61" s="2" t="s">
        <v>233</v>
      </c>
      <c r="J61" s="5">
        <v>2.87E-2</v>
      </c>
      <c r="K61" s="5">
        <v>0.06</v>
      </c>
      <c r="L61" s="6" t="s">
        <v>4</v>
      </c>
      <c r="M61" s="7" t="s">
        <v>58</v>
      </c>
      <c r="N61" s="6" t="s">
        <v>223</v>
      </c>
    </row>
    <row r="62" spans="1:14" x14ac:dyDescent="0.25">
      <c r="A62" s="31"/>
      <c r="B62" s="2" t="s">
        <v>2</v>
      </c>
      <c r="C62" s="3">
        <v>0.12970000000000001</v>
      </c>
      <c r="D62" s="3">
        <v>0.11</v>
      </c>
      <c r="E62" s="1" t="s">
        <v>3</v>
      </c>
      <c r="F62" s="4" t="s">
        <v>218</v>
      </c>
      <c r="G62" s="1" t="s">
        <v>14</v>
      </c>
      <c r="H62" s="209"/>
      <c r="I62" s="2" t="s">
        <v>2</v>
      </c>
      <c r="J62" s="3">
        <v>0.34100000000000003</v>
      </c>
      <c r="K62" s="3">
        <v>0.35</v>
      </c>
      <c r="L62" s="1" t="s">
        <v>3</v>
      </c>
      <c r="M62" s="4" t="s">
        <v>118</v>
      </c>
      <c r="N62" s="1" t="s">
        <v>14</v>
      </c>
    </row>
    <row r="63" spans="1:14" ht="27.6" x14ac:dyDescent="0.25">
      <c r="A63" s="31"/>
      <c r="B63" s="72" t="s">
        <v>139</v>
      </c>
      <c r="C63" s="3">
        <v>0.46379999999999999</v>
      </c>
      <c r="D63" s="3">
        <v>0.5</v>
      </c>
      <c r="E63" s="1" t="s">
        <v>4</v>
      </c>
      <c r="F63" s="4" t="s">
        <v>92</v>
      </c>
      <c r="G63" s="1" t="s">
        <v>15</v>
      </c>
      <c r="H63" s="209"/>
      <c r="I63" s="2" t="s">
        <v>139</v>
      </c>
      <c r="J63" s="3">
        <v>0.58160000000000001</v>
      </c>
      <c r="K63" s="3">
        <v>0.6</v>
      </c>
      <c r="L63" s="1" t="s">
        <v>4</v>
      </c>
      <c r="M63" s="4" t="s">
        <v>219</v>
      </c>
      <c r="N63" s="1" t="s">
        <v>15</v>
      </c>
    </row>
    <row r="64" spans="1:14" ht="27.6" x14ac:dyDescent="0.25">
      <c r="A64" s="31"/>
      <c r="B64" s="2" t="s">
        <v>172</v>
      </c>
      <c r="C64" s="3">
        <v>1.6000000000000001E-3</v>
      </c>
      <c r="D64" s="3">
        <v>0.05</v>
      </c>
      <c r="E64" s="8" t="s">
        <v>3</v>
      </c>
      <c r="F64" s="9" t="s">
        <v>51</v>
      </c>
      <c r="G64" s="153" t="s">
        <v>189</v>
      </c>
      <c r="H64" s="209"/>
      <c r="I64" s="2" t="s">
        <v>172</v>
      </c>
      <c r="J64" s="3">
        <v>2.0000000000000001E-4</v>
      </c>
      <c r="K64" s="3">
        <v>0.05</v>
      </c>
      <c r="L64" s="8" t="s">
        <v>3</v>
      </c>
      <c r="M64" s="9" t="s">
        <v>51</v>
      </c>
      <c r="N64" s="153" t="s">
        <v>189</v>
      </c>
    </row>
    <row r="65" spans="1:14" x14ac:dyDescent="0.25">
      <c r="A65" s="31"/>
      <c r="B65" s="2" t="s">
        <v>10</v>
      </c>
      <c r="C65" s="3">
        <v>1.5699999999999999E-2</v>
      </c>
      <c r="D65" s="3">
        <v>0.05</v>
      </c>
      <c r="E65" s="8" t="s">
        <v>3</v>
      </c>
      <c r="F65" s="9" t="s">
        <v>51</v>
      </c>
      <c r="G65" s="153" t="s">
        <v>189</v>
      </c>
      <c r="H65" s="209"/>
      <c r="I65" s="2" t="s">
        <v>10</v>
      </c>
      <c r="J65" s="3">
        <v>0</v>
      </c>
      <c r="K65" s="3">
        <v>0.05</v>
      </c>
      <c r="L65" s="8" t="s">
        <v>3</v>
      </c>
      <c r="M65" s="9" t="s">
        <v>51</v>
      </c>
      <c r="N65" s="153" t="s">
        <v>189</v>
      </c>
    </row>
    <row r="66" spans="1:14" x14ac:dyDescent="0.25">
      <c r="A66" s="31"/>
      <c r="B66" s="2" t="s">
        <v>12</v>
      </c>
      <c r="C66" s="3">
        <v>7.1400000000000005E-2</v>
      </c>
      <c r="D66" s="3">
        <v>0.05</v>
      </c>
      <c r="E66" s="1" t="s">
        <v>3</v>
      </c>
      <c r="F66" s="9" t="s">
        <v>51</v>
      </c>
      <c r="G66" s="9" t="s">
        <v>18</v>
      </c>
      <c r="H66" s="209"/>
      <c r="I66" s="2" t="s">
        <v>12</v>
      </c>
      <c r="J66" s="3">
        <v>5.0099999999999999E-2</v>
      </c>
      <c r="K66" s="3">
        <v>0.05</v>
      </c>
      <c r="L66" s="1" t="s">
        <v>3</v>
      </c>
      <c r="M66" s="9" t="s">
        <v>51</v>
      </c>
      <c r="N66" s="9" t="s">
        <v>18</v>
      </c>
    </row>
    <row r="67" spans="1:14" x14ac:dyDescent="0.25">
      <c r="A67" s="31"/>
      <c r="B67" s="2" t="s">
        <v>173</v>
      </c>
      <c r="C67" s="3">
        <v>0</v>
      </c>
      <c r="D67" s="3">
        <v>0.05</v>
      </c>
      <c r="E67" s="1" t="s">
        <v>3</v>
      </c>
      <c r="F67" s="10" t="s">
        <v>51</v>
      </c>
      <c r="G67" s="136" t="s">
        <v>189</v>
      </c>
      <c r="H67" s="209"/>
      <c r="I67" s="2" t="s">
        <v>173</v>
      </c>
      <c r="J67" s="3">
        <v>0</v>
      </c>
      <c r="K67" s="3">
        <v>0.05</v>
      </c>
      <c r="L67" s="1" t="s">
        <v>3</v>
      </c>
      <c r="M67" s="10" t="s">
        <v>51</v>
      </c>
      <c r="N67" s="136" t="s">
        <v>189</v>
      </c>
    </row>
    <row r="68" spans="1:14" x14ac:dyDescent="0.25">
      <c r="A68" s="31"/>
      <c r="B68" s="28" t="s">
        <v>5</v>
      </c>
      <c r="C68" s="103">
        <f>SUBTOTAL(109,C60:C67)</f>
        <v>0.99990000000000012</v>
      </c>
      <c r="D68" s="103">
        <f>SUBTOTAL(109,D60:D67)</f>
        <v>1.1700000000000002</v>
      </c>
      <c r="E68" s="121" t="s">
        <v>189</v>
      </c>
      <c r="F68" s="122" t="s">
        <v>189</v>
      </c>
      <c r="G68" s="116" t="s">
        <v>189</v>
      </c>
      <c r="H68" s="209"/>
      <c r="I68" s="28" t="s">
        <v>5</v>
      </c>
      <c r="J68" s="29">
        <f>SUBTOTAL(109,J60:J67)</f>
        <v>1.0016</v>
      </c>
      <c r="K68" s="29">
        <f>SUBTOTAL(109,K60:K67)</f>
        <v>1.2100000000000002</v>
      </c>
      <c r="L68" s="122" t="s">
        <v>189</v>
      </c>
      <c r="M68" s="122" t="s">
        <v>189</v>
      </c>
      <c r="N68" s="116" t="s">
        <v>189</v>
      </c>
    </row>
    <row r="69" spans="1:14" x14ac:dyDescent="0.25">
      <c r="A69" s="31"/>
      <c r="B69" s="2" t="s">
        <v>6</v>
      </c>
      <c r="C69" s="11">
        <v>5.5100000000000003E-2</v>
      </c>
      <c r="D69" s="11">
        <v>0.06</v>
      </c>
      <c r="E69" s="1" t="s">
        <v>4</v>
      </c>
      <c r="F69" s="9" t="s">
        <v>58</v>
      </c>
      <c r="G69" s="1" t="s">
        <v>19</v>
      </c>
      <c r="H69" s="209"/>
      <c r="I69" s="2" t="s">
        <v>6</v>
      </c>
      <c r="J69" s="11">
        <v>5.28E-2</v>
      </c>
      <c r="K69" s="11">
        <v>0.06</v>
      </c>
      <c r="L69" s="1" t="s">
        <v>4</v>
      </c>
      <c r="M69" s="9" t="s">
        <v>58</v>
      </c>
      <c r="N69" s="1" t="s">
        <v>19</v>
      </c>
    </row>
    <row r="70" spans="1:14" ht="27.6" x14ac:dyDescent="0.25">
      <c r="A70" s="31"/>
      <c r="B70" s="110" t="s">
        <v>230</v>
      </c>
      <c r="C70" s="12">
        <v>1.4E-3</v>
      </c>
      <c r="D70" s="206" t="s">
        <v>189</v>
      </c>
      <c r="E70" s="135" t="s">
        <v>189</v>
      </c>
      <c r="F70" s="135" t="s">
        <v>189</v>
      </c>
      <c r="G70" s="179" t="s">
        <v>189</v>
      </c>
      <c r="H70" s="209"/>
      <c r="I70" s="110" t="s">
        <v>230</v>
      </c>
      <c r="J70" s="12">
        <v>2E-3</v>
      </c>
      <c r="K70" s="206" t="s">
        <v>189</v>
      </c>
      <c r="L70" s="135" t="s">
        <v>189</v>
      </c>
      <c r="M70" s="135" t="s">
        <v>189</v>
      </c>
      <c r="N70" s="179" t="s">
        <v>189</v>
      </c>
    </row>
    <row r="71" spans="1:14" ht="21" customHeight="1" x14ac:dyDescent="0.25">
      <c r="A71" s="73"/>
      <c r="B71" s="75"/>
      <c r="C71" s="76"/>
      <c r="D71" s="77"/>
      <c r="E71" s="76"/>
      <c r="F71" s="76"/>
      <c r="G71" s="181"/>
      <c r="H71" s="207"/>
      <c r="I71" s="79"/>
      <c r="J71" s="80"/>
      <c r="K71" s="81"/>
      <c r="L71" s="80"/>
      <c r="M71" s="80"/>
      <c r="N71" s="182"/>
    </row>
    <row r="72" spans="1:14" ht="51.75" customHeight="1" x14ac:dyDescent="0.25">
      <c r="A72" s="30" t="s">
        <v>70</v>
      </c>
      <c r="B72" s="38" t="s">
        <v>150</v>
      </c>
      <c r="C72" s="39"/>
      <c r="D72" s="40"/>
      <c r="E72" s="85"/>
      <c r="F72" s="39"/>
      <c r="G72" s="178"/>
      <c r="H72" s="208" t="s">
        <v>70</v>
      </c>
      <c r="I72" s="38" t="s">
        <v>151</v>
      </c>
      <c r="J72" s="39"/>
      <c r="K72" s="40"/>
      <c r="L72" s="41"/>
      <c r="M72" s="39"/>
      <c r="N72" s="178"/>
    </row>
    <row r="73" spans="1:14" ht="51.75" customHeight="1" x14ac:dyDescent="0.25">
      <c r="A73" s="31"/>
      <c r="B73" s="123" t="s">
        <v>0</v>
      </c>
      <c r="C73" s="124" t="s">
        <v>225</v>
      </c>
      <c r="D73" s="124" t="s">
        <v>200</v>
      </c>
      <c r="E73" s="125" t="s">
        <v>22</v>
      </c>
      <c r="F73" s="125" t="s">
        <v>20</v>
      </c>
      <c r="G73" s="125" t="s">
        <v>35</v>
      </c>
      <c r="H73" s="209"/>
      <c r="I73" s="123" t="s">
        <v>0</v>
      </c>
      <c r="J73" s="124" t="s">
        <v>225</v>
      </c>
      <c r="K73" s="124" t="s">
        <v>200</v>
      </c>
      <c r="L73" s="125" t="s">
        <v>22</v>
      </c>
      <c r="M73" s="125" t="s">
        <v>20</v>
      </c>
      <c r="N73" s="125" t="s">
        <v>35</v>
      </c>
    </row>
    <row r="74" spans="1:14" ht="15.6" x14ac:dyDescent="0.25">
      <c r="A74" s="31"/>
      <c r="B74" s="108" t="s">
        <v>171</v>
      </c>
      <c r="C74" s="3">
        <v>0.2329</v>
      </c>
      <c r="D74" s="5">
        <v>0.3</v>
      </c>
      <c r="E74" s="151" t="s">
        <v>189</v>
      </c>
      <c r="F74" s="152" t="s">
        <v>189</v>
      </c>
      <c r="G74" s="152" t="s">
        <v>189</v>
      </c>
      <c r="H74" s="209"/>
      <c r="I74" s="162" t="s">
        <v>189</v>
      </c>
      <c r="J74" s="163" t="s">
        <v>189</v>
      </c>
      <c r="K74" s="163" t="s">
        <v>189</v>
      </c>
      <c r="L74" s="152" t="s">
        <v>189</v>
      </c>
      <c r="M74" s="152" t="s">
        <v>189</v>
      </c>
      <c r="N74" s="152" t="s">
        <v>189</v>
      </c>
    </row>
    <row r="75" spans="1:14" ht="27.6" x14ac:dyDescent="0.25">
      <c r="A75" s="31"/>
      <c r="B75" s="108" t="s">
        <v>140</v>
      </c>
      <c r="C75" s="117">
        <v>0</v>
      </c>
      <c r="D75" s="5">
        <v>0</v>
      </c>
      <c r="E75" s="6" t="s">
        <v>4</v>
      </c>
      <c r="F75" s="7" t="s">
        <v>73</v>
      </c>
      <c r="G75" s="155" t="s">
        <v>189</v>
      </c>
      <c r="H75" s="209"/>
      <c r="I75" s="108" t="s">
        <v>233</v>
      </c>
      <c r="J75" s="165">
        <v>0</v>
      </c>
      <c r="K75" s="165" t="s">
        <v>189</v>
      </c>
      <c r="L75" s="6" t="s">
        <v>4</v>
      </c>
      <c r="M75" s="7" t="s">
        <v>73</v>
      </c>
      <c r="N75" s="155" t="s">
        <v>189</v>
      </c>
    </row>
    <row r="76" spans="1:14" x14ac:dyDescent="0.25">
      <c r="A76" s="31"/>
      <c r="B76" s="108" t="s">
        <v>2</v>
      </c>
      <c r="C76" s="3">
        <v>0.68799999999999994</v>
      </c>
      <c r="D76" s="3">
        <v>0.65</v>
      </c>
      <c r="E76" s="1" t="s">
        <v>3</v>
      </c>
      <c r="F76" s="4" t="s">
        <v>195</v>
      </c>
      <c r="G76" s="1" t="s">
        <v>14</v>
      </c>
      <c r="H76" s="209"/>
      <c r="I76" s="108" t="s">
        <v>2</v>
      </c>
      <c r="J76" s="3">
        <v>0.96209999999999996</v>
      </c>
      <c r="K76" s="3">
        <v>0.98</v>
      </c>
      <c r="L76" s="1" t="s">
        <v>3</v>
      </c>
      <c r="M76" s="4" t="s">
        <v>181</v>
      </c>
      <c r="N76" s="1" t="s">
        <v>14</v>
      </c>
    </row>
    <row r="77" spans="1:14" ht="27.6" x14ac:dyDescent="0.25">
      <c r="A77" s="31"/>
      <c r="B77" s="109" t="s">
        <v>187</v>
      </c>
      <c r="C77" s="3">
        <v>2.0000000000000001E-4</v>
      </c>
      <c r="D77" s="3">
        <v>0</v>
      </c>
      <c r="E77" s="1" t="s">
        <v>4</v>
      </c>
      <c r="F77" s="4" t="s">
        <v>73</v>
      </c>
      <c r="G77" s="153" t="s">
        <v>189</v>
      </c>
      <c r="H77" s="209"/>
      <c r="I77" s="108" t="s">
        <v>188</v>
      </c>
      <c r="J77" s="117" t="s">
        <v>189</v>
      </c>
      <c r="K77" s="117" t="s">
        <v>189</v>
      </c>
      <c r="L77" s="1" t="s">
        <v>4</v>
      </c>
      <c r="M77" s="4" t="s">
        <v>73</v>
      </c>
      <c r="N77" s="153" t="s">
        <v>189</v>
      </c>
    </row>
    <row r="78" spans="1:14" ht="27.6" x14ac:dyDescent="0.25">
      <c r="A78" s="31"/>
      <c r="B78" s="108" t="s">
        <v>172</v>
      </c>
      <c r="C78" s="117">
        <v>0</v>
      </c>
      <c r="D78" s="3">
        <v>0</v>
      </c>
      <c r="E78" s="8" t="s">
        <v>3</v>
      </c>
      <c r="F78" s="9" t="s">
        <v>73</v>
      </c>
      <c r="G78" s="153" t="s">
        <v>189</v>
      </c>
      <c r="H78" s="209"/>
      <c r="I78" s="108" t="s">
        <v>172</v>
      </c>
      <c r="J78" s="117" t="s">
        <v>189</v>
      </c>
      <c r="K78" s="117" t="s">
        <v>189</v>
      </c>
      <c r="L78" s="8" t="s">
        <v>3</v>
      </c>
      <c r="M78" s="9" t="s">
        <v>73</v>
      </c>
      <c r="N78" s="153" t="s">
        <v>189</v>
      </c>
    </row>
    <row r="79" spans="1:14" x14ac:dyDescent="0.25">
      <c r="A79" s="31"/>
      <c r="B79" s="108" t="s">
        <v>10</v>
      </c>
      <c r="C79" s="117">
        <v>0</v>
      </c>
      <c r="D79" s="3">
        <v>0</v>
      </c>
      <c r="E79" s="8" t="s">
        <v>3</v>
      </c>
      <c r="F79" s="9" t="s">
        <v>73</v>
      </c>
      <c r="G79" s="153" t="s">
        <v>189</v>
      </c>
      <c r="H79" s="209"/>
      <c r="I79" s="108" t="s">
        <v>10</v>
      </c>
      <c r="J79" s="117" t="s">
        <v>189</v>
      </c>
      <c r="K79" s="117" t="s">
        <v>189</v>
      </c>
      <c r="L79" s="8" t="s">
        <v>3</v>
      </c>
      <c r="M79" s="9" t="s">
        <v>73</v>
      </c>
      <c r="N79" s="153" t="s">
        <v>189</v>
      </c>
    </row>
    <row r="80" spans="1:14" x14ac:dyDescent="0.25">
      <c r="A80" s="31"/>
      <c r="B80" s="108" t="s">
        <v>12</v>
      </c>
      <c r="C80" s="3">
        <v>7.4899999999999994E-2</v>
      </c>
      <c r="D80" s="3">
        <v>0.05</v>
      </c>
      <c r="E80" s="1" t="s">
        <v>3</v>
      </c>
      <c r="F80" s="9" t="s">
        <v>51</v>
      </c>
      <c r="G80" s="9" t="s">
        <v>18</v>
      </c>
      <c r="H80" s="209"/>
      <c r="I80" s="108" t="s">
        <v>12</v>
      </c>
      <c r="J80" s="3">
        <v>3.6600000000000001E-2</v>
      </c>
      <c r="K80" s="3">
        <v>0.05</v>
      </c>
      <c r="L80" s="1" t="s">
        <v>3</v>
      </c>
      <c r="M80" s="9" t="s">
        <v>51</v>
      </c>
      <c r="N80" s="9" t="s">
        <v>18</v>
      </c>
    </row>
    <row r="81" spans="1:14" x14ac:dyDescent="0.25">
      <c r="A81" s="31"/>
      <c r="B81" s="108" t="s">
        <v>173</v>
      </c>
      <c r="C81" s="117">
        <v>0</v>
      </c>
      <c r="D81" s="3">
        <v>0</v>
      </c>
      <c r="E81" s="1" t="s">
        <v>3</v>
      </c>
      <c r="F81" s="10" t="s">
        <v>73</v>
      </c>
      <c r="G81" s="136" t="s">
        <v>189</v>
      </c>
      <c r="H81" s="209"/>
      <c r="I81" s="108" t="s">
        <v>173</v>
      </c>
      <c r="J81" s="117" t="s">
        <v>189</v>
      </c>
      <c r="K81" s="117" t="s">
        <v>189</v>
      </c>
      <c r="L81" s="1" t="s">
        <v>3</v>
      </c>
      <c r="M81" s="10" t="s">
        <v>73</v>
      </c>
      <c r="N81" s="136" t="s">
        <v>189</v>
      </c>
    </row>
    <row r="82" spans="1:14" x14ac:dyDescent="0.25">
      <c r="A82" s="31"/>
      <c r="B82" s="110" t="s">
        <v>5</v>
      </c>
      <c r="C82" s="103">
        <f>SUBTOTAL(109,C74:C81)</f>
        <v>0.99599999999999989</v>
      </c>
      <c r="D82" s="103">
        <f>SUBTOTAL(109,D74:D81)</f>
        <v>1</v>
      </c>
      <c r="E82" s="121" t="s">
        <v>189</v>
      </c>
      <c r="F82" s="122" t="s">
        <v>189</v>
      </c>
      <c r="G82" s="116" t="s">
        <v>189</v>
      </c>
      <c r="H82" s="209"/>
      <c r="I82" s="110" t="s">
        <v>5</v>
      </c>
      <c r="J82" s="103">
        <f>SUBTOTAL(109,J74:J81)</f>
        <v>0.99869999999999992</v>
      </c>
      <c r="K82" s="103">
        <f>SUBTOTAL(109,K74:K81)</f>
        <v>1.03</v>
      </c>
      <c r="L82" s="122" t="s">
        <v>189</v>
      </c>
      <c r="M82" s="122" t="s">
        <v>189</v>
      </c>
      <c r="N82" s="116" t="s">
        <v>189</v>
      </c>
    </row>
    <row r="83" spans="1:14" x14ac:dyDescent="0.25">
      <c r="A83" s="31"/>
      <c r="B83" s="108" t="s">
        <v>6</v>
      </c>
      <c r="C83" s="149">
        <v>0</v>
      </c>
      <c r="D83" s="11">
        <v>0</v>
      </c>
      <c r="E83" s="1" t="s">
        <v>4</v>
      </c>
      <c r="F83" s="9" t="s">
        <v>73</v>
      </c>
      <c r="G83" s="153" t="s">
        <v>189</v>
      </c>
      <c r="H83" s="209"/>
      <c r="I83" s="108" t="s">
        <v>6</v>
      </c>
      <c r="J83" s="149" t="s">
        <v>189</v>
      </c>
      <c r="K83" s="149" t="s">
        <v>189</v>
      </c>
      <c r="L83" s="1" t="s">
        <v>4</v>
      </c>
      <c r="M83" s="9" t="s">
        <v>73</v>
      </c>
      <c r="N83" s="153" t="s">
        <v>189</v>
      </c>
    </row>
    <row r="84" spans="1:14" ht="27.6" x14ac:dyDescent="0.25">
      <c r="A84" s="31"/>
      <c r="B84" s="110" t="s">
        <v>230</v>
      </c>
      <c r="C84" s="12">
        <v>2E-3</v>
      </c>
      <c r="D84" s="206" t="s">
        <v>189</v>
      </c>
      <c r="E84" s="135" t="s">
        <v>189</v>
      </c>
      <c r="F84" s="135" t="s">
        <v>189</v>
      </c>
      <c r="G84" s="179" t="s">
        <v>189</v>
      </c>
      <c r="H84" s="209"/>
      <c r="I84" s="110" t="s">
        <v>230</v>
      </c>
      <c r="J84" s="12">
        <v>2E-3</v>
      </c>
      <c r="K84" s="206" t="s">
        <v>189</v>
      </c>
      <c r="L84" s="135" t="s">
        <v>189</v>
      </c>
      <c r="M84" s="135" t="s">
        <v>189</v>
      </c>
      <c r="N84" s="179" t="s">
        <v>189</v>
      </c>
    </row>
    <row r="85" spans="1:14" ht="21" customHeight="1" x14ac:dyDescent="0.25">
      <c r="A85" s="73"/>
      <c r="B85" s="75"/>
      <c r="C85" s="76"/>
      <c r="D85" s="77"/>
      <c r="E85" s="76"/>
      <c r="F85" s="76"/>
      <c r="G85" s="181"/>
      <c r="H85" s="207"/>
      <c r="I85" s="79"/>
      <c r="J85" s="80"/>
      <c r="K85" s="81"/>
      <c r="L85" s="80"/>
      <c r="M85" s="80"/>
      <c r="N85" s="182"/>
    </row>
    <row r="86" spans="1:14" ht="64.5" customHeight="1" x14ac:dyDescent="0.25">
      <c r="A86" s="44" t="s">
        <v>93</v>
      </c>
      <c r="B86" s="38" t="s">
        <v>152</v>
      </c>
      <c r="C86" s="39"/>
      <c r="D86" s="40"/>
      <c r="E86" s="85"/>
      <c r="F86" s="85"/>
      <c r="G86" s="178"/>
      <c r="H86" s="210" t="s">
        <v>93</v>
      </c>
      <c r="I86" s="38" t="s">
        <v>153</v>
      </c>
      <c r="J86" s="39"/>
      <c r="K86" s="40"/>
      <c r="L86" s="41"/>
      <c r="M86" s="41"/>
      <c r="N86" s="178"/>
    </row>
    <row r="87" spans="1:14" ht="51.75" customHeight="1" x14ac:dyDescent="0.25">
      <c r="A87" s="45"/>
      <c r="B87" s="123" t="s">
        <v>0</v>
      </c>
      <c r="C87" s="124" t="s">
        <v>225</v>
      </c>
      <c r="D87" s="124" t="s">
        <v>200</v>
      </c>
      <c r="E87" s="125" t="s">
        <v>22</v>
      </c>
      <c r="F87" s="125" t="s">
        <v>20</v>
      </c>
      <c r="G87" s="125" t="s">
        <v>35</v>
      </c>
      <c r="H87" s="211"/>
      <c r="I87" s="123" t="s">
        <v>0</v>
      </c>
      <c r="J87" s="124" t="s">
        <v>225</v>
      </c>
      <c r="K87" s="124" t="s">
        <v>200</v>
      </c>
      <c r="L87" s="125" t="s">
        <v>22</v>
      </c>
      <c r="M87" s="125" t="s">
        <v>20</v>
      </c>
      <c r="N87" s="125" t="s">
        <v>35</v>
      </c>
    </row>
    <row r="88" spans="1:14" ht="15.6" x14ac:dyDescent="0.25">
      <c r="A88" s="45"/>
      <c r="B88" s="108" t="s">
        <v>171</v>
      </c>
      <c r="C88" s="5">
        <v>0.28060000000000002</v>
      </c>
      <c r="D88" s="5">
        <v>0.3</v>
      </c>
      <c r="E88" s="151" t="s">
        <v>189</v>
      </c>
      <c r="F88" s="152" t="s">
        <v>189</v>
      </c>
      <c r="G88" s="152" t="s">
        <v>189</v>
      </c>
      <c r="H88" s="211"/>
      <c r="I88" s="162" t="s">
        <v>189</v>
      </c>
      <c r="J88" s="163" t="s">
        <v>189</v>
      </c>
      <c r="K88" s="163" t="s">
        <v>189</v>
      </c>
      <c r="L88" s="152" t="s">
        <v>189</v>
      </c>
      <c r="M88" s="152" t="s">
        <v>189</v>
      </c>
      <c r="N88" s="152" t="s">
        <v>189</v>
      </c>
    </row>
    <row r="89" spans="1:14" ht="55.2" x14ac:dyDescent="0.25">
      <c r="A89" s="45"/>
      <c r="B89" s="108" t="s">
        <v>140</v>
      </c>
      <c r="C89" s="5">
        <v>0.42370000000000002</v>
      </c>
      <c r="D89" s="5">
        <v>0.42</v>
      </c>
      <c r="E89" s="6" t="s">
        <v>23</v>
      </c>
      <c r="F89" s="7" t="s">
        <v>220</v>
      </c>
      <c r="G89" s="6" t="s">
        <v>223</v>
      </c>
      <c r="H89" s="211"/>
      <c r="I89" s="108" t="s">
        <v>233</v>
      </c>
      <c r="J89" s="5">
        <v>0.4521</v>
      </c>
      <c r="K89" s="5">
        <v>0.46</v>
      </c>
      <c r="L89" s="6" t="s">
        <v>23</v>
      </c>
      <c r="M89" s="7" t="s">
        <v>48</v>
      </c>
      <c r="N89" s="6" t="s">
        <v>223</v>
      </c>
    </row>
    <row r="90" spans="1:14" x14ac:dyDescent="0.25">
      <c r="A90" s="45"/>
      <c r="B90" s="108" t="s">
        <v>2</v>
      </c>
      <c r="C90" s="3">
        <v>0.11990000000000001</v>
      </c>
      <c r="D90" s="3">
        <v>0.12</v>
      </c>
      <c r="E90" s="1" t="s">
        <v>24</v>
      </c>
      <c r="F90" s="4" t="s">
        <v>221</v>
      </c>
      <c r="G90" s="1" t="s">
        <v>14</v>
      </c>
      <c r="H90" s="211"/>
      <c r="I90" s="108" t="s">
        <v>2</v>
      </c>
      <c r="J90" s="3">
        <v>0.29709999999999998</v>
      </c>
      <c r="K90" s="3">
        <v>0.3</v>
      </c>
      <c r="L90" s="1" t="s">
        <v>24</v>
      </c>
      <c r="M90" s="4" t="s">
        <v>60</v>
      </c>
      <c r="N90" s="1" t="s">
        <v>14</v>
      </c>
    </row>
    <row r="91" spans="1:14" ht="27.6" x14ac:dyDescent="0.25">
      <c r="A91" s="47"/>
      <c r="B91" s="109" t="s">
        <v>139</v>
      </c>
      <c r="C91" s="3">
        <v>0.23080000000000001</v>
      </c>
      <c r="D91" s="3">
        <v>0.23</v>
      </c>
      <c r="E91" s="1" t="s">
        <v>23</v>
      </c>
      <c r="F91" s="4" t="s">
        <v>47</v>
      </c>
      <c r="G91" s="1" t="s">
        <v>15</v>
      </c>
      <c r="H91" s="211"/>
      <c r="I91" s="108" t="s">
        <v>139</v>
      </c>
      <c r="J91" s="3">
        <v>0.2959</v>
      </c>
      <c r="K91" s="3">
        <v>0.31</v>
      </c>
      <c r="L91" s="1" t="s">
        <v>23</v>
      </c>
      <c r="M91" s="4" t="s">
        <v>182</v>
      </c>
      <c r="N91" s="1" t="s">
        <v>15</v>
      </c>
    </row>
    <row r="92" spans="1:14" x14ac:dyDescent="0.25">
      <c r="A92" s="47"/>
      <c r="B92" s="108" t="s">
        <v>12</v>
      </c>
      <c r="C92" s="3">
        <v>0.16589999999999999</v>
      </c>
      <c r="D92" s="3">
        <v>0.15</v>
      </c>
      <c r="E92" s="1" t="s">
        <v>24</v>
      </c>
      <c r="F92" s="9" t="s">
        <v>52</v>
      </c>
      <c r="G92" s="9" t="s">
        <v>18</v>
      </c>
      <c r="H92" s="211"/>
      <c r="I92" s="108" t="s">
        <v>12</v>
      </c>
      <c r="J92" s="3">
        <v>8.8400000000000006E-2</v>
      </c>
      <c r="K92" s="3">
        <v>0.05</v>
      </c>
      <c r="L92" s="1" t="s">
        <v>24</v>
      </c>
      <c r="M92" s="9" t="s">
        <v>51</v>
      </c>
      <c r="N92" s="9" t="s">
        <v>18</v>
      </c>
    </row>
    <row r="93" spans="1:14" x14ac:dyDescent="0.25">
      <c r="A93" s="47"/>
      <c r="B93" s="110" t="s">
        <v>5</v>
      </c>
      <c r="C93" s="29">
        <f>SUBTOTAL(109,C88:C92)</f>
        <v>1.2209000000000001</v>
      </c>
      <c r="D93" s="103">
        <f>SUBTOTAL(109,D88:D92)</f>
        <v>1.22</v>
      </c>
      <c r="E93" s="121" t="s">
        <v>189</v>
      </c>
      <c r="F93" s="122" t="s">
        <v>189</v>
      </c>
      <c r="G93" s="116" t="s">
        <v>189</v>
      </c>
      <c r="H93" s="211"/>
      <c r="I93" s="110" t="s">
        <v>5</v>
      </c>
      <c r="J93" s="29">
        <f>SUBTOTAL(109,J88:J92)</f>
        <v>1.1335</v>
      </c>
      <c r="K93" s="29">
        <f>SUBTOTAL(109,K88:K92)</f>
        <v>1.1200000000000001</v>
      </c>
      <c r="L93" s="122" t="s">
        <v>189</v>
      </c>
      <c r="M93" s="42" t="s">
        <v>177</v>
      </c>
      <c r="N93" s="116" t="s">
        <v>189</v>
      </c>
    </row>
    <row r="94" spans="1:14" x14ac:dyDescent="0.25">
      <c r="A94" s="47"/>
      <c r="B94" s="108" t="s">
        <v>6</v>
      </c>
      <c r="C94" s="11">
        <v>0.16209999999999999</v>
      </c>
      <c r="D94" s="11">
        <v>0.18</v>
      </c>
      <c r="E94" s="1" t="s">
        <v>23</v>
      </c>
      <c r="F94" s="9" t="s">
        <v>207</v>
      </c>
      <c r="G94" s="1" t="s">
        <v>19</v>
      </c>
      <c r="H94" s="211"/>
      <c r="I94" s="108" t="s">
        <v>6</v>
      </c>
      <c r="J94" s="11">
        <v>0.1678</v>
      </c>
      <c r="K94" s="11">
        <v>0.18</v>
      </c>
      <c r="L94" s="1" t="s">
        <v>23</v>
      </c>
      <c r="M94" s="9" t="s">
        <v>207</v>
      </c>
      <c r="N94" s="1" t="s">
        <v>19</v>
      </c>
    </row>
    <row r="95" spans="1:14" ht="27.6" x14ac:dyDescent="0.25">
      <c r="A95" s="47"/>
      <c r="B95" s="110" t="s">
        <v>230</v>
      </c>
      <c r="C95" s="12">
        <v>1.5E-3</v>
      </c>
      <c r="D95" s="142" t="s">
        <v>189</v>
      </c>
      <c r="E95" s="143" t="s">
        <v>189</v>
      </c>
      <c r="F95" s="144" t="s">
        <v>189</v>
      </c>
      <c r="G95" s="179" t="s">
        <v>189</v>
      </c>
      <c r="H95" s="211"/>
      <c r="I95" s="110" t="s">
        <v>230</v>
      </c>
      <c r="J95" s="12">
        <v>1.5E-3</v>
      </c>
      <c r="K95" s="142" t="s">
        <v>189</v>
      </c>
      <c r="L95" s="144" t="s">
        <v>189</v>
      </c>
      <c r="M95" s="144" t="s">
        <v>189</v>
      </c>
      <c r="N95" s="179" t="s">
        <v>189</v>
      </c>
    </row>
    <row r="96" spans="1:14" ht="21" customHeight="1" x14ac:dyDescent="0.25">
      <c r="A96" s="73"/>
      <c r="B96" s="75"/>
      <c r="C96" s="76"/>
      <c r="D96" s="77"/>
      <c r="E96" s="76"/>
      <c r="F96" s="76"/>
      <c r="G96" s="181"/>
      <c r="H96" s="207"/>
      <c r="I96" s="79"/>
      <c r="J96" s="80"/>
      <c r="K96" s="81"/>
      <c r="L96" s="80"/>
      <c r="M96" s="80"/>
      <c r="N96" s="182"/>
    </row>
    <row r="97" spans="1:14" ht="64.5" customHeight="1" x14ac:dyDescent="0.25">
      <c r="A97" s="44" t="s">
        <v>83</v>
      </c>
      <c r="B97" s="38" t="s">
        <v>154</v>
      </c>
      <c r="C97" s="39"/>
      <c r="D97" s="40"/>
      <c r="E97" s="39"/>
      <c r="F97" s="39"/>
      <c r="G97" s="178"/>
      <c r="H97" s="210" t="s">
        <v>83</v>
      </c>
      <c r="I97" s="38" t="s">
        <v>155</v>
      </c>
      <c r="J97" s="39"/>
      <c r="K97" s="40"/>
      <c r="L97" s="41" t="s">
        <v>186</v>
      </c>
      <c r="M97" s="39"/>
      <c r="N97" s="178"/>
    </row>
    <row r="98" spans="1:14" ht="51.75" customHeight="1" x14ac:dyDescent="0.25">
      <c r="A98" s="45"/>
      <c r="B98" s="123" t="s">
        <v>0</v>
      </c>
      <c r="C98" s="124" t="s">
        <v>225</v>
      </c>
      <c r="D98" s="124" t="s">
        <v>200</v>
      </c>
      <c r="E98" s="125" t="s">
        <v>22</v>
      </c>
      <c r="F98" s="125" t="s">
        <v>20</v>
      </c>
      <c r="G98" s="125" t="s">
        <v>35</v>
      </c>
      <c r="H98" s="211"/>
      <c r="I98" s="123" t="s">
        <v>0</v>
      </c>
      <c r="J98" s="124" t="s">
        <v>225</v>
      </c>
      <c r="K98" s="124" t="s">
        <v>200</v>
      </c>
      <c r="L98" s="125" t="s">
        <v>22</v>
      </c>
      <c r="M98" s="125" t="s">
        <v>20</v>
      </c>
      <c r="N98" s="125" t="s">
        <v>35</v>
      </c>
    </row>
    <row r="99" spans="1:14" ht="15.6" x14ac:dyDescent="0.25">
      <c r="A99" s="45"/>
      <c r="B99" s="2" t="s">
        <v>171</v>
      </c>
      <c r="C99" s="5">
        <v>0.2757</v>
      </c>
      <c r="D99" s="5">
        <v>0.3</v>
      </c>
      <c r="E99" s="151" t="s">
        <v>189</v>
      </c>
      <c r="F99" s="152" t="s">
        <v>189</v>
      </c>
      <c r="G99" s="152" t="s">
        <v>189</v>
      </c>
      <c r="H99" s="211"/>
      <c r="I99" s="164" t="s">
        <v>189</v>
      </c>
      <c r="J99" s="163" t="s">
        <v>189</v>
      </c>
      <c r="K99" s="163" t="s">
        <v>189</v>
      </c>
      <c r="L99" s="152" t="s">
        <v>189</v>
      </c>
      <c r="M99" s="152" t="s">
        <v>189</v>
      </c>
      <c r="N99" s="152" t="s">
        <v>189</v>
      </c>
    </row>
    <row r="100" spans="1:14" ht="55.2" x14ac:dyDescent="0.25">
      <c r="A100" s="45"/>
      <c r="B100" s="2" t="s">
        <v>140</v>
      </c>
      <c r="C100" s="5">
        <v>0.70889999999999997</v>
      </c>
      <c r="D100" s="5">
        <v>0.7</v>
      </c>
      <c r="E100" s="6" t="s">
        <v>23</v>
      </c>
      <c r="F100" s="7" t="s">
        <v>194</v>
      </c>
      <c r="G100" s="6" t="s">
        <v>223</v>
      </c>
      <c r="H100" s="211"/>
      <c r="I100" s="2" t="s">
        <v>233</v>
      </c>
      <c r="J100" s="5">
        <v>0.96550000000000002</v>
      </c>
      <c r="K100" s="5">
        <v>0.94</v>
      </c>
      <c r="L100" s="6" t="s">
        <v>23</v>
      </c>
      <c r="M100" s="7" t="s">
        <v>99</v>
      </c>
      <c r="N100" s="6" t="s">
        <v>223</v>
      </c>
    </row>
    <row r="101" spans="1:14" x14ac:dyDescent="0.25">
      <c r="A101" s="46"/>
      <c r="B101" s="2" t="s">
        <v>2</v>
      </c>
      <c r="C101" s="3">
        <v>0.17580000000000001</v>
      </c>
      <c r="D101" s="3">
        <v>0.17</v>
      </c>
      <c r="E101" s="1" t="s">
        <v>24</v>
      </c>
      <c r="F101" s="4" t="s">
        <v>180</v>
      </c>
      <c r="G101" s="1" t="s">
        <v>14</v>
      </c>
      <c r="H101" s="211"/>
      <c r="I101" s="2" t="s">
        <v>2</v>
      </c>
      <c r="J101" s="3">
        <v>0.32119999999999999</v>
      </c>
      <c r="K101" s="3">
        <v>0.32</v>
      </c>
      <c r="L101" s="1" t="s">
        <v>24</v>
      </c>
      <c r="M101" s="4" t="s">
        <v>222</v>
      </c>
      <c r="N101" s="1" t="s">
        <v>14</v>
      </c>
    </row>
    <row r="102" spans="1:14" ht="27.6" x14ac:dyDescent="0.25">
      <c r="A102" s="47"/>
      <c r="B102" s="72" t="s">
        <v>139</v>
      </c>
      <c r="C102" s="3">
        <v>2.6700000000000002E-2</v>
      </c>
      <c r="D102" s="3">
        <v>0.06</v>
      </c>
      <c r="E102" s="1" t="s">
        <v>23</v>
      </c>
      <c r="F102" s="4" t="s">
        <v>58</v>
      </c>
      <c r="G102" s="1" t="s">
        <v>15</v>
      </c>
      <c r="H102" s="211"/>
      <c r="I102" s="2" t="s">
        <v>139</v>
      </c>
      <c r="J102" s="3">
        <v>5.6000000000000001E-2</v>
      </c>
      <c r="K102" s="3">
        <v>0.06</v>
      </c>
      <c r="L102" s="1" t="s">
        <v>23</v>
      </c>
      <c r="M102" s="4" t="s">
        <v>58</v>
      </c>
      <c r="N102" s="1" t="s">
        <v>15</v>
      </c>
    </row>
    <row r="103" spans="1:14" x14ac:dyDescent="0.25">
      <c r="A103" s="47"/>
      <c r="B103" s="2" t="s">
        <v>12</v>
      </c>
      <c r="C103" s="3">
        <v>0.18049999999999999</v>
      </c>
      <c r="D103" s="3">
        <v>0.15</v>
      </c>
      <c r="E103" s="1" t="s">
        <v>24</v>
      </c>
      <c r="F103" s="9" t="s">
        <v>52</v>
      </c>
      <c r="G103" s="9" t="s">
        <v>18</v>
      </c>
      <c r="H103" s="211"/>
      <c r="I103" s="2" t="s">
        <v>12</v>
      </c>
      <c r="J103" s="3">
        <v>0.19209999999999999</v>
      </c>
      <c r="K103" s="3">
        <v>0.15</v>
      </c>
      <c r="L103" s="1" t="s">
        <v>24</v>
      </c>
      <c r="M103" s="9" t="s">
        <v>52</v>
      </c>
      <c r="N103" s="9" t="s">
        <v>18</v>
      </c>
    </row>
    <row r="104" spans="1:14" x14ac:dyDescent="0.25">
      <c r="A104" s="47"/>
      <c r="B104" s="28" t="s">
        <v>5</v>
      </c>
      <c r="C104" s="29">
        <f>SUBTOTAL(109,C99:C103)</f>
        <v>1.3675999999999999</v>
      </c>
      <c r="D104" s="29">
        <f>SUBTOTAL(109,D99:D103)</f>
        <v>1.38</v>
      </c>
      <c r="E104" s="121" t="s">
        <v>189</v>
      </c>
      <c r="F104" s="42" t="s">
        <v>177</v>
      </c>
      <c r="G104" s="116" t="s">
        <v>189</v>
      </c>
      <c r="H104" s="211"/>
      <c r="I104" s="28" t="s">
        <v>5</v>
      </c>
      <c r="J104" s="29">
        <f>SUBTOTAL(109,J99:J103)</f>
        <v>1.5347999999999999</v>
      </c>
      <c r="K104" s="103">
        <f>SUBTOTAL(109,K99:K103)</f>
        <v>1.47</v>
      </c>
      <c r="L104" s="122" t="s">
        <v>189</v>
      </c>
      <c r="M104" s="122" t="s">
        <v>189</v>
      </c>
      <c r="N104" s="116" t="s">
        <v>189</v>
      </c>
    </row>
    <row r="105" spans="1:14" x14ac:dyDescent="0.25">
      <c r="A105" s="47"/>
      <c r="B105" s="2" t="s">
        <v>6</v>
      </c>
      <c r="C105" s="11">
        <v>0.18990000000000001</v>
      </c>
      <c r="D105" s="11">
        <v>0.18</v>
      </c>
      <c r="E105" s="1" t="s">
        <v>23</v>
      </c>
      <c r="F105" s="9" t="s">
        <v>207</v>
      </c>
      <c r="G105" s="1" t="s">
        <v>19</v>
      </c>
      <c r="H105" s="211"/>
      <c r="I105" s="2" t="s">
        <v>6</v>
      </c>
      <c r="J105" s="11">
        <v>0.20599999999999999</v>
      </c>
      <c r="K105" s="11">
        <v>0.18</v>
      </c>
      <c r="L105" s="1" t="s">
        <v>23</v>
      </c>
      <c r="M105" s="9" t="s">
        <v>207</v>
      </c>
      <c r="N105" s="1" t="s">
        <v>19</v>
      </c>
    </row>
    <row r="106" spans="1:14" ht="27.6" x14ac:dyDescent="0.25">
      <c r="A106" s="47"/>
      <c r="B106" s="110" t="s">
        <v>230</v>
      </c>
      <c r="C106" s="12">
        <v>1.5E-3</v>
      </c>
      <c r="D106" s="142" t="s">
        <v>189</v>
      </c>
      <c r="E106" s="143" t="s">
        <v>189</v>
      </c>
      <c r="F106" s="144" t="s">
        <v>189</v>
      </c>
      <c r="G106" s="179" t="s">
        <v>189</v>
      </c>
      <c r="H106" s="211"/>
      <c r="I106" s="110" t="s">
        <v>230</v>
      </c>
      <c r="J106" s="12">
        <v>1.5E-3</v>
      </c>
      <c r="K106" s="142" t="s">
        <v>189</v>
      </c>
      <c r="L106" s="144" t="s">
        <v>189</v>
      </c>
      <c r="M106" s="144" t="s">
        <v>189</v>
      </c>
      <c r="N106" s="179" t="s">
        <v>189</v>
      </c>
    </row>
    <row r="107" spans="1:14" ht="21" customHeight="1" x14ac:dyDescent="0.25">
      <c r="A107" s="73"/>
      <c r="B107" s="75"/>
      <c r="C107" s="76"/>
      <c r="D107" s="77"/>
      <c r="E107" s="76"/>
      <c r="F107" s="76"/>
      <c r="G107" s="181"/>
      <c r="H107" s="207"/>
      <c r="I107" s="79"/>
      <c r="J107" s="80"/>
      <c r="K107" s="81"/>
      <c r="L107" s="80"/>
      <c r="M107" s="80"/>
      <c r="N107" s="182"/>
    </row>
    <row r="108" spans="1:14" ht="64.5" customHeight="1" x14ac:dyDescent="0.25">
      <c r="A108" s="44" t="s">
        <v>84</v>
      </c>
      <c r="B108" s="38" t="s">
        <v>156</v>
      </c>
      <c r="C108" s="39"/>
      <c r="D108" s="40"/>
      <c r="E108" s="85"/>
      <c r="F108" s="39"/>
      <c r="G108" s="178"/>
      <c r="H108" s="210" t="s">
        <v>84</v>
      </c>
      <c r="I108" s="38" t="s">
        <v>157</v>
      </c>
      <c r="J108" s="39"/>
      <c r="K108" s="40"/>
      <c r="L108" s="41"/>
      <c r="M108" s="39"/>
      <c r="N108" s="178"/>
    </row>
    <row r="109" spans="1:14" ht="51.75" customHeight="1" x14ac:dyDescent="0.25">
      <c r="A109" s="45"/>
      <c r="B109" s="123" t="s">
        <v>0</v>
      </c>
      <c r="C109" s="124" t="s">
        <v>225</v>
      </c>
      <c r="D109" s="124" t="s">
        <v>200</v>
      </c>
      <c r="E109" s="125" t="s">
        <v>22</v>
      </c>
      <c r="F109" s="125" t="s">
        <v>20</v>
      </c>
      <c r="G109" s="125" t="s">
        <v>35</v>
      </c>
      <c r="H109" s="211"/>
      <c r="I109" s="123" t="s">
        <v>0</v>
      </c>
      <c r="J109" s="124" t="s">
        <v>225</v>
      </c>
      <c r="K109" s="124" t="s">
        <v>200</v>
      </c>
      <c r="L109" s="125" t="s">
        <v>22</v>
      </c>
      <c r="M109" s="125" t="s">
        <v>20</v>
      </c>
      <c r="N109" s="125" t="s">
        <v>35</v>
      </c>
    </row>
    <row r="110" spans="1:14" ht="15.6" x14ac:dyDescent="0.25">
      <c r="A110" s="45"/>
      <c r="B110" s="2" t="s">
        <v>171</v>
      </c>
      <c r="C110" s="5">
        <v>0.28270000000000001</v>
      </c>
      <c r="D110" s="5">
        <v>0.3</v>
      </c>
      <c r="E110" s="151" t="s">
        <v>189</v>
      </c>
      <c r="F110" s="152" t="s">
        <v>189</v>
      </c>
      <c r="G110" s="152" t="s">
        <v>189</v>
      </c>
      <c r="H110" s="211"/>
      <c r="I110" s="164" t="s">
        <v>189</v>
      </c>
      <c r="J110" s="163" t="s">
        <v>189</v>
      </c>
      <c r="K110" s="163" t="s">
        <v>189</v>
      </c>
      <c r="L110" s="152" t="s">
        <v>189</v>
      </c>
      <c r="M110" s="152" t="s">
        <v>189</v>
      </c>
      <c r="N110" s="152" t="s">
        <v>189</v>
      </c>
    </row>
    <row r="111" spans="1:14" ht="55.2" x14ac:dyDescent="0.25">
      <c r="A111" s="45"/>
      <c r="B111" s="2" t="s">
        <v>140</v>
      </c>
      <c r="C111" s="5">
        <v>3.2599999999999997E-2</v>
      </c>
      <c r="D111" s="5">
        <v>0.06</v>
      </c>
      <c r="E111" s="6" t="s">
        <v>23</v>
      </c>
      <c r="F111" s="7" t="s">
        <v>58</v>
      </c>
      <c r="G111" s="6" t="s">
        <v>223</v>
      </c>
      <c r="H111" s="211"/>
      <c r="I111" s="2" t="s">
        <v>233</v>
      </c>
      <c r="J111" s="5">
        <v>2.5999999999999999E-2</v>
      </c>
      <c r="K111" s="5">
        <v>0.06</v>
      </c>
      <c r="L111" s="6" t="s">
        <v>23</v>
      </c>
      <c r="M111" s="7" t="s">
        <v>58</v>
      </c>
      <c r="N111" s="6" t="s">
        <v>223</v>
      </c>
    </row>
    <row r="112" spans="1:14" x14ac:dyDescent="0.25">
      <c r="A112" s="46"/>
      <c r="B112" s="2" t="s">
        <v>2</v>
      </c>
      <c r="C112" s="3">
        <v>0.152</v>
      </c>
      <c r="D112" s="3">
        <v>0.15</v>
      </c>
      <c r="E112" s="1" t="s">
        <v>24</v>
      </c>
      <c r="F112" s="4" t="s">
        <v>52</v>
      </c>
      <c r="G112" s="1" t="s">
        <v>14</v>
      </c>
      <c r="H112" s="211"/>
      <c r="I112" s="2" t="s">
        <v>2</v>
      </c>
      <c r="J112" s="3">
        <v>0.25390000000000001</v>
      </c>
      <c r="K112" s="3">
        <v>0.25</v>
      </c>
      <c r="L112" s="1" t="s">
        <v>24</v>
      </c>
      <c r="M112" s="4" t="s">
        <v>54</v>
      </c>
      <c r="N112" s="1" t="s">
        <v>14</v>
      </c>
    </row>
    <row r="113" spans="1:14" ht="27.6" x14ac:dyDescent="0.25">
      <c r="A113" s="47"/>
      <c r="B113" s="72" t="s">
        <v>139</v>
      </c>
      <c r="C113" s="3">
        <v>0.47239999999999999</v>
      </c>
      <c r="D113" s="3">
        <v>0.5</v>
      </c>
      <c r="E113" s="1" t="s">
        <v>23</v>
      </c>
      <c r="F113" s="4" t="s">
        <v>92</v>
      </c>
      <c r="G113" s="1" t="s">
        <v>15</v>
      </c>
      <c r="H113" s="211"/>
      <c r="I113" s="2" t="s">
        <v>139</v>
      </c>
      <c r="J113" s="3">
        <v>0.66200000000000003</v>
      </c>
      <c r="K113" s="3">
        <v>0.7</v>
      </c>
      <c r="L113" s="1" t="s">
        <v>23</v>
      </c>
      <c r="M113" s="4" t="s">
        <v>87</v>
      </c>
      <c r="N113" s="1" t="s">
        <v>15</v>
      </c>
    </row>
    <row r="114" spans="1:14" x14ac:dyDescent="0.25">
      <c r="A114" s="47"/>
      <c r="B114" s="2" t="s">
        <v>12</v>
      </c>
      <c r="C114" s="3">
        <v>6.3299999999999995E-2</v>
      </c>
      <c r="D114" s="3">
        <v>0.1</v>
      </c>
      <c r="E114" s="1" t="s">
        <v>24</v>
      </c>
      <c r="F114" s="9" t="s">
        <v>49</v>
      </c>
      <c r="G114" s="9" t="s">
        <v>18</v>
      </c>
      <c r="H114" s="211"/>
      <c r="I114" s="2" t="s">
        <v>12</v>
      </c>
      <c r="J114" s="3">
        <v>5.8099999999999999E-2</v>
      </c>
      <c r="K114" s="3">
        <v>0.05</v>
      </c>
      <c r="L114" s="1" t="s">
        <v>24</v>
      </c>
      <c r="M114" s="9" t="s">
        <v>51</v>
      </c>
      <c r="N114" s="9" t="s">
        <v>18</v>
      </c>
    </row>
    <row r="115" spans="1:14" x14ac:dyDescent="0.25">
      <c r="A115" s="47"/>
      <c r="B115" s="28" t="s">
        <v>5</v>
      </c>
      <c r="C115" s="29">
        <f>SUBTOTAL(109,C110:C114)</f>
        <v>1.0029999999999999</v>
      </c>
      <c r="D115" s="29">
        <f>SUBTOTAL(109,D110:D114)</f>
        <v>1.1100000000000001</v>
      </c>
      <c r="E115" s="121" t="s">
        <v>189</v>
      </c>
      <c r="F115" s="122" t="s">
        <v>189</v>
      </c>
      <c r="G115" s="116" t="s">
        <v>189</v>
      </c>
      <c r="H115" s="211"/>
      <c r="I115" s="28" t="s">
        <v>5</v>
      </c>
      <c r="J115" s="29">
        <f>SUBTOTAL(109,J110:J114)</f>
        <v>1</v>
      </c>
      <c r="K115" s="29">
        <f>SUBTOTAL(109,K110:K114)</f>
        <v>1.06</v>
      </c>
      <c r="L115" s="122" t="s">
        <v>189</v>
      </c>
      <c r="M115" s="122" t="s">
        <v>189</v>
      </c>
      <c r="N115" s="116" t="s">
        <v>189</v>
      </c>
    </row>
    <row r="116" spans="1:14" x14ac:dyDescent="0.25">
      <c r="A116" s="47"/>
      <c r="B116" s="2" t="s">
        <v>6</v>
      </c>
      <c r="C116" s="11">
        <v>3.3700000000000001E-2</v>
      </c>
      <c r="D116" s="11">
        <v>0.06</v>
      </c>
      <c r="E116" s="1" t="s">
        <v>23</v>
      </c>
      <c r="F116" s="9" t="s">
        <v>58</v>
      </c>
      <c r="G116" s="1" t="s">
        <v>19</v>
      </c>
      <c r="H116" s="211"/>
      <c r="I116" s="2" t="s">
        <v>6</v>
      </c>
      <c r="J116" s="11">
        <v>3.73E-2</v>
      </c>
      <c r="K116" s="11">
        <v>0.08</v>
      </c>
      <c r="L116" s="1" t="s">
        <v>23</v>
      </c>
      <c r="M116" s="9" t="s">
        <v>59</v>
      </c>
      <c r="N116" s="1" t="s">
        <v>19</v>
      </c>
    </row>
    <row r="117" spans="1:14" ht="27.6" x14ac:dyDescent="0.25">
      <c r="A117" s="47"/>
      <c r="B117" s="110" t="s">
        <v>230</v>
      </c>
      <c r="C117" s="12">
        <v>1.5E-3</v>
      </c>
      <c r="D117" s="142" t="s">
        <v>189</v>
      </c>
      <c r="E117" s="143" t="s">
        <v>189</v>
      </c>
      <c r="F117" s="144" t="s">
        <v>189</v>
      </c>
      <c r="G117" s="179" t="s">
        <v>189</v>
      </c>
      <c r="H117" s="211"/>
      <c r="I117" s="110" t="s">
        <v>230</v>
      </c>
      <c r="J117" s="12">
        <v>1.5E-3</v>
      </c>
      <c r="K117" s="142" t="s">
        <v>189</v>
      </c>
      <c r="L117" s="144" t="s">
        <v>189</v>
      </c>
      <c r="M117" s="144" t="s">
        <v>189</v>
      </c>
      <c r="N117" s="179" t="s">
        <v>189</v>
      </c>
    </row>
    <row r="118" spans="1:14" ht="21" customHeight="1" x14ac:dyDescent="0.25">
      <c r="A118" s="73"/>
      <c r="B118" s="75"/>
      <c r="C118" s="76"/>
      <c r="D118" s="77"/>
      <c r="E118" s="76"/>
      <c r="F118" s="76"/>
      <c r="G118" s="181"/>
      <c r="H118" s="207"/>
      <c r="I118" s="79"/>
      <c r="J118" s="80"/>
      <c r="K118" s="81"/>
      <c r="L118" s="80"/>
      <c r="M118" s="80"/>
      <c r="N118" s="182"/>
    </row>
    <row r="119" spans="1:14" ht="51.75" customHeight="1" x14ac:dyDescent="0.25">
      <c r="A119" s="48" t="s">
        <v>94</v>
      </c>
      <c r="B119" s="38" t="s">
        <v>158</v>
      </c>
      <c r="C119" s="39"/>
      <c r="D119" s="40"/>
      <c r="E119" s="85"/>
      <c r="F119" s="39"/>
      <c r="G119" s="178"/>
      <c r="H119" s="212" t="s">
        <v>94</v>
      </c>
      <c r="I119" s="38" t="s">
        <v>159</v>
      </c>
      <c r="J119" s="39"/>
      <c r="K119" s="40"/>
      <c r="L119" s="41"/>
      <c r="M119" s="39"/>
      <c r="N119" s="178"/>
    </row>
    <row r="120" spans="1:14" ht="51.75" customHeight="1" x14ac:dyDescent="0.25">
      <c r="A120" s="49"/>
      <c r="B120" s="123" t="s">
        <v>0</v>
      </c>
      <c r="C120" s="124" t="s">
        <v>225</v>
      </c>
      <c r="D120" s="124" t="s">
        <v>200</v>
      </c>
      <c r="E120" s="125" t="s">
        <v>22</v>
      </c>
      <c r="F120" s="125" t="s">
        <v>20</v>
      </c>
      <c r="G120" s="125" t="s">
        <v>35</v>
      </c>
      <c r="H120" s="213"/>
      <c r="I120" s="123" t="s">
        <v>0</v>
      </c>
      <c r="J120" s="124" t="s">
        <v>225</v>
      </c>
      <c r="K120" s="124" t="s">
        <v>200</v>
      </c>
      <c r="L120" s="125" t="s">
        <v>22</v>
      </c>
      <c r="M120" s="125" t="s">
        <v>20</v>
      </c>
      <c r="N120" s="125" t="s">
        <v>35</v>
      </c>
    </row>
    <row r="121" spans="1:14" ht="15.6" x14ac:dyDescent="0.25">
      <c r="A121" s="49"/>
      <c r="B121" s="108" t="s">
        <v>171</v>
      </c>
      <c r="C121" s="5" t="s">
        <v>239</v>
      </c>
      <c r="D121" s="5" t="s">
        <v>197</v>
      </c>
      <c r="E121" s="151" t="s">
        <v>189</v>
      </c>
      <c r="F121" s="152" t="s">
        <v>190</v>
      </c>
      <c r="G121" s="152" t="s">
        <v>198</v>
      </c>
      <c r="H121" s="213"/>
      <c r="I121" s="162" t="s">
        <v>189</v>
      </c>
      <c r="J121" s="163" t="s">
        <v>189</v>
      </c>
      <c r="K121" s="163" t="s">
        <v>189</v>
      </c>
      <c r="L121" s="152" t="s">
        <v>189</v>
      </c>
      <c r="M121" s="152" t="s">
        <v>189</v>
      </c>
      <c r="N121" s="152" t="s">
        <v>189</v>
      </c>
    </row>
    <row r="122" spans="1:14" ht="27.6" x14ac:dyDescent="0.25">
      <c r="A122" s="49"/>
      <c r="B122" s="108" t="s">
        <v>140</v>
      </c>
      <c r="C122" s="5">
        <v>0.35039999999999999</v>
      </c>
      <c r="D122" s="5">
        <v>0.35</v>
      </c>
      <c r="E122" s="6" t="s">
        <v>23</v>
      </c>
      <c r="F122" s="7" t="s">
        <v>119</v>
      </c>
      <c r="G122" s="54" t="s">
        <v>27</v>
      </c>
      <c r="H122" s="213"/>
      <c r="I122" s="108" t="s">
        <v>233</v>
      </c>
      <c r="J122" s="5">
        <v>0.48180000000000001</v>
      </c>
      <c r="K122" s="5">
        <v>0.46</v>
      </c>
      <c r="L122" s="6" t="s">
        <v>23</v>
      </c>
      <c r="M122" s="7" t="s">
        <v>48</v>
      </c>
      <c r="N122" s="54" t="s">
        <v>27</v>
      </c>
    </row>
    <row r="123" spans="1:14" x14ac:dyDescent="0.25">
      <c r="A123" s="49"/>
      <c r="B123" s="108" t="s">
        <v>2</v>
      </c>
      <c r="C123" s="3">
        <v>0.1638</v>
      </c>
      <c r="D123" s="3">
        <v>0.2</v>
      </c>
      <c r="E123" s="1" t="s">
        <v>24</v>
      </c>
      <c r="F123" s="4" t="s">
        <v>133</v>
      </c>
      <c r="G123" s="9" t="s">
        <v>28</v>
      </c>
      <c r="H123" s="214"/>
      <c r="I123" s="108" t="s">
        <v>2</v>
      </c>
      <c r="J123" s="3">
        <v>0.23130000000000001</v>
      </c>
      <c r="K123" s="3">
        <v>0.2</v>
      </c>
      <c r="L123" s="1" t="s">
        <v>24</v>
      </c>
      <c r="M123" s="4" t="s">
        <v>133</v>
      </c>
      <c r="N123" s="9" t="s">
        <v>28</v>
      </c>
    </row>
    <row r="124" spans="1:14" ht="27.6" x14ac:dyDescent="0.25">
      <c r="A124" s="49"/>
      <c r="B124" s="109" t="s">
        <v>139</v>
      </c>
      <c r="C124" s="3">
        <v>0.223</v>
      </c>
      <c r="D124" s="3">
        <v>0.2</v>
      </c>
      <c r="E124" s="1" t="s">
        <v>23</v>
      </c>
      <c r="F124" s="4" t="s">
        <v>64</v>
      </c>
      <c r="G124" s="9" t="s">
        <v>183</v>
      </c>
      <c r="H124" s="213"/>
      <c r="I124" s="108" t="s">
        <v>139</v>
      </c>
      <c r="J124" s="3">
        <v>0.29930000000000001</v>
      </c>
      <c r="K124" s="3">
        <v>0.33</v>
      </c>
      <c r="L124" s="1" t="s">
        <v>23</v>
      </c>
      <c r="M124" s="4" t="s">
        <v>79</v>
      </c>
      <c r="N124" s="9" t="s">
        <v>183</v>
      </c>
    </row>
    <row r="125" spans="1:14" x14ac:dyDescent="0.25">
      <c r="A125" s="51"/>
      <c r="B125" s="108" t="s">
        <v>12</v>
      </c>
      <c r="C125" s="3">
        <v>0.1517</v>
      </c>
      <c r="D125" s="3">
        <v>0.15</v>
      </c>
      <c r="E125" s="1" t="s">
        <v>24</v>
      </c>
      <c r="F125" s="9" t="s">
        <v>52</v>
      </c>
      <c r="G125" s="9" t="s">
        <v>18</v>
      </c>
      <c r="H125" s="213"/>
      <c r="I125" s="108" t="s">
        <v>12</v>
      </c>
      <c r="J125" s="3">
        <v>0.14000000000000001</v>
      </c>
      <c r="K125" s="3">
        <v>0.1</v>
      </c>
      <c r="L125" s="1" t="s">
        <v>24</v>
      </c>
      <c r="M125" s="9" t="s">
        <v>49</v>
      </c>
      <c r="N125" s="9" t="s">
        <v>18</v>
      </c>
    </row>
    <row r="126" spans="1:14" x14ac:dyDescent="0.25">
      <c r="A126" s="51"/>
      <c r="B126" s="110" t="s">
        <v>5</v>
      </c>
      <c r="C126" s="29">
        <f>SUBTOTAL(109,C121:C125)</f>
        <v>0.88890000000000002</v>
      </c>
      <c r="D126" s="29">
        <f>SUBTOTAL(109,D121:D125)</f>
        <v>0.9</v>
      </c>
      <c r="E126" s="121" t="s">
        <v>189</v>
      </c>
      <c r="F126" s="122" t="s">
        <v>189</v>
      </c>
      <c r="G126" s="116" t="s">
        <v>189</v>
      </c>
      <c r="H126" s="213"/>
      <c r="I126" s="110" t="s">
        <v>5</v>
      </c>
      <c r="J126" s="29">
        <f>SUBTOTAL(109,J121:J125)</f>
        <v>1.1524000000000001</v>
      </c>
      <c r="K126" s="29">
        <f>SUBTOTAL(109,K121:K125)</f>
        <v>1.0900000000000001</v>
      </c>
      <c r="L126" s="122" t="s">
        <v>189</v>
      </c>
      <c r="M126" s="122" t="s">
        <v>189</v>
      </c>
      <c r="N126" s="116" t="s">
        <v>189</v>
      </c>
    </row>
    <row r="127" spans="1:14" x14ac:dyDescent="0.25">
      <c r="A127" s="51"/>
      <c r="B127" s="108" t="s">
        <v>6</v>
      </c>
      <c r="C127" s="11">
        <v>0.69440000000000002</v>
      </c>
      <c r="D127" s="11">
        <v>0.64</v>
      </c>
      <c r="E127" s="1" t="s">
        <v>23</v>
      </c>
      <c r="F127" s="9" t="s">
        <v>184</v>
      </c>
      <c r="G127" s="9" t="s">
        <v>19</v>
      </c>
      <c r="H127" s="213"/>
      <c r="I127" s="108" t="s">
        <v>6</v>
      </c>
      <c r="J127" s="11">
        <v>0.99019999999999997</v>
      </c>
      <c r="K127" s="11">
        <v>0.94</v>
      </c>
      <c r="L127" s="1" t="s">
        <v>23</v>
      </c>
      <c r="M127" s="9" t="s">
        <v>99</v>
      </c>
      <c r="N127" s="9" t="s">
        <v>19</v>
      </c>
    </row>
    <row r="128" spans="1:14" ht="27.6" x14ac:dyDescent="0.25">
      <c r="A128" s="51"/>
      <c r="B128" s="110" t="s">
        <v>230</v>
      </c>
      <c r="C128" s="12">
        <v>4.0000000000000001E-3</v>
      </c>
      <c r="D128" s="142" t="s">
        <v>189</v>
      </c>
      <c r="E128" s="143" t="s">
        <v>189</v>
      </c>
      <c r="F128" s="144" t="s">
        <v>189</v>
      </c>
      <c r="G128" s="179" t="s">
        <v>189</v>
      </c>
      <c r="H128" s="213"/>
      <c r="I128" s="110" t="s">
        <v>230</v>
      </c>
      <c r="J128" s="12">
        <v>4.0000000000000001E-3</v>
      </c>
      <c r="K128" s="142" t="s">
        <v>189</v>
      </c>
      <c r="L128" s="144" t="s">
        <v>189</v>
      </c>
      <c r="M128" s="144" t="s">
        <v>189</v>
      </c>
      <c r="N128" s="179" t="s">
        <v>189</v>
      </c>
    </row>
    <row r="129" spans="1:14" ht="21" customHeight="1" x14ac:dyDescent="0.25">
      <c r="A129" s="73"/>
      <c r="B129" s="75"/>
      <c r="C129" s="76"/>
      <c r="D129" s="77"/>
      <c r="E129" s="76"/>
      <c r="F129" s="76"/>
      <c r="G129" s="181"/>
      <c r="H129" s="207"/>
      <c r="I129" s="79"/>
      <c r="J129" s="80"/>
      <c r="K129" s="81"/>
      <c r="L129" s="80"/>
      <c r="M129" s="80"/>
      <c r="N129" s="182"/>
    </row>
    <row r="130" spans="1:14" ht="51.75" customHeight="1" x14ac:dyDescent="0.25">
      <c r="A130" s="48" t="s">
        <v>101</v>
      </c>
      <c r="B130" s="38" t="s">
        <v>160</v>
      </c>
      <c r="C130" s="39"/>
      <c r="D130" s="40"/>
      <c r="E130" s="85"/>
      <c r="F130" s="39"/>
      <c r="G130" s="178"/>
      <c r="H130" s="212" t="s">
        <v>101</v>
      </c>
      <c r="I130" s="38" t="s">
        <v>161</v>
      </c>
      <c r="J130" s="39"/>
      <c r="K130" s="40"/>
      <c r="L130" s="41"/>
      <c r="M130" s="39"/>
      <c r="N130" s="178"/>
    </row>
    <row r="131" spans="1:14" ht="51.75" customHeight="1" x14ac:dyDescent="0.25">
      <c r="A131" s="51"/>
      <c r="B131" s="14" t="s">
        <v>0</v>
      </c>
      <c r="C131" s="15" t="s">
        <v>225</v>
      </c>
      <c r="D131" s="15" t="s">
        <v>200</v>
      </c>
      <c r="E131" s="14" t="s">
        <v>22</v>
      </c>
      <c r="F131" s="14" t="s">
        <v>20</v>
      </c>
      <c r="G131" s="14" t="s">
        <v>35</v>
      </c>
      <c r="H131" s="213"/>
      <c r="I131" s="123" t="s">
        <v>0</v>
      </c>
      <c r="J131" s="124" t="s">
        <v>225</v>
      </c>
      <c r="K131" s="124" t="s">
        <v>200</v>
      </c>
      <c r="L131" s="125" t="s">
        <v>22</v>
      </c>
      <c r="M131" s="125" t="s">
        <v>20</v>
      </c>
      <c r="N131" s="125" t="s">
        <v>35</v>
      </c>
    </row>
    <row r="132" spans="1:14" ht="15.6" x14ac:dyDescent="0.25">
      <c r="A132" s="51"/>
      <c r="B132" s="235" t="s">
        <v>171</v>
      </c>
      <c r="C132" s="236" t="s">
        <v>240</v>
      </c>
      <c r="D132" s="236" t="s">
        <v>197</v>
      </c>
      <c r="E132" s="237" t="s">
        <v>189</v>
      </c>
      <c r="F132" s="238" t="s">
        <v>190</v>
      </c>
      <c r="G132" s="238" t="s">
        <v>198</v>
      </c>
      <c r="H132" s="213"/>
      <c r="I132" s="162" t="s">
        <v>189</v>
      </c>
      <c r="J132" s="163" t="s">
        <v>189</v>
      </c>
      <c r="K132" s="163" t="s">
        <v>189</v>
      </c>
      <c r="L132" s="152" t="s">
        <v>189</v>
      </c>
      <c r="M132" s="152" t="s">
        <v>189</v>
      </c>
      <c r="N132" s="152" t="s">
        <v>189</v>
      </c>
    </row>
    <row r="133" spans="1:14" ht="27.6" x14ac:dyDescent="0.25">
      <c r="A133" s="51"/>
      <c r="B133" s="108" t="s">
        <v>140</v>
      </c>
      <c r="C133" s="5">
        <v>0.69910000000000005</v>
      </c>
      <c r="D133" s="5">
        <v>0.64</v>
      </c>
      <c r="E133" s="6" t="s">
        <v>23</v>
      </c>
      <c r="F133" s="7" t="s">
        <v>184</v>
      </c>
      <c r="G133" s="54" t="s">
        <v>27</v>
      </c>
      <c r="H133" s="213"/>
      <c r="I133" s="108" t="s">
        <v>233</v>
      </c>
      <c r="J133" s="5">
        <v>0.99519999999999997</v>
      </c>
      <c r="K133" s="5">
        <v>0.94</v>
      </c>
      <c r="L133" s="6" t="s">
        <v>23</v>
      </c>
      <c r="M133" s="7" t="s">
        <v>99</v>
      </c>
      <c r="N133" s="54" t="s">
        <v>27</v>
      </c>
    </row>
    <row r="134" spans="1:14" x14ac:dyDescent="0.25">
      <c r="A134" s="50"/>
      <c r="B134" s="108" t="s">
        <v>2</v>
      </c>
      <c r="C134" s="3">
        <v>0.2878</v>
      </c>
      <c r="D134" s="3">
        <v>0.25</v>
      </c>
      <c r="E134" s="1" t="s">
        <v>24</v>
      </c>
      <c r="F134" s="4" t="s">
        <v>191</v>
      </c>
      <c r="G134" s="9" t="s">
        <v>14</v>
      </c>
      <c r="H134" s="214"/>
      <c r="I134" s="108" t="s">
        <v>2</v>
      </c>
      <c r="J134" s="3">
        <v>0.218</v>
      </c>
      <c r="K134" s="3">
        <v>0.25</v>
      </c>
      <c r="L134" s="1" t="s">
        <v>24</v>
      </c>
      <c r="M134" s="4" t="s">
        <v>54</v>
      </c>
      <c r="N134" s="9" t="s">
        <v>14</v>
      </c>
    </row>
    <row r="135" spans="1:14" ht="27.6" x14ac:dyDescent="0.25">
      <c r="A135" s="51"/>
      <c r="B135" s="109" t="s">
        <v>139</v>
      </c>
      <c r="C135" s="3">
        <v>0</v>
      </c>
      <c r="D135" s="117" t="s">
        <v>189</v>
      </c>
      <c r="E135" s="1" t="s">
        <v>23</v>
      </c>
      <c r="F135" s="4" t="s">
        <v>73</v>
      </c>
      <c r="G135" s="136" t="s">
        <v>189</v>
      </c>
      <c r="H135" s="213"/>
      <c r="I135" s="108" t="s">
        <v>139</v>
      </c>
      <c r="J135" s="3">
        <v>0</v>
      </c>
      <c r="K135" s="117" t="s">
        <v>189</v>
      </c>
      <c r="L135" s="1" t="s">
        <v>23</v>
      </c>
      <c r="M135" s="4" t="s">
        <v>73</v>
      </c>
      <c r="N135" s="136" t="s">
        <v>189</v>
      </c>
    </row>
    <row r="136" spans="1:14" x14ac:dyDescent="0.25">
      <c r="A136" s="51"/>
      <c r="B136" s="108" t="s">
        <v>12</v>
      </c>
      <c r="C136" s="3">
        <v>0.1827</v>
      </c>
      <c r="D136" s="3">
        <v>0.15</v>
      </c>
      <c r="E136" s="1" t="s">
        <v>24</v>
      </c>
      <c r="F136" s="9" t="s">
        <v>52</v>
      </c>
      <c r="G136" s="9" t="s">
        <v>18</v>
      </c>
      <c r="H136" s="213"/>
      <c r="I136" s="108" t="s">
        <v>12</v>
      </c>
      <c r="J136" s="3">
        <v>0.14929999999999999</v>
      </c>
      <c r="K136" s="3">
        <v>0.15</v>
      </c>
      <c r="L136" s="1" t="s">
        <v>24</v>
      </c>
      <c r="M136" s="9" t="s">
        <v>52</v>
      </c>
      <c r="N136" s="9" t="s">
        <v>18</v>
      </c>
    </row>
    <row r="137" spans="1:14" x14ac:dyDescent="0.25">
      <c r="A137" s="51"/>
      <c r="B137" s="110" t="s">
        <v>5</v>
      </c>
      <c r="C137" s="29">
        <f>SUBTOTAL(109,C132:C136)</f>
        <v>1.1696000000000002</v>
      </c>
      <c r="D137" s="29">
        <f>SUBTOTAL(109,D132:D136)</f>
        <v>1.04</v>
      </c>
      <c r="E137" s="121" t="s">
        <v>189</v>
      </c>
      <c r="F137" s="122" t="s">
        <v>189</v>
      </c>
      <c r="G137" s="116" t="s">
        <v>189</v>
      </c>
      <c r="H137" s="213"/>
      <c r="I137" s="110" t="s">
        <v>5</v>
      </c>
      <c r="J137" s="29">
        <f>SUBTOTAL(109,J132:J136)</f>
        <v>1.3625</v>
      </c>
      <c r="K137" s="29">
        <f>SUBTOTAL(109,K132:K136)</f>
        <v>1.3399999999999999</v>
      </c>
      <c r="L137" s="122" t="s">
        <v>189</v>
      </c>
      <c r="M137" s="122" t="s">
        <v>189</v>
      </c>
      <c r="N137" s="116" t="s">
        <v>189</v>
      </c>
    </row>
    <row r="138" spans="1:14" x14ac:dyDescent="0.25">
      <c r="A138" s="51"/>
      <c r="B138" s="108" t="s">
        <v>6</v>
      </c>
      <c r="C138" s="11">
        <v>0.69799999999999995</v>
      </c>
      <c r="D138" s="11">
        <v>0.64</v>
      </c>
      <c r="E138" s="1" t="s">
        <v>23</v>
      </c>
      <c r="F138" s="9" t="s">
        <v>184</v>
      </c>
      <c r="G138" s="9" t="s">
        <v>19</v>
      </c>
      <c r="H138" s="213"/>
      <c r="I138" s="108" t="s">
        <v>6</v>
      </c>
      <c r="J138" s="11">
        <v>0.996</v>
      </c>
      <c r="K138" s="11">
        <v>0.94</v>
      </c>
      <c r="L138" s="1" t="s">
        <v>23</v>
      </c>
      <c r="M138" s="9" t="s">
        <v>99</v>
      </c>
      <c r="N138" s="9" t="s">
        <v>19</v>
      </c>
    </row>
    <row r="139" spans="1:14" ht="27.6" x14ac:dyDescent="0.25">
      <c r="A139" s="51"/>
      <c r="B139" s="110" t="s">
        <v>138</v>
      </c>
      <c r="C139" s="12">
        <v>2E-3</v>
      </c>
      <c r="D139" s="142" t="s">
        <v>189</v>
      </c>
      <c r="E139" s="143" t="s">
        <v>189</v>
      </c>
      <c r="F139" s="144" t="s">
        <v>189</v>
      </c>
      <c r="G139" s="179" t="s">
        <v>189</v>
      </c>
      <c r="H139" s="213"/>
      <c r="I139" s="110" t="s">
        <v>138</v>
      </c>
      <c r="J139" s="12">
        <v>2E-3</v>
      </c>
      <c r="K139" s="142" t="s">
        <v>189</v>
      </c>
      <c r="L139" s="144" t="s">
        <v>189</v>
      </c>
      <c r="M139" s="144" t="s">
        <v>189</v>
      </c>
      <c r="N139" s="179" t="s">
        <v>189</v>
      </c>
    </row>
    <row r="140" spans="1:14" ht="21" customHeight="1" x14ac:dyDescent="0.25">
      <c r="A140" s="73"/>
      <c r="B140" s="75"/>
      <c r="C140" s="76"/>
      <c r="D140" s="77"/>
      <c r="E140" s="76"/>
      <c r="F140" s="76"/>
      <c r="G140" s="181"/>
      <c r="H140" s="207"/>
      <c r="I140" s="79"/>
      <c r="J140" s="80"/>
      <c r="K140" s="81"/>
      <c r="L140" s="80"/>
      <c r="M140" s="80"/>
      <c r="N140" s="182"/>
    </row>
    <row r="141" spans="1:14" ht="51.75" customHeight="1" x14ac:dyDescent="0.25">
      <c r="A141" s="48" t="s">
        <v>105</v>
      </c>
      <c r="B141" s="38" t="s">
        <v>162</v>
      </c>
      <c r="C141" s="39"/>
      <c r="D141" s="40"/>
      <c r="E141" s="85"/>
      <c r="F141" s="39"/>
      <c r="G141" s="178"/>
      <c r="H141" s="212" t="s">
        <v>105</v>
      </c>
      <c r="I141" s="38" t="s">
        <v>163</v>
      </c>
      <c r="J141" s="39"/>
      <c r="K141" s="40"/>
      <c r="L141" s="41"/>
      <c r="M141" s="39"/>
      <c r="N141" s="178"/>
    </row>
    <row r="142" spans="1:14" ht="51.75" customHeight="1" x14ac:dyDescent="0.25">
      <c r="A142" s="49"/>
      <c r="B142" s="123" t="s">
        <v>0</v>
      </c>
      <c r="C142" s="124" t="s">
        <v>225</v>
      </c>
      <c r="D142" s="124" t="s">
        <v>200</v>
      </c>
      <c r="E142" s="125" t="s">
        <v>22</v>
      </c>
      <c r="F142" s="125" t="s">
        <v>20</v>
      </c>
      <c r="G142" s="125" t="s">
        <v>35</v>
      </c>
      <c r="H142" s="213"/>
      <c r="I142" s="123" t="s">
        <v>0</v>
      </c>
      <c r="J142" s="124" t="s">
        <v>225</v>
      </c>
      <c r="K142" s="124" t="s">
        <v>200</v>
      </c>
      <c r="L142" s="125" t="s">
        <v>22</v>
      </c>
      <c r="M142" s="125" t="s">
        <v>20</v>
      </c>
      <c r="N142" s="125" t="s">
        <v>35</v>
      </c>
    </row>
    <row r="143" spans="1:14" ht="15.6" x14ac:dyDescent="0.25">
      <c r="A143" s="49"/>
      <c r="B143" s="108" t="s">
        <v>171</v>
      </c>
      <c r="C143" s="3">
        <v>0.3085</v>
      </c>
      <c r="D143" s="3">
        <v>0.3</v>
      </c>
      <c r="E143" s="151" t="s">
        <v>189</v>
      </c>
      <c r="F143" s="152" t="s">
        <v>189</v>
      </c>
      <c r="G143" s="152" t="s">
        <v>189</v>
      </c>
      <c r="H143" s="213"/>
      <c r="I143" s="162" t="s">
        <v>189</v>
      </c>
      <c r="J143" s="163" t="s">
        <v>189</v>
      </c>
      <c r="K143" s="163" t="s">
        <v>189</v>
      </c>
      <c r="L143" s="152" t="s">
        <v>189</v>
      </c>
      <c r="M143" s="152" t="s">
        <v>189</v>
      </c>
      <c r="N143" s="152" t="s">
        <v>189</v>
      </c>
    </row>
    <row r="144" spans="1:14" ht="27.6" x14ac:dyDescent="0.25">
      <c r="A144" s="49"/>
      <c r="B144" s="108" t="s">
        <v>140</v>
      </c>
      <c r="C144" s="165">
        <v>0</v>
      </c>
      <c r="D144" s="165" t="s">
        <v>189</v>
      </c>
      <c r="E144" s="6" t="s">
        <v>23</v>
      </c>
      <c r="F144" s="165" t="s">
        <v>189</v>
      </c>
      <c r="G144" s="155" t="s">
        <v>189</v>
      </c>
      <c r="H144" s="213"/>
      <c r="I144" s="108" t="s">
        <v>233</v>
      </c>
      <c r="J144" s="165" t="s">
        <v>189</v>
      </c>
      <c r="K144" s="165" t="s">
        <v>189</v>
      </c>
      <c r="L144" s="6" t="s">
        <v>23</v>
      </c>
      <c r="M144" s="165" t="s">
        <v>189</v>
      </c>
      <c r="N144" s="155" t="s">
        <v>189</v>
      </c>
    </row>
    <row r="145" spans="1:14" x14ac:dyDescent="0.25">
      <c r="A145" s="49"/>
      <c r="B145" s="108" t="s">
        <v>2</v>
      </c>
      <c r="C145" s="3">
        <v>0.20760000000000001</v>
      </c>
      <c r="D145" s="3">
        <v>0.25</v>
      </c>
      <c r="E145" s="1" t="s">
        <v>24</v>
      </c>
      <c r="F145" s="4" t="s">
        <v>54</v>
      </c>
      <c r="G145" s="1" t="s">
        <v>28</v>
      </c>
      <c r="H145" s="214"/>
      <c r="I145" s="108" t="s">
        <v>2</v>
      </c>
      <c r="J145" s="3">
        <v>0.25409999999999999</v>
      </c>
      <c r="K145" s="5">
        <v>0.3</v>
      </c>
      <c r="L145" s="1" t="s">
        <v>24</v>
      </c>
      <c r="M145" s="4" t="s">
        <v>60</v>
      </c>
      <c r="N145" s="1" t="s">
        <v>28</v>
      </c>
    </row>
    <row r="146" spans="1:14" ht="27.6" x14ac:dyDescent="0.25">
      <c r="A146" s="51"/>
      <c r="B146" s="109" t="s">
        <v>139</v>
      </c>
      <c r="C146" s="3">
        <v>0.47099999999999997</v>
      </c>
      <c r="D146" s="3">
        <v>0.5</v>
      </c>
      <c r="E146" s="1" t="s">
        <v>23</v>
      </c>
      <c r="F146" s="4" t="s">
        <v>92</v>
      </c>
      <c r="G146" s="9" t="s">
        <v>183</v>
      </c>
      <c r="H146" s="213"/>
      <c r="I146" s="166" t="s">
        <v>139</v>
      </c>
      <c r="J146" s="3">
        <v>0.65790000000000004</v>
      </c>
      <c r="K146" s="5">
        <v>0.7</v>
      </c>
      <c r="L146" s="107" t="s">
        <v>23</v>
      </c>
      <c r="M146" s="4" t="s">
        <v>87</v>
      </c>
      <c r="N146" s="4" t="s">
        <v>183</v>
      </c>
    </row>
    <row r="147" spans="1:14" x14ac:dyDescent="0.25">
      <c r="A147" s="51"/>
      <c r="B147" s="108" t="s">
        <v>12</v>
      </c>
      <c r="C147" s="3">
        <v>6.3E-3</v>
      </c>
      <c r="D147" s="3">
        <v>0.3</v>
      </c>
      <c r="E147" s="1" t="s">
        <v>24</v>
      </c>
      <c r="F147" s="9" t="s">
        <v>236</v>
      </c>
      <c r="G147" s="1" t="s">
        <v>18</v>
      </c>
      <c r="H147" s="213"/>
      <c r="I147" s="166" t="s">
        <v>12</v>
      </c>
      <c r="J147" s="3">
        <v>8.8900000000000007E-2</v>
      </c>
      <c r="K147" s="5">
        <v>0.3</v>
      </c>
      <c r="L147" s="107" t="s">
        <v>24</v>
      </c>
      <c r="M147" s="9" t="s">
        <v>236</v>
      </c>
      <c r="N147" s="107" t="s">
        <v>18</v>
      </c>
    </row>
    <row r="148" spans="1:14" x14ac:dyDescent="0.25">
      <c r="A148" s="51"/>
      <c r="B148" s="110" t="s">
        <v>5</v>
      </c>
      <c r="C148" s="103">
        <f>SUBTOTAL(109,C143:C147)</f>
        <v>0.99339999999999995</v>
      </c>
      <c r="D148" s="103">
        <f>SUBTOTAL(109,D143:D147)</f>
        <v>1.35</v>
      </c>
      <c r="E148" s="121" t="s">
        <v>189</v>
      </c>
      <c r="F148" s="122" t="s">
        <v>189</v>
      </c>
      <c r="G148" s="115" t="s">
        <v>189</v>
      </c>
      <c r="H148" s="213"/>
      <c r="I148" s="110" t="s">
        <v>5</v>
      </c>
      <c r="J148" s="29">
        <f>SUBTOTAL(109,J143:J147)</f>
        <v>1.0009000000000001</v>
      </c>
      <c r="K148" s="29">
        <f>SUBTOTAL(109,K143:K147)</f>
        <v>1.3</v>
      </c>
      <c r="L148" s="122" t="s">
        <v>189</v>
      </c>
      <c r="M148" s="122" t="s">
        <v>189</v>
      </c>
      <c r="N148" s="115" t="s">
        <v>189</v>
      </c>
    </row>
    <row r="149" spans="1:14" x14ac:dyDescent="0.25">
      <c r="A149" s="51"/>
      <c r="B149" s="108" t="s">
        <v>6</v>
      </c>
      <c r="C149" s="11">
        <v>0.69679999999999997</v>
      </c>
      <c r="D149" s="11">
        <v>0.64</v>
      </c>
      <c r="E149" s="1" t="s">
        <v>23</v>
      </c>
      <c r="F149" s="9" t="s">
        <v>184</v>
      </c>
      <c r="G149" s="1" t="s">
        <v>19</v>
      </c>
      <c r="H149" s="213"/>
      <c r="I149" s="108" t="s">
        <v>6</v>
      </c>
      <c r="J149" s="11">
        <v>0.98029999999999995</v>
      </c>
      <c r="K149" s="11">
        <v>0.94</v>
      </c>
      <c r="L149" s="1" t="s">
        <v>23</v>
      </c>
      <c r="M149" s="9" t="s">
        <v>99</v>
      </c>
      <c r="N149" s="1" t="s">
        <v>19</v>
      </c>
    </row>
    <row r="150" spans="1:14" ht="27.6" x14ac:dyDescent="0.25">
      <c r="A150" s="51"/>
      <c r="B150" s="110" t="s">
        <v>230</v>
      </c>
      <c r="C150" s="12">
        <v>4.0000000000000001E-3</v>
      </c>
      <c r="D150" s="142" t="s">
        <v>189</v>
      </c>
      <c r="E150" s="143" t="s">
        <v>189</v>
      </c>
      <c r="F150" s="144" t="s">
        <v>189</v>
      </c>
      <c r="G150" s="179" t="s">
        <v>189</v>
      </c>
      <c r="H150" s="213"/>
      <c r="I150" s="110" t="s">
        <v>230</v>
      </c>
      <c r="J150" s="12">
        <v>4.0000000000000001E-3</v>
      </c>
      <c r="K150" s="142" t="s">
        <v>189</v>
      </c>
      <c r="L150" s="144" t="s">
        <v>189</v>
      </c>
      <c r="M150" s="144" t="s">
        <v>189</v>
      </c>
      <c r="N150" s="179" t="s">
        <v>189</v>
      </c>
    </row>
    <row r="151" spans="1:14" ht="21" customHeight="1" x14ac:dyDescent="0.25">
      <c r="A151" s="73"/>
      <c r="B151" s="75"/>
      <c r="C151" s="76"/>
      <c r="D151" s="77"/>
      <c r="E151" s="76"/>
      <c r="F151" s="76"/>
      <c r="G151" s="181"/>
      <c r="H151" s="207"/>
      <c r="I151" s="79"/>
      <c r="J151" s="80"/>
      <c r="K151" s="81"/>
      <c r="L151" s="80"/>
      <c r="M151" s="80"/>
      <c r="N151" s="182"/>
    </row>
    <row r="152" spans="1:14" ht="51.75" customHeight="1" x14ac:dyDescent="0.25">
      <c r="A152" s="48" t="s">
        <v>112</v>
      </c>
      <c r="B152" s="38" t="s">
        <v>164</v>
      </c>
      <c r="C152" s="39"/>
      <c r="D152" s="40"/>
      <c r="E152" s="85"/>
      <c r="F152" s="39"/>
      <c r="G152" s="178"/>
      <c r="H152" s="212" t="s">
        <v>112</v>
      </c>
      <c r="I152" s="38" t="s">
        <v>165</v>
      </c>
      <c r="J152" s="39"/>
      <c r="K152" s="40"/>
      <c r="L152" s="41"/>
      <c r="M152" s="39"/>
      <c r="N152" s="178"/>
    </row>
    <row r="153" spans="1:14" ht="51.75" customHeight="1" x14ac:dyDescent="0.25">
      <c r="A153" s="49"/>
      <c r="B153" s="123" t="s">
        <v>0</v>
      </c>
      <c r="C153" s="124" t="s">
        <v>225</v>
      </c>
      <c r="D153" s="124" t="s">
        <v>200</v>
      </c>
      <c r="E153" s="125" t="s">
        <v>22</v>
      </c>
      <c r="F153" s="125" t="s">
        <v>20</v>
      </c>
      <c r="G153" s="125" t="s">
        <v>35</v>
      </c>
      <c r="H153" s="213"/>
      <c r="I153" s="123" t="s">
        <v>0</v>
      </c>
      <c r="J153" s="124" t="s">
        <v>225</v>
      </c>
      <c r="K153" s="124" t="s">
        <v>200</v>
      </c>
      <c r="L153" s="125" t="s">
        <v>22</v>
      </c>
      <c r="M153" s="125" t="s">
        <v>20</v>
      </c>
      <c r="N153" s="125" t="s">
        <v>35</v>
      </c>
    </row>
    <row r="154" spans="1:14" ht="15.6" x14ac:dyDescent="0.25">
      <c r="A154" s="49"/>
      <c r="B154" s="108" t="s">
        <v>171</v>
      </c>
      <c r="C154" s="5">
        <v>0.39269999999999999</v>
      </c>
      <c r="D154" s="5">
        <v>0.3</v>
      </c>
      <c r="E154" s="151" t="s">
        <v>189</v>
      </c>
      <c r="F154" s="152" t="s">
        <v>189</v>
      </c>
      <c r="G154" s="155" t="s">
        <v>189</v>
      </c>
      <c r="H154" s="213"/>
      <c r="I154" s="162" t="s">
        <v>189</v>
      </c>
      <c r="J154" s="163" t="s">
        <v>189</v>
      </c>
      <c r="K154" s="163" t="s">
        <v>189</v>
      </c>
      <c r="L154" s="152" t="s">
        <v>189</v>
      </c>
      <c r="M154" s="152" t="s">
        <v>189</v>
      </c>
      <c r="N154" s="152" t="s">
        <v>189</v>
      </c>
    </row>
    <row r="155" spans="1:14" ht="27.6" x14ac:dyDescent="0.25">
      <c r="A155" s="49"/>
      <c r="B155" s="108" t="s">
        <v>140</v>
      </c>
      <c r="C155" s="5">
        <v>0.69569999999999999</v>
      </c>
      <c r="D155" s="5">
        <v>0.64</v>
      </c>
      <c r="E155" s="6" t="s">
        <v>23</v>
      </c>
      <c r="F155" s="7" t="s">
        <v>184</v>
      </c>
      <c r="G155" s="6" t="s">
        <v>7</v>
      </c>
      <c r="H155" s="213"/>
      <c r="I155" s="108" t="s">
        <v>233</v>
      </c>
      <c r="J155" s="5">
        <v>0.99780000000000002</v>
      </c>
      <c r="K155" s="5">
        <v>0.94</v>
      </c>
      <c r="L155" s="6" t="s">
        <v>23</v>
      </c>
      <c r="M155" s="7" t="s">
        <v>99</v>
      </c>
      <c r="N155" s="6" t="s">
        <v>7</v>
      </c>
    </row>
    <row r="156" spans="1:14" x14ac:dyDescent="0.25">
      <c r="A156" s="50"/>
      <c r="B156" s="108" t="s">
        <v>2</v>
      </c>
      <c r="C156" s="3">
        <v>0.24640000000000001</v>
      </c>
      <c r="D156" s="3">
        <v>0.25</v>
      </c>
      <c r="E156" s="1" t="s">
        <v>24</v>
      </c>
      <c r="F156" s="4" t="s">
        <v>54</v>
      </c>
      <c r="G156" s="1" t="s">
        <v>14</v>
      </c>
      <c r="H156" s="214"/>
      <c r="I156" s="108" t="s">
        <v>2</v>
      </c>
      <c r="J156" s="3">
        <v>0.2046</v>
      </c>
      <c r="K156" s="3">
        <v>0.25</v>
      </c>
      <c r="L156" s="1" t="s">
        <v>24</v>
      </c>
      <c r="M156" s="4" t="s">
        <v>54</v>
      </c>
      <c r="N156" s="1" t="s">
        <v>14</v>
      </c>
    </row>
    <row r="157" spans="1:14" ht="27.6" x14ac:dyDescent="0.25">
      <c r="A157" s="51"/>
      <c r="B157" s="109" t="s">
        <v>139</v>
      </c>
      <c r="C157" s="117">
        <v>0</v>
      </c>
      <c r="D157" s="117" t="s">
        <v>189</v>
      </c>
      <c r="E157" s="1" t="s">
        <v>23</v>
      </c>
      <c r="F157" s="4" t="s">
        <v>73</v>
      </c>
      <c r="G157" s="136" t="s">
        <v>189</v>
      </c>
      <c r="H157" s="213"/>
      <c r="I157" s="108" t="s">
        <v>139</v>
      </c>
      <c r="J157" s="117">
        <v>0</v>
      </c>
      <c r="K157" s="117" t="s">
        <v>189</v>
      </c>
      <c r="L157" s="1" t="s">
        <v>23</v>
      </c>
      <c r="M157" s="4" t="s">
        <v>73</v>
      </c>
      <c r="N157" s="136" t="s">
        <v>189</v>
      </c>
    </row>
    <row r="158" spans="1:14" x14ac:dyDescent="0.25">
      <c r="A158" s="51"/>
      <c r="B158" s="108" t="s">
        <v>12</v>
      </c>
      <c r="C158" s="3">
        <v>0.27179999999999999</v>
      </c>
      <c r="D158" s="3">
        <v>0.25</v>
      </c>
      <c r="E158" s="1" t="s">
        <v>24</v>
      </c>
      <c r="F158" s="4" t="s">
        <v>54</v>
      </c>
      <c r="G158" s="1" t="s">
        <v>18</v>
      </c>
      <c r="H158" s="213"/>
      <c r="I158" s="108" t="s">
        <v>12</v>
      </c>
      <c r="J158" s="3">
        <v>0.26569999999999999</v>
      </c>
      <c r="K158" s="3">
        <v>0.25</v>
      </c>
      <c r="L158" s="1" t="s">
        <v>24</v>
      </c>
      <c r="M158" s="4" t="s">
        <v>54</v>
      </c>
      <c r="N158" s="1" t="s">
        <v>18</v>
      </c>
    </row>
    <row r="159" spans="1:14" x14ac:dyDescent="0.25">
      <c r="A159" s="51"/>
      <c r="B159" s="110" t="s">
        <v>5</v>
      </c>
      <c r="C159" s="29">
        <f>SUBTOTAL(109,C154:C158)</f>
        <v>1.6066</v>
      </c>
      <c r="D159" s="29">
        <f>SUBTOTAL(109,D154:D158)</f>
        <v>1.44</v>
      </c>
      <c r="E159" s="121" t="s">
        <v>189</v>
      </c>
      <c r="F159" s="122" t="s">
        <v>189</v>
      </c>
      <c r="G159" s="115" t="s">
        <v>189</v>
      </c>
      <c r="H159" s="213"/>
      <c r="I159" s="110" t="s">
        <v>5</v>
      </c>
      <c r="J159" s="29">
        <f>SUBTOTAL(109,J154:J158)</f>
        <v>1.4681</v>
      </c>
      <c r="K159" s="29">
        <f>SUBTOTAL(109,K154:K158)</f>
        <v>1.44</v>
      </c>
      <c r="L159" s="122" t="s">
        <v>189</v>
      </c>
      <c r="M159" s="122" t="s">
        <v>189</v>
      </c>
      <c r="N159" s="115" t="s">
        <v>189</v>
      </c>
    </row>
    <row r="160" spans="1:14" x14ac:dyDescent="0.25">
      <c r="A160" s="51"/>
      <c r="B160" s="108" t="s">
        <v>6</v>
      </c>
      <c r="C160" s="11">
        <v>0.69440000000000002</v>
      </c>
      <c r="D160" s="11">
        <v>0.64</v>
      </c>
      <c r="E160" s="1" t="s">
        <v>23</v>
      </c>
      <c r="F160" s="9" t="s">
        <v>184</v>
      </c>
      <c r="G160" s="1" t="s">
        <v>19</v>
      </c>
      <c r="H160" s="213"/>
      <c r="I160" s="108" t="s">
        <v>6</v>
      </c>
      <c r="J160" s="11">
        <v>0.99809999999999999</v>
      </c>
      <c r="K160" s="11">
        <v>0.94</v>
      </c>
      <c r="L160" s="1" t="s">
        <v>23</v>
      </c>
      <c r="M160" s="9" t="s">
        <v>99</v>
      </c>
      <c r="N160" s="1" t="s">
        <v>19</v>
      </c>
    </row>
    <row r="161" spans="1:14" ht="27.6" x14ac:dyDescent="0.25">
      <c r="A161" s="51"/>
      <c r="B161" s="110" t="s">
        <v>230</v>
      </c>
      <c r="C161" s="69">
        <v>2E-3</v>
      </c>
      <c r="D161" s="142" t="s">
        <v>189</v>
      </c>
      <c r="E161" s="143" t="s">
        <v>189</v>
      </c>
      <c r="F161" s="144" t="s">
        <v>189</v>
      </c>
      <c r="G161" s="179" t="s">
        <v>189</v>
      </c>
      <c r="H161" s="213"/>
      <c r="I161" s="110" t="s">
        <v>230</v>
      </c>
      <c r="J161" s="69">
        <v>2E-3</v>
      </c>
      <c r="K161" s="142" t="s">
        <v>189</v>
      </c>
      <c r="L161" s="144" t="s">
        <v>189</v>
      </c>
      <c r="M161" s="144" t="s">
        <v>189</v>
      </c>
      <c r="N161" s="179" t="s">
        <v>189</v>
      </c>
    </row>
    <row r="162" spans="1:14" ht="21" customHeight="1" x14ac:dyDescent="0.25">
      <c r="A162" s="73"/>
      <c r="B162" s="75"/>
      <c r="C162" s="76"/>
      <c r="D162" s="77"/>
      <c r="E162" s="76"/>
      <c r="F162" s="76"/>
      <c r="G162" s="181"/>
      <c r="H162" s="207"/>
      <c r="I162" s="79"/>
      <c r="J162" s="80"/>
      <c r="K162" s="81"/>
      <c r="L162" s="80"/>
      <c r="M162" s="80"/>
      <c r="N162" s="182"/>
    </row>
    <row r="163" spans="1:14" ht="51.75" customHeight="1" x14ac:dyDescent="0.25">
      <c r="A163" s="82" t="s">
        <v>166</v>
      </c>
      <c r="B163" s="34" t="s">
        <v>167</v>
      </c>
      <c r="C163" s="35"/>
      <c r="D163" s="36"/>
      <c r="E163" s="84"/>
      <c r="F163" s="35"/>
      <c r="G163" s="178"/>
      <c r="H163" s="215" t="s">
        <v>166</v>
      </c>
      <c r="I163" s="34" t="s">
        <v>169</v>
      </c>
      <c r="J163" s="35"/>
      <c r="K163" s="36"/>
      <c r="L163" s="37"/>
      <c r="M163" s="41"/>
      <c r="N163" s="178"/>
    </row>
    <row r="164" spans="1:14" ht="40.200000000000003" customHeight="1" x14ac:dyDescent="0.25">
      <c r="A164" s="83"/>
      <c r="B164" s="123" t="s">
        <v>0</v>
      </c>
      <c r="C164" s="124" t="s">
        <v>225</v>
      </c>
      <c r="D164" s="124" t="s">
        <v>200</v>
      </c>
      <c r="E164" s="125" t="s">
        <v>30</v>
      </c>
      <c r="F164" s="125" t="s">
        <v>20</v>
      </c>
      <c r="G164" s="126" t="s">
        <v>35</v>
      </c>
      <c r="H164" s="216"/>
      <c r="I164" s="123" t="s">
        <v>0</v>
      </c>
      <c r="J164" s="124" t="s">
        <v>225</v>
      </c>
      <c r="K164" s="124" t="s">
        <v>200</v>
      </c>
      <c r="L164" s="125" t="s">
        <v>30</v>
      </c>
      <c r="M164" s="125" t="s">
        <v>20</v>
      </c>
      <c r="N164" s="126" t="s">
        <v>35</v>
      </c>
    </row>
    <row r="165" spans="1:14" ht="15.6" x14ac:dyDescent="0.25">
      <c r="A165" s="83"/>
      <c r="B165" s="108" t="s">
        <v>171</v>
      </c>
      <c r="C165" s="66">
        <v>0.67090000000000005</v>
      </c>
      <c r="D165" s="5">
        <v>0.85</v>
      </c>
      <c r="E165" s="151" t="s">
        <v>189</v>
      </c>
      <c r="F165" s="152" t="s">
        <v>189</v>
      </c>
      <c r="G165" s="157" t="s">
        <v>189</v>
      </c>
      <c r="H165" s="216"/>
      <c r="I165" s="162" t="s">
        <v>189</v>
      </c>
      <c r="J165" s="163" t="s">
        <v>189</v>
      </c>
      <c r="K165" s="163" t="s">
        <v>189</v>
      </c>
      <c r="L165" s="152" t="s">
        <v>189</v>
      </c>
      <c r="M165" s="152" t="s">
        <v>189</v>
      </c>
      <c r="N165" s="157" t="s">
        <v>189</v>
      </c>
    </row>
    <row r="166" spans="1:14" ht="42" customHeight="1" x14ac:dyDescent="0.25">
      <c r="A166" s="83"/>
      <c r="B166" s="108" t="s">
        <v>140</v>
      </c>
      <c r="C166" s="66">
        <v>8.0799999999999997E-2</v>
      </c>
      <c r="D166" s="5">
        <v>0.06</v>
      </c>
      <c r="E166" s="6" t="s">
        <v>4</v>
      </c>
      <c r="F166" s="7" t="s">
        <v>58</v>
      </c>
      <c r="G166" s="228" t="s">
        <v>223</v>
      </c>
      <c r="H166" s="216"/>
      <c r="I166" s="108" t="s">
        <v>233</v>
      </c>
      <c r="J166" s="66">
        <v>0.18729999999999999</v>
      </c>
      <c r="K166" s="5">
        <v>0.2</v>
      </c>
      <c r="L166" s="6" t="s">
        <v>4</v>
      </c>
      <c r="M166" s="7" t="s">
        <v>64</v>
      </c>
      <c r="N166" s="228" t="s">
        <v>223</v>
      </c>
    </row>
    <row r="167" spans="1:14" ht="21.75" customHeight="1" x14ac:dyDescent="0.25">
      <c r="A167" s="83"/>
      <c r="B167" s="108" t="s">
        <v>2</v>
      </c>
      <c r="C167" s="67">
        <v>6.1199999999999997E-2</v>
      </c>
      <c r="D167" s="3">
        <v>0.05</v>
      </c>
      <c r="E167" s="1" t="s">
        <v>3</v>
      </c>
      <c r="F167" s="4" t="s">
        <v>51</v>
      </c>
      <c r="G167" s="118" t="s">
        <v>14</v>
      </c>
      <c r="H167" s="216"/>
      <c r="I167" s="108" t="s">
        <v>2</v>
      </c>
      <c r="J167" s="67">
        <v>0.44080000000000003</v>
      </c>
      <c r="K167" s="3">
        <v>0.45</v>
      </c>
      <c r="L167" s="1" t="s">
        <v>3</v>
      </c>
      <c r="M167" s="4" t="s">
        <v>176</v>
      </c>
      <c r="N167" s="118" t="s">
        <v>14</v>
      </c>
    </row>
    <row r="168" spans="1:14" ht="27.6" x14ac:dyDescent="0.25">
      <c r="A168" s="83"/>
      <c r="B168" s="109" t="s">
        <v>139</v>
      </c>
      <c r="C168" s="67">
        <v>6.0999999999999999E-2</v>
      </c>
      <c r="D168" s="3">
        <v>0.06</v>
      </c>
      <c r="E168" s="1" t="s">
        <v>4</v>
      </c>
      <c r="F168" s="4" t="s">
        <v>58</v>
      </c>
      <c r="G168" s="118" t="s">
        <v>185</v>
      </c>
      <c r="H168" s="216"/>
      <c r="I168" s="108" t="s">
        <v>139</v>
      </c>
      <c r="J168" s="67">
        <v>0.26440000000000002</v>
      </c>
      <c r="K168" s="3">
        <v>0.3</v>
      </c>
      <c r="L168" s="1" t="s">
        <v>4</v>
      </c>
      <c r="M168" s="4" t="s">
        <v>61</v>
      </c>
      <c r="N168" s="118" t="s">
        <v>15</v>
      </c>
    </row>
    <row r="169" spans="1:14" ht="32.25" customHeight="1" x14ac:dyDescent="0.25">
      <c r="A169" s="83"/>
      <c r="B169" s="108" t="s">
        <v>172</v>
      </c>
      <c r="C169" s="67">
        <v>0</v>
      </c>
      <c r="D169" s="3">
        <v>0.05</v>
      </c>
      <c r="E169" s="8" t="s">
        <v>3</v>
      </c>
      <c r="F169" s="9" t="s">
        <v>51</v>
      </c>
      <c r="G169" s="140" t="s">
        <v>189</v>
      </c>
      <c r="H169" s="216"/>
      <c r="I169" s="108" t="s">
        <v>172</v>
      </c>
      <c r="J169" s="67">
        <v>0</v>
      </c>
      <c r="K169" s="3">
        <v>0.05</v>
      </c>
      <c r="L169" s="8" t="s">
        <v>3</v>
      </c>
      <c r="M169" s="9" t="s">
        <v>51</v>
      </c>
      <c r="N169" s="140" t="s">
        <v>189</v>
      </c>
    </row>
    <row r="170" spans="1:14" x14ac:dyDescent="0.25">
      <c r="A170" s="83"/>
      <c r="B170" s="108" t="s">
        <v>10</v>
      </c>
      <c r="C170" s="67">
        <v>6.8999999999999999E-3</v>
      </c>
      <c r="D170" s="3">
        <v>0.05</v>
      </c>
      <c r="E170" s="8" t="s">
        <v>3</v>
      </c>
      <c r="F170" s="9" t="s">
        <v>51</v>
      </c>
      <c r="G170" s="140" t="s">
        <v>189</v>
      </c>
      <c r="H170" s="216"/>
      <c r="I170" s="108" t="s">
        <v>10</v>
      </c>
      <c r="J170" s="67">
        <v>2.0999999999999999E-3</v>
      </c>
      <c r="K170" s="3">
        <v>0.05</v>
      </c>
      <c r="L170" s="8" t="s">
        <v>3</v>
      </c>
      <c r="M170" s="9" t="s">
        <v>51</v>
      </c>
      <c r="N170" s="140" t="s">
        <v>189</v>
      </c>
    </row>
    <row r="171" spans="1:14" x14ac:dyDescent="0.25">
      <c r="A171" s="83"/>
      <c r="B171" s="108" t="s">
        <v>12</v>
      </c>
      <c r="C171" s="67">
        <v>0.11650000000000001</v>
      </c>
      <c r="D171" s="3">
        <v>0.15</v>
      </c>
      <c r="E171" s="8" t="s">
        <v>3</v>
      </c>
      <c r="F171" s="9" t="s">
        <v>52</v>
      </c>
      <c r="G171" s="140" t="s">
        <v>189</v>
      </c>
      <c r="H171" s="216"/>
      <c r="I171" s="108" t="s">
        <v>12</v>
      </c>
      <c r="J171" s="67">
        <v>0.1646</v>
      </c>
      <c r="K171" s="3">
        <v>0.15</v>
      </c>
      <c r="L171" s="8" t="s">
        <v>3</v>
      </c>
      <c r="M171" s="9" t="s">
        <v>52</v>
      </c>
      <c r="N171" s="140" t="s">
        <v>189</v>
      </c>
    </row>
    <row r="172" spans="1:14" x14ac:dyDescent="0.25">
      <c r="A172" s="83"/>
      <c r="B172" s="108" t="s">
        <v>173</v>
      </c>
      <c r="C172" s="67">
        <v>0</v>
      </c>
      <c r="D172" s="3">
        <v>0.05</v>
      </c>
      <c r="E172" s="8" t="s">
        <v>3</v>
      </c>
      <c r="F172" s="9" t="s">
        <v>51</v>
      </c>
      <c r="G172" s="140" t="s">
        <v>189</v>
      </c>
      <c r="H172" s="216"/>
      <c r="I172" s="108" t="s">
        <v>173</v>
      </c>
      <c r="J172" s="67">
        <v>0</v>
      </c>
      <c r="K172" s="3">
        <v>0.05</v>
      </c>
      <c r="L172" s="8" t="s">
        <v>3</v>
      </c>
      <c r="M172" s="9" t="s">
        <v>51</v>
      </c>
      <c r="N172" s="140" t="s">
        <v>189</v>
      </c>
    </row>
    <row r="173" spans="1:14" x14ac:dyDescent="0.25">
      <c r="A173" s="83"/>
      <c r="B173" s="110" t="s">
        <v>5</v>
      </c>
      <c r="C173" s="103">
        <f>SUBTOTAL(109,C165:C172)</f>
        <v>0.99730000000000019</v>
      </c>
      <c r="D173" s="103">
        <f>SUBTOTAL(109,D165:D172)</f>
        <v>1.32</v>
      </c>
      <c r="E173" s="153" t="s">
        <v>189</v>
      </c>
      <c r="F173" s="136" t="s">
        <v>189</v>
      </c>
      <c r="G173" s="120" t="s">
        <v>189</v>
      </c>
      <c r="H173" s="216"/>
      <c r="I173" s="110" t="s">
        <v>5</v>
      </c>
      <c r="J173" s="105">
        <f>SUBTOTAL(109,J165:J172)</f>
        <v>1.0592000000000001</v>
      </c>
      <c r="K173" s="105">
        <f>SUBTOTAL(109,K165:K172)</f>
        <v>1.25</v>
      </c>
      <c r="L173" s="153" t="s">
        <v>189</v>
      </c>
      <c r="M173" s="136" t="s">
        <v>189</v>
      </c>
      <c r="N173" s="120" t="s">
        <v>189</v>
      </c>
    </row>
    <row r="174" spans="1:14" x14ac:dyDescent="0.25">
      <c r="A174" s="83"/>
      <c r="B174" s="108" t="s">
        <v>6</v>
      </c>
      <c r="C174" s="67">
        <v>2.1899999999999999E-2</v>
      </c>
      <c r="D174" s="3">
        <v>0.06</v>
      </c>
      <c r="E174" s="1" t="s">
        <v>23</v>
      </c>
      <c r="F174" s="10" t="s">
        <v>58</v>
      </c>
      <c r="G174" s="119" t="s">
        <v>19</v>
      </c>
      <c r="H174" s="216"/>
      <c r="I174" s="108" t="s">
        <v>6</v>
      </c>
      <c r="J174" s="67">
        <v>0.11219999999999999</v>
      </c>
      <c r="K174" s="3">
        <v>0.16</v>
      </c>
      <c r="L174" s="1" t="s">
        <v>23</v>
      </c>
      <c r="M174" s="10" t="s">
        <v>135</v>
      </c>
      <c r="N174" s="119" t="s">
        <v>19</v>
      </c>
    </row>
    <row r="175" spans="1:14" ht="27.6" x14ac:dyDescent="0.25">
      <c r="A175" s="83"/>
      <c r="B175" s="229" t="s">
        <v>230</v>
      </c>
      <c r="C175" s="156">
        <v>2E-3</v>
      </c>
      <c r="D175" s="158" t="s">
        <v>189</v>
      </c>
      <c r="E175" s="159" t="s">
        <v>189</v>
      </c>
      <c r="F175" s="160" t="s">
        <v>189</v>
      </c>
      <c r="G175" s="161" t="s">
        <v>189</v>
      </c>
      <c r="H175" s="216"/>
      <c r="I175" s="229" t="s">
        <v>230</v>
      </c>
      <c r="J175" s="156">
        <v>2E-3</v>
      </c>
      <c r="K175" s="158" t="s">
        <v>189</v>
      </c>
      <c r="L175" s="160" t="s">
        <v>189</v>
      </c>
      <c r="M175" s="160" t="s">
        <v>189</v>
      </c>
      <c r="N175" s="161" t="s">
        <v>189</v>
      </c>
    </row>
    <row r="176" spans="1:14" ht="21" customHeight="1" x14ac:dyDescent="0.25">
      <c r="A176" s="73"/>
      <c r="B176" s="169" t="s">
        <v>189</v>
      </c>
      <c r="C176" s="170" t="s">
        <v>189</v>
      </c>
      <c r="D176" s="170" t="s">
        <v>189</v>
      </c>
      <c r="E176" s="170" t="s">
        <v>189</v>
      </c>
      <c r="F176" s="170" t="s">
        <v>189</v>
      </c>
      <c r="G176" s="180" t="s">
        <v>189</v>
      </c>
      <c r="H176" s="207"/>
      <c r="I176" s="79"/>
      <c r="J176" s="80"/>
      <c r="K176" s="81"/>
      <c r="L176" s="80"/>
      <c r="M176" s="80"/>
      <c r="N176" s="182"/>
    </row>
    <row r="177" spans="1:14" ht="51.75" customHeight="1" x14ac:dyDescent="0.25">
      <c r="A177" s="82" t="s">
        <v>166</v>
      </c>
      <c r="B177" s="34" t="s">
        <v>168</v>
      </c>
      <c r="C177" s="35"/>
      <c r="D177" s="36"/>
      <c r="E177" s="84"/>
      <c r="F177" s="35"/>
      <c r="G177" s="178"/>
      <c r="H177" s="215" t="s">
        <v>166</v>
      </c>
      <c r="I177" s="34" t="s">
        <v>170</v>
      </c>
      <c r="J177" s="35"/>
      <c r="K177" s="36"/>
      <c r="L177" s="37"/>
      <c r="M177" s="35"/>
      <c r="N177" s="178"/>
    </row>
    <row r="178" spans="1:14" ht="40.200000000000003" customHeight="1" x14ac:dyDescent="0.25">
      <c r="A178" s="83"/>
      <c r="B178" s="123" t="s">
        <v>0</v>
      </c>
      <c r="C178" s="124" t="s">
        <v>225</v>
      </c>
      <c r="D178" s="124" t="s">
        <v>200</v>
      </c>
      <c r="E178" s="125" t="s">
        <v>30</v>
      </c>
      <c r="F178" s="125" t="s">
        <v>20</v>
      </c>
      <c r="G178" s="125" t="s">
        <v>35</v>
      </c>
      <c r="H178" s="216"/>
      <c r="I178" s="125" t="s">
        <v>0</v>
      </c>
      <c r="J178" s="124" t="s">
        <v>225</v>
      </c>
      <c r="K178" s="124" t="s">
        <v>200</v>
      </c>
      <c r="L178" s="125" t="s">
        <v>30</v>
      </c>
      <c r="M178" s="125" t="s">
        <v>20</v>
      </c>
      <c r="N178" s="125" t="s">
        <v>35</v>
      </c>
    </row>
    <row r="179" spans="1:14" ht="15.6" x14ac:dyDescent="0.25">
      <c r="A179" s="83"/>
      <c r="B179" s="108" t="s">
        <v>171</v>
      </c>
      <c r="C179" s="5">
        <v>0.4904</v>
      </c>
      <c r="D179" s="5">
        <v>0.85</v>
      </c>
      <c r="E179" s="151" t="s">
        <v>189</v>
      </c>
      <c r="F179" s="152" t="s">
        <v>189</v>
      </c>
      <c r="G179" s="152" t="s">
        <v>189</v>
      </c>
      <c r="H179" s="216"/>
      <c r="I179" s="164" t="s">
        <v>189</v>
      </c>
      <c r="J179" s="163" t="s">
        <v>189</v>
      </c>
      <c r="K179" s="163" t="s">
        <v>189</v>
      </c>
      <c r="L179" s="152" t="s">
        <v>189</v>
      </c>
      <c r="M179" s="152" t="s">
        <v>189</v>
      </c>
      <c r="N179" s="152" t="s">
        <v>189</v>
      </c>
    </row>
    <row r="180" spans="1:14" ht="33.75" customHeight="1" x14ac:dyDescent="0.25">
      <c r="A180" s="83"/>
      <c r="B180" s="108" t="s">
        <v>140</v>
      </c>
      <c r="C180" s="5">
        <v>0.1099</v>
      </c>
      <c r="D180" s="5">
        <v>0.06</v>
      </c>
      <c r="E180" s="6" t="s">
        <v>4</v>
      </c>
      <c r="F180" s="7" t="s">
        <v>58</v>
      </c>
      <c r="G180" s="6" t="s">
        <v>223</v>
      </c>
      <c r="H180" s="216"/>
      <c r="I180" s="2" t="s">
        <v>233</v>
      </c>
      <c r="J180" s="5">
        <v>0.1507</v>
      </c>
      <c r="K180" s="5">
        <v>0.2</v>
      </c>
      <c r="L180" s="6" t="s">
        <v>4</v>
      </c>
      <c r="M180" s="7" t="s">
        <v>64</v>
      </c>
      <c r="N180" s="6" t="s">
        <v>223</v>
      </c>
    </row>
    <row r="181" spans="1:14" x14ac:dyDescent="0.25">
      <c r="A181" s="83"/>
      <c r="B181" s="108" t="s">
        <v>2</v>
      </c>
      <c r="C181" s="3">
        <v>5.9700000000000003E-2</v>
      </c>
      <c r="D181" s="3">
        <v>0.05</v>
      </c>
      <c r="E181" s="1" t="s">
        <v>3</v>
      </c>
      <c r="F181" s="4" t="s">
        <v>51</v>
      </c>
      <c r="G181" s="1" t="s">
        <v>14</v>
      </c>
      <c r="H181" s="216"/>
      <c r="I181" s="2" t="s">
        <v>2</v>
      </c>
      <c r="J181" s="3">
        <v>0.45140000000000002</v>
      </c>
      <c r="K181" s="3">
        <v>0.45</v>
      </c>
      <c r="L181" s="1" t="s">
        <v>3</v>
      </c>
      <c r="M181" s="4" t="s">
        <v>176</v>
      </c>
      <c r="N181" s="1" t="s">
        <v>14</v>
      </c>
    </row>
    <row r="182" spans="1:14" ht="27.6" x14ac:dyDescent="0.25">
      <c r="A182" s="83"/>
      <c r="B182" s="109" t="s">
        <v>139</v>
      </c>
      <c r="C182" s="3">
        <v>7.1099999999999997E-2</v>
      </c>
      <c r="D182" s="3">
        <v>0.06</v>
      </c>
      <c r="E182" s="1" t="s">
        <v>4</v>
      </c>
      <c r="F182" s="4" t="s">
        <v>58</v>
      </c>
      <c r="G182" s="1" t="s">
        <v>185</v>
      </c>
      <c r="H182" s="216"/>
      <c r="I182" s="2" t="s">
        <v>139</v>
      </c>
      <c r="J182" s="3">
        <v>0.2954</v>
      </c>
      <c r="K182" s="3">
        <v>0.3</v>
      </c>
      <c r="L182" s="1" t="s">
        <v>4</v>
      </c>
      <c r="M182" s="4" t="s">
        <v>61</v>
      </c>
      <c r="N182" s="1" t="s">
        <v>185</v>
      </c>
    </row>
    <row r="183" spans="1:14" x14ac:dyDescent="0.25">
      <c r="A183" s="83"/>
      <c r="B183" s="108" t="s">
        <v>12</v>
      </c>
      <c r="C183" s="3">
        <v>0.26889999999999997</v>
      </c>
      <c r="D183" s="3">
        <v>0.15</v>
      </c>
      <c r="E183" s="1" t="s">
        <v>3</v>
      </c>
      <c r="F183" s="9" t="s">
        <v>52</v>
      </c>
      <c r="G183" s="136" t="s">
        <v>189</v>
      </c>
      <c r="H183" s="216"/>
      <c r="I183" s="2" t="s">
        <v>12</v>
      </c>
      <c r="J183" s="3">
        <v>0.10249999999999999</v>
      </c>
      <c r="K183" s="3">
        <v>0.15</v>
      </c>
      <c r="L183" s="1" t="s">
        <v>3</v>
      </c>
      <c r="M183" s="9" t="s">
        <v>52</v>
      </c>
      <c r="N183" s="136" t="s">
        <v>189</v>
      </c>
    </row>
    <row r="184" spans="1:14" x14ac:dyDescent="0.25">
      <c r="A184" s="83"/>
      <c r="B184" s="110" t="s">
        <v>5</v>
      </c>
      <c r="C184" s="29">
        <f>SUBTOTAL(109,C179:C183)</f>
        <v>1</v>
      </c>
      <c r="D184" s="29">
        <f>SUBTOTAL(109,D179:D183)</f>
        <v>1.17</v>
      </c>
      <c r="E184" s="121" t="s">
        <v>189</v>
      </c>
      <c r="F184" s="122" t="s">
        <v>189</v>
      </c>
      <c r="G184" s="116" t="s">
        <v>189</v>
      </c>
      <c r="H184" s="216"/>
      <c r="I184" s="28" t="s">
        <v>5</v>
      </c>
      <c r="J184" s="29">
        <f>SUBTOTAL(109,J179:J183)</f>
        <v>1</v>
      </c>
      <c r="K184" s="29">
        <f>SUBTOTAL(109,K179:K183)</f>
        <v>1.0999999999999999</v>
      </c>
      <c r="L184" s="122" t="s">
        <v>189</v>
      </c>
      <c r="M184" s="122" t="s">
        <v>189</v>
      </c>
      <c r="N184" s="116" t="s">
        <v>189</v>
      </c>
    </row>
    <row r="185" spans="1:14" x14ac:dyDescent="0.25">
      <c r="A185" s="83"/>
      <c r="B185" s="108" t="s">
        <v>6</v>
      </c>
      <c r="C185" s="11">
        <v>6.6699999999999995E-2</v>
      </c>
      <c r="D185" s="11">
        <v>0.06</v>
      </c>
      <c r="E185" s="1" t="s">
        <v>4</v>
      </c>
      <c r="F185" s="9" t="s">
        <v>58</v>
      </c>
      <c r="G185" s="1" t="s">
        <v>19</v>
      </c>
      <c r="H185" s="216"/>
      <c r="I185" s="2" t="s">
        <v>6</v>
      </c>
      <c r="J185" s="3">
        <v>0</v>
      </c>
      <c r="K185" s="11">
        <v>0.16</v>
      </c>
      <c r="L185" s="1" t="s">
        <v>4</v>
      </c>
      <c r="M185" s="9" t="s">
        <v>135</v>
      </c>
      <c r="N185" s="1" t="s">
        <v>19</v>
      </c>
    </row>
    <row r="186" spans="1:14" ht="27.6" x14ac:dyDescent="0.25">
      <c r="A186" s="83"/>
      <c r="B186" s="110" t="s">
        <v>230</v>
      </c>
      <c r="C186" s="69">
        <v>2E-3</v>
      </c>
      <c r="D186" s="115" t="s">
        <v>189</v>
      </c>
      <c r="E186" s="135" t="s">
        <v>189</v>
      </c>
      <c r="F186" s="135" t="s">
        <v>189</v>
      </c>
      <c r="G186" s="179" t="s">
        <v>189</v>
      </c>
      <c r="H186" s="216"/>
      <c r="I186" s="110" t="s">
        <v>230</v>
      </c>
      <c r="J186" s="69">
        <v>2E-3</v>
      </c>
      <c r="K186" s="115" t="s">
        <v>189</v>
      </c>
      <c r="L186" s="135" t="s">
        <v>189</v>
      </c>
      <c r="M186" s="135" t="s">
        <v>189</v>
      </c>
      <c r="N186" s="179" t="s">
        <v>189</v>
      </c>
    </row>
    <row r="187" spans="1:14" ht="21" customHeight="1" x14ac:dyDescent="0.25">
      <c r="A187" s="74" t="s">
        <v>8</v>
      </c>
      <c r="B187" s="75"/>
      <c r="C187" s="76"/>
      <c r="D187" s="77"/>
      <c r="E187" s="76"/>
      <c r="F187" s="76"/>
      <c r="G187" s="181"/>
      <c r="H187" s="217" t="s">
        <v>8</v>
      </c>
      <c r="I187" s="171" t="s">
        <v>189</v>
      </c>
      <c r="J187" s="172" t="s">
        <v>189</v>
      </c>
      <c r="K187" s="172" t="s">
        <v>189</v>
      </c>
      <c r="L187" s="172" t="s">
        <v>189</v>
      </c>
      <c r="M187" s="172" t="s">
        <v>189</v>
      </c>
      <c r="N187" s="183" t="s">
        <v>189</v>
      </c>
    </row>
    <row r="188" spans="1:14" s="99" customFormat="1" ht="18.75" customHeight="1" x14ac:dyDescent="0.25">
      <c r="A188" s="61" t="s">
        <v>137</v>
      </c>
      <c r="B188" s="62"/>
      <c r="C188" s="197"/>
      <c r="D188" s="197"/>
      <c r="E188" s="218"/>
      <c r="F188" s="197"/>
      <c r="G188" s="219"/>
      <c r="H188" s="220" t="s">
        <v>137</v>
      </c>
      <c r="I188" s="221"/>
      <c r="J188" s="197"/>
      <c r="K188" s="197"/>
      <c r="L188" s="197"/>
      <c r="M188" s="197"/>
      <c r="N188" s="219"/>
    </row>
    <row r="189" spans="1:14" ht="18.75" customHeight="1" x14ac:dyDescent="0.25">
      <c r="A189" s="59" t="s">
        <v>136</v>
      </c>
      <c r="B189" s="63"/>
      <c r="C189" s="198"/>
      <c r="D189" s="198"/>
      <c r="E189" s="222"/>
      <c r="F189" s="198"/>
      <c r="G189" s="219"/>
      <c r="H189" s="223" t="s">
        <v>136</v>
      </c>
      <c r="I189" s="224"/>
      <c r="J189" s="198"/>
      <c r="K189" s="198"/>
      <c r="L189" s="198"/>
      <c r="M189" s="198"/>
      <c r="N189" s="219"/>
    </row>
    <row r="190" spans="1:14" ht="18" customHeight="1" x14ac:dyDescent="0.25">
      <c r="A190" s="78"/>
      <c r="B190" s="75"/>
      <c r="C190" s="76"/>
      <c r="D190" s="77"/>
      <c r="E190" s="76"/>
      <c r="F190" s="76"/>
      <c r="G190" s="181"/>
      <c r="H190" s="79"/>
      <c r="I190" s="79"/>
      <c r="J190" s="80"/>
      <c r="K190" s="81"/>
      <c r="L190" s="80"/>
      <c r="M190" s="80"/>
      <c r="N190" s="182"/>
    </row>
    <row r="10000" spans="15:52" x14ac:dyDescent="0.25">
      <c r="O10000" s="98">
        <v>87</v>
      </c>
      <c r="P10000" s="98">
        <v>31</v>
      </c>
      <c r="Q10000" s="98">
        <v>30</v>
      </c>
      <c r="R10000" s="98">
        <v>31</v>
      </c>
      <c r="AZ10000" s="98">
        <v>38</v>
      </c>
    </row>
  </sheetData>
  <mergeCells count="2">
    <mergeCell ref="A1:E1"/>
    <mergeCell ref="H1:K1"/>
  </mergeCells>
  <hyperlinks>
    <hyperlink ref="A189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89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Ofek Sharon</cp:lastModifiedBy>
  <cp:lastPrinted>2025-12-02T12:20:37Z</cp:lastPrinted>
  <dcterms:created xsi:type="dcterms:W3CDTF">2019-11-21T10:57:46Z</dcterms:created>
  <dcterms:modified xsi:type="dcterms:W3CDTF">2026-02-25T05:51:02Z</dcterms:modified>
  <dc:language>עברית</dc:language>
</cp:coreProperties>
</file>