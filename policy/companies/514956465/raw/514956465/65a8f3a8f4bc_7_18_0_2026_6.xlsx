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drawings/drawing2.xml" ContentType="application/vnd.openxmlformats-officedocument.drawing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C:\Users\m_adir\Desktop\הנגשות\New folder\הנגשות\הנגשות 23.6\"/>
    </mc:Choice>
  </mc:AlternateContent>
  <xr:revisionPtr revIDLastSave="0" documentId="13_ncr:1_{484F4ED0-8FCA-444B-8777-EA89D07EAF0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גמל- מדיניות מוצהרת " sheetId="22" r:id="rId1"/>
    <sheet name="פנסיה - מדיניות מוצהרת " sheetId="21" r:id="rId2"/>
  </sheets>
  <definedNames>
    <definedName name="_xlnm._FilterDatabase" localSheetId="1" hidden="1">'פנסיה - מדיניות מוצהרת '!$A$2:$N$191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8" i="22" l="1"/>
  <c r="E148" i="22"/>
  <c r="F148" i="22"/>
  <c r="D136" i="22"/>
  <c r="E136" i="22"/>
  <c r="F136" i="22"/>
  <c r="E124" i="22"/>
  <c r="F124" i="22"/>
  <c r="D108" i="22"/>
  <c r="E108" i="22"/>
  <c r="F108" i="22"/>
  <c r="D91" i="22"/>
  <c r="E91" i="22"/>
  <c r="F91" i="22"/>
  <c r="F14" i="22"/>
  <c r="K185" i="21"/>
  <c r="D185" i="21"/>
  <c r="K174" i="21"/>
  <c r="D174" i="21"/>
  <c r="K160" i="21"/>
  <c r="D160" i="21"/>
  <c r="K149" i="21"/>
  <c r="D149" i="21"/>
  <c r="K138" i="21"/>
  <c r="D138" i="21"/>
  <c r="K127" i="21"/>
  <c r="D127" i="21"/>
  <c r="K116" i="21"/>
  <c r="D116" i="21"/>
  <c r="K105" i="21"/>
  <c r="D105" i="21"/>
  <c r="K94" i="21"/>
  <c r="D94" i="21"/>
  <c r="K83" i="21"/>
  <c r="D83" i="21"/>
  <c r="K69" i="21"/>
  <c r="D69" i="21"/>
  <c r="K55" i="21"/>
  <c r="D55" i="21"/>
  <c r="K41" i="21"/>
  <c r="D41" i="21"/>
  <c r="K27" i="21"/>
  <c r="D27" i="21"/>
  <c r="K13" i="21"/>
  <c r="D13" i="21"/>
  <c r="F307" i="22"/>
  <c r="F297" i="22"/>
  <c r="F287" i="22"/>
  <c r="F272" i="22"/>
  <c r="F257" i="22"/>
  <c r="F242" i="22"/>
  <c r="F230" i="22"/>
  <c r="F219" i="22"/>
  <c r="F207" i="22"/>
  <c r="F195" i="22"/>
  <c r="F183" i="22"/>
  <c r="E183" i="22"/>
  <c r="F172" i="22"/>
  <c r="E172" i="22"/>
  <c r="F160" i="22"/>
  <c r="F74" i="22"/>
  <c r="F59" i="22"/>
  <c r="F44" i="22"/>
  <c r="F29" i="22"/>
  <c r="E14" i="22"/>
  <c r="J185" i="21"/>
  <c r="J174" i="21"/>
  <c r="J160" i="21"/>
  <c r="J149" i="21"/>
  <c r="J138" i="21"/>
  <c r="J127" i="21"/>
  <c r="J116" i="21"/>
  <c r="J105" i="21"/>
  <c r="J94" i="21"/>
  <c r="J83" i="21"/>
  <c r="J69" i="21"/>
  <c r="J41" i="21"/>
  <c r="J27" i="21"/>
  <c r="C185" i="21"/>
  <c r="C174" i="21"/>
  <c r="C160" i="21"/>
  <c r="C149" i="21"/>
  <c r="C138" i="21"/>
  <c r="C127" i="21"/>
  <c r="C116" i="21"/>
  <c r="C105" i="21"/>
  <c r="C94" i="21"/>
  <c r="C83" i="21"/>
  <c r="C69" i="21" l="1"/>
  <c r="C27" i="21"/>
  <c r="J55" i="21"/>
  <c r="C13" i="21"/>
  <c r="J13" i="21"/>
  <c r="C55" i="21"/>
  <c r="C41" i="21"/>
  <c r="E307" i="22"/>
  <c r="E297" i="22"/>
  <c r="E287" i="22"/>
  <c r="E272" i="22"/>
  <c r="E257" i="22"/>
  <c r="E242" i="22"/>
  <c r="D242" i="22"/>
  <c r="C242" i="22"/>
  <c r="E230" i="22"/>
  <c r="D230" i="22"/>
  <c r="D219" i="22"/>
  <c r="C219" i="22"/>
  <c r="E219" i="22"/>
  <c r="E207" i="22"/>
  <c r="D207" i="22"/>
  <c r="C207" i="22"/>
  <c r="E195" i="22"/>
  <c r="D195" i="22"/>
  <c r="C195" i="22"/>
  <c r="D183" i="22"/>
  <c r="D172" i="22"/>
  <c r="C172" i="22"/>
  <c r="E160" i="22"/>
  <c r="D160" i="22"/>
  <c r="C160" i="22"/>
  <c r="C148" i="22" l="1"/>
  <c r="C136" i="22"/>
  <c r="C108" i="22"/>
  <c r="E74" i="22" l="1"/>
  <c r="D124" i="22"/>
  <c r="E59" i="22"/>
  <c r="C91" i="22"/>
  <c r="E44" i="22"/>
  <c r="E29" i="22"/>
</calcChain>
</file>

<file path=xl/sharedStrings.xml><?xml version="1.0" encoding="utf-8"?>
<sst xmlns="http://schemas.openxmlformats.org/spreadsheetml/2006/main" count="2920" uniqueCount="253">
  <si>
    <t xml:space="preserve">אפיק השקעה </t>
  </si>
  <si>
    <t>טווח סטייה</t>
  </si>
  <si>
    <t xml:space="preserve">אג"ח ממשלתי </t>
  </si>
  <si>
    <t>5%+/-</t>
  </si>
  <si>
    <t>6%+/-</t>
  </si>
  <si>
    <t>סה"כ</t>
  </si>
  <si>
    <t>חשיפה למט"ח</t>
  </si>
  <si>
    <t>100% - מחקה מדד s&amp;p500</t>
  </si>
  <si>
    <t>הבהרות</t>
  </si>
  <si>
    <t>קרנות השקעה ושותפויות</t>
  </si>
  <si>
    <t>הלוואות וחוב אחר</t>
  </si>
  <si>
    <t>הלוואות עמיתים</t>
  </si>
  <si>
    <t>מזומן ופקדונות</t>
  </si>
  <si>
    <t>אחר (כולל נדל"ן)</t>
  </si>
  <si>
    <t>מדד אג"ח ממשלתי כללי</t>
  </si>
  <si>
    <t>מדד אג"ח קונצרני כללי</t>
  </si>
  <si>
    <t>50% - מדד קונצרני כללי
50% - מדד MSCI WORLD</t>
  </si>
  <si>
    <t>מדד תל בונד שקלי</t>
  </si>
  <si>
    <t>ריבית בנק ישראל</t>
  </si>
  <si>
    <t>סל מטבעות</t>
  </si>
  <si>
    <t>גבולות שיעור החשיפה הצפויה</t>
  </si>
  <si>
    <t>פקדונות  מעל 3 חודשים</t>
  </si>
  <si>
    <t xml:space="preserve">	טווח סטייה</t>
  </si>
  <si>
    <t xml:space="preserve">	6%-/+</t>
  </si>
  <si>
    <t xml:space="preserve">	5%-/+</t>
  </si>
  <si>
    <t>MSCI Islamic Index</t>
  </si>
  <si>
    <t>DJSUKUK Index</t>
  </si>
  <si>
    <t>מדד MSCI WORLD</t>
  </si>
  <si>
    <t>US treasury index</t>
  </si>
  <si>
    <t>מ"ה: 12532 - אלפא מור תגמולים - לבני 50 ומטה</t>
  </si>
  <si>
    <t>טווח סטיה מותר</t>
  </si>
  <si>
    <t>מ"ה: 12533 - אלפא מור תגמולים - לבני 50 עד 60</t>
  </si>
  <si>
    <t>מ"ה: 12534 - אלפא מור תגמולים - לבני 60 ומעלה</t>
  </si>
  <si>
    <t>מ"ה: 12535 - מור השתלמות - כללי</t>
  </si>
  <si>
    <t>מ"ה: 12538 - מור גמל להשקעה - כללי</t>
  </si>
  <si>
    <t>מדד ייחוס*</t>
  </si>
  <si>
    <t>מודל השקעות תלוי גיל</t>
  </si>
  <si>
    <t>מסלול כללי</t>
  </si>
  <si>
    <t>מ"ה: 12531 - אלפא מור תגמולים - מניות</t>
  </si>
  <si>
    <t>מ"ה: 14481 - אלפא מור תגמולים - אשראי ואג"ח</t>
  </si>
  <si>
    <t>מ"ה: 14483 - מור השתלמות - אשראי ואג"ח</t>
  </si>
  <si>
    <t>מ"ה: 14482 - מור גמל להשקעה - אשראי ואג"ח</t>
  </si>
  <si>
    <t>מ"ה: 12536 - מור השתלמות - מניות</t>
  </si>
  <si>
    <t>מ"ה: 12537 - מור גמל להשקעה - מניות</t>
  </si>
  <si>
    <t>מ"ה: 12956 -מור השתלמות - אשראי ואג"ח עם מניות (עד 25% מניות)</t>
  </si>
  <si>
    <t>מ"ה: 12955 - מור גמל להשקעה - אשראי ואג"ח עם מניות (עד 25% מניות)</t>
  </si>
  <si>
    <t>19% - 29%</t>
  </si>
  <si>
    <t>17% - 29%</t>
  </si>
  <si>
    <t>40% - 52%</t>
  </si>
  <si>
    <t>5% - 15%</t>
  </si>
  <si>
    <t>2% - 12%</t>
  </si>
  <si>
    <t>0% - 10%</t>
  </si>
  <si>
    <t>10% - 20%</t>
  </si>
  <si>
    <t>16% - 28%</t>
  </si>
  <si>
    <t>20% - 30%</t>
  </si>
  <si>
    <t>13% - 25%</t>
  </si>
  <si>
    <t>7% - 17%</t>
  </si>
  <si>
    <t>19% - 31%</t>
  </si>
  <si>
    <t>0% - 12%</t>
  </si>
  <si>
    <t>2% - 14%</t>
  </si>
  <si>
    <t>25% - 35%</t>
  </si>
  <si>
    <t>24% - 36%</t>
  </si>
  <si>
    <t>22% - 34%</t>
  </si>
  <si>
    <t>18% - 30%</t>
  </si>
  <si>
    <t>14% - 26%</t>
  </si>
  <si>
    <t>53.5% - 65.5%</t>
  </si>
  <si>
    <t>39% - 51%</t>
  </si>
  <si>
    <t>מסלולים מתמחים בניהול אקטיבי: 
מניות</t>
  </si>
  <si>
    <t>מסלולים מתמחים בניהול אקטיבי:
אשראי ואג"ח</t>
  </si>
  <si>
    <t>מסלולים מתמחים בניהול אקטיבי:
אשראי ואג"ח עם מניות (עד 25% מניות)</t>
  </si>
  <si>
    <t>מסלולים מתמחים בניהול אקטיבי:
כספי (שקלי)</t>
  </si>
  <si>
    <t>מ"ה: 8699 - אלפא מור תגמולים - כספי (שקלי)</t>
  </si>
  <si>
    <t>מ"ה: 8705 - מור השתלמות - כספי (שקלי)</t>
  </si>
  <si>
    <t>מ"ה: 7963 - מור גמל להשקעה -כספי (שקלי)</t>
  </si>
  <si>
    <t>מ"ה: 14342 - אלפא מור תגמולים - משולב סחיר</t>
  </si>
  <si>
    <t>מ"ה: 15235 - מור השתלמות - משולב סחיר</t>
  </si>
  <si>
    <t>מ"ה: 15253 - מור גמל להשקעה -משולב סחיר</t>
  </si>
  <si>
    <t>33% - 43%</t>
  </si>
  <si>
    <t>27% - 39%</t>
  </si>
  <si>
    <t>מ"ה: 15247 - אלפא מור תגמולים - מניות סחיר</t>
  </si>
  <si>
    <t>מ"ה: 15238 - מור השתלמות - מניות סחיר</t>
  </si>
  <si>
    <t>מ"ה: 15256 - מור גמל להשקעה -מניות סחיר</t>
  </si>
  <si>
    <t>מסלולים מתמחים באפיקי השקעה סחירים:
מניות סחיר</t>
  </si>
  <si>
    <t>מסלולים מתמחים באפיקי השקעה סחירים:
אג"ח סחיר</t>
  </si>
  <si>
    <t>מ"ה: 15248 - אלפא מור תגמולים - אג"ח סחיר</t>
  </si>
  <si>
    <t>מ"ה: 15237 - מור השתלמות - אג"ח סחיר</t>
  </si>
  <si>
    <t>64% - 76%</t>
  </si>
  <si>
    <t>מ"ה: 15254 - מור גמל להשקעה - אג"ח עם מניות (עד 25% מניות) סחיר</t>
  </si>
  <si>
    <t>מ"ה: 15236 - מור השתלמות -  אג"ח עם מניות (עד 25% מניות) סחיר</t>
  </si>
  <si>
    <t>מ"ה: 15255 - מור גמל להשקעה - אג"ח סחיר</t>
  </si>
  <si>
    <t>מסלולים מתמחים באפיקי השקעה סחירים:
אג"ח עם מניות (עד 25% מניות) סחיר</t>
  </si>
  <si>
    <t>44% - 56%</t>
  </si>
  <si>
    <t>מסלולים מתמחים באפיקי השקעה סחירים:
משולב סחיר</t>
  </si>
  <si>
    <t>מסלולים עוקבי מדדים:
עוקב מדדים גמיש</t>
  </si>
  <si>
    <t>מ"ה: 14394 - אלפא מור תגמולים - עוקב מדדים גמיש</t>
  </si>
  <si>
    <t>מ"ה: 15239 - מור השתלמות - עוקב מדדים גמיש</t>
  </si>
  <si>
    <t>מ"ה: 15257 - מור גמל להשקעה - עוקב מדדים גמיש</t>
  </si>
  <si>
    <t>37% - 49%</t>
  </si>
  <si>
    <t>88% - 100%</t>
  </si>
  <si>
    <t>IBOXIG 	-  70%
IBOXHY 	-  30%</t>
  </si>
  <si>
    <t>מסלולים עוקבי מדדים:
עוקב מדדי מניות</t>
  </si>
  <si>
    <t>מ"ה: 15249 - אלפא מור תגמולים - עוקב מדדי מניות</t>
  </si>
  <si>
    <t>מ"ה: 15241 - מור השתלמות - עוקב מדדי מניות</t>
  </si>
  <si>
    <t>מ"ה: 15259 - מור גמל להשקעה - עוקב מדדי מניות</t>
  </si>
  <si>
    <t>מסלולים עוקבי מדדים:
עוקב מדדי אג"ח</t>
  </si>
  <si>
    <t>מ"ה: 15250 - אלפא מור תגמולים - עוקב מדדי אג"ח</t>
  </si>
  <si>
    <t>מ"ה: 15242 - מור השתלמות - עוקב מדדי אג"ח</t>
  </si>
  <si>
    <t>מ"ה: 15260 - מור גמל להשקעה - עוקב מדדי אג"ח</t>
  </si>
  <si>
    <t>מסלולים עוקבי מדדים:
עוקב מדדים אג"ח עם מניות (עד 25% מניות)</t>
  </si>
  <si>
    <t>מ"ה: 15240 - מור השתלמות - עוקב מדדים אג"ח עם מניות (עד 25% מניות)</t>
  </si>
  <si>
    <t>מ"ה: 15258 - מור גמל להשקעה -עוקב מדדים אג"ח עם מניות (עד 25% מניות)</t>
  </si>
  <si>
    <t>מסלולים עוקבי מדדים:
עוקב מדד S&amp;P500</t>
  </si>
  <si>
    <t>מ"ה: 9452 - אלפא מור תגמולים - עוקב מדד S&amp;P500</t>
  </si>
  <si>
    <t>מ"ה: 9451 - מור השתלמות - עוקב מדד S&amp;P500</t>
  </si>
  <si>
    <t>מ"ה: 7958 - מור גמל להשקעה - עוקב מדד S&amp;P500</t>
  </si>
  <si>
    <t>חיסכון לכל ילד</t>
  </si>
  <si>
    <t>מ"ה: 9421 - מור חיסכון לכל ילד- חוסכים המעדיפים סיכון מועט</t>
  </si>
  <si>
    <t>30% - 40%</t>
  </si>
  <si>
    <t>29% - 41%</t>
  </si>
  <si>
    <t>9% - 21%</t>
  </si>
  <si>
    <t>מ"ה: 9414 - מור חיסכון לכל ילד- חוסכים המעדיפים סיכון בינוני</t>
  </si>
  <si>
    <t>מ"ה: 9420 - מור חיסכון לכל ילד- חוסכים המעדיפים סיכון מוגבר</t>
  </si>
  <si>
    <t>89% - 101%</t>
  </si>
  <si>
    <t>מ"ה: 9113 - מור חיסכון לכל ילד מסלול הלכה</t>
  </si>
  <si>
    <t>8% - 20%</t>
  </si>
  <si>
    <t>מ"ה: 9303 - מור חיסכון לכל ילד מסלול שריעה</t>
  </si>
  <si>
    <t>28% - 40%</t>
  </si>
  <si>
    <t>16% - 26%</t>
  </si>
  <si>
    <t>75% - 87%</t>
  </si>
  <si>
    <t>מ"ה: 13909 - מור פנסיה מקיפה- מסלול לבני 50 ומטה</t>
  </si>
  <si>
    <t>74% - 86%</t>
  </si>
  <si>
    <t>90% - 100%</t>
  </si>
  <si>
    <t>15% - 25%</t>
  </si>
  <si>
    <t>42% - 52%</t>
  </si>
  <si>
    <t>10% - 22%</t>
  </si>
  <si>
    <t>בעת בחינת השקעה נלקחים בחשבון שיקולי ESG. פירוט לעניין מדיניות ההשקעה של החברה ביחס לESG ניתן למצוא בקישור שלהלן – שיקולי ESG בהשקעות</t>
  </si>
  <si>
    <t>*מובהר כי תיק הנכסים אינו תואם בהכרח במלואו להרכב מדד הייחוס. אין בציון מדד הייחוס, תיאורו והרכבו בכדי להוות מצג, הצהרה או התחייבות כלשהי ביחס לתשואות המסלולים בפועל.</t>
  </si>
  <si>
    <t>מגבלת עמלת ניהול חיצוני לשנת 2025</t>
  </si>
  <si>
    <t>אג"ח קונצרני (קרנות נאמנות, קרנות סל)</t>
  </si>
  <si>
    <r>
      <t>מניות (קרנות</t>
    </r>
    <r>
      <rPr>
        <sz val="11"/>
        <color rgb="FF1A326B"/>
        <rFont val="Arial"/>
        <family val="2"/>
        <scheme val="minor"/>
      </rPr>
      <t xml:space="preserve"> </t>
    </r>
    <r>
      <rPr>
        <sz val="11"/>
        <rFont val="Arial"/>
        <family val="2"/>
        <scheme val="minor"/>
      </rPr>
      <t>סל, אופציות, קרנות נאמנות)</t>
    </r>
  </si>
  <si>
    <t>מ"ה: 13910 - מור פנסיה מקיפה - מסלול לבני 50 עד 60</t>
  </si>
  <si>
    <t>מ"ה: 13911 - מור פנסיה מקיפה - מסלול לבני 60 ומעלה</t>
  </si>
  <si>
    <t>מ"ה: 13919 - מור פנסיה כללית - מסלול לבני 50 ומטה</t>
  </si>
  <si>
    <t>מ"ה: 13920 - מור פנסיה כללית - מסלול לבני 50 עד 60</t>
  </si>
  <si>
    <t>מ"ה: 13921 - מור פנסיה כללית - מסלול לבני 60 ומעלה</t>
  </si>
  <si>
    <t>מ"ה: 13912 - מור פנסיה מקיפה - מסלול מניות</t>
  </si>
  <si>
    <t>מ"ה: 13922 - מור פנסיה כללית - מסלול מניות</t>
  </si>
  <si>
    <t>מ"ה: 13913 - מור פנסיה מקיפה - אשראי ואג"ח</t>
  </si>
  <si>
    <t>מ"ה: 13923 - מור פנסיה כללית - אשראי ואג"ח</t>
  </si>
  <si>
    <t>מ"ה: 13914 - מור פנסיה מקיפה - כספי (שקלי)</t>
  </si>
  <si>
    <t>מ"ה: 13926 - מור פנסיה כללית - כספי (שקלי)</t>
  </si>
  <si>
    <t>מ"ה: 14339 - מור פנסיה מקיפה - משולב סחיר</t>
  </si>
  <si>
    <t>מ"ה: 14337 - מור פנסיה כללית - משולב סחיר</t>
  </si>
  <si>
    <t>מ"ה: 15263 - מור פנסיה מקיפה - מניות סחיר</t>
  </si>
  <si>
    <t>מ"ה: 15270 - מור פנסיה כללית - מניות סחיר</t>
  </si>
  <si>
    <t>מ"ה: 15264 - מור פנסיה מקיפה - אג"ח סחיר</t>
  </si>
  <si>
    <t>מ"ה: 15271 - מור פנסיה כללית - אג"ח סחיר</t>
  </si>
  <si>
    <t>מ"ה: 14340 - מור פנסיה מקיפה - עוקב מדדים גמיש</t>
  </si>
  <si>
    <t>מ"ה: 14338 - מור פנסיה כללית - עוקב מדדים גמיש</t>
  </si>
  <si>
    <t>מ"ה: 13915 - מור פנסיה מקיפה - עוקב מדדי מניות</t>
  </si>
  <si>
    <t>מ"ה: 13925 - מור פנסיה כללית - עוקב מדדי מניות</t>
  </si>
  <si>
    <t>מ"ה: 15265 - מור פנסיה מקיפה - עוקב מדדי אג"ח</t>
  </si>
  <si>
    <t>מ"ה: 15272 - מור פנסיה כללית - עוקב מדדי אג"ח</t>
  </si>
  <si>
    <t>מ"ה: 15266 - מור פנסיה מקיפה - עוקב מדד S&amp;P 500</t>
  </si>
  <si>
    <t>מ"ה: 15273 - מור פנסיה כללית - עוקב מדד S&amp;P 500</t>
  </si>
  <si>
    <t>מסלולים למקבלי קצבה</t>
  </si>
  <si>
    <t>מ"ה: 13916 - מור פנסיה מקיפה - מסלול בסיסי למקבלי קצבה</t>
  </si>
  <si>
    <t>מ"ה: 15267 - מור פנסיה מקיפה - עוקב מדדים למקבלי קצבה</t>
  </si>
  <si>
    <t>מ"ה: 13927 - מור פנסיה כללית - מסלול בסיסי למקבלי קצבה</t>
  </si>
  <si>
    <t>מ"ה: 15274 - מור פנסיה כללית - עוקב מדדים למקבלי קצבה</t>
  </si>
  <si>
    <t>אג"ח מיועדות</t>
  </si>
  <si>
    <t>אחר (קרנות השקעה, Co Invest, תשתיות, גידור)</t>
  </si>
  <si>
    <t>אפיק נדל"ן (ישיר)</t>
  </si>
  <si>
    <t>1% - 11%</t>
  </si>
  <si>
    <t>מדד קונצרני כללי</t>
  </si>
  <si>
    <t>40% - 50%</t>
  </si>
  <si>
    <t>0% - 0%</t>
  </si>
  <si>
    <t>15% - 27%</t>
  </si>
  <si>
    <t>22% - 32%</t>
  </si>
  <si>
    <t>12% - 22%</t>
  </si>
  <si>
    <t>93% - 103%</t>
  </si>
  <si>
    <t>25% - 37%</t>
  </si>
  <si>
    <t>IBOXIG	- 70%
IBOXHY	- 30%</t>
  </si>
  <si>
    <t>58% - 70%</t>
  </si>
  <si>
    <t>100% - מדד קונצרני כללי</t>
  </si>
  <si>
    <t>חדש</t>
  </si>
  <si>
    <t>אג"ח קונצרני (נע"מ,קרנות נאמנות, קרנות סל)</t>
  </si>
  <si>
    <t>אג"ח קונצרני (נע"מ, קרנות נאמנות, קרנות סל)</t>
  </si>
  <si>
    <t>ריק במקור</t>
  </si>
  <si>
    <t>ריק במקור2</t>
  </si>
  <si>
    <t>20%-30%</t>
  </si>
  <si>
    <t>52% - 62%</t>
  </si>
  <si>
    <t>47% - 57%</t>
  </si>
  <si>
    <t>64% -76%</t>
  </si>
  <si>
    <t>60% - 70%</t>
  </si>
  <si>
    <t>øé÷ áî÷åø</t>
  </si>
  <si>
    <t>30.00%</t>
  </si>
  <si>
    <t>ריק במקור3</t>
  </si>
  <si>
    <t xml:space="preserve">פנסיה מקיפה - מדיניות השקעה מוצהרת לשנת 2026
</t>
  </si>
  <si>
    <t>שיעור חשיפה צפוי לשנת 2026</t>
  </si>
  <si>
    <t>55% - 65%</t>
  </si>
  <si>
    <t>53% - 63%</t>
  </si>
  <si>
    <t>20% - 32%</t>
  </si>
  <si>
    <t>17% - 27%</t>
  </si>
  <si>
    <t>21% - 31%</t>
  </si>
  <si>
    <t>12% - 24%</t>
  </si>
  <si>
    <t>3% - 13%</t>
  </si>
  <si>
    <t>4% - 14%</t>
  </si>
  <si>
    <t>52% - 64%</t>
  </si>
  <si>
    <t>50% - 62%</t>
  </si>
  <si>
    <t>8% - 18%</t>
  </si>
  <si>
    <t>24% - 34%</t>
  </si>
  <si>
    <t>21% - 33%</t>
  </si>
  <si>
    <t>18% - 28%</t>
  </si>
  <si>
    <t>14% - 24%</t>
  </si>
  <si>
    <t>23% - 33%</t>
  </si>
  <si>
    <t>6% - 16%</t>
  </si>
  <si>
    <t>54% - 66%</t>
  </si>
  <si>
    <t>36% - 48%</t>
  </si>
  <si>
    <t>7% - 19%</t>
  </si>
  <si>
    <t>27% - 37%</t>
  </si>
  <si>
    <t xml:space="preserve">
36% - מדד מניות כללי
64% - מדד MSCI WORLD
</t>
  </si>
  <si>
    <t xml:space="preserve">פנסיה כללית - מדיניות השקעה מוצהרת לשנת 2026
</t>
  </si>
  <si>
    <t>שיעור החשיפה ליום 31/12/2025</t>
  </si>
  <si>
    <t xml:space="preserve"> השקעה שיעור החשיפה ליום 31/12/2025</t>
  </si>
  <si>
    <t>השתלמות שיעור החשיפה ליום 31/12/2025</t>
  </si>
  <si>
    <t xml:space="preserve">תגמולים שיעור החשיפה ליום 31/12/2025 </t>
  </si>
  <si>
    <t xml:space="preserve">השתלמות שיעור החשיפה ליום 31/12/2025 </t>
  </si>
  <si>
    <t>מגבלת עמלת ניהול חיצוני לשנת 2026</t>
  </si>
  <si>
    <t>גמל - מדיניות השקעה מוצהרת לשנת 2026</t>
  </si>
  <si>
    <t>36% - מדד מניות כללי
64% - מדד MSCI WORLD</t>
  </si>
  <si>
    <t>מניות (קרנות סל, אופציות, קרנות נאמנות)</t>
  </si>
  <si>
    <t>48.21%</t>
  </si>
  <si>
    <t>25% -35%</t>
  </si>
  <si>
    <t>25.20%</t>
  </si>
  <si>
    <t>20.00%</t>
  </si>
  <si>
    <t>31.49%</t>
  </si>
  <si>
    <t>30.12%</t>
  </si>
  <si>
    <t>79% -91%</t>
  </si>
  <si>
    <t>48.18%</t>
  </si>
  <si>
    <t>45.00%</t>
  </si>
  <si>
    <t>28.10%</t>
  </si>
  <si>
    <t>93% - 105%</t>
  </si>
  <si>
    <t>6.00%</t>
  </si>
  <si>
    <t>43% - 55%</t>
  </si>
  <si>
    <t>42% - 54%</t>
  </si>
  <si>
    <t>101.45%</t>
  </si>
  <si>
    <t>99.49%</t>
  </si>
  <si>
    <t>99.31%</t>
  </si>
  <si>
    <t>99.00%</t>
  </si>
  <si>
    <t>תא ריק במקור</t>
  </si>
  <si>
    <t>גמל - מדיניות מוצהרת</t>
  </si>
  <si>
    <t xml:space="preserve">פנסיה- מדיניות מוצהרת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</si>
</sst>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;;;"/>
  </numFmts>
  <fonts count="22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rgb="FF1A326B"/>
      <name val="Arial"/>
      <family val="2"/>
      <scheme val="minor"/>
    </font>
    <font>
      <sz val="11"/>
      <name val="Arial"/>
      <family val="2"/>
      <scheme val="minor"/>
    </font>
    <font>
      <b/>
      <u/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1"/>
      <color rgb="FF1A326B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6"/>
      <color theme="0"/>
      <name val="Arial"/>
      <family val="2"/>
      <scheme val="minor"/>
    </font>
    <font>
      <b/>
      <u/>
      <sz val="18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2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36"/>
      <color theme="0"/>
      <name val="Arial"/>
      <family val="2"/>
      <scheme val="minor"/>
    </font>
    <font>
      <b/>
      <sz val="26"/>
      <color theme="0"/>
      <name val="Arial"/>
      <family val="2"/>
      <scheme val="minor"/>
    </font>
    <font>
      <b/>
      <sz val="16"/>
      <name val="Arial"/>
      <family val="2"/>
      <scheme val="minor"/>
    </font>
    <font>
      <b/>
      <sz val="26"/>
      <name val="Arial"/>
      <family val="2"/>
      <scheme val="minor"/>
    </font>
    <font>
      <u/>
      <sz val="11"/>
      <name val="Arial"/>
      <family val="2"/>
      <scheme val="minor"/>
    </font>
    <font>
      <sz val="11"/>
      <color rgb="FFFFFFFF"/>
      <name val="SheetDescription"/>
      <charset val="177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27457B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1DBE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AD5B9D"/>
        <bgColor indexed="64"/>
      </patternFill>
    </fill>
    <fill>
      <patternFill patternType="solid">
        <fgColor rgb="FF5E2696"/>
        <bgColor indexed="64"/>
      </patternFill>
    </fill>
    <fill>
      <patternFill patternType="solid">
        <fgColor rgb="FF97EB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50">
    <xf numFmtId="0" fontId="0" fillId="0" borderId="0" xfId="0"/>
    <xf numFmtId="0" fontId="5" fillId="2" borderId="2" xfId="0" applyFont="1" applyFill="1" applyBorder="1" applyAlignment="1">
      <alignment horizontal="center" vertical="center" wrapText="1" readingOrder="2"/>
    </xf>
    <xf numFmtId="0" fontId="5" fillId="2" borderId="2" xfId="0" applyFont="1" applyFill="1" applyBorder="1" applyAlignment="1">
      <alignment horizontal="right" vertical="center" wrapText="1" readingOrder="2"/>
    </xf>
    <xf numFmtId="10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0" fontId="5" fillId="0" borderId="3" xfId="0" applyNumberFormat="1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/>
    </xf>
    <xf numFmtId="9" fontId="5" fillId="2" borderId="2" xfId="1" applyFont="1" applyFill="1" applyBorder="1" applyAlignment="1">
      <alignment horizontal="center" vertical="center" wrapText="1" readingOrder="2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 readingOrder="1"/>
    </xf>
    <xf numFmtId="10" fontId="5" fillId="0" borderId="2" xfId="0" applyNumberFormat="1" applyFont="1" applyBorder="1" applyAlignment="1">
      <alignment horizontal="center" vertical="center" wrapText="1" readingOrder="2"/>
    </xf>
    <xf numFmtId="10" fontId="7" fillId="2" borderId="2" xfId="0" applyNumberFormat="1" applyFont="1" applyFill="1" applyBorder="1" applyAlignment="1">
      <alignment horizontal="center" vertical="center" wrapText="1" readingOrder="2"/>
    </xf>
    <xf numFmtId="0" fontId="13" fillId="2" borderId="2" xfId="0" applyFont="1" applyFill="1" applyBorder="1" applyAlignment="1">
      <alignment horizontal="center" vertical="center" wrapText="1" readingOrder="2"/>
    </xf>
    <xf numFmtId="0" fontId="13" fillId="0" borderId="2" xfId="0" applyFont="1" applyBorder="1" applyAlignment="1">
      <alignment horizontal="center" vertical="center" wrapText="1" readingOrder="2"/>
    </xf>
    <xf numFmtId="0" fontId="10" fillId="4" borderId="0" xfId="0" applyFont="1" applyFill="1" applyAlignment="1">
      <alignment vertical="center" wrapText="1"/>
    </xf>
    <xf numFmtId="0" fontId="7" fillId="4" borderId="0" xfId="0" applyFont="1" applyFill="1" applyAlignment="1">
      <alignment horizontal="right" vertical="center" wrapText="1" readingOrder="2"/>
    </xf>
    <xf numFmtId="10" fontId="7" fillId="4" borderId="0" xfId="0" applyNumberFormat="1" applyFont="1" applyFill="1" applyAlignment="1">
      <alignment horizontal="center" vertical="center" wrapText="1" readingOrder="2"/>
    </xf>
    <xf numFmtId="0" fontId="7" fillId="4" borderId="0" xfId="0" applyFont="1" applyFill="1" applyAlignment="1">
      <alignment horizontal="center" vertical="center" wrapText="1" readingOrder="2"/>
    </xf>
    <xf numFmtId="0" fontId="4" fillId="4" borderId="0" xfId="0" applyFont="1" applyFill="1"/>
    <xf numFmtId="0" fontId="8" fillId="3" borderId="0" xfId="0" applyFont="1" applyFill="1" applyAlignment="1">
      <alignment horizontal="center" vertical="center" wrapText="1"/>
    </xf>
    <xf numFmtId="0" fontId="14" fillId="3" borderId="0" xfId="0" applyFont="1" applyFill="1"/>
    <xf numFmtId="0" fontId="4" fillId="3" borderId="0" xfId="0" applyFont="1" applyFill="1"/>
    <xf numFmtId="0" fontId="8" fillId="5" borderId="0" xfId="0" applyFont="1" applyFill="1" applyAlignment="1">
      <alignment horizontal="center" vertical="center"/>
    </xf>
    <xf numFmtId="0" fontId="12" fillId="5" borderId="0" xfId="0" applyFont="1" applyFill="1"/>
    <xf numFmtId="9" fontId="12" fillId="5" borderId="0" xfId="0" applyNumberFormat="1" applyFont="1" applyFill="1"/>
    <xf numFmtId="0" fontId="4" fillId="5" borderId="0" xfId="0" applyFont="1" applyFill="1"/>
    <xf numFmtId="0" fontId="7" fillId="2" borderId="2" xfId="0" applyFont="1" applyFill="1" applyBorder="1" applyAlignment="1">
      <alignment horizontal="right" vertical="center" wrapText="1" readingOrder="2"/>
    </xf>
    <xf numFmtId="10" fontId="7" fillId="0" borderId="2" xfId="1" applyNumberFormat="1" applyFont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12" fillId="6" borderId="0" xfId="0" applyFont="1" applyFill="1"/>
    <xf numFmtId="9" fontId="12" fillId="6" borderId="0" xfId="0" applyNumberFormat="1" applyFont="1" applyFill="1"/>
    <xf numFmtId="0" fontId="4" fillId="6" borderId="0" xfId="0" applyFont="1" applyFill="1"/>
    <xf numFmtId="0" fontId="11" fillId="7" borderId="1" xfId="0" applyFont="1" applyFill="1" applyBorder="1" applyAlignment="1">
      <alignment horizontal="right" vertical="center" readingOrder="2"/>
    </xf>
    <xf numFmtId="0" fontId="5" fillId="7" borderId="1" xfId="0" applyFont="1" applyFill="1" applyBorder="1"/>
    <xf numFmtId="0" fontId="7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11" fillId="7" borderId="0" xfId="0" applyFont="1" applyFill="1" applyAlignment="1">
      <alignment horizontal="right" vertical="center" readingOrder="2"/>
    </xf>
    <xf numFmtId="0" fontId="5" fillId="7" borderId="0" xfId="0" applyFont="1" applyFill="1"/>
    <xf numFmtId="0" fontId="7" fillId="7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10" fontId="7" fillId="2" borderId="2" xfId="1" applyNumberFormat="1" applyFont="1" applyFill="1" applyBorder="1" applyAlignment="1">
      <alignment horizontal="center" vertical="center" wrapText="1"/>
    </xf>
    <xf numFmtId="0" fontId="11" fillId="7" borderId="0" xfId="0" applyFont="1" applyFill="1" applyAlignment="1">
      <alignment horizontal="right" vertical="top" readingOrder="2"/>
    </xf>
    <xf numFmtId="0" fontId="8" fillId="8" borderId="0" xfId="0" applyFont="1" applyFill="1" applyAlignment="1">
      <alignment horizontal="center" vertical="center" wrapText="1"/>
    </xf>
    <xf numFmtId="0" fontId="12" fillId="8" borderId="0" xfId="0" applyFont="1" applyFill="1"/>
    <xf numFmtId="9" fontId="12" fillId="8" borderId="0" xfId="0" applyNumberFormat="1" applyFont="1" applyFill="1"/>
    <xf numFmtId="0" fontId="4" fillId="8" borderId="0" xfId="0" applyFont="1" applyFill="1"/>
    <xf numFmtId="0" fontId="8" fillId="9" borderId="0" xfId="0" applyFont="1" applyFill="1" applyAlignment="1">
      <alignment horizontal="center" vertical="center" wrapText="1"/>
    </xf>
    <xf numFmtId="0" fontId="12" fillId="9" borderId="0" xfId="0" applyFont="1" applyFill="1"/>
    <xf numFmtId="9" fontId="12" fillId="9" borderId="0" xfId="0" applyNumberFormat="1" applyFont="1" applyFill="1"/>
    <xf numFmtId="0" fontId="4" fillId="9" borderId="0" xfId="0" applyFont="1" applyFill="1"/>
    <xf numFmtId="0" fontId="0" fillId="10" borderId="0" xfId="0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right" vertical="center" wrapText="1" readingOrder="2"/>
    </xf>
    <xf numFmtId="0" fontId="15" fillId="4" borderId="0" xfId="0" applyFont="1" applyFill="1" applyAlignment="1">
      <alignment horizontal="center" vertical="center" wrapText="1" readingOrder="2"/>
    </xf>
    <xf numFmtId="10" fontId="14" fillId="0" borderId="2" xfId="0" applyNumberFormat="1" applyFont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2" fillId="0" borderId="0" xfId="2" applyAlignment="1">
      <alignment vertical="center"/>
    </xf>
    <xf numFmtId="0" fontId="14" fillId="2" borderId="0" xfId="0" applyFont="1" applyFill="1"/>
    <xf numFmtId="0" fontId="14" fillId="2" borderId="0" xfId="0" applyFont="1" applyFill="1" applyAlignment="1">
      <alignment horizontal="right" vertical="center" readingOrder="2"/>
    </xf>
    <xf numFmtId="0" fontId="14" fillId="2" borderId="0" xfId="0" applyFont="1" applyFill="1" applyAlignment="1">
      <alignment horizontal="right"/>
    </xf>
    <xf numFmtId="0" fontId="0" fillId="2" borderId="0" xfId="0" applyFill="1" applyAlignment="1">
      <alignment horizontal="right" vertical="center"/>
    </xf>
    <xf numFmtId="10" fontId="14" fillId="0" borderId="3" xfId="0" applyNumberFormat="1" applyFont="1" applyBorder="1" applyAlignment="1">
      <alignment horizontal="center" vertical="center" wrapText="1"/>
    </xf>
    <xf numFmtId="10" fontId="5" fillId="0" borderId="12" xfId="0" applyNumberFormat="1" applyFont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 wrapText="1" readingOrder="2"/>
    </xf>
    <xf numFmtId="10" fontId="7" fillId="2" borderId="5" xfId="0" applyNumberFormat="1" applyFont="1" applyFill="1" applyBorder="1" applyAlignment="1">
      <alignment horizontal="center" vertical="center" wrapText="1" readingOrder="2"/>
    </xf>
    <xf numFmtId="10" fontId="3" fillId="0" borderId="2" xfId="1" applyNumberFormat="1" applyFont="1" applyBorder="1" applyAlignment="1">
      <alignment horizontal="center" vertical="center" wrapText="1"/>
    </xf>
    <xf numFmtId="10" fontId="14" fillId="0" borderId="2" xfId="0" applyNumberFormat="1" applyFont="1" applyBorder="1" applyAlignment="1">
      <alignment horizontal="center" vertical="center" wrapText="1" readingOrder="2"/>
    </xf>
    <xf numFmtId="0" fontId="14" fillId="2" borderId="2" xfId="0" applyFont="1" applyFill="1" applyBorder="1" applyAlignment="1">
      <alignment horizontal="right" vertical="center" wrapText="1" readingOrder="2"/>
    </xf>
    <xf numFmtId="0" fontId="4" fillId="14" borderId="0" xfId="0" applyFont="1" applyFill="1"/>
    <xf numFmtId="0" fontId="15" fillId="14" borderId="0" xfId="0" applyFont="1" applyFill="1" applyAlignment="1">
      <alignment horizontal="center" vertical="center" wrapText="1" readingOrder="2"/>
    </xf>
    <xf numFmtId="0" fontId="7" fillId="14" borderId="0" xfId="0" applyFont="1" applyFill="1" applyAlignment="1">
      <alignment horizontal="right" vertical="center" wrapText="1" readingOrder="2"/>
    </xf>
    <xf numFmtId="0" fontId="7" fillId="14" borderId="0" xfId="0" applyFont="1" applyFill="1" applyAlignment="1">
      <alignment horizontal="center" vertical="center" wrapText="1" readingOrder="2"/>
    </xf>
    <xf numFmtId="10" fontId="7" fillId="14" borderId="0" xfId="0" applyNumberFormat="1" applyFont="1" applyFill="1" applyAlignment="1">
      <alignment horizontal="center" vertical="center" wrapText="1" readingOrder="2"/>
    </xf>
    <xf numFmtId="0" fontId="9" fillId="14" borderId="0" xfId="0" applyFont="1" applyFill="1" applyAlignment="1">
      <alignment horizontal="right" vertical="center" wrapText="1" readingOrder="2"/>
    </xf>
    <xf numFmtId="0" fontId="7" fillId="13" borderId="0" xfId="0" applyFont="1" applyFill="1" applyAlignment="1">
      <alignment horizontal="right" vertical="center" wrapText="1" readingOrder="2"/>
    </xf>
    <xf numFmtId="0" fontId="7" fillId="13" borderId="0" xfId="0" applyFont="1" applyFill="1" applyAlignment="1">
      <alignment horizontal="center" vertical="center" wrapText="1" readingOrder="2"/>
    </xf>
    <xf numFmtId="10" fontId="7" fillId="13" borderId="0" xfId="0" applyNumberFormat="1" applyFont="1" applyFill="1" applyAlignment="1">
      <alignment horizontal="center" vertical="center" wrapText="1" readingOrder="2"/>
    </xf>
    <xf numFmtId="0" fontId="3" fillId="15" borderId="0" xfId="0" applyFont="1" applyFill="1" applyAlignment="1">
      <alignment horizontal="center" vertical="center" wrapText="1"/>
    </xf>
    <xf numFmtId="0" fontId="0" fillId="15" borderId="0" xfId="0" applyFill="1" applyAlignment="1">
      <alignment horizontal="center" vertical="center" wrapText="1"/>
    </xf>
    <xf numFmtId="0" fontId="5" fillId="7" borderId="1" xfId="0" applyFont="1" applyFill="1" applyBorder="1" applyAlignment="1">
      <alignment horizontal="center" readingOrder="2"/>
    </xf>
    <xf numFmtId="0" fontId="5" fillId="7" borderId="0" xfId="0" applyFont="1" applyFill="1" applyAlignment="1">
      <alignment horizontal="center" readingOrder="2"/>
    </xf>
    <xf numFmtId="0" fontId="14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49" fontId="13" fillId="2" borderId="2" xfId="0" applyNumberFormat="1" applyFont="1" applyFill="1" applyBorder="1" applyAlignment="1">
      <alignment horizontal="center" vertical="center" wrapText="1" readingOrder="2"/>
    </xf>
    <xf numFmtId="49" fontId="5" fillId="2" borderId="3" xfId="0" applyNumberFormat="1" applyFont="1" applyFill="1" applyBorder="1" applyAlignment="1">
      <alignment horizontal="center" vertical="center" wrapText="1" readingOrder="2"/>
    </xf>
    <xf numFmtId="49" fontId="5" fillId="2" borderId="2" xfId="0" applyNumberFormat="1" applyFont="1" applyFill="1" applyBorder="1" applyAlignment="1">
      <alignment horizontal="center" vertical="center" wrapText="1" readingOrder="2"/>
    </xf>
    <xf numFmtId="49" fontId="5" fillId="2" borderId="2" xfId="1" applyNumberFormat="1" applyFont="1" applyFill="1" applyBorder="1" applyAlignment="1">
      <alignment horizontal="center" vertical="center" wrapText="1" readingOrder="2"/>
    </xf>
    <xf numFmtId="49" fontId="7" fillId="4" borderId="0" xfId="0" applyNumberFormat="1" applyFont="1" applyFill="1" applyAlignment="1">
      <alignment horizontal="center" vertical="center" wrapText="1" readingOrder="2"/>
    </xf>
    <xf numFmtId="49" fontId="10" fillId="4" borderId="0" xfId="0" applyNumberFormat="1" applyFont="1" applyFill="1" applyAlignment="1">
      <alignment vertical="center" wrapText="1" readingOrder="2"/>
    </xf>
    <xf numFmtId="49" fontId="5" fillId="7" borderId="1" xfId="0" applyNumberFormat="1" applyFont="1" applyFill="1" applyBorder="1" applyAlignment="1">
      <alignment horizontal="center" readingOrder="2"/>
    </xf>
    <xf numFmtId="49" fontId="5" fillId="7" borderId="0" xfId="0" applyNumberFormat="1" applyFont="1" applyFill="1" applyAlignment="1">
      <alignment horizontal="center" readingOrder="2"/>
    </xf>
    <xf numFmtId="49" fontId="14" fillId="2" borderId="0" xfId="0" applyNumberFormat="1" applyFont="1" applyFill="1" applyAlignment="1">
      <alignment readingOrder="2"/>
    </xf>
    <xf numFmtId="49" fontId="0" fillId="2" borderId="0" xfId="0" applyNumberFormat="1" applyFill="1" applyAlignment="1">
      <alignment vertical="center" readingOrder="2"/>
    </xf>
    <xf numFmtId="0" fontId="0" fillId="11" borderId="0" xfId="0" applyFill="1"/>
    <xf numFmtId="0" fontId="14" fillId="11" borderId="0" xfId="0" applyFont="1" applyFill="1"/>
    <xf numFmtId="0" fontId="0" fillId="11" borderId="0" xfId="0" applyFill="1" applyAlignment="1">
      <alignment horizontal="right"/>
    </xf>
    <xf numFmtId="49" fontId="0" fillId="11" borderId="0" xfId="0" applyNumberFormat="1" applyFill="1" applyAlignment="1">
      <alignment readingOrder="2"/>
    </xf>
    <xf numFmtId="0" fontId="0" fillId="11" borderId="0" xfId="0" applyFill="1" applyAlignment="1">
      <alignment horizontal="center"/>
    </xf>
    <xf numFmtId="10" fontId="7" fillId="0" borderId="2" xfId="1" applyNumberFormat="1" applyFont="1" applyFill="1" applyBorder="1" applyAlignment="1">
      <alignment horizontal="center" vertical="center" wrapText="1"/>
    </xf>
    <xf numFmtId="10" fontId="7" fillId="0" borderId="2" xfId="0" applyNumberFormat="1" applyFont="1" applyBorder="1" applyAlignment="1">
      <alignment horizontal="center" vertical="center" wrapText="1" readingOrder="2"/>
    </xf>
    <xf numFmtId="10" fontId="7" fillId="0" borderId="5" xfId="0" applyNumberFormat="1" applyFont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 readingOrder="2"/>
    </xf>
    <xf numFmtId="0" fontId="5" fillId="2" borderId="5" xfId="0" applyFont="1" applyFill="1" applyBorder="1" applyAlignment="1">
      <alignment horizontal="right" vertical="center" wrapText="1" readingOrder="2"/>
    </xf>
    <xf numFmtId="0" fontId="14" fillId="2" borderId="5" xfId="0" applyFont="1" applyFill="1" applyBorder="1" applyAlignment="1">
      <alignment horizontal="right" vertical="center" wrapText="1" readingOrder="2"/>
    </xf>
    <xf numFmtId="0" fontId="7" fillId="2" borderId="5" xfId="0" applyFont="1" applyFill="1" applyBorder="1" applyAlignment="1">
      <alignment horizontal="right" vertical="center" wrapText="1" readingOrder="2"/>
    </xf>
    <xf numFmtId="165" fontId="13" fillId="12" borderId="0" xfId="0" applyNumberFormat="1" applyFont="1" applyFill="1" applyAlignment="1">
      <alignment horizontal="center" vertical="center" wrapText="1" readingOrder="2"/>
    </xf>
    <xf numFmtId="165" fontId="4" fillId="12" borderId="0" xfId="0" applyNumberFormat="1" applyFont="1" applyFill="1" applyAlignment="1">
      <alignment horizontal="right" vertical="center" wrapText="1" readingOrder="2"/>
    </xf>
    <xf numFmtId="165" fontId="5" fillId="12" borderId="0" xfId="0" applyNumberFormat="1" applyFont="1" applyFill="1" applyAlignment="1">
      <alignment horizontal="right" vertical="center" wrapText="1" readingOrder="2"/>
    </xf>
    <xf numFmtId="165" fontId="7" fillId="12" borderId="0" xfId="0" applyNumberFormat="1" applyFont="1" applyFill="1" applyAlignment="1">
      <alignment horizontal="right" vertical="center" wrapText="1" readingOrder="2"/>
    </xf>
    <xf numFmtId="165" fontId="7" fillId="2" borderId="2" xfId="0" applyNumberFormat="1" applyFont="1" applyFill="1" applyBorder="1" applyAlignment="1">
      <alignment horizontal="center" vertical="center" wrapText="1" readingOrder="2"/>
    </xf>
    <xf numFmtId="165" fontId="7" fillId="2" borderId="2" xfId="0" applyNumberFormat="1" applyFont="1" applyFill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 readingOrder="2"/>
    </xf>
    <xf numFmtId="0" fontId="5" fillId="2" borderId="4" xfId="0" applyFont="1" applyFill="1" applyBorder="1" applyAlignment="1">
      <alignment horizontal="center" vertical="center" wrapText="1"/>
    </xf>
    <xf numFmtId="165" fontId="5" fillId="2" borderId="4" xfId="0" applyNumberFormat="1" applyFont="1" applyFill="1" applyBorder="1" applyAlignment="1">
      <alignment horizontal="center" vertical="center" wrapText="1"/>
    </xf>
    <xf numFmtId="165" fontId="7" fillId="2" borderId="2" xfId="1" applyNumberFormat="1" applyFont="1" applyFill="1" applyBorder="1" applyAlignment="1">
      <alignment horizontal="center" vertical="center" wrapText="1" readingOrder="2"/>
    </xf>
    <xf numFmtId="165" fontId="7" fillId="2" borderId="2" xfId="1" applyNumberFormat="1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 readingOrder="2"/>
    </xf>
    <xf numFmtId="0" fontId="13" fillId="0" borderId="9" xfId="0" applyFont="1" applyBorder="1" applyAlignment="1">
      <alignment horizontal="center" vertical="center" wrapText="1" readingOrder="2"/>
    </xf>
    <xf numFmtId="0" fontId="13" fillId="2" borderId="9" xfId="0" applyFont="1" applyFill="1" applyBorder="1" applyAlignment="1">
      <alignment horizontal="center" vertical="center" wrapText="1" readingOrder="2"/>
    </xf>
    <xf numFmtId="0" fontId="13" fillId="2" borderId="7" xfId="0" applyFont="1" applyFill="1" applyBorder="1" applyAlignment="1">
      <alignment horizontal="center" vertical="center" wrapText="1" readingOrder="2"/>
    </xf>
    <xf numFmtId="165" fontId="14" fillId="0" borderId="3" xfId="0" applyNumberFormat="1" applyFont="1" applyBorder="1" applyAlignment="1">
      <alignment horizontal="center" vertical="center" wrapText="1"/>
    </xf>
    <xf numFmtId="49" fontId="13" fillId="2" borderId="9" xfId="0" applyNumberFormat="1" applyFont="1" applyFill="1" applyBorder="1" applyAlignment="1">
      <alignment horizontal="center" vertical="center" wrapText="1" readingOrder="2"/>
    </xf>
    <xf numFmtId="165" fontId="13" fillId="12" borderId="6" xfId="0" applyNumberFormat="1" applyFont="1" applyFill="1" applyBorder="1" applyAlignment="1">
      <alignment horizontal="center" vertical="center" wrapText="1" readingOrder="2"/>
    </xf>
    <xf numFmtId="165" fontId="4" fillId="12" borderId="6" xfId="0" applyNumberFormat="1" applyFont="1" applyFill="1" applyBorder="1" applyAlignment="1">
      <alignment horizontal="right" vertical="center" wrapText="1" readingOrder="2"/>
    </xf>
    <xf numFmtId="165" fontId="5" fillId="12" borderId="6" xfId="0" applyNumberFormat="1" applyFont="1" applyFill="1" applyBorder="1" applyAlignment="1">
      <alignment horizontal="right" vertical="center" wrapText="1" readingOrder="2"/>
    </xf>
    <xf numFmtId="165" fontId="7" fillId="2" borderId="0" xfId="0" applyNumberFormat="1" applyFont="1" applyFill="1" applyAlignment="1">
      <alignment horizontal="center" vertical="center" wrapText="1" readingOrder="2"/>
    </xf>
    <xf numFmtId="165" fontId="5" fillId="2" borderId="2" xfId="0" applyNumberFormat="1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 readingOrder="2"/>
    </xf>
    <xf numFmtId="165" fontId="5" fillId="12" borderId="7" xfId="0" applyNumberFormat="1" applyFont="1" applyFill="1" applyBorder="1" applyAlignment="1">
      <alignment horizontal="right" vertical="center" wrapText="1" readingOrder="2"/>
    </xf>
    <xf numFmtId="165" fontId="5" fillId="2" borderId="4" xfId="0" applyNumberFormat="1" applyFont="1" applyFill="1" applyBorder="1" applyAlignment="1">
      <alignment horizontal="center" vertical="center" wrapText="1" readingOrder="2"/>
    </xf>
    <xf numFmtId="165" fontId="5" fillId="0" borderId="5" xfId="0" applyNumberFormat="1" applyFont="1" applyBorder="1" applyAlignment="1">
      <alignment horizontal="center" vertical="center" wrapText="1"/>
    </xf>
    <xf numFmtId="165" fontId="7" fillId="2" borderId="0" xfId="0" applyNumberFormat="1" applyFont="1" applyFill="1" applyAlignment="1">
      <alignment vertical="center" wrapText="1" readingOrder="2"/>
    </xf>
    <xf numFmtId="165" fontId="5" fillId="2" borderId="0" xfId="0" applyNumberFormat="1" applyFont="1" applyFill="1" applyAlignment="1">
      <alignment readingOrder="2"/>
    </xf>
    <xf numFmtId="165" fontId="5" fillId="2" borderId="0" xfId="0" applyNumberFormat="1" applyFont="1" applyFill="1"/>
    <xf numFmtId="165" fontId="5" fillId="0" borderId="2" xfId="0" applyNumberFormat="1" applyFont="1" applyBorder="1" applyAlignment="1">
      <alignment horizontal="center" vertical="center" wrapText="1" readingOrder="2"/>
    </xf>
    <xf numFmtId="165" fontId="0" fillId="0" borderId="0" xfId="0" applyNumberFormat="1"/>
    <xf numFmtId="165" fontId="13" fillId="16" borderId="3" xfId="0" applyNumberFormat="1" applyFont="1" applyFill="1" applyBorder="1" applyAlignment="1">
      <alignment horizontal="center" vertical="center" wrapText="1" readingOrder="2"/>
    </xf>
    <xf numFmtId="165" fontId="13" fillId="2" borderId="3" xfId="0" applyNumberFormat="1" applyFont="1" applyFill="1" applyBorder="1" applyAlignment="1">
      <alignment horizontal="center" vertical="center" wrapText="1" readingOrder="2"/>
    </xf>
    <xf numFmtId="165" fontId="5" fillId="2" borderId="2" xfId="0" applyNumberFormat="1" applyFont="1" applyFill="1" applyBorder="1" applyAlignment="1">
      <alignment horizontal="center" vertical="center" wrapText="1" readingOrder="2"/>
    </xf>
    <xf numFmtId="165" fontId="5" fillId="2" borderId="0" xfId="0" applyNumberFormat="1" applyFont="1" applyFill="1" applyAlignment="1">
      <alignment horizontal="center"/>
    </xf>
    <xf numFmtId="165" fontId="5" fillId="2" borderId="3" xfId="0" applyNumberFormat="1" applyFont="1" applyFill="1" applyBorder="1" applyAlignment="1">
      <alignment horizontal="center" vertical="center" wrapText="1" readingOrder="2"/>
    </xf>
    <xf numFmtId="10" fontId="7" fillId="0" borderId="3" xfId="1" applyNumberFormat="1" applyFont="1" applyBorder="1" applyAlignment="1">
      <alignment horizontal="center" vertical="center" wrapText="1"/>
    </xf>
    <xf numFmtId="165" fontId="13" fillId="2" borderId="10" xfId="0" applyNumberFormat="1" applyFont="1" applyFill="1" applyBorder="1" applyAlignment="1">
      <alignment horizontal="center" vertical="center" wrapText="1" readingOrder="2"/>
    </xf>
    <xf numFmtId="165" fontId="7" fillId="0" borderId="3" xfId="1" applyNumberFormat="1" applyFont="1" applyBorder="1" applyAlignment="1">
      <alignment horizontal="center" vertical="center" wrapText="1"/>
    </xf>
    <xf numFmtId="165" fontId="7" fillId="2" borderId="3" xfId="1" applyNumberFormat="1" applyFont="1" applyFill="1" applyBorder="1" applyAlignment="1">
      <alignment horizontal="center" vertical="center" wrapText="1" readingOrder="2"/>
    </xf>
    <xf numFmtId="165" fontId="7" fillId="2" borderId="3" xfId="1" applyNumberFormat="1" applyFont="1" applyFill="1" applyBorder="1" applyAlignment="1">
      <alignment horizontal="center" vertical="center" wrapText="1"/>
    </xf>
    <xf numFmtId="165" fontId="7" fillId="2" borderId="10" xfId="0" applyNumberFormat="1" applyFont="1" applyFill="1" applyBorder="1" applyAlignment="1">
      <alignment horizontal="center" vertical="center" wrapText="1"/>
    </xf>
    <xf numFmtId="165" fontId="13" fillId="16" borderId="5" xfId="0" applyNumberFormat="1" applyFont="1" applyFill="1" applyBorder="1" applyAlignment="1">
      <alignment horizontal="center" vertical="center" wrapText="1" readingOrder="2"/>
    </xf>
    <xf numFmtId="165" fontId="13" fillId="0" borderId="3" xfId="0" applyNumberFormat="1" applyFont="1" applyBorder="1" applyAlignment="1">
      <alignment horizontal="center" vertical="center" wrapText="1" readingOrder="2"/>
    </xf>
    <xf numFmtId="165" fontId="13" fillId="16" borderId="2" xfId="0" applyNumberFormat="1" applyFont="1" applyFill="1" applyBorder="1" applyAlignment="1">
      <alignment horizontal="center" vertical="center" wrapText="1" readingOrder="2"/>
    </xf>
    <xf numFmtId="165" fontId="5" fillId="0" borderId="3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right" vertical="center" wrapText="1" readingOrder="2"/>
    </xf>
    <xf numFmtId="165" fontId="7" fillId="4" borderId="0" xfId="0" applyNumberFormat="1" applyFont="1" applyFill="1" applyAlignment="1">
      <alignment horizontal="right" vertical="center" wrapText="1" readingOrder="2"/>
    </xf>
    <xf numFmtId="165" fontId="7" fillId="4" borderId="0" xfId="0" applyNumberFormat="1" applyFont="1" applyFill="1" applyAlignment="1">
      <alignment horizontal="center" vertical="center" wrapText="1" readingOrder="2"/>
    </xf>
    <xf numFmtId="165" fontId="7" fillId="14" borderId="0" xfId="0" applyNumberFormat="1" applyFont="1" applyFill="1" applyAlignment="1">
      <alignment horizontal="right" vertical="center" wrapText="1" readingOrder="2"/>
    </xf>
    <xf numFmtId="165" fontId="7" fillId="14" borderId="0" xfId="0" applyNumberFormat="1" applyFont="1" applyFill="1" applyAlignment="1">
      <alignment horizontal="center" vertical="center" wrapText="1" readingOrder="2"/>
    </xf>
    <xf numFmtId="165" fontId="7" fillId="13" borderId="0" xfId="0" applyNumberFormat="1" applyFont="1" applyFill="1" applyAlignment="1">
      <alignment horizontal="right" vertical="center" wrapText="1" readingOrder="2"/>
    </xf>
    <xf numFmtId="165" fontId="7" fillId="13" borderId="0" xfId="0" applyNumberFormat="1" applyFont="1" applyFill="1" applyAlignment="1">
      <alignment horizontal="center" vertical="center" wrapText="1" readingOrder="2"/>
    </xf>
    <xf numFmtId="0" fontId="10" fillId="4" borderId="0" xfId="0" applyFont="1" applyFill="1" applyAlignment="1">
      <alignment horizontal="center"/>
    </xf>
    <xf numFmtId="165" fontId="7" fillId="2" borderId="0" xfId="0" applyNumberFormat="1" applyFont="1" applyFill="1" applyAlignment="1">
      <alignment horizontal="center"/>
    </xf>
    <xf numFmtId="0" fontId="6" fillId="4" borderId="0" xfId="0" applyFont="1" applyFill="1" applyAlignment="1">
      <alignment horizontal="center"/>
    </xf>
    <xf numFmtId="165" fontId="6" fillId="2" borderId="0" xfId="0" applyNumberFormat="1" applyFont="1" applyFill="1" applyAlignment="1">
      <alignment horizontal="center"/>
    </xf>
    <xf numFmtId="165" fontId="6" fillId="4" borderId="0" xfId="0" applyNumberFormat="1" applyFont="1" applyFill="1" applyAlignment="1">
      <alignment horizontal="center"/>
    </xf>
    <xf numFmtId="0" fontId="5" fillId="7" borderId="0" xfId="0" applyFont="1" applyFill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165" fontId="6" fillId="14" borderId="0" xfId="0" applyNumberFormat="1" applyFont="1" applyFill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165" fontId="6" fillId="13" borderId="0" xfId="0" applyNumberFormat="1" applyFont="1" applyFill="1" applyAlignment="1">
      <alignment horizontal="center" vertical="center"/>
    </xf>
    <xf numFmtId="0" fontId="5" fillId="0" borderId="2" xfId="0" applyFont="1" applyBorder="1" applyAlignment="1">
      <alignment horizontal="right" vertical="center" wrapText="1" readingOrder="2"/>
    </xf>
    <xf numFmtId="49" fontId="5" fillId="0" borderId="3" xfId="0" applyNumberFormat="1" applyFont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 readingOrder="2"/>
    </xf>
    <xf numFmtId="49" fontId="5" fillId="0" borderId="2" xfId="0" applyNumberFormat="1" applyFont="1" applyBorder="1" applyAlignment="1">
      <alignment horizontal="center" vertical="center" wrapText="1" readingOrder="2"/>
    </xf>
    <xf numFmtId="49" fontId="5" fillId="0" borderId="2" xfId="1" applyNumberFormat="1" applyFont="1" applyFill="1" applyBorder="1" applyAlignment="1">
      <alignment horizontal="center" vertical="center" wrapText="1" readingOrder="2"/>
    </xf>
    <xf numFmtId="0" fontId="5" fillId="0" borderId="2" xfId="0" applyFont="1" applyBorder="1" applyAlignment="1">
      <alignment horizontal="center" vertical="center" wrapText="1" readingOrder="1"/>
    </xf>
    <xf numFmtId="165" fontId="7" fillId="0" borderId="2" xfId="0" applyNumberFormat="1" applyFont="1" applyBorder="1" applyAlignment="1">
      <alignment horizontal="center" vertical="center" wrapText="1"/>
    </xf>
    <xf numFmtId="165" fontId="7" fillId="0" borderId="2" xfId="1" applyNumberFormat="1" applyFont="1" applyFill="1" applyBorder="1" applyAlignment="1">
      <alignment horizontal="center" vertical="center" wrapText="1" readingOrder="2"/>
    </xf>
    <xf numFmtId="165" fontId="7" fillId="0" borderId="2" xfId="1" applyNumberFormat="1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right" vertical="center" wrapText="1" readingOrder="2"/>
    </xf>
    <xf numFmtId="0" fontId="7" fillId="0" borderId="2" xfId="0" applyFont="1" applyBorder="1" applyAlignment="1">
      <alignment horizontal="right" vertical="center" wrapText="1" readingOrder="2"/>
    </xf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11" borderId="0" xfId="0" applyFont="1" applyFill="1"/>
    <xf numFmtId="0" fontId="18" fillId="14" borderId="0" xfId="0" applyFont="1" applyFill="1" applyAlignment="1">
      <alignment vertical="center" wrapText="1"/>
    </xf>
    <xf numFmtId="0" fontId="18" fillId="14" borderId="0" xfId="0" applyFont="1" applyFill="1" applyAlignment="1">
      <alignment horizontal="center" vertical="center"/>
    </xf>
    <xf numFmtId="0" fontId="18" fillId="13" borderId="0" xfId="0" applyFont="1" applyFill="1" applyAlignment="1">
      <alignment vertical="center" wrapText="1"/>
    </xf>
    <xf numFmtId="0" fontId="18" fillId="1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5" fillId="3" borderId="0" xfId="0" applyFont="1" applyFill="1"/>
    <xf numFmtId="165" fontId="5" fillId="0" borderId="0" xfId="0" applyNumberFormat="1" applyFont="1"/>
    <xf numFmtId="0" fontId="5" fillId="13" borderId="0" xfId="0" applyFont="1" applyFill="1"/>
    <xf numFmtId="0" fontId="7" fillId="6" borderId="0" xfId="0" applyFont="1" applyFill="1" applyAlignment="1">
      <alignment horizontal="center" vertical="center" wrapText="1"/>
    </xf>
    <xf numFmtId="0" fontId="5" fillId="6" borderId="0" xfId="0" applyFont="1" applyFill="1"/>
    <xf numFmtId="0" fontId="7" fillId="8" borderId="0" xfId="0" applyFont="1" applyFill="1" applyAlignment="1">
      <alignment horizontal="center" vertical="center" wrapText="1"/>
    </xf>
    <xf numFmtId="0" fontId="5" fillId="8" borderId="0" xfId="0" applyFont="1" applyFill="1"/>
    <xf numFmtId="0" fontId="7" fillId="9" borderId="0" xfId="0" applyFont="1" applyFill="1" applyAlignment="1">
      <alignment horizontal="center" vertical="center" wrapText="1"/>
    </xf>
    <xf numFmtId="0" fontId="5" fillId="9" borderId="0" xfId="0" applyFont="1" applyFill="1"/>
    <xf numFmtId="9" fontId="5" fillId="9" borderId="0" xfId="0" applyNumberFormat="1" applyFont="1" applyFill="1"/>
    <xf numFmtId="0" fontId="7" fillId="15" borderId="0" xfId="0" applyFont="1" applyFill="1" applyAlignment="1">
      <alignment horizontal="center" vertical="center" wrapText="1"/>
    </xf>
    <xf numFmtId="0" fontId="5" fillId="15" borderId="0" xfId="0" applyFont="1" applyFill="1" applyAlignment="1">
      <alignment horizontal="center" vertical="center" wrapText="1"/>
    </xf>
    <xf numFmtId="0" fontId="13" fillId="13" borderId="0" xfId="0" applyFont="1" applyFill="1" applyAlignment="1">
      <alignment horizontal="center" vertical="center" wrapText="1" readingOrder="2"/>
    </xf>
    <xf numFmtId="0" fontId="5" fillId="2" borderId="0" xfId="0" applyFont="1" applyFill="1" applyAlignment="1">
      <alignment readingOrder="2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right" vertical="center" readingOrder="2"/>
    </xf>
    <xf numFmtId="0" fontId="5" fillId="2" borderId="0" xfId="0" applyFont="1" applyFill="1" applyAlignment="1">
      <alignment horizontal="right"/>
    </xf>
    <xf numFmtId="0" fontId="5" fillId="2" borderId="0" xfId="0" applyFont="1" applyFill="1" applyAlignment="1">
      <alignment vertical="center" readingOrder="2"/>
    </xf>
    <xf numFmtId="0" fontId="20" fillId="0" borderId="0" xfId="2" applyFont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5" fillId="11" borderId="0" xfId="0" applyFont="1" applyFill="1" applyAlignment="1">
      <alignment readingOrder="2"/>
    </xf>
    <xf numFmtId="0" fontId="5" fillId="11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right"/>
    </xf>
    <xf numFmtId="0" fontId="5" fillId="2" borderId="10" xfId="0" applyFont="1" applyFill="1" applyBorder="1" applyAlignment="1">
      <alignment horizontal="center" vertical="center" wrapText="1" readingOrder="2"/>
    </xf>
    <xf numFmtId="0" fontId="7" fillId="2" borderId="12" xfId="0" applyFont="1" applyFill="1" applyBorder="1" applyAlignment="1">
      <alignment horizontal="right" vertical="center" wrapText="1" readingOrder="2"/>
    </xf>
    <xf numFmtId="0" fontId="5" fillId="17" borderId="3" xfId="0" applyFont="1" applyFill="1" applyBorder="1" applyAlignment="1">
      <alignment horizontal="center" vertical="center" wrapText="1"/>
    </xf>
    <xf numFmtId="10" fontId="5" fillId="17" borderId="3" xfId="0" applyNumberFormat="1" applyFont="1" applyFill="1" applyBorder="1" applyAlignment="1">
      <alignment horizontal="center" vertical="center" wrapText="1"/>
    </xf>
    <xf numFmtId="165" fontId="7" fillId="0" borderId="2" xfId="0" applyNumberFormat="1" applyFont="1" applyBorder="1" applyAlignment="1">
      <alignment horizontal="center" vertical="center" wrapText="1" readingOrder="2"/>
    </xf>
    <xf numFmtId="0" fontId="17" fillId="14" borderId="0" xfId="0" applyFont="1" applyFill="1" applyAlignment="1">
      <alignment horizontal="center" vertical="center" wrapText="1"/>
    </xf>
    <xf numFmtId="0" fontId="19" fillId="13" borderId="0" xfId="0" applyFont="1" applyFill="1" applyAlignment="1">
      <alignment horizontal="center" vertical="center" wrapText="1"/>
    </xf>
    <xf numFmtId="0" fontId="16" fillId="4" borderId="0" xfId="0" applyFont="1" applyFill="1" applyAlignment="1">
      <alignment horizontal="center" vertical="center" wrapText="1"/>
    </xf>
    <xf numFmtId="0" fontId="5" fillId="2" borderId="15" xfId="0" applyFont="1" applyFill="1" applyBorder="1" applyAlignment="1">
      <alignment horizontal="right" vertical="center" wrapText="1" readingOrder="2"/>
    </xf>
    <xf numFmtId="0" fontId="14" fillId="2" borderId="15" xfId="0" applyFont="1" applyFill="1" applyBorder="1" applyAlignment="1">
      <alignment horizontal="right" vertical="center" wrapText="1" readingOrder="2"/>
    </xf>
    <xf numFmtId="0" fontId="7" fillId="2" borderId="15" xfId="0" applyFont="1" applyFill="1" applyBorder="1" applyAlignment="1">
      <alignment horizontal="right" vertical="center" wrapText="1" readingOrder="2"/>
    </xf>
    <xf numFmtId="0" fontId="13" fillId="2" borderId="1" xfId="0" applyFont="1" applyFill="1" applyBorder="1" applyAlignment="1">
      <alignment horizontal="center" vertical="center" wrapText="1" readingOrder="2"/>
    </xf>
    <xf numFmtId="0" fontId="7" fillId="2" borderId="14" xfId="0" applyFont="1" applyFill="1" applyBorder="1" applyAlignment="1">
      <alignment horizontal="right" vertical="center" wrapText="1" readingOrder="2"/>
    </xf>
    <xf numFmtId="10" fontId="5" fillId="0" borderId="5" xfId="1" applyNumberFormat="1" applyFont="1" applyFill="1" applyBorder="1" applyAlignment="1">
      <alignment horizontal="center" vertical="center" wrapText="1"/>
    </xf>
    <xf numFmtId="10" fontId="7" fillId="0" borderId="5" xfId="1" applyNumberFormat="1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right" vertical="center" wrapText="1" readingOrder="2"/>
    </xf>
    <xf numFmtId="10" fontId="7" fillId="0" borderId="5" xfId="1" applyNumberFormat="1" applyFont="1" applyBorder="1" applyAlignment="1">
      <alignment horizontal="center" vertical="center" wrapText="1"/>
    </xf>
    <xf numFmtId="10" fontId="14" fillId="0" borderId="5" xfId="0" applyNumberFormat="1" applyFont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right" vertical="center" wrapText="1" readingOrder="2"/>
    </xf>
    <xf numFmtId="10" fontId="5" fillId="0" borderId="8" xfId="0" applyNumberFormat="1" applyFont="1" applyBorder="1" applyAlignment="1">
      <alignment horizontal="center" vertical="center" wrapText="1"/>
    </xf>
    <xf numFmtId="49" fontId="5" fillId="2" borderId="8" xfId="0" applyNumberFormat="1" applyFont="1" applyFill="1" applyBorder="1" applyAlignment="1">
      <alignment horizontal="center" vertical="center" wrapText="1" readingOrder="2"/>
    </xf>
    <xf numFmtId="0" fontId="5" fillId="0" borderId="8" xfId="0" applyFont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 readingOrder="2"/>
    </xf>
    <xf numFmtId="10" fontId="7" fillId="0" borderId="5" xfId="0" applyNumberFormat="1" applyFont="1" applyBorder="1" applyAlignment="1">
      <alignment horizontal="center" vertical="center" wrapText="1" readingOrder="2"/>
    </xf>
    <xf numFmtId="165" fontId="13" fillId="12" borderId="10" xfId="0" applyNumberFormat="1" applyFont="1" applyFill="1" applyBorder="1" applyAlignment="1">
      <alignment horizontal="center" vertical="center" wrapText="1" readingOrder="2"/>
    </xf>
    <xf numFmtId="165" fontId="13" fillId="12" borderId="14" xfId="0" applyNumberFormat="1" applyFont="1" applyFill="1" applyBorder="1" applyAlignment="1">
      <alignment horizontal="center" vertical="center" wrapText="1" readingOrder="2"/>
    </xf>
    <xf numFmtId="165" fontId="4" fillId="12" borderId="0" xfId="0" applyNumberFormat="1" applyFont="1" applyFill="1" applyBorder="1" applyAlignment="1">
      <alignment horizontal="right" vertical="center" wrapText="1" readingOrder="2"/>
    </xf>
    <xf numFmtId="165" fontId="5" fillId="12" borderId="0" xfId="0" applyNumberFormat="1" applyFont="1" applyFill="1" applyBorder="1" applyAlignment="1">
      <alignment horizontal="right" vertical="center" wrapText="1" readingOrder="2"/>
    </xf>
    <xf numFmtId="165" fontId="13" fillId="12" borderId="0" xfId="0" applyNumberFormat="1" applyFont="1" applyFill="1" applyBorder="1" applyAlignment="1">
      <alignment horizontal="center" vertical="center" wrapText="1" readingOrder="2"/>
    </xf>
    <xf numFmtId="165" fontId="5" fillId="12" borderId="1" xfId="0" applyNumberFormat="1" applyFont="1" applyFill="1" applyBorder="1" applyAlignment="1">
      <alignment horizontal="right" vertical="center" wrapText="1" readingOrder="2"/>
    </xf>
    <xf numFmtId="10" fontId="5" fillId="0" borderId="13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 readingOrder="2"/>
    </xf>
    <xf numFmtId="0" fontId="21" fillId="18" borderId="0" xfId="0" applyFont="1" applyFill="1"/>
    <xf numFmtId="165" fontId="5" fillId="2" borderId="2" xfId="0" applyNumberFormat="1" applyFont="1" applyFill="1" applyBorder="1" applyAlignment="1">
      <alignment horizontal="center" vertical="center" wrapText="1" readingOrder="1"/>
    </xf>
  </cellXfs>
  <cellStyles count="5">
    <cellStyle name="Comma 2" xfId="3" xr:uid="{798A546B-9DF4-49D8-A5C6-543A90EC0982}"/>
    <cellStyle name="Comma 3" xfId="4" xr:uid="{91ACC48A-0824-4EE2-A7AD-8C40F260338E}"/>
    <cellStyle name="Normal" xfId="0" builtinId="0"/>
    <cellStyle name="Percent" xfId="1" builtinId="5"/>
    <cellStyle name="היפר-קישור" xfId="2" builtinId="8"/>
  </cellStyles>
  <dxfs count="300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305598"/>
      <color rgb="FF304A1E"/>
      <color rgb="FF0E4494"/>
      <color rgb="FFAD5B9D"/>
      <color rgb="FF5E2696"/>
      <color rgb="FFFFEBFF"/>
      <color rgb="FFFF99FF"/>
      <color rgb="FFFFF4D1"/>
      <color rgb="FF27457B"/>
      <color rgb="FF1A32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420959</xdr:colOff>
      <xdr:row>1</xdr:row>
      <xdr:rowOff>0</xdr:rowOff>
    </xdr:from>
    <xdr:ext cx="2679246" cy="806366"/>
    <xdr:pic>
      <xdr:nvPicPr>
        <xdr:cNvPr id="3" name="תמונה 2">
          <a:extLst>
            <a:ext uri="{FF2B5EF4-FFF2-40B4-BE49-F238E27FC236}">
              <a16:creationId xmlns:a16="http://schemas.microsoft.com/office/drawing/2014/main" id="{82BEA0B1-C7C8-4166-9281-90DAC60C1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10503701" y="0"/>
          <a:ext cx="2679246" cy="806366"/>
        </a:xfrm>
        <a:prstGeom prst="rect">
          <a:avLst/>
        </a:prstGeom>
        <a:solidFill>
          <a:schemeClr val="bg1"/>
        </a:solidFill>
      </xdr:spPr>
    </xdr:pic>
    <xdr:clientData/>
  </xdr:oneCellAnchor>
  <xdr:twoCellAnchor editAs="oneCell">
    <xdr:from>
      <xdr:col>9</xdr:col>
      <xdr:colOff>108007</xdr:colOff>
      <xdr:row>1</xdr:row>
      <xdr:rowOff>136071</xdr:rowOff>
    </xdr:from>
    <xdr:to>
      <xdr:col>9</xdr:col>
      <xdr:colOff>441382</xdr:colOff>
      <xdr:row>1</xdr:row>
      <xdr:rowOff>469446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141AEC-AE6B-669A-CEF6-0938951FF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2641245" y="136071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847933</xdr:colOff>
      <xdr:row>1</xdr:row>
      <xdr:rowOff>41131</xdr:rowOff>
    </xdr:from>
    <xdr:ext cx="3190299" cy="960176"/>
    <xdr:pic>
      <xdr:nvPicPr>
        <xdr:cNvPr id="6" name="תמונה 5">
          <a:extLst>
            <a:ext uri="{FF2B5EF4-FFF2-40B4-BE49-F238E27FC236}">
              <a16:creationId xmlns:a16="http://schemas.microsoft.com/office/drawing/2014/main" id="{574292A0-8C61-44BD-980B-9106D5EC7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56198161" y="41131"/>
          <a:ext cx="3190299" cy="960176"/>
        </a:xfrm>
        <a:prstGeom prst="rect">
          <a:avLst/>
        </a:prstGeom>
        <a:solidFill>
          <a:schemeClr val="bg1"/>
        </a:solidFill>
      </xdr:spPr>
    </xdr:pic>
    <xdr:clientData/>
  </xdr:oneCellAnchor>
  <xdr:oneCellAnchor>
    <xdr:from>
      <xdr:col>11</xdr:col>
      <xdr:colOff>827113</xdr:colOff>
      <xdr:row>1</xdr:row>
      <xdr:rowOff>41132</xdr:rowOff>
    </xdr:from>
    <xdr:ext cx="3190299" cy="960176"/>
    <xdr:pic>
      <xdr:nvPicPr>
        <xdr:cNvPr id="7" name="תמונה 6">
          <a:extLst>
            <a:ext uri="{FF2B5EF4-FFF2-40B4-BE49-F238E27FC236}">
              <a16:creationId xmlns:a16="http://schemas.microsoft.com/office/drawing/2014/main" id="{D807D121-A0C5-47AB-98C3-5F2B00404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47047916" y="41132"/>
          <a:ext cx="3190299" cy="960176"/>
        </a:xfrm>
        <a:prstGeom prst="rect">
          <a:avLst/>
        </a:prstGeom>
        <a:solidFill>
          <a:schemeClr val="bg1"/>
        </a:solidFill>
      </xdr:spPr>
    </xdr:pic>
    <xdr:clientData/>
  </xdr:oneCellAnchor>
  <xdr:twoCellAnchor editAs="oneCell">
    <xdr:from>
      <xdr:col>11</xdr:col>
      <xdr:colOff>69273</xdr:colOff>
      <xdr:row>1</xdr:row>
      <xdr:rowOff>588818</xdr:rowOff>
    </xdr:from>
    <xdr:to>
      <xdr:col>11</xdr:col>
      <xdr:colOff>402648</xdr:colOff>
      <xdr:row>1</xdr:row>
      <xdr:rowOff>922193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7D90BBD-61AA-AFF2-BE47-CD0F693E4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4720943" y="588818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5C4EA58-0A5C-4AE1-A385-986B7DC46B42}" name="RowTitleRegion1.b3.b15.1" displayName="RowTitleRegion1.b3.b15.1" ref="B4:B16" totalsRowShown="0" headerRowDxfId="294" dataDxfId="295" headerRowBorderDxfId="298" tableBorderDxfId="299" totalsRowBorderDxfId="297">
  <autoFilter ref="B4:B16" xr:uid="{35C4EA58-0A5C-4AE1-A385-986B7DC46B42}">
    <filterColumn colId="0" hiddenButton="1"/>
  </autoFilter>
  <tableColumns count="1">
    <tableColumn id="1" xr3:uid="{760C3448-EB7D-4D61-8E3A-2ACB95A4BFFD}" name="אפיק השקעה " dataDxfId="29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5E32BF07-62B0-456D-AC3B-49BAAF2B0496}" name="TitleRegion1.e3.i15.2" displayName="TitleRegion1.e3.i15.2" ref="E4:I16" totalsRowShown="0" headerRowDxfId="290" headerRowBorderDxfId="292" tableBorderDxfId="293">
  <autoFilter ref="E4:I16" xr:uid="{5E32BF07-62B0-456D-AC3B-49BAAF2B0496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399148D-B512-4660-BAF3-482E6569D231}" name="שיעור החשיפה ליום 31/12/2025"/>
    <tableColumn id="2" xr3:uid="{F4D294F6-6EA1-4B5B-9075-9FDC7C61046F}" name="שיעור חשיפה צפוי לשנת 2026"/>
    <tableColumn id="3" xr3:uid="{C961F916-2531-47D9-9D49-BAA879116E92}" name="טווח סטיה מותר" dataDxfId="291"/>
    <tableColumn id="4" xr3:uid="{01DD7985-7299-4D54-8658-E78BFBECEAE0}" name="גבולות שיעור החשיפה הצפויה"/>
    <tableColumn id="5" xr3:uid="{12E3C4A8-F77F-4145-BA7F-3A2281D86B15}" name="מדד ייחוס*"/>
  </tableColumns>
  <tableStyleInfo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B6B7CD03-8F0F-4C49-A73A-E5C2E697048A}" name="RowTitleRegion1.b18.b30.3" displayName="RowTitleRegion1.b18.b30.3" ref="B19:B31" totalsRowShown="0" headerRowDxfId="286" headerRowBorderDxfId="288" tableBorderDxfId="289" totalsRowBorderDxfId="287">
  <autoFilter ref="B19:B31" xr:uid="{B6B7CD03-8F0F-4C49-A73A-E5C2E697048A}">
    <filterColumn colId="0" hiddenButton="1"/>
  </autoFilter>
  <tableColumns count="1">
    <tableColumn id="1" xr3:uid="{FB0F040E-03E9-4EF5-9EA9-2CBB918D3FF6}" name="אפיק השקעה "/>
  </tableColumns>
  <tableStyleInfo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852D1335-BB59-4F0F-BF87-AB59AE097235}" name="TitleRegion1.e18.i30.4" displayName="TitleRegion1.e18.i30.4" ref="E19:I31" totalsRowShown="0" headerRowDxfId="282" headerRowBorderDxfId="284" tableBorderDxfId="285">
  <autoFilter ref="E19:I31" xr:uid="{852D1335-BB59-4F0F-BF87-AB59AE09723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31ED35EF-157B-4059-BE56-2914DF6688ED}" name="שיעור החשיפה ליום 31/12/2025"/>
    <tableColumn id="2" xr3:uid="{9D7F0EA6-CC7E-4AFE-BDFF-2F8598E59A7C}" name="שיעור חשיפה צפוי לשנת 2026"/>
    <tableColumn id="3" xr3:uid="{88FE44A1-C034-4AE0-94BA-858E0AAF4E79}" name="טווח סטיה מותר" dataDxfId="283"/>
    <tableColumn id="4" xr3:uid="{14ECDAA6-934F-48B8-BB16-04D213F162C7}" name="גבולות שיעור החשיפה הצפויה"/>
    <tableColumn id="5" xr3:uid="{8F11F2F9-33DA-4D6A-9F5B-154D2F40D5ED}" name="מדד ייחוס*"/>
  </tableColumns>
  <tableStyleInfo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EBD126F0-E0E2-432A-860C-6DF28F220A2F}" name="RowTitleRegion1.b33.b45.5" displayName="RowTitleRegion1.b33.b45.5" ref="B34:B46" totalsRowShown="0" headerRowDxfId="276" dataDxfId="277" headerRowBorderDxfId="280" tableBorderDxfId="281" totalsRowBorderDxfId="279">
  <autoFilter ref="B34:B46" xr:uid="{EBD126F0-E0E2-432A-860C-6DF28F220A2F}">
    <filterColumn colId="0" hiddenButton="1"/>
  </autoFilter>
  <tableColumns count="1">
    <tableColumn id="1" xr3:uid="{F791EEA2-FC19-4EF1-B5DF-1A9D2C622EEF}" name="אפיק השקעה " dataDxfId="278"/>
  </tableColumns>
  <tableStyleInfo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1C014152-E122-47C8-9F9F-DE2C7723446C}" name="TitleRegion1.e33.i45.6" displayName="TitleRegion1.e33.i45.6" ref="E34:I46" totalsRowShown="0" headerRowBorderDxfId="274" tableBorderDxfId="275">
  <autoFilter ref="E34:I46" xr:uid="{1C014152-E122-47C8-9F9F-DE2C7723446C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F585C52C-1104-4F28-A124-FAE6BFDAEC18}" name="שיעור החשיפה ליום 31/12/2025"/>
    <tableColumn id="2" xr3:uid="{A97AD7AC-EEA5-4D4F-BC77-4F1A8D8EC0FF}" name="שיעור חשיפה צפוי לשנת 2026"/>
    <tableColumn id="3" xr3:uid="{6F91E8C6-EB89-4A86-8175-A092F08AA737}" name="טווח סטיה מותר"/>
    <tableColumn id="4" xr3:uid="{0B97FF2D-0F44-4E86-867A-C0606FD73518}" name="גבולות שיעור החשיפה הצפויה"/>
    <tableColumn id="5" xr3:uid="{BCBF28B2-364B-46CA-96FE-F316F8D5A9F8}" name="מדד ייחוס*"/>
  </tableColumns>
  <tableStyleInfo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9ECEBE04-3520-40AA-A194-08E74B2E39BD}" name="RowTitleRegion1.b48.b60.7" displayName="RowTitleRegion1.b48.b60.7" ref="B49:B61" totalsRowShown="0" headerRowDxfId="268" dataDxfId="269" headerRowBorderDxfId="272" tableBorderDxfId="273" totalsRowBorderDxfId="271">
  <autoFilter ref="B49:B61" xr:uid="{9ECEBE04-3520-40AA-A194-08E74B2E39BD}">
    <filterColumn colId="0" hiddenButton="1"/>
  </autoFilter>
  <tableColumns count="1">
    <tableColumn id="1" xr3:uid="{3B4AF17D-2CDE-4F2C-B0D2-635DBE886FC6}" name="אפיק השקעה " dataDxfId="270"/>
  </tableColumns>
  <tableStyleInfo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7494843A-B9C0-442A-8573-D906DC8EE45F}" name="TitleRegion1.e48.i60.8" displayName="TitleRegion1.e48.i60.8" ref="E49:I61" totalsRowShown="0" headerRowDxfId="264" headerRowBorderDxfId="266" tableBorderDxfId="267">
  <autoFilter ref="E49:I61" xr:uid="{7494843A-B9C0-442A-8573-D906DC8EE45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B051F27E-E04D-48E9-A1D5-33A51CEEB7FD}" name="שיעור החשיפה ליום 31/12/2025"/>
    <tableColumn id="2" xr3:uid="{741751B0-382C-4FC8-8B6E-CD44C87859EF}" name="שיעור חשיפה צפוי לשנת 2026"/>
    <tableColumn id="3" xr3:uid="{6B5E23B1-A550-49F1-A245-D636E7220953}" name="טווח סטיה מותר" dataDxfId="265"/>
    <tableColumn id="4" xr3:uid="{03D265D5-1A36-4204-881E-827A1AE1B0A2}" name="גבולות שיעור החשיפה הצפויה"/>
    <tableColumn id="5" xr3:uid="{B1431B57-9ACA-4C5E-805B-F1DD7A23D045}" name="מדד ייחוס*"/>
  </tableColumns>
  <tableStyleInfo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F4A4BA6D-0B72-4009-A2A0-0B14E5857A46}" name="RowTitleRegion1.b63.b75.9" displayName="RowTitleRegion1.b63.b75.9" ref="B64:B76" totalsRowShown="0" headerRowDxfId="258" dataDxfId="259" headerRowBorderDxfId="262" tableBorderDxfId="263" totalsRowBorderDxfId="261">
  <autoFilter ref="B64:B76" xr:uid="{F4A4BA6D-0B72-4009-A2A0-0B14E5857A46}">
    <filterColumn colId="0" hiddenButton="1"/>
  </autoFilter>
  <tableColumns count="1">
    <tableColumn id="1" xr3:uid="{67C01145-C658-4DBA-A361-23783EA37BBD}" name="אפיק השקעה " dataDxfId="260"/>
  </tableColumns>
  <tableStyleInfo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7691EAF-B186-4077-A6CF-72F19BE13536}" name="RowTitleRegion1.e63.i75.10" displayName="RowTitleRegion1.e63.i75.10" ref="E64:I76" totalsRowShown="0" headerRowDxfId="252" headerRowBorderDxfId="256" tableBorderDxfId="257">
  <autoFilter ref="E64:I76" xr:uid="{07691EAF-B186-4077-A6CF-72F19BE13536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F9AC5F2-C353-4BBC-AE1B-46C701DC84B9}" name="שיעור החשיפה ליום 31/12/2025" dataDxfId="255"/>
    <tableColumn id="2" xr3:uid="{0317C6D4-6DF5-4AB5-B633-F82009E3211C}" name="שיעור חשיפה צפוי לשנת 2026" dataDxfId="254"/>
    <tableColumn id="3" xr3:uid="{5B650562-D5A2-463D-B5AA-86C3E3442D14}" name="טווח סטיה מותר" dataDxfId="253"/>
    <tableColumn id="4" xr3:uid="{701280F0-D60D-403A-91D6-8D3D5F45D313}" name="גבולות שיעור החשיפה הצפויה"/>
    <tableColumn id="5" xr3:uid="{CA7B384A-99FE-4291-8C8B-D1873662762E}" name="מדד ייחוס*"/>
  </tableColumns>
  <tableStyleInfo showFirstColumn="1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926B97C5-E4F0-4217-8C52-D236FCA15903}" name="TitleRegion1.b81.i92.11" displayName="TitleRegion1.b81.i92.11" ref="B82:I93" totalsRowShown="0" tableBorderDxfId="251">
  <autoFilter ref="B82:I93" xr:uid="{926B97C5-E4F0-4217-8C52-D236FCA159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5AB06E2F-463C-4B8E-9B89-0C10C9D942BE}" name="מניות (קרנות סל, אופציות, קרנות נאמנות)" dataDxfId="250"/>
    <tableColumn id="2" xr3:uid="{555E1176-BBA5-4EEC-9F58-A50B1C810053}" name="101.45%"/>
    <tableColumn id="3" xr3:uid="{05F7CADF-843F-4A8A-AE9D-558B5EC17835}" name="99.49%"/>
    <tableColumn id="4" xr3:uid="{C8E146BD-D338-4460-8789-5FC24793C88F}" name="99.31%"/>
    <tableColumn id="5" xr3:uid="{431484A6-1BC6-4A21-BFEA-5E2B6292493B}" name="99.00%"/>
    <tableColumn id="6" xr3:uid="{70064211-588A-4548-9515-C715AEF85572}" name="_x0009_6%-/+" dataDxfId="249"/>
    <tableColumn id="7" xr3:uid="{88020172-4E45-47A2-944D-9D9BB3F9787D}" name="93% - 105%"/>
    <tableColumn id="8" xr3:uid="{C8AC97FB-4A1D-48F6-802D-183E0D325FDB}" name="_x000a_36% - מדד מניות כללי_x000a_64% - מדד MSCI WORLD_x000a_"/>
  </tableColumns>
  <tableStyleInfo showFirstColumn="1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3406A8B0-8649-41C6-AC8C-67098A081747}" name="TitleRegion1.b97.i109.12" displayName="TitleRegion1.b97.i109.12" ref="B98:I110" totalsRowShown="0" headerRowDxfId="244" headerRowBorderDxfId="247" tableBorderDxfId="248">
  <autoFilter ref="B98:I110" xr:uid="{3406A8B0-8649-41C6-AC8C-67098A08174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1293736-FE0A-4468-ABC1-ED71D5158247}" name="אפיק השקעה " dataDxfId="246"/>
    <tableColumn id="2" xr3:uid="{A13AFE72-A2F9-4010-A002-F3927A087D6F}" name="תגמולים שיעור החשיפה ליום 31/12/2025 "/>
    <tableColumn id="3" xr3:uid="{68DCE031-60C6-42D6-B9BB-44E812518B53}" name="השתלמות שיעור החשיפה ליום 31/12/2025"/>
    <tableColumn id="4" xr3:uid="{2148AC96-AC5F-4E5A-A26C-CFAE08F07A0A}" name=" השקעה שיעור החשיפה ליום 31/12/2025"/>
    <tableColumn id="5" xr3:uid="{B7CD9E01-7B48-496D-AB9E-5430148A21AA}" name="שיעור חשיפה צפוי לשנת 2026"/>
    <tableColumn id="6" xr3:uid="{E8BE5D5E-2842-44F2-B9D8-8B61414E7CC8}" name="טווח סטיה מותר" dataDxfId="245"/>
    <tableColumn id="7" xr3:uid="{2F2052B1-EA95-4A81-AD93-03D8286566FC}" name="גבולות שיעור החשיפה הצפויה"/>
    <tableColumn id="8" xr3:uid="{6B7DEA3D-6931-465D-B542-59B41DD6652E}" name="מדד ייחוס*"/>
  </tableColumns>
  <tableStyleInfo showFirstColumn="1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319C789F-A38E-46A4-921E-4D8652D516C1}" name="RowTitleRegion1.b113.b125.13" displayName="RowTitleRegion1.b113.b125.13" ref="B114:B126" totalsRowShown="0" headerRowDxfId="240" headerRowBorderDxfId="242" tableBorderDxfId="243" totalsRowBorderDxfId="241">
  <autoFilter ref="B114:B126" xr:uid="{319C789F-A38E-46A4-921E-4D8652D516C1}">
    <filterColumn colId="0" hiddenButton="1"/>
  </autoFilter>
  <tableColumns count="1">
    <tableColumn id="1" xr3:uid="{27F70B64-514D-466C-A191-1577532CA9E7}" name="אפיק השקעה "/>
  </tableColumns>
  <tableStyleInfo showFirstColumn="1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713724D1-FADA-4679-9BDF-7A8AF68FB51E}" name="TitleRegion1.d113.i125.14" displayName="TitleRegion1.d113.i125.14" ref="D114:I126" totalsRowShown="0" headerRowDxfId="236" headerRowBorderDxfId="238" tableBorderDxfId="239">
  <autoFilter ref="D114:I126" xr:uid="{713724D1-FADA-4679-9BDF-7A8AF68FB51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92157289-CC7F-43B9-BB29-BCD8C8AD6615}" name="השתלמות שיעור החשיפה ליום 31/12/2025 "/>
    <tableColumn id="2" xr3:uid="{03EF9C5F-8134-4796-A402-4FC815662E40}" name=" השקעה שיעור החשיפה ליום 31/12/2025"/>
    <tableColumn id="3" xr3:uid="{51877471-1AC9-45D3-8708-6C10A0D72A87}" name="שיעור חשיפה צפוי לשנת 2026"/>
    <tableColumn id="4" xr3:uid="{46FA2632-072B-4AA1-9F6C-39EB15D9931C}" name="טווח סטיה מותר" dataDxfId="237"/>
    <tableColumn id="5" xr3:uid="{E65B7F28-A0FA-4D28-AC8C-05E17B7A0E3B}" name="גבולות שיעור החשיפה הצפויה"/>
    <tableColumn id="6" xr3:uid="{09E0F8D0-86CD-43BF-B42C-A2E9ED3380E6}" name="מדד ייחוס*"/>
  </tableColumns>
  <tableStyleInfo showFirstColumn="1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AA87337E-DE6A-4241-9B8C-6A1FCB174417}" name="TitleRegion1.b130.i137.15" displayName="TitleRegion1.b130.i137.15" ref="B131:I138" totalsRowShown="0" headerRowDxfId="232" headerRowBorderDxfId="234" tableBorderDxfId="235">
  <autoFilter ref="B131:I138" xr:uid="{AA87337E-DE6A-4241-9B8C-6A1FCB17441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5610E6F6-D4BD-407D-8B08-894B0FE6C638}" name="אפיק השקעה "/>
    <tableColumn id="2" xr3:uid="{0E88CC3E-D43F-4D70-8234-09EF799F79A5}" name="תגמולים שיעור החשיפה ליום 31/12/2025 "/>
    <tableColumn id="3" xr3:uid="{D3145107-9AF0-464D-B25E-80F3FC1C0333}" name="השתלמות שיעור החשיפה ליום 31/12/2025"/>
    <tableColumn id="4" xr3:uid="{3E618947-534A-41DC-BE4E-1109E0709358}" name=" השקעה שיעור החשיפה ליום 31/12/2025"/>
    <tableColumn id="5" xr3:uid="{DF402751-D074-41F5-A995-3FD0269571D9}" name="שיעור חשיפה צפוי לשנת 2026"/>
    <tableColumn id="6" xr3:uid="{98BF4A06-F8B3-4E3F-9423-7D9B6B7F37AC}" name="טווח סטיה מותר" dataDxfId="233"/>
    <tableColumn id="7" xr3:uid="{AFF9BA6F-72F4-47BE-B292-14846F66F972}" name="גבולות שיעור החשיפה הצפויה"/>
    <tableColumn id="8" xr3:uid="{185ECEFA-2852-48A4-9FA5-970406B9DF44}" name="מדד ייחוס*"/>
  </tableColumns>
  <tableStyleInfo showFirstColumn="1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0028EBB-3CA7-4A62-9887-E52041AA6A07}" name="TitleRegion1.b142.i149.16" displayName="TitleRegion1.b142.i149.16" ref="B143:I150" totalsRowShown="0" headerRowDxfId="228" headerRowBorderDxfId="230" tableBorderDxfId="231">
  <autoFilter ref="B143:I150" xr:uid="{90028EBB-3CA7-4A62-9887-E52041AA6A0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E3FC815B-F0E7-46DB-AE06-F33947B5B533}" name="אפיק השקעה "/>
    <tableColumn id="2" xr3:uid="{296CA91D-94E7-4B75-8E73-DD18E4473DC2}" name="תגמולים שיעור החשיפה ליום 31/12/2025 "/>
    <tableColumn id="3" xr3:uid="{8A08E59E-A743-4616-8289-B46E3015A604}" name="השתלמות שיעור החשיפה ליום 31/12/2025"/>
    <tableColumn id="4" xr3:uid="{76FFBA98-668D-4D1F-BF18-8957C020A59F}" name=" השקעה שיעור החשיפה ליום 31/12/2025"/>
    <tableColumn id="5" xr3:uid="{DB349C37-D57C-4C27-8980-11DB18227B60}" name="שיעור חשיפה צפוי לשנת 2026"/>
    <tableColumn id="6" xr3:uid="{D7F00EBA-1961-4AD3-8E62-04E85276765C}" name="טווח סטיה מותר" dataDxfId="229"/>
    <tableColumn id="7" xr3:uid="{4E8AEBCC-D12B-43EB-9879-8ECB98258639}" name="גבולות שיעור החשיפה הצפויה"/>
    <tableColumn id="8" xr3:uid="{1F9D2810-A01B-4CF5-8362-611C569EE005}" name="מדד ייחוס*"/>
  </tableColumns>
  <tableStyleInfo showFirstColumn="1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BE4B1E39-89CE-4D37-AC23-42E46B28DFE6}" name="TitleRegion1.b154.i161.17" displayName="TitleRegion1.b154.i161.17" ref="B155:I162" totalsRowShown="0" headerRowDxfId="224" headerRowBorderDxfId="226" tableBorderDxfId="227">
  <autoFilter ref="B155:I162" xr:uid="{BE4B1E39-89CE-4D37-AC23-42E46B28DFE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8870F57-30AE-4C3C-81A9-6000695B8420}" name="אפיק השקעה "/>
    <tableColumn id="2" xr3:uid="{58720D6C-FEA6-44F2-8D07-3A75A9D07E28}" name="תגמולים שיעור החשיפה ליום 31/12/2025 "/>
    <tableColumn id="3" xr3:uid="{641F548B-A6A3-4797-A92A-755DBC761D35}" name="השתלמות שיעור החשיפה ליום 31/12/2025"/>
    <tableColumn id="4" xr3:uid="{B673C04E-6C9F-4F36-B0F2-CDC6472052E1}" name=" השקעה שיעור החשיפה ליום 31/12/2025"/>
    <tableColumn id="5" xr3:uid="{92403ECC-C07B-4131-A565-B5AD4590F07D}" name="שיעור חשיפה צפוי לשנת 2026"/>
    <tableColumn id="6" xr3:uid="{E761C35B-F94A-48F3-929A-B956AA823137}" name="טווח סטיה מותר" dataDxfId="225"/>
    <tableColumn id="7" xr3:uid="{7F6734FF-C5F0-41A1-AEB6-4B815628F48A}" name="גבולות שיעור החשיפה הצפויה"/>
    <tableColumn id="8" xr3:uid="{210A2B8A-18AC-4B74-BE10-8B12E0FEE2B8}" name="מדד ייחוס*"/>
  </tableColumns>
  <tableStyleInfo showFirstColumn="1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64F1435C-5943-475C-8579-BF191B57151E}" name="TitleRegion1.b166.i173.18" displayName="TitleRegion1.b166.i173.18" ref="B167:I174" totalsRowShown="0" headerRowDxfId="220" headerRowBorderDxfId="222" tableBorderDxfId="223">
  <autoFilter ref="B167:I174" xr:uid="{64F1435C-5943-475C-8579-BF191B57151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5DB84074-5C2D-4EEA-B81B-ED8682D7A6A2}" name="אפיק השקעה "/>
    <tableColumn id="2" xr3:uid="{7D1ADDD5-BF89-4A3F-9853-887C7F51B3A9}" name="תגמולים שיעור החשיפה ליום 31/12/2025 "/>
    <tableColumn id="3" xr3:uid="{779DF531-0F62-4E09-838C-9376F51D227F}" name="השתלמות שיעור החשיפה ליום 31/12/2025"/>
    <tableColumn id="4" xr3:uid="{78BA9D1F-2A81-4E68-9A27-F5EE0FF9EA0E}" name=" השקעה שיעור החשיפה ליום 31/12/2025"/>
    <tableColumn id="5" xr3:uid="{5D5442FF-9551-4891-ADE2-1D1FC77894E6}" name="שיעור חשיפה צפוי לשנת 2026"/>
    <tableColumn id="6" xr3:uid="{2E037FBC-91EE-4062-AD6A-EB3942067A47}" name="טווח סטיה מותר" dataDxfId="221"/>
    <tableColumn id="7" xr3:uid="{851AD8FF-2778-4C95-A94A-31C94C1AD45D}" name="גבולות שיעור החשיפה הצפויה"/>
    <tableColumn id="8" xr3:uid="{81F6C8C5-1F3D-4827-B01B-54A344304501}" name="מדד ייחוס*"/>
  </tableColumns>
  <tableStyleInfo showFirstColumn="1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2837FE69-5ECF-42DE-A5CC-0F18DE6A5451}" name="RowTitleRegion1.b177.b184.19" displayName="RowTitleRegion1.b177.b184.19" ref="B178:B185" totalsRowShown="0" headerRowDxfId="216" headerRowBorderDxfId="218" tableBorderDxfId="219" totalsRowBorderDxfId="217">
  <autoFilter ref="B178:B185" xr:uid="{2837FE69-5ECF-42DE-A5CC-0F18DE6A5451}">
    <filterColumn colId="0" hiddenButton="1"/>
  </autoFilter>
  <tableColumns count="1">
    <tableColumn id="1" xr3:uid="{44F0F215-982C-43C8-B571-085E3B4F595C}" name="אפיק השקעה "/>
  </tableColumns>
  <tableStyleInfo showFirstColumn="1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68B36F47-9331-4861-BBE1-279CDD92B773}" name="TitleRegion1.d177.i184.20" displayName="TitleRegion1.d177.i184.20" ref="D178:I185" totalsRowShown="0" headerRowDxfId="212" headerRowBorderDxfId="214" tableBorderDxfId="215">
  <autoFilter ref="D178:I185" xr:uid="{68B36F47-9331-4861-BBE1-279CDD92B77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BEDC3FC-4E7E-40E8-A239-A3961032696F}" name="השתלמות שיעור החשיפה ליום 31/12/2025"/>
    <tableColumn id="2" xr3:uid="{FCB2235C-CDF4-43D2-B995-A8EACD6C713A}" name=" השקעה שיעור החשיפה ליום 31/12/2025"/>
    <tableColumn id="3" xr3:uid="{21B3C22F-693A-4459-9C06-C81A17BDCB54}" name="שיעור חשיפה צפוי לשנת 2026"/>
    <tableColumn id="4" xr3:uid="{012DAB6B-CF24-4DF3-9E09-A0B19A7C7216}" name="טווח סטיה מותר" dataDxfId="213"/>
    <tableColumn id="5" xr3:uid="{928A6335-76F4-472A-837E-4DE44AEA1550}" name="גבולות שיעור החשיפה הצפויה"/>
    <tableColumn id="6" xr3:uid="{EFCC12A7-4230-478D-A3E4-142246D08B2A}" name="מדד ייחוס*"/>
  </tableColumns>
  <tableStyleInfo showFirstColumn="1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99F07EE5-A935-489A-AF4C-C278DC35736C}" name="TitleRegion1.b189.i196.21" displayName="TitleRegion1.b189.i196.21" ref="B190:I197" totalsRowShown="0" headerRowDxfId="207" headerRowBorderDxfId="210" tableBorderDxfId="211">
  <autoFilter ref="B190:I197" xr:uid="{99F07EE5-A935-489A-AF4C-C278DC35736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0081C70-C833-410E-BC7D-0DB8353FCE71}" name="אפיק השקעה "/>
    <tableColumn id="2" xr3:uid="{3FFD11E5-3720-4D05-98A4-6E60A00B384B}" name="תגמולים שיעור החשיפה ליום 31/12/2025 "/>
    <tableColumn id="3" xr3:uid="{91766505-E56D-446C-B20B-8FE79CFA4C55}" name="השתלמות שיעור החשיפה ליום 31/12/2025"/>
    <tableColumn id="4" xr3:uid="{4F90BA11-4040-4018-AF84-2A1C76DDA996}" name=" השקעה שיעור החשיפה ליום 31/12/2025"/>
    <tableColumn id="5" xr3:uid="{17BEFFD5-46D2-4A4B-9138-C79ECADE411E}" name="שיעור חשיפה צפוי לשנת 2026"/>
    <tableColumn id="6" xr3:uid="{1551A9C5-113A-45A4-AA1C-8E71E86DF020}" name="טווח סטיה מותר" dataDxfId="209"/>
    <tableColumn id="7" xr3:uid="{04B9C4F1-E1C9-472E-AC58-E8EE0908EA42}" name="גבולות שיעור החשיפה הצפויה"/>
    <tableColumn id="8" xr3:uid="{20BCE9BE-D10F-48F5-82DB-EFEACF850C74}" name="מדד ייחוס*" dataDxfId="208"/>
  </tableColumns>
  <tableStyleInfo showFirstColumn="1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B20CD49-7FB8-466C-86AE-03DCDFA20E9C}" name="TitleRegion1.b201.i208.22" displayName="TitleRegion1.b201.i208.22" ref="B202:I209" totalsRowShown="0" headerRowDxfId="203" headerRowBorderDxfId="205" tableBorderDxfId="206">
  <autoFilter ref="B202:I209" xr:uid="{0B20CD49-7FB8-466C-86AE-03DCDFA20E9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7D149D76-E68E-462B-B41E-A70908CB3145}" name="אפיק השקעה "/>
    <tableColumn id="2" xr3:uid="{9498007A-7EBE-4D06-9F55-10ACDCFACF56}" name="תגמולים שיעור החשיפה ליום 31/12/2025 "/>
    <tableColumn id="3" xr3:uid="{9985FD00-D16E-4146-B3E3-873237E213AA}" name="השתלמות שיעור החשיפה ליום 31/12/2025"/>
    <tableColumn id="4" xr3:uid="{B43B8935-7FB8-4F69-8750-4A55109DA9FA}" name=" השקעה שיעור החשיפה ליום 31/12/2025"/>
    <tableColumn id="5" xr3:uid="{B4D1F04C-B36D-46C0-BD1F-FEE42DA949FE}" name="שיעור חשיפה צפוי לשנת 2026"/>
    <tableColumn id="6" xr3:uid="{0BB57A04-E24C-47CF-90A9-8956473BDA54}" name="טווח סטיה מותר" dataDxfId="204"/>
    <tableColumn id="7" xr3:uid="{4FA3AFAE-225B-4F72-950C-7629245672FC}" name="גבולות שיעור החשיפה הצפויה"/>
    <tableColumn id="8" xr3:uid="{87807502-EC21-4914-8B6A-F2E58CEFA3FC}" name="מדד ייחוס*"/>
  </tableColumns>
  <tableStyleInfo showFirstColumn="1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5A50686B-B813-4B02-961B-0876BEF6F687}" name="TitleRegion1.b213.i220.23" displayName="TitleRegion1.b213.i220.23" ref="B214:I221" totalsRowShown="0" headerRowDxfId="199" headerRowBorderDxfId="201" tableBorderDxfId="202">
  <autoFilter ref="B214:I221" xr:uid="{5A50686B-B813-4B02-961B-0876BEF6F68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E174396-0EDA-4A1D-86D3-2697DF049708}" name="אפיק השקעה "/>
    <tableColumn id="2" xr3:uid="{D69A77EC-1647-4F62-BC13-EFCC9085F234}" name="תגמולים שיעור החשיפה ליום 31/12/2025 "/>
    <tableColumn id="3" xr3:uid="{C8078479-6401-46F8-8E5D-A3FAEFBECC2A}" name="השתלמות שיעור החשיפה ליום 31/12/2025"/>
    <tableColumn id="4" xr3:uid="{A3955074-7FF0-4152-B103-894F7B761472}" name=" השקעה שיעור החשיפה ליום 31/12/2025"/>
    <tableColumn id="5" xr3:uid="{B68DAEFD-F827-4A0F-8EC7-14F2FBD023D6}" name="שיעור חשיפה צפוי לשנת 2026"/>
    <tableColumn id="6" xr3:uid="{4A653125-3404-4C0F-BF5B-6DBA59093E7F}" name="טווח סטיה מותר" dataDxfId="200"/>
    <tableColumn id="7" xr3:uid="{EF66B7C0-DBCF-4A5A-BF22-E68EE40A2154}" name="גבולות שיעור החשיפה הצפויה"/>
    <tableColumn id="8" xr3:uid="{73C7A36B-7FA2-4987-8202-3D13AF76F15F}" name="מדד ייחוס*"/>
  </tableColumns>
  <tableStyleInfo showFirstColumn="1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6A52F9CA-6F34-4B62-A0BA-4E64A20CDA9D}" name="RowTitleRegion1.b224.b231.24" displayName="RowTitleRegion1.b224.b231.24" ref="B225:B232" totalsRowShown="0" headerRowDxfId="195" headerRowBorderDxfId="197" tableBorderDxfId="198" totalsRowBorderDxfId="196">
  <autoFilter ref="B225:B232" xr:uid="{6A52F9CA-6F34-4B62-A0BA-4E64A20CDA9D}">
    <filterColumn colId="0" hiddenButton="1"/>
  </autoFilter>
  <tableColumns count="1">
    <tableColumn id="1" xr3:uid="{FF793A44-C377-4D98-9320-2DCB1F3D495F}" name="אפיק השקעה "/>
  </tableColumns>
  <tableStyleInfo showFirstColumn="1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3EBBD2E4-70D6-419D-937E-BE80E9142E79}" name="TitleRegion1.d224.i231.25" displayName="TitleRegion1.d224.i231.25" ref="D225:I232" totalsRowShown="0" headerRowDxfId="191" headerRowBorderDxfId="193" tableBorderDxfId="194">
  <autoFilter ref="D225:I232" xr:uid="{3EBBD2E4-70D6-419D-937E-BE80E9142E7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95FCFA77-1210-461F-ABC3-04F0EE56C034}" name="השתלמות שיעור החשיפה ליום 31/12/2025"/>
    <tableColumn id="2" xr3:uid="{11EF4B96-068C-44B9-AE70-8CBAFFF274E1}" name=" השקעה שיעור החשיפה ליום 31/12/2025"/>
    <tableColumn id="3" xr3:uid="{1D5527B3-12C1-44E5-9919-F0274E41C831}" name="שיעור חשיפה צפוי לשנת 2026"/>
    <tableColumn id="4" xr3:uid="{133FD0B9-9265-4AF4-8F50-75ACD6E57392}" name="טווח סטיה מותר" dataDxfId="192"/>
    <tableColumn id="5" xr3:uid="{51921BEA-4372-4C40-ADC2-11F1EF741C2C}" name="גבולות שיעור החשיפה הצפויה"/>
    <tableColumn id="6" xr3:uid="{BEFEB7EC-95D4-4316-8CE2-7D7F1F7B06DA}" name="מדד ייחוס*"/>
  </tableColumns>
  <tableStyleInfo showFirstColumn="1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D2AAB4FD-7CA2-4852-9037-9523A4398C06}" name="TitleRegion1.b236.i243.26" displayName="TitleRegion1.b236.i243.26" ref="B237:I244" totalsRowShown="0" headerRowDxfId="187" headerRowBorderDxfId="189" tableBorderDxfId="190">
  <autoFilter ref="B237:I244" xr:uid="{D2AAB4FD-7CA2-4852-9037-9523A4398C0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B8ECBB9-4DBD-4E29-8537-AC877B3D9D17}" name="אפיק השקעה "/>
    <tableColumn id="2" xr3:uid="{F92A6FBD-9114-4BA9-83EC-1DE90E34D2E2}" name="תגמולים שיעור החשיפה ליום 31/12/2025 "/>
    <tableColumn id="3" xr3:uid="{55BFB3D2-C3CF-4D02-9C9E-C8DC16F2BA02}" name="השתלמות שיעור החשיפה ליום 31/12/2025"/>
    <tableColumn id="4" xr3:uid="{BD450EAB-9FC1-4E2F-934E-689D1D649A5E}" name=" השקעה שיעור החשיפה ליום 31/12/2025"/>
    <tableColumn id="5" xr3:uid="{ADA31E6A-621C-4D3A-BB09-E07EFB4F171C}" name="שיעור חשיפה צפוי לשנת 2026"/>
    <tableColumn id="6" xr3:uid="{7F83DCFA-87EC-4811-B0AE-0FC9B1F8A51F}" name="טווח סטיה מותר" dataDxfId="188"/>
    <tableColumn id="7" xr3:uid="{7D217D82-6379-4E70-BCCE-D013D4ED8627}" name="גבולות שיעור החשיפה הצפויה"/>
    <tableColumn id="8" xr3:uid="{32F5DE95-7FE7-4EB8-9A5C-8CBC3CB1D7F0}" name="מדד ייחוס*"/>
  </tableColumns>
  <tableStyleInfo showFirstColumn="1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9B6CB960-6761-4204-951A-4070AD3D621E}" name="RowTitleRegion1.b246.b258.27" displayName="RowTitleRegion1.b246.b258.27" ref="B247:B259" totalsRowShown="0" headerRowDxfId="183" headerRowBorderDxfId="185" tableBorderDxfId="186" totalsRowBorderDxfId="184">
  <autoFilter ref="B247:B259" xr:uid="{9B6CB960-6761-4204-951A-4070AD3D621E}">
    <filterColumn colId="0" hiddenButton="1"/>
  </autoFilter>
  <tableColumns count="1">
    <tableColumn id="1" xr3:uid="{F2FF3FE2-2923-4ED3-9253-302E907BC2C7}" name="אפיק השקעה "/>
  </tableColumns>
  <tableStyleInfo showFirstColumn="1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893DBFAC-D7EE-48FB-A267-515920BF4F93}" name="TitleRegion1.e246.i258.28" displayName="TitleRegion1.e246.i258.28" ref="E247:I259" totalsRowShown="0" headerRowBorderDxfId="181" tableBorderDxfId="182">
  <autoFilter ref="E247:I259" xr:uid="{893DBFAC-D7EE-48FB-A267-515920BF4F93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264799DF-8138-43BF-A3C4-459E82625DDD}" name="שיעור החשיפה ליום 31/12/2025"/>
    <tableColumn id="2" xr3:uid="{260A2722-F5C7-4950-AE2F-8BA9E8780B15}" name="שיעור חשיפה צפוי לשנת 2026"/>
    <tableColumn id="3" xr3:uid="{65184CA6-E00A-4BBE-A04B-531E62940807}" name="טווח סטיה מותר" dataDxfId="180"/>
    <tableColumn id="4" xr3:uid="{3012115D-2903-42B1-BFBD-A068E9BE0182}" name="גבולות שיעור החשיפה הצפויה"/>
    <tableColumn id="5" xr3:uid="{0F2E7471-4DE5-49B4-BFA4-01D6DA7A0122}" name="מדד ייחוס*"/>
  </tableColumns>
  <tableStyleInfo showFirstColumn="1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3117BDCE-5A0A-4712-B8E7-D28A8220C951}" name="RowTitleRegion1.b261.b273.29" displayName="RowTitleRegion1.b261.b273.29" ref="B262:B274" totalsRowShown="0" headerRowDxfId="176" headerRowBorderDxfId="178" tableBorderDxfId="179" totalsRowBorderDxfId="177">
  <autoFilter ref="B262:B274" xr:uid="{3117BDCE-5A0A-4712-B8E7-D28A8220C951}">
    <filterColumn colId="0" hiddenButton="1"/>
  </autoFilter>
  <tableColumns count="1">
    <tableColumn id="1" xr3:uid="{D0D888E6-190C-461E-A539-0D71A272241D}" name="אפיק השקעה "/>
  </tableColumns>
  <tableStyleInfo showFirstColumn="1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06EA0147-A8BC-4039-9F5E-C9ED7D6878A6}" name="TitleRegion1.e262.i273.31" displayName="TitleRegion1.e262.i273.31" ref="E263:I274" totalsRowShown="0" tableBorderDxfId="175">
  <autoFilter ref="E263:I274" xr:uid="{06EA0147-A8BC-4039-9F5E-C9ED7D6878A6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195952EC-5CCD-412E-B47D-2C60A6ECF89D}" name="48.18%"/>
    <tableColumn id="2" xr3:uid="{5F5DCEC3-BF4D-4705-83C8-D410B55833A7}" name="45.00%" dataDxfId="174"/>
    <tableColumn id="3" xr3:uid="{9978CF3E-885D-4C4A-9964-DA006E70AECC}" name="6%+/-" dataDxfId="173" dataCellStyle="Percent"/>
    <tableColumn id="4" xr3:uid="{ABBC9733-436C-426C-9AC6-45658D1B255B}" name="39% - 51%"/>
    <tableColumn id="5" xr3:uid="{0372BA87-26BD-4692-84D7-10757DECD8DC}" name="36% - מדד מניות כללי_x000a_64% - מדד MSCI WORLD"/>
  </tableColumns>
  <tableStyleInfo showFirstColumn="1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C4946A7A-FAFB-4B0C-8CB2-DB79406FEF85}" name="RowTitleRegion1.b276.b288.32" displayName="RowTitleRegion1.b276.b288.32" ref="B277:B289" totalsRowShown="0" headerRowDxfId="167" dataDxfId="168" headerRowBorderDxfId="171" tableBorderDxfId="172" totalsRowBorderDxfId="170">
  <autoFilter ref="B277:B289" xr:uid="{C4946A7A-FAFB-4B0C-8CB2-DB79406FEF85}">
    <filterColumn colId="0" hiddenButton="1"/>
  </autoFilter>
  <tableColumns count="1">
    <tableColumn id="1" xr3:uid="{4CA18E98-D148-431D-8F9C-0613F26CFED3}" name="אפיק השקעה " dataDxfId="169"/>
  </tableColumns>
  <tableStyleInfo showFirstColumn="1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A9EDF196-CE14-4D9F-99A9-B34CD1AB1EC0}" name="TitleRegion1.e276.i288.33" displayName="TitleRegion1.e276.i288.33" ref="E277:I289" totalsRowShown="0" headerRowBorderDxfId="165" tableBorderDxfId="166">
  <autoFilter ref="E277:I289" xr:uid="{A9EDF196-CE14-4D9F-99A9-B34CD1AB1EC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12F799DB-0A9B-4CF6-AEF3-0276125A6F74}" name="שיעור החשיפה ליום 31/12/2025"/>
    <tableColumn id="2" xr3:uid="{1E70C7DF-7965-45C5-8A51-6E128AC6F8B0}" name="שיעור חשיפה צפוי לשנת 2026" dataDxfId="164"/>
    <tableColumn id="3" xr3:uid="{55BF25BB-B75C-4147-861D-489DA4066BB1}" name="טווח סטיה מותר" dataDxfId="163" dataCellStyle="Percent"/>
    <tableColumn id="4" xr3:uid="{CFB5A91F-8BD8-4E5C-A250-6BC2D190DE74}" name="גבולות שיעור החשיפה הצפויה"/>
    <tableColumn id="5" xr3:uid="{4EE7A5B6-C298-4DE3-BFDF-0C68E3296D1C}" name="מדד ייחוס*"/>
  </tableColumns>
  <tableStyleInfo showFirstColumn="1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02070556-4C3B-40E4-B4C8-C6929ED93A7A}" name="RowTitleRegion1.b291.b298.34" displayName="RowTitleRegion1.b291.b298.34" ref="B292:B299" totalsRowShown="0" headerRowDxfId="159" headerRowBorderDxfId="161" tableBorderDxfId="162" totalsRowBorderDxfId="160">
  <autoFilter ref="B292:B299" xr:uid="{02070556-4C3B-40E4-B4C8-C6929ED93A7A}">
    <filterColumn colId="0" hiddenButton="1"/>
  </autoFilter>
  <tableColumns count="1">
    <tableColumn id="1" xr3:uid="{C1F347B3-EDD2-4084-80B0-124E0CA6D415}" name="אפיק השקעה "/>
  </tableColumns>
  <tableStyleInfo showFirstColumn="1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363E4792-0400-44C7-BB67-5828376A1BC9}" name="TitleRegion1.e291.i298.35" displayName="TitleRegion1.e291.i298.35" ref="E292:I299" totalsRowShown="0" headerRowBorderDxfId="157" tableBorderDxfId="158">
  <autoFilter ref="E292:I299" xr:uid="{363E4792-0400-44C7-BB67-5828376A1BC9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5805A336-0C05-4F15-A9DF-4BDAEFDBE885}" name="שיעור החשיפה ליום 31/12/2025"/>
    <tableColumn id="2" xr3:uid="{1BB1A9F6-EE06-447F-B8C2-4F57BC4336F8}" name="שיעור חשיפה צפוי לשנת 2026"/>
    <tableColumn id="3" xr3:uid="{9235AC11-D769-46CA-9DD8-F1D1FEFDF36A}" name="טווח סטיה מותר" dataDxfId="156"/>
    <tableColumn id="4" xr3:uid="{B2ED70E7-BA17-4C9F-ACF8-B3FB2F001A94}" name="גבולות שיעור החשיפה הצפויה"/>
    <tableColumn id="5" xr3:uid="{01E3EBDE-2311-4AD8-B12A-E8BE94A90083}" name="מדד ייחוס*"/>
  </tableColumns>
  <tableStyleInfo showFirstColumn="1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CE9AED70-023E-4924-98E6-6219C4D2A763}" name="RowTitleRegion1.b301.b308.36" displayName="RowTitleRegion1.b301.b308.36" ref="B302:B309" totalsRowShown="0" headerRowDxfId="152" headerRowBorderDxfId="154" tableBorderDxfId="155" totalsRowBorderDxfId="153">
  <autoFilter ref="B302:B309" xr:uid="{CE9AED70-023E-4924-98E6-6219C4D2A763}">
    <filterColumn colId="0" hiddenButton="1"/>
  </autoFilter>
  <tableColumns count="1">
    <tableColumn id="1" xr3:uid="{EBCB4DAF-886F-4636-BED1-C3240A2DAE90}" name="אפיק השקעה "/>
  </tableColumns>
  <tableStyleInfo showFirstColumn="1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85B9CB8C-38EF-437A-9797-C93184E24781}" name="TitleRegion1.e301.i308.37" displayName="TitleRegion1.e301.i308.37" ref="E302:I309" totalsRowShown="0" headerRowBorderDxfId="150" tableBorderDxfId="151">
  <autoFilter ref="E302:I309" xr:uid="{85B9CB8C-38EF-437A-9797-C93184E24781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3AE5B84-503A-4946-801C-D08AF3B969B6}" name="שיעור החשיפה ליום 31/12/2025"/>
    <tableColumn id="2" xr3:uid="{03BF6A32-793E-4D65-BC7A-AB981C4B038E}" name="שיעור חשיפה צפוי לשנת 2026"/>
    <tableColumn id="3" xr3:uid="{9773694E-D0C7-4638-9C09-8F72D360F8D5}" name="טווח סטיה מותר" dataDxfId="149"/>
    <tableColumn id="4" xr3:uid="{6AD438C9-0B23-4389-8CEB-D199AE96B5CB}" name="גבולות שיעור החשיפה הצפויה"/>
    <tableColumn id="5" xr3:uid="{D25DEB3A-EE21-4CA1-B116-B62A690DEB43}" name="מדד ייחוס*"/>
  </tableColumns>
  <tableStyleInfo showFirstColumn="1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F509FB0C-1C1E-4B8D-A2E2-B93BD7C04119}" name="TitleRegion1.b4.g15.1" displayName="TitleRegion1.b4.g15.1" ref="B4:G15" totalsRowShown="0" headerRowDxfId="144" headerRowBorderDxfId="147" tableBorderDxfId="148">
  <autoFilter ref="B4:G15" xr:uid="{F509FB0C-1C1E-4B8D-A2E2-B93BD7C0411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1F3FEA4-B77F-45FA-92C4-4CB799BBEDDF}" name="אפיק השקעה " dataDxfId="146"/>
    <tableColumn id="2" xr3:uid="{C4ECC90F-1BC3-4646-B87B-70E7204CB71E}" name="שיעור החשיפה ליום 31/12/2025"/>
    <tableColumn id="3" xr3:uid="{9E57CE11-05EE-45BC-856E-6222EBC568B7}" name="שיעור חשיפה צפוי לשנת 2026"/>
    <tableColumn id="4" xr3:uid="{BAF541AB-297F-4AEE-8794-7CCA6EB8BA7D}" name="טווח סטיה מותר" dataDxfId="145"/>
    <tableColumn id="5" xr3:uid="{D6E4F6E9-7FDE-4B8F-86FE-3658C6FA75B2}" name="גבולות שיעור החשיפה הצפויה"/>
    <tableColumn id="6" xr3:uid="{2261110A-56F9-4202-9F3F-46DDF2C84BFA}" name="מדד ייחוס*"/>
  </tableColumns>
  <tableStyleInfo showFirstColumn="1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00594342-17A6-472D-AAD4-3E233E486B87}" name="TitleRegion1.i4.n15.2" displayName="TitleRegion1.i4.n15.2" ref="I4:N15" totalsRowShown="0" headerRowDxfId="139" headerRowBorderDxfId="142" tableBorderDxfId="143">
  <autoFilter ref="I4:N15" xr:uid="{00594342-17A6-472D-AAD4-3E233E486B8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72B4E5A-124F-4EFD-93B6-00B273EE00BF}" name="אפיק השקעה " dataDxfId="141"/>
    <tableColumn id="2" xr3:uid="{F07BCAB7-4EB1-4CF3-A412-A57AA003EC8E}" name="שיעור החשיפה ליום 31/12/2025"/>
    <tableColumn id="3" xr3:uid="{B3AD2BEA-428F-4C49-9A21-8CFB7BB4E7FD}" name="שיעור חשיפה צפוי לשנת 2026"/>
    <tableColumn id="4" xr3:uid="{C7FCBFEC-D8F6-4888-98BB-F0BB51F27F1F}" name="טווח סטיה מותר" dataDxfId="140"/>
    <tableColumn id="5" xr3:uid="{70CBB494-FBF7-4170-96E6-56BE3444106E}" name="גבולות שיעור החשיפה הצפויה"/>
    <tableColumn id="6" xr3:uid="{94727801-5B6A-41EF-8A5F-BA5A28AFA67C}" name="מדד ייחוס*"/>
  </tableColumns>
  <tableStyleInfo showFirstColumn="1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6963A7DE-E8EB-4F0A-8950-01220F7678EA}" name="TitleRegion1.b18.g29.3" displayName="TitleRegion1.b18.g29.3" ref="B18:G29" totalsRowShown="0" headerRowDxfId="134" headerRowBorderDxfId="137" tableBorderDxfId="138">
  <autoFilter ref="B18:G29" xr:uid="{6963A7DE-E8EB-4F0A-8950-01220F7678E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7F94CFD-C7F0-4300-A7D4-D250C1F99725}" name="אפיק השקעה " dataDxfId="136"/>
    <tableColumn id="2" xr3:uid="{183D8C37-0D23-4C8E-9AED-2B536329BBC4}" name="שיעור החשיפה ליום 31/12/2025"/>
    <tableColumn id="3" xr3:uid="{9802F5EB-E80B-4BD9-8627-662E4451A203}" name="שיעור חשיפה צפוי לשנת 2026"/>
    <tableColumn id="4" xr3:uid="{6966D9C8-A1B4-415B-BC22-BA5DDEAA9880}" name="טווח סטייה" dataDxfId="135"/>
    <tableColumn id="5" xr3:uid="{F096D9C9-87FE-46CD-9BD5-92156F724BF9}" name="גבולות שיעור החשיפה הצפויה"/>
    <tableColumn id="6" xr3:uid="{E75AD1ED-ECF5-4991-872C-412EDD14B7E4}" name="מדד ייחוס*"/>
  </tableColumns>
  <tableStyleInfo showFirstColumn="1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90C01640-93CE-410D-B184-8B8BFCEAB42A}" name="TitleRegion1.i18.n29.4" displayName="TitleRegion1.i18.n29.4" ref="I18:N29" totalsRowShown="0" headerRowDxfId="129" headerRowBorderDxfId="132" tableBorderDxfId="133">
  <autoFilter ref="I18:N29" xr:uid="{90C01640-93CE-410D-B184-8B8BFCEAB42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F4A3AB9-2A4B-410F-8647-F104F2DE7E6D}" name="אפיק השקעה " dataDxfId="131"/>
    <tableColumn id="2" xr3:uid="{1841A2A1-05E2-4385-9A6D-A59047BBAD3B}" name="שיעור החשיפה ליום 31/12/2025"/>
    <tableColumn id="3" xr3:uid="{344B96AC-2789-4868-AEF1-3EA0C771584F}" name="שיעור חשיפה צפוי לשנת 2026"/>
    <tableColumn id="4" xr3:uid="{FAB4E51D-EB07-43D4-A442-414185D3C92C}" name="טווח סטייה" dataDxfId="130"/>
    <tableColumn id="5" xr3:uid="{A5628259-5899-42F7-87CD-0D824210437C}" name="גבולות שיעור החשיפה הצפויה"/>
    <tableColumn id="6" xr3:uid="{3E29D26A-0195-4D98-A647-BF3E598CD85E}" name="מדד ייחוס*"/>
  </tableColumns>
  <tableStyleInfo showFirstColumn="1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254ECB95-5D70-431B-9589-CC11C321CABE}" name="TitleRegion1.b32.g43.5" displayName="TitleRegion1.b32.g43.5" ref="B32:G43" totalsRowShown="0" headerRowDxfId="124" headerRowBorderDxfId="127" tableBorderDxfId="128">
  <autoFilter ref="B32:G43" xr:uid="{254ECB95-5D70-431B-9589-CC11C321CAB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D02C7CDE-427F-47D6-9573-B5212B3857AB}" name="אפיק השקעה " dataDxfId="126"/>
    <tableColumn id="2" xr3:uid="{91696A6B-8E11-4B0D-AF50-DBC9E5CF1196}" name="שיעור החשיפה ליום 31/12/2025"/>
    <tableColumn id="3" xr3:uid="{FA854049-9D33-4606-BE76-062677DF4BF2}" name="שיעור חשיפה צפוי לשנת 2026"/>
    <tableColumn id="4" xr3:uid="{AA6CC767-3B38-4141-B437-9236847E4B80}" name="טווח סטייה" dataDxfId="125"/>
    <tableColumn id="5" xr3:uid="{2C725C3E-5EEF-4AEA-A4F5-0909166746FE}" name="גבולות שיעור החשיפה הצפויה"/>
    <tableColumn id="6" xr3:uid="{EDCC447E-6888-4A52-B52F-B75725699621}" name="מדד ייחוס*"/>
  </tableColumns>
  <tableStyleInfo showFirstColumn="1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4E0DB0C7-B0DC-4A8B-B5E5-B2BA49DA2E8D}" name="TitleRegion1.i32.n43.6" displayName="TitleRegion1.i32.n43.6" ref="I32:N43" totalsRowShown="0" headerRowDxfId="119" headerRowBorderDxfId="122" tableBorderDxfId="123">
  <autoFilter ref="I32:N43" xr:uid="{4E0DB0C7-B0DC-4A8B-B5E5-B2BA49DA2E8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4B26588-409C-4A4E-9462-FFD799CBC664}" name="אפיק השקעה " dataDxfId="121"/>
    <tableColumn id="2" xr3:uid="{AC49CA38-C41B-44D6-9C3D-010F65B493EF}" name="שיעור החשיפה ליום 31/12/2025"/>
    <tableColumn id="3" xr3:uid="{1A09C73C-840C-4B4C-BFB7-5F49D42451AD}" name="שיעור חשיפה צפוי לשנת 2026"/>
    <tableColumn id="4" xr3:uid="{67B771DB-0E51-48E5-B19E-3B584AEE0D55}" name="טווח סטייה" dataDxfId="120"/>
    <tableColumn id="5" xr3:uid="{DC51CE4D-0940-4DC7-9188-4428E8830D44}" name="גבולות שיעור החשיפה הצפויה"/>
    <tableColumn id="6" xr3:uid="{BD41A5D6-8DCE-408F-B7D4-A9B2A6499463}" name="מדד ייחוס*"/>
  </tableColumns>
  <tableStyleInfo showFirstColumn="1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4A5B01B8-318C-4A28-A5C9-117F6B67CC8F}" name="TitleRegion1.b46.g57.7" displayName="TitleRegion1.b46.g57.7" ref="B46:G57" totalsRowShown="0" headerRowDxfId="114" headerRowBorderDxfId="117" tableBorderDxfId="118">
  <autoFilter ref="B46:G57" xr:uid="{4A5B01B8-318C-4A28-A5C9-117F6B67CC8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D500B37-E577-47AD-97AC-87E8C8330900}" name="אפיק השקעה " dataDxfId="116"/>
    <tableColumn id="2" xr3:uid="{F840EF68-C0A8-480D-8A49-CB26D9C772AB}" name="שיעור החשיפה ליום 31/12/2025"/>
    <tableColumn id="3" xr3:uid="{60D91CD4-C441-4270-8D7B-3314586A96BC}" name="שיעור חשיפה צפוי לשנת 2026"/>
    <tableColumn id="4" xr3:uid="{EAE5E12F-4086-4D53-834D-014B93210AC8}" name="טווח סטייה" dataDxfId="115"/>
    <tableColumn id="5" xr3:uid="{86B39B8E-1683-41C6-9BD9-6AF2920AF04F}" name="גבולות שיעור החשיפה הצפויה"/>
    <tableColumn id="6" xr3:uid="{197EE642-4F21-4593-B758-80C05DF3E923}" name="מדד ייחוס*"/>
  </tableColumns>
  <tableStyleInfo showFirstColumn="1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50D83D88-E532-4F40-ADF2-1E0A16AB6553}" name="TitleRegion1.i46.n57.8" displayName="TitleRegion1.i46.n57.8" ref="I46:N57" totalsRowShown="0" headerRowDxfId="109" headerRowBorderDxfId="112" tableBorderDxfId="113">
  <autoFilter ref="I46:N57" xr:uid="{50D83D88-E532-4F40-ADF2-1E0A16AB655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D9AE70F-C5FF-4F20-B6CB-1732A7BA147F}" name="אפיק השקעה " dataDxfId="111"/>
    <tableColumn id="2" xr3:uid="{AAEDCAD0-0554-453D-8E81-A7D7BD3D16D2}" name="שיעור החשיפה ליום 31/12/2025"/>
    <tableColumn id="3" xr3:uid="{6B8C8AA6-DD5F-4489-B205-705AD8EE19B9}" name="שיעור חשיפה צפוי לשנת 2026"/>
    <tableColumn id="4" xr3:uid="{0C11E733-AD46-4814-A131-FC0787058AD5}" name="טווח סטייה" dataDxfId="110"/>
    <tableColumn id="5" xr3:uid="{5054A278-36D2-489A-A29C-2721A129E1B0}" name="גבולות שיעור החשיפה הצפויה"/>
    <tableColumn id="6" xr3:uid="{DEF9BBC2-FA8D-4AFE-B815-1C9F6022606F}" name="מדד ייחוס*"/>
  </tableColumns>
  <tableStyleInfo showFirstColumn="1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BCFAD0F8-E87D-46D1-A94C-FA97B5F659C6}" name="TitleRegion1.b60.g71.9" displayName="TitleRegion1.b60.g71.9" ref="B60:G71" totalsRowShown="0" headerRowDxfId="104" headerRowBorderDxfId="107" tableBorderDxfId="108">
  <autoFilter ref="B60:G71" xr:uid="{BCFAD0F8-E87D-46D1-A94C-FA97B5F659C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55BE190-AA41-4122-95C3-36868FFABF9A}" name="אפיק השקעה " dataDxfId="106"/>
    <tableColumn id="2" xr3:uid="{E7457E4E-C87A-466B-91FD-E01FBC4987E3}" name="שיעור החשיפה ליום 31/12/2025"/>
    <tableColumn id="3" xr3:uid="{629299D5-8261-4699-97CC-1BBA5B9F9C3B}" name="שיעור חשיפה צפוי לשנת 2026"/>
    <tableColumn id="4" xr3:uid="{0FF10096-7E1A-4E70-8764-DAB280B63747}" name="_x0009_טווח סטייה" dataDxfId="105"/>
    <tableColumn id="5" xr3:uid="{E1DCD2AA-C0C5-4815-BB6A-4CB192F83810}" name="גבולות שיעור החשיפה הצפויה"/>
    <tableColumn id="6" xr3:uid="{D42776E3-55EA-4037-86C1-9A3B04295C71}" name="מדד ייחוס*"/>
  </tableColumns>
  <tableStyleInfo showFirstColumn="1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B3A9419F-2825-48B7-B675-B7F16CC9ECA4}" name="TitleRegion1.i60.n71.10" displayName="TitleRegion1.i60.n71.10" ref="I60:N71" totalsRowShown="0" headerRowDxfId="99" headerRowBorderDxfId="102" tableBorderDxfId="103">
  <autoFilter ref="I60:N71" xr:uid="{B3A9419F-2825-48B7-B675-B7F16CC9ECA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128532E-8CD2-4010-9674-F65C38C15B46}" name="אפיק השקעה " dataDxfId="101"/>
    <tableColumn id="2" xr3:uid="{44C0A9CB-3BD3-4D15-9964-4906112586A2}" name="שיעור החשיפה ליום 31/12/2025"/>
    <tableColumn id="3" xr3:uid="{DC9CD72C-AC2C-48BD-A941-74CA1DDE90E9}" name="שיעור חשיפה צפוי לשנת 2026"/>
    <tableColumn id="4" xr3:uid="{0116B76D-9BC8-43A9-A542-6C4CDDB83D09}" name="_x0009_טווח סטייה" dataDxfId="100"/>
    <tableColumn id="5" xr3:uid="{792A3F2F-AAFF-4990-8CF6-617E08D05CCF}" name="גבולות שיעור החשיפה הצפויה"/>
    <tableColumn id="6" xr3:uid="{C7066CCC-4734-4EF9-9B1A-D343D7FC0E7E}" name="מדד ייחוס*"/>
  </tableColumns>
  <tableStyleInfo showFirstColumn="1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2C60AAE-C671-4803-96C7-78BF03F55862}" name="TitleRegion1.b74.g85.11" displayName="TitleRegion1.b74.g85.11" ref="B74:G85" totalsRowShown="0" headerRowDxfId="94" headerRowBorderDxfId="97" tableBorderDxfId="98">
  <autoFilter ref="B74:G85" xr:uid="{02C60AAE-C671-4803-96C7-78BF03F5586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0FDA26F-28E7-4A65-BC4F-6D48F2CE4A86}" name="אפיק השקעה " dataDxfId="96"/>
    <tableColumn id="2" xr3:uid="{BD30AAB0-7349-4BE7-AC6F-AEB41FC9E375}" name="שיעור החשיפה ליום 31/12/2025"/>
    <tableColumn id="3" xr3:uid="{D7D25B93-62BE-408F-A3F9-DCF5CAB03AA8}" name="שיעור חשיפה צפוי לשנת 2026"/>
    <tableColumn id="4" xr3:uid="{FCE4E440-31FB-4843-BBF5-15E08D58DD73}" name="_x0009_טווח סטייה" dataDxfId="95"/>
    <tableColumn id="5" xr3:uid="{8DD81A35-B42E-44D4-B8DF-9DAE59FBAB28}" name="גבולות שיעור החשיפה הצפויה"/>
    <tableColumn id="6" xr3:uid="{DC19C06B-FF38-48B3-BBCB-F08FF02A0F75}" name="מדד ייחוס*"/>
  </tableColumns>
  <tableStyleInfo showFirstColumn="1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85FA863E-6750-4321-80DC-F4E0CEEE6738}" name="TitleRegion1.i74.n85.12" displayName="TitleRegion1.i74.n85.12" ref="I74:N85" totalsRowShown="0" headerRowDxfId="89" headerRowBorderDxfId="92" tableBorderDxfId="93">
  <autoFilter ref="I74:N85" xr:uid="{85FA863E-6750-4321-80DC-F4E0CEEE673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F1BBA07-3F1F-4AEB-91DC-4ABDC99CAB13}" name="אפיק השקעה " dataDxfId="91"/>
    <tableColumn id="2" xr3:uid="{ED58B366-E7ED-461A-A5C6-694CF694DE98}" name="שיעור החשיפה ליום 31/12/2025"/>
    <tableColumn id="3" xr3:uid="{D43FD639-7729-4806-A219-FA3108E62998}" name="שיעור חשיפה צפוי לשנת 2026"/>
    <tableColumn id="4" xr3:uid="{E53B7424-A86D-43CE-BE05-73F221EA9C52}" name="_x0009_טווח סטייה" dataDxfId="90"/>
    <tableColumn id="5" xr3:uid="{F8CF84E6-08FC-48F5-B686-B1F51AA30D84}" name="גבולות שיעור החשיפה הצפויה"/>
    <tableColumn id="6" xr3:uid="{A0C5DE20-3C01-41CB-9069-73042DB27529}" name="מדד ייחוס*"/>
  </tableColumns>
  <tableStyleInfo showFirstColumn="1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0A8709D3-B18D-4180-A8B2-100658536573}" name="TitleRegion1.b88.g96.13" displayName="TitleRegion1.b88.g96.13" ref="B88:G96" totalsRowShown="0" headerRowDxfId="85" headerRowBorderDxfId="87" tableBorderDxfId="88">
  <autoFilter ref="B88:G96" xr:uid="{0A8709D3-B18D-4180-A8B2-10065853657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B0D6BA0-3C6C-4DF0-AEA0-B64047086DC0}" name="אפיק השקעה "/>
    <tableColumn id="2" xr3:uid="{284DB01C-3CD0-4F06-B649-BFF04378B9CC}" name="שיעור החשיפה ליום 31/12/2025"/>
    <tableColumn id="3" xr3:uid="{BF12A16A-A233-4312-BE53-77EE264B2D2B}" name="שיעור חשיפה צפוי לשנת 2026"/>
    <tableColumn id="4" xr3:uid="{96AA6675-323B-416B-8EDD-3B862D24C1CA}" name="_x0009_טווח סטייה" dataDxfId="86"/>
    <tableColumn id="5" xr3:uid="{80A94EF1-746A-4DE2-B697-6D470A92C4DA}" name="גבולות שיעור החשיפה הצפויה"/>
    <tableColumn id="6" xr3:uid="{B72FECCE-AF3F-4999-9EBE-20389949F496}" name="מדד ייחוס*"/>
  </tableColumns>
  <tableStyleInfo showFirstColumn="1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27AA1B73-7B5E-4B90-B4B4-D6ED60D139E3}" name="TitleRegion1.i88.n96.14" displayName="TitleRegion1.i88.n96.14" ref="I88:N96" totalsRowShown="0" headerRowDxfId="80" headerRowBorderDxfId="83" tableBorderDxfId="84">
  <autoFilter ref="I88:N96" xr:uid="{27AA1B73-7B5E-4B90-B4B4-D6ED60D139E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B022DF1-2A14-41F7-A273-81BCECE6549E}" name="אפיק השקעה " dataDxfId="82"/>
    <tableColumn id="2" xr3:uid="{A22889EA-3B1C-4DC9-BE8A-1A9F23F463C8}" name="שיעור החשיפה ליום 31/12/2025"/>
    <tableColumn id="3" xr3:uid="{79F0DEFD-DABE-42EB-B12D-BBD7C1E556A2}" name="שיעור חשיפה צפוי לשנת 2026"/>
    <tableColumn id="4" xr3:uid="{76D793EB-D2C7-445A-9D9B-4A9392EF7CDB}" name="_x0009_טווח סטייה" dataDxfId="81"/>
    <tableColumn id="5" xr3:uid="{0BE037FC-FF1A-45A1-B8C8-B0C7DDA59190}" name="גבולות שיעור החשיפה הצפויה"/>
    <tableColumn id="6" xr3:uid="{AC9C8F27-E74A-465F-A611-A0A8FAA9D92A}" name="מדד ייחוס*"/>
  </tableColumns>
  <tableStyleInfo showFirstColumn="1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3C1ACC42-5E6F-4D6F-8446-0D77C1D2691D}" name="TitleRegion1.b99.g107.15" displayName="TitleRegion1.b99.g107.15" ref="B99:G107" totalsRowShown="0" headerRowDxfId="76" headerRowBorderDxfId="78" tableBorderDxfId="79">
  <autoFilter ref="B99:G107" xr:uid="{3C1ACC42-5E6F-4D6F-8446-0D77C1D2691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E13E13F-63A0-4EFD-BACC-8B0F9F185970}" name="אפיק השקעה "/>
    <tableColumn id="2" xr3:uid="{F8690C60-AEA1-4F28-AF4B-F37E6A21E288}" name="שיעור החשיפה ליום 31/12/2025"/>
    <tableColumn id="3" xr3:uid="{CCD39790-A8D5-464E-B522-FB5FD0AF9DCC}" name="שיעור חשיפה צפוי לשנת 2026"/>
    <tableColumn id="4" xr3:uid="{6F0CA6AB-0F05-40E9-A0BC-2A629A1597C2}" name="_x0009_טווח סטייה" dataDxfId="77"/>
    <tableColumn id="5" xr3:uid="{894E5379-142F-43E5-A567-4C73B56032D5}" name="גבולות שיעור החשיפה הצפויה"/>
    <tableColumn id="6" xr3:uid="{9100632E-7924-474E-9B2D-9336C38A04A8}" name="מדד ייחוס*"/>
  </tableColumns>
  <tableStyleInfo showFirstColumn="1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96182C58-91F1-4375-80EA-F0FE46C0F493}" name="TitleRegion1.i99.n107.16" displayName="TitleRegion1.i99.n107.16" ref="I99:N107" totalsRowShown="0" headerRowDxfId="71" headerRowBorderDxfId="74" tableBorderDxfId="75">
  <autoFilter ref="I99:N107" xr:uid="{96182C58-91F1-4375-80EA-F0FE46C0F49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9F4FC49-0ED8-4338-AC0D-95F66530C207}" name="אפיק השקעה " dataDxfId="73"/>
    <tableColumn id="2" xr3:uid="{A670A31F-58D6-46CC-BB6E-7AB07AEC5C02}" name="שיעור החשיפה ליום 31/12/2025"/>
    <tableColumn id="3" xr3:uid="{031ED5DE-6682-4AEC-808B-D975DE3ED29B}" name="שיעור חשיפה צפוי לשנת 2026"/>
    <tableColumn id="4" xr3:uid="{76C0FD89-F49B-4F41-A61B-044782BDA349}" name="_x0009_טווח סטייה" dataDxfId="72"/>
    <tableColumn id="5" xr3:uid="{523E1404-31D8-4E57-9B89-D0E74D285501}" name="גבולות שיעור החשיפה הצפויה"/>
    <tableColumn id="6" xr3:uid="{9753336F-D91C-4012-B57A-D9677E6D1EAA}" name="מדד ייחוס*"/>
  </tableColumns>
  <tableStyleInfo showFirstColumn="1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42DB7565-0610-4C6F-BD04-722A569BDA8C}" name="TitleRegion1.b110.g118.17" displayName="TitleRegion1.b110.g118.17" ref="B110:G118" totalsRowShown="0" headerRowDxfId="67" headerRowBorderDxfId="69" tableBorderDxfId="70">
  <autoFilter ref="B110:G118" xr:uid="{42DB7565-0610-4C6F-BD04-722A569BDA8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39B8522-6841-42D1-A01C-845F72EA42F2}" name="אפיק השקעה "/>
    <tableColumn id="2" xr3:uid="{A8719F41-CA81-4929-BE6B-4E4E75C47BE9}" name="שיעור החשיפה ליום 31/12/2025"/>
    <tableColumn id="3" xr3:uid="{531FA20B-E597-40C9-9E54-97F07CD80C76}" name="שיעור חשיפה צפוי לשנת 2026"/>
    <tableColumn id="4" xr3:uid="{0902D98C-C515-4945-B6F2-A33182DA71AF}" name="_x0009_טווח סטייה" dataDxfId="68"/>
    <tableColumn id="5" xr3:uid="{883D8AA0-8469-4E12-A846-CD12BD080C92}" name="גבולות שיעור החשיפה הצפויה"/>
    <tableColumn id="6" xr3:uid="{DF1EBEAF-DF62-48BF-951C-3292FAEE9137}" name="מדד ייחוס*"/>
  </tableColumns>
  <tableStyleInfo showFirstColumn="1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AB6DB302-E0B9-4F0D-9FC1-31C08D8E7CEC}" name="TitleRegion1.i110.n118.18" displayName="TitleRegion1.i110.n118.18" ref="I110:N118" totalsRowShown="0" headerRowDxfId="62" headerRowBorderDxfId="65" tableBorderDxfId="66">
  <autoFilter ref="I110:N118" xr:uid="{AB6DB302-E0B9-4F0D-9FC1-31C08D8E7CE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26D216F-936E-47E4-97D1-10415C7DA1B9}" name="אפיק השקעה " dataDxfId="64"/>
    <tableColumn id="2" xr3:uid="{0415CBD4-EE45-4AA1-869B-A78EE4F4514F}" name="שיעור החשיפה ליום 31/12/2025"/>
    <tableColumn id="3" xr3:uid="{C4B27547-2492-4EBB-B564-B0A604F8A83B}" name="שיעור חשיפה צפוי לשנת 2026"/>
    <tableColumn id="4" xr3:uid="{CEA4DE12-65F1-494D-B380-1F61D37786B1}" name="_x0009_טווח סטייה" dataDxfId="63"/>
    <tableColumn id="5" xr3:uid="{DF5AAD58-1234-44EA-9B88-395BD75C2F98}" name="גבולות שיעור החשיפה הצפויה"/>
    <tableColumn id="6" xr3:uid="{4BC9CB84-1FEF-482B-98F6-7D5FE4BB8368}" name="מדד ייחוס*"/>
  </tableColumns>
  <tableStyleInfo showFirstColumn="1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9E675655-3637-4486-87FF-260F912F2459}" name="TitleRegion1.b121.g129.19" displayName="TitleRegion1.b121.g129.19" ref="B121:G129" totalsRowShown="0" headerRowDxfId="57" headerRowBorderDxfId="60" tableBorderDxfId="61">
  <autoFilter ref="B121:G129" xr:uid="{9E675655-3637-4486-87FF-260F912F245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9F52F82C-6CB4-48AF-A4C7-D10A46FD4C35}" name="אפיק השקעה "/>
    <tableColumn id="2" xr3:uid="{E53454DF-C597-4FDB-9B40-A0894F0D33B5}" name="שיעור החשיפה ליום 31/12/2025"/>
    <tableColumn id="3" xr3:uid="{86EA4302-B304-44E0-B924-454B86115A6D}" name="שיעור חשיפה צפוי לשנת 2026"/>
    <tableColumn id="4" xr3:uid="{5FFDE49A-0D9E-423B-AA40-750FB9F713A9}" name="_x0009_טווח סטייה" dataDxfId="59"/>
    <tableColumn id="5" xr3:uid="{8D47021B-B6F7-4FE6-9DC7-3291462B997A}" name="גבולות שיעור החשיפה הצפויה"/>
    <tableColumn id="6" xr3:uid="{57E76737-DB0B-4017-A25B-98698919C9C9}" name="מדד ייחוס*" dataDxfId="58"/>
  </tableColumns>
  <tableStyleInfo showFirstColumn="1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B3B6A647-6769-4675-8475-0896EC403011}" name="TitleRegion1.i121.n129.20" displayName="TitleRegion1.i121.n129.20" ref="I121:N129" totalsRowShown="0" headerRowDxfId="51" headerRowBorderDxfId="55" tableBorderDxfId="56">
  <autoFilter ref="I121:N129" xr:uid="{B3B6A647-6769-4675-8475-0896EC40301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D904AC3-B667-4785-8645-1ABDC047B759}" name="אפיק השקעה " dataDxfId="54"/>
    <tableColumn id="2" xr3:uid="{97D153F1-B846-4B23-B4EF-50236B2D9AE3}" name="שיעור החשיפה ליום 31/12/2025"/>
    <tableColumn id="3" xr3:uid="{199C6DB7-C776-4545-9E9F-2CC9FFF3358A}" name="שיעור חשיפה צפוי לשנת 2026"/>
    <tableColumn id="4" xr3:uid="{BC959162-7963-4764-8311-4F6DF0F391F7}" name="_x0009_טווח סטייה" dataDxfId="53"/>
    <tableColumn id="5" xr3:uid="{F102A5BE-E923-4746-9DB5-A3260DFC8262}" name="גבולות שיעור החשיפה הצפויה"/>
    <tableColumn id="6" xr3:uid="{FA853699-9B96-41D4-9967-2F5BA9AA14C8}" name="מדד ייחוס*" dataDxfId="52"/>
  </tableColumns>
  <tableStyleInfo showFirstColumn="1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2E216E34-E40E-4F22-820E-CBC6F03FB0E6}" name="TitleRegion1.b132.g140.21" displayName="TitleRegion1.b132.g140.21" ref="B132:G140" totalsRowShown="0" headerRowDxfId="47" headerRowBorderDxfId="49" tableBorderDxfId="50">
  <autoFilter ref="B132:G140" xr:uid="{2E216E34-E40E-4F22-820E-CBC6F03FB0E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6DF738D-A4B3-4FA0-A156-C58D64525098}" name="אפיק השקעה "/>
    <tableColumn id="2" xr3:uid="{2C79D9EA-EA00-4B84-A9C9-9629CA664784}" name="שיעור החשיפה ליום 31/12/2025"/>
    <tableColumn id="3" xr3:uid="{AE07CB3C-9346-40E6-9631-4FFD73E55A50}" name="שיעור חשיפה צפוי לשנת 2026"/>
    <tableColumn id="4" xr3:uid="{2B3F7370-723B-4C6F-ADB2-0DA3D95A2481}" name="_x0009_טווח סטייה" dataDxfId="48"/>
    <tableColumn id="5" xr3:uid="{50B507C4-F55C-4EBC-8367-3143BFF8A8C4}" name="גבולות שיעור החשיפה הצפויה"/>
    <tableColumn id="6" xr3:uid="{DCE23ECB-0F5F-434C-82D9-60ED0EE80E3A}" name="מדד ייחוס*"/>
  </tableColumns>
  <tableStyleInfo showFirstColumn="1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55394A41-82D5-472A-991C-7EA3457B29A1}" name="TitleRegion1.i132.n140.22" displayName="TitleRegion1.i132.n140.22" ref="I132:N140" totalsRowShown="0" headerRowDxfId="42" headerRowBorderDxfId="45" tableBorderDxfId="46">
  <autoFilter ref="I132:N140" xr:uid="{55394A41-82D5-472A-991C-7EA3457B29A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B52EF19-C723-44B7-BA6E-6FDA133A19F6}" name="אפיק השקעה " dataDxfId="44"/>
    <tableColumn id="2" xr3:uid="{6A119424-8B75-4996-9589-FC2656063B63}" name="שיעור החשיפה ליום 31/12/2025"/>
    <tableColumn id="3" xr3:uid="{DF99F2DB-9A6F-4FA7-98F0-31BC461C42CB}" name="שיעור חשיפה צפוי לשנת 2026"/>
    <tableColumn id="4" xr3:uid="{71CECD84-57C5-4E52-9E58-BA946BF843DB}" name="_x0009_טווח סטייה" dataDxfId="43"/>
    <tableColumn id="5" xr3:uid="{466E6DD3-0F35-4004-99D1-C8EFAC9D61A0}" name="גבולות שיעור החשיפה הצפויה"/>
    <tableColumn id="6" xr3:uid="{3A0C6D33-6B49-4349-AD77-448F80598D56}" name="מדד ייחוס*"/>
  </tableColumns>
  <tableStyleInfo showFirstColumn="1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0B1D6743-16ED-4716-91AE-BCA2DABC28E0}" name="TitleRegion1.b143.g151.23" displayName="TitleRegion1.b143.g151.23" ref="B143:G151" totalsRowShown="0" headerRowDxfId="38" headerRowBorderDxfId="40" tableBorderDxfId="41">
  <autoFilter ref="B143:G151" xr:uid="{0B1D6743-16ED-4716-91AE-BCA2DABC28E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909CFF9-A62A-4BDF-9796-99A11DCC1027}" name="אפיק השקעה "/>
    <tableColumn id="2" xr3:uid="{11A197FD-1B76-4879-A43E-03C5E3E6934C}" name="שיעור החשיפה ליום 31/12/2025"/>
    <tableColumn id="3" xr3:uid="{D0C5A1FE-C2D2-4A91-9781-039020EEAAB9}" name="שיעור חשיפה צפוי לשנת 2026"/>
    <tableColumn id="4" xr3:uid="{48925095-00C4-4510-AEC4-9934B17D99A2}" name="_x0009_טווח סטייה" dataDxfId="39"/>
    <tableColumn id="5" xr3:uid="{50AE7894-771D-4A2F-8E72-622D52423F25}" name="גבולות שיעור החשיפה הצפויה"/>
    <tableColumn id="6" xr3:uid="{3D2D1533-A2E3-4A49-A706-89E90E45E27A}" name="מדד ייחוס*"/>
  </tableColumns>
  <tableStyleInfo showFirstColumn="1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15A82E4F-DEC1-44B5-819A-AB6E663D0EB1}" name="TitleRegion1.i143.n151.24" displayName="TitleRegion1.i143.n151.24" ref="I143:N151" totalsRowShown="0" headerRowDxfId="35" headerRowBorderDxfId="36" tableBorderDxfId="37">
  <autoFilter ref="I143:N151" xr:uid="{15A82E4F-DEC1-44B5-819A-AB6E663D0EB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12E624B-0792-4E0D-98A8-CD26AE005081}" name="אפיק השקעה "/>
    <tableColumn id="2" xr3:uid="{BB1D3683-2086-4283-8446-295347AE3157}" name="שיעור החשיפה ליום 31/12/2025"/>
    <tableColumn id="3" xr3:uid="{9FE27361-648C-404E-9C6A-43B41D08D256}" name="שיעור חשיפה צפוי לשנת 2026"/>
    <tableColumn id="4" xr3:uid="{67B40DE4-A7E6-4E5D-98DE-E640063BD6CE}" name="_x0009_טווח סטייה"/>
    <tableColumn id="5" xr3:uid="{08D35AFA-B822-4046-AA08-A11536E87D49}" name="גבולות שיעור החשיפה הצפויה"/>
    <tableColumn id="6" xr3:uid="{51E78711-350B-4B39-8A81-B8E2E19C3EB6}" name="מדד ייחוס*"/>
  </tableColumns>
  <tableStyleInfo showFirstColumn="1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BE3531CB-F2AE-407D-BAB0-ECC41B44F9D9}" name="TitleRegion1.b154.g162.25" displayName="TitleRegion1.b154.g162.25" ref="B154:G162" totalsRowShown="0" headerRowDxfId="31" headerRowBorderDxfId="33" tableBorderDxfId="34">
  <autoFilter ref="B154:G162" xr:uid="{BE3531CB-F2AE-407D-BAB0-ECC41B44F9D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C7459CF-77D7-4F53-9A62-ABCB6028E093}" name="אפיק השקעה "/>
    <tableColumn id="2" xr3:uid="{9CB5FAE5-B2C2-4021-872B-3243FABB997E}" name="שיעור החשיפה ליום 31/12/2025"/>
    <tableColumn id="3" xr3:uid="{1FBE22E0-037D-4C13-B3FB-F5CE08235F70}" name="שיעור חשיפה צפוי לשנת 2026"/>
    <tableColumn id="4" xr3:uid="{836C99D2-7777-4613-8929-E917AAFD663B}" name="_x0009_טווח סטייה" dataDxfId="32"/>
    <tableColumn id="5" xr3:uid="{A0D2A320-63EA-430B-82F3-C23173118196}" name="גבולות שיעור החשיפה הצפויה"/>
    <tableColumn id="6" xr3:uid="{36D7DFC9-0AD8-45D8-A8E4-3BB682E1B963}" name="מדד ייחוס*"/>
  </tableColumns>
  <tableStyleInfo showFirstColumn="1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C8CFAE72-8EF2-424C-B5DB-504DC6D76615}" name="TitleRegion1.i154.n162.26" displayName="TitleRegion1.i154.n162.26" ref="I154:N162" totalsRowShown="0" headerRowDxfId="26" headerRowBorderDxfId="29" tableBorderDxfId="30">
  <autoFilter ref="I154:N162" xr:uid="{C8CFAE72-8EF2-424C-B5DB-504DC6D7661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AC15CF3-63FF-4D4B-8E34-C55BD8C5AB3F}" name="אפיק השקעה " dataDxfId="28"/>
    <tableColumn id="2" xr3:uid="{D1A8E857-3E6A-4C36-80DC-D21186F7100B}" name="שיעור החשיפה ליום 31/12/2025"/>
    <tableColumn id="3" xr3:uid="{337CB3AE-4E19-4A99-93AC-EE24476CFEA2}" name="שיעור חשיפה צפוי לשנת 2026"/>
    <tableColumn id="4" xr3:uid="{5F8071EC-51C7-4255-8D67-AE22F083E99F}" name="_x0009_טווח סטייה" dataDxfId="27"/>
    <tableColumn id="5" xr3:uid="{C379CDAE-6D0E-4544-BF84-597D1AADDD4E}" name="גבולות שיעור החשיפה הצפויה"/>
    <tableColumn id="6" xr3:uid="{1051F447-CAD2-4DE3-A11F-B8F4D5E9F72C}" name="מדד ייחוס*"/>
  </tableColumns>
  <tableStyleInfo showFirstColumn="1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41EE92B2-5527-46CE-BAF5-3E4E6F62D01E}" name="TitleRegion1.b165.g176.27" displayName="TitleRegion1.b165.g176.27" ref="B165:G176" totalsRowShown="0" headerRowDxfId="18" headerRowBorderDxfId="24" tableBorderDxfId="25" totalsRowBorderDxfId="23">
  <autoFilter ref="B165:G176" xr:uid="{41EE92B2-5527-46CE-BAF5-3E4E6F62D01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90D89FB-EF54-4CA8-A890-3C6461D0FA43}" name="אפיק השקעה " dataDxfId="22"/>
    <tableColumn id="2" xr3:uid="{6241B5C2-F7FF-4814-88FF-A7B8ABE7F4F9}" name="שיעור החשיפה ליום 31/12/2025" dataDxfId="21"/>
    <tableColumn id="3" xr3:uid="{EF848D55-62CD-4FE0-AF09-553290AF3F23}" name="שיעור חשיפה צפוי לשנת 2026" dataDxfId="20"/>
    <tableColumn id="4" xr3:uid="{DD194BDF-12E5-44DD-806F-978B5F1F504B}" name="טווח סטיה מותר" dataDxfId="19"/>
    <tableColumn id="5" xr3:uid="{BD675C9E-A921-4F86-9776-CF1C903C0BF4}" name="גבולות שיעור החשיפה הצפויה"/>
    <tableColumn id="6" xr3:uid="{0EED70C7-6BDB-4FFB-BC8D-A523C10E5C65}" name="מדד ייחוס*"/>
  </tableColumns>
  <tableStyleInfo showFirstColumn="1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19854E9A-2802-4CA0-B6E2-BA0843A0BB59}" name="TitleRegion1.i165.n176.28" displayName="TitleRegion1.i165.n176.28" ref="I165:N176" totalsRowShown="0" headerRowDxfId="10" headerRowBorderDxfId="16" tableBorderDxfId="17" totalsRowBorderDxfId="15">
  <autoFilter ref="I165:N176" xr:uid="{19854E9A-2802-4CA0-B6E2-BA0843A0BB5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DA04D89F-FC88-47AB-9908-0F496B8EC5CD}" name="אפיק השקעה " dataDxfId="14"/>
    <tableColumn id="2" xr3:uid="{BF507D88-1F1E-4550-9240-DFAA0C9BE26F}" name="שיעור החשיפה ליום 31/12/2025" dataDxfId="13"/>
    <tableColumn id="3" xr3:uid="{251B5930-E80A-4B26-BB02-5D26B8A06AF7}" name="שיעור חשיפה צפוי לשנת 2026" dataDxfId="12"/>
    <tableColumn id="4" xr3:uid="{0A3EEBAC-6921-4046-8267-AA34FDD76E5F}" name="טווח סטיה מותר" dataDxfId="11"/>
    <tableColumn id="5" xr3:uid="{C6A95D3C-B0E4-4A98-851F-C8BAAA680937}" name="גבולות שיעור החשיפה הצפויה"/>
    <tableColumn id="6" xr3:uid="{26336082-563C-4A7A-AF79-94F4FB51BF1C}" name="מדד ייחוס*"/>
  </tableColumns>
  <tableStyleInfo showFirstColumn="1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944366DD-78E3-4AB6-902B-E08EAE60FE15}" name="TitleRegion1.b179.g187.29" displayName="TitleRegion1.b179.g187.29" ref="B179:G187" totalsRowShown="0" headerRowDxfId="6" headerRowBorderDxfId="8" tableBorderDxfId="9">
  <autoFilter ref="B179:G187" xr:uid="{944366DD-78E3-4AB6-902B-E08EAE60FE1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2778C19-64A4-4681-A091-EB7B43166B9A}" name="אפיק השקעה "/>
    <tableColumn id="2" xr3:uid="{A67231A2-E799-4A62-B769-AEEDF95F801F}" name="שיעור החשיפה ליום 31/12/2025"/>
    <tableColumn id="3" xr3:uid="{A56677D4-E333-4368-B733-574662CA0A9E}" name="שיעור חשיפה צפוי לשנת 2026"/>
    <tableColumn id="4" xr3:uid="{3C9E1522-13D6-4D3D-8776-9BDB35578257}" name="טווח סטיה מותר" dataDxfId="7"/>
    <tableColumn id="5" xr3:uid="{E527C449-9F47-41FF-919A-8B7DD1D36472}" name="גבולות שיעור החשיפה הצפויה"/>
    <tableColumn id="6" xr3:uid="{1A0FFE69-5848-442A-9505-F859ACD2652C}" name="מדד ייחוס*"/>
  </tableColumns>
  <tableStyleInfo showFirstColumn="1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E9CC883D-E141-4F35-8159-69FAE9BD726A}" name="TitleRegion1.i179.n187.30" displayName="TitleRegion1.i179.n187.30" ref="I179:N187" totalsRowShown="0" headerRowDxfId="0" headerRowBorderDxfId="4" tableBorderDxfId="5">
  <autoFilter ref="I179:N187" xr:uid="{E9CC883D-E141-4F35-8159-69FAE9BD726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C2C9481-823A-49E1-A17F-5986E0E8E28F}" name="אפיק השקעה " dataDxfId="3"/>
    <tableColumn id="2" xr3:uid="{3AE76F57-47C3-4B88-9DB8-38C4B2727F9E}" name="שיעור החשיפה ליום 31/12/2025" dataDxfId="2"/>
    <tableColumn id="3" xr3:uid="{7C9978CE-AA89-41B8-A18C-8E5E63ACEB1C}" name="שיעור חשיפה צפוי לשנת 2026"/>
    <tableColumn id="4" xr3:uid="{14B158A1-6608-4AFD-BA5E-8F0A289CA1BA}" name="טווח סטיה מותר" dataDxfId="1"/>
    <tableColumn id="5" xr3:uid="{946E2477-459A-41CF-A23A-6A5714294DD5}" name="גבולות שיעור החשיפה הצפויה"/>
    <tableColumn id="6" xr3:uid="{3B7EF844-C141-43F6-97F7-52B4D73DA640}" name="מדד ייחוס*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0.xml"/><Relationship Id="rId18" Type="http://schemas.openxmlformats.org/officeDocument/2006/relationships/table" Target="../tables/table15.xml"/><Relationship Id="rId26" Type="http://schemas.openxmlformats.org/officeDocument/2006/relationships/table" Target="../tables/table23.xml"/><Relationship Id="rId39" Type="http://schemas.openxmlformats.org/officeDocument/2006/relationships/table" Target="../tables/table36.xml"/><Relationship Id="rId21" Type="http://schemas.openxmlformats.org/officeDocument/2006/relationships/table" Target="../tables/table18.xml"/><Relationship Id="rId34" Type="http://schemas.openxmlformats.org/officeDocument/2006/relationships/table" Target="../tables/table31.x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17" Type="http://schemas.openxmlformats.org/officeDocument/2006/relationships/table" Target="../tables/table14.xml"/><Relationship Id="rId25" Type="http://schemas.openxmlformats.org/officeDocument/2006/relationships/table" Target="../tables/table22.xml"/><Relationship Id="rId33" Type="http://schemas.openxmlformats.org/officeDocument/2006/relationships/table" Target="../tables/table30.xml"/><Relationship Id="rId38" Type="http://schemas.openxmlformats.org/officeDocument/2006/relationships/table" Target="../tables/table35.xml"/><Relationship Id="rId2" Type="http://schemas.openxmlformats.org/officeDocument/2006/relationships/printerSettings" Target="../printerSettings/printerSettings1.bin"/><Relationship Id="rId16" Type="http://schemas.openxmlformats.org/officeDocument/2006/relationships/table" Target="../tables/table13.xml"/><Relationship Id="rId20" Type="http://schemas.openxmlformats.org/officeDocument/2006/relationships/table" Target="../tables/table17.xml"/><Relationship Id="rId29" Type="http://schemas.openxmlformats.org/officeDocument/2006/relationships/table" Target="../tables/table26.xml"/><Relationship Id="rId1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24" Type="http://schemas.openxmlformats.org/officeDocument/2006/relationships/table" Target="../tables/table21.xml"/><Relationship Id="rId32" Type="http://schemas.openxmlformats.org/officeDocument/2006/relationships/table" Target="../tables/table29.xml"/><Relationship Id="rId37" Type="http://schemas.openxmlformats.org/officeDocument/2006/relationships/table" Target="../tables/table34.xml"/><Relationship Id="rId5" Type="http://schemas.openxmlformats.org/officeDocument/2006/relationships/table" Target="../tables/table2.xml"/><Relationship Id="rId15" Type="http://schemas.openxmlformats.org/officeDocument/2006/relationships/table" Target="../tables/table12.xml"/><Relationship Id="rId23" Type="http://schemas.openxmlformats.org/officeDocument/2006/relationships/table" Target="../tables/table20.xml"/><Relationship Id="rId28" Type="http://schemas.openxmlformats.org/officeDocument/2006/relationships/table" Target="../tables/table25.xml"/><Relationship Id="rId36" Type="http://schemas.openxmlformats.org/officeDocument/2006/relationships/table" Target="../tables/table33.xml"/><Relationship Id="rId10" Type="http://schemas.openxmlformats.org/officeDocument/2006/relationships/table" Target="../tables/table7.xml"/><Relationship Id="rId19" Type="http://schemas.openxmlformats.org/officeDocument/2006/relationships/table" Target="../tables/table16.xml"/><Relationship Id="rId31" Type="http://schemas.openxmlformats.org/officeDocument/2006/relationships/table" Target="../tables/table28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Relationship Id="rId22" Type="http://schemas.openxmlformats.org/officeDocument/2006/relationships/table" Target="../tables/table19.xml"/><Relationship Id="rId27" Type="http://schemas.openxmlformats.org/officeDocument/2006/relationships/table" Target="../tables/table24.xml"/><Relationship Id="rId30" Type="http://schemas.openxmlformats.org/officeDocument/2006/relationships/table" Target="../tables/table27.xml"/><Relationship Id="rId35" Type="http://schemas.openxmlformats.org/officeDocument/2006/relationships/table" Target="../tables/table32.xml"/><Relationship Id="rId8" Type="http://schemas.openxmlformats.org/officeDocument/2006/relationships/table" Target="../tables/table5.xml"/><Relationship Id="rId3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45.xml"/><Relationship Id="rId18" Type="http://schemas.openxmlformats.org/officeDocument/2006/relationships/table" Target="../tables/table50.xml"/><Relationship Id="rId26" Type="http://schemas.openxmlformats.org/officeDocument/2006/relationships/table" Target="../tables/table58.xml"/><Relationship Id="rId3" Type="http://schemas.openxmlformats.org/officeDocument/2006/relationships/printerSettings" Target="../printerSettings/printerSettings2.bin"/><Relationship Id="rId21" Type="http://schemas.openxmlformats.org/officeDocument/2006/relationships/table" Target="../tables/table53.xml"/><Relationship Id="rId34" Type="http://schemas.openxmlformats.org/officeDocument/2006/relationships/table" Target="../tables/table66.xml"/><Relationship Id="rId7" Type="http://schemas.openxmlformats.org/officeDocument/2006/relationships/table" Target="../tables/table39.xml"/><Relationship Id="rId12" Type="http://schemas.openxmlformats.org/officeDocument/2006/relationships/table" Target="../tables/table44.xml"/><Relationship Id="rId17" Type="http://schemas.openxmlformats.org/officeDocument/2006/relationships/table" Target="../tables/table49.xml"/><Relationship Id="rId25" Type="http://schemas.openxmlformats.org/officeDocument/2006/relationships/table" Target="../tables/table57.xml"/><Relationship Id="rId33" Type="http://schemas.openxmlformats.org/officeDocument/2006/relationships/table" Target="../tables/table65.xml"/><Relationship Id="rId2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16" Type="http://schemas.openxmlformats.org/officeDocument/2006/relationships/table" Target="../tables/table48.xml"/><Relationship Id="rId20" Type="http://schemas.openxmlformats.org/officeDocument/2006/relationships/table" Target="../tables/table52.xml"/><Relationship Id="rId29" Type="http://schemas.openxmlformats.org/officeDocument/2006/relationships/table" Target="../tables/table61.xml"/><Relationship Id="rId1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6" Type="http://schemas.openxmlformats.org/officeDocument/2006/relationships/table" Target="../tables/table38.xml"/><Relationship Id="rId11" Type="http://schemas.openxmlformats.org/officeDocument/2006/relationships/table" Target="../tables/table43.xml"/><Relationship Id="rId24" Type="http://schemas.openxmlformats.org/officeDocument/2006/relationships/table" Target="../tables/table56.xml"/><Relationship Id="rId32" Type="http://schemas.openxmlformats.org/officeDocument/2006/relationships/table" Target="../tables/table64.xml"/><Relationship Id="rId5" Type="http://schemas.openxmlformats.org/officeDocument/2006/relationships/table" Target="../tables/table37.xml"/><Relationship Id="rId15" Type="http://schemas.openxmlformats.org/officeDocument/2006/relationships/table" Target="../tables/table47.xml"/><Relationship Id="rId23" Type="http://schemas.openxmlformats.org/officeDocument/2006/relationships/table" Target="../tables/table55.xml"/><Relationship Id="rId28" Type="http://schemas.openxmlformats.org/officeDocument/2006/relationships/table" Target="../tables/table60.xml"/><Relationship Id="rId10" Type="http://schemas.openxmlformats.org/officeDocument/2006/relationships/table" Target="../tables/table42.xml"/><Relationship Id="rId19" Type="http://schemas.openxmlformats.org/officeDocument/2006/relationships/table" Target="../tables/table51.xml"/><Relationship Id="rId31" Type="http://schemas.openxmlformats.org/officeDocument/2006/relationships/table" Target="../tables/table63.xml"/><Relationship Id="rId4" Type="http://schemas.openxmlformats.org/officeDocument/2006/relationships/drawing" Target="../drawings/drawing2.xml"/><Relationship Id="rId9" Type="http://schemas.openxmlformats.org/officeDocument/2006/relationships/table" Target="../tables/table41.xml"/><Relationship Id="rId14" Type="http://schemas.openxmlformats.org/officeDocument/2006/relationships/table" Target="../tables/table46.xml"/><Relationship Id="rId22" Type="http://schemas.openxmlformats.org/officeDocument/2006/relationships/table" Target="../tables/table54.xml"/><Relationship Id="rId27" Type="http://schemas.openxmlformats.org/officeDocument/2006/relationships/table" Target="../tables/table59.xml"/><Relationship Id="rId30" Type="http://schemas.openxmlformats.org/officeDocument/2006/relationships/table" Target="../tables/table62.xml"/><Relationship Id="rId8" Type="http://schemas.openxmlformats.org/officeDocument/2006/relationships/table" Target="../tables/table4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6ACDA-7915-4348-97BF-B3221B9E8115}">
  <sheetPr>
    <tabColor rgb="FF305598"/>
  </sheetPr>
  <dimension ref="A1:AZ10001"/>
  <sheetViews>
    <sheetView rightToLeft="1" topLeftCell="B276" zoomScale="62" zoomScaleNormal="62" workbookViewId="0">
      <selection activeCell="E302" sqref="E302:I308"/>
    </sheetView>
  </sheetViews>
  <sheetFormatPr defaultColWidth="9" defaultRowHeight="14.25"/>
  <cols>
    <col min="1" max="1" width="17.625" style="96" customWidth="1"/>
    <col min="2" max="2" width="32.625" style="98" customWidth="1"/>
    <col min="3" max="3" width="38.875" style="98" customWidth="1"/>
    <col min="4" max="4" width="40.25" style="98" customWidth="1"/>
    <col min="5" max="5" width="38.375" style="96" customWidth="1"/>
    <col min="6" max="6" width="28.125" style="96" customWidth="1"/>
    <col min="7" max="7" width="16.875" style="99" customWidth="1"/>
    <col min="8" max="8" width="29" style="96" customWidth="1"/>
    <col min="9" max="9" width="24.125" style="100" customWidth="1"/>
    <col min="10" max="16384" width="9" style="96"/>
  </cols>
  <sheetData>
    <row r="1" spans="1:9">
      <c r="A1" s="248" t="s">
        <v>251</v>
      </c>
    </row>
    <row r="2" spans="1:9" ht="62.85" customHeight="1">
      <c r="A2" s="223" t="s">
        <v>229</v>
      </c>
      <c r="B2" s="223"/>
      <c r="C2" s="223"/>
      <c r="D2" s="223"/>
      <c r="E2" s="223"/>
      <c r="F2" s="223"/>
      <c r="G2" s="91"/>
      <c r="H2" s="15"/>
      <c r="I2" s="163"/>
    </row>
    <row r="3" spans="1:9" ht="23.25">
      <c r="A3" s="23" t="s">
        <v>37</v>
      </c>
      <c r="B3" s="33" t="s">
        <v>33</v>
      </c>
      <c r="C3" s="37"/>
      <c r="D3" s="37"/>
      <c r="E3" s="34"/>
      <c r="F3" s="35"/>
      <c r="G3" s="92"/>
      <c r="H3" s="34"/>
      <c r="I3" s="40"/>
    </row>
    <row r="4" spans="1:9" ht="15.75">
      <c r="A4" s="24"/>
      <c r="B4" s="227" t="s">
        <v>0</v>
      </c>
      <c r="C4" s="109" t="s">
        <v>188</v>
      </c>
      <c r="D4" s="109" t="s">
        <v>189</v>
      </c>
      <c r="E4" s="132" t="s">
        <v>223</v>
      </c>
      <c r="F4" s="122" t="s">
        <v>199</v>
      </c>
      <c r="G4" s="123" t="s">
        <v>30</v>
      </c>
      <c r="H4" s="123" t="s">
        <v>20</v>
      </c>
      <c r="I4" s="123" t="s">
        <v>35</v>
      </c>
    </row>
    <row r="5" spans="1:9" ht="57">
      <c r="A5" s="26"/>
      <c r="B5" s="224" t="s">
        <v>139</v>
      </c>
      <c r="C5" s="110" t="s">
        <v>188</v>
      </c>
      <c r="D5" s="110" t="s">
        <v>188</v>
      </c>
      <c r="E5" s="65">
        <v>0.50090000000000001</v>
      </c>
      <c r="F5" s="5">
        <v>0.49</v>
      </c>
      <c r="G5" s="175" t="s">
        <v>4</v>
      </c>
      <c r="H5" s="7" t="s">
        <v>244</v>
      </c>
      <c r="I5" s="176" t="s">
        <v>221</v>
      </c>
    </row>
    <row r="6" spans="1:9">
      <c r="A6" s="25"/>
      <c r="B6" s="224" t="s">
        <v>2</v>
      </c>
      <c r="C6" s="111" t="s">
        <v>188</v>
      </c>
      <c r="D6" s="111" t="s">
        <v>188</v>
      </c>
      <c r="E6" s="65">
        <v>0.2044</v>
      </c>
      <c r="F6" s="3">
        <v>0.22</v>
      </c>
      <c r="G6" s="177" t="s">
        <v>3</v>
      </c>
      <c r="H6" s="4" t="s">
        <v>203</v>
      </c>
      <c r="I6" s="105" t="s">
        <v>14</v>
      </c>
    </row>
    <row r="7" spans="1:9">
      <c r="A7" s="26"/>
      <c r="B7" s="225" t="s">
        <v>138</v>
      </c>
      <c r="C7" s="110" t="s">
        <v>188</v>
      </c>
      <c r="D7" s="110" t="s">
        <v>188</v>
      </c>
      <c r="E7" s="65">
        <v>0.20710000000000001</v>
      </c>
      <c r="F7" s="3">
        <v>0.22</v>
      </c>
      <c r="G7" s="177" t="s">
        <v>4</v>
      </c>
      <c r="H7" s="4" t="s">
        <v>53</v>
      </c>
      <c r="I7" s="105" t="s">
        <v>15</v>
      </c>
    </row>
    <row r="8" spans="1:9" ht="28.5">
      <c r="A8" s="26"/>
      <c r="B8" s="224" t="s">
        <v>9</v>
      </c>
      <c r="C8" s="111" t="s">
        <v>188</v>
      </c>
      <c r="D8" s="111" t="s">
        <v>188</v>
      </c>
      <c r="E8" s="65">
        <v>9.9900000000000003E-2</v>
      </c>
      <c r="F8" s="3">
        <v>0.1</v>
      </c>
      <c r="G8" s="178" t="s">
        <v>3</v>
      </c>
      <c r="H8" s="4" t="s">
        <v>49</v>
      </c>
      <c r="I8" s="105" t="s">
        <v>16</v>
      </c>
    </row>
    <row r="9" spans="1:9">
      <c r="A9" s="26"/>
      <c r="B9" s="224" t="s">
        <v>10</v>
      </c>
      <c r="C9" s="111" t="s">
        <v>188</v>
      </c>
      <c r="D9" s="111" t="s">
        <v>188</v>
      </c>
      <c r="E9" s="65">
        <v>3.2800000000000003E-2</v>
      </c>
      <c r="F9" s="3">
        <v>7.0000000000000007E-2</v>
      </c>
      <c r="G9" s="178" t="s">
        <v>3</v>
      </c>
      <c r="H9" s="4" t="s">
        <v>50</v>
      </c>
      <c r="I9" s="105" t="s">
        <v>17</v>
      </c>
    </row>
    <row r="10" spans="1:9">
      <c r="A10" s="26"/>
      <c r="B10" s="224" t="s">
        <v>11</v>
      </c>
      <c r="C10" s="111" t="s">
        <v>188</v>
      </c>
      <c r="D10" s="111" t="s">
        <v>188</v>
      </c>
      <c r="E10" s="65">
        <v>7.0699999999999999E-2</v>
      </c>
      <c r="F10" s="3">
        <v>0.05</v>
      </c>
      <c r="G10" s="178" t="s">
        <v>3</v>
      </c>
      <c r="H10" s="4" t="s">
        <v>51</v>
      </c>
      <c r="I10" s="105" t="s">
        <v>18</v>
      </c>
    </row>
    <row r="11" spans="1:9">
      <c r="A11" s="26"/>
      <c r="B11" s="224" t="s">
        <v>21</v>
      </c>
      <c r="C11" s="111" t="s">
        <v>188</v>
      </c>
      <c r="D11" s="111" t="s">
        <v>188</v>
      </c>
      <c r="E11" s="65">
        <v>0</v>
      </c>
      <c r="F11" s="3">
        <v>0.05</v>
      </c>
      <c r="G11" s="178" t="s">
        <v>3</v>
      </c>
      <c r="H11" s="4" t="s">
        <v>51</v>
      </c>
      <c r="I11" s="105" t="s">
        <v>18</v>
      </c>
    </row>
    <row r="12" spans="1:9">
      <c r="A12" s="26"/>
      <c r="B12" s="224" t="s">
        <v>12</v>
      </c>
      <c r="C12" s="111" t="s">
        <v>188</v>
      </c>
      <c r="D12" s="111" t="s">
        <v>188</v>
      </c>
      <c r="E12" s="229">
        <v>0.17960000000000001</v>
      </c>
      <c r="F12" s="3">
        <v>0.15</v>
      </c>
      <c r="G12" s="177" t="s">
        <v>3</v>
      </c>
      <c r="H12" s="4" t="s">
        <v>52</v>
      </c>
      <c r="I12" s="4" t="s">
        <v>18</v>
      </c>
    </row>
    <row r="13" spans="1:9">
      <c r="A13" s="26"/>
      <c r="B13" s="224" t="s">
        <v>13</v>
      </c>
      <c r="C13" s="111" t="s">
        <v>188</v>
      </c>
      <c r="D13" s="111" t="s">
        <v>188</v>
      </c>
      <c r="E13" s="65">
        <v>2.12E-2</v>
      </c>
      <c r="F13" s="3">
        <v>0.05</v>
      </c>
      <c r="G13" s="177" t="s">
        <v>3</v>
      </c>
      <c r="H13" s="179" t="s">
        <v>51</v>
      </c>
      <c r="I13" s="115" t="s">
        <v>188</v>
      </c>
    </row>
    <row r="14" spans="1:9" ht="15">
      <c r="A14" s="26"/>
      <c r="B14" s="226" t="s">
        <v>5</v>
      </c>
      <c r="C14" s="112" t="s">
        <v>188</v>
      </c>
      <c r="D14" s="112" t="s">
        <v>188</v>
      </c>
      <c r="E14" s="230">
        <f>SUM(E5:E13)</f>
        <v>1.3166000000000002</v>
      </c>
      <c r="F14" s="101">
        <f>SUM(F5:F13)</f>
        <v>1.4000000000000001</v>
      </c>
      <c r="G14" s="220" t="s">
        <v>188</v>
      </c>
      <c r="H14" s="180" t="s">
        <v>188</v>
      </c>
      <c r="I14" s="180" t="s">
        <v>188</v>
      </c>
    </row>
    <row r="15" spans="1:9">
      <c r="A15" s="26"/>
      <c r="B15" s="224" t="s">
        <v>6</v>
      </c>
      <c r="C15" s="111" t="s">
        <v>188</v>
      </c>
      <c r="D15" s="111" t="s">
        <v>188</v>
      </c>
      <c r="E15" s="66">
        <v>0.1918</v>
      </c>
      <c r="F15" s="11">
        <v>0.18</v>
      </c>
      <c r="G15" s="177" t="s">
        <v>4</v>
      </c>
      <c r="H15" s="4" t="s">
        <v>205</v>
      </c>
      <c r="I15" s="105" t="s">
        <v>19</v>
      </c>
    </row>
    <row r="16" spans="1:9" ht="15">
      <c r="A16" s="26"/>
      <c r="B16" s="228" t="s">
        <v>228</v>
      </c>
      <c r="C16" s="112" t="s">
        <v>188</v>
      </c>
      <c r="D16" s="112" t="s">
        <v>188</v>
      </c>
      <c r="E16" s="67">
        <v>2.5999999999999999E-3</v>
      </c>
      <c r="F16" s="140" t="s">
        <v>188</v>
      </c>
      <c r="G16" s="130" t="s">
        <v>188</v>
      </c>
      <c r="H16" s="130" t="s">
        <v>188</v>
      </c>
      <c r="I16" s="164" t="s">
        <v>188</v>
      </c>
    </row>
    <row r="17" spans="1:9" ht="15">
      <c r="A17" s="19"/>
      <c r="B17" s="16"/>
      <c r="C17" s="16"/>
      <c r="D17" s="16"/>
      <c r="E17" s="18"/>
      <c r="F17" s="17"/>
      <c r="G17" s="90"/>
      <c r="H17" s="18"/>
      <c r="I17" s="165"/>
    </row>
    <row r="18" spans="1:9" ht="23.25">
      <c r="A18" s="23" t="s">
        <v>37</v>
      </c>
      <c r="B18" s="33" t="s">
        <v>34</v>
      </c>
      <c r="C18" s="33"/>
      <c r="D18" s="33"/>
      <c r="E18" s="34"/>
      <c r="F18" s="35"/>
      <c r="G18" s="92"/>
      <c r="H18" s="34"/>
      <c r="I18" s="40"/>
    </row>
    <row r="19" spans="1:9" ht="15.75">
      <c r="A19" s="24"/>
      <c r="B19" s="227" t="s">
        <v>0</v>
      </c>
      <c r="C19" s="109" t="s">
        <v>188</v>
      </c>
      <c r="D19" s="109" t="s">
        <v>189</v>
      </c>
      <c r="E19" s="132" t="s">
        <v>223</v>
      </c>
      <c r="F19" s="122" t="s">
        <v>199</v>
      </c>
      <c r="G19" s="123" t="s">
        <v>30</v>
      </c>
      <c r="H19" s="123" t="s">
        <v>20</v>
      </c>
      <c r="I19" s="123" t="s">
        <v>35</v>
      </c>
    </row>
    <row r="20" spans="1:9" ht="57">
      <c r="A20" s="26"/>
      <c r="B20" s="224" t="s">
        <v>139</v>
      </c>
      <c r="C20" s="111" t="s">
        <v>188</v>
      </c>
      <c r="D20" s="111" t="s">
        <v>189</v>
      </c>
      <c r="E20" s="64" t="s">
        <v>232</v>
      </c>
      <c r="F20" s="5">
        <v>0.48</v>
      </c>
      <c r="G20" s="175" t="s">
        <v>4</v>
      </c>
      <c r="H20" s="7" t="s">
        <v>245</v>
      </c>
      <c r="I20" s="6" t="s">
        <v>221</v>
      </c>
    </row>
    <row r="21" spans="1:9">
      <c r="A21" s="25"/>
      <c r="B21" s="224" t="s">
        <v>2</v>
      </c>
      <c r="C21" s="111" t="s">
        <v>188</v>
      </c>
      <c r="D21" s="111" t="s">
        <v>188</v>
      </c>
      <c r="E21" s="65">
        <v>0.24310000000000001</v>
      </c>
      <c r="F21" s="3">
        <v>0.24</v>
      </c>
      <c r="G21" s="177" t="s">
        <v>3</v>
      </c>
      <c r="H21" s="4" t="s">
        <v>46</v>
      </c>
      <c r="I21" s="1" t="s">
        <v>14</v>
      </c>
    </row>
    <row r="22" spans="1:9">
      <c r="A22" s="26"/>
      <c r="B22" s="225" t="s">
        <v>138</v>
      </c>
      <c r="C22" s="111" t="s">
        <v>188</v>
      </c>
      <c r="D22" s="111" t="s">
        <v>188</v>
      </c>
      <c r="E22" s="65">
        <v>0.2155</v>
      </c>
      <c r="F22" s="3">
        <v>0.22</v>
      </c>
      <c r="G22" s="177" t="s">
        <v>4</v>
      </c>
      <c r="H22" s="4" t="s">
        <v>53</v>
      </c>
      <c r="I22" s="1" t="s">
        <v>15</v>
      </c>
    </row>
    <row r="23" spans="1:9" ht="28.5">
      <c r="A23" s="26"/>
      <c r="B23" s="224" t="s">
        <v>9</v>
      </c>
      <c r="C23" s="111" t="s">
        <v>188</v>
      </c>
      <c r="D23" s="111" t="s">
        <v>188</v>
      </c>
      <c r="E23" s="65">
        <v>6.2600000000000003E-2</v>
      </c>
      <c r="F23" s="3">
        <v>0.06</v>
      </c>
      <c r="G23" s="178" t="s">
        <v>3</v>
      </c>
      <c r="H23" s="4" t="s">
        <v>173</v>
      </c>
      <c r="I23" s="1" t="s">
        <v>16</v>
      </c>
    </row>
    <row r="24" spans="1:9">
      <c r="A24" s="26"/>
      <c r="B24" s="231" t="s">
        <v>10</v>
      </c>
      <c r="C24" s="111" t="s">
        <v>188</v>
      </c>
      <c r="D24" s="111" t="s">
        <v>188</v>
      </c>
      <c r="E24" s="65">
        <v>3.4000000000000002E-2</v>
      </c>
      <c r="F24" s="3">
        <v>7.0000000000000007E-2</v>
      </c>
      <c r="G24" s="178" t="s">
        <v>3</v>
      </c>
      <c r="H24" s="4" t="s">
        <v>50</v>
      </c>
      <c r="I24" s="1" t="s">
        <v>17</v>
      </c>
    </row>
    <row r="25" spans="1:9">
      <c r="A25" s="26"/>
      <c r="B25" s="224" t="s">
        <v>11</v>
      </c>
      <c r="C25" s="111" t="s">
        <v>188</v>
      </c>
      <c r="D25" s="111" t="s">
        <v>188</v>
      </c>
      <c r="E25" s="65">
        <v>5.2499999999999998E-2</v>
      </c>
      <c r="F25" s="3">
        <v>0.05</v>
      </c>
      <c r="G25" s="178" t="s">
        <v>3</v>
      </c>
      <c r="H25" s="4" t="s">
        <v>51</v>
      </c>
      <c r="I25" s="1" t="s">
        <v>18</v>
      </c>
    </row>
    <row r="26" spans="1:9">
      <c r="A26" s="26"/>
      <c r="B26" s="224" t="s">
        <v>21</v>
      </c>
      <c r="C26" s="111" t="s">
        <v>188</v>
      </c>
      <c r="D26" s="111" t="s">
        <v>188</v>
      </c>
      <c r="E26" s="65">
        <v>0</v>
      </c>
      <c r="F26" s="3">
        <v>0.05</v>
      </c>
      <c r="G26" s="178" t="s">
        <v>3</v>
      </c>
      <c r="H26" s="4" t="s">
        <v>51</v>
      </c>
      <c r="I26" s="1" t="s">
        <v>18</v>
      </c>
    </row>
    <row r="27" spans="1:9">
      <c r="A27" s="26"/>
      <c r="B27" s="224" t="s">
        <v>12</v>
      </c>
      <c r="C27" s="111" t="s">
        <v>188</v>
      </c>
      <c r="D27" s="111" t="s">
        <v>188</v>
      </c>
      <c r="E27" s="65">
        <v>0.18920000000000001</v>
      </c>
      <c r="F27" s="3">
        <v>0.15</v>
      </c>
      <c r="G27" s="177" t="s">
        <v>3</v>
      </c>
      <c r="H27" s="4" t="s">
        <v>52</v>
      </c>
      <c r="I27" s="9" t="s">
        <v>18</v>
      </c>
    </row>
    <row r="28" spans="1:9">
      <c r="A28" s="26"/>
      <c r="B28" s="231" t="s">
        <v>13</v>
      </c>
      <c r="C28" s="111" t="s">
        <v>188</v>
      </c>
      <c r="D28" s="111" t="s">
        <v>188</v>
      </c>
      <c r="E28" s="65">
        <v>1.6500000000000001E-2</v>
      </c>
      <c r="F28" s="3">
        <v>0.05</v>
      </c>
      <c r="G28" s="177" t="s">
        <v>3</v>
      </c>
      <c r="H28" s="179" t="s">
        <v>51</v>
      </c>
      <c r="I28" s="131" t="s">
        <v>188</v>
      </c>
    </row>
    <row r="29" spans="1:9" ht="15">
      <c r="A29" s="26"/>
      <c r="B29" s="226" t="s">
        <v>5</v>
      </c>
      <c r="C29" s="111" t="s">
        <v>188</v>
      </c>
      <c r="D29" s="111" t="s">
        <v>188</v>
      </c>
      <c r="E29" s="230">
        <f>SUM(E20:E28)</f>
        <v>0.81340000000000001</v>
      </c>
      <c r="F29" s="101">
        <f>SUM(F20:F28)</f>
        <v>1.37</v>
      </c>
      <c r="G29" s="220" t="s">
        <v>188</v>
      </c>
      <c r="H29" s="180" t="s">
        <v>188</v>
      </c>
      <c r="I29" s="114" t="s">
        <v>188</v>
      </c>
    </row>
    <row r="30" spans="1:9">
      <c r="A30" s="26"/>
      <c r="B30" s="224" t="s">
        <v>6</v>
      </c>
      <c r="C30" s="111" t="s">
        <v>188</v>
      </c>
      <c r="D30" s="111" t="s">
        <v>188</v>
      </c>
      <c r="E30" s="66">
        <v>0.188</v>
      </c>
      <c r="F30" s="11">
        <v>0.18</v>
      </c>
      <c r="G30" s="177" t="s">
        <v>4</v>
      </c>
      <c r="H30" s="4" t="s">
        <v>205</v>
      </c>
      <c r="I30" s="1" t="s">
        <v>19</v>
      </c>
    </row>
    <row r="31" spans="1:9" ht="15">
      <c r="A31" s="26"/>
      <c r="B31" s="228" t="s">
        <v>228</v>
      </c>
      <c r="C31" s="112" t="s">
        <v>188</v>
      </c>
      <c r="D31" s="112" t="s">
        <v>188</v>
      </c>
      <c r="E31" s="67">
        <v>1.9E-3</v>
      </c>
      <c r="F31" s="140" t="s">
        <v>188</v>
      </c>
      <c r="G31" s="130" t="s">
        <v>188</v>
      </c>
      <c r="H31" s="130" t="s">
        <v>188</v>
      </c>
      <c r="I31" s="164" t="s">
        <v>188</v>
      </c>
    </row>
    <row r="32" spans="1:9" ht="15">
      <c r="A32" s="19"/>
      <c r="B32" s="16"/>
      <c r="C32" s="16"/>
      <c r="D32" s="16"/>
      <c r="E32" s="18"/>
      <c r="F32" s="17"/>
      <c r="G32" s="90"/>
      <c r="H32" s="18"/>
      <c r="I32" s="165"/>
    </row>
    <row r="33" spans="1:9" ht="30">
      <c r="A33" s="20" t="s">
        <v>36</v>
      </c>
      <c r="B33" s="33" t="s">
        <v>29</v>
      </c>
      <c r="C33" s="33"/>
      <c r="D33" s="33"/>
      <c r="E33" s="34"/>
      <c r="F33" s="35"/>
      <c r="G33" s="92"/>
      <c r="H33" s="34"/>
      <c r="I33" s="40"/>
    </row>
    <row r="34" spans="1:9" ht="15.75">
      <c r="A34" s="21"/>
      <c r="B34" s="227" t="s">
        <v>0</v>
      </c>
      <c r="C34" s="109" t="s">
        <v>188</v>
      </c>
      <c r="D34" s="109" t="s">
        <v>189</v>
      </c>
      <c r="E34" s="132" t="s">
        <v>223</v>
      </c>
      <c r="F34" s="122" t="s">
        <v>199</v>
      </c>
      <c r="G34" s="126" t="s">
        <v>30</v>
      </c>
      <c r="H34" s="123" t="s">
        <v>20</v>
      </c>
      <c r="I34" s="123" t="s">
        <v>35</v>
      </c>
    </row>
    <row r="35" spans="1:9" ht="57">
      <c r="A35" s="21"/>
      <c r="B35" s="224" t="s">
        <v>139</v>
      </c>
      <c r="C35" s="110" t="s">
        <v>188</v>
      </c>
      <c r="D35" s="110" t="s">
        <v>188</v>
      </c>
      <c r="E35" s="64">
        <v>0.58220000000000005</v>
      </c>
      <c r="F35" s="5">
        <v>0.59499999999999997</v>
      </c>
      <c r="G35" s="175" t="s">
        <v>4</v>
      </c>
      <c r="H35" s="7" t="s">
        <v>65</v>
      </c>
      <c r="I35" s="176" t="s">
        <v>221</v>
      </c>
    </row>
    <row r="36" spans="1:9">
      <c r="A36" s="21"/>
      <c r="B36" s="224" t="s">
        <v>2</v>
      </c>
      <c r="C36" s="111" t="s">
        <v>188</v>
      </c>
      <c r="D36" s="111" t="s">
        <v>188</v>
      </c>
      <c r="E36" s="65">
        <v>0.24129999999999999</v>
      </c>
      <c r="F36" s="3">
        <v>0.25</v>
      </c>
      <c r="G36" s="177" t="s">
        <v>3</v>
      </c>
      <c r="H36" s="4" t="s">
        <v>54</v>
      </c>
      <c r="I36" s="105" t="s">
        <v>14</v>
      </c>
    </row>
    <row r="37" spans="1:9">
      <c r="A37" s="21"/>
      <c r="B37" s="225" t="s">
        <v>138</v>
      </c>
      <c r="C37" s="110" t="s">
        <v>188</v>
      </c>
      <c r="D37" s="110" t="s">
        <v>188</v>
      </c>
      <c r="E37" s="65">
        <v>0.18959999999999999</v>
      </c>
      <c r="F37" s="3">
        <v>0.2</v>
      </c>
      <c r="G37" s="177" t="s">
        <v>4</v>
      </c>
      <c r="H37" s="4" t="s">
        <v>64</v>
      </c>
      <c r="I37" s="105" t="s">
        <v>15</v>
      </c>
    </row>
    <row r="38" spans="1:9" ht="28.5">
      <c r="A38" s="21"/>
      <c r="B38" s="224" t="s">
        <v>9</v>
      </c>
      <c r="C38" s="111" t="s">
        <v>188</v>
      </c>
      <c r="D38" s="111" t="s">
        <v>188</v>
      </c>
      <c r="E38" s="65">
        <v>7.9600000000000004E-2</v>
      </c>
      <c r="F38" s="3">
        <v>0.08</v>
      </c>
      <c r="G38" s="178" t="s">
        <v>3</v>
      </c>
      <c r="H38" s="4" t="s">
        <v>206</v>
      </c>
      <c r="I38" s="105" t="s">
        <v>16</v>
      </c>
    </row>
    <row r="39" spans="1:9">
      <c r="A39" s="21"/>
      <c r="B39" s="224" t="s">
        <v>10</v>
      </c>
      <c r="C39" s="111" t="s">
        <v>188</v>
      </c>
      <c r="D39" s="111" t="s">
        <v>188</v>
      </c>
      <c r="E39" s="65">
        <v>3.2300000000000002E-2</v>
      </c>
      <c r="F39" s="3">
        <v>7.0000000000000007E-2</v>
      </c>
      <c r="G39" s="178" t="s">
        <v>3</v>
      </c>
      <c r="H39" s="4" t="s">
        <v>50</v>
      </c>
      <c r="I39" s="105" t="s">
        <v>17</v>
      </c>
    </row>
    <row r="40" spans="1:9">
      <c r="A40" s="21"/>
      <c r="B40" s="224" t="s">
        <v>11</v>
      </c>
      <c r="C40" s="111" t="s">
        <v>188</v>
      </c>
      <c r="D40" s="111" t="s">
        <v>188</v>
      </c>
      <c r="E40" s="65">
        <v>2.2000000000000001E-3</v>
      </c>
      <c r="F40" s="3">
        <v>0.05</v>
      </c>
      <c r="G40" s="178" t="s">
        <v>3</v>
      </c>
      <c r="H40" s="4" t="s">
        <v>51</v>
      </c>
      <c r="I40" s="105" t="s">
        <v>18</v>
      </c>
    </row>
    <row r="41" spans="1:9">
      <c r="A41" s="21"/>
      <c r="B41" s="224" t="s">
        <v>21</v>
      </c>
      <c r="C41" s="111" t="s">
        <v>188</v>
      </c>
      <c r="D41" s="111" t="s">
        <v>188</v>
      </c>
      <c r="E41" s="65">
        <v>0</v>
      </c>
      <c r="F41" s="3">
        <v>0.05</v>
      </c>
      <c r="G41" s="178" t="s">
        <v>3</v>
      </c>
      <c r="H41" s="4" t="s">
        <v>51</v>
      </c>
      <c r="I41" s="105" t="s">
        <v>18</v>
      </c>
    </row>
    <row r="42" spans="1:9">
      <c r="A42" s="21"/>
      <c r="B42" s="224" t="s">
        <v>12</v>
      </c>
      <c r="C42" s="111" t="s">
        <v>188</v>
      </c>
      <c r="D42" s="111" t="s">
        <v>188</v>
      </c>
      <c r="E42" s="65">
        <v>0.19139999999999999</v>
      </c>
      <c r="F42" s="3">
        <v>0.15</v>
      </c>
      <c r="G42" s="177" t="s">
        <v>3</v>
      </c>
      <c r="H42" s="4" t="s">
        <v>52</v>
      </c>
      <c r="I42" s="4" t="s">
        <v>18</v>
      </c>
    </row>
    <row r="43" spans="1:9">
      <c r="A43" s="21"/>
      <c r="B43" s="224" t="s">
        <v>13</v>
      </c>
      <c r="C43" s="111" t="s">
        <v>188</v>
      </c>
      <c r="D43" s="111" t="s">
        <v>188</v>
      </c>
      <c r="E43" s="65">
        <v>2.0400000000000001E-2</v>
      </c>
      <c r="F43" s="3">
        <v>0.05</v>
      </c>
      <c r="G43" s="177" t="s">
        <v>3</v>
      </c>
      <c r="H43" s="179" t="s">
        <v>51</v>
      </c>
      <c r="I43" s="115" t="s">
        <v>188</v>
      </c>
    </row>
    <row r="44" spans="1:9" ht="15">
      <c r="A44" s="21"/>
      <c r="B44" s="226" t="s">
        <v>5</v>
      </c>
      <c r="C44" s="112" t="s">
        <v>188</v>
      </c>
      <c r="D44" s="112" t="s">
        <v>188</v>
      </c>
      <c r="E44" s="232">
        <f>SUBTOTAL(109,E35:E43)</f>
        <v>1.3390000000000002</v>
      </c>
      <c r="F44" s="28">
        <f>SUBTOTAL(109,F35:F43)</f>
        <v>1.4950000000000001</v>
      </c>
      <c r="G44" s="119" t="s">
        <v>188</v>
      </c>
      <c r="H44" s="120" t="s">
        <v>188</v>
      </c>
      <c r="I44" s="114" t="s">
        <v>188</v>
      </c>
    </row>
    <row r="45" spans="1:9">
      <c r="A45" s="21"/>
      <c r="B45" s="224" t="s">
        <v>6</v>
      </c>
      <c r="C45" s="111" t="s">
        <v>188</v>
      </c>
      <c r="D45" s="111" t="s">
        <v>188</v>
      </c>
      <c r="E45" s="66">
        <v>0.21179999999999999</v>
      </c>
      <c r="F45" s="11">
        <v>0.2</v>
      </c>
      <c r="G45" s="88" t="s">
        <v>4</v>
      </c>
      <c r="H45" s="9" t="s">
        <v>64</v>
      </c>
      <c r="I45" s="1" t="s">
        <v>19</v>
      </c>
    </row>
    <row r="46" spans="1:9" ht="15">
      <c r="A46" s="22"/>
      <c r="B46" s="228" t="s">
        <v>228</v>
      </c>
      <c r="C46" s="112" t="s">
        <v>188</v>
      </c>
      <c r="D46" s="112" t="s">
        <v>188</v>
      </c>
      <c r="E46" s="67">
        <v>2.3999999999999998E-3</v>
      </c>
      <c r="F46" s="140" t="s">
        <v>188</v>
      </c>
      <c r="G46" s="130" t="s">
        <v>188</v>
      </c>
      <c r="H46" s="130" t="s">
        <v>188</v>
      </c>
      <c r="I46" s="144" t="s">
        <v>188</v>
      </c>
    </row>
    <row r="47" spans="1:9" ht="15">
      <c r="A47" s="19"/>
      <c r="B47" s="16"/>
      <c r="C47" s="16"/>
      <c r="D47" s="16"/>
      <c r="E47" s="18"/>
      <c r="F47" s="17"/>
      <c r="G47" s="90"/>
      <c r="H47" s="18"/>
      <c r="I47" s="165"/>
    </row>
    <row r="48" spans="1:9" ht="30">
      <c r="A48" s="20" t="s">
        <v>36</v>
      </c>
      <c r="B48" s="33" t="s">
        <v>31</v>
      </c>
      <c r="C48" s="33"/>
      <c r="D48" s="33"/>
      <c r="E48" s="34"/>
      <c r="F48" s="35"/>
      <c r="G48" s="92"/>
      <c r="H48" s="34"/>
      <c r="I48" s="40"/>
    </row>
    <row r="49" spans="1:9" ht="15.75">
      <c r="A49" s="21"/>
      <c r="B49" s="227" t="s">
        <v>0</v>
      </c>
      <c r="C49" s="109" t="s">
        <v>188</v>
      </c>
      <c r="D49" s="109" t="s">
        <v>189</v>
      </c>
      <c r="E49" s="132" t="s">
        <v>223</v>
      </c>
      <c r="F49" s="122" t="s">
        <v>199</v>
      </c>
      <c r="G49" s="123" t="s">
        <v>30</v>
      </c>
      <c r="H49" s="123" t="s">
        <v>20</v>
      </c>
      <c r="I49" s="123" t="s">
        <v>35</v>
      </c>
    </row>
    <row r="50" spans="1:9" ht="57">
      <c r="A50" s="21"/>
      <c r="B50" s="224" t="s">
        <v>139</v>
      </c>
      <c r="C50" s="110" t="s">
        <v>188</v>
      </c>
      <c r="D50" s="110" t="s">
        <v>189</v>
      </c>
      <c r="E50" s="64">
        <v>0.48320000000000002</v>
      </c>
      <c r="F50" s="5">
        <v>0.49</v>
      </c>
      <c r="G50" s="175" t="s">
        <v>4</v>
      </c>
      <c r="H50" s="7" t="s">
        <v>244</v>
      </c>
      <c r="I50" s="6" t="s">
        <v>221</v>
      </c>
    </row>
    <row r="51" spans="1:9">
      <c r="A51" s="21"/>
      <c r="B51" s="224" t="s">
        <v>2</v>
      </c>
      <c r="C51" s="111" t="s">
        <v>188</v>
      </c>
      <c r="D51" s="111" t="s">
        <v>188</v>
      </c>
      <c r="E51" s="65">
        <v>0.20169999999999999</v>
      </c>
      <c r="F51" s="3">
        <v>0.22</v>
      </c>
      <c r="G51" s="177" t="s">
        <v>3</v>
      </c>
      <c r="H51" s="4" t="s">
        <v>203</v>
      </c>
      <c r="I51" s="1" t="s">
        <v>14</v>
      </c>
    </row>
    <row r="52" spans="1:9">
      <c r="A52" s="21"/>
      <c r="B52" s="225" t="s">
        <v>138</v>
      </c>
      <c r="C52" s="110" t="s">
        <v>188</v>
      </c>
      <c r="D52" s="110" t="s">
        <v>188</v>
      </c>
      <c r="E52" s="65">
        <v>0.21379999999999999</v>
      </c>
      <c r="F52" s="3">
        <v>0.22</v>
      </c>
      <c r="G52" s="177" t="s">
        <v>4</v>
      </c>
      <c r="H52" s="4" t="s">
        <v>53</v>
      </c>
      <c r="I52" s="1" t="s">
        <v>15</v>
      </c>
    </row>
    <row r="53" spans="1:9" ht="28.5">
      <c r="A53" s="21"/>
      <c r="B53" s="224" t="s">
        <v>9</v>
      </c>
      <c r="C53" s="111" t="s">
        <v>188</v>
      </c>
      <c r="D53" s="111" t="s">
        <v>188</v>
      </c>
      <c r="E53" s="65">
        <v>8.6999999999999994E-2</v>
      </c>
      <c r="F53" s="3">
        <v>0.09</v>
      </c>
      <c r="G53" s="178" t="s">
        <v>3</v>
      </c>
      <c r="H53" s="4" t="s">
        <v>207</v>
      </c>
      <c r="I53" s="1" t="s">
        <v>16</v>
      </c>
    </row>
    <row r="54" spans="1:9">
      <c r="A54" s="21"/>
      <c r="B54" s="224" t="s">
        <v>10</v>
      </c>
      <c r="C54" s="111" t="s">
        <v>188</v>
      </c>
      <c r="D54" s="111" t="s">
        <v>188</v>
      </c>
      <c r="E54" s="65">
        <v>3.8600000000000002E-2</v>
      </c>
      <c r="F54" s="3">
        <v>7.0000000000000007E-2</v>
      </c>
      <c r="G54" s="178" t="s">
        <v>3</v>
      </c>
      <c r="H54" s="4" t="s">
        <v>50</v>
      </c>
      <c r="I54" s="1" t="s">
        <v>17</v>
      </c>
    </row>
    <row r="55" spans="1:9">
      <c r="A55" s="21"/>
      <c r="B55" s="224" t="s">
        <v>11</v>
      </c>
      <c r="C55" s="111" t="s">
        <v>188</v>
      </c>
      <c r="D55" s="111" t="s">
        <v>188</v>
      </c>
      <c r="E55" s="233">
        <v>5.3800000000000001E-2</v>
      </c>
      <c r="F55" s="3">
        <v>0.05</v>
      </c>
      <c r="G55" s="178" t="s">
        <v>3</v>
      </c>
      <c r="H55" s="4" t="s">
        <v>51</v>
      </c>
      <c r="I55" s="1" t="s">
        <v>18</v>
      </c>
    </row>
    <row r="56" spans="1:9">
      <c r="A56" s="21"/>
      <c r="B56" s="224" t="s">
        <v>21</v>
      </c>
      <c r="C56" s="111" t="s">
        <v>188</v>
      </c>
      <c r="D56" s="111" t="s">
        <v>188</v>
      </c>
      <c r="E56" s="65">
        <v>0</v>
      </c>
      <c r="F56" s="3">
        <v>0.05</v>
      </c>
      <c r="G56" s="178" t="s">
        <v>3</v>
      </c>
      <c r="H56" s="4" t="s">
        <v>51</v>
      </c>
      <c r="I56" s="1" t="s">
        <v>18</v>
      </c>
    </row>
    <row r="57" spans="1:9">
      <c r="A57" s="21"/>
      <c r="B57" s="224" t="s">
        <v>12</v>
      </c>
      <c r="C57" s="111" t="s">
        <v>188</v>
      </c>
      <c r="D57" s="111" t="s">
        <v>188</v>
      </c>
      <c r="E57" s="65">
        <v>0.19070000000000001</v>
      </c>
      <c r="F57" s="3">
        <v>0.15</v>
      </c>
      <c r="G57" s="177" t="s">
        <v>3</v>
      </c>
      <c r="H57" s="4" t="s">
        <v>52</v>
      </c>
      <c r="I57" s="9" t="s">
        <v>18</v>
      </c>
    </row>
    <row r="58" spans="1:9">
      <c r="A58" s="21"/>
      <c r="B58" s="224" t="s">
        <v>13</v>
      </c>
      <c r="C58" s="111" t="s">
        <v>188</v>
      </c>
      <c r="D58" s="111" t="s">
        <v>188</v>
      </c>
      <c r="E58" s="65">
        <v>2.3699999999999999E-2</v>
      </c>
      <c r="F58" s="3">
        <v>0.05</v>
      </c>
      <c r="G58" s="177" t="s">
        <v>3</v>
      </c>
      <c r="H58" s="179" t="s">
        <v>51</v>
      </c>
      <c r="I58" s="131" t="s">
        <v>188</v>
      </c>
    </row>
    <row r="59" spans="1:9" ht="15">
      <c r="A59" s="21"/>
      <c r="B59" s="226" t="s">
        <v>5</v>
      </c>
      <c r="C59" s="112" t="s">
        <v>188</v>
      </c>
      <c r="D59" s="112" t="s">
        <v>188</v>
      </c>
      <c r="E59" s="230">
        <f>SUBTOTAL(109,E50:E58)</f>
        <v>1.2925000000000002</v>
      </c>
      <c r="F59" s="101">
        <f>SUBTOTAL(109,F50:F58)</f>
        <v>1.3900000000000001</v>
      </c>
      <c r="G59" s="181" t="s">
        <v>188</v>
      </c>
      <c r="H59" s="182" t="s">
        <v>188</v>
      </c>
      <c r="I59" s="114" t="s">
        <v>188</v>
      </c>
    </row>
    <row r="60" spans="1:9">
      <c r="A60" s="21"/>
      <c r="B60" s="224" t="s">
        <v>6</v>
      </c>
      <c r="C60" s="111" t="s">
        <v>188</v>
      </c>
      <c r="D60" s="111" t="s">
        <v>188</v>
      </c>
      <c r="E60" s="66">
        <v>0.18940000000000001</v>
      </c>
      <c r="F60" s="11">
        <v>0.18</v>
      </c>
      <c r="G60" s="177" t="s">
        <v>4</v>
      </c>
      <c r="H60" s="4" t="s">
        <v>205</v>
      </c>
      <c r="I60" s="1" t="s">
        <v>19</v>
      </c>
    </row>
    <row r="61" spans="1:9" ht="15">
      <c r="A61" s="22"/>
      <c r="B61" s="228" t="s">
        <v>228</v>
      </c>
      <c r="C61" s="112" t="s">
        <v>188</v>
      </c>
      <c r="D61" s="112" t="s">
        <v>188</v>
      </c>
      <c r="E61" s="67">
        <v>2.3999999999999998E-3</v>
      </c>
      <c r="F61" s="140" t="s">
        <v>188</v>
      </c>
      <c r="G61" s="130" t="s">
        <v>188</v>
      </c>
      <c r="H61" s="130" t="s">
        <v>188</v>
      </c>
      <c r="I61" s="164" t="s">
        <v>188</v>
      </c>
    </row>
    <row r="62" spans="1:9" ht="15">
      <c r="A62" s="19"/>
      <c r="B62" s="16"/>
      <c r="C62" s="16"/>
      <c r="D62" s="16"/>
      <c r="E62" s="18"/>
      <c r="F62" s="17"/>
      <c r="G62" s="90"/>
      <c r="H62" s="18"/>
      <c r="I62" s="165"/>
    </row>
    <row r="63" spans="1:9" ht="30">
      <c r="A63" s="20" t="s">
        <v>36</v>
      </c>
      <c r="B63" s="33" t="s">
        <v>32</v>
      </c>
      <c r="C63" s="33"/>
      <c r="D63" s="33"/>
      <c r="E63" s="34"/>
      <c r="F63" s="35"/>
      <c r="G63" s="92"/>
      <c r="H63" s="34"/>
      <c r="I63" s="40"/>
    </row>
    <row r="64" spans="1:9" ht="15.75">
      <c r="A64" s="21"/>
      <c r="B64" s="227" t="s">
        <v>0</v>
      </c>
      <c r="C64" s="109" t="s">
        <v>188</v>
      </c>
      <c r="D64" s="109" t="s">
        <v>189</v>
      </c>
      <c r="E64" s="132" t="s">
        <v>223</v>
      </c>
      <c r="F64" s="122" t="s">
        <v>199</v>
      </c>
      <c r="G64" s="123" t="s">
        <v>30</v>
      </c>
      <c r="H64" s="123" t="s">
        <v>20</v>
      </c>
      <c r="I64" s="123" t="s">
        <v>35</v>
      </c>
    </row>
    <row r="65" spans="1:9" ht="57">
      <c r="A65" s="21"/>
      <c r="B65" s="224" t="s">
        <v>139</v>
      </c>
      <c r="C65" s="110" t="s">
        <v>188</v>
      </c>
      <c r="D65" s="110" t="s">
        <v>189</v>
      </c>
      <c r="E65" s="64">
        <v>0.30099999999999999</v>
      </c>
      <c r="F65" s="5">
        <v>0.26</v>
      </c>
      <c r="G65" s="87" t="s">
        <v>4</v>
      </c>
      <c r="H65" s="7" t="s">
        <v>202</v>
      </c>
      <c r="I65" s="6" t="s">
        <v>221</v>
      </c>
    </row>
    <row r="66" spans="1:9">
      <c r="A66" s="21"/>
      <c r="B66" s="224" t="s">
        <v>2</v>
      </c>
      <c r="C66" s="111" t="s">
        <v>188</v>
      </c>
      <c r="D66" s="111" t="s">
        <v>188</v>
      </c>
      <c r="E66" s="65">
        <v>0.2843</v>
      </c>
      <c r="F66" s="3">
        <v>0.26</v>
      </c>
      <c r="G66" s="88" t="s">
        <v>3</v>
      </c>
      <c r="H66" s="4" t="s">
        <v>204</v>
      </c>
      <c r="I66" s="1" t="s">
        <v>14</v>
      </c>
    </row>
    <row r="67" spans="1:9">
      <c r="A67" s="21"/>
      <c r="B67" s="225" t="s">
        <v>138</v>
      </c>
      <c r="C67" s="110" t="s">
        <v>188</v>
      </c>
      <c r="D67" s="110" t="s">
        <v>188</v>
      </c>
      <c r="E67" s="65">
        <v>0.27910000000000001</v>
      </c>
      <c r="F67" s="3">
        <v>0.28000000000000003</v>
      </c>
      <c r="G67" s="88" t="s">
        <v>4</v>
      </c>
      <c r="H67" s="4" t="s">
        <v>62</v>
      </c>
      <c r="I67" s="1" t="s">
        <v>15</v>
      </c>
    </row>
    <row r="68" spans="1:9" ht="28.5">
      <c r="A68" s="21"/>
      <c r="B68" s="224" t="s">
        <v>9</v>
      </c>
      <c r="C68" s="111" t="s">
        <v>188</v>
      </c>
      <c r="D68" s="111" t="s">
        <v>188</v>
      </c>
      <c r="E68" s="65">
        <v>9.7299999999999998E-2</v>
      </c>
      <c r="F68" s="3">
        <v>0.1</v>
      </c>
      <c r="G68" s="89" t="s">
        <v>3</v>
      </c>
      <c r="H68" s="9" t="s">
        <v>49</v>
      </c>
      <c r="I68" s="1" t="s">
        <v>16</v>
      </c>
    </row>
    <row r="69" spans="1:9">
      <c r="A69" s="21"/>
      <c r="B69" s="224" t="s">
        <v>10</v>
      </c>
      <c r="C69" s="111" t="s">
        <v>188</v>
      </c>
      <c r="D69" s="111" t="s">
        <v>188</v>
      </c>
      <c r="E69" s="65">
        <v>4.3799999999999999E-2</v>
      </c>
      <c r="F69" s="3">
        <v>7.0000000000000007E-2</v>
      </c>
      <c r="G69" s="89" t="s">
        <v>3</v>
      </c>
      <c r="H69" s="9" t="s">
        <v>50</v>
      </c>
      <c r="I69" s="1" t="s">
        <v>17</v>
      </c>
    </row>
    <row r="70" spans="1:9">
      <c r="A70" s="21"/>
      <c r="B70" s="224" t="s">
        <v>11</v>
      </c>
      <c r="C70" s="111" t="s">
        <v>188</v>
      </c>
      <c r="D70" s="111" t="s">
        <v>188</v>
      </c>
      <c r="E70" s="65">
        <v>1.1999999999999999E-3</v>
      </c>
      <c r="F70" s="3">
        <v>0.05</v>
      </c>
      <c r="G70" s="89" t="s">
        <v>3</v>
      </c>
      <c r="H70" s="9" t="s">
        <v>51</v>
      </c>
      <c r="I70" s="1" t="s">
        <v>18</v>
      </c>
    </row>
    <row r="71" spans="1:9">
      <c r="A71" s="21"/>
      <c r="B71" s="224" t="s">
        <v>21</v>
      </c>
      <c r="C71" s="111" t="s">
        <v>188</v>
      </c>
      <c r="D71" s="111" t="s">
        <v>188</v>
      </c>
      <c r="E71" s="65">
        <v>3.9300000000000002E-2</v>
      </c>
      <c r="F71" s="3">
        <v>0.05</v>
      </c>
      <c r="G71" s="89" t="s">
        <v>3</v>
      </c>
      <c r="H71" s="9" t="s">
        <v>51</v>
      </c>
      <c r="I71" s="1" t="s">
        <v>18</v>
      </c>
    </row>
    <row r="72" spans="1:9">
      <c r="A72" s="21"/>
      <c r="B72" s="224" t="s">
        <v>12</v>
      </c>
      <c r="C72" s="111" t="s">
        <v>188</v>
      </c>
      <c r="D72" s="111" t="s">
        <v>188</v>
      </c>
      <c r="E72" s="65">
        <v>0.16139999999999999</v>
      </c>
      <c r="F72" s="3">
        <v>0.15</v>
      </c>
      <c r="G72" s="88" t="s">
        <v>3</v>
      </c>
      <c r="H72" s="9" t="s">
        <v>52</v>
      </c>
      <c r="I72" s="9" t="s">
        <v>18</v>
      </c>
    </row>
    <row r="73" spans="1:9">
      <c r="A73" s="21"/>
      <c r="B73" s="224" t="s">
        <v>13</v>
      </c>
      <c r="C73" s="111" t="s">
        <v>188</v>
      </c>
      <c r="D73" s="111" t="s">
        <v>188</v>
      </c>
      <c r="E73" s="65">
        <v>3.1800000000000002E-2</v>
      </c>
      <c r="F73" s="3">
        <v>0.05</v>
      </c>
      <c r="G73" s="88" t="s">
        <v>3</v>
      </c>
      <c r="H73" s="10" t="s">
        <v>51</v>
      </c>
      <c r="I73" s="131" t="s">
        <v>188</v>
      </c>
    </row>
    <row r="74" spans="1:9" ht="15">
      <c r="A74" s="21"/>
      <c r="B74" s="226" t="s">
        <v>5</v>
      </c>
      <c r="C74" s="112" t="s">
        <v>188</v>
      </c>
      <c r="D74" s="112" t="s">
        <v>188</v>
      </c>
      <c r="E74" s="230">
        <f>SUBTOTAL(109,E65:E73)</f>
        <v>1.2392000000000003</v>
      </c>
      <c r="F74" s="101">
        <f>SUBTOTAL(109,F65:F73)</f>
        <v>1.27</v>
      </c>
      <c r="G74" s="119" t="s">
        <v>188</v>
      </c>
      <c r="H74" s="120" t="s">
        <v>188</v>
      </c>
      <c r="I74" s="114" t="s">
        <v>188</v>
      </c>
    </row>
    <row r="75" spans="1:9">
      <c r="A75" s="21"/>
      <c r="B75" s="224" t="s">
        <v>6</v>
      </c>
      <c r="C75" s="111" t="s">
        <v>188</v>
      </c>
      <c r="D75" s="111" t="s">
        <v>188</v>
      </c>
      <c r="E75" s="65">
        <v>0.17269999999999999</v>
      </c>
      <c r="F75" s="3">
        <v>0.18</v>
      </c>
      <c r="G75" s="88" t="s">
        <v>4</v>
      </c>
      <c r="H75" s="9" t="s">
        <v>205</v>
      </c>
      <c r="I75" s="1" t="s">
        <v>19</v>
      </c>
    </row>
    <row r="76" spans="1:9" ht="15">
      <c r="A76" s="22"/>
      <c r="B76" s="228" t="s">
        <v>228</v>
      </c>
      <c r="C76" s="112" t="s">
        <v>188</v>
      </c>
      <c r="D76" s="112" t="s">
        <v>188</v>
      </c>
      <c r="E76" s="67">
        <v>2.5000000000000001E-3</v>
      </c>
      <c r="F76" s="140" t="s">
        <v>188</v>
      </c>
      <c r="G76" s="130" t="s">
        <v>188</v>
      </c>
      <c r="H76" s="130" t="s">
        <v>188</v>
      </c>
      <c r="I76" s="166" t="s">
        <v>188</v>
      </c>
    </row>
    <row r="77" spans="1:9" ht="15">
      <c r="A77" s="19"/>
      <c r="B77" s="157" t="s">
        <v>188</v>
      </c>
      <c r="C77" s="157" t="s">
        <v>188</v>
      </c>
      <c r="D77" s="157" t="s">
        <v>188</v>
      </c>
      <c r="E77" s="158" t="s">
        <v>188</v>
      </c>
      <c r="F77" s="158" t="s">
        <v>188</v>
      </c>
      <c r="G77" s="158" t="s">
        <v>188</v>
      </c>
      <c r="H77" s="158" t="s">
        <v>188</v>
      </c>
      <c r="I77" s="167" t="s">
        <v>188</v>
      </c>
    </row>
    <row r="78" spans="1:9" ht="45">
      <c r="A78" s="29" t="s">
        <v>67</v>
      </c>
      <c r="B78" s="37" t="s">
        <v>38</v>
      </c>
      <c r="C78" s="37"/>
      <c r="D78" s="37"/>
      <c r="E78" s="38"/>
      <c r="F78" s="39"/>
      <c r="G78" s="93"/>
      <c r="H78" s="38"/>
      <c r="I78" s="40"/>
    </row>
    <row r="79" spans="1:9" ht="23.25">
      <c r="A79" s="29"/>
      <c r="B79" s="42" t="s">
        <v>42</v>
      </c>
      <c r="C79" s="42"/>
      <c r="D79" s="42"/>
      <c r="E79" s="38"/>
      <c r="F79" s="39"/>
      <c r="G79" s="93"/>
      <c r="H79" s="38"/>
      <c r="I79" s="40"/>
    </row>
    <row r="80" spans="1:9" ht="23.25">
      <c r="A80" s="29"/>
      <c r="B80" s="42" t="s">
        <v>43</v>
      </c>
      <c r="C80" s="42"/>
      <c r="D80" s="42"/>
      <c r="E80" s="38"/>
      <c r="F80" s="39"/>
      <c r="G80" s="93"/>
      <c r="H80" s="38"/>
      <c r="I80" s="40"/>
    </row>
    <row r="81" spans="1:9" ht="15.75">
      <c r="A81" s="30"/>
      <c r="B81" s="13" t="s">
        <v>0</v>
      </c>
      <c r="C81" s="14" t="s">
        <v>226</v>
      </c>
      <c r="D81" s="14" t="s">
        <v>225</v>
      </c>
      <c r="E81" s="14" t="s">
        <v>224</v>
      </c>
      <c r="F81" s="14" t="s">
        <v>199</v>
      </c>
      <c r="G81" s="13" t="s">
        <v>30</v>
      </c>
      <c r="H81" s="13" t="s">
        <v>20</v>
      </c>
      <c r="I81" s="13" t="s">
        <v>35</v>
      </c>
    </row>
    <row r="82" spans="1:9" ht="60">
      <c r="A82" s="32"/>
      <c r="B82" s="234" t="s">
        <v>139</v>
      </c>
      <c r="C82" s="235" t="s">
        <v>246</v>
      </c>
      <c r="D82" s="235" t="s">
        <v>247</v>
      </c>
      <c r="E82" s="235" t="s">
        <v>248</v>
      </c>
      <c r="F82" s="235" t="s">
        <v>249</v>
      </c>
      <c r="G82" s="236" t="s">
        <v>23</v>
      </c>
      <c r="H82" s="237" t="s">
        <v>242</v>
      </c>
      <c r="I82" s="238" t="s">
        <v>221</v>
      </c>
    </row>
    <row r="83" spans="1:9">
      <c r="A83" s="31"/>
      <c r="B83" s="2" t="s">
        <v>2</v>
      </c>
      <c r="C83" s="3">
        <v>0.28270000000000001</v>
      </c>
      <c r="D83" s="3">
        <v>0.28960000000000002</v>
      </c>
      <c r="E83" s="3">
        <v>0.2969</v>
      </c>
      <c r="F83" s="3">
        <v>0.3</v>
      </c>
      <c r="G83" s="88" t="s">
        <v>24</v>
      </c>
      <c r="H83" s="4" t="s">
        <v>60</v>
      </c>
      <c r="I83" s="1" t="s">
        <v>14</v>
      </c>
    </row>
    <row r="84" spans="1:9">
      <c r="A84" s="32"/>
      <c r="B84" s="70" t="s">
        <v>138</v>
      </c>
      <c r="C84" s="3">
        <v>3.8600000000000002E-2</v>
      </c>
      <c r="D84" s="3">
        <v>3.9199999999999999E-2</v>
      </c>
      <c r="E84" s="3">
        <v>4.3900000000000002E-2</v>
      </c>
      <c r="F84" s="3">
        <v>0.06</v>
      </c>
      <c r="G84" s="88" t="s">
        <v>23</v>
      </c>
      <c r="H84" s="4" t="s">
        <v>58</v>
      </c>
      <c r="I84" s="1" t="s">
        <v>15</v>
      </c>
    </row>
    <row r="85" spans="1:9" ht="28.5">
      <c r="A85" s="32"/>
      <c r="B85" s="2" t="s">
        <v>9</v>
      </c>
      <c r="C85" s="3">
        <v>4.6199999999999998E-2</v>
      </c>
      <c r="D85" s="3">
        <v>3.5799999999999998E-2</v>
      </c>
      <c r="E85" s="3">
        <v>3.5000000000000003E-2</v>
      </c>
      <c r="F85" s="3">
        <v>0.05</v>
      </c>
      <c r="G85" s="89" t="s">
        <v>24</v>
      </c>
      <c r="H85" s="9" t="s">
        <v>51</v>
      </c>
      <c r="I85" s="1" t="s">
        <v>16</v>
      </c>
    </row>
    <row r="86" spans="1:9">
      <c r="A86" s="32"/>
      <c r="B86" s="2" t="s">
        <v>10</v>
      </c>
      <c r="C86" s="3">
        <v>1.6000000000000001E-3</v>
      </c>
      <c r="D86" s="3">
        <v>1.6000000000000001E-3</v>
      </c>
      <c r="E86" s="3">
        <v>1.4E-3</v>
      </c>
      <c r="F86" s="3">
        <v>0.05</v>
      </c>
      <c r="G86" s="89" t="s">
        <v>24</v>
      </c>
      <c r="H86" s="9" t="s">
        <v>51</v>
      </c>
      <c r="I86" s="1" t="s">
        <v>17</v>
      </c>
    </row>
    <row r="87" spans="1:9">
      <c r="A87" s="32"/>
      <c r="B87" s="2" t="s">
        <v>11</v>
      </c>
      <c r="C87" s="3">
        <v>0</v>
      </c>
      <c r="D87" s="3">
        <v>8.9999999999999998E-4</v>
      </c>
      <c r="E87" s="3">
        <v>5.9999999999999995E-4</v>
      </c>
      <c r="F87" s="3">
        <v>0.05</v>
      </c>
      <c r="G87" s="89" t="s">
        <v>24</v>
      </c>
      <c r="H87" s="9" t="s">
        <v>51</v>
      </c>
      <c r="I87" s="1" t="s">
        <v>18</v>
      </c>
    </row>
    <row r="88" spans="1:9">
      <c r="A88" s="32"/>
      <c r="B88" s="2" t="s">
        <v>21</v>
      </c>
      <c r="C88" s="3">
        <v>0</v>
      </c>
      <c r="D88" s="3">
        <v>0</v>
      </c>
      <c r="E88" s="3">
        <v>0</v>
      </c>
      <c r="F88" s="3">
        <v>0.05</v>
      </c>
      <c r="G88" s="89" t="s">
        <v>24</v>
      </c>
      <c r="H88" s="9" t="s">
        <v>51</v>
      </c>
      <c r="I88" s="1" t="s">
        <v>18</v>
      </c>
    </row>
    <row r="89" spans="1:9">
      <c r="A89" s="32"/>
      <c r="B89" s="2" t="s">
        <v>12</v>
      </c>
      <c r="C89" s="3">
        <v>0.19520000000000001</v>
      </c>
      <c r="D89" s="3">
        <v>0.20150000000000001</v>
      </c>
      <c r="E89" s="3">
        <v>0.1908</v>
      </c>
      <c r="F89" s="3">
        <v>0.15</v>
      </c>
      <c r="G89" s="88" t="s">
        <v>24</v>
      </c>
      <c r="H89" s="9" t="s">
        <v>52</v>
      </c>
      <c r="I89" s="9" t="s">
        <v>18</v>
      </c>
    </row>
    <row r="90" spans="1:9">
      <c r="A90" s="32"/>
      <c r="B90" s="2" t="s">
        <v>13</v>
      </c>
      <c r="C90" s="3">
        <v>9.1999999999999998E-3</v>
      </c>
      <c r="D90" s="3">
        <v>8.8000000000000005E-3</v>
      </c>
      <c r="E90" s="3">
        <v>2.58E-2</v>
      </c>
      <c r="F90" s="3">
        <v>0.05</v>
      </c>
      <c r="G90" s="88" t="s">
        <v>24</v>
      </c>
      <c r="H90" s="10" t="s">
        <v>51</v>
      </c>
      <c r="I90" s="131" t="s">
        <v>188</v>
      </c>
    </row>
    <row r="91" spans="1:9" ht="15">
      <c r="A91" s="32"/>
      <c r="B91" s="27" t="s">
        <v>5</v>
      </c>
      <c r="C91" s="101">
        <f>SUBTOTAL(109,C82:C90)</f>
        <v>0.57350000000000001</v>
      </c>
      <c r="D91" s="101">
        <f t="shared" ref="D91:F91" si="0">SUBTOTAL(109,D82:D90)</f>
        <v>0.57740000000000002</v>
      </c>
      <c r="E91" s="101">
        <f t="shared" si="0"/>
        <v>0.59440000000000004</v>
      </c>
      <c r="F91" s="101">
        <f t="shared" si="0"/>
        <v>0.76000000000000012</v>
      </c>
      <c r="G91" s="119" t="s">
        <v>188</v>
      </c>
      <c r="H91" s="114" t="s">
        <v>188</v>
      </c>
      <c r="I91" s="114" t="s">
        <v>188</v>
      </c>
    </row>
    <row r="92" spans="1:9">
      <c r="A92" s="32"/>
      <c r="B92" s="2" t="s">
        <v>6</v>
      </c>
      <c r="C92" s="11">
        <v>0.2351</v>
      </c>
      <c r="D92" s="11">
        <v>0.22620000000000001</v>
      </c>
      <c r="E92" s="11">
        <v>0.2379</v>
      </c>
      <c r="F92" s="11">
        <v>0.22</v>
      </c>
      <c r="G92" s="88" t="s">
        <v>23</v>
      </c>
      <c r="H92" s="9" t="s">
        <v>53</v>
      </c>
      <c r="I92" s="1" t="s">
        <v>19</v>
      </c>
    </row>
    <row r="93" spans="1:9" ht="15">
      <c r="A93" s="32"/>
      <c r="B93" s="27" t="s">
        <v>228</v>
      </c>
      <c r="C93" s="12">
        <v>1.4E-3</v>
      </c>
      <c r="D93" s="12">
        <v>1.4E-3</v>
      </c>
      <c r="E93" s="12">
        <v>1.1999999999999999E-3</v>
      </c>
      <c r="F93" s="140" t="s">
        <v>188</v>
      </c>
      <c r="G93" s="137" t="s">
        <v>188</v>
      </c>
      <c r="H93" s="138" t="s">
        <v>188</v>
      </c>
      <c r="I93" s="144" t="s">
        <v>188</v>
      </c>
    </row>
    <row r="94" spans="1:9" ht="15">
      <c r="A94" s="19"/>
      <c r="B94" s="16"/>
      <c r="C94" s="16"/>
      <c r="D94" s="16"/>
      <c r="E94" s="18"/>
      <c r="F94" s="17"/>
      <c r="G94" s="90"/>
      <c r="H94" s="18"/>
      <c r="I94" s="165"/>
    </row>
    <row r="95" spans="1:9" ht="45">
      <c r="A95" s="29" t="s">
        <v>68</v>
      </c>
      <c r="B95" s="37" t="s">
        <v>39</v>
      </c>
      <c r="C95" s="37"/>
      <c r="D95" s="37"/>
      <c r="E95" s="38"/>
      <c r="F95" s="39"/>
      <c r="G95" s="93"/>
      <c r="H95" s="38"/>
      <c r="I95" s="40"/>
    </row>
    <row r="96" spans="1:9" ht="23.25">
      <c r="A96" s="29"/>
      <c r="B96" s="42" t="s">
        <v>40</v>
      </c>
      <c r="C96" s="42"/>
      <c r="D96" s="42"/>
      <c r="E96" s="38"/>
      <c r="F96" s="39"/>
      <c r="G96" s="93"/>
      <c r="H96" s="38"/>
      <c r="I96" s="40"/>
    </row>
    <row r="97" spans="1:9" ht="23.25">
      <c r="A97" s="29"/>
      <c r="B97" s="42" t="s">
        <v>41</v>
      </c>
      <c r="C97" s="42"/>
      <c r="D97" s="42"/>
      <c r="E97" s="38"/>
      <c r="F97" s="39"/>
      <c r="G97" s="93"/>
      <c r="H97" s="38"/>
      <c r="I97" s="40"/>
    </row>
    <row r="98" spans="1:9" ht="15.75">
      <c r="A98" s="30"/>
      <c r="B98" s="121" t="s">
        <v>0</v>
      </c>
      <c r="C98" s="122" t="s">
        <v>226</v>
      </c>
      <c r="D98" s="122" t="s">
        <v>225</v>
      </c>
      <c r="E98" s="122" t="s">
        <v>224</v>
      </c>
      <c r="F98" s="122" t="s">
        <v>199</v>
      </c>
      <c r="G98" s="123" t="s">
        <v>30</v>
      </c>
      <c r="H98" s="123" t="s">
        <v>20</v>
      </c>
      <c r="I98" s="123" t="s">
        <v>35</v>
      </c>
    </row>
    <row r="99" spans="1:9" ht="57">
      <c r="A99" s="32"/>
      <c r="B99" s="2" t="s">
        <v>139</v>
      </c>
      <c r="C99" s="5">
        <v>4.7699999999999999E-2</v>
      </c>
      <c r="D99" s="5">
        <v>5.1700000000000003E-2</v>
      </c>
      <c r="E99" s="5">
        <v>4.7199999999999999E-2</v>
      </c>
      <c r="F99" s="5" t="s">
        <v>243</v>
      </c>
      <c r="G99" s="87" t="s">
        <v>23</v>
      </c>
      <c r="H99" s="7" t="s">
        <v>58</v>
      </c>
      <c r="I99" s="6" t="s">
        <v>221</v>
      </c>
    </row>
    <row r="100" spans="1:9">
      <c r="A100" s="31"/>
      <c r="B100" s="2" t="s">
        <v>2</v>
      </c>
      <c r="C100" s="5">
        <v>9.7600000000000006E-2</v>
      </c>
      <c r="D100" s="5">
        <v>8.9200000000000002E-2</v>
      </c>
      <c r="E100" s="5">
        <v>9.6100000000000005E-2</v>
      </c>
      <c r="F100" s="5">
        <v>0.1</v>
      </c>
      <c r="G100" s="88" t="s">
        <v>24</v>
      </c>
      <c r="H100" s="4" t="s">
        <v>49</v>
      </c>
      <c r="I100" s="1" t="s">
        <v>14</v>
      </c>
    </row>
    <row r="101" spans="1:9">
      <c r="A101" s="32"/>
      <c r="B101" s="70" t="s">
        <v>138</v>
      </c>
      <c r="C101" s="5">
        <v>0.76659999999999995</v>
      </c>
      <c r="D101" s="5">
        <v>0.78290000000000004</v>
      </c>
      <c r="E101" s="5">
        <v>0.77100000000000002</v>
      </c>
      <c r="F101" s="5">
        <v>0.8</v>
      </c>
      <c r="G101" s="88" t="s">
        <v>23</v>
      </c>
      <c r="H101" s="4" t="s">
        <v>130</v>
      </c>
      <c r="I101" s="1" t="s">
        <v>15</v>
      </c>
    </row>
    <row r="102" spans="1:9" ht="28.5">
      <c r="A102" s="32"/>
      <c r="B102" s="174" t="s">
        <v>9</v>
      </c>
      <c r="C102" s="5">
        <v>1.2E-2</v>
      </c>
      <c r="D102" s="5">
        <v>1.52E-2</v>
      </c>
      <c r="E102" s="5">
        <v>1.2200000000000001E-2</v>
      </c>
      <c r="F102" s="5">
        <v>0.05</v>
      </c>
      <c r="G102" s="89" t="s">
        <v>24</v>
      </c>
      <c r="H102" s="9" t="s">
        <v>51</v>
      </c>
      <c r="I102" s="1" t="s">
        <v>16</v>
      </c>
    </row>
    <row r="103" spans="1:9">
      <c r="A103" s="32"/>
      <c r="B103" s="174" t="s">
        <v>10</v>
      </c>
      <c r="C103" s="5">
        <v>1.6400000000000001E-2</v>
      </c>
      <c r="D103" s="5">
        <v>1.8800000000000001E-2</v>
      </c>
      <c r="E103" s="5">
        <v>1.4E-2</v>
      </c>
      <c r="F103" s="5">
        <v>0.05</v>
      </c>
      <c r="G103" s="89" t="s">
        <v>24</v>
      </c>
      <c r="H103" s="9" t="s">
        <v>51</v>
      </c>
      <c r="I103" s="1" t="s">
        <v>17</v>
      </c>
    </row>
    <row r="104" spans="1:9">
      <c r="A104" s="32"/>
      <c r="B104" s="174" t="s">
        <v>11</v>
      </c>
      <c r="C104" s="5">
        <v>0</v>
      </c>
      <c r="D104" s="5">
        <v>0</v>
      </c>
      <c r="E104" s="5">
        <v>0</v>
      </c>
      <c r="F104" s="5">
        <v>0.05</v>
      </c>
      <c r="G104" s="89" t="s">
        <v>24</v>
      </c>
      <c r="H104" s="9" t="s">
        <v>51</v>
      </c>
      <c r="I104" s="1" t="s">
        <v>18</v>
      </c>
    </row>
    <row r="105" spans="1:9">
      <c r="A105" s="32"/>
      <c r="B105" s="174" t="s">
        <v>21</v>
      </c>
      <c r="C105" s="3">
        <v>0</v>
      </c>
      <c r="D105" s="5">
        <v>0</v>
      </c>
      <c r="E105" s="3">
        <v>0</v>
      </c>
      <c r="F105" s="5">
        <v>0.05</v>
      </c>
      <c r="G105" s="89" t="s">
        <v>24</v>
      </c>
      <c r="H105" s="9" t="s">
        <v>51</v>
      </c>
      <c r="I105" s="1" t="s">
        <v>18</v>
      </c>
    </row>
    <row r="106" spans="1:9">
      <c r="A106" s="32"/>
      <c r="B106" s="2" t="s">
        <v>12</v>
      </c>
      <c r="C106" s="5">
        <v>6.4600000000000005E-2</v>
      </c>
      <c r="D106" s="5">
        <v>4.8500000000000001E-2</v>
      </c>
      <c r="E106" s="5">
        <v>6.5500000000000003E-2</v>
      </c>
      <c r="F106" s="5">
        <v>0.05</v>
      </c>
      <c r="G106" s="88" t="s">
        <v>24</v>
      </c>
      <c r="H106" s="9" t="s">
        <v>51</v>
      </c>
      <c r="I106" s="9" t="s">
        <v>18</v>
      </c>
    </row>
    <row r="107" spans="1:9">
      <c r="A107" s="32"/>
      <c r="B107" s="2" t="s">
        <v>13</v>
      </c>
      <c r="C107" s="3">
        <v>3.0000000000000001E-3</v>
      </c>
      <c r="D107" s="5">
        <v>2.0999999999999999E-3</v>
      </c>
      <c r="E107" s="3">
        <v>1.4E-3</v>
      </c>
      <c r="F107" s="3">
        <v>0.05</v>
      </c>
      <c r="G107" s="88" t="s">
        <v>24</v>
      </c>
      <c r="H107" s="10" t="s">
        <v>51</v>
      </c>
      <c r="I107" s="131" t="s">
        <v>188</v>
      </c>
    </row>
    <row r="108" spans="1:9" ht="15">
      <c r="A108" s="32"/>
      <c r="B108" s="27" t="s">
        <v>5</v>
      </c>
      <c r="C108" s="101">
        <f>SUBTOTAL(109,C99:C107)</f>
        <v>1.0078999999999998</v>
      </c>
      <c r="D108" s="101">
        <f t="shared" ref="D108:F108" si="1">SUBTOTAL(109,D99:D107)</f>
        <v>1.0084000000000002</v>
      </c>
      <c r="E108" s="101">
        <f t="shared" si="1"/>
        <v>1.0074000000000001</v>
      </c>
      <c r="F108" s="101">
        <f t="shared" si="1"/>
        <v>1.2000000000000002</v>
      </c>
      <c r="G108" s="119" t="s">
        <v>188</v>
      </c>
      <c r="H108" s="120" t="s">
        <v>188</v>
      </c>
      <c r="I108" s="114" t="s">
        <v>188</v>
      </c>
    </row>
    <row r="109" spans="1:9">
      <c r="A109" s="32"/>
      <c r="B109" s="2" t="s">
        <v>6</v>
      </c>
      <c r="C109" s="11">
        <v>5.6899999999999999E-2</v>
      </c>
      <c r="D109" s="11">
        <v>5.5399999999999998E-2</v>
      </c>
      <c r="E109" s="11">
        <v>5.0500000000000003E-2</v>
      </c>
      <c r="F109" s="11">
        <v>0.08</v>
      </c>
      <c r="G109" s="88" t="s">
        <v>23</v>
      </c>
      <c r="H109" s="9" t="s">
        <v>59</v>
      </c>
      <c r="I109" s="1" t="s">
        <v>19</v>
      </c>
    </row>
    <row r="110" spans="1:9" ht="15">
      <c r="A110" s="32"/>
      <c r="B110" s="108" t="s">
        <v>228</v>
      </c>
      <c r="C110" s="12">
        <v>1E-3</v>
      </c>
      <c r="D110" s="12">
        <v>1E-3</v>
      </c>
      <c r="E110" s="12">
        <v>1E-3</v>
      </c>
      <c r="F110" s="140" t="s">
        <v>188</v>
      </c>
      <c r="G110" s="137" t="s">
        <v>188</v>
      </c>
      <c r="H110" s="138" t="s">
        <v>188</v>
      </c>
      <c r="I110" s="144" t="s">
        <v>188</v>
      </c>
    </row>
    <row r="111" spans="1:9" ht="15">
      <c r="A111" s="19"/>
      <c r="B111" s="16"/>
      <c r="C111" s="16"/>
      <c r="D111" s="16"/>
      <c r="E111" s="18"/>
      <c r="F111" s="17"/>
      <c r="G111" s="90"/>
      <c r="H111" s="18"/>
      <c r="I111" s="165"/>
    </row>
    <row r="112" spans="1:9" ht="75">
      <c r="A112" s="29" t="s">
        <v>69</v>
      </c>
      <c r="B112" s="37" t="s">
        <v>44</v>
      </c>
      <c r="C112" s="37"/>
      <c r="D112" s="37"/>
      <c r="E112" s="38"/>
      <c r="F112" s="39"/>
      <c r="G112" s="93"/>
      <c r="H112" s="38"/>
      <c r="I112" s="40"/>
    </row>
    <row r="113" spans="1:9" ht="23.25">
      <c r="A113" s="29"/>
      <c r="B113" s="42" t="s">
        <v>45</v>
      </c>
      <c r="C113" s="42"/>
      <c r="D113" s="42"/>
      <c r="E113" s="38"/>
      <c r="F113" s="39"/>
      <c r="G113" s="93"/>
      <c r="H113" s="38"/>
      <c r="I113" s="40"/>
    </row>
    <row r="114" spans="1:9" ht="15.75">
      <c r="A114" s="30"/>
      <c r="B114" s="227" t="s">
        <v>0</v>
      </c>
      <c r="C114" s="109" t="s">
        <v>188</v>
      </c>
      <c r="D114" s="132" t="s">
        <v>227</v>
      </c>
      <c r="E114" s="122" t="s">
        <v>224</v>
      </c>
      <c r="F114" s="122" t="s">
        <v>199</v>
      </c>
      <c r="G114" s="123" t="s">
        <v>30</v>
      </c>
      <c r="H114" s="123" t="s">
        <v>20</v>
      </c>
      <c r="I114" s="123" t="s">
        <v>35</v>
      </c>
    </row>
    <row r="115" spans="1:9" ht="57">
      <c r="A115" s="32"/>
      <c r="B115" s="224" t="s">
        <v>139</v>
      </c>
      <c r="C115" s="110" t="s">
        <v>188</v>
      </c>
      <c r="D115" s="5">
        <v>0.24879999999999999</v>
      </c>
      <c r="E115" s="5">
        <v>0.23849999999999999</v>
      </c>
      <c r="F115" s="5">
        <v>0.24</v>
      </c>
      <c r="G115" s="175" t="s">
        <v>23</v>
      </c>
      <c r="H115" s="7" t="s">
        <v>63</v>
      </c>
      <c r="I115" s="6" t="s">
        <v>221</v>
      </c>
    </row>
    <row r="116" spans="1:9">
      <c r="A116" s="31"/>
      <c r="B116" s="224" t="s">
        <v>2</v>
      </c>
      <c r="C116" s="111" t="s">
        <v>188</v>
      </c>
      <c r="D116" s="3">
        <v>0.27939999999999998</v>
      </c>
      <c r="E116" s="3">
        <v>0.28810000000000002</v>
      </c>
      <c r="F116" s="3">
        <v>0.27</v>
      </c>
      <c r="G116" s="177" t="s">
        <v>24</v>
      </c>
      <c r="H116" s="4" t="s">
        <v>178</v>
      </c>
      <c r="I116" s="1" t="s">
        <v>14</v>
      </c>
    </row>
    <row r="117" spans="1:9">
      <c r="A117" s="32"/>
      <c r="B117" s="225" t="s">
        <v>138</v>
      </c>
      <c r="C117" s="110" t="s">
        <v>188</v>
      </c>
      <c r="D117" s="3">
        <v>0.33810000000000001</v>
      </c>
      <c r="E117" s="3">
        <v>0.33660000000000001</v>
      </c>
      <c r="F117" s="3">
        <v>0.35</v>
      </c>
      <c r="G117" s="177" t="s">
        <v>23</v>
      </c>
      <c r="H117" s="4" t="s">
        <v>118</v>
      </c>
      <c r="I117" s="1" t="s">
        <v>15</v>
      </c>
    </row>
    <row r="118" spans="1:9" ht="28.5">
      <c r="A118" s="32"/>
      <c r="B118" s="231" t="s">
        <v>9</v>
      </c>
      <c r="C118" s="111" t="s">
        <v>188</v>
      </c>
      <c r="D118" s="3">
        <v>8.1000000000000003E-2</v>
      </c>
      <c r="E118" s="3">
        <v>5.8099999999999999E-2</v>
      </c>
      <c r="F118" s="3">
        <v>7.0000000000000007E-2</v>
      </c>
      <c r="G118" s="178" t="s">
        <v>24</v>
      </c>
      <c r="H118" s="4" t="s">
        <v>50</v>
      </c>
      <c r="I118" s="1" t="s">
        <v>16</v>
      </c>
    </row>
    <row r="119" spans="1:9">
      <c r="A119" s="32"/>
      <c r="B119" s="231" t="s">
        <v>10</v>
      </c>
      <c r="C119" s="111" t="s">
        <v>188</v>
      </c>
      <c r="D119" s="3">
        <v>3.95E-2</v>
      </c>
      <c r="E119" s="3">
        <v>4.4400000000000002E-2</v>
      </c>
      <c r="F119" s="3">
        <v>0.05</v>
      </c>
      <c r="G119" s="178" t="s">
        <v>24</v>
      </c>
      <c r="H119" s="4" t="s">
        <v>51</v>
      </c>
      <c r="I119" s="1" t="s">
        <v>17</v>
      </c>
    </row>
    <row r="120" spans="1:9">
      <c r="A120" s="32"/>
      <c r="B120" s="231" t="s">
        <v>11</v>
      </c>
      <c r="C120" s="111" t="s">
        <v>188</v>
      </c>
      <c r="D120" s="3">
        <v>0</v>
      </c>
      <c r="E120" s="3">
        <v>0</v>
      </c>
      <c r="F120" s="3">
        <v>0.05</v>
      </c>
      <c r="G120" s="178" t="s">
        <v>24</v>
      </c>
      <c r="H120" s="4" t="s">
        <v>51</v>
      </c>
      <c r="I120" s="1" t="s">
        <v>18</v>
      </c>
    </row>
    <row r="121" spans="1:9">
      <c r="A121" s="32"/>
      <c r="B121" s="231" t="s">
        <v>21</v>
      </c>
      <c r="C121" s="111" t="s">
        <v>188</v>
      </c>
      <c r="D121" s="3">
        <v>0</v>
      </c>
      <c r="E121" s="3">
        <v>0</v>
      </c>
      <c r="F121" s="3">
        <v>0.05</v>
      </c>
      <c r="G121" s="178" t="s">
        <v>24</v>
      </c>
      <c r="H121" s="4" t="s">
        <v>51</v>
      </c>
      <c r="I121" s="1" t="s">
        <v>18</v>
      </c>
    </row>
    <row r="122" spans="1:9">
      <c r="A122" s="32"/>
      <c r="B122" s="231" t="s">
        <v>12</v>
      </c>
      <c r="C122" s="111" t="s">
        <v>188</v>
      </c>
      <c r="D122" s="3">
        <v>0.16520000000000001</v>
      </c>
      <c r="E122" s="3">
        <v>0.16619999999999999</v>
      </c>
      <c r="F122" s="3">
        <v>0.12</v>
      </c>
      <c r="G122" s="177" t="s">
        <v>24</v>
      </c>
      <c r="H122" s="4" t="s">
        <v>56</v>
      </c>
      <c r="I122" s="9" t="s">
        <v>18</v>
      </c>
    </row>
    <row r="123" spans="1:9">
      <c r="A123" s="32"/>
      <c r="B123" s="231" t="s">
        <v>13</v>
      </c>
      <c r="C123" s="111" t="s">
        <v>188</v>
      </c>
      <c r="D123" s="3">
        <v>2.06E-2</v>
      </c>
      <c r="E123" s="3">
        <v>2.1499999999999998E-2</v>
      </c>
      <c r="F123" s="3">
        <v>0.05</v>
      </c>
      <c r="G123" s="177" t="s">
        <v>24</v>
      </c>
      <c r="H123" s="179" t="s">
        <v>51</v>
      </c>
      <c r="I123" s="131" t="s">
        <v>188</v>
      </c>
    </row>
    <row r="124" spans="1:9" ht="15">
      <c r="A124" s="32"/>
      <c r="B124" s="226" t="s">
        <v>5</v>
      </c>
      <c r="C124" s="112" t="s">
        <v>188</v>
      </c>
      <c r="D124" s="101">
        <f>SUBTOTAL(109,D115:D123)</f>
        <v>1.1726000000000001</v>
      </c>
      <c r="E124" s="101">
        <f>SUBTOTAL(109,E115:E123)</f>
        <v>1.1534</v>
      </c>
      <c r="F124" s="101">
        <f>SUBTOTAL(109,F115:F123)</f>
        <v>1.2500000000000002</v>
      </c>
      <c r="G124" s="181" t="s">
        <v>188</v>
      </c>
      <c r="H124" s="182" t="s">
        <v>188</v>
      </c>
      <c r="I124" s="114" t="s">
        <v>188</v>
      </c>
    </row>
    <row r="125" spans="1:9">
      <c r="A125" s="32"/>
      <c r="B125" s="224" t="s">
        <v>6</v>
      </c>
      <c r="C125" s="111" t="s">
        <v>188</v>
      </c>
      <c r="D125" s="11">
        <v>0.17860000000000001</v>
      </c>
      <c r="E125" s="11">
        <v>0.17680000000000001</v>
      </c>
      <c r="F125" s="11">
        <v>0.18</v>
      </c>
      <c r="G125" s="177" t="s">
        <v>23</v>
      </c>
      <c r="H125" s="4" t="s">
        <v>205</v>
      </c>
      <c r="I125" s="1" t="s">
        <v>19</v>
      </c>
    </row>
    <row r="126" spans="1:9" ht="15">
      <c r="A126" s="32"/>
      <c r="B126" s="228" t="s">
        <v>228</v>
      </c>
      <c r="C126" s="112" t="s">
        <v>188</v>
      </c>
      <c r="D126" s="12">
        <v>2.2000000000000001E-3</v>
      </c>
      <c r="E126" s="12">
        <v>1.6999999999999999E-3</v>
      </c>
      <c r="F126" s="140" t="s">
        <v>188</v>
      </c>
      <c r="G126" s="137" t="s">
        <v>188</v>
      </c>
      <c r="H126" s="138" t="s">
        <v>188</v>
      </c>
      <c r="I126" s="144" t="s">
        <v>188</v>
      </c>
    </row>
    <row r="127" spans="1:9" ht="15">
      <c r="A127" s="19"/>
      <c r="B127" s="16"/>
      <c r="C127" s="16"/>
      <c r="D127" s="16"/>
      <c r="E127" s="18"/>
      <c r="F127" s="17"/>
      <c r="G127" s="90"/>
      <c r="H127" s="18"/>
      <c r="I127" s="165"/>
    </row>
    <row r="128" spans="1:9" ht="45">
      <c r="A128" s="29" t="s">
        <v>70</v>
      </c>
      <c r="B128" s="37" t="s">
        <v>71</v>
      </c>
      <c r="C128" s="37"/>
      <c r="D128" s="37"/>
      <c r="E128" s="38"/>
      <c r="F128" s="39"/>
      <c r="G128" s="93"/>
      <c r="H128" s="38"/>
      <c r="I128" s="40"/>
    </row>
    <row r="129" spans="1:9" ht="23.25">
      <c r="A129" s="29"/>
      <c r="B129" s="42" t="s">
        <v>72</v>
      </c>
      <c r="C129" s="42"/>
      <c r="D129" s="42"/>
      <c r="E129" s="38"/>
      <c r="F129" s="39"/>
      <c r="G129" s="93"/>
      <c r="H129" s="38"/>
      <c r="I129" s="40"/>
    </row>
    <row r="130" spans="1:9" ht="23.25">
      <c r="A130" s="29"/>
      <c r="B130" s="42" t="s">
        <v>73</v>
      </c>
      <c r="C130" s="42"/>
      <c r="D130" s="42"/>
      <c r="E130" s="38"/>
      <c r="F130" s="39"/>
      <c r="G130" s="93"/>
      <c r="H130" s="38"/>
      <c r="I130" s="40"/>
    </row>
    <row r="131" spans="1:9" ht="15.75">
      <c r="A131" s="30"/>
      <c r="B131" s="121" t="s">
        <v>0</v>
      </c>
      <c r="C131" s="122" t="s">
        <v>226</v>
      </c>
      <c r="D131" s="122" t="s">
        <v>225</v>
      </c>
      <c r="E131" s="122" t="s">
        <v>224</v>
      </c>
      <c r="F131" s="122" t="s">
        <v>199</v>
      </c>
      <c r="G131" s="123" t="s">
        <v>30</v>
      </c>
      <c r="H131" s="123" t="s">
        <v>20</v>
      </c>
      <c r="I131" s="123" t="s">
        <v>35</v>
      </c>
    </row>
    <row r="132" spans="1:9">
      <c r="A132" s="32"/>
      <c r="B132" s="106" t="s">
        <v>139</v>
      </c>
      <c r="C132" s="125" t="s">
        <v>188</v>
      </c>
      <c r="D132" s="125" t="s">
        <v>188</v>
      </c>
      <c r="E132" s="125" t="s">
        <v>188</v>
      </c>
      <c r="F132" s="125" t="s">
        <v>188</v>
      </c>
      <c r="G132" s="87" t="s">
        <v>23</v>
      </c>
      <c r="H132" s="155" t="s">
        <v>250</v>
      </c>
      <c r="I132" s="145" t="s">
        <v>188</v>
      </c>
    </row>
    <row r="133" spans="1:9">
      <c r="A133" s="31"/>
      <c r="B133" s="106" t="s">
        <v>2</v>
      </c>
      <c r="C133" s="56">
        <v>0.9486</v>
      </c>
      <c r="D133" s="56">
        <v>0.9325</v>
      </c>
      <c r="E133" s="56">
        <v>0.96250000000000002</v>
      </c>
      <c r="F133" s="56">
        <v>0.95</v>
      </c>
      <c r="G133" s="88" t="s">
        <v>24</v>
      </c>
      <c r="H133" s="4" t="s">
        <v>131</v>
      </c>
      <c r="I133" s="1" t="s">
        <v>14</v>
      </c>
    </row>
    <row r="134" spans="1:9">
      <c r="A134" s="32"/>
      <c r="B134" s="107" t="s">
        <v>138</v>
      </c>
      <c r="C134" s="56">
        <v>1.7999999999999999E-2</v>
      </c>
      <c r="D134" s="56">
        <v>2.35E-2</v>
      </c>
      <c r="E134" s="56">
        <v>2.2800000000000001E-2</v>
      </c>
      <c r="F134" s="56">
        <v>0.06</v>
      </c>
      <c r="G134" s="88" t="s">
        <v>23</v>
      </c>
      <c r="H134" s="4" t="s">
        <v>58</v>
      </c>
      <c r="I134" s="143" t="s">
        <v>188</v>
      </c>
    </row>
    <row r="135" spans="1:9">
      <c r="A135" s="32"/>
      <c r="B135" s="156" t="s">
        <v>12</v>
      </c>
      <c r="C135" s="56">
        <v>3.3300000000000003E-2</v>
      </c>
      <c r="D135" s="56">
        <v>4.3900000000000002E-2</v>
      </c>
      <c r="E135" s="56">
        <v>1.47E-2</v>
      </c>
      <c r="F135" s="56">
        <v>0.05</v>
      </c>
      <c r="G135" s="88" t="s">
        <v>24</v>
      </c>
      <c r="H135" s="9" t="s">
        <v>51</v>
      </c>
      <c r="I135" s="9" t="s">
        <v>18</v>
      </c>
    </row>
    <row r="136" spans="1:9" ht="15">
      <c r="A136" s="32"/>
      <c r="B136" s="108" t="s">
        <v>5</v>
      </c>
      <c r="C136" s="28">
        <f>SUBTOTAL(109,C132:C135)</f>
        <v>0.99990000000000001</v>
      </c>
      <c r="D136" s="28">
        <f t="shared" ref="D136:F136" si="2">SUBTOTAL(109,D132:D135)</f>
        <v>0.99990000000000001</v>
      </c>
      <c r="E136" s="28">
        <f t="shared" si="2"/>
        <v>1</v>
      </c>
      <c r="F136" s="28">
        <f t="shared" si="2"/>
        <v>1.06</v>
      </c>
      <c r="G136" s="119" t="s">
        <v>188</v>
      </c>
      <c r="H136" s="120" t="s">
        <v>250</v>
      </c>
      <c r="I136" s="114" t="s">
        <v>188</v>
      </c>
    </row>
    <row r="137" spans="1:9">
      <c r="A137" s="32"/>
      <c r="B137" s="106" t="s">
        <v>6</v>
      </c>
      <c r="C137" s="139" t="s">
        <v>188</v>
      </c>
      <c r="D137" s="139" t="s">
        <v>188</v>
      </c>
      <c r="E137" s="139">
        <v>0</v>
      </c>
      <c r="F137" s="139" t="s">
        <v>188</v>
      </c>
      <c r="G137" s="88" t="s">
        <v>23</v>
      </c>
      <c r="H137" s="131" t="s">
        <v>250</v>
      </c>
      <c r="I137" s="143" t="s">
        <v>188</v>
      </c>
    </row>
    <row r="138" spans="1:9" ht="15">
      <c r="A138" s="32"/>
      <c r="B138" s="108" t="s">
        <v>228</v>
      </c>
      <c r="C138" s="12">
        <v>1E-3</v>
      </c>
      <c r="D138" s="12">
        <v>1E-3</v>
      </c>
      <c r="E138" s="12">
        <v>1E-3</v>
      </c>
      <c r="F138" s="140" t="s">
        <v>188</v>
      </c>
      <c r="G138" s="137" t="s">
        <v>188</v>
      </c>
      <c r="H138" s="138" t="s">
        <v>188</v>
      </c>
      <c r="I138" s="144" t="s">
        <v>188</v>
      </c>
    </row>
    <row r="139" spans="1:9" ht="15">
      <c r="A139" s="19"/>
      <c r="B139" s="16"/>
      <c r="C139" s="16"/>
      <c r="D139" s="16"/>
      <c r="E139" s="18"/>
      <c r="F139" s="17"/>
      <c r="G139" s="90"/>
      <c r="H139" s="18"/>
      <c r="I139" s="165"/>
    </row>
    <row r="140" spans="1:9" ht="60">
      <c r="A140" s="43" t="s">
        <v>92</v>
      </c>
      <c r="B140" s="37" t="s">
        <v>74</v>
      </c>
      <c r="C140" s="37"/>
      <c r="D140" s="37"/>
      <c r="E140" s="38"/>
      <c r="F140" s="39"/>
      <c r="G140" s="93"/>
      <c r="H140" s="38"/>
      <c r="I140" s="40"/>
    </row>
    <row r="141" spans="1:9" ht="23.25">
      <c r="A141" s="43"/>
      <c r="B141" s="42" t="s">
        <v>75</v>
      </c>
      <c r="C141" s="42"/>
      <c r="D141" s="42"/>
      <c r="E141" s="38"/>
      <c r="F141" s="39"/>
      <c r="G141" s="93"/>
      <c r="H141" s="38"/>
      <c r="I141" s="40"/>
    </row>
    <row r="142" spans="1:9" ht="23.25">
      <c r="A142" s="43"/>
      <c r="B142" s="42" t="s">
        <v>76</v>
      </c>
      <c r="C142" s="42"/>
      <c r="D142" s="42"/>
      <c r="E142" s="38"/>
      <c r="F142" s="39"/>
      <c r="G142" s="93"/>
      <c r="H142" s="38"/>
      <c r="I142" s="40"/>
    </row>
    <row r="143" spans="1:9" ht="15.75">
      <c r="A143" s="44"/>
      <c r="B143" s="121" t="s">
        <v>0</v>
      </c>
      <c r="C143" s="122" t="s">
        <v>226</v>
      </c>
      <c r="D143" s="122" t="s">
        <v>225</v>
      </c>
      <c r="E143" s="122" t="s">
        <v>224</v>
      </c>
      <c r="F143" s="122" t="s">
        <v>199</v>
      </c>
      <c r="G143" s="123" t="s">
        <v>30</v>
      </c>
      <c r="H143" s="123" t="s">
        <v>20</v>
      </c>
      <c r="I143" s="123" t="s">
        <v>35</v>
      </c>
    </row>
    <row r="144" spans="1:9" ht="28.5">
      <c r="A144" s="46"/>
      <c r="B144" s="106" t="s">
        <v>139</v>
      </c>
      <c r="C144" s="63">
        <v>0.44180000000000003</v>
      </c>
      <c r="D144" s="63">
        <v>0.44169999999999998</v>
      </c>
      <c r="E144" s="63">
        <v>0.44290000000000002</v>
      </c>
      <c r="F144" s="63">
        <v>0.46</v>
      </c>
      <c r="G144" s="87" t="s">
        <v>23</v>
      </c>
      <c r="H144" s="7" t="s">
        <v>48</v>
      </c>
      <c r="I144" s="6" t="s">
        <v>230</v>
      </c>
    </row>
    <row r="145" spans="1:9">
      <c r="A145" s="45"/>
      <c r="B145" s="106" t="s">
        <v>2</v>
      </c>
      <c r="C145" s="56">
        <v>0.24099999999999999</v>
      </c>
      <c r="D145" s="56">
        <v>0.22370000000000001</v>
      </c>
      <c r="E145" s="56">
        <v>0.22009999999999999</v>
      </c>
      <c r="F145" s="56">
        <v>0.2</v>
      </c>
      <c r="G145" s="88" t="s">
        <v>24</v>
      </c>
      <c r="H145" s="4" t="s">
        <v>132</v>
      </c>
      <c r="I145" s="1" t="s">
        <v>14</v>
      </c>
    </row>
    <row r="146" spans="1:9">
      <c r="A146" s="46"/>
      <c r="B146" s="107" t="s">
        <v>138</v>
      </c>
      <c r="C146" s="56">
        <v>0.38790000000000002</v>
      </c>
      <c r="D146" s="56">
        <v>0.36909999999999998</v>
      </c>
      <c r="E146" s="56">
        <v>0.36720000000000003</v>
      </c>
      <c r="F146" s="56">
        <v>0.34</v>
      </c>
      <c r="G146" s="88" t="s">
        <v>23</v>
      </c>
      <c r="H146" s="4" t="s">
        <v>126</v>
      </c>
      <c r="I146" s="1" t="s">
        <v>15</v>
      </c>
    </row>
    <row r="147" spans="1:9">
      <c r="A147" s="46"/>
      <c r="B147" s="106" t="s">
        <v>12</v>
      </c>
      <c r="C147" s="56">
        <v>0.19309999999999999</v>
      </c>
      <c r="D147" s="56">
        <v>0.18629999999999999</v>
      </c>
      <c r="E147" s="56">
        <v>0.1875</v>
      </c>
      <c r="F147" s="56">
        <v>0.15</v>
      </c>
      <c r="G147" s="88" t="s">
        <v>24</v>
      </c>
      <c r="H147" s="9" t="s">
        <v>52</v>
      </c>
      <c r="I147" s="9" t="s">
        <v>18</v>
      </c>
    </row>
    <row r="148" spans="1:9" ht="15">
      <c r="A148" s="46"/>
      <c r="B148" s="108" t="s">
        <v>5</v>
      </c>
      <c r="C148" s="104">
        <f>SUBTOTAL(109,C144:C147)</f>
        <v>1.2638</v>
      </c>
      <c r="D148" s="104">
        <f t="shared" ref="D148:F148" si="3">SUBTOTAL(109,D144:D147)</f>
        <v>1.2207999999999999</v>
      </c>
      <c r="E148" s="104">
        <f t="shared" si="3"/>
        <v>1.2177</v>
      </c>
      <c r="F148" s="104">
        <f t="shared" si="3"/>
        <v>1.1499999999999999</v>
      </c>
      <c r="G148" s="119" t="s">
        <v>188</v>
      </c>
      <c r="H148" s="120" t="s">
        <v>188</v>
      </c>
      <c r="I148" s="114" t="s">
        <v>188</v>
      </c>
    </row>
    <row r="149" spans="1:9">
      <c r="A149" s="46"/>
      <c r="B149" s="106" t="s">
        <v>6</v>
      </c>
      <c r="C149" s="69">
        <v>0.15659999999999999</v>
      </c>
      <c r="D149" s="69">
        <v>0.1535</v>
      </c>
      <c r="E149" s="69">
        <v>0.15229999999999999</v>
      </c>
      <c r="F149" s="69">
        <v>0.18</v>
      </c>
      <c r="G149" s="88" t="s">
        <v>23</v>
      </c>
      <c r="H149" s="9" t="s">
        <v>205</v>
      </c>
      <c r="I149" s="1" t="s">
        <v>19</v>
      </c>
    </row>
    <row r="150" spans="1:9" ht="15">
      <c r="A150" s="46"/>
      <c r="B150" s="108" t="s">
        <v>228</v>
      </c>
      <c r="C150" s="12">
        <v>5.9999999999999995E-4</v>
      </c>
      <c r="D150" s="12">
        <v>5.9999999999999995E-4</v>
      </c>
      <c r="E150" s="12">
        <v>5.9999999999999995E-4</v>
      </c>
      <c r="F150" s="136" t="s">
        <v>188</v>
      </c>
      <c r="G150" s="137" t="s">
        <v>188</v>
      </c>
      <c r="H150" s="138" t="s">
        <v>188</v>
      </c>
      <c r="I150" s="144" t="s">
        <v>188</v>
      </c>
    </row>
    <row r="151" spans="1:9" ht="15">
      <c r="A151" s="19"/>
      <c r="B151" s="16"/>
      <c r="C151" s="16"/>
      <c r="D151" s="16"/>
      <c r="E151" s="18"/>
      <c r="F151" s="17"/>
      <c r="G151" s="90"/>
      <c r="H151" s="18"/>
      <c r="I151" s="165"/>
    </row>
    <row r="152" spans="1:9" ht="60">
      <c r="A152" s="43" t="s">
        <v>82</v>
      </c>
      <c r="B152" s="37" t="s">
        <v>79</v>
      </c>
      <c r="C152" s="37"/>
      <c r="D152" s="37"/>
      <c r="E152" s="38"/>
      <c r="F152" s="39"/>
      <c r="G152" s="93"/>
      <c r="H152" s="38"/>
      <c r="I152" s="40"/>
    </row>
    <row r="153" spans="1:9" ht="23.25">
      <c r="A153" s="43"/>
      <c r="B153" s="42" t="s">
        <v>80</v>
      </c>
      <c r="C153" s="42"/>
      <c r="D153" s="42"/>
      <c r="E153" s="38"/>
      <c r="F153" s="39"/>
      <c r="G153" s="93"/>
      <c r="H153" s="38"/>
      <c r="I153" s="40"/>
    </row>
    <row r="154" spans="1:9" ht="23.25">
      <c r="A154" s="43"/>
      <c r="B154" s="42" t="s">
        <v>81</v>
      </c>
      <c r="C154" s="42"/>
      <c r="D154" s="42"/>
      <c r="E154" s="38"/>
      <c r="F154" s="39"/>
      <c r="G154" s="93"/>
      <c r="H154" s="38"/>
      <c r="I154" s="40"/>
    </row>
    <row r="155" spans="1:9" ht="15.75">
      <c r="A155" s="44"/>
      <c r="B155" s="132" t="s">
        <v>0</v>
      </c>
      <c r="C155" s="122" t="s">
        <v>226</v>
      </c>
      <c r="D155" s="122" t="s">
        <v>225</v>
      </c>
      <c r="E155" s="122" t="s">
        <v>224</v>
      </c>
      <c r="F155" s="122" t="s">
        <v>199</v>
      </c>
      <c r="G155" s="123" t="s">
        <v>30</v>
      </c>
      <c r="H155" s="123" t="s">
        <v>20</v>
      </c>
      <c r="I155" s="123" t="s">
        <v>35</v>
      </c>
    </row>
    <row r="156" spans="1:9" ht="28.5">
      <c r="A156" s="46"/>
      <c r="B156" s="174" t="s">
        <v>139</v>
      </c>
      <c r="C156" s="63">
        <v>0.96960000000000002</v>
      </c>
      <c r="D156" s="63">
        <v>0.96309999999999996</v>
      </c>
      <c r="E156" s="63">
        <v>0.96389999999999998</v>
      </c>
      <c r="F156" s="63">
        <v>0.94</v>
      </c>
      <c r="G156" s="87" t="s">
        <v>23</v>
      </c>
      <c r="H156" s="7" t="s">
        <v>98</v>
      </c>
      <c r="I156" s="6" t="s">
        <v>230</v>
      </c>
    </row>
    <row r="157" spans="1:9">
      <c r="A157" s="45"/>
      <c r="B157" s="174" t="s">
        <v>2</v>
      </c>
      <c r="C157" s="56">
        <v>0.41870000000000002</v>
      </c>
      <c r="D157" s="56">
        <v>0.4289</v>
      </c>
      <c r="E157" s="56">
        <v>0.4284</v>
      </c>
      <c r="F157" s="56">
        <v>0.47</v>
      </c>
      <c r="G157" s="88" t="s">
        <v>24</v>
      </c>
      <c r="H157" s="4" t="s">
        <v>133</v>
      </c>
      <c r="I157" s="1" t="s">
        <v>14</v>
      </c>
    </row>
    <row r="158" spans="1:9">
      <c r="A158" s="46"/>
      <c r="B158" s="183" t="s">
        <v>138</v>
      </c>
      <c r="C158" s="56">
        <v>2.53E-2</v>
      </c>
      <c r="D158" s="56">
        <v>2.4500000000000001E-2</v>
      </c>
      <c r="E158" s="56">
        <v>2.3900000000000001E-2</v>
      </c>
      <c r="F158" s="56">
        <v>0.06</v>
      </c>
      <c r="G158" s="88" t="s">
        <v>23</v>
      </c>
      <c r="H158" s="4" t="s">
        <v>58</v>
      </c>
      <c r="I158" s="1" t="s">
        <v>15</v>
      </c>
    </row>
    <row r="159" spans="1:9">
      <c r="A159" s="46"/>
      <c r="B159" s="174" t="s">
        <v>12</v>
      </c>
      <c r="C159" s="3">
        <v>0.16120000000000001</v>
      </c>
      <c r="D159" s="3">
        <v>0.16370000000000001</v>
      </c>
      <c r="E159" s="3">
        <v>0.15340000000000001</v>
      </c>
      <c r="F159" s="3">
        <v>0.15</v>
      </c>
      <c r="G159" s="88" t="s">
        <v>24</v>
      </c>
      <c r="H159" s="9" t="s">
        <v>52</v>
      </c>
      <c r="I159" s="9" t="s">
        <v>18</v>
      </c>
    </row>
    <row r="160" spans="1:9" ht="15">
      <c r="A160" s="46"/>
      <c r="B160" s="184" t="s">
        <v>5</v>
      </c>
      <c r="C160" s="101">
        <f>SUBTOTAL(109,C156:C159)</f>
        <v>1.5748000000000002</v>
      </c>
      <c r="D160" s="101">
        <f>SUBTOTAL(109,D156:D159)</f>
        <v>1.5801999999999998</v>
      </c>
      <c r="E160" s="101">
        <f>SUBTOTAL(109,E156:E159)</f>
        <v>1.5696000000000001</v>
      </c>
      <c r="F160" s="101">
        <f>SUBTOTAL(109,F156:F159)</f>
        <v>1.6199999999999999</v>
      </c>
      <c r="G160" s="119" t="s">
        <v>188</v>
      </c>
      <c r="H160" s="120" t="s">
        <v>188</v>
      </c>
      <c r="I160" s="114" t="s">
        <v>188</v>
      </c>
    </row>
    <row r="161" spans="1:9">
      <c r="A161" s="46"/>
      <c r="B161" s="174" t="s">
        <v>6</v>
      </c>
      <c r="C161" s="11">
        <v>0.17899999999999999</v>
      </c>
      <c r="D161" s="11">
        <v>0.1681</v>
      </c>
      <c r="E161" s="11">
        <v>0.17780000000000001</v>
      </c>
      <c r="F161" s="11">
        <v>0.18</v>
      </c>
      <c r="G161" s="88" t="s">
        <v>23</v>
      </c>
      <c r="H161" s="9" t="s">
        <v>205</v>
      </c>
      <c r="I161" s="1" t="s">
        <v>19</v>
      </c>
    </row>
    <row r="162" spans="1:9" ht="15">
      <c r="A162" s="46"/>
      <c r="B162" s="108" t="s">
        <v>228</v>
      </c>
      <c r="C162" s="12">
        <v>5.9999999999999995E-4</v>
      </c>
      <c r="D162" s="12">
        <v>5.9999999999999995E-4</v>
      </c>
      <c r="E162" s="102">
        <v>5.9999999999999995E-4</v>
      </c>
      <c r="F162" s="136" t="s">
        <v>188</v>
      </c>
      <c r="G162" s="137" t="s">
        <v>188</v>
      </c>
      <c r="H162" s="138" t="s">
        <v>188</v>
      </c>
      <c r="I162" s="144" t="s">
        <v>188</v>
      </c>
    </row>
    <row r="163" spans="1:9" ht="15">
      <c r="A163" s="19"/>
      <c r="B163" s="16"/>
      <c r="C163" s="16"/>
      <c r="D163" s="16"/>
      <c r="E163" s="18"/>
      <c r="F163" s="17"/>
      <c r="G163" s="90"/>
      <c r="H163" s="18"/>
      <c r="I163" s="165"/>
    </row>
    <row r="164" spans="1:9" ht="60">
      <c r="A164" s="43" t="s">
        <v>83</v>
      </c>
      <c r="B164" s="37" t="s">
        <v>84</v>
      </c>
      <c r="C164" s="37"/>
      <c r="D164" s="37"/>
      <c r="E164" s="38"/>
      <c r="F164" s="39"/>
      <c r="G164" s="93"/>
      <c r="H164" s="38"/>
      <c r="I164" s="40"/>
    </row>
    <row r="165" spans="1:9" ht="23.25">
      <c r="A165" s="43"/>
      <c r="B165" s="42" t="s">
        <v>85</v>
      </c>
      <c r="C165" s="42"/>
      <c r="D165" s="42"/>
      <c r="E165" s="38"/>
      <c r="F165" s="39"/>
      <c r="G165" s="93"/>
      <c r="H165" s="38"/>
      <c r="I165" s="40"/>
    </row>
    <row r="166" spans="1:9" ht="23.25">
      <c r="A166" s="43"/>
      <c r="B166" s="42" t="s">
        <v>89</v>
      </c>
      <c r="C166" s="42"/>
      <c r="D166" s="42"/>
      <c r="E166" s="38"/>
      <c r="F166" s="39"/>
      <c r="G166" s="93"/>
      <c r="H166" s="38"/>
      <c r="I166" s="40"/>
    </row>
    <row r="167" spans="1:9" ht="15.75">
      <c r="A167" s="44"/>
      <c r="B167" s="132" t="s">
        <v>0</v>
      </c>
      <c r="C167" s="122" t="s">
        <v>226</v>
      </c>
      <c r="D167" s="122" t="s">
        <v>225</v>
      </c>
      <c r="E167" s="122" t="s">
        <v>224</v>
      </c>
      <c r="F167" s="122" t="s">
        <v>199</v>
      </c>
      <c r="G167" s="123" t="s">
        <v>30</v>
      </c>
      <c r="H167" s="123" t="s">
        <v>20</v>
      </c>
      <c r="I167" s="123" t="s">
        <v>35</v>
      </c>
    </row>
    <row r="168" spans="1:9" ht="28.5">
      <c r="A168" s="46"/>
      <c r="B168" s="174" t="s">
        <v>139</v>
      </c>
      <c r="C168" s="5">
        <v>3.4299999999999997E-2</v>
      </c>
      <c r="D168" s="5">
        <v>2.76E-2</v>
      </c>
      <c r="E168" s="5">
        <v>2.69E-2</v>
      </c>
      <c r="F168" s="5">
        <v>0.06</v>
      </c>
      <c r="G168" s="87" t="s">
        <v>23</v>
      </c>
      <c r="H168" s="7" t="s">
        <v>58</v>
      </c>
      <c r="I168" s="6" t="s">
        <v>230</v>
      </c>
    </row>
    <row r="169" spans="1:9">
      <c r="A169" s="45"/>
      <c r="B169" s="174" t="s">
        <v>2</v>
      </c>
      <c r="C169" s="3">
        <v>0.1047</v>
      </c>
      <c r="D169" s="3">
        <v>0.10580000000000001</v>
      </c>
      <c r="E169" s="3">
        <v>0.1124</v>
      </c>
      <c r="F169" s="3">
        <v>0.1</v>
      </c>
      <c r="G169" s="88" t="s">
        <v>24</v>
      </c>
      <c r="H169" s="4" t="s">
        <v>49</v>
      </c>
      <c r="I169" s="1" t="s">
        <v>14</v>
      </c>
    </row>
    <row r="170" spans="1:9">
      <c r="A170" s="46"/>
      <c r="B170" s="183" t="s">
        <v>138</v>
      </c>
      <c r="C170" s="3">
        <v>0.82169999999999999</v>
      </c>
      <c r="D170" s="3">
        <v>0.82040000000000002</v>
      </c>
      <c r="E170" s="3">
        <v>0.78590000000000004</v>
      </c>
      <c r="F170" s="3">
        <v>0.85</v>
      </c>
      <c r="G170" s="88" t="s">
        <v>23</v>
      </c>
      <c r="H170" s="4" t="s">
        <v>238</v>
      </c>
      <c r="I170" s="1" t="s">
        <v>15</v>
      </c>
    </row>
    <row r="171" spans="1:9">
      <c r="A171" s="46"/>
      <c r="B171" s="174" t="s">
        <v>12</v>
      </c>
      <c r="C171" s="56">
        <v>4.1700000000000001E-2</v>
      </c>
      <c r="D171" s="56">
        <v>4.8099999999999997E-2</v>
      </c>
      <c r="E171" s="56">
        <v>7.6899999999999996E-2</v>
      </c>
      <c r="F171" s="56">
        <v>0.05</v>
      </c>
      <c r="G171" s="88" t="s">
        <v>24</v>
      </c>
      <c r="H171" s="9" t="s">
        <v>51</v>
      </c>
      <c r="I171" s="9" t="s">
        <v>18</v>
      </c>
    </row>
    <row r="172" spans="1:9" ht="15">
      <c r="A172" s="46"/>
      <c r="B172" s="184" t="s">
        <v>5</v>
      </c>
      <c r="C172" s="101">
        <f>SUBTOTAL(109,C168:C171)</f>
        <v>1.0024</v>
      </c>
      <c r="D172" s="101">
        <f>SUBTOTAL(109,D168:D171)</f>
        <v>1.0019</v>
      </c>
      <c r="E172" s="101">
        <f>SUBTOTAL(109,E168:E171)</f>
        <v>1.0021</v>
      </c>
      <c r="F172" s="101">
        <f>SUBTOTAL(109,F168:F171)</f>
        <v>1.06</v>
      </c>
      <c r="G172" s="119" t="s">
        <v>188</v>
      </c>
      <c r="H172" s="120" t="s">
        <v>250</v>
      </c>
      <c r="I172" s="114" t="s">
        <v>188</v>
      </c>
    </row>
    <row r="173" spans="1:9">
      <c r="A173" s="46"/>
      <c r="B173" s="174" t="s">
        <v>6</v>
      </c>
      <c r="C173" s="11">
        <v>5.3999999999999999E-2</v>
      </c>
      <c r="D173" s="11">
        <v>4.5999999999999999E-2</v>
      </c>
      <c r="E173" s="11">
        <v>4.19E-2</v>
      </c>
      <c r="F173" s="11">
        <v>0.08</v>
      </c>
      <c r="G173" s="88" t="s">
        <v>23</v>
      </c>
      <c r="H173" s="9" t="s">
        <v>59</v>
      </c>
      <c r="I173" s="1" t="s">
        <v>19</v>
      </c>
    </row>
    <row r="174" spans="1:9" ht="15">
      <c r="A174" s="46"/>
      <c r="B174" s="108" t="s">
        <v>228</v>
      </c>
      <c r="C174" s="12">
        <v>5.9999999999999995E-4</v>
      </c>
      <c r="D174" s="12">
        <v>5.9999999999999995E-4</v>
      </c>
      <c r="E174" s="12">
        <v>5.9999999999999995E-4</v>
      </c>
      <c r="F174" s="136" t="s">
        <v>188</v>
      </c>
      <c r="G174" s="137" t="s">
        <v>188</v>
      </c>
      <c r="H174" s="138" t="s">
        <v>188</v>
      </c>
      <c r="I174" s="144" t="s">
        <v>188</v>
      </c>
    </row>
    <row r="175" spans="1:9" ht="15">
      <c r="A175" s="19"/>
      <c r="B175" s="16"/>
      <c r="C175" s="16"/>
      <c r="D175" s="16"/>
      <c r="E175" s="18"/>
      <c r="F175" s="17"/>
      <c r="G175" s="90"/>
      <c r="H175" s="18"/>
      <c r="I175" s="165"/>
    </row>
    <row r="176" spans="1:9" ht="75">
      <c r="A176" s="43" t="s">
        <v>90</v>
      </c>
      <c r="B176" s="37" t="s">
        <v>88</v>
      </c>
      <c r="C176" s="37"/>
      <c r="D176" s="37"/>
      <c r="E176" s="38"/>
      <c r="F176" s="39"/>
      <c r="G176" s="93"/>
      <c r="H176" s="38"/>
      <c r="I176" s="40"/>
    </row>
    <row r="177" spans="1:9" ht="23.25">
      <c r="A177" s="43"/>
      <c r="B177" s="42" t="s">
        <v>87</v>
      </c>
      <c r="C177" s="42"/>
      <c r="D177" s="42"/>
      <c r="E177" s="38"/>
      <c r="F177" s="39"/>
      <c r="G177" s="93"/>
      <c r="H177" s="38"/>
      <c r="I177" s="40"/>
    </row>
    <row r="178" spans="1:9" ht="15.75">
      <c r="A178" s="44"/>
      <c r="B178" s="227" t="s">
        <v>0</v>
      </c>
      <c r="C178" s="109" t="s">
        <v>188</v>
      </c>
      <c r="D178" s="132" t="s">
        <v>225</v>
      </c>
      <c r="E178" s="122" t="s">
        <v>224</v>
      </c>
      <c r="F178" s="122" t="s">
        <v>199</v>
      </c>
      <c r="G178" s="123" t="s">
        <v>30</v>
      </c>
      <c r="H178" s="123" t="s">
        <v>20</v>
      </c>
      <c r="I178" s="123" t="s">
        <v>35</v>
      </c>
    </row>
    <row r="179" spans="1:9" ht="28.5">
      <c r="A179" s="46"/>
      <c r="B179" s="224" t="s">
        <v>139</v>
      </c>
      <c r="C179" s="110" t="s">
        <v>188</v>
      </c>
      <c r="D179" s="64">
        <v>0.20569999999999999</v>
      </c>
      <c r="E179" s="5">
        <v>0.20519999999999999</v>
      </c>
      <c r="F179" s="5">
        <v>0.19</v>
      </c>
      <c r="G179" s="87" t="s">
        <v>23</v>
      </c>
      <c r="H179" s="7" t="s">
        <v>55</v>
      </c>
      <c r="I179" s="6" t="s">
        <v>230</v>
      </c>
    </row>
    <row r="180" spans="1:9">
      <c r="A180" s="45"/>
      <c r="B180" s="224" t="s">
        <v>2</v>
      </c>
      <c r="C180" s="111" t="s">
        <v>188</v>
      </c>
      <c r="D180" s="65">
        <v>0.25119999999999998</v>
      </c>
      <c r="E180" s="3">
        <v>0.25729999999999997</v>
      </c>
      <c r="F180" s="3">
        <v>0.25</v>
      </c>
      <c r="G180" s="88" t="s">
        <v>24</v>
      </c>
      <c r="H180" s="4" t="s">
        <v>54</v>
      </c>
      <c r="I180" s="1" t="s">
        <v>14</v>
      </c>
    </row>
    <row r="181" spans="1:9">
      <c r="A181" s="46"/>
      <c r="B181" s="225" t="s">
        <v>138</v>
      </c>
      <c r="C181" s="110" t="s">
        <v>188</v>
      </c>
      <c r="D181" s="65">
        <v>0.44259999999999999</v>
      </c>
      <c r="E181" s="3">
        <v>0.4415</v>
      </c>
      <c r="F181" s="3">
        <v>0.45</v>
      </c>
      <c r="G181" s="88" t="s">
        <v>23</v>
      </c>
      <c r="H181" s="4" t="s">
        <v>66</v>
      </c>
      <c r="I181" s="1" t="s">
        <v>15</v>
      </c>
    </row>
    <row r="182" spans="1:9">
      <c r="A182" s="46"/>
      <c r="B182" s="224" t="s">
        <v>12</v>
      </c>
      <c r="C182" s="111" t="s">
        <v>188</v>
      </c>
      <c r="D182" s="65">
        <v>0.16739999999999999</v>
      </c>
      <c r="E182" s="3">
        <v>0.1661</v>
      </c>
      <c r="F182" s="3">
        <v>0.15</v>
      </c>
      <c r="G182" s="88" t="s">
        <v>24</v>
      </c>
      <c r="H182" s="9" t="s">
        <v>52</v>
      </c>
      <c r="I182" s="9" t="s">
        <v>18</v>
      </c>
    </row>
    <row r="183" spans="1:9" ht="15">
      <c r="A183" s="46"/>
      <c r="B183" s="226" t="s">
        <v>5</v>
      </c>
      <c r="C183" s="111" t="s">
        <v>188</v>
      </c>
      <c r="D183" s="230">
        <f>SUBTOTAL(109,D179:D182)</f>
        <v>1.0669</v>
      </c>
      <c r="E183" s="101">
        <f>SUBTOTAL(109,E179:E182)</f>
        <v>1.0700999999999998</v>
      </c>
      <c r="F183" s="101">
        <f>SUBTOTAL(109,F179:F182)</f>
        <v>1.04</v>
      </c>
      <c r="G183" s="119" t="s">
        <v>188</v>
      </c>
      <c r="H183" s="120" t="s">
        <v>250</v>
      </c>
      <c r="I183" s="114" t="s">
        <v>188</v>
      </c>
    </row>
    <row r="184" spans="1:9">
      <c r="A184" s="46"/>
      <c r="B184" s="224" t="s">
        <v>6</v>
      </c>
      <c r="C184" s="111" t="s">
        <v>188</v>
      </c>
      <c r="D184" s="66">
        <v>0.16170000000000001</v>
      </c>
      <c r="E184" s="11">
        <v>0.15620000000000001</v>
      </c>
      <c r="F184" s="11">
        <v>0.16</v>
      </c>
      <c r="G184" s="88" t="s">
        <v>23</v>
      </c>
      <c r="H184" s="9" t="s">
        <v>134</v>
      </c>
      <c r="I184" s="1" t="s">
        <v>19</v>
      </c>
    </row>
    <row r="185" spans="1:9" ht="15">
      <c r="A185" s="46"/>
      <c r="B185" s="228" t="s">
        <v>228</v>
      </c>
      <c r="C185" s="111" t="s">
        <v>188</v>
      </c>
      <c r="D185" s="239">
        <v>5.9999999999999995E-4</v>
      </c>
      <c r="E185" s="102">
        <v>5.9999999999999995E-4</v>
      </c>
      <c r="F185" s="136" t="s">
        <v>188</v>
      </c>
      <c r="G185" s="137" t="s">
        <v>188</v>
      </c>
      <c r="H185" s="138" t="s">
        <v>188</v>
      </c>
      <c r="I185" s="144" t="s">
        <v>188</v>
      </c>
    </row>
    <row r="186" spans="1:9" ht="15">
      <c r="A186" s="19"/>
      <c r="B186" s="16"/>
      <c r="C186" s="16"/>
      <c r="D186" s="16"/>
      <c r="E186" s="18"/>
      <c r="F186" s="17"/>
      <c r="G186" s="90"/>
      <c r="H186" s="18"/>
      <c r="I186" s="165"/>
    </row>
    <row r="187" spans="1:9" ht="45">
      <c r="A187" s="47" t="s">
        <v>93</v>
      </c>
      <c r="B187" s="37" t="s">
        <v>94</v>
      </c>
      <c r="C187" s="37"/>
      <c r="D187" s="37"/>
      <c r="E187" s="38"/>
      <c r="F187" s="39"/>
      <c r="G187" s="93"/>
      <c r="H187" s="38"/>
      <c r="I187" s="40"/>
    </row>
    <row r="188" spans="1:9" ht="23.25">
      <c r="A188" s="47"/>
      <c r="B188" s="42" t="s">
        <v>95</v>
      </c>
      <c r="C188" s="42"/>
      <c r="D188" s="42"/>
      <c r="E188" s="38"/>
      <c r="F188" s="39"/>
      <c r="G188" s="93"/>
      <c r="H188" s="38"/>
      <c r="I188" s="40"/>
    </row>
    <row r="189" spans="1:9" ht="23.25">
      <c r="A189" s="47"/>
      <c r="B189" s="42" t="s">
        <v>96</v>
      </c>
      <c r="C189" s="42"/>
      <c r="D189" s="42"/>
      <c r="E189" s="38"/>
      <c r="F189" s="39"/>
      <c r="G189" s="93"/>
      <c r="H189" s="38"/>
      <c r="I189" s="40"/>
    </row>
    <row r="190" spans="1:9" ht="15.75">
      <c r="A190" s="48"/>
      <c r="B190" s="121" t="s">
        <v>0</v>
      </c>
      <c r="C190" s="122" t="s">
        <v>226</v>
      </c>
      <c r="D190" s="122" t="s">
        <v>225</v>
      </c>
      <c r="E190" s="122" t="s">
        <v>224</v>
      </c>
      <c r="F190" s="122" t="s">
        <v>199</v>
      </c>
      <c r="G190" s="123" t="s">
        <v>30</v>
      </c>
      <c r="H190" s="123" t="s">
        <v>20</v>
      </c>
      <c r="I190" s="123" t="s">
        <v>35</v>
      </c>
    </row>
    <row r="191" spans="1:9">
      <c r="A191" s="50"/>
      <c r="B191" s="106" t="s">
        <v>139</v>
      </c>
      <c r="C191" s="63">
        <v>0.43340000000000001</v>
      </c>
      <c r="D191" s="63">
        <v>0.47099999999999997</v>
      </c>
      <c r="E191" s="63">
        <v>0.43809999999999999</v>
      </c>
      <c r="F191" s="63">
        <v>0.43</v>
      </c>
      <c r="G191" s="87" t="s">
        <v>23</v>
      </c>
      <c r="H191" s="7" t="s">
        <v>97</v>
      </c>
      <c r="I191" s="53" t="s">
        <v>27</v>
      </c>
    </row>
    <row r="192" spans="1:9">
      <c r="A192" s="49"/>
      <c r="B192" s="106" t="s">
        <v>2</v>
      </c>
      <c r="C192" s="56">
        <v>0.62229999999999996</v>
      </c>
      <c r="D192" s="56">
        <v>0.62350000000000005</v>
      </c>
      <c r="E192" s="56">
        <v>0.56140000000000001</v>
      </c>
      <c r="F192" s="56">
        <v>0.57999999999999996</v>
      </c>
      <c r="G192" s="88" t="s">
        <v>24</v>
      </c>
      <c r="H192" s="4" t="s">
        <v>201</v>
      </c>
      <c r="I192" s="9" t="s">
        <v>28</v>
      </c>
    </row>
    <row r="193" spans="1:9" ht="28.5">
      <c r="A193" s="50"/>
      <c r="B193" s="107" t="s">
        <v>138</v>
      </c>
      <c r="C193" s="56">
        <v>0.34699999999999998</v>
      </c>
      <c r="D193" s="56">
        <v>0.34289999999999998</v>
      </c>
      <c r="E193" s="56">
        <v>0.34360000000000002</v>
      </c>
      <c r="F193" s="56">
        <v>0.33</v>
      </c>
      <c r="G193" s="88" t="s">
        <v>23</v>
      </c>
      <c r="H193" s="4" t="s">
        <v>78</v>
      </c>
      <c r="I193" s="9" t="s">
        <v>99</v>
      </c>
    </row>
    <row r="194" spans="1:9">
      <c r="A194" s="50"/>
      <c r="B194" s="106" t="s">
        <v>12</v>
      </c>
      <c r="C194" s="56">
        <v>0.2596</v>
      </c>
      <c r="D194" s="56">
        <v>0.25900000000000001</v>
      </c>
      <c r="E194" s="56">
        <v>0.24149999999999999</v>
      </c>
      <c r="F194" s="56">
        <v>0.25</v>
      </c>
      <c r="G194" s="88" t="s">
        <v>24</v>
      </c>
      <c r="H194" s="9" t="s">
        <v>54</v>
      </c>
      <c r="I194" s="9" t="s">
        <v>18</v>
      </c>
    </row>
    <row r="195" spans="1:9" ht="15">
      <c r="A195" s="50"/>
      <c r="B195" s="108" t="s">
        <v>5</v>
      </c>
      <c r="C195" s="104">
        <f>SUBTOTAL(109,C191:C194)</f>
        <v>1.6622999999999999</v>
      </c>
      <c r="D195" s="104">
        <f>SUBTOTAL(109,D191:D194)</f>
        <v>1.6964000000000001</v>
      </c>
      <c r="E195" s="68">
        <f>SUBTOTAL(109,E191:E194)</f>
        <v>1.5846000000000002</v>
      </c>
      <c r="F195" s="68">
        <f>SUBTOTAL(109,F191:F194)</f>
        <v>1.59</v>
      </c>
      <c r="G195" s="119" t="s">
        <v>188</v>
      </c>
      <c r="H195" s="120" t="s">
        <v>250</v>
      </c>
      <c r="I195" s="114" t="s">
        <v>188</v>
      </c>
    </row>
    <row r="196" spans="1:9">
      <c r="A196" s="50"/>
      <c r="B196" s="106" t="s">
        <v>6</v>
      </c>
      <c r="C196" s="69">
        <v>0.99885000000000002</v>
      </c>
      <c r="D196" s="69">
        <v>0.99729999999999996</v>
      </c>
      <c r="E196" s="69">
        <v>0.99560000000000004</v>
      </c>
      <c r="F196" s="69">
        <v>0.94</v>
      </c>
      <c r="G196" s="88" t="s">
        <v>23</v>
      </c>
      <c r="H196" s="9" t="s">
        <v>98</v>
      </c>
      <c r="I196" s="9" t="s">
        <v>19</v>
      </c>
    </row>
    <row r="197" spans="1:9" ht="15">
      <c r="A197" s="50"/>
      <c r="B197" s="108" t="s">
        <v>228</v>
      </c>
      <c r="C197" s="102">
        <v>2E-3</v>
      </c>
      <c r="D197" s="102">
        <v>2E-3</v>
      </c>
      <c r="E197" s="12">
        <v>2.5000000000000001E-3</v>
      </c>
      <c r="F197" s="136" t="s">
        <v>188</v>
      </c>
      <c r="G197" s="137" t="s">
        <v>188</v>
      </c>
      <c r="H197" s="138" t="s">
        <v>188</v>
      </c>
      <c r="I197" s="144" t="s">
        <v>188</v>
      </c>
    </row>
    <row r="198" spans="1:9" ht="15">
      <c r="A198" s="19"/>
      <c r="B198" s="16"/>
      <c r="C198" s="16"/>
      <c r="D198" s="16"/>
      <c r="E198" s="18"/>
      <c r="F198" s="17"/>
      <c r="G198" s="90"/>
      <c r="H198" s="18"/>
      <c r="I198" s="165"/>
    </row>
    <row r="199" spans="1:9" ht="45">
      <c r="A199" s="47" t="s">
        <v>100</v>
      </c>
      <c r="B199" s="37" t="s">
        <v>101</v>
      </c>
      <c r="C199" s="37"/>
      <c r="D199" s="37"/>
      <c r="E199" s="38"/>
      <c r="F199" s="39"/>
      <c r="G199" s="93"/>
      <c r="H199" s="38"/>
      <c r="I199" s="40"/>
    </row>
    <row r="200" spans="1:9" ht="23.25">
      <c r="A200" s="47"/>
      <c r="B200" s="42" t="s">
        <v>102</v>
      </c>
      <c r="C200" s="42"/>
      <c r="D200" s="42"/>
      <c r="E200" s="38"/>
      <c r="F200" s="39"/>
      <c r="G200" s="93"/>
      <c r="H200" s="38"/>
      <c r="I200" s="40"/>
    </row>
    <row r="201" spans="1:9" ht="23.25">
      <c r="A201" s="47"/>
      <c r="B201" s="42" t="s">
        <v>103</v>
      </c>
      <c r="C201" s="42"/>
      <c r="D201" s="42"/>
      <c r="E201" s="38"/>
      <c r="F201" s="39"/>
      <c r="G201" s="93"/>
      <c r="H201" s="38"/>
      <c r="I201" s="40"/>
    </row>
    <row r="202" spans="1:9" ht="15.75">
      <c r="A202" s="48"/>
      <c r="B202" s="121" t="s">
        <v>0</v>
      </c>
      <c r="C202" s="122" t="s">
        <v>226</v>
      </c>
      <c r="D202" s="122" t="s">
        <v>225</v>
      </c>
      <c r="E202" s="122" t="s">
        <v>224</v>
      </c>
      <c r="F202" s="122" t="s">
        <v>199</v>
      </c>
      <c r="G202" s="123" t="s">
        <v>30</v>
      </c>
      <c r="H202" s="123" t="s">
        <v>20</v>
      </c>
      <c r="I202" s="123" t="s">
        <v>35</v>
      </c>
    </row>
    <row r="203" spans="1:9">
      <c r="A203" s="50"/>
      <c r="B203" s="106" t="s">
        <v>139</v>
      </c>
      <c r="C203" s="5">
        <v>0.99980000000000002</v>
      </c>
      <c r="D203" s="5">
        <v>0.99850000000000005</v>
      </c>
      <c r="E203" s="5">
        <v>0.99660000000000004</v>
      </c>
      <c r="F203" s="5">
        <v>0.94</v>
      </c>
      <c r="G203" s="87" t="s">
        <v>23</v>
      </c>
      <c r="H203" s="7" t="s">
        <v>98</v>
      </c>
      <c r="I203" s="53" t="s">
        <v>27</v>
      </c>
    </row>
    <row r="204" spans="1:9">
      <c r="A204" s="49"/>
      <c r="B204" s="106" t="s">
        <v>2</v>
      </c>
      <c r="C204" s="56">
        <v>0.56220000000000003</v>
      </c>
      <c r="D204" s="56">
        <v>0.54849999999999999</v>
      </c>
      <c r="E204" s="56">
        <v>0.55520000000000003</v>
      </c>
      <c r="F204" s="56">
        <v>0.56999999999999995</v>
      </c>
      <c r="G204" s="88" t="s">
        <v>24</v>
      </c>
      <c r="H204" s="4" t="s">
        <v>191</v>
      </c>
      <c r="I204" s="9" t="s">
        <v>14</v>
      </c>
    </row>
    <row r="205" spans="1:9">
      <c r="A205" s="50"/>
      <c r="B205" s="107" t="s">
        <v>138</v>
      </c>
      <c r="C205" s="115">
        <v>0</v>
      </c>
      <c r="D205" s="115">
        <v>0</v>
      </c>
      <c r="E205" s="115">
        <v>0</v>
      </c>
      <c r="F205" s="115" t="s">
        <v>188</v>
      </c>
      <c r="G205" s="88" t="s">
        <v>23</v>
      </c>
      <c r="H205" s="115" t="s">
        <v>250</v>
      </c>
      <c r="I205" s="131" t="s">
        <v>188</v>
      </c>
    </row>
    <row r="206" spans="1:9">
      <c r="A206" s="50"/>
      <c r="B206" s="106" t="s">
        <v>12</v>
      </c>
      <c r="C206" s="3">
        <v>0.22650000000000001</v>
      </c>
      <c r="D206" s="3">
        <v>0.22639999999999999</v>
      </c>
      <c r="E206" s="3">
        <v>0.2402</v>
      </c>
      <c r="F206" s="3">
        <v>0.2</v>
      </c>
      <c r="G206" s="88" t="s">
        <v>24</v>
      </c>
      <c r="H206" s="9" t="s">
        <v>132</v>
      </c>
      <c r="I206" s="9" t="s">
        <v>18</v>
      </c>
    </row>
    <row r="207" spans="1:9" ht="15">
      <c r="A207" s="50"/>
      <c r="B207" s="108" t="s">
        <v>5</v>
      </c>
      <c r="C207" s="101">
        <f>SUBTOTAL(109,C203:C206)</f>
        <v>1.7885</v>
      </c>
      <c r="D207" s="101">
        <f>SUBTOTAL(109,D203:D206)</f>
        <v>1.7734000000000001</v>
      </c>
      <c r="E207" s="101">
        <f>SUBTOTAL(109,E203:E206)</f>
        <v>1.792</v>
      </c>
      <c r="F207" s="101">
        <f>SUBTOTAL(109,F203:F206)</f>
        <v>1.7099999999999997</v>
      </c>
      <c r="G207" s="119" t="s">
        <v>188</v>
      </c>
      <c r="H207" s="120" t="s">
        <v>250</v>
      </c>
      <c r="I207" s="114" t="s">
        <v>188</v>
      </c>
    </row>
    <row r="208" spans="1:9">
      <c r="A208" s="50"/>
      <c r="B208" s="106" t="s">
        <v>6</v>
      </c>
      <c r="C208" s="11">
        <v>0.99404800000000004</v>
      </c>
      <c r="D208" s="11">
        <v>0.99870000000000003</v>
      </c>
      <c r="E208" s="11">
        <v>0.99760000000000004</v>
      </c>
      <c r="F208" s="11">
        <v>0.94</v>
      </c>
      <c r="G208" s="88" t="s">
        <v>23</v>
      </c>
      <c r="H208" s="9" t="s">
        <v>98</v>
      </c>
      <c r="I208" s="9" t="s">
        <v>19</v>
      </c>
    </row>
    <row r="209" spans="1:9" ht="15">
      <c r="A209" s="50"/>
      <c r="B209" s="108" t="s">
        <v>228</v>
      </c>
      <c r="C209" s="12">
        <v>8.9999999999999998E-4</v>
      </c>
      <c r="D209" s="12">
        <v>8.9999999999999998E-4</v>
      </c>
      <c r="E209" s="12">
        <v>8.9999999999999998E-4</v>
      </c>
      <c r="F209" s="136" t="s">
        <v>188</v>
      </c>
      <c r="G209" s="137" t="s">
        <v>188</v>
      </c>
      <c r="H209" s="138" t="s">
        <v>188</v>
      </c>
      <c r="I209" s="144" t="s">
        <v>188</v>
      </c>
    </row>
    <row r="210" spans="1:9" ht="15">
      <c r="A210" s="19"/>
      <c r="B210" s="16"/>
      <c r="C210" s="16"/>
      <c r="D210" s="16"/>
      <c r="E210" s="18"/>
      <c r="F210" s="17"/>
      <c r="G210" s="90"/>
      <c r="H210" s="18"/>
      <c r="I210" s="165"/>
    </row>
    <row r="211" spans="1:9" ht="45">
      <c r="A211" s="47" t="s">
        <v>104</v>
      </c>
      <c r="B211" s="37" t="s">
        <v>105</v>
      </c>
      <c r="C211" s="37"/>
      <c r="D211" s="37"/>
      <c r="E211" s="38"/>
      <c r="F211" s="39"/>
      <c r="G211" s="93"/>
      <c r="H211" s="38"/>
      <c r="I211" s="40"/>
    </row>
    <row r="212" spans="1:9" ht="23.25">
      <c r="A212" s="47"/>
      <c r="B212" s="42" t="s">
        <v>106</v>
      </c>
      <c r="C212" s="42"/>
      <c r="D212" s="42"/>
      <c r="E212" s="38"/>
      <c r="F212" s="39"/>
      <c r="G212" s="93"/>
      <c r="H212" s="38"/>
      <c r="I212" s="40"/>
    </row>
    <row r="213" spans="1:9" ht="23.25">
      <c r="A213" s="47"/>
      <c r="B213" s="42" t="s">
        <v>107</v>
      </c>
      <c r="C213" s="42"/>
      <c r="D213" s="42"/>
      <c r="E213" s="38"/>
      <c r="F213" s="39"/>
      <c r="G213" s="93"/>
      <c r="H213" s="38"/>
      <c r="I213" s="40"/>
    </row>
    <row r="214" spans="1:9" ht="15.75">
      <c r="A214" s="48"/>
      <c r="B214" s="121" t="s">
        <v>0</v>
      </c>
      <c r="C214" s="122" t="s">
        <v>226</v>
      </c>
      <c r="D214" s="122" t="s">
        <v>225</v>
      </c>
      <c r="E214" s="122" t="s">
        <v>224</v>
      </c>
      <c r="F214" s="122" t="s">
        <v>199</v>
      </c>
      <c r="G214" s="123" t="s">
        <v>30</v>
      </c>
      <c r="H214" s="123" t="s">
        <v>20</v>
      </c>
      <c r="I214" s="124" t="s">
        <v>35</v>
      </c>
    </row>
    <row r="215" spans="1:9">
      <c r="A215" s="50"/>
      <c r="B215" s="106" t="s">
        <v>139</v>
      </c>
      <c r="C215" s="125">
        <v>0</v>
      </c>
      <c r="D215" s="125" t="s">
        <v>188</v>
      </c>
      <c r="E215" s="125" t="s">
        <v>188</v>
      </c>
      <c r="F215" s="125" t="s">
        <v>188</v>
      </c>
      <c r="G215" s="87" t="s">
        <v>23</v>
      </c>
      <c r="H215" s="155" t="s">
        <v>250</v>
      </c>
      <c r="I215" s="145" t="s">
        <v>188</v>
      </c>
    </row>
    <row r="216" spans="1:9">
      <c r="A216" s="49"/>
      <c r="B216" s="106" t="s">
        <v>2</v>
      </c>
      <c r="C216" s="56">
        <v>0.62970000000000004</v>
      </c>
      <c r="D216" s="56">
        <v>0.59279999999999999</v>
      </c>
      <c r="E216" s="56">
        <v>0.59560000000000002</v>
      </c>
      <c r="F216" s="56">
        <v>0.6</v>
      </c>
      <c r="G216" s="88" t="s">
        <v>24</v>
      </c>
      <c r="H216" s="4" t="s">
        <v>200</v>
      </c>
      <c r="I216" s="1" t="s">
        <v>28</v>
      </c>
    </row>
    <row r="217" spans="1:9" ht="28.5">
      <c r="A217" s="50"/>
      <c r="B217" s="107" t="s">
        <v>138</v>
      </c>
      <c r="C217" s="56">
        <v>0.74639999999999995</v>
      </c>
      <c r="D217" s="56">
        <v>0.72660000000000002</v>
      </c>
      <c r="E217" s="56">
        <v>0.72199999999999998</v>
      </c>
      <c r="F217" s="56">
        <v>0.7</v>
      </c>
      <c r="G217" s="88" t="s">
        <v>23</v>
      </c>
      <c r="H217" s="4" t="s">
        <v>86</v>
      </c>
      <c r="I217" s="9" t="s">
        <v>99</v>
      </c>
    </row>
    <row r="218" spans="1:9">
      <c r="A218" s="50"/>
      <c r="B218" s="107" t="s">
        <v>12</v>
      </c>
      <c r="C218" s="56">
        <v>0.2354</v>
      </c>
      <c r="D218" s="56">
        <v>0.21609999999999999</v>
      </c>
      <c r="E218" s="56">
        <v>0.22020000000000001</v>
      </c>
      <c r="F218" s="56">
        <v>0.25</v>
      </c>
      <c r="G218" s="88" t="s">
        <v>24</v>
      </c>
      <c r="H218" s="4" t="s">
        <v>190</v>
      </c>
      <c r="I218" s="9" t="s">
        <v>18</v>
      </c>
    </row>
    <row r="219" spans="1:9" ht="15">
      <c r="A219" s="50"/>
      <c r="B219" s="108" t="s">
        <v>5</v>
      </c>
      <c r="C219" s="104">
        <f>SUBTOTAL(109,C215:C218)</f>
        <v>1.6115000000000002</v>
      </c>
      <c r="D219" s="104">
        <f>SUBTOTAL(109,D215:D218)</f>
        <v>1.5354999999999999</v>
      </c>
      <c r="E219" s="104">
        <f>SUBTOTAL(109,E215:E218)</f>
        <v>1.5378000000000001</v>
      </c>
      <c r="F219" s="104">
        <f>SUBTOTAL(109,F215:F218)</f>
        <v>1.5499999999999998</v>
      </c>
      <c r="G219" s="119" t="s">
        <v>188</v>
      </c>
      <c r="H219" s="120" t="s">
        <v>250</v>
      </c>
      <c r="I219" s="113" t="s">
        <v>188</v>
      </c>
    </row>
    <row r="220" spans="1:9">
      <c r="A220" s="50"/>
      <c r="B220" s="106" t="s">
        <v>6</v>
      </c>
      <c r="C220" s="69">
        <v>0.99670000000000003</v>
      </c>
      <c r="D220" s="69">
        <v>0.99409999999999998</v>
      </c>
      <c r="E220" s="69">
        <v>0.99650000000000005</v>
      </c>
      <c r="F220" s="69">
        <v>0.94</v>
      </c>
      <c r="G220" s="88" t="s">
        <v>23</v>
      </c>
      <c r="H220" s="9" t="s">
        <v>98</v>
      </c>
      <c r="I220" s="1" t="s">
        <v>19</v>
      </c>
    </row>
    <row r="221" spans="1:9" ht="15">
      <c r="A221" s="50"/>
      <c r="B221" s="108" t="s">
        <v>228</v>
      </c>
      <c r="C221" s="12">
        <v>2E-3</v>
      </c>
      <c r="D221" s="12">
        <v>2E-3</v>
      </c>
      <c r="E221" s="12">
        <v>2.5000000000000001E-3</v>
      </c>
      <c r="F221" s="136" t="s">
        <v>188</v>
      </c>
      <c r="G221" s="137" t="s">
        <v>188</v>
      </c>
      <c r="H221" s="138" t="s">
        <v>188</v>
      </c>
      <c r="I221" s="144" t="s">
        <v>188</v>
      </c>
    </row>
    <row r="222" spans="1:9" ht="15">
      <c r="A222" s="19"/>
      <c r="B222" s="16"/>
      <c r="C222" s="16"/>
      <c r="D222" s="16"/>
      <c r="E222" s="18"/>
      <c r="F222" s="17"/>
      <c r="G222" s="90"/>
      <c r="H222" s="18"/>
      <c r="I222" s="165"/>
    </row>
    <row r="223" spans="1:9" ht="75">
      <c r="A223" s="47" t="s">
        <v>108</v>
      </c>
      <c r="B223" s="37" t="s">
        <v>109</v>
      </c>
      <c r="C223" s="37"/>
      <c r="D223" s="37"/>
      <c r="E223" s="38"/>
      <c r="F223" s="39"/>
      <c r="G223" s="93"/>
      <c r="H223" s="38"/>
      <c r="I223" s="40"/>
    </row>
    <row r="224" spans="1:9" ht="23.25">
      <c r="A224" s="47"/>
      <c r="B224" s="42" t="s">
        <v>110</v>
      </c>
      <c r="C224" s="42"/>
      <c r="D224" s="42"/>
      <c r="E224" s="38"/>
      <c r="F224" s="39"/>
      <c r="G224" s="93"/>
      <c r="H224" s="38"/>
      <c r="I224" s="40"/>
    </row>
    <row r="225" spans="1:9" ht="15.75">
      <c r="A225" s="48"/>
      <c r="B225" s="227" t="s">
        <v>0</v>
      </c>
      <c r="C225" s="240" t="s">
        <v>188</v>
      </c>
      <c r="D225" s="132" t="s">
        <v>225</v>
      </c>
      <c r="E225" s="122" t="s">
        <v>224</v>
      </c>
      <c r="F225" s="122" t="s">
        <v>199</v>
      </c>
      <c r="G225" s="123" t="s">
        <v>30</v>
      </c>
      <c r="H225" s="123" t="s">
        <v>20</v>
      </c>
      <c r="I225" s="123" t="s">
        <v>35</v>
      </c>
    </row>
    <row r="226" spans="1:9">
      <c r="A226" s="50"/>
      <c r="B226" s="224" t="s">
        <v>139</v>
      </c>
      <c r="C226" s="128" t="s">
        <v>188</v>
      </c>
      <c r="D226" s="5">
        <v>0.15790000000000001</v>
      </c>
      <c r="E226" s="5">
        <v>0.17799999999999999</v>
      </c>
      <c r="F226" s="5">
        <v>0.19</v>
      </c>
      <c r="G226" s="87" t="s">
        <v>23</v>
      </c>
      <c r="H226" s="7" t="s">
        <v>55</v>
      </c>
      <c r="I226" s="6" t="s">
        <v>27</v>
      </c>
    </row>
    <row r="227" spans="1:9">
      <c r="A227" s="49"/>
      <c r="B227" s="224" t="s">
        <v>2</v>
      </c>
      <c r="C227" s="129" t="s">
        <v>188</v>
      </c>
      <c r="D227" s="3">
        <v>0.5524</v>
      </c>
      <c r="E227" s="3">
        <v>0.54559999999999997</v>
      </c>
      <c r="F227" s="3">
        <v>0.52</v>
      </c>
      <c r="G227" s="88" t="s">
        <v>24</v>
      </c>
      <c r="H227" s="4" t="s">
        <v>192</v>
      </c>
      <c r="I227" s="1" t="s">
        <v>28</v>
      </c>
    </row>
    <row r="228" spans="1:9" ht="28.5">
      <c r="A228" s="50"/>
      <c r="B228" s="225" t="s">
        <v>138</v>
      </c>
      <c r="C228" s="128" t="s">
        <v>188</v>
      </c>
      <c r="D228" s="3">
        <v>0.46339999999999998</v>
      </c>
      <c r="E228" s="3">
        <v>0.46160000000000001</v>
      </c>
      <c r="F228" s="3">
        <v>0.5</v>
      </c>
      <c r="G228" s="88" t="s">
        <v>23</v>
      </c>
      <c r="H228" s="4" t="s">
        <v>91</v>
      </c>
      <c r="I228" s="9" t="s">
        <v>99</v>
      </c>
    </row>
    <row r="229" spans="1:9">
      <c r="A229" s="50"/>
      <c r="B229" s="224" t="s">
        <v>12</v>
      </c>
      <c r="C229" s="129" t="s">
        <v>188</v>
      </c>
      <c r="D229" s="3">
        <v>0.27550000000000002</v>
      </c>
      <c r="E229" s="3">
        <v>0.29170000000000001</v>
      </c>
      <c r="F229" s="3">
        <v>0.25</v>
      </c>
      <c r="G229" s="88" t="s">
        <v>24</v>
      </c>
      <c r="H229" s="9" t="s">
        <v>54</v>
      </c>
      <c r="I229" s="1" t="s">
        <v>18</v>
      </c>
    </row>
    <row r="230" spans="1:9" ht="15">
      <c r="A230" s="50"/>
      <c r="B230" s="226" t="s">
        <v>5</v>
      </c>
      <c r="C230" s="129" t="s">
        <v>188</v>
      </c>
      <c r="D230" s="28">
        <f>SUBTOTAL(109,D226:D229)</f>
        <v>1.4492</v>
      </c>
      <c r="E230" s="28">
        <f>SUBTOTAL(109,E226:E229)</f>
        <v>1.4769000000000001</v>
      </c>
      <c r="F230" s="28">
        <f>SUBTOTAL(109,F226:F229)</f>
        <v>1.46</v>
      </c>
      <c r="G230" s="119" t="s">
        <v>188</v>
      </c>
      <c r="H230" s="120" t="s">
        <v>250</v>
      </c>
      <c r="I230" s="113" t="s">
        <v>188</v>
      </c>
    </row>
    <row r="231" spans="1:9">
      <c r="A231" s="50"/>
      <c r="B231" s="224" t="s">
        <v>6</v>
      </c>
      <c r="C231" s="129" t="s">
        <v>188</v>
      </c>
      <c r="D231" s="11">
        <v>0.99707000000000001</v>
      </c>
      <c r="E231" s="11">
        <v>0.99619999999999997</v>
      </c>
      <c r="F231" s="11">
        <v>0.94</v>
      </c>
      <c r="G231" s="88" t="s">
        <v>23</v>
      </c>
      <c r="H231" s="9" t="s">
        <v>98</v>
      </c>
      <c r="I231" s="1" t="s">
        <v>19</v>
      </c>
    </row>
    <row r="232" spans="1:9" ht="15">
      <c r="A232" s="50"/>
      <c r="B232" s="228" t="s">
        <v>228</v>
      </c>
      <c r="C232" s="133" t="s">
        <v>188</v>
      </c>
      <c r="D232" s="67">
        <v>2.5000000000000001E-3</v>
      </c>
      <c r="E232" s="12">
        <v>2.5000000000000001E-3</v>
      </c>
      <c r="F232" s="136" t="s">
        <v>188</v>
      </c>
      <c r="G232" s="137" t="s">
        <v>188</v>
      </c>
      <c r="H232" s="138" t="s">
        <v>188</v>
      </c>
      <c r="I232" s="144" t="s">
        <v>188</v>
      </c>
    </row>
    <row r="233" spans="1:9" ht="15">
      <c r="A233" s="19"/>
      <c r="B233" s="157" t="s">
        <v>195</v>
      </c>
      <c r="C233" s="157" t="s">
        <v>195</v>
      </c>
      <c r="D233" s="157" t="s">
        <v>195</v>
      </c>
      <c r="E233" s="158" t="s">
        <v>195</v>
      </c>
      <c r="F233" s="158" t="s">
        <v>195</v>
      </c>
      <c r="G233" s="158" t="s">
        <v>195</v>
      </c>
      <c r="H233" s="158" t="s">
        <v>195</v>
      </c>
      <c r="I233" s="167" t="s">
        <v>195</v>
      </c>
    </row>
    <row r="234" spans="1:9" ht="45">
      <c r="A234" s="47" t="s">
        <v>111</v>
      </c>
      <c r="B234" s="37" t="s">
        <v>112</v>
      </c>
      <c r="C234" s="37"/>
      <c r="D234" s="37"/>
      <c r="E234" s="38"/>
      <c r="F234" s="39"/>
      <c r="G234" s="93"/>
      <c r="H234" s="38"/>
      <c r="I234" s="40"/>
    </row>
    <row r="235" spans="1:9" ht="23.25">
      <c r="A235" s="47"/>
      <c r="B235" s="42" t="s">
        <v>113</v>
      </c>
      <c r="C235" s="42"/>
      <c r="D235" s="42"/>
      <c r="E235" s="38"/>
      <c r="F235" s="39"/>
      <c r="G235" s="93"/>
      <c r="H235" s="38"/>
      <c r="I235" s="40"/>
    </row>
    <row r="236" spans="1:9" ht="23.25">
      <c r="A236" s="47"/>
      <c r="B236" s="42" t="s">
        <v>114</v>
      </c>
      <c r="C236" s="42"/>
      <c r="D236" s="42"/>
      <c r="E236" s="38"/>
      <c r="F236" s="39"/>
      <c r="G236" s="93"/>
      <c r="H236" s="38"/>
      <c r="I236" s="40"/>
    </row>
    <row r="237" spans="1:9" ht="15.75">
      <c r="A237" s="48"/>
      <c r="B237" s="121" t="s">
        <v>0</v>
      </c>
      <c r="C237" s="122" t="s">
        <v>226</v>
      </c>
      <c r="D237" s="122" t="s">
        <v>225</v>
      </c>
      <c r="E237" s="122" t="s">
        <v>224</v>
      </c>
      <c r="F237" s="122" t="s">
        <v>199</v>
      </c>
      <c r="G237" s="123" t="s">
        <v>30</v>
      </c>
      <c r="H237" s="123" t="s">
        <v>20</v>
      </c>
      <c r="I237" s="123" t="s">
        <v>35</v>
      </c>
    </row>
    <row r="238" spans="1:9">
      <c r="A238" s="50"/>
      <c r="B238" s="106" t="s">
        <v>139</v>
      </c>
      <c r="C238" s="5">
        <v>0.99850000000000005</v>
      </c>
      <c r="D238" s="5">
        <v>0.99839999999999995</v>
      </c>
      <c r="E238" s="5">
        <v>0.99850000000000005</v>
      </c>
      <c r="F238" s="5">
        <v>0.94</v>
      </c>
      <c r="G238" s="87" t="s">
        <v>23</v>
      </c>
      <c r="H238" s="7" t="s">
        <v>98</v>
      </c>
      <c r="I238" s="6" t="s">
        <v>7</v>
      </c>
    </row>
    <row r="239" spans="1:9">
      <c r="A239" s="49"/>
      <c r="B239" s="106" t="s">
        <v>2</v>
      </c>
      <c r="C239" s="3">
        <v>0.25309999999999999</v>
      </c>
      <c r="D239" s="3">
        <v>0.2361</v>
      </c>
      <c r="E239" s="3">
        <v>0.26840000000000003</v>
      </c>
      <c r="F239" s="219">
        <v>0.15</v>
      </c>
      <c r="G239" s="87" t="s">
        <v>24</v>
      </c>
      <c r="H239" s="218" t="s">
        <v>52</v>
      </c>
      <c r="I239" s="1" t="s">
        <v>14</v>
      </c>
    </row>
    <row r="240" spans="1:9">
      <c r="A240" s="50"/>
      <c r="B240" s="107" t="s">
        <v>138</v>
      </c>
      <c r="C240" s="115">
        <v>0</v>
      </c>
      <c r="D240" s="115">
        <v>0</v>
      </c>
      <c r="E240" s="115">
        <v>0</v>
      </c>
      <c r="F240" s="115" t="s">
        <v>188</v>
      </c>
      <c r="G240" s="88" t="s">
        <v>23</v>
      </c>
      <c r="H240" s="115" t="s">
        <v>250</v>
      </c>
      <c r="I240" s="131" t="s">
        <v>188</v>
      </c>
    </row>
    <row r="241" spans="1:9">
      <c r="A241" s="50"/>
      <c r="B241" s="106" t="s">
        <v>12</v>
      </c>
      <c r="C241" s="3">
        <v>0.2959</v>
      </c>
      <c r="D241" s="3">
        <v>0.26269999999999999</v>
      </c>
      <c r="E241" s="3">
        <v>0.29260000000000003</v>
      </c>
      <c r="F241" s="3">
        <v>0.28000000000000003</v>
      </c>
      <c r="G241" s="88" t="s">
        <v>24</v>
      </c>
      <c r="H241" s="4" t="s">
        <v>215</v>
      </c>
      <c r="I241" s="1" t="s">
        <v>18</v>
      </c>
    </row>
    <row r="242" spans="1:9" ht="15">
      <c r="A242" s="50"/>
      <c r="B242" s="108" t="s">
        <v>5</v>
      </c>
      <c r="C242" s="28">
        <f>SUBTOTAL(109,C238:C241)</f>
        <v>1.5475000000000001</v>
      </c>
      <c r="D242" s="28">
        <f>SUBTOTAL(109,D238:D241)</f>
        <v>1.4971999999999999</v>
      </c>
      <c r="E242" s="28">
        <f>SUBTOTAL(109,E238:E241)</f>
        <v>1.5595000000000001</v>
      </c>
      <c r="F242" s="28">
        <f>SUBTOTAL(109,F238:F241)</f>
        <v>1.3699999999999999</v>
      </c>
      <c r="G242" s="119" t="s">
        <v>188</v>
      </c>
      <c r="H242" s="120" t="s">
        <v>250</v>
      </c>
      <c r="I242" s="113" t="s">
        <v>188</v>
      </c>
    </row>
    <row r="243" spans="1:9">
      <c r="A243" s="50"/>
      <c r="B243" s="106" t="s">
        <v>6</v>
      </c>
      <c r="C243" s="5">
        <v>0.99729999999999996</v>
      </c>
      <c r="D243" s="5">
        <v>0.99829999999999997</v>
      </c>
      <c r="E243" s="5">
        <v>0.99809999999999999</v>
      </c>
      <c r="F243" s="11">
        <v>0.94</v>
      </c>
      <c r="G243" s="88" t="s">
        <v>23</v>
      </c>
      <c r="H243" s="9" t="s">
        <v>98</v>
      </c>
      <c r="I243" s="1" t="s">
        <v>19</v>
      </c>
    </row>
    <row r="244" spans="1:9" ht="15">
      <c r="A244" s="50"/>
      <c r="B244" s="108" t="s">
        <v>228</v>
      </c>
      <c r="C244" s="67">
        <v>8.9999999999999998E-4</v>
      </c>
      <c r="D244" s="67">
        <v>8.9999999999999998E-4</v>
      </c>
      <c r="E244" s="67">
        <v>8.9999999999999998E-4</v>
      </c>
      <c r="F244" s="136" t="s">
        <v>188</v>
      </c>
      <c r="G244" s="137" t="s">
        <v>188</v>
      </c>
      <c r="H244" s="138" t="s">
        <v>188</v>
      </c>
      <c r="I244" s="144" t="s">
        <v>188</v>
      </c>
    </row>
    <row r="245" spans="1:9" ht="15">
      <c r="A245" s="19"/>
      <c r="B245" s="157" t="s">
        <v>188</v>
      </c>
      <c r="C245" s="157" t="s">
        <v>188</v>
      </c>
      <c r="D245" s="157" t="s">
        <v>188</v>
      </c>
      <c r="E245" s="158" t="s">
        <v>188</v>
      </c>
      <c r="F245" s="158" t="s">
        <v>188</v>
      </c>
      <c r="G245" s="158" t="s">
        <v>188</v>
      </c>
      <c r="H245" s="158" t="s">
        <v>188</v>
      </c>
      <c r="I245" s="167" t="s">
        <v>188</v>
      </c>
    </row>
    <row r="246" spans="1:9" ht="23.25">
      <c r="A246" s="52" t="s">
        <v>115</v>
      </c>
      <c r="B246" s="33" t="s">
        <v>116</v>
      </c>
      <c r="C246" s="37"/>
      <c r="D246" s="37"/>
      <c r="E246" s="34"/>
      <c r="F246" s="35"/>
      <c r="G246" s="92"/>
      <c r="H246" s="34"/>
      <c r="I246" s="40"/>
    </row>
    <row r="247" spans="1:9" ht="15.75">
      <c r="A247" s="51"/>
      <c r="B247" s="227" t="s">
        <v>0</v>
      </c>
      <c r="C247" s="240" t="s">
        <v>188</v>
      </c>
      <c r="D247" s="241" t="s">
        <v>189</v>
      </c>
      <c r="E247" s="122" t="s">
        <v>223</v>
      </c>
      <c r="F247" s="122" t="s">
        <v>199</v>
      </c>
      <c r="G247" s="126" t="s">
        <v>30</v>
      </c>
      <c r="H247" s="123" t="s">
        <v>20</v>
      </c>
      <c r="I247" s="123" t="s">
        <v>35</v>
      </c>
    </row>
    <row r="248" spans="1:9" ht="57">
      <c r="A248" s="51"/>
      <c r="B248" s="224" t="s">
        <v>139</v>
      </c>
      <c r="C248" s="128" t="s">
        <v>188</v>
      </c>
      <c r="D248" s="242" t="s">
        <v>188</v>
      </c>
      <c r="E248" s="64">
        <v>0.28160000000000002</v>
      </c>
      <c r="F248" s="5">
        <v>0.24</v>
      </c>
      <c r="G248" s="87" t="s">
        <v>4</v>
      </c>
      <c r="H248" s="7" t="s">
        <v>63</v>
      </c>
      <c r="I248" s="6" t="s">
        <v>221</v>
      </c>
    </row>
    <row r="249" spans="1:9">
      <c r="A249" s="51"/>
      <c r="B249" s="224" t="s">
        <v>2</v>
      </c>
      <c r="C249" s="129" t="s">
        <v>188</v>
      </c>
      <c r="D249" s="243" t="s">
        <v>188</v>
      </c>
      <c r="E249" s="65">
        <v>0.30370000000000003</v>
      </c>
      <c r="F249" s="3">
        <v>0.35</v>
      </c>
      <c r="G249" s="88" t="s">
        <v>3</v>
      </c>
      <c r="H249" s="4" t="s">
        <v>117</v>
      </c>
      <c r="I249" s="1" t="s">
        <v>14</v>
      </c>
    </row>
    <row r="250" spans="1:9">
      <c r="A250" s="51"/>
      <c r="B250" s="225" t="s">
        <v>138</v>
      </c>
      <c r="C250" s="128" t="s">
        <v>188</v>
      </c>
      <c r="D250" s="242" t="s">
        <v>188</v>
      </c>
      <c r="E250" s="65">
        <v>0.32650000000000001</v>
      </c>
      <c r="F250" s="3">
        <v>0.35</v>
      </c>
      <c r="G250" s="88" t="s">
        <v>4</v>
      </c>
      <c r="H250" s="4" t="s">
        <v>118</v>
      </c>
      <c r="I250" s="1" t="s">
        <v>15</v>
      </c>
    </row>
    <row r="251" spans="1:9" ht="28.5">
      <c r="A251" s="51"/>
      <c r="B251" s="231" t="s">
        <v>9</v>
      </c>
      <c r="C251" s="129" t="s">
        <v>188</v>
      </c>
      <c r="D251" s="243" t="s">
        <v>188</v>
      </c>
      <c r="E251" s="65">
        <v>6.8999999999999999E-3</v>
      </c>
      <c r="F251" s="3">
        <v>0.05</v>
      </c>
      <c r="G251" s="89" t="s">
        <v>3</v>
      </c>
      <c r="H251" s="9" t="s">
        <v>51</v>
      </c>
      <c r="I251" s="1" t="s">
        <v>16</v>
      </c>
    </row>
    <row r="252" spans="1:9">
      <c r="A252" s="51"/>
      <c r="B252" s="231" t="s">
        <v>10</v>
      </c>
      <c r="C252" s="129" t="s">
        <v>188</v>
      </c>
      <c r="D252" s="243" t="s">
        <v>188</v>
      </c>
      <c r="E252" s="65">
        <v>1.4E-2</v>
      </c>
      <c r="F252" s="3">
        <v>0.05</v>
      </c>
      <c r="G252" s="89" t="s">
        <v>3</v>
      </c>
      <c r="H252" s="9" t="s">
        <v>51</v>
      </c>
      <c r="I252" s="1" t="s">
        <v>17</v>
      </c>
    </row>
    <row r="253" spans="1:9">
      <c r="A253" s="51"/>
      <c r="B253" s="231" t="s">
        <v>11</v>
      </c>
      <c r="C253" s="129" t="s">
        <v>188</v>
      </c>
      <c r="D253" s="243" t="s">
        <v>188</v>
      </c>
      <c r="E253" s="65">
        <v>0</v>
      </c>
      <c r="F253" s="3">
        <v>0.05</v>
      </c>
      <c r="G253" s="89" t="s">
        <v>3</v>
      </c>
      <c r="H253" s="9" t="s">
        <v>51</v>
      </c>
      <c r="I253" s="1" t="s">
        <v>18</v>
      </c>
    </row>
    <row r="254" spans="1:9">
      <c r="A254" s="51"/>
      <c r="B254" s="231" t="s">
        <v>21</v>
      </c>
      <c r="C254" s="129" t="s">
        <v>188</v>
      </c>
      <c r="D254" s="243" t="s">
        <v>188</v>
      </c>
      <c r="E254" s="135">
        <v>0</v>
      </c>
      <c r="F254" s="115" t="s">
        <v>188</v>
      </c>
      <c r="G254" s="89" t="s">
        <v>3</v>
      </c>
      <c r="H254" s="131" t="s">
        <v>188</v>
      </c>
      <c r="I254" s="143" t="s">
        <v>188</v>
      </c>
    </row>
    <row r="255" spans="1:9" ht="15.75">
      <c r="A255" s="51"/>
      <c r="B255" s="231" t="s">
        <v>12</v>
      </c>
      <c r="C255" s="127" t="s">
        <v>188</v>
      </c>
      <c r="D255" s="244" t="s">
        <v>188</v>
      </c>
      <c r="E255" s="65">
        <v>0.10920000000000001</v>
      </c>
      <c r="F255" s="3">
        <v>0.15</v>
      </c>
      <c r="G255" s="88" t="s">
        <v>3</v>
      </c>
      <c r="H255" s="9" t="s">
        <v>52</v>
      </c>
      <c r="I255" s="9" t="s">
        <v>18</v>
      </c>
    </row>
    <row r="256" spans="1:9">
      <c r="A256" s="51"/>
      <c r="B256" s="224" t="s">
        <v>13</v>
      </c>
      <c r="C256" s="128" t="s">
        <v>188</v>
      </c>
      <c r="D256" s="242" t="s">
        <v>188</v>
      </c>
      <c r="E256" s="65">
        <v>1.1000000000000001E-3</v>
      </c>
      <c r="F256" s="3">
        <v>0.05</v>
      </c>
      <c r="G256" s="88" t="s">
        <v>3</v>
      </c>
      <c r="H256" s="10" t="s">
        <v>51</v>
      </c>
      <c r="I256" s="131" t="s">
        <v>188</v>
      </c>
    </row>
    <row r="257" spans="1:9" ht="15">
      <c r="A257" s="51"/>
      <c r="B257" s="226" t="s">
        <v>5</v>
      </c>
      <c r="C257" s="129" t="s">
        <v>188</v>
      </c>
      <c r="D257" s="243" t="s">
        <v>188</v>
      </c>
      <c r="E257" s="28">
        <f>SUBTOTAL(109,E248:E256)</f>
        <v>1.0430000000000001</v>
      </c>
      <c r="F257" s="28">
        <f>SUBTOTAL(109,F248:F256)</f>
        <v>1.29</v>
      </c>
      <c r="G257" s="119" t="s">
        <v>188</v>
      </c>
      <c r="H257" s="120" t="s">
        <v>188</v>
      </c>
      <c r="I257" s="114" t="s">
        <v>188</v>
      </c>
    </row>
    <row r="258" spans="1:9">
      <c r="A258" s="51"/>
      <c r="B258" s="224" t="s">
        <v>6</v>
      </c>
      <c r="C258" s="128" t="s">
        <v>188</v>
      </c>
      <c r="D258" s="242" t="s">
        <v>188</v>
      </c>
      <c r="E258" s="66">
        <v>0.14530000000000001</v>
      </c>
      <c r="F258" s="11">
        <v>0.15</v>
      </c>
      <c r="G258" s="88" t="s">
        <v>4</v>
      </c>
      <c r="H258" s="9" t="s">
        <v>119</v>
      </c>
      <c r="I258" s="1" t="s">
        <v>19</v>
      </c>
    </row>
    <row r="259" spans="1:9" ht="15">
      <c r="A259" s="51"/>
      <c r="B259" s="228" t="s">
        <v>228</v>
      </c>
      <c r="C259" s="133" t="s">
        <v>188</v>
      </c>
      <c r="D259" s="245" t="s">
        <v>188</v>
      </c>
      <c r="E259" s="67">
        <v>1.9E-3</v>
      </c>
      <c r="F259" s="113" t="s">
        <v>188</v>
      </c>
      <c r="G259" s="130" t="s">
        <v>188</v>
      </c>
      <c r="H259" s="130" t="s">
        <v>188</v>
      </c>
      <c r="I259" s="144" t="s">
        <v>188</v>
      </c>
    </row>
    <row r="260" spans="1:9" ht="15">
      <c r="A260" s="19"/>
      <c r="B260" s="16"/>
      <c r="C260" s="16"/>
      <c r="D260" s="16"/>
      <c r="E260" s="18"/>
      <c r="F260" s="17"/>
      <c r="G260" s="90"/>
      <c r="H260" s="18"/>
      <c r="I260" s="165"/>
    </row>
    <row r="261" spans="1:9" ht="23.25">
      <c r="A261" s="52" t="s">
        <v>115</v>
      </c>
      <c r="B261" s="33" t="s">
        <v>120</v>
      </c>
      <c r="C261" s="33"/>
      <c r="D261" s="33"/>
      <c r="E261" s="34"/>
      <c r="F261" s="35"/>
      <c r="G261" s="92"/>
      <c r="H261" s="34"/>
      <c r="I261" s="40"/>
    </row>
    <row r="262" spans="1:9" ht="15.75">
      <c r="A262" s="51"/>
      <c r="B262" s="227" t="s">
        <v>0</v>
      </c>
      <c r="C262" s="240" t="s">
        <v>188</v>
      </c>
      <c r="D262" s="241" t="s">
        <v>189</v>
      </c>
      <c r="E262" s="14" t="s">
        <v>223</v>
      </c>
      <c r="F262" s="14" t="s">
        <v>199</v>
      </c>
      <c r="G262" s="86" t="s">
        <v>30</v>
      </c>
      <c r="H262" s="13" t="s">
        <v>20</v>
      </c>
      <c r="I262" s="13" t="s">
        <v>35</v>
      </c>
    </row>
    <row r="263" spans="1:9" ht="28.5">
      <c r="A263" s="51"/>
      <c r="B263" s="224" t="s">
        <v>139</v>
      </c>
      <c r="C263" s="128" t="s">
        <v>188</v>
      </c>
      <c r="D263" s="242" t="s">
        <v>189</v>
      </c>
      <c r="E263" s="246" t="s">
        <v>239</v>
      </c>
      <c r="F263" s="235" t="s">
        <v>240</v>
      </c>
      <c r="G263" s="236" t="s">
        <v>4</v>
      </c>
      <c r="H263" s="237" t="s">
        <v>66</v>
      </c>
      <c r="I263" s="238" t="s">
        <v>230</v>
      </c>
    </row>
    <row r="264" spans="1:9">
      <c r="A264" s="51"/>
      <c r="B264" s="224" t="s">
        <v>2</v>
      </c>
      <c r="C264" s="129" t="s">
        <v>188</v>
      </c>
      <c r="D264" s="243" t="s">
        <v>188</v>
      </c>
      <c r="E264" s="65">
        <v>0.26590000000000003</v>
      </c>
      <c r="F264" s="3">
        <v>0.3</v>
      </c>
      <c r="G264" s="88" t="s">
        <v>3</v>
      </c>
      <c r="H264" s="4" t="s">
        <v>60</v>
      </c>
      <c r="I264" s="1" t="s">
        <v>14</v>
      </c>
    </row>
    <row r="265" spans="1:9">
      <c r="A265" s="51"/>
      <c r="B265" s="225" t="s">
        <v>138</v>
      </c>
      <c r="C265" s="128" t="s">
        <v>188</v>
      </c>
      <c r="D265" s="242" t="s">
        <v>188</v>
      </c>
      <c r="E265" s="65">
        <v>0.27239999999999998</v>
      </c>
      <c r="F265" s="3">
        <v>0.25</v>
      </c>
      <c r="G265" s="88" t="s">
        <v>4</v>
      </c>
      <c r="H265" s="4" t="s">
        <v>57</v>
      </c>
      <c r="I265" s="1" t="s">
        <v>15</v>
      </c>
    </row>
    <row r="266" spans="1:9" ht="28.5">
      <c r="A266" s="51"/>
      <c r="B266" s="231" t="s">
        <v>9</v>
      </c>
      <c r="C266" s="129" t="s">
        <v>188</v>
      </c>
      <c r="D266" s="243" t="s">
        <v>188</v>
      </c>
      <c r="E266" s="65">
        <v>1.6999999999999999E-3</v>
      </c>
      <c r="F266" s="3">
        <v>0.05</v>
      </c>
      <c r="G266" s="89" t="s">
        <v>3</v>
      </c>
      <c r="H266" s="9" t="s">
        <v>51</v>
      </c>
      <c r="I266" s="1" t="s">
        <v>16</v>
      </c>
    </row>
    <row r="267" spans="1:9">
      <c r="A267" s="51"/>
      <c r="B267" s="231" t="s">
        <v>10</v>
      </c>
      <c r="C267" s="129" t="s">
        <v>188</v>
      </c>
      <c r="D267" s="243" t="s">
        <v>188</v>
      </c>
      <c r="E267" s="65">
        <v>4.4999999999999997E-3</v>
      </c>
      <c r="F267" s="3">
        <v>0.05</v>
      </c>
      <c r="G267" s="89" t="s">
        <v>3</v>
      </c>
      <c r="H267" s="9" t="s">
        <v>51</v>
      </c>
      <c r="I267" s="1" t="s">
        <v>17</v>
      </c>
    </row>
    <row r="268" spans="1:9">
      <c r="A268" s="51"/>
      <c r="B268" s="231" t="s">
        <v>11</v>
      </c>
      <c r="C268" s="129" t="s">
        <v>188</v>
      </c>
      <c r="D268" s="243" t="s">
        <v>188</v>
      </c>
      <c r="E268" s="135">
        <v>0</v>
      </c>
      <c r="F268" s="3">
        <v>0.05</v>
      </c>
      <c r="G268" s="89" t="s">
        <v>3</v>
      </c>
      <c r="H268" s="9" t="s">
        <v>51</v>
      </c>
      <c r="I268" s="1" t="s">
        <v>18</v>
      </c>
    </row>
    <row r="269" spans="1:9">
      <c r="A269" s="51"/>
      <c r="B269" s="231" t="s">
        <v>21</v>
      </c>
      <c r="C269" s="129" t="s">
        <v>188</v>
      </c>
      <c r="D269" s="243" t="s">
        <v>188</v>
      </c>
      <c r="E269" s="135">
        <v>0</v>
      </c>
      <c r="F269" s="115" t="s">
        <v>188</v>
      </c>
      <c r="G269" s="89" t="s">
        <v>3</v>
      </c>
      <c r="H269" s="131" t="s">
        <v>250</v>
      </c>
      <c r="I269" s="143" t="s">
        <v>188</v>
      </c>
    </row>
    <row r="270" spans="1:9" ht="15.75">
      <c r="A270" s="51"/>
      <c r="B270" s="231" t="s">
        <v>12</v>
      </c>
      <c r="C270" s="127" t="s">
        <v>188</v>
      </c>
      <c r="D270" s="244" t="s">
        <v>188</v>
      </c>
      <c r="E270" s="65">
        <v>0.1081</v>
      </c>
      <c r="F270" s="3">
        <v>0.15</v>
      </c>
      <c r="G270" s="88" t="s">
        <v>3</v>
      </c>
      <c r="H270" s="9" t="s">
        <v>52</v>
      </c>
      <c r="I270" s="9" t="s">
        <v>18</v>
      </c>
    </row>
    <row r="271" spans="1:9">
      <c r="A271" s="51"/>
      <c r="B271" s="224" t="s">
        <v>13</v>
      </c>
      <c r="C271" s="128" t="s">
        <v>188</v>
      </c>
      <c r="D271" s="242" t="s">
        <v>188</v>
      </c>
      <c r="E271" s="65">
        <v>0</v>
      </c>
      <c r="F271" s="3">
        <v>0.05</v>
      </c>
      <c r="G271" s="88" t="s">
        <v>3</v>
      </c>
      <c r="H271" s="10" t="s">
        <v>51</v>
      </c>
      <c r="I271" s="131" t="s">
        <v>188</v>
      </c>
    </row>
    <row r="272" spans="1:9" ht="15">
      <c r="A272" s="51"/>
      <c r="B272" s="226" t="s">
        <v>5</v>
      </c>
      <c r="C272" s="129" t="s">
        <v>188</v>
      </c>
      <c r="D272" s="243" t="s">
        <v>188</v>
      </c>
      <c r="E272" s="232">
        <f>SUBTOTAL(109,E263:E271)</f>
        <v>0.65259999999999996</v>
      </c>
      <c r="F272" s="28">
        <f>SUBTOTAL(109,F263:F271)</f>
        <v>0.90000000000000024</v>
      </c>
      <c r="G272" s="119" t="s">
        <v>188</v>
      </c>
      <c r="H272" s="120" t="s">
        <v>250</v>
      </c>
      <c r="I272" s="114" t="s">
        <v>188</v>
      </c>
    </row>
    <row r="273" spans="1:9">
      <c r="A273" s="51"/>
      <c r="B273" s="224" t="s">
        <v>6</v>
      </c>
      <c r="C273" s="128" t="s">
        <v>188</v>
      </c>
      <c r="D273" s="242" t="s">
        <v>188</v>
      </c>
      <c r="E273" s="66">
        <v>0.2248</v>
      </c>
      <c r="F273" s="3">
        <v>0.2</v>
      </c>
      <c r="G273" s="89" t="s">
        <v>4</v>
      </c>
      <c r="H273" s="9" t="s">
        <v>64</v>
      </c>
      <c r="I273" s="1" t="s">
        <v>19</v>
      </c>
    </row>
    <row r="274" spans="1:9" ht="15">
      <c r="A274" s="51"/>
      <c r="B274" s="228" t="s">
        <v>228</v>
      </c>
      <c r="C274" s="133" t="s">
        <v>188</v>
      </c>
      <c r="D274" s="245" t="s">
        <v>188</v>
      </c>
      <c r="E274" s="67">
        <v>1.9E-3</v>
      </c>
      <c r="F274" s="113" t="s">
        <v>188</v>
      </c>
      <c r="G274" s="130" t="s">
        <v>188</v>
      </c>
      <c r="H274" s="130" t="s">
        <v>188</v>
      </c>
      <c r="I274" s="144" t="s">
        <v>188</v>
      </c>
    </row>
    <row r="275" spans="1:9" ht="15">
      <c r="A275" s="19"/>
      <c r="B275" s="16"/>
      <c r="C275" s="16"/>
      <c r="D275" s="16"/>
      <c r="E275" s="18"/>
      <c r="F275" s="17"/>
      <c r="G275" s="90"/>
      <c r="H275" s="18"/>
      <c r="I275" s="165"/>
    </row>
    <row r="276" spans="1:9" ht="23.25">
      <c r="A276" s="52" t="s">
        <v>115</v>
      </c>
      <c r="B276" s="33" t="s">
        <v>121</v>
      </c>
      <c r="C276" s="33"/>
      <c r="D276" s="33"/>
      <c r="E276" s="34"/>
      <c r="F276" s="35"/>
      <c r="G276" s="92"/>
      <c r="H276" s="34"/>
      <c r="I276" s="40"/>
    </row>
    <row r="277" spans="1:9" ht="15.75">
      <c r="A277" s="51"/>
      <c r="B277" s="247" t="s">
        <v>0</v>
      </c>
      <c r="C277" s="240" t="s">
        <v>188</v>
      </c>
      <c r="D277" s="241" t="s">
        <v>189</v>
      </c>
      <c r="E277" s="122" t="s">
        <v>223</v>
      </c>
      <c r="F277" s="122" t="s">
        <v>199</v>
      </c>
      <c r="G277" s="126" t="s">
        <v>30</v>
      </c>
      <c r="H277" s="123" t="s">
        <v>20</v>
      </c>
      <c r="I277" s="123" t="s">
        <v>35</v>
      </c>
    </row>
    <row r="278" spans="1:9" ht="28.5">
      <c r="A278" s="51"/>
      <c r="B278" s="224" t="s">
        <v>139</v>
      </c>
      <c r="C278" s="128" t="s">
        <v>188</v>
      </c>
      <c r="D278" s="242" t="s">
        <v>188</v>
      </c>
      <c r="E278" s="5">
        <v>0.97670000000000001</v>
      </c>
      <c r="F278" s="5">
        <v>0.95</v>
      </c>
      <c r="G278" s="87" t="s">
        <v>4</v>
      </c>
      <c r="H278" s="7" t="s">
        <v>122</v>
      </c>
      <c r="I278" s="6" t="s">
        <v>230</v>
      </c>
    </row>
    <row r="279" spans="1:9">
      <c r="A279" s="51"/>
      <c r="B279" s="224" t="s">
        <v>2</v>
      </c>
      <c r="C279" s="129" t="s">
        <v>188</v>
      </c>
      <c r="D279" s="243" t="s">
        <v>188</v>
      </c>
      <c r="E279" s="3">
        <v>0.27710000000000001</v>
      </c>
      <c r="F279" s="3">
        <v>0.3</v>
      </c>
      <c r="G279" s="88" t="s">
        <v>3</v>
      </c>
      <c r="H279" s="4" t="s">
        <v>60</v>
      </c>
      <c r="I279" s="1" t="s">
        <v>14</v>
      </c>
    </row>
    <row r="280" spans="1:9">
      <c r="A280" s="51"/>
      <c r="B280" s="225" t="s">
        <v>138</v>
      </c>
      <c r="C280" s="128" t="s">
        <v>188</v>
      </c>
      <c r="D280" s="242" t="s">
        <v>188</v>
      </c>
      <c r="E280" s="3">
        <v>3.0599999999999999E-2</v>
      </c>
      <c r="F280" s="3">
        <v>0.06</v>
      </c>
      <c r="G280" s="88" t="s">
        <v>4</v>
      </c>
      <c r="H280" s="4" t="s">
        <v>58</v>
      </c>
      <c r="I280" s="1" t="s">
        <v>15</v>
      </c>
    </row>
    <row r="281" spans="1:9" ht="28.5">
      <c r="A281" s="51"/>
      <c r="B281" s="231" t="s">
        <v>9</v>
      </c>
      <c r="C281" s="129" t="s">
        <v>188</v>
      </c>
      <c r="D281" s="243" t="s">
        <v>188</v>
      </c>
      <c r="E281" s="3">
        <v>2.2200000000000001E-2</v>
      </c>
      <c r="F281" s="3">
        <v>0.05</v>
      </c>
      <c r="G281" s="89" t="s">
        <v>3</v>
      </c>
      <c r="H281" s="9" t="s">
        <v>51</v>
      </c>
      <c r="I281" s="1" t="s">
        <v>16</v>
      </c>
    </row>
    <row r="282" spans="1:9">
      <c r="A282" s="51"/>
      <c r="B282" s="231" t="s">
        <v>10</v>
      </c>
      <c r="C282" s="129" t="s">
        <v>188</v>
      </c>
      <c r="D282" s="243" t="s">
        <v>188</v>
      </c>
      <c r="E282" s="3">
        <v>2.3E-3</v>
      </c>
      <c r="F282" s="3">
        <v>0.05</v>
      </c>
      <c r="G282" s="89" t="s">
        <v>3</v>
      </c>
      <c r="H282" s="9" t="s">
        <v>51</v>
      </c>
      <c r="I282" s="1" t="s">
        <v>17</v>
      </c>
    </row>
    <row r="283" spans="1:9">
      <c r="A283" s="51"/>
      <c r="B283" s="231" t="s">
        <v>11</v>
      </c>
      <c r="C283" s="129" t="s">
        <v>188</v>
      </c>
      <c r="D283" s="243" t="s">
        <v>188</v>
      </c>
      <c r="E283" s="3">
        <v>0</v>
      </c>
      <c r="F283" s="3">
        <v>0.05</v>
      </c>
      <c r="G283" s="89" t="s">
        <v>3</v>
      </c>
      <c r="H283" s="9" t="s">
        <v>51</v>
      </c>
      <c r="I283" s="1" t="s">
        <v>18</v>
      </c>
    </row>
    <row r="284" spans="1:9">
      <c r="A284" s="51"/>
      <c r="B284" s="231" t="s">
        <v>21</v>
      </c>
      <c r="C284" s="129" t="s">
        <v>188</v>
      </c>
      <c r="D284" s="243" t="s">
        <v>188</v>
      </c>
      <c r="E284" s="3">
        <v>0</v>
      </c>
      <c r="F284" s="3">
        <v>0.05</v>
      </c>
      <c r="G284" s="89" t="s">
        <v>3</v>
      </c>
      <c r="H284" s="9" t="s">
        <v>51</v>
      </c>
      <c r="I284" s="1" t="s">
        <v>18</v>
      </c>
    </row>
    <row r="285" spans="1:9" ht="15.75">
      <c r="A285" s="51"/>
      <c r="B285" s="224" t="s">
        <v>12</v>
      </c>
      <c r="C285" s="127" t="s">
        <v>188</v>
      </c>
      <c r="D285" s="244" t="s">
        <v>188</v>
      </c>
      <c r="E285" s="3">
        <v>0.15720000000000001</v>
      </c>
      <c r="F285" s="3">
        <v>0.12</v>
      </c>
      <c r="G285" s="88" t="s">
        <v>3</v>
      </c>
      <c r="H285" s="9" t="s">
        <v>56</v>
      </c>
      <c r="I285" s="9" t="s">
        <v>18</v>
      </c>
    </row>
    <row r="286" spans="1:9">
      <c r="A286" s="51"/>
      <c r="B286" s="224" t="s">
        <v>13</v>
      </c>
      <c r="C286" s="128" t="s">
        <v>188</v>
      </c>
      <c r="D286" s="242" t="s">
        <v>188</v>
      </c>
      <c r="E286" s="3">
        <v>2E-3</v>
      </c>
      <c r="F286" s="3">
        <v>0.05</v>
      </c>
      <c r="G286" s="88" t="s">
        <v>3</v>
      </c>
      <c r="H286" s="10" t="s">
        <v>51</v>
      </c>
      <c r="I286" s="131" t="s">
        <v>188</v>
      </c>
    </row>
    <row r="287" spans="1:9" ht="15">
      <c r="A287" s="51"/>
      <c r="B287" s="226" t="s">
        <v>5</v>
      </c>
      <c r="C287" s="129" t="s">
        <v>188</v>
      </c>
      <c r="D287" s="243" t="s">
        <v>188</v>
      </c>
      <c r="E287" s="101">
        <f>SUBTOTAL(109,E278:E286)</f>
        <v>1.4681</v>
      </c>
      <c r="F287" s="101">
        <f>SUBTOTAL(109,F278:F286)</f>
        <v>1.6800000000000004</v>
      </c>
      <c r="G287" s="119" t="s">
        <v>188</v>
      </c>
      <c r="H287" s="120" t="s">
        <v>188</v>
      </c>
      <c r="I287" s="114" t="s">
        <v>188</v>
      </c>
    </row>
    <row r="288" spans="1:9">
      <c r="A288" s="51"/>
      <c r="B288" s="224" t="s">
        <v>6</v>
      </c>
      <c r="C288" s="128" t="s">
        <v>188</v>
      </c>
      <c r="D288" s="242" t="s">
        <v>188</v>
      </c>
      <c r="E288" s="11">
        <v>0.2243</v>
      </c>
      <c r="F288" s="3">
        <v>0.22</v>
      </c>
      <c r="G288" s="89" t="s">
        <v>4</v>
      </c>
      <c r="H288" s="9" t="s">
        <v>53</v>
      </c>
      <c r="I288" s="1" t="s">
        <v>19</v>
      </c>
    </row>
    <row r="289" spans="1:9" ht="15">
      <c r="A289" s="51"/>
      <c r="B289" s="228" t="s">
        <v>228</v>
      </c>
      <c r="C289" s="133" t="s">
        <v>188</v>
      </c>
      <c r="D289" s="245" t="s">
        <v>188</v>
      </c>
      <c r="E289" s="67">
        <v>1.9E-3</v>
      </c>
      <c r="F289" s="113" t="s">
        <v>188</v>
      </c>
      <c r="G289" s="130" t="s">
        <v>188</v>
      </c>
      <c r="H289" s="130" t="s">
        <v>188</v>
      </c>
      <c r="I289" s="144" t="s">
        <v>188</v>
      </c>
    </row>
    <row r="290" spans="1:9" ht="15">
      <c r="A290" s="19"/>
      <c r="B290" s="16"/>
      <c r="C290" s="16"/>
      <c r="D290" s="16"/>
      <c r="E290" s="18"/>
      <c r="F290" s="17"/>
      <c r="G290" s="90"/>
      <c r="H290" s="18"/>
      <c r="I290" s="165"/>
    </row>
    <row r="291" spans="1:9" ht="23.25">
      <c r="A291" s="52" t="s">
        <v>115</v>
      </c>
      <c r="B291" s="33" t="s">
        <v>123</v>
      </c>
      <c r="C291" s="33"/>
      <c r="D291" s="33"/>
      <c r="E291" s="34"/>
      <c r="F291" s="35"/>
      <c r="G291" s="92"/>
      <c r="H291" s="34"/>
      <c r="I291" s="40"/>
    </row>
    <row r="292" spans="1:9" ht="15.75">
      <c r="A292" s="51"/>
      <c r="B292" s="227" t="s">
        <v>0</v>
      </c>
      <c r="C292" s="240" t="s">
        <v>188</v>
      </c>
      <c r="D292" s="241" t="s">
        <v>189</v>
      </c>
      <c r="E292" s="122" t="s">
        <v>223</v>
      </c>
      <c r="F292" s="122" t="s">
        <v>199</v>
      </c>
      <c r="G292" s="126" t="s">
        <v>30</v>
      </c>
      <c r="H292" s="123" t="s">
        <v>20</v>
      </c>
      <c r="I292" s="123" t="s">
        <v>35</v>
      </c>
    </row>
    <row r="293" spans="1:9" ht="28.5">
      <c r="A293" s="51"/>
      <c r="B293" s="224" t="s">
        <v>139</v>
      </c>
      <c r="C293" s="128" t="s">
        <v>188</v>
      </c>
      <c r="D293" s="242" t="s">
        <v>189</v>
      </c>
      <c r="E293" s="5">
        <v>0.96450000000000002</v>
      </c>
      <c r="F293" s="5">
        <v>0.94</v>
      </c>
      <c r="G293" s="88" t="s">
        <v>4</v>
      </c>
      <c r="H293" s="7" t="s">
        <v>98</v>
      </c>
      <c r="I293" s="6" t="s">
        <v>230</v>
      </c>
    </row>
    <row r="294" spans="1:9">
      <c r="A294" s="51"/>
      <c r="B294" s="224" t="s">
        <v>2</v>
      </c>
      <c r="C294" s="129" t="s">
        <v>188</v>
      </c>
      <c r="D294" s="243" t="s">
        <v>188</v>
      </c>
      <c r="E294" s="3">
        <v>0.2339</v>
      </c>
      <c r="F294" s="3">
        <v>0.25</v>
      </c>
      <c r="G294" s="88" t="s">
        <v>3</v>
      </c>
      <c r="H294" s="4" t="s">
        <v>54</v>
      </c>
      <c r="I294" s="1" t="s">
        <v>14</v>
      </c>
    </row>
    <row r="295" spans="1:9">
      <c r="A295" s="51"/>
      <c r="B295" s="225" t="s">
        <v>138</v>
      </c>
      <c r="C295" s="128" t="s">
        <v>188</v>
      </c>
      <c r="D295" s="242" t="s">
        <v>188</v>
      </c>
      <c r="E295" s="3">
        <v>9.3100000000000002E-2</v>
      </c>
      <c r="F295" s="3">
        <v>0.14000000000000001</v>
      </c>
      <c r="G295" s="88" t="s">
        <v>4</v>
      </c>
      <c r="H295" s="4" t="s">
        <v>124</v>
      </c>
      <c r="I295" s="1" t="s">
        <v>15</v>
      </c>
    </row>
    <row r="296" spans="1:9">
      <c r="A296" s="51"/>
      <c r="B296" s="224" t="s">
        <v>12</v>
      </c>
      <c r="C296" s="129" t="s">
        <v>188</v>
      </c>
      <c r="D296" s="243" t="s">
        <v>188</v>
      </c>
      <c r="E296" s="3">
        <v>0.1628</v>
      </c>
      <c r="F296" s="3">
        <v>0.15</v>
      </c>
      <c r="G296" s="88" t="s">
        <v>3</v>
      </c>
      <c r="H296" s="9" t="s">
        <v>52</v>
      </c>
      <c r="I296" s="9" t="s">
        <v>18</v>
      </c>
    </row>
    <row r="297" spans="1:9" ht="15">
      <c r="A297" s="51"/>
      <c r="B297" s="226" t="s">
        <v>5</v>
      </c>
      <c r="C297" s="129" t="s">
        <v>188</v>
      </c>
      <c r="D297" s="243" t="s">
        <v>188</v>
      </c>
      <c r="E297" s="28">
        <f>SUBTOTAL(109,E293:E296)</f>
        <v>1.4542999999999999</v>
      </c>
      <c r="F297" s="28">
        <f>SUBTOTAL(109,F293:F296)</f>
        <v>1.48</v>
      </c>
      <c r="G297" s="119" t="s">
        <v>188</v>
      </c>
      <c r="H297" s="120" t="s">
        <v>250</v>
      </c>
      <c r="I297" s="114" t="s">
        <v>188</v>
      </c>
    </row>
    <row r="298" spans="1:9">
      <c r="A298" s="51"/>
      <c r="B298" s="224" t="s">
        <v>6</v>
      </c>
      <c r="C298" s="129" t="s">
        <v>188</v>
      </c>
      <c r="D298" s="243" t="s">
        <v>188</v>
      </c>
      <c r="E298" s="11">
        <v>0.27339999999999998</v>
      </c>
      <c r="F298" s="11">
        <v>0.24</v>
      </c>
      <c r="G298" s="88" t="s">
        <v>4</v>
      </c>
      <c r="H298" s="9" t="s">
        <v>63</v>
      </c>
      <c r="I298" s="1" t="s">
        <v>19</v>
      </c>
    </row>
    <row r="299" spans="1:9" ht="15">
      <c r="A299" s="51"/>
      <c r="B299" s="228" t="s">
        <v>228</v>
      </c>
      <c r="C299" s="129" t="s">
        <v>188</v>
      </c>
      <c r="D299" s="243" t="s">
        <v>188</v>
      </c>
      <c r="E299" s="67">
        <v>1.5E-3</v>
      </c>
      <c r="F299" s="113" t="s">
        <v>188</v>
      </c>
      <c r="G299" s="130" t="s">
        <v>188</v>
      </c>
      <c r="H299" s="130" t="s">
        <v>188</v>
      </c>
      <c r="I299" s="144" t="s">
        <v>188</v>
      </c>
    </row>
    <row r="300" spans="1:9" ht="15">
      <c r="A300" s="19"/>
      <c r="B300" s="16"/>
      <c r="C300" s="16"/>
      <c r="D300" s="16"/>
      <c r="E300" s="18"/>
      <c r="F300" s="17"/>
      <c r="G300" s="90"/>
      <c r="H300" s="18"/>
      <c r="I300" s="165"/>
    </row>
    <row r="301" spans="1:9" ht="23.25">
      <c r="A301" s="52" t="s">
        <v>115</v>
      </c>
      <c r="B301" s="33" t="s">
        <v>125</v>
      </c>
      <c r="C301" s="33"/>
      <c r="D301" s="33"/>
      <c r="E301" s="34"/>
      <c r="F301" s="35"/>
      <c r="G301" s="92"/>
      <c r="H301" s="34"/>
      <c r="I301" s="40"/>
    </row>
    <row r="302" spans="1:9" ht="15.75">
      <c r="A302" s="51"/>
      <c r="B302" s="227" t="s">
        <v>0</v>
      </c>
      <c r="C302" s="240" t="s">
        <v>188</v>
      </c>
      <c r="D302" s="241" t="s">
        <v>189</v>
      </c>
      <c r="E302" s="122" t="s">
        <v>223</v>
      </c>
      <c r="F302" s="122" t="s">
        <v>199</v>
      </c>
      <c r="G302" s="126" t="s">
        <v>30</v>
      </c>
      <c r="H302" s="123" t="s">
        <v>20</v>
      </c>
      <c r="I302" s="123" t="s">
        <v>35</v>
      </c>
    </row>
    <row r="303" spans="1:9">
      <c r="A303" s="51"/>
      <c r="B303" s="224" t="s">
        <v>139</v>
      </c>
      <c r="C303" s="128" t="s">
        <v>188</v>
      </c>
      <c r="D303" s="242" t="s">
        <v>189</v>
      </c>
      <c r="E303" s="5" t="s">
        <v>234</v>
      </c>
      <c r="F303" s="5" t="s">
        <v>235</v>
      </c>
      <c r="G303" s="87" t="s">
        <v>4</v>
      </c>
      <c r="H303" s="7" t="s">
        <v>64</v>
      </c>
      <c r="I303" s="53" t="s">
        <v>25</v>
      </c>
    </row>
    <row r="304" spans="1:9">
      <c r="A304" s="51"/>
      <c r="B304" s="224" t="s">
        <v>2</v>
      </c>
      <c r="C304" s="129" t="s">
        <v>188</v>
      </c>
      <c r="D304" s="243" t="s">
        <v>188</v>
      </c>
      <c r="E304" s="3">
        <v>0.23200000000000001</v>
      </c>
      <c r="F304" s="3">
        <v>0.25</v>
      </c>
      <c r="G304" s="88" t="s">
        <v>3</v>
      </c>
      <c r="H304" s="4" t="s">
        <v>54</v>
      </c>
      <c r="I304" s="1" t="s">
        <v>26</v>
      </c>
    </row>
    <row r="305" spans="1:9">
      <c r="A305" s="51"/>
      <c r="B305" s="225" t="s">
        <v>138</v>
      </c>
      <c r="C305" s="128" t="s">
        <v>188</v>
      </c>
      <c r="D305" s="242" t="s">
        <v>188</v>
      </c>
      <c r="E305" s="3">
        <v>0.28149999999999997</v>
      </c>
      <c r="F305" s="3">
        <v>0.34</v>
      </c>
      <c r="G305" s="88" t="s">
        <v>4</v>
      </c>
      <c r="H305" s="4" t="s">
        <v>126</v>
      </c>
      <c r="I305" s="1" t="s">
        <v>26</v>
      </c>
    </row>
    <row r="306" spans="1:9">
      <c r="A306" s="51"/>
      <c r="B306" s="224" t="s">
        <v>12</v>
      </c>
      <c r="C306" s="129" t="s">
        <v>188</v>
      </c>
      <c r="D306" s="243" t="s">
        <v>188</v>
      </c>
      <c r="E306" s="3">
        <v>0.23449999999999999</v>
      </c>
      <c r="F306" s="3">
        <v>0.21</v>
      </c>
      <c r="G306" s="88" t="s">
        <v>3</v>
      </c>
      <c r="H306" s="9" t="s">
        <v>127</v>
      </c>
      <c r="I306" s="9" t="s">
        <v>18</v>
      </c>
    </row>
    <row r="307" spans="1:9" ht="15">
      <c r="A307" s="51"/>
      <c r="B307" s="226" t="s">
        <v>5</v>
      </c>
      <c r="C307" s="129" t="s">
        <v>188</v>
      </c>
      <c r="D307" s="243" t="s">
        <v>188</v>
      </c>
      <c r="E307" s="28">
        <f>SUBTOTAL(109,E303:E306)</f>
        <v>0.748</v>
      </c>
      <c r="F307" s="28">
        <f>SUBTOTAL(109,F303:F306)</f>
        <v>0.8</v>
      </c>
      <c r="G307" s="119" t="s">
        <v>188</v>
      </c>
      <c r="H307" s="120" t="s">
        <v>250</v>
      </c>
      <c r="I307" s="114" t="s">
        <v>188</v>
      </c>
    </row>
    <row r="308" spans="1:9">
      <c r="A308" s="51"/>
      <c r="B308" s="224" t="s">
        <v>6</v>
      </c>
      <c r="C308" s="129" t="s">
        <v>188</v>
      </c>
      <c r="D308" s="243" t="s">
        <v>188</v>
      </c>
      <c r="E308" s="11">
        <v>0.83679999999999999</v>
      </c>
      <c r="F308" s="11">
        <v>0.81</v>
      </c>
      <c r="G308" s="88" t="s">
        <v>4</v>
      </c>
      <c r="H308" s="9" t="s">
        <v>128</v>
      </c>
      <c r="I308" s="1" t="s">
        <v>19</v>
      </c>
    </row>
    <row r="309" spans="1:9" ht="15">
      <c r="A309" s="51"/>
      <c r="B309" s="228" t="s">
        <v>228</v>
      </c>
      <c r="C309" s="129" t="s">
        <v>188</v>
      </c>
      <c r="D309" s="243" t="s">
        <v>188</v>
      </c>
      <c r="E309" s="67">
        <v>3.0000000000000001E-3</v>
      </c>
      <c r="F309" s="113" t="s">
        <v>188</v>
      </c>
      <c r="G309" s="130" t="s">
        <v>188</v>
      </c>
      <c r="H309" s="130" t="s">
        <v>188</v>
      </c>
      <c r="I309" s="144" t="s">
        <v>188</v>
      </c>
    </row>
    <row r="310" spans="1:9" ht="15.75">
      <c r="A310" s="55" t="s">
        <v>8</v>
      </c>
      <c r="B310" s="16"/>
      <c r="C310" s="16"/>
      <c r="D310" s="16"/>
      <c r="E310" s="18"/>
      <c r="F310" s="17"/>
      <c r="G310" s="90"/>
      <c r="H310" s="18"/>
      <c r="I310" s="165"/>
    </row>
    <row r="311" spans="1:9" s="97" customFormat="1">
      <c r="A311" s="60" t="s">
        <v>136</v>
      </c>
      <c r="B311" s="61"/>
      <c r="C311" s="61"/>
      <c r="D311" s="61"/>
      <c r="E311" s="59"/>
      <c r="F311" s="59"/>
      <c r="G311" s="94"/>
      <c r="H311" s="59"/>
      <c r="I311" s="84"/>
    </row>
    <row r="312" spans="1:9">
      <c r="A312" s="58" t="s">
        <v>135</v>
      </c>
      <c r="B312" s="62"/>
      <c r="C312" s="62"/>
      <c r="D312" s="62"/>
      <c r="E312" s="57"/>
      <c r="F312" s="57"/>
      <c r="G312" s="95"/>
      <c r="H312" s="57"/>
      <c r="I312" s="85"/>
    </row>
    <row r="313" spans="1:9" ht="15">
      <c r="A313" s="54"/>
      <c r="B313" s="16"/>
      <c r="C313" s="16"/>
      <c r="D313" s="16"/>
      <c r="E313" s="18"/>
      <c r="F313" s="17"/>
      <c r="G313" s="90"/>
      <c r="H313" s="18"/>
      <c r="I313" s="165"/>
    </row>
    <row r="10001" spans="10:52">
      <c r="J10001" s="96">
        <v>46</v>
      </c>
      <c r="K10001" s="96">
        <v>24</v>
      </c>
      <c r="L10001" s="96">
        <v>24</v>
      </c>
      <c r="M10001" s="96">
        <v>23</v>
      </c>
      <c r="N10001" s="96">
        <v>23</v>
      </c>
      <c r="AZ10001" s="96">
        <v>37</v>
      </c>
    </row>
  </sheetData>
  <mergeCells count="1">
    <mergeCell ref="A2:F2"/>
  </mergeCells>
  <hyperlinks>
    <hyperlink ref="A312" r:id="rId1" display="https://www.moreinvest.co.il/media/5jfhbei0/res_%D7%9E%D7%93%D7%99%D7%A0%D7%99%D7%95%D7%AA-%D7%94%D7%A9%D7%AA%D7%AA%D7%A4%D7%95%D7%AA-%D7%91%D7%90%D7%A1%D7%99%D7%A4%D7%95%D7%AA-%D7%9B%D7%9C%D7%9C%D7%99%D7%95%D7%AA-15-8-2023-1.pdf" xr:uid="{5D7F4651-9814-4B21-B76A-BD14271BFB37}"/>
  </hyperlinks>
  <pageMargins left="0.7" right="0.7" top="0.75" bottom="0.75" header="0.3" footer="0.3"/>
  <pageSetup paperSize="9" orientation="portrait" r:id="rId2"/>
  <drawing r:id="rId3"/>
  <tableParts count="36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BEB54-18FB-4CFC-BF25-595E12FF43B2}">
  <sheetPr>
    <tabColor rgb="FF305598"/>
    <pageSetUpPr fitToPage="1"/>
  </sheetPr>
  <dimension ref="A1:AZ10001"/>
  <sheetViews>
    <sheetView rightToLeft="1" tabSelected="1" topLeftCell="C155" zoomScale="55" zoomScaleNormal="55" workbookViewId="0">
      <selection activeCell="I180" sqref="I180:N187"/>
    </sheetView>
  </sheetViews>
  <sheetFormatPr defaultColWidth="9" defaultRowHeight="14.25"/>
  <cols>
    <col min="1" max="1" width="17.625" style="96" customWidth="1"/>
    <col min="2" max="2" width="19.625" style="98" customWidth="1"/>
    <col min="3" max="3" width="30.5" style="187" customWidth="1"/>
    <col min="4" max="4" width="28.375" style="187" customWidth="1"/>
    <col min="5" max="5" width="16.875" style="213" customWidth="1"/>
    <col min="6" max="6" width="29" style="187" customWidth="1"/>
    <col min="7" max="7" width="22.125" style="214" customWidth="1"/>
    <col min="8" max="8" width="17.625" style="187" customWidth="1"/>
    <col min="9" max="9" width="19.625" style="215" customWidth="1"/>
    <col min="10" max="10" width="30.5" style="187" customWidth="1"/>
    <col min="11" max="11" width="28.375" style="187" customWidth="1"/>
    <col min="12" max="12" width="16.875" style="187" customWidth="1"/>
    <col min="13" max="13" width="29" style="187" customWidth="1"/>
    <col min="14" max="14" width="22.125" style="214" customWidth="1"/>
    <col min="15" max="16384" width="9" style="96"/>
  </cols>
  <sheetData>
    <row r="1" spans="1:14">
      <c r="A1" s="248" t="s">
        <v>252</v>
      </c>
    </row>
    <row r="2" spans="1:14" ht="94.35" customHeight="1">
      <c r="A2" s="221" t="s">
        <v>198</v>
      </c>
      <c r="B2" s="221"/>
      <c r="C2" s="221"/>
      <c r="D2" s="221"/>
      <c r="E2" s="221"/>
      <c r="F2" s="188"/>
      <c r="G2" s="189"/>
      <c r="H2" s="222" t="s">
        <v>222</v>
      </c>
      <c r="I2" s="222"/>
      <c r="J2" s="222"/>
      <c r="K2" s="222"/>
      <c r="L2" s="190"/>
      <c r="M2" s="190"/>
      <c r="N2" s="191"/>
    </row>
    <row r="3" spans="1:14" ht="51.75" customHeight="1">
      <c r="A3" s="20" t="s">
        <v>36</v>
      </c>
      <c r="B3" s="33" t="s">
        <v>129</v>
      </c>
      <c r="C3" s="34"/>
      <c r="D3" s="35"/>
      <c r="E3" s="82"/>
      <c r="F3" s="34"/>
      <c r="G3" s="168"/>
      <c r="H3" s="192" t="s">
        <v>36</v>
      </c>
      <c r="I3" s="33" t="s">
        <v>142</v>
      </c>
      <c r="J3" s="34"/>
      <c r="K3" s="35"/>
      <c r="L3" s="36"/>
      <c r="M3" s="34"/>
      <c r="N3" s="168"/>
    </row>
    <row r="4" spans="1:14" ht="40.35" customHeight="1">
      <c r="A4" s="21"/>
      <c r="B4" s="121" t="s">
        <v>0</v>
      </c>
      <c r="C4" s="122" t="s">
        <v>223</v>
      </c>
      <c r="D4" s="122" t="s">
        <v>199</v>
      </c>
      <c r="E4" s="123" t="s">
        <v>30</v>
      </c>
      <c r="F4" s="123" t="s">
        <v>20</v>
      </c>
      <c r="G4" s="123" t="s">
        <v>35</v>
      </c>
      <c r="H4" s="193"/>
      <c r="I4" s="121" t="s">
        <v>0</v>
      </c>
      <c r="J4" s="122" t="s">
        <v>223</v>
      </c>
      <c r="K4" s="122" t="s">
        <v>199</v>
      </c>
      <c r="L4" s="123" t="s">
        <v>30</v>
      </c>
      <c r="M4" s="123" t="s">
        <v>20</v>
      </c>
      <c r="N4" s="123" t="s">
        <v>35</v>
      </c>
    </row>
    <row r="5" spans="1:14" ht="15.75">
      <c r="A5" s="21"/>
      <c r="B5" s="106" t="s">
        <v>170</v>
      </c>
      <c r="C5" s="5">
        <v>0.2792</v>
      </c>
      <c r="D5" s="5">
        <v>0.3</v>
      </c>
      <c r="E5" s="141" t="s">
        <v>188</v>
      </c>
      <c r="F5" s="142" t="s">
        <v>188</v>
      </c>
      <c r="G5" s="142" t="s">
        <v>188</v>
      </c>
      <c r="H5" s="193"/>
      <c r="I5" s="152" t="s">
        <v>188</v>
      </c>
      <c r="J5" s="153" t="s">
        <v>188</v>
      </c>
      <c r="K5" s="153" t="s">
        <v>188</v>
      </c>
      <c r="L5" s="142" t="s">
        <v>188</v>
      </c>
      <c r="M5" s="142" t="s">
        <v>188</v>
      </c>
      <c r="N5" s="142" t="s">
        <v>188</v>
      </c>
    </row>
    <row r="6" spans="1:14" ht="34.5" customHeight="1">
      <c r="A6" s="21"/>
      <c r="B6" s="106" t="s">
        <v>139</v>
      </c>
      <c r="C6" s="5">
        <v>0.58360000000000001</v>
      </c>
      <c r="D6" s="5">
        <v>0.57999999999999996</v>
      </c>
      <c r="E6" s="6" t="s">
        <v>4</v>
      </c>
      <c r="F6" s="7" t="s">
        <v>208</v>
      </c>
      <c r="G6" s="6" t="s">
        <v>221</v>
      </c>
      <c r="H6" s="193"/>
      <c r="I6" s="106" t="s">
        <v>231</v>
      </c>
      <c r="J6" s="5">
        <v>0.56100000000000005</v>
      </c>
      <c r="K6" s="5">
        <v>0.56000000000000005</v>
      </c>
      <c r="L6" s="6" t="s">
        <v>4</v>
      </c>
      <c r="M6" s="7" t="s">
        <v>209</v>
      </c>
      <c r="N6" s="6" t="s">
        <v>221</v>
      </c>
    </row>
    <row r="7" spans="1:14">
      <c r="A7" s="21"/>
      <c r="B7" s="106" t="s">
        <v>2</v>
      </c>
      <c r="C7" s="3">
        <v>9.0700000000000003E-2</v>
      </c>
      <c r="D7" s="3">
        <v>0.09</v>
      </c>
      <c r="E7" s="1" t="s">
        <v>3</v>
      </c>
      <c r="F7" s="4" t="s">
        <v>207</v>
      </c>
      <c r="G7" s="1" t="s">
        <v>14</v>
      </c>
      <c r="H7" s="193"/>
      <c r="I7" s="106" t="s">
        <v>2</v>
      </c>
      <c r="J7" s="3">
        <v>0.27579999999999999</v>
      </c>
      <c r="K7" s="3">
        <v>0.28000000000000003</v>
      </c>
      <c r="L7" s="1" t="s">
        <v>3</v>
      </c>
      <c r="M7" s="4" t="s">
        <v>46</v>
      </c>
      <c r="N7" s="1" t="s">
        <v>14</v>
      </c>
    </row>
    <row r="8" spans="1:14" ht="28.5">
      <c r="A8" s="21"/>
      <c r="B8" s="107" t="s">
        <v>138</v>
      </c>
      <c r="C8" s="3">
        <v>0.14419999999999999</v>
      </c>
      <c r="D8" s="3">
        <v>0.15</v>
      </c>
      <c r="E8" s="1" t="s">
        <v>4</v>
      </c>
      <c r="F8" s="4" t="s">
        <v>119</v>
      </c>
      <c r="G8" s="1" t="s">
        <v>174</v>
      </c>
      <c r="H8" s="193"/>
      <c r="I8" s="106" t="s">
        <v>138</v>
      </c>
      <c r="J8" s="3">
        <v>0.26300000000000001</v>
      </c>
      <c r="K8" s="3">
        <v>0.3</v>
      </c>
      <c r="L8" s="1" t="s">
        <v>4</v>
      </c>
      <c r="M8" s="4" t="s">
        <v>61</v>
      </c>
      <c r="N8" s="1" t="s">
        <v>15</v>
      </c>
    </row>
    <row r="9" spans="1:14" ht="28.5">
      <c r="A9" s="21"/>
      <c r="B9" s="106" t="s">
        <v>171</v>
      </c>
      <c r="C9" s="3">
        <v>1.0699999999999999E-2</v>
      </c>
      <c r="D9" s="3">
        <v>0.05</v>
      </c>
      <c r="E9" s="8" t="s">
        <v>3</v>
      </c>
      <c r="F9" s="9" t="s">
        <v>51</v>
      </c>
      <c r="G9" s="143" t="s">
        <v>188</v>
      </c>
      <c r="H9" s="193"/>
      <c r="I9" s="106" t="s">
        <v>171</v>
      </c>
      <c r="J9" s="3">
        <v>1.0800000000000001E-2</v>
      </c>
      <c r="K9" s="3">
        <v>0.05</v>
      </c>
      <c r="L9" s="8" t="s">
        <v>3</v>
      </c>
      <c r="M9" s="9" t="s">
        <v>51</v>
      </c>
      <c r="N9" s="143" t="s">
        <v>188</v>
      </c>
    </row>
    <row r="10" spans="1:14">
      <c r="A10" s="21"/>
      <c r="B10" s="106" t="s">
        <v>10</v>
      </c>
      <c r="C10" s="3">
        <v>1.38E-2</v>
      </c>
      <c r="D10" s="3">
        <v>0.05</v>
      </c>
      <c r="E10" s="8" t="s">
        <v>3</v>
      </c>
      <c r="F10" s="9" t="s">
        <v>51</v>
      </c>
      <c r="G10" s="143" t="s">
        <v>188</v>
      </c>
      <c r="H10" s="193"/>
      <c r="I10" s="106" t="s">
        <v>10</v>
      </c>
      <c r="J10" s="3">
        <v>9.4000000000000004E-3</v>
      </c>
      <c r="K10" s="3">
        <v>0.05</v>
      </c>
      <c r="L10" s="8" t="s">
        <v>3</v>
      </c>
      <c r="M10" s="9" t="s">
        <v>51</v>
      </c>
      <c r="N10" s="143" t="s">
        <v>188</v>
      </c>
    </row>
    <row r="11" spans="1:14">
      <c r="A11" s="21"/>
      <c r="B11" s="106" t="s">
        <v>12</v>
      </c>
      <c r="C11" s="3">
        <v>0.14019999999999999</v>
      </c>
      <c r="D11" s="3">
        <v>0.15</v>
      </c>
      <c r="E11" s="1" t="s">
        <v>3</v>
      </c>
      <c r="F11" s="9" t="s">
        <v>52</v>
      </c>
      <c r="G11" s="131" t="s">
        <v>188</v>
      </c>
      <c r="H11" s="193"/>
      <c r="I11" s="106" t="s">
        <v>12</v>
      </c>
      <c r="J11" s="3">
        <v>0.18379999999999999</v>
      </c>
      <c r="K11" s="3">
        <v>0.15</v>
      </c>
      <c r="L11" s="1" t="s">
        <v>3</v>
      </c>
      <c r="M11" s="9" t="s">
        <v>52</v>
      </c>
      <c r="N11" s="131" t="s">
        <v>188</v>
      </c>
    </row>
    <row r="12" spans="1:14">
      <c r="A12" s="21"/>
      <c r="B12" s="106" t="s">
        <v>172</v>
      </c>
      <c r="C12" s="3">
        <v>7.0000000000000001E-3</v>
      </c>
      <c r="D12" s="3">
        <v>0.05</v>
      </c>
      <c r="E12" s="1" t="s">
        <v>3</v>
      </c>
      <c r="F12" s="10" t="s">
        <v>51</v>
      </c>
      <c r="G12" s="131" t="s">
        <v>188</v>
      </c>
      <c r="H12" s="193"/>
      <c r="I12" s="106" t="s">
        <v>172</v>
      </c>
      <c r="J12" s="3">
        <v>5.3E-3</v>
      </c>
      <c r="K12" s="3">
        <v>0.05</v>
      </c>
      <c r="L12" s="1" t="s">
        <v>3</v>
      </c>
      <c r="M12" s="10" t="s">
        <v>51</v>
      </c>
      <c r="N12" s="131" t="s">
        <v>188</v>
      </c>
    </row>
    <row r="13" spans="1:14" ht="15">
      <c r="A13" s="21"/>
      <c r="B13" s="108" t="s">
        <v>5</v>
      </c>
      <c r="C13" s="28">
        <f>SUBTOTAL(109,C5:C12)</f>
        <v>1.2693999999999999</v>
      </c>
      <c r="D13" s="101">
        <f>SUBTOTAL(109,D5:D12)</f>
        <v>1.42</v>
      </c>
      <c r="E13" s="119" t="s">
        <v>188</v>
      </c>
      <c r="F13" s="120" t="s">
        <v>250</v>
      </c>
      <c r="G13" s="114" t="s">
        <v>188</v>
      </c>
      <c r="H13" s="193"/>
      <c r="I13" s="108" t="s">
        <v>5</v>
      </c>
      <c r="J13" s="28">
        <f>SUBTOTAL(109,J5:J12)</f>
        <v>1.3091000000000002</v>
      </c>
      <c r="K13" s="101">
        <f>SUBTOTAL(109,K5:K12)</f>
        <v>1.4400000000000002</v>
      </c>
      <c r="L13" s="120" t="s">
        <v>188</v>
      </c>
      <c r="M13" s="120" t="s">
        <v>188</v>
      </c>
      <c r="N13" s="114" t="s">
        <v>188</v>
      </c>
    </row>
    <row r="14" spans="1:14">
      <c r="A14" s="21"/>
      <c r="B14" s="106" t="s">
        <v>6</v>
      </c>
      <c r="C14" s="11">
        <v>0.19939999999999999</v>
      </c>
      <c r="D14" s="11">
        <v>0.2</v>
      </c>
      <c r="E14" s="1" t="s">
        <v>4</v>
      </c>
      <c r="F14" s="9" t="s">
        <v>64</v>
      </c>
      <c r="G14" s="1" t="s">
        <v>19</v>
      </c>
      <c r="H14" s="193"/>
      <c r="I14" s="106" t="s">
        <v>6</v>
      </c>
      <c r="J14" s="11">
        <v>0.1971</v>
      </c>
      <c r="K14" s="11">
        <v>0.2</v>
      </c>
      <c r="L14" s="1" t="s">
        <v>4</v>
      </c>
      <c r="M14" s="9" t="s">
        <v>64</v>
      </c>
      <c r="N14" s="1" t="s">
        <v>19</v>
      </c>
    </row>
    <row r="15" spans="1:14" ht="30">
      <c r="A15" s="22"/>
      <c r="B15" s="108" t="s">
        <v>228</v>
      </c>
      <c r="C15" s="12">
        <v>2.7000000000000001E-3</v>
      </c>
      <c r="D15" s="194" t="s">
        <v>188</v>
      </c>
      <c r="E15" s="130" t="s">
        <v>188</v>
      </c>
      <c r="F15" s="130" t="s">
        <v>188</v>
      </c>
      <c r="G15" s="169" t="s">
        <v>188</v>
      </c>
      <c r="H15" s="193"/>
      <c r="I15" s="108" t="s">
        <v>228</v>
      </c>
      <c r="J15" s="12">
        <v>2.3999999999999998E-3</v>
      </c>
      <c r="K15" s="194" t="s">
        <v>188</v>
      </c>
      <c r="L15" s="130" t="s">
        <v>188</v>
      </c>
      <c r="M15" s="130" t="s">
        <v>188</v>
      </c>
      <c r="N15" s="169" t="s">
        <v>188</v>
      </c>
    </row>
    <row r="16" spans="1:14" ht="21" customHeight="1">
      <c r="A16" s="71"/>
      <c r="B16" s="159" t="s">
        <v>195</v>
      </c>
      <c r="C16" s="160" t="s">
        <v>195</v>
      </c>
      <c r="D16" s="160" t="s">
        <v>195</v>
      </c>
      <c r="E16" s="160" t="s">
        <v>195</v>
      </c>
      <c r="F16" s="160" t="s">
        <v>195</v>
      </c>
      <c r="G16" s="170" t="s">
        <v>195</v>
      </c>
      <c r="H16" s="195"/>
      <c r="I16" s="77"/>
      <c r="J16" s="78"/>
      <c r="K16" s="79"/>
      <c r="L16" s="78"/>
      <c r="M16" s="78"/>
      <c r="N16" s="172"/>
    </row>
    <row r="17" spans="1:14" ht="51.75" customHeight="1">
      <c r="A17" s="20" t="s">
        <v>36</v>
      </c>
      <c r="B17" s="33" t="s">
        <v>140</v>
      </c>
      <c r="C17" s="34"/>
      <c r="D17" s="35"/>
      <c r="E17" s="82"/>
      <c r="F17" s="34"/>
      <c r="G17" s="168"/>
      <c r="H17" s="192" t="s">
        <v>36</v>
      </c>
      <c r="I17" s="33" t="s">
        <v>143</v>
      </c>
      <c r="J17" s="34"/>
      <c r="K17" s="35"/>
      <c r="L17" s="36"/>
      <c r="M17" s="34"/>
      <c r="N17" s="168"/>
    </row>
    <row r="18" spans="1:14" ht="37.5" customHeight="1">
      <c r="A18" s="21"/>
      <c r="B18" s="121" t="s">
        <v>0</v>
      </c>
      <c r="C18" s="122" t="s">
        <v>223</v>
      </c>
      <c r="D18" s="122" t="s">
        <v>199</v>
      </c>
      <c r="E18" s="123" t="s">
        <v>1</v>
      </c>
      <c r="F18" s="123" t="s">
        <v>20</v>
      </c>
      <c r="G18" s="123" t="s">
        <v>35</v>
      </c>
      <c r="H18" s="193"/>
      <c r="I18" s="121" t="s">
        <v>0</v>
      </c>
      <c r="J18" s="122" t="s">
        <v>223</v>
      </c>
      <c r="K18" s="122" t="s">
        <v>199</v>
      </c>
      <c r="L18" s="123" t="s">
        <v>1</v>
      </c>
      <c r="M18" s="123" t="s">
        <v>20</v>
      </c>
      <c r="N18" s="123" t="s">
        <v>35</v>
      </c>
    </row>
    <row r="19" spans="1:14" ht="15.75">
      <c r="A19" s="21"/>
      <c r="B19" s="106" t="s">
        <v>170</v>
      </c>
      <c r="C19" s="5">
        <v>0.28210000000000002</v>
      </c>
      <c r="D19" s="5">
        <v>0.3</v>
      </c>
      <c r="E19" s="141" t="s">
        <v>188</v>
      </c>
      <c r="F19" s="142" t="s">
        <v>188</v>
      </c>
      <c r="G19" s="142" t="s">
        <v>188</v>
      </c>
      <c r="H19" s="193"/>
      <c r="I19" s="152" t="s">
        <v>188</v>
      </c>
      <c r="J19" s="153" t="s">
        <v>188</v>
      </c>
      <c r="K19" s="153" t="s">
        <v>188</v>
      </c>
      <c r="L19" s="142" t="s">
        <v>188</v>
      </c>
      <c r="M19" s="142" t="s">
        <v>188</v>
      </c>
      <c r="N19" s="142" t="s">
        <v>188</v>
      </c>
    </row>
    <row r="20" spans="1:14" ht="41.25" customHeight="1">
      <c r="A20" s="21"/>
      <c r="B20" s="106" t="s">
        <v>139</v>
      </c>
      <c r="C20" s="5">
        <v>0.4849</v>
      </c>
      <c r="D20" s="5">
        <v>0.45</v>
      </c>
      <c r="E20" s="6" t="s">
        <v>4</v>
      </c>
      <c r="F20" s="7" t="s">
        <v>66</v>
      </c>
      <c r="G20" s="6" t="s">
        <v>221</v>
      </c>
      <c r="H20" s="193"/>
      <c r="I20" s="106" t="s">
        <v>231</v>
      </c>
      <c r="J20" s="5">
        <v>0.46200000000000002</v>
      </c>
      <c r="K20" s="5">
        <v>0.45</v>
      </c>
      <c r="L20" s="6" t="s">
        <v>4</v>
      </c>
      <c r="M20" s="7" t="s">
        <v>66</v>
      </c>
      <c r="N20" s="6" t="s">
        <v>221</v>
      </c>
    </row>
    <row r="21" spans="1:14" ht="25.5" customHeight="1">
      <c r="A21" s="21"/>
      <c r="B21" s="106" t="s">
        <v>2</v>
      </c>
      <c r="C21" s="3">
        <v>0.12520000000000001</v>
      </c>
      <c r="D21" s="3">
        <v>0.13</v>
      </c>
      <c r="E21" s="1" t="s">
        <v>3</v>
      </c>
      <c r="F21" s="4" t="s">
        <v>210</v>
      </c>
      <c r="G21" s="1" t="s">
        <v>14</v>
      </c>
      <c r="H21" s="193"/>
      <c r="I21" s="106" t="s">
        <v>2</v>
      </c>
      <c r="J21" s="3">
        <v>0.28939999999999999</v>
      </c>
      <c r="K21" s="3">
        <v>0.28999999999999998</v>
      </c>
      <c r="L21" s="1" t="s">
        <v>3</v>
      </c>
      <c r="M21" s="4" t="s">
        <v>211</v>
      </c>
      <c r="N21" s="1" t="s">
        <v>14</v>
      </c>
    </row>
    <row r="22" spans="1:14" ht="33" customHeight="1">
      <c r="A22" s="21"/>
      <c r="B22" s="107" t="s">
        <v>138</v>
      </c>
      <c r="C22" s="3">
        <v>0.17899999999999999</v>
      </c>
      <c r="D22" s="3">
        <v>0.2</v>
      </c>
      <c r="E22" s="1" t="s">
        <v>4</v>
      </c>
      <c r="F22" s="4" t="s">
        <v>64</v>
      </c>
      <c r="G22" s="1" t="s">
        <v>174</v>
      </c>
      <c r="H22" s="193"/>
      <c r="I22" s="106" t="s">
        <v>138</v>
      </c>
      <c r="J22" s="3">
        <v>0.32419999999999999</v>
      </c>
      <c r="K22" s="3">
        <v>0.35</v>
      </c>
      <c r="L22" s="1" t="s">
        <v>4</v>
      </c>
      <c r="M22" s="4" t="s">
        <v>118</v>
      </c>
      <c r="N22" s="1" t="s">
        <v>15</v>
      </c>
    </row>
    <row r="23" spans="1:14" ht="28.5">
      <c r="A23" s="21"/>
      <c r="B23" s="106" t="s">
        <v>171</v>
      </c>
      <c r="C23" s="3">
        <v>7.4000000000000003E-3</v>
      </c>
      <c r="D23" s="3">
        <v>0.05</v>
      </c>
      <c r="E23" s="8" t="s">
        <v>3</v>
      </c>
      <c r="F23" s="9" t="s">
        <v>51</v>
      </c>
      <c r="G23" s="143" t="s">
        <v>188</v>
      </c>
      <c r="H23" s="193"/>
      <c r="I23" s="106" t="s">
        <v>171</v>
      </c>
      <c r="J23" s="3">
        <v>4.8999999999999998E-3</v>
      </c>
      <c r="K23" s="3">
        <v>0.05</v>
      </c>
      <c r="L23" s="8" t="s">
        <v>3</v>
      </c>
      <c r="M23" s="9" t="s">
        <v>51</v>
      </c>
      <c r="N23" s="143" t="s">
        <v>188</v>
      </c>
    </row>
    <row r="24" spans="1:14">
      <c r="A24" s="21"/>
      <c r="B24" s="106" t="s">
        <v>10</v>
      </c>
      <c r="C24" s="3">
        <v>1.2500000000000001E-2</v>
      </c>
      <c r="D24" s="3">
        <v>0.05</v>
      </c>
      <c r="E24" s="8" t="s">
        <v>3</v>
      </c>
      <c r="F24" s="9" t="s">
        <v>51</v>
      </c>
      <c r="G24" s="143" t="s">
        <v>188</v>
      </c>
      <c r="H24" s="193"/>
      <c r="I24" s="106" t="s">
        <v>10</v>
      </c>
      <c r="J24" s="3">
        <v>7.9000000000000008E-3</v>
      </c>
      <c r="K24" s="3">
        <v>0.05</v>
      </c>
      <c r="L24" s="8" t="s">
        <v>3</v>
      </c>
      <c r="M24" s="9" t="s">
        <v>51</v>
      </c>
      <c r="N24" s="143" t="s">
        <v>188</v>
      </c>
    </row>
    <row r="25" spans="1:14">
      <c r="A25" s="21"/>
      <c r="B25" s="106" t="s">
        <v>12</v>
      </c>
      <c r="C25" s="3">
        <v>0.14580000000000001</v>
      </c>
      <c r="D25" s="3">
        <v>0.15</v>
      </c>
      <c r="E25" s="1" t="s">
        <v>3</v>
      </c>
      <c r="F25" s="9" t="s">
        <v>52</v>
      </c>
      <c r="G25" s="131" t="s">
        <v>188</v>
      </c>
      <c r="H25" s="193"/>
      <c r="I25" s="106" t="s">
        <v>12</v>
      </c>
      <c r="J25" s="3">
        <v>0.16750000000000001</v>
      </c>
      <c r="K25" s="3">
        <v>0.15</v>
      </c>
      <c r="L25" s="1" t="s">
        <v>3</v>
      </c>
      <c r="M25" s="9" t="s">
        <v>52</v>
      </c>
      <c r="N25" s="131" t="s">
        <v>188</v>
      </c>
    </row>
    <row r="26" spans="1:14">
      <c r="A26" s="21"/>
      <c r="B26" s="106" t="s">
        <v>172</v>
      </c>
      <c r="C26" s="3">
        <v>5.3E-3</v>
      </c>
      <c r="D26" s="3">
        <v>0.05</v>
      </c>
      <c r="E26" s="1" t="s">
        <v>3</v>
      </c>
      <c r="F26" s="10" t="s">
        <v>51</v>
      </c>
      <c r="G26" s="131" t="s">
        <v>188</v>
      </c>
      <c r="H26" s="193"/>
      <c r="I26" s="106" t="s">
        <v>172</v>
      </c>
      <c r="J26" s="3">
        <v>4.3E-3</v>
      </c>
      <c r="K26" s="3">
        <v>0.05</v>
      </c>
      <c r="L26" s="1" t="s">
        <v>3</v>
      </c>
      <c r="M26" s="10" t="s">
        <v>51</v>
      </c>
      <c r="N26" s="131" t="s">
        <v>188</v>
      </c>
    </row>
    <row r="27" spans="1:14" ht="15">
      <c r="A27" s="21"/>
      <c r="B27" s="108" t="s">
        <v>5</v>
      </c>
      <c r="C27" s="28">
        <f>SUBTOTAL(109,C19:C26)</f>
        <v>1.2422</v>
      </c>
      <c r="D27" s="101">
        <f>SUBTOTAL(109,D19:D26)</f>
        <v>1.3800000000000001</v>
      </c>
      <c r="E27" s="119" t="s">
        <v>188</v>
      </c>
      <c r="F27" s="120" t="s">
        <v>188</v>
      </c>
      <c r="G27" s="114" t="s">
        <v>188</v>
      </c>
      <c r="H27" s="193"/>
      <c r="I27" s="108" t="s">
        <v>5</v>
      </c>
      <c r="J27" s="28">
        <f>SUBTOTAL(109,J19:J26)</f>
        <v>1.2602</v>
      </c>
      <c r="K27" s="101">
        <f>SUBTOTAL(109,K19:K26)</f>
        <v>1.39</v>
      </c>
      <c r="L27" s="120" t="s">
        <v>188</v>
      </c>
      <c r="M27" s="120" t="s">
        <v>188</v>
      </c>
      <c r="N27" s="114" t="s">
        <v>188</v>
      </c>
    </row>
    <row r="28" spans="1:14">
      <c r="A28" s="21"/>
      <c r="B28" s="106" t="s">
        <v>6</v>
      </c>
      <c r="C28" s="11">
        <v>0.1835</v>
      </c>
      <c r="D28" s="11">
        <v>0.2</v>
      </c>
      <c r="E28" s="1" t="s">
        <v>4</v>
      </c>
      <c r="F28" s="9" t="s">
        <v>64</v>
      </c>
      <c r="G28" s="1" t="s">
        <v>19</v>
      </c>
      <c r="H28" s="193"/>
      <c r="I28" s="106" t="s">
        <v>6</v>
      </c>
      <c r="J28" s="11">
        <v>0.16669999999999999</v>
      </c>
      <c r="K28" s="11">
        <v>0.2</v>
      </c>
      <c r="L28" s="1" t="s">
        <v>4</v>
      </c>
      <c r="M28" s="9" t="s">
        <v>64</v>
      </c>
      <c r="N28" s="1" t="s">
        <v>19</v>
      </c>
    </row>
    <row r="29" spans="1:14" ht="30">
      <c r="A29" s="22"/>
      <c r="B29" s="108" t="s">
        <v>228</v>
      </c>
      <c r="C29" s="12">
        <v>2.3999999999999998E-3</v>
      </c>
      <c r="D29" s="194" t="s">
        <v>188</v>
      </c>
      <c r="E29" s="130" t="s">
        <v>188</v>
      </c>
      <c r="F29" s="130" t="s">
        <v>188</v>
      </c>
      <c r="G29" s="169" t="s">
        <v>188</v>
      </c>
      <c r="H29" s="193"/>
      <c r="I29" s="108" t="s">
        <v>228</v>
      </c>
      <c r="J29" s="12">
        <v>2.3999999999999998E-3</v>
      </c>
      <c r="K29" s="194" t="s">
        <v>188</v>
      </c>
      <c r="L29" s="130" t="s">
        <v>188</v>
      </c>
      <c r="M29" s="130" t="s">
        <v>188</v>
      </c>
      <c r="N29" s="169" t="s">
        <v>188</v>
      </c>
    </row>
    <row r="30" spans="1:14" ht="21" customHeight="1">
      <c r="A30" s="71"/>
      <c r="B30" s="73"/>
      <c r="C30" s="74"/>
      <c r="D30" s="75"/>
      <c r="E30" s="74"/>
      <c r="F30" s="74"/>
      <c r="G30" s="171"/>
      <c r="H30" s="195"/>
      <c r="I30" s="77"/>
      <c r="J30" s="78"/>
      <c r="K30" s="79"/>
      <c r="L30" s="78"/>
      <c r="M30" s="78"/>
      <c r="N30" s="172"/>
    </row>
    <row r="31" spans="1:14" ht="51.75" customHeight="1">
      <c r="A31" s="20" t="s">
        <v>36</v>
      </c>
      <c r="B31" s="33" t="s">
        <v>141</v>
      </c>
      <c r="C31" s="34"/>
      <c r="D31" s="35"/>
      <c r="E31" s="82"/>
      <c r="F31" s="34"/>
      <c r="G31" s="168"/>
      <c r="H31" s="192" t="s">
        <v>36</v>
      </c>
      <c r="I31" s="33" t="s">
        <v>144</v>
      </c>
      <c r="J31" s="34"/>
      <c r="K31" s="35"/>
      <c r="L31" s="36"/>
      <c r="M31" s="34"/>
      <c r="N31" s="168"/>
    </row>
    <row r="32" spans="1:14" ht="34.5" customHeight="1">
      <c r="A32" s="21"/>
      <c r="B32" s="121" t="s">
        <v>0</v>
      </c>
      <c r="C32" s="122" t="s">
        <v>223</v>
      </c>
      <c r="D32" s="122" t="s">
        <v>199</v>
      </c>
      <c r="E32" s="123" t="s">
        <v>1</v>
      </c>
      <c r="F32" s="123" t="s">
        <v>20</v>
      </c>
      <c r="G32" s="123" t="s">
        <v>35</v>
      </c>
      <c r="H32" s="193"/>
      <c r="I32" s="121" t="s">
        <v>0</v>
      </c>
      <c r="J32" s="122" t="s">
        <v>223</v>
      </c>
      <c r="K32" s="122" t="s">
        <v>199</v>
      </c>
      <c r="L32" s="123" t="s">
        <v>1</v>
      </c>
      <c r="M32" s="123" t="s">
        <v>20</v>
      </c>
      <c r="N32" s="123" t="s">
        <v>35</v>
      </c>
    </row>
    <row r="33" spans="1:14" ht="15.75">
      <c r="A33" s="21"/>
      <c r="B33" s="106" t="s">
        <v>170</v>
      </c>
      <c r="C33" s="3" t="s">
        <v>241</v>
      </c>
      <c r="D33" s="5" t="s">
        <v>196</v>
      </c>
      <c r="E33" s="141" t="s">
        <v>188</v>
      </c>
      <c r="F33" s="142" t="s">
        <v>189</v>
      </c>
      <c r="G33" s="142" t="s">
        <v>197</v>
      </c>
      <c r="H33" s="193"/>
      <c r="I33" s="152" t="s">
        <v>188</v>
      </c>
      <c r="J33" s="153" t="s">
        <v>188</v>
      </c>
      <c r="K33" s="153" t="s">
        <v>188</v>
      </c>
      <c r="L33" s="142" t="s">
        <v>188</v>
      </c>
      <c r="M33" s="142" t="s">
        <v>188</v>
      </c>
      <c r="N33" s="142" t="s">
        <v>188</v>
      </c>
    </row>
    <row r="34" spans="1:14" ht="38.25" customHeight="1">
      <c r="A34" s="21"/>
      <c r="B34" s="106" t="s">
        <v>139</v>
      </c>
      <c r="C34" s="5">
        <v>0.27360000000000001</v>
      </c>
      <c r="D34" s="5">
        <v>0.25</v>
      </c>
      <c r="E34" s="6" t="s">
        <v>4</v>
      </c>
      <c r="F34" s="7" t="s">
        <v>57</v>
      </c>
      <c r="G34" s="6" t="s">
        <v>221</v>
      </c>
      <c r="H34" s="193"/>
      <c r="I34" s="106" t="s">
        <v>231</v>
      </c>
      <c r="J34" s="5">
        <v>0.25459999999999999</v>
      </c>
      <c r="K34" s="5">
        <v>0.27</v>
      </c>
      <c r="L34" s="6" t="s">
        <v>4</v>
      </c>
      <c r="M34" s="7" t="s">
        <v>212</v>
      </c>
      <c r="N34" s="6" t="s">
        <v>221</v>
      </c>
    </row>
    <row r="35" spans="1:14">
      <c r="A35" s="21"/>
      <c r="B35" s="106" t="s">
        <v>2</v>
      </c>
      <c r="C35" s="3">
        <v>0.23019999999999999</v>
      </c>
      <c r="D35" s="3">
        <v>0.23</v>
      </c>
      <c r="E35" s="1" t="s">
        <v>3</v>
      </c>
      <c r="F35" s="4" t="s">
        <v>213</v>
      </c>
      <c r="G35" s="1" t="s">
        <v>14</v>
      </c>
      <c r="H35" s="193"/>
      <c r="I35" s="106" t="s">
        <v>2</v>
      </c>
      <c r="J35" s="3">
        <v>0.34439999999999998</v>
      </c>
      <c r="K35" s="3">
        <v>0.38</v>
      </c>
      <c r="L35" s="1" t="s">
        <v>3</v>
      </c>
      <c r="M35" s="4" t="s">
        <v>77</v>
      </c>
      <c r="N35" s="1" t="s">
        <v>14</v>
      </c>
    </row>
    <row r="36" spans="1:14" ht="28.5">
      <c r="A36" s="21"/>
      <c r="B36" s="107" t="s">
        <v>138</v>
      </c>
      <c r="C36" s="3">
        <v>0.2031</v>
      </c>
      <c r="D36" s="3">
        <v>0.21</v>
      </c>
      <c r="E36" s="1" t="s">
        <v>4</v>
      </c>
      <c r="F36" s="4" t="s">
        <v>177</v>
      </c>
      <c r="G36" s="1" t="s">
        <v>174</v>
      </c>
      <c r="H36" s="193"/>
      <c r="I36" s="106" t="s">
        <v>138</v>
      </c>
      <c r="J36" s="3">
        <v>0.32029999999999997</v>
      </c>
      <c r="K36" s="3">
        <v>0.35</v>
      </c>
      <c r="L36" s="1" t="s">
        <v>4</v>
      </c>
      <c r="M36" s="4" t="s">
        <v>118</v>
      </c>
      <c r="N36" s="1" t="s">
        <v>15</v>
      </c>
    </row>
    <row r="37" spans="1:14" ht="28.5">
      <c r="A37" s="21"/>
      <c r="B37" s="106" t="s">
        <v>171</v>
      </c>
      <c r="C37" s="3">
        <v>5.4999999999999997E-3</v>
      </c>
      <c r="D37" s="3">
        <v>0.05</v>
      </c>
      <c r="E37" s="8" t="s">
        <v>3</v>
      </c>
      <c r="F37" s="9" t="s">
        <v>51</v>
      </c>
      <c r="G37" s="143" t="s">
        <v>188</v>
      </c>
      <c r="H37" s="193"/>
      <c r="I37" s="106" t="s">
        <v>171</v>
      </c>
      <c r="J37" s="3">
        <v>4.5999999999999999E-3</v>
      </c>
      <c r="K37" s="3">
        <v>0.05</v>
      </c>
      <c r="L37" s="8" t="s">
        <v>3</v>
      </c>
      <c r="M37" s="9" t="s">
        <v>51</v>
      </c>
      <c r="N37" s="143" t="s">
        <v>188</v>
      </c>
    </row>
    <row r="38" spans="1:14">
      <c r="A38" s="21"/>
      <c r="B38" s="106" t="s">
        <v>10</v>
      </c>
      <c r="C38" s="3">
        <v>1.55E-2</v>
      </c>
      <c r="D38" s="3">
        <v>0.05</v>
      </c>
      <c r="E38" s="8" t="s">
        <v>3</v>
      </c>
      <c r="F38" s="9" t="s">
        <v>51</v>
      </c>
      <c r="G38" s="143" t="s">
        <v>188</v>
      </c>
      <c r="H38" s="193"/>
      <c r="I38" s="106" t="s">
        <v>10</v>
      </c>
      <c r="J38" s="3">
        <v>1.0699999999999999E-2</v>
      </c>
      <c r="K38" s="3">
        <v>0.05</v>
      </c>
      <c r="L38" s="8" t="s">
        <v>3</v>
      </c>
      <c r="M38" s="9" t="s">
        <v>51</v>
      </c>
      <c r="N38" s="143" t="s">
        <v>188</v>
      </c>
    </row>
    <row r="39" spans="1:14">
      <c r="A39" s="21"/>
      <c r="B39" s="106" t="s">
        <v>12</v>
      </c>
      <c r="C39" s="3">
        <v>0.14069999999999999</v>
      </c>
      <c r="D39" s="3">
        <v>0.15</v>
      </c>
      <c r="E39" s="1" t="s">
        <v>3</v>
      </c>
      <c r="F39" s="9" t="s">
        <v>52</v>
      </c>
      <c r="G39" s="131" t="s">
        <v>188</v>
      </c>
      <c r="H39" s="193"/>
      <c r="I39" s="106" t="s">
        <v>12</v>
      </c>
      <c r="J39" s="3">
        <v>0.19409999999999999</v>
      </c>
      <c r="K39" s="3">
        <v>0.15</v>
      </c>
      <c r="L39" s="1" t="s">
        <v>3</v>
      </c>
      <c r="M39" s="9" t="s">
        <v>52</v>
      </c>
      <c r="N39" s="131" t="s">
        <v>188</v>
      </c>
    </row>
    <row r="40" spans="1:14">
      <c r="A40" s="21"/>
      <c r="B40" s="106" t="s">
        <v>172</v>
      </c>
      <c r="C40" s="3">
        <v>4.3E-3</v>
      </c>
      <c r="D40" s="3">
        <v>0.05</v>
      </c>
      <c r="E40" s="1" t="s">
        <v>3</v>
      </c>
      <c r="F40" s="10" t="s">
        <v>51</v>
      </c>
      <c r="G40" s="131" t="s">
        <v>188</v>
      </c>
      <c r="H40" s="193"/>
      <c r="I40" s="106" t="s">
        <v>172</v>
      </c>
      <c r="J40" s="3">
        <v>3.8999999999999998E-3</v>
      </c>
      <c r="K40" s="3">
        <v>0.05</v>
      </c>
      <c r="L40" s="1" t="s">
        <v>3</v>
      </c>
      <c r="M40" s="10" t="s">
        <v>51</v>
      </c>
      <c r="N40" s="131" t="s">
        <v>188</v>
      </c>
    </row>
    <row r="41" spans="1:14" ht="15">
      <c r="A41" s="21"/>
      <c r="B41" s="108" t="s">
        <v>5</v>
      </c>
      <c r="C41" s="28">
        <f>SUBTOTAL(109,C33:C40)</f>
        <v>0.87290000000000001</v>
      </c>
      <c r="D41" s="28">
        <f>SUBTOTAL(109,D33:D40)</f>
        <v>0.9900000000000001</v>
      </c>
      <c r="E41" s="119" t="s">
        <v>188</v>
      </c>
      <c r="F41" s="120" t="s">
        <v>250</v>
      </c>
      <c r="G41" s="114" t="s">
        <v>188</v>
      </c>
      <c r="H41" s="193"/>
      <c r="I41" s="108" t="s">
        <v>5</v>
      </c>
      <c r="J41" s="28">
        <f>SUBTOTAL(109,J33:J40)</f>
        <v>1.1326000000000001</v>
      </c>
      <c r="K41" s="28">
        <f>SUBTOTAL(109,K33:K40)</f>
        <v>1.3</v>
      </c>
      <c r="L41" s="120" t="s">
        <v>188</v>
      </c>
      <c r="M41" s="120" t="s">
        <v>188</v>
      </c>
      <c r="N41" s="114" t="s">
        <v>188</v>
      </c>
    </row>
    <row r="42" spans="1:14">
      <c r="A42" s="21"/>
      <c r="B42" s="106" t="s">
        <v>6</v>
      </c>
      <c r="C42" s="11">
        <v>0.14460000000000001</v>
      </c>
      <c r="D42" s="11">
        <v>0.2</v>
      </c>
      <c r="E42" s="1" t="s">
        <v>4</v>
      </c>
      <c r="F42" s="9" t="s">
        <v>64</v>
      </c>
      <c r="G42" s="1" t="s">
        <v>19</v>
      </c>
      <c r="H42" s="193"/>
      <c r="I42" s="106" t="s">
        <v>6</v>
      </c>
      <c r="J42" s="11">
        <v>0.1416</v>
      </c>
      <c r="K42" s="11">
        <v>0.16</v>
      </c>
      <c r="L42" s="1" t="s">
        <v>4</v>
      </c>
      <c r="M42" s="9" t="s">
        <v>134</v>
      </c>
      <c r="N42" s="1" t="s">
        <v>19</v>
      </c>
    </row>
    <row r="43" spans="1:14" ht="30">
      <c r="A43" s="22"/>
      <c r="B43" s="108" t="s">
        <v>228</v>
      </c>
      <c r="C43" s="12">
        <v>2.2000000000000001E-3</v>
      </c>
      <c r="D43" s="194" t="s">
        <v>188</v>
      </c>
      <c r="E43" s="130" t="s">
        <v>188</v>
      </c>
      <c r="F43" s="130" t="s">
        <v>188</v>
      </c>
      <c r="G43" s="169" t="s">
        <v>188</v>
      </c>
      <c r="H43" s="193"/>
      <c r="I43" s="108" t="s">
        <v>228</v>
      </c>
      <c r="J43" s="12">
        <v>2.3999999999999998E-3</v>
      </c>
      <c r="K43" s="194" t="s">
        <v>188</v>
      </c>
      <c r="L43" s="130" t="s">
        <v>188</v>
      </c>
      <c r="M43" s="130" t="s">
        <v>188</v>
      </c>
      <c r="N43" s="169" t="s">
        <v>188</v>
      </c>
    </row>
    <row r="44" spans="1:14" ht="21" customHeight="1">
      <c r="A44" s="71"/>
      <c r="B44" s="73"/>
      <c r="C44" s="74"/>
      <c r="D44" s="75"/>
      <c r="E44" s="74"/>
      <c r="F44" s="74"/>
      <c r="G44" s="171"/>
      <c r="H44" s="195"/>
      <c r="I44" s="77"/>
      <c r="J44" s="78"/>
      <c r="K44" s="79"/>
      <c r="L44" s="78"/>
      <c r="M44" s="78"/>
      <c r="N44" s="172"/>
    </row>
    <row r="45" spans="1:14" ht="51.75" customHeight="1">
      <c r="A45" s="29" t="s">
        <v>67</v>
      </c>
      <c r="B45" s="37" t="s">
        <v>145</v>
      </c>
      <c r="C45" s="38"/>
      <c r="D45" s="39"/>
      <c r="E45" s="83"/>
      <c r="F45" s="38"/>
      <c r="G45" s="168"/>
      <c r="H45" s="196" t="s">
        <v>67</v>
      </c>
      <c r="I45" s="37" t="s">
        <v>146</v>
      </c>
      <c r="J45" s="38"/>
      <c r="K45" s="39"/>
      <c r="L45" s="40"/>
      <c r="M45" s="38"/>
      <c r="N45" s="168"/>
    </row>
    <row r="46" spans="1:14" ht="51.75" customHeight="1">
      <c r="A46" s="30"/>
      <c r="B46" s="121" t="s">
        <v>0</v>
      </c>
      <c r="C46" s="122" t="s">
        <v>223</v>
      </c>
      <c r="D46" s="122" t="s">
        <v>199</v>
      </c>
      <c r="E46" s="123" t="s">
        <v>1</v>
      </c>
      <c r="F46" s="123" t="s">
        <v>20</v>
      </c>
      <c r="G46" s="123" t="s">
        <v>35</v>
      </c>
      <c r="H46" s="197"/>
      <c r="I46" s="121" t="s">
        <v>0</v>
      </c>
      <c r="J46" s="122" t="s">
        <v>223</v>
      </c>
      <c r="K46" s="122" t="s">
        <v>199</v>
      </c>
      <c r="L46" s="123" t="s">
        <v>1</v>
      </c>
      <c r="M46" s="123" t="s">
        <v>20</v>
      </c>
      <c r="N46" s="123" t="s">
        <v>35</v>
      </c>
    </row>
    <row r="47" spans="1:14" ht="15.75">
      <c r="A47" s="30"/>
      <c r="B47" s="106" t="s">
        <v>170</v>
      </c>
      <c r="C47" s="3">
        <v>0.2757</v>
      </c>
      <c r="D47" s="5" t="s">
        <v>196</v>
      </c>
      <c r="E47" s="141" t="s">
        <v>188</v>
      </c>
      <c r="F47" s="142" t="s">
        <v>189</v>
      </c>
      <c r="G47" s="142" t="s">
        <v>197</v>
      </c>
      <c r="H47" s="197"/>
      <c r="I47" s="152" t="s">
        <v>188</v>
      </c>
      <c r="J47" s="153" t="s">
        <v>188</v>
      </c>
      <c r="K47" s="153" t="s">
        <v>188</v>
      </c>
      <c r="L47" s="142" t="s">
        <v>188</v>
      </c>
      <c r="M47" s="142" t="s">
        <v>188</v>
      </c>
      <c r="N47" s="142" t="s">
        <v>188</v>
      </c>
    </row>
    <row r="48" spans="1:14" ht="57">
      <c r="A48" s="30"/>
      <c r="B48" s="106" t="s">
        <v>139</v>
      </c>
      <c r="C48" s="5">
        <v>0.72640000000000005</v>
      </c>
      <c r="D48" s="5">
        <v>0.7</v>
      </c>
      <c r="E48" s="6" t="s">
        <v>4</v>
      </c>
      <c r="F48" s="7" t="s">
        <v>86</v>
      </c>
      <c r="G48" s="6" t="s">
        <v>221</v>
      </c>
      <c r="H48" s="197"/>
      <c r="I48" s="106" t="s">
        <v>231</v>
      </c>
      <c r="J48" s="5">
        <v>0.97</v>
      </c>
      <c r="K48" s="5">
        <v>0.95</v>
      </c>
      <c r="L48" s="6" t="s">
        <v>4</v>
      </c>
      <c r="M48" s="7" t="s">
        <v>122</v>
      </c>
      <c r="N48" s="6" t="s">
        <v>221</v>
      </c>
    </row>
    <row r="49" spans="1:14">
      <c r="A49" s="30"/>
      <c r="B49" s="106" t="s">
        <v>2</v>
      </c>
      <c r="C49" s="3">
        <v>0.189</v>
      </c>
      <c r="D49" s="3">
        <v>0.19</v>
      </c>
      <c r="E49" s="1" t="s">
        <v>3</v>
      </c>
      <c r="F49" s="4" t="s">
        <v>214</v>
      </c>
      <c r="G49" s="1" t="s">
        <v>14</v>
      </c>
      <c r="H49" s="197"/>
      <c r="I49" s="106" t="s">
        <v>2</v>
      </c>
      <c r="J49" s="3">
        <v>0.28410000000000002</v>
      </c>
      <c r="K49" s="3">
        <v>0.28000000000000003</v>
      </c>
      <c r="L49" s="1" t="s">
        <v>3</v>
      </c>
      <c r="M49" s="4" t="s">
        <v>215</v>
      </c>
      <c r="N49" s="1" t="s">
        <v>14</v>
      </c>
    </row>
    <row r="50" spans="1:14" ht="28.5">
      <c r="A50" s="30"/>
      <c r="B50" s="107" t="s">
        <v>138</v>
      </c>
      <c r="C50" s="3">
        <v>2.5499999999999998E-2</v>
      </c>
      <c r="D50" s="3">
        <v>0.06</v>
      </c>
      <c r="E50" s="1" t="s">
        <v>4</v>
      </c>
      <c r="F50" s="4" t="s">
        <v>58</v>
      </c>
      <c r="G50" s="1" t="s">
        <v>15</v>
      </c>
      <c r="H50" s="197"/>
      <c r="I50" s="106" t="s">
        <v>138</v>
      </c>
      <c r="J50" s="3">
        <v>4.2099999999999999E-2</v>
      </c>
      <c r="K50" s="3">
        <v>0.06</v>
      </c>
      <c r="L50" s="1" t="s">
        <v>4</v>
      </c>
      <c r="M50" s="4" t="s">
        <v>58</v>
      </c>
      <c r="N50" s="1" t="s">
        <v>15</v>
      </c>
    </row>
    <row r="51" spans="1:14" ht="28.5">
      <c r="A51" s="30"/>
      <c r="B51" s="106" t="s">
        <v>171</v>
      </c>
      <c r="C51" s="3">
        <v>2.8999999999999998E-3</v>
      </c>
      <c r="D51" s="3">
        <v>0.05</v>
      </c>
      <c r="E51" s="8" t="s">
        <v>3</v>
      </c>
      <c r="F51" s="9" t="s">
        <v>51</v>
      </c>
      <c r="G51" s="143" t="s">
        <v>188</v>
      </c>
      <c r="H51" s="197"/>
      <c r="I51" s="106" t="s">
        <v>171</v>
      </c>
      <c r="J51" s="3">
        <v>2E-3</v>
      </c>
      <c r="K51" s="3">
        <v>0.05</v>
      </c>
      <c r="L51" s="8" t="s">
        <v>3</v>
      </c>
      <c r="M51" s="9" t="s">
        <v>51</v>
      </c>
      <c r="N51" s="143" t="s">
        <v>188</v>
      </c>
    </row>
    <row r="52" spans="1:14">
      <c r="A52" s="30"/>
      <c r="B52" s="106" t="s">
        <v>10</v>
      </c>
      <c r="C52" s="3">
        <v>5.9999999999999995E-4</v>
      </c>
      <c r="D52" s="3">
        <v>0.05</v>
      </c>
      <c r="E52" s="8" t="s">
        <v>3</v>
      </c>
      <c r="F52" s="9" t="s">
        <v>51</v>
      </c>
      <c r="G52" s="143" t="s">
        <v>188</v>
      </c>
      <c r="H52" s="197"/>
      <c r="I52" s="106" t="s">
        <v>10</v>
      </c>
      <c r="J52" s="3">
        <v>5.0000000000000001E-4</v>
      </c>
      <c r="K52" s="3">
        <v>0.05</v>
      </c>
      <c r="L52" s="8" t="s">
        <v>3</v>
      </c>
      <c r="M52" s="9" t="s">
        <v>51</v>
      </c>
      <c r="N52" s="143" t="s">
        <v>188</v>
      </c>
    </row>
    <row r="53" spans="1:14">
      <c r="A53" s="30"/>
      <c r="B53" s="106" t="s">
        <v>12</v>
      </c>
      <c r="C53" s="3">
        <v>0.1608</v>
      </c>
      <c r="D53" s="3">
        <v>0.15</v>
      </c>
      <c r="E53" s="1" t="s">
        <v>3</v>
      </c>
      <c r="F53" s="9" t="s">
        <v>52</v>
      </c>
      <c r="G53" s="9" t="s">
        <v>18</v>
      </c>
      <c r="H53" s="197"/>
      <c r="I53" s="106" t="s">
        <v>12</v>
      </c>
      <c r="J53" s="3">
        <v>0.14480000000000001</v>
      </c>
      <c r="K53" s="3">
        <v>0.15</v>
      </c>
      <c r="L53" s="1" t="s">
        <v>3</v>
      </c>
      <c r="M53" s="9" t="s">
        <v>52</v>
      </c>
      <c r="N53" s="9" t="s">
        <v>18</v>
      </c>
    </row>
    <row r="54" spans="1:14">
      <c r="A54" s="30"/>
      <c r="B54" s="106" t="s">
        <v>172</v>
      </c>
      <c r="C54" s="3">
        <v>0</v>
      </c>
      <c r="D54" s="3">
        <v>0.05</v>
      </c>
      <c r="E54" s="1" t="s">
        <v>3</v>
      </c>
      <c r="F54" s="10" t="s">
        <v>51</v>
      </c>
      <c r="G54" s="131" t="s">
        <v>188</v>
      </c>
      <c r="H54" s="197"/>
      <c r="I54" s="106" t="s">
        <v>172</v>
      </c>
      <c r="J54" s="3">
        <v>0</v>
      </c>
      <c r="K54" s="3">
        <v>0.05</v>
      </c>
      <c r="L54" s="1" t="s">
        <v>3</v>
      </c>
      <c r="M54" s="10" t="s">
        <v>51</v>
      </c>
      <c r="N54" s="131" t="s">
        <v>188</v>
      </c>
    </row>
    <row r="55" spans="1:14" ht="15">
      <c r="A55" s="30"/>
      <c r="B55" s="108" t="s">
        <v>5</v>
      </c>
      <c r="C55" s="28">
        <f>SUBTOTAL(109,C47:C54)</f>
        <v>1.3809</v>
      </c>
      <c r="D55" s="101">
        <f>SUBTOTAL(109,D47:D54)</f>
        <v>1.25</v>
      </c>
      <c r="E55" s="119" t="s">
        <v>188</v>
      </c>
      <c r="F55" s="120" t="s">
        <v>250</v>
      </c>
      <c r="G55" s="114" t="s">
        <v>188</v>
      </c>
      <c r="H55" s="197"/>
      <c r="I55" s="108" t="s">
        <v>5</v>
      </c>
      <c r="J55" s="28">
        <f>SUBTOTAL(109,J47:J54)</f>
        <v>1.4435</v>
      </c>
      <c r="K55" s="101">
        <f>SUBTOTAL(109,K47:K54)</f>
        <v>1.59</v>
      </c>
      <c r="L55" s="120" t="s">
        <v>188</v>
      </c>
      <c r="M55" s="120" t="s">
        <v>188</v>
      </c>
      <c r="N55" s="114" t="s">
        <v>188</v>
      </c>
    </row>
    <row r="56" spans="1:14">
      <c r="A56" s="30"/>
      <c r="B56" s="106" t="s">
        <v>6</v>
      </c>
      <c r="C56" s="11">
        <v>0.20200000000000001</v>
      </c>
      <c r="D56" s="11">
        <v>0.2</v>
      </c>
      <c r="E56" s="1" t="s">
        <v>4</v>
      </c>
      <c r="F56" s="9" t="s">
        <v>64</v>
      </c>
      <c r="G56" s="1" t="s">
        <v>19</v>
      </c>
      <c r="H56" s="197"/>
      <c r="I56" s="106" t="s">
        <v>6</v>
      </c>
      <c r="J56" s="11">
        <v>0.20330000000000001</v>
      </c>
      <c r="K56" s="11">
        <v>0.2</v>
      </c>
      <c r="L56" s="1" t="s">
        <v>4</v>
      </c>
      <c r="M56" s="9" t="s">
        <v>64</v>
      </c>
      <c r="N56" s="1" t="s">
        <v>19</v>
      </c>
    </row>
    <row r="57" spans="1:14" ht="30">
      <c r="A57" s="30"/>
      <c r="B57" s="108" t="s">
        <v>228</v>
      </c>
      <c r="C57" s="12">
        <v>1.4E-3</v>
      </c>
      <c r="D57" s="194" t="s">
        <v>188</v>
      </c>
      <c r="E57" s="130" t="s">
        <v>188</v>
      </c>
      <c r="F57" s="130" t="s">
        <v>188</v>
      </c>
      <c r="G57" s="169" t="s">
        <v>188</v>
      </c>
      <c r="H57" s="197"/>
      <c r="I57" s="108" t="s">
        <v>228</v>
      </c>
      <c r="J57" s="12">
        <v>1.4E-3</v>
      </c>
      <c r="K57" s="194" t="s">
        <v>188</v>
      </c>
      <c r="L57" s="130" t="s">
        <v>188</v>
      </c>
      <c r="M57" s="130" t="s">
        <v>188</v>
      </c>
      <c r="N57" s="169" t="s">
        <v>188</v>
      </c>
    </row>
    <row r="58" spans="1:14" ht="21" customHeight="1">
      <c r="A58" s="71"/>
      <c r="B58" s="73"/>
      <c r="C58" s="74"/>
      <c r="D58" s="75"/>
      <c r="E58" s="74"/>
      <c r="F58" s="74"/>
      <c r="G58" s="171"/>
      <c r="H58" s="195"/>
      <c r="I58" s="77"/>
      <c r="J58" s="78"/>
      <c r="K58" s="79"/>
      <c r="L58" s="78"/>
      <c r="M58" s="78"/>
      <c r="N58" s="172"/>
    </row>
    <row r="59" spans="1:14" ht="51.75" customHeight="1">
      <c r="A59" s="29" t="s">
        <v>68</v>
      </c>
      <c r="B59" s="37" t="s">
        <v>147</v>
      </c>
      <c r="C59" s="38"/>
      <c r="D59" s="39"/>
      <c r="E59" s="83"/>
      <c r="F59" s="38"/>
      <c r="G59" s="168"/>
      <c r="H59" s="196" t="s">
        <v>68</v>
      </c>
      <c r="I59" s="37" t="s">
        <v>148</v>
      </c>
      <c r="J59" s="38"/>
      <c r="K59" s="39"/>
      <c r="L59" s="40"/>
      <c r="M59" s="38"/>
      <c r="N59" s="168"/>
    </row>
    <row r="60" spans="1:14" ht="51.75" customHeight="1">
      <c r="A60" s="30"/>
      <c r="B60" s="121" t="s">
        <v>0</v>
      </c>
      <c r="C60" s="122" t="s">
        <v>223</v>
      </c>
      <c r="D60" s="122" t="s">
        <v>199</v>
      </c>
      <c r="E60" s="123" t="s">
        <v>22</v>
      </c>
      <c r="F60" s="123" t="s">
        <v>20</v>
      </c>
      <c r="G60" s="123" t="s">
        <v>35</v>
      </c>
      <c r="H60" s="197"/>
      <c r="I60" s="121" t="s">
        <v>0</v>
      </c>
      <c r="J60" s="122" t="s">
        <v>223</v>
      </c>
      <c r="K60" s="122" t="s">
        <v>199</v>
      </c>
      <c r="L60" s="123" t="s">
        <v>22</v>
      </c>
      <c r="M60" s="123" t="s">
        <v>20</v>
      </c>
      <c r="N60" s="123" t="s">
        <v>35</v>
      </c>
    </row>
    <row r="61" spans="1:14" ht="15.75">
      <c r="A61" s="30"/>
      <c r="B61" s="2" t="s">
        <v>170</v>
      </c>
      <c r="C61" s="5">
        <v>0.27400000000000002</v>
      </c>
      <c r="D61" s="5">
        <v>0.3</v>
      </c>
      <c r="E61" s="141" t="s">
        <v>188</v>
      </c>
      <c r="F61" s="142" t="s">
        <v>188</v>
      </c>
      <c r="G61" s="142" t="s">
        <v>188</v>
      </c>
      <c r="H61" s="197"/>
      <c r="I61" s="154" t="s">
        <v>188</v>
      </c>
      <c r="J61" s="153" t="s">
        <v>188</v>
      </c>
      <c r="K61" s="153" t="s">
        <v>188</v>
      </c>
      <c r="L61" s="142" t="s">
        <v>188</v>
      </c>
      <c r="M61" s="142" t="s">
        <v>188</v>
      </c>
      <c r="N61" s="142" t="s">
        <v>188</v>
      </c>
    </row>
    <row r="62" spans="1:14" ht="57">
      <c r="A62" s="30"/>
      <c r="B62" s="2" t="s">
        <v>139</v>
      </c>
      <c r="C62" s="5">
        <v>4.3700000000000003E-2</v>
      </c>
      <c r="D62" s="5">
        <v>0.06</v>
      </c>
      <c r="E62" s="6" t="s">
        <v>4</v>
      </c>
      <c r="F62" s="7" t="s">
        <v>58</v>
      </c>
      <c r="G62" s="6" t="s">
        <v>221</v>
      </c>
      <c r="H62" s="197"/>
      <c r="I62" s="2" t="s">
        <v>231</v>
      </c>
      <c r="J62" s="5">
        <v>2.87E-2</v>
      </c>
      <c r="K62" s="5">
        <v>0.06</v>
      </c>
      <c r="L62" s="6" t="s">
        <v>4</v>
      </c>
      <c r="M62" s="7" t="s">
        <v>58</v>
      </c>
      <c r="N62" s="6" t="s">
        <v>221</v>
      </c>
    </row>
    <row r="63" spans="1:14">
      <c r="A63" s="30"/>
      <c r="B63" s="2" t="s">
        <v>2</v>
      </c>
      <c r="C63" s="3">
        <v>0.12970000000000001</v>
      </c>
      <c r="D63" s="3">
        <v>0.11</v>
      </c>
      <c r="E63" s="1" t="s">
        <v>3</v>
      </c>
      <c r="F63" s="4" t="s">
        <v>216</v>
      </c>
      <c r="G63" s="1" t="s">
        <v>14</v>
      </c>
      <c r="H63" s="197"/>
      <c r="I63" s="2" t="s">
        <v>2</v>
      </c>
      <c r="J63" s="3">
        <v>0.34100000000000003</v>
      </c>
      <c r="K63" s="3">
        <v>0.35</v>
      </c>
      <c r="L63" s="1" t="s">
        <v>3</v>
      </c>
      <c r="M63" s="4" t="s">
        <v>117</v>
      </c>
      <c r="N63" s="1" t="s">
        <v>14</v>
      </c>
    </row>
    <row r="64" spans="1:14" ht="28.5">
      <c r="A64" s="30"/>
      <c r="B64" s="70" t="s">
        <v>138</v>
      </c>
      <c r="C64" s="3">
        <v>0.46379999999999999</v>
      </c>
      <c r="D64" s="3">
        <v>0.5</v>
      </c>
      <c r="E64" s="1" t="s">
        <v>4</v>
      </c>
      <c r="F64" s="4" t="s">
        <v>91</v>
      </c>
      <c r="G64" s="1" t="s">
        <v>15</v>
      </c>
      <c r="H64" s="197"/>
      <c r="I64" s="2" t="s">
        <v>138</v>
      </c>
      <c r="J64" s="3">
        <v>0.58160000000000001</v>
      </c>
      <c r="K64" s="3">
        <v>0.6</v>
      </c>
      <c r="L64" s="1" t="s">
        <v>4</v>
      </c>
      <c r="M64" s="4" t="s">
        <v>217</v>
      </c>
      <c r="N64" s="1" t="s">
        <v>15</v>
      </c>
    </row>
    <row r="65" spans="1:14" ht="28.5">
      <c r="A65" s="30"/>
      <c r="B65" s="2" t="s">
        <v>171</v>
      </c>
      <c r="C65" s="3">
        <v>1.6000000000000001E-3</v>
      </c>
      <c r="D65" s="3">
        <v>0.05</v>
      </c>
      <c r="E65" s="8" t="s">
        <v>3</v>
      </c>
      <c r="F65" s="9" t="s">
        <v>51</v>
      </c>
      <c r="G65" s="143" t="s">
        <v>188</v>
      </c>
      <c r="H65" s="197"/>
      <c r="I65" s="2" t="s">
        <v>171</v>
      </c>
      <c r="J65" s="3">
        <v>2.0000000000000001E-4</v>
      </c>
      <c r="K65" s="3">
        <v>0.05</v>
      </c>
      <c r="L65" s="8" t="s">
        <v>3</v>
      </c>
      <c r="M65" s="9" t="s">
        <v>51</v>
      </c>
      <c r="N65" s="143" t="s">
        <v>188</v>
      </c>
    </row>
    <row r="66" spans="1:14">
      <c r="A66" s="30"/>
      <c r="B66" s="2" t="s">
        <v>10</v>
      </c>
      <c r="C66" s="3">
        <v>1.5699999999999999E-2</v>
      </c>
      <c r="D66" s="3">
        <v>0.05</v>
      </c>
      <c r="E66" s="8" t="s">
        <v>3</v>
      </c>
      <c r="F66" s="9" t="s">
        <v>51</v>
      </c>
      <c r="G66" s="143" t="s">
        <v>188</v>
      </c>
      <c r="H66" s="197"/>
      <c r="I66" s="2" t="s">
        <v>10</v>
      </c>
      <c r="J66" s="3">
        <v>0</v>
      </c>
      <c r="K66" s="3">
        <v>0.05</v>
      </c>
      <c r="L66" s="8" t="s">
        <v>3</v>
      </c>
      <c r="M66" s="9" t="s">
        <v>51</v>
      </c>
      <c r="N66" s="143" t="s">
        <v>188</v>
      </c>
    </row>
    <row r="67" spans="1:14">
      <c r="A67" s="30"/>
      <c r="B67" s="2" t="s">
        <v>12</v>
      </c>
      <c r="C67" s="3">
        <v>7.1400000000000005E-2</v>
      </c>
      <c r="D67" s="3">
        <v>0.05</v>
      </c>
      <c r="E67" s="1" t="s">
        <v>3</v>
      </c>
      <c r="F67" s="9" t="s">
        <v>51</v>
      </c>
      <c r="G67" s="9" t="s">
        <v>18</v>
      </c>
      <c r="H67" s="197"/>
      <c r="I67" s="2" t="s">
        <v>12</v>
      </c>
      <c r="J67" s="3">
        <v>5.0099999999999999E-2</v>
      </c>
      <c r="K67" s="3">
        <v>0.05</v>
      </c>
      <c r="L67" s="1" t="s">
        <v>3</v>
      </c>
      <c r="M67" s="9" t="s">
        <v>51</v>
      </c>
      <c r="N67" s="9" t="s">
        <v>18</v>
      </c>
    </row>
    <row r="68" spans="1:14">
      <c r="A68" s="30"/>
      <c r="B68" s="2" t="s">
        <v>172</v>
      </c>
      <c r="C68" s="3">
        <v>0</v>
      </c>
      <c r="D68" s="3">
        <v>0.05</v>
      </c>
      <c r="E68" s="1" t="s">
        <v>3</v>
      </c>
      <c r="F68" s="10" t="s">
        <v>51</v>
      </c>
      <c r="G68" s="131" t="s">
        <v>188</v>
      </c>
      <c r="H68" s="197"/>
      <c r="I68" s="2" t="s">
        <v>172</v>
      </c>
      <c r="J68" s="3">
        <v>0</v>
      </c>
      <c r="K68" s="3">
        <v>0.05</v>
      </c>
      <c r="L68" s="1" t="s">
        <v>3</v>
      </c>
      <c r="M68" s="10" t="s">
        <v>51</v>
      </c>
      <c r="N68" s="131" t="s">
        <v>188</v>
      </c>
    </row>
    <row r="69" spans="1:14" ht="15">
      <c r="A69" s="30"/>
      <c r="B69" s="27" t="s">
        <v>5</v>
      </c>
      <c r="C69" s="101">
        <f>SUBTOTAL(109,C61:C68)</f>
        <v>0.99990000000000012</v>
      </c>
      <c r="D69" s="101">
        <f>SUBTOTAL(109,D61:D68)</f>
        <v>1.1700000000000002</v>
      </c>
      <c r="E69" s="119" t="s">
        <v>188</v>
      </c>
      <c r="F69" s="120" t="s">
        <v>188</v>
      </c>
      <c r="G69" s="114" t="s">
        <v>188</v>
      </c>
      <c r="H69" s="197"/>
      <c r="I69" s="27" t="s">
        <v>5</v>
      </c>
      <c r="J69" s="28">
        <f>SUBTOTAL(109,J61:J68)</f>
        <v>1.0016</v>
      </c>
      <c r="K69" s="28">
        <f>SUBTOTAL(109,K61:K68)</f>
        <v>1.2100000000000002</v>
      </c>
      <c r="L69" s="120" t="s">
        <v>188</v>
      </c>
      <c r="M69" s="120" t="s">
        <v>188</v>
      </c>
      <c r="N69" s="114" t="s">
        <v>188</v>
      </c>
    </row>
    <row r="70" spans="1:14">
      <c r="A70" s="30"/>
      <c r="B70" s="2" t="s">
        <v>6</v>
      </c>
      <c r="C70" s="11">
        <v>5.5100000000000003E-2</v>
      </c>
      <c r="D70" s="11">
        <v>0.06</v>
      </c>
      <c r="E70" s="1" t="s">
        <v>4</v>
      </c>
      <c r="F70" s="9" t="s">
        <v>58</v>
      </c>
      <c r="G70" s="1" t="s">
        <v>19</v>
      </c>
      <c r="H70" s="197"/>
      <c r="I70" s="2" t="s">
        <v>6</v>
      </c>
      <c r="J70" s="11">
        <v>5.28E-2</v>
      </c>
      <c r="K70" s="11">
        <v>0.06</v>
      </c>
      <c r="L70" s="1" t="s">
        <v>4</v>
      </c>
      <c r="M70" s="9" t="s">
        <v>58</v>
      </c>
      <c r="N70" s="1" t="s">
        <v>19</v>
      </c>
    </row>
    <row r="71" spans="1:14" ht="30">
      <c r="A71" s="30"/>
      <c r="B71" s="108" t="s">
        <v>228</v>
      </c>
      <c r="C71" s="12">
        <v>1.4E-3</v>
      </c>
      <c r="D71" s="194" t="s">
        <v>188</v>
      </c>
      <c r="E71" s="130" t="s">
        <v>188</v>
      </c>
      <c r="F71" s="130" t="s">
        <v>188</v>
      </c>
      <c r="G71" s="169" t="s">
        <v>188</v>
      </c>
      <c r="H71" s="197"/>
      <c r="I71" s="108" t="s">
        <v>228</v>
      </c>
      <c r="J71" s="12">
        <v>2E-3</v>
      </c>
      <c r="K71" s="194" t="s">
        <v>188</v>
      </c>
      <c r="L71" s="130" t="s">
        <v>188</v>
      </c>
      <c r="M71" s="130" t="s">
        <v>188</v>
      </c>
      <c r="N71" s="169" t="s">
        <v>188</v>
      </c>
    </row>
    <row r="72" spans="1:14" ht="21" customHeight="1">
      <c r="A72" s="71"/>
      <c r="B72" s="73"/>
      <c r="C72" s="74"/>
      <c r="D72" s="75"/>
      <c r="E72" s="74"/>
      <c r="F72" s="74"/>
      <c r="G72" s="171"/>
      <c r="H72" s="195"/>
      <c r="I72" s="77"/>
      <c r="J72" s="78"/>
      <c r="K72" s="79"/>
      <c r="L72" s="78"/>
      <c r="M72" s="78"/>
      <c r="N72" s="172"/>
    </row>
    <row r="73" spans="1:14" ht="51.75" customHeight="1">
      <c r="A73" s="29" t="s">
        <v>70</v>
      </c>
      <c r="B73" s="37" t="s">
        <v>149</v>
      </c>
      <c r="C73" s="38"/>
      <c r="D73" s="39"/>
      <c r="E73" s="83"/>
      <c r="F73" s="38"/>
      <c r="G73" s="168"/>
      <c r="H73" s="196" t="s">
        <v>70</v>
      </c>
      <c r="I73" s="37" t="s">
        <v>150</v>
      </c>
      <c r="J73" s="38"/>
      <c r="K73" s="39"/>
      <c r="L73" s="40"/>
      <c r="M73" s="38"/>
      <c r="N73" s="168"/>
    </row>
    <row r="74" spans="1:14" ht="51.75" customHeight="1">
      <c r="A74" s="30"/>
      <c r="B74" s="121" t="s">
        <v>0</v>
      </c>
      <c r="C74" s="122" t="s">
        <v>223</v>
      </c>
      <c r="D74" s="122" t="s">
        <v>199</v>
      </c>
      <c r="E74" s="123" t="s">
        <v>22</v>
      </c>
      <c r="F74" s="123" t="s">
        <v>20</v>
      </c>
      <c r="G74" s="123" t="s">
        <v>35</v>
      </c>
      <c r="H74" s="197"/>
      <c r="I74" s="121" t="s">
        <v>0</v>
      </c>
      <c r="J74" s="122" t="s">
        <v>223</v>
      </c>
      <c r="K74" s="122" t="s">
        <v>199</v>
      </c>
      <c r="L74" s="123" t="s">
        <v>22</v>
      </c>
      <c r="M74" s="123" t="s">
        <v>20</v>
      </c>
      <c r="N74" s="123" t="s">
        <v>35</v>
      </c>
    </row>
    <row r="75" spans="1:14" ht="15.75">
      <c r="A75" s="30"/>
      <c r="B75" s="106" t="s">
        <v>170</v>
      </c>
      <c r="C75" s="3">
        <v>0.2329</v>
      </c>
      <c r="D75" s="5">
        <v>0.3</v>
      </c>
      <c r="E75" s="141" t="s">
        <v>188</v>
      </c>
      <c r="F75" s="142" t="s">
        <v>188</v>
      </c>
      <c r="G75" s="142" t="s">
        <v>188</v>
      </c>
      <c r="H75" s="197"/>
      <c r="I75" s="152" t="s">
        <v>188</v>
      </c>
      <c r="J75" s="153" t="s">
        <v>188</v>
      </c>
      <c r="K75" s="153" t="s">
        <v>188</v>
      </c>
      <c r="L75" s="142" t="s">
        <v>188</v>
      </c>
      <c r="M75" s="142" t="s">
        <v>188</v>
      </c>
      <c r="N75" s="142" t="s">
        <v>188</v>
      </c>
    </row>
    <row r="76" spans="1:14" ht="28.5">
      <c r="A76" s="30"/>
      <c r="B76" s="106" t="s">
        <v>139</v>
      </c>
      <c r="C76" s="115">
        <v>0</v>
      </c>
      <c r="D76" s="5">
        <v>0</v>
      </c>
      <c r="E76" s="6" t="s">
        <v>4</v>
      </c>
      <c r="F76" s="155" t="s">
        <v>250</v>
      </c>
      <c r="G76" s="145" t="s">
        <v>188</v>
      </c>
      <c r="H76" s="197"/>
      <c r="I76" s="106" t="s">
        <v>231</v>
      </c>
      <c r="J76" s="155">
        <v>0</v>
      </c>
      <c r="K76" s="155" t="s">
        <v>188</v>
      </c>
      <c r="L76" s="6" t="s">
        <v>4</v>
      </c>
      <c r="M76" s="155" t="s">
        <v>250</v>
      </c>
      <c r="N76" s="145" t="s">
        <v>188</v>
      </c>
    </row>
    <row r="77" spans="1:14">
      <c r="A77" s="30"/>
      <c r="B77" s="106" t="s">
        <v>2</v>
      </c>
      <c r="C77" s="3">
        <v>0.68799999999999994</v>
      </c>
      <c r="D77" s="3">
        <v>0.65</v>
      </c>
      <c r="E77" s="1" t="s">
        <v>3</v>
      </c>
      <c r="F77" s="4" t="s">
        <v>194</v>
      </c>
      <c r="G77" s="1" t="s">
        <v>14</v>
      </c>
      <c r="H77" s="197"/>
      <c r="I77" s="106" t="s">
        <v>2</v>
      </c>
      <c r="J77" s="3">
        <v>0.96209999999999996</v>
      </c>
      <c r="K77" s="3">
        <v>0.98</v>
      </c>
      <c r="L77" s="1" t="s">
        <v>3</v>
      </c>
      <c r="M77" s="4" t="s">
        <v>180</v>
      </c>
      <c r="N77" s="1" t="s">
        <v>14</v>
      </c>
    </row>
    <row r="78" spans="1:14" ht="42.75">
      <c r="A78" s="30"/>
      <c r="B78" s="107" t="s">
        <v>186</v>
      </c>
      <c r="C78" s="3">
        <v>2.0000000000000001E-4</v>
      </c>
      <c r="D78" s="3">
        <v>0</v>
      </c>
      <c r="E78" s="1" t="s">
        <v>4</v>
      </c>
      <c r="F78" s="115" t="s">
        <v>250</v>
      </c>
      <c r="G78" s="143" t="s">
        <v>188</v>
      </c>
      <c r="H78" s="197"/>
      <c r="I78" s="106" t="s">
        <v>187</v>
      </c>
      <c r="J78" s="115" t="s">
        <v>188</v>
      </c>
      <c r="K78" s="115" t="s">
        <v>188</v>
      </c>
      <c r="L78" s="1" t="s">
        <v>4</v>
      </c>
      <c r="M78" s="115" t="s">
        <v>250</v>
      </c>
      <c r="N78" s="143" t="s">
        <v>188</v>
      </c>
    </row>
    <row r="79" spans="1:14" ht="42.75">
      <c r="A79" s="30"/>
      <c r="B79" s="106" t="s">
        <v>171</v>
      </c>
      <c r="C79" s="115">
        <v>0</v>
      </c>
      <c r="D79" s="3">
        <v>0</v>
      </c>
      <c r="E79" s="8" t="s">
        <v>3</v>
      </c>
      <c r="F79" s="131" t="s">
        <v>250</v>
      </c>
      <c r="G79" s="143" t="s">
        <v>188</v>
      </c>
      <c r="H79" s="197"/>
      <c r="I79" s="106" t="s">
        <v>171</v>
      </c>
      <c r="J79" s="115" t="s">
        <v>188</v>
      </c>
      <c r="K79" s="115" t="s">
        <v>188</v>
      </c>
      <c r="L79" s="8" t="s">
        <v>3</v>
      </c>
      <c r="M79" s="131" t="s">
        <v>250</v>
      </c>
      <c r="N79" s="143" t="s">
        <v>188</v>
      </c>
    </row>
    <row r="80" spans="1:14">
      <c r="A80" s="30"/>
      <c r="B80" s="106" t="s">
        <v>10</v>
      </c>
      <c r="C80" s="115">
        <v>0</v>
      </c>
      <c r="D80" s="3">
        <v>0</v>
      </c>
      <c r="E80" s="8" t="s">
        <v>3</v>
      </c>
      <c r="F80" s="131" t="s">
        <v>250</v>
      </c>
      <c r="G80" s="143" t="s">
        <v>188</v>
      </c>
      <c r="H80" s="197"/>
      <c r="I80" s="106" t="s">
        <v>10</v>
      </c>
      <c r="J80" s="115" t="s">
        <v>188</v>
      </c>
      <c r="K80" s="115" t="s">
        <v>188</v>
      </c>
      <c r="L80" s="8" t="s">
        <v>3</v>
      </c>
      <c r="M80" s="131" t="s">
        <v>250</v>
      </c>
      <c r="N80" s="143" t="s">
        <v>188</v>
      </c>
    </row>
    <row r="81" spans="1:14">
      <c r="A81" s="30"/>
      <c r="B81" s="106" t="s">
        <v>12</v>
      </c>
      <c r="C81" s="3">
        <v>7.4899999999999994E-2</v>
      </c>
      <c r="D81" s="3">
        <v>0.05</v>
      </c>
      <c r="E81" s="1" t="s">
        <v>3</v>
      </c>
      <c r="F81" s="9" t="s">
        <v>51</v>
      </c>
      <c r="G81" s="9" t="s">
        <v>18</v>
      </c>
      <c r="H81" s="197"/>
      <c r="I81" s="106" t="s">
        <v>12</v>
      </c>
      <c r="J81" s="3">
        <v>3.6600000000000001E-2</v>
      </c>
      <c r="K81" s="3">
        <v>0.05</v>
      </c>
      <c r="L81" s="1" t="s">
        <v>3</v>
      </c>
      <c r="M81" s="9" t="s">
        <v>51</v>
      </c>
      <c r="N81" s="9" t="s">
        <v>18</v>
      </c>
    </row>
    <row r="82" spans="1:14">
      <c r="A82" s="30"/>
      <c r="B82" s="106" t="s">
        <v>172</v>
      </c>
      <c r="C82" s="115">
        <v>0</v>
      </c>
      <c r="D82" s="3">
        <v>0</v>
      </c>
      <c r="E82" s="1" t="s">
        <v>3</v>
      </c>
      <c r="F82" s="249" t="s">
        <v>250</v>
      </c>
      <c r="G82" s="131" t="s">
        <v>188</v>
      </c>
      <c r="H82" s="197"/>
      <c r="I82" s="106" t="s">
        <v>172</v>
      </c>
      <c r="J82" s="115" t="s">
        <v>188</v>
      </c>
      <c r="K82" s="115" t="s">
        <v>188</v>
      </c>
      <c r="L82" s="1" t="s">
        <v>3</v>
      </c>
      <c r="M82" s="249" t="s">
        <v>250</v>
      </c>
      <c r="N82" s="131" t="s">
        <v>188</v>
      </c>
    </row>
    <row r="83" spans="1:14" ht="15">
      <c r="A83" s="30"/>
      <c r="B83" s="108" t="s">
        <v>5</v>
      </c>
      <c r="C83" s="101">
        <f>SUBTOTAL(109,C75:C82)</f>
        <v>0.99599999999999989</v>
      </c>
      <c r="D83" s="101">
        <f>SUBTOTAL(109,D75:D82)</f>
        <v>1</v>
      </c>
      <c r="E83" s="119" t="s">
        <v>188</v>
      </c>
      <c r="F83" s="120" t="s">
        <v>188</v>
      </c>
      <c r="G83" s="114" t="s">
        <v>188</v>
      </c>
      <c r="H83" s="197"/>
      <c r="I83" s="108" t="s">
        <v>5</v>
      </c>
      <c r="J83" s="101">
        <f>SUBTOTAL(109,J75:J82)</f>
        <v>0.99869999999999992</v>
      </c>
      <c r="K83" s="101">
        <f>SUBTOTAL(109,K75:K82)</f>
        <v>1.03</v>
      </c>
      <c r="L83" s="120" t="s">
        <v>188</v>
      </c>
      <c r="M83" s="120" t="s">
        <v>188</v>
      </c>
      <c r="N83" s="114" t="s">
        <v>188</v>
      </c>
    </row>
    <row r="84" spans="1:14">
      <c r="A84" s="30"/>
      <c r="B84" s="106" t="s">
        <v>6</v>
      </c>
      <c r="C84" s="139">
        <v>0</v>
      </c>
      <c r="D84" s="11">
        <v>0</v>
      </c>
      <c r="E84" s="1" t="s">
        <v>4</v>
      </c>
      <c r="F84" s="131" t="s">
        <v>250</v>
      </c>
      <c r="G84" s="143" t="s">
        <v>188</v>
      </c>
      <c r="H84" s="197"/>
      <c r="I84" s="106" t="s">
        <v>6</v>
      </c>
      <c r="J84" s="139" t="s">
        <v>188</v>
      </c>
      <c r="K84" s="139" t="s">
        <v>188</v>
      </c>
      <c r="L84" s="1" t="s">
        <v>4</v>
      </c>
      <c r="M84" s="131" t="s">
        <v>250</v>
      </c>
      <c r="N84" s="143" t="s">
        <v>188</v>
      </c>
    </row>
    <row r="85" spans="1:14" ht="30">
      <c r="A85" s="30"/>
      <c r="B85" s="108" t="s">
        <v>228</v>
      </c>
      <c r="C85" s="12">
        <v>2E-3</v>
      </c>
      <c r="D85" s="194" t="s">
        <v>188</v>
      </c>
      <c r="E85" s="130" t="s">
        <v>188</v>
      </c>
      <c r="F85" s="130" t="s">
        <v>188</v>
      </c>
      <c r="G85" s="169" t="s">
        <v>188</v>
      </c>
      <c r="H85" s="197"/>
      <c r="I85" s="108" t="s">
        <v>228</v>
      </c>
      <c r="J85" s="12">
        <v>2E-3</v>
      </c>
      <c r="K85" s="194" t="s">
        <v>188</v>
      </c>
      <c r="L85" s="130" t="s">
        <v>188</v>
      </c>
      <c r="M85" s="130" t="s">
        <v>188</v>
      </c>
      <c r="N85" s="169" t="s">
        <v>188</v>
      </c>
    </row>
    <row r="86" spans="1:14" ht="21" customHeight="1">
      <c r="A86" s="71"/>
      <c r="B86" s="73"/>
      <c r="C86" s="74"/>
      <c r="D86" s="75"/>
      <c r="E86" s="74"/>
      <c r="F86" s="74"/>
      <c r="G86" s="171"/>
      <c r="H86" s="195"/>
      <c r="I86" s="77"/>
      <c r="J86" s="78"/>
      <c r="K86" s="79"/>
      <c r="L86" s="78"/>
      <c r="M86" s="78"/>
      <c r="N86" s="172"/>
    </row>
    <row r="87" spans="1:14" ht="64.5" customHeight="1">
      <c r="A87" s="43" t="s">
        <v>92</v>
      </c>
      <c r="B87" s="37" t="s">
        <v>151</v>
      </c>
      <c r="C87" s="38"/>
      <c r="D87" s="39"/>
      <c r="E87" s="83"/>
      <c r="F87" s="83"/>
      <c r="G87" s="168"/>
      <c r="H87" s="198" t="s">
        <v>92</v>
      </c>
      <c r="I87" s="37" t="s">
        <v>152</v>
      </c>
      <c r="J87" s="38"/>
      <c r="K87" s="39"/>
      <c r="L87" s="40"/>
      <c r="M87" s="40"/>
      <c r="N87" s="168"/>
    </row>
    <row r="88" spans="1:14" ht="51.75" customHeight="1">
      <c r="A88" s="44"/>
      <c r="B88" s="121" t="s">
        <v>0</v>
      </c>
      <c r="C88" s="122" t="s">
        <v>223</v>
      </c>
      <c r="D88" s="122" t="s">
        <v>199</v>
      </c>
      <c r="E88" s="123" t="s">
        <v>22</v>
      </c>
      <c r="F88" s="123" t="s">
        <v>20</v>
      </c>
      <c r="G88" s="123" t="s">
        <v>35</v>
      </c>
      <c r="H88" s="199"/>
      <c r="I88" s="121" t="s">
        <v>0</v>
      </c>
      <c r="J88" s="122" t="s">
        <v>223</v>
      </c>
      <c r="K88" s="122" t="s">
        <v>199</v>
      </c>
      <c r="L88" s="123" t="s">
        <v>22</v>
      </c>
      <c r="M88" s="123" t="s">
        <v>20</v>
      </c>
      <c r="N88" s="123" t="s">
        <v>35</v>
      </c>
    </row>
    <row r="89" spans="1:14" ht="15.75">
      <c r="A89" s="44"/>
      <c r="B89" s="106" t="s">
        <v>170</v>
      </c>
      <c r="C89" s="5">
        <v>0.28060000000000002</v>
      </c>
      <c r="D89" s="5">
        <v>0.3</v>
      </c>
      <c r="E89" s="141" t="s">
        <v>188</v>
      </c>
      <c r="F89" s="142" t="s">
        <v>188</v>
      </c>
      <c r="G89" s="142" t="s">
        <v>188</v>
      </c>
      <c r="H89" s="199"/>
      <c r="I89" s="152" t="s">
        <v>188</v>
      </c>
      <c r="J89" s="153" t="s">
        <v>188</v>
      </c>
      <c r="K89" s="153" t="s">
        <v>188</v>
      </c>
      <c r="L89" s="142" t="s">
        <v>188</v>
      </c>
      <c r="M89" s="142" t="s">
        <v>188</v>
      </c>
      <c r="N89" s="142" t="s">
        <v>188</v>
      </c>
    </row>
    <row r="90" spans="1:14" ht="57">
      <c r="A90" s="44"/>
      <c r="B90" s="106" t="s">
        <v>139</v>
      </c>
      <c r="C90" s="5">
        <v>0.42370000000000002</v>
      </c>
      <c r="D90" s="5">
        <v>0.42</v>
      </c>
      <c r="E90" s="6" t="s">
        <v>23</v>
      </c>
      <c r="F90" s="7" t="s">
        <v>218</v>
      </c>
      <c r="G90" s="6" t="s">
        <v>221</v>
      </c>
      <c r="H90" s="199"/>
      <c r="I90" s="106" t="s">
        <v>231</v>
      </c>
      <c r="J90" s="5">
        <v>0.4521</v>
      </c>
      <c r="K90" s="5">
        <v>0.46</v>
      </c>
      <c r="L90" s="6" t="s">
        <v>23</v>
      </c>
      <c r="M90" s="7" t="s">
        <v>48</v>
      </c>
      <c r="N90" s="6" t="s">
        <v>221</v>
      </c>
    </row>
    <row r="91" spans="1:14">
      <c r="A91" s="44"/>
      <c r="B91" s="106" t="s">
        <v>2</v>
      </c>
      <c r="C91" s="3">
        <v>0.11990000000000001</v>
      </c>
      <c r="D91" s="3">
        <v>0.12</v>
      </c>
      <c r="E91" s="1" t="s">
        <v>24</v>
      </c>
      <c r="F91" s="4" t="s">
        <v>219</v>
      </c>
      <c r="G91" s="1" t="s">
        <v>14</v>
      </c>
      <c r="H91" s="199"/>
      <c r="I91" s="106" t="s">
        <v>2</v>
      </c>
      <c r="J91" s="3">
        <v>0.29709999999999998</v>
      </c>
      <c r="K91" s="3">
        <v>0.3</v>
      </c>
      <c r="L91" s="1" t="s">
        <v>24</v>
      </c>
      <c r="M91" s="4" t="s">
        <v>60</v>
      </c>
      <c r="N91" s="1" t="s">
        <v>14</v>
      </c>
    </row>
    <row r="92" spans="1:14" ht="28.5">
      <c r="A92" s="46"/>
      <c r="B92" s="107" t="s">
        <v>138</v>
      </c>
      <c r="C92" s="3">
        <v>0.23080000000000001</v>
      </c>
      <c r="D92" s="3">
        <v>0.23</v>
      </c>
      <c r="E92" s="1" t="s">
        <v>23</v>
      </c>
      <c r="F92" s="4" t="s">
        <v>47</v>
      </c>
      <c r="G92" s="1" t="s">
        <v>15</v>
      </c>
      <c r="H92" s="199"/>
      <c r="I92" s="106" t="s">
        <v>138</v>
      </c>
      <c r="J92" s="3">
        <v>0.2959</v>
      </c>
      <c r="K92" s="3">
        <v>0.31</v>
      </c>
      <c r="L92" s="1" t="s">
        <v>23</v>
      </c>
      <c r="M92" s="4" t="s">
        <v>181</v>
      </c>
      <c r="N92" s="1" t="s">
        <v>15</v>
      </c>
    </row>
    <row r="93" spans="1:14">
      <c r="A93" s="46"/>
      <c r="B93" s="106" t="s">
        <v>12</v>
      </c>
      <c r="C93" s="3">
        <v>0.16589999999999999</v>
      </c>
      <c r="D93" s="3">
        <v>0.15</v>
      </c>
      <c r="E93" s="1" t="s">
        <v>24</v>
      </c>
      <c r="F93" s="9" t="s">
        <v>52</v>
      </c>
      <c r="G93" s="9" t="s">
        <v>18</v>
      </c>
      <c r="H93" s="199"/>
      <c r="I93" s="106" t="s">
        <v>12</v>
      </c>
      <c r="J93" s="3">
        <v>8.8400000000000006E-2</v>
      </c>
      <c r="K93" s="3">
        <v>0.05</v>
      </c>
      <c r="L93" s="1" t="s">
        <v>24</v>
      </c>
      <c r="M93" s="9" t="s">
        <v>51</v>
      </c>
      <c r="N93" s="9" t="s">
        <v>18</v>
      </c>
    </row>
    <row r="94" spans="1:14" ht="15">
      <c r="A94" s="46"/>
      <c r="B94" s="108" t="s">
        <v>5</v>
      </c>
      <c r="C94" s="28">
        <f>SUBTOTAL(109,C89:C93)</f>
        <v>1.2209000000000001</v>
      </c>
      <c r="D94" s="101">
        <f>SUBTOTAL(109,D89:D93)</f>
        <v>1.22</v>
      </c>
      <c r="E94" s="119" t="s">
        <v>188</v>
      </c>
      <c r="F94" s="120" t="s">
        <v>188</v>
      </c>
      <c r="G94" s="114" t="s">
        <v>188</v>
      </c>
      <c r="H94" s="199"/>
      <c r="I94" s="108" t="s">
        <v>5</v>
      </c>
      <c r="J94" s="28">
        <f>SUBTOTAL(109,J89:J93)</f>
        <v>1.1335</v>
      </c>
      <c r="K94" s="28">
        <f>SUBTOTAL(109,K89:K93)</f>
        <v>1.1200000000000001</v>
      </c>
      <c r="L94" s="120" t="s">
        <v>188</v>
      </c>
      <c r="M94" s="41" t="s">
        <v>176</v>
      </c>
      <c r="N94" s="114" t="s">
        <v>188</v>
      </c>
    </row>
    <row r="95" spans="1:14">
      <c r="A95" s="46"/>
      <c r="B95" s="106" t="s">
        <v>6</v>
      </c>
      <c r="C95" s="11">
        <v>0.16209999999999999</v>
      </c>
      <c r="D95" s="11">
        <v>0.18</v>
      </c>
      <c r="E95" s="1" t="s">
        <v>23</v>
      </c>
      <c r="F95" s="9" t="s">
        <v>205</v>
      </c>
      <c r="G95" s="1" t="s">
        <v>19</v>
      </c>
      <c r="H95" s="199"/>
      <c r="I95" s="106" t="s">
        <v>6</v>
      </c>
      <c r="J95" s="11">
        <v>0.1678</v>
      </c>
      <c r="K95" s="11">
        <v>0.18</v>
      </c>
      <c r="L95" s="1" t="s">
        <v>23</v>
      </c>
      <c r="M95" s="9" t="s">
        <v>205</v>
      </c>
      <c r="N95" s="1" t="s">
        <v>19</v>
      </c>
    </row>
    <row r="96" spans="1:14" ht="30">
      <c r="A96" s="46"/>
      <c r="B96" s="108" t="s">
        <v>228</v>
      </c>
      <c r="C96" s="12">
        <v>1.5E-3</v>
      </c>
      <c r="D96" s="136" t="s">
        <v>188</v>
      </c>
      <c r="E96" s="137" t="s">
        <v>188</v>
      </c>
      <c r="F96" s="138" t="s">
        <v>188</v>
      </c>
      <c r="G96" s="169" t="s">
        <v>188</v>
      </c>
      <c r="H96" s="199"/>
      <c r="I96" s="108" t="s">
        <v>228</v>
      </c>
      <c r="J96" s="12">
        <v>1.5E-3</v>
      </c>
      <c r="K96" s="136" t="s">
        <v>188</v>
      </c>
      <c r="L96" s="138" t="s">
        <v>188</v>
      </c>
      <c r="M96" s="138" t="s">
        <v>188</v>
      </c>
      <c r="N96" s="169" t="s">
        <v>188</v>
      </c>
    </row>
    <row r="97" spans="1:14" ht="21" customHeight="1">
      <c r="A97" s="71"/>
      <c r="B97" s="73"/>
      <c r="C97" s="74"/>
      <c r="D97" s="75"/>
      <c r="E97" s="74"/>
      <c r="F97" s="74"/>
      <c r="G97" s="171"/>
      <c r="H97" s="195"/>
      <c r="I97" s="77"/>
      <c r="J97" s="78"/>
      <c r="K97" s="79"/>
      <c r="L97" s="78"/>
      <c r="M97" s="78"/>
      <c r="N97" s="172"/>
    </row>
    <row r="98" spans="1:14" ht="64.5" customHeight="1">
      <c r="A98" s="43" t="s">
        <v>82</v>
      </c>
      <c r="B98" s="37" t="s">
        <v>153</v>
      </c>
      <c r="C98" s="38"/>
      <c r="D98" s="39"/>
      <c r="E98" s="38"/>
      <c r="F98" s="38"/>
      <c r="G98" s="168"/>
      <c r="H98" s="198" t="s">
        <v>82</v>
      </c>
      <c r="I98" s="37" t="s">
        <v>154</v>
      </c>
      <c r="J98" s="38"/>
      <c r="K98" s="39"/>
      <c r="L98" s="40" t="s">
        <v>185</v>
      </c>
      <c r="M98" s="38"/>
      <c r="N98" s="168"/>
    </row>
    <row r="99" spans="1:14" ht="51.75" customHeight="1">
      <c r="A99" s="44"/>
      <c r="B99" s="121" t="s">
        <v>0</v>
      </c>
      <c r="C99" s="122" t="s">
        <v>223</v>
      </c>
      <c r="D99" s="122" t="s">
        <v>199</v>
      </c>
      <c r="E99" s="123" t="s">
        <v>22</v>
      </c>
      <c r="F99" s="123" t="s">
        <v>20</v>
      </c>
      <c r="G99" s="123" t="s">
        <v>35</v>
      </c>
      <c r="H99" s="199"/>
      <c r="I99" s="121" t="s">
        <v>0</v>
      </c>
      <c r="J99" s="122" t="s">
        <v>223</v>
      </c>
      <c r="K99" s="122" t="s">
        <v>199</v>
      </c>
      <c r="L99" s="123" t="s">
        <v>22</v>
      </c>
      <c r="M99" s="123" t="s">
        <v>20</v>
      </c>
      <c r="N99" s="123" t="s">
        <v>35</v>
      </c>
    </row>
    <row r="100" spans="1:14" ht="15.75">
      <c r="A100" s="44"/>
      <c r="B100" s="2" t="s">
        <v>170</v>
      </c>
      <c r="C100" s="5">
        <v>0.2757</v>
      </c>
      <c r="D100" s="5">
        <v>0.3</v>
      </c>
      <c r="E100" s="141" t="s">
        <v>188</v>
      </c>
      <c r="F100" s="142" t="s">
        <v>188</v>
      </c>
      <c r="G100" s="142" t="s">
        <v>188</v>
      </c>
      <c r="H100" s="199"/>
      <c r="I100" s="154" t="s">
        <v>188</v>
      </c>
      <c r="J100" s="153" t="s">
        <v>188</v>
      </c>
      <c r="K100" s="153" t="s">
        <v>188</v>
      </c>
      <c r="L100" s="142" t="s">
        <v>188</v>
      </c>
      <c r="M100" s="142" t="s">
        <v>188</v>
      </c>
      <c r="N100" s="142" t="s">
        <v>188</v>
      </c>
    </row>
    <row r="101" spans="1:14" ht="57">
      <c r="A101" s="44"/>
      <c r="B101" s="2" t="s">
        <v>139</v>
      </c>
      <c r="C101" s="5">
        <v>0.70889999999999997</v>
      </c>
      <c r="D101" s="5">
        <v>0.7</v>
      </c>
      <c r="E101" s="6" t="s">
        <v>23</v>
      </c>
      <c r="F101" s="7" t="s">
        <v>193</v>
      </c>
      <c r="G101" s="6" t="s">
        <v>221</v>
      </c>
      <c r="H101" s="199"/>
      <c r="I101" s="2" t="s">
        <v>231</v>
      </c>
      <c r="J101" s="5">
        <v>0.96550000000000002</v>
      </c>
      <c r="K101" s="5">
        <v>0.94</v>
      </c>
      <c r="L101" s="6" t="s">
        <v>23</v>
      </c>
      <c r="M101" s="7" t="s">
        <v>98</v>
      </c>
      <c r="N101" s="6" t="s">
        <v>221</v>
      </c>
    </row>
    <row r="102" spans="1:14">
      <c r="A102" s="45"/>
      <c r="B102" s="2" t="s">
        <v>2</v>
      </c>
      <c r="C102" s="3">
        <v>0.17580000000000001</v>
      </c>
      <c r="D102" s="3">
        <v>0.17</v>
      </c>
      <c r="E102" s="1" t="s">
        <v>24</v>
      </c>
      <c r="F102" s="4" t="s">
        <v>179</v>
      </c>
      <c r="G102" s="1" t="s">
        <v>14</v>
      </c>
      <c r="H102" s="199"/>
      <c r="I102" s="2" t="s">
        <v>2</v>
      </c>
      <c r="J102" s="3">
        <v>0.32119999999999999</v>
      </c>
      <c r="K102" s="3">
        <v>0.32</v>
      </c>
      <c r="L102" s="1" t="s">
        <v>24</v>
      </c>
      <c r="M102" s="4" t="s">
        <v>220</v>
      </c>
      <c r="N102" s="1" t="s">
        <v>14</v>
      </c>
    </row>
    <row r="103" spans="1:14" ht="28.5">
      <c r="A103" s="46"/>
      <c r="B103" s="70" t="s">
        <v>138</v>
      </c>
      <c r="C103" s="3">
        <v>2.6700000000000002E-2</v>
      </c>
      <c r="D103" s="3">
        <v>0.06</v>
      </c>
      <c r="E103" s="1" t="s">
        <v>23</v>
      </c>
      <c r="F103" s="4" t="s">
        <v>58</v>
      </c>
      <c r="G103" s="1" t="s">
        <v>15</v>
      </c>
      <c r="H103" s="199"/>
      <c r="I103" s="2" t="s">
        <v>138</v>
      </c>
      <c r="J103" s="3">
        <v>5.6000000000000001E-2</v>
      </c>
      <c r="K103" s="3">
        <v>0.06</v>
      </c>
      <c r="L103" s="1" t="s">
        <v>23</v>
      </c>
      <c r="M103" s="4" t="s">
        <v>58</v>
      </c>
      <c r="N103" s="1" t="s">
        <v>15</v>
      </c>
    </row>
    <row r="104" spans="1:14">
      <c r="A104" s="46"/>
      <c r="B104" s="2" t="s">
        <v>12</v>
      </c>
      <c r="C104" s="3">
        <v>0.18049999999999999</v>
      </c>
      <c r="D104" s="3">
        <v>0.15</v>
      </c>
      <c r="E104" s="1" t="s">
        <v>24</v>
      </c>
      <c r="F104" s="9" t="s">
        <v>52</v>
      </c>
      <c r="G104" s="9" t="s">
        <v>18</v>
      </c>
      <c r="H104" s="199"/>
      <c r="I104" s="2" t="s">
        <v>12</v>
      </c>
      <c r="J104" s="3">
        <v>0.19209999999999999</v>
      </c>
      <c r="K104" s="3">
        <v>0.15</v>
      </c>
      <c r="L104" s="1" t="s">
        <v>24</v>
      </c>
      <c r="M104" s="9" t="s">
        <v>52</v>
      </c>
      <c r="N104" s="9" t="s">
        <v>18</v>
      </c>
    </row>
    <row r="105" spans="1:14" ht="15">
      <c r="A105" s="46"/>
      <c r="B105" s="27" t="s">
        <v>5</v>
      </c>
      <c r="C105" s="28">
        <f>SUBTOTAL(109,C100:C104)</f>
        <v>1.3675999999999999</v>
      </c>
      <c r="D105" s="28">
        <f>SUBTOTAL(109,D100:D104)</f>
        <v>1.38</v>
      </c>
      <c r="E105" s="119" t="s">
        <v>188</v>
      </c>
      <c r="F105" s="41" t="s">
        <v>176</v>
      </c>
      <c r="G105" s="114" t="s">
        <v>188</v>
      </c>
      <c r="H105" s="199"/>
      <c r="I105" s="27" t="s">
        <v>5</v>
      </c>
      <c r="J105" s="28">
        <f>SUBTOTAL(109,J100:J104)</f>
        <v>1.5347999999999999</v>
      </c>
      <c r="K105" s="101">
        <f>SUBTOTAL(109,K100:K104)</f>
        <v>1.47</v>
      </c>
      <c r="L105" s="120" t="s">
        <v>188</v>
      </c>
      <c r="M105" s="120" t="s">
        <v>188</v>
      </c>
      <c r="N105" s="114" t="s">
        <v>188</v>
      </c>
    </row>
    <row r="106" spans="1:14">
      <c r="A106" s="46"/>
      <c r="B106" s="2" t="s">
        <v>6</v>
      </c>
      <c r="C106" s="11">
        <v>0.18990000000000001</v>
      </c>
      <c r="D106" s="11">
        <v>0.18</v>
      </c>
      <c r="E106" s="1" t="s">
        <v>23</v>
      </c>
      <c r="F106" s="9" t="s">
        <v>205</v>
      </c>
      <c r="G106" s="1" t="s">
        <v>19</v>
      </c>
      <c r="H106" s="199"/>
      <c r="I106" s="2" t="s">
        <v>6</v>
      </c>
      <c r="J106" s="11">
        <v>0.20599999999999999</v>
      </c>
      <c r="K106" s="11">
        <v>0.18</v>
      </c>
      <c r="L106" s="1" t="s">
        <v>23</v>
      </c>
      <c r="M106" s="9" t="s">
        <v>205</v>
      </c>
      <c r="N106" s="1" t="s">
        <v>19</v>
      </c>
    </row>
    <row r="107" spans="1:14" ht="30">
      <c r="A107" s="46"/>
      <c r="B107" s="108" t="s">
        <v>228</v>
      </c>
      <c r="C107" s="12">
        <v>1.5E-3</v>
      </c>
      <c r="D107" s="136" t="s">
        <v>188</v>
      </c>
      <c r="E107" s="137" t="s">
        <v>188</v>
      </c>
      <c r="F107" s="138" t="s">
        <v>188</v>
      </c>
      <c r="G107" s="169" t="s">
        <v>188</v>
      </c>
      <c r="H107" s="199"/>
      <c r="I107" s="108" t="s">
        <v>228</v>
      </c>
      <c r="J107" s="12">
        <v>1.5E-3</v>
      </c>
      <c r="K107" s="136" t="s">
        <v>188</v>
      </c>
      <c r="L107" s="138" t="s">
        <v>188</v>
      </c>
      <c r="M107" s="138" t="s">
        <v>188</v>
      </c>
      <c r="N107" s="169" t="s">
        <v>188</v>
      </c>
    </row>
    <row r="108" spans="1:14" ht="21" customHeight="1">
      <c r="A108" s="71"/>
      <c r="B108" s="73"/>
      <c r="C108" s="74"/>
      <c r="D108" s="75"/>
      <c r="E108" s="74"/>
      <c r="F108" s="74"/>
      <c r="G108" s="171"/>
      <c r="H108" s="195"/>
      <c r="I108" s="77"/>
      <c r="J108" s="78"/>
      <c r="K108" s="79"/>
      <c r="L108" s="78"/>
      <c r="M108" s="78"/>
      <c r="N108" s="172"/>
    </row>
    <row r="109" spans="1:14" ht="64.5" customHeight="1">
      <c r="A109" s="43" t="s">
        <v>83</v>
      </c>
      <c r="B109" s="37" t="s">
        <v>155</v>
      </c>
      <c r="C109" s="38"/>
      <c r="D109" s="39"/>
      <c r="E109" s="83"/>
      <c r="F109" s="38"/>
      <c r="G109" s="168"/>
      <c r="H109" s="198" t="s">
        <v>83</v>
      </c>
      <c r="I109" s="37" t="s">
        <v>156</v>
      </c>
      <c r="J109" s="38"/>
      <c r="K109" s="39"/>
      <c r="L109" s="40"/>
      <c r="M109" s="38"/>
      <c r="N109" s="168"/>
    </row>
    <row r="110" spans="1:14" ht="51.75" customHeight="1">
      <c r="A110" s="44"/>
      <c r="B110" s="121" t="s">
        <v>0</v>
      </c>
      <c r="C110" s="122" t="s">
        <v>223</v>
      </c>
      <c r="D110" s="122" t="s">
        <v>199</v>
      </c>
      <c r="E110" s="123" t="s">
        <v>22</v>
      </c>
      <c r="F110" s="123" t="s">
        <v>20</v>
      </c>
      <c r="G110" s="123" t="s">
        <v>35</v>
      </c>
      <c r="H110" s="199"/>
      <c r="I110" s="121" t="s">
        <v>0</v>
      </c>
      <c r="J110" s="122" t="s">
        <v>223</v>
      </c>
      <c r="K110" s="122" t="s">
        <v>199</v>
      </c>
      <c r="L110" s="123" t="s">
        <v>22</v>
      </c>
      <c r="M110" s="123" t="s">
        <v>20</v>
      </c>
      <c r="N110" s="123" t="s">
        <v>35</v>
      </c>
    </row>
    <row r="111" spans="1:14" ht="15.75">
      <c r="A111" s="44"/>
      <c r="B111" s="2" t="s">
        <v>170</v>
      </c>
      <c r="C111" s="5">
        <v>0.28270000000000001</v>
      </c>
      <c r="D111" s="5">
        <v>0.3</v>
      </c>
      <c r="E111" s="141" t="s">
        <v>188</v>
      </c>
      <c r="F111" s="142" t="s">
        <v>188</v>
      </c>
      <c r="G111" s="142" t="s">
        <v>188</v>
      </c>
      <c r="H111" s="199"/>
      <c r="I111" s="154" t="s">
        <v>188</v>
      </c>
      <c r="J111" s="153" t="s">
        <v>188</v>
      </c>
      <c r="K111" s="153" t="s">
        <v>188</v>
      </c>
      <c r="L111" s="142" t="s">
        <v>188</v>
      </c>
      <c r="M111" s="142" t="s">
        <v>188</v>
      </c>
      <c r="N111" s="142" t="s">
        <v>188</v>
      </c>
    </row>
    <row r="112" spans="1:14" ht="57">
      <c r="A112" s="44"/>
      <c r="B112" s="2" t="s">
        <v>139</v>
      </c>
      <c r="C112" s="5">
        <v>3.2599999999999997E-2</v>
      </c>
      <c r="D112" s="5">
        <v>0.06</v>
      </c>
      <c r="E112" s="6" t="s">
        <v>23</v>
      </c>
      <c r="F112" s="7" t="s">
        <v>58</v>
      </c>
      <c r="G112" s="6" t="s">
        <v>221</v>
      </c>
      <c r="H112" s="199"/>
      <c r="I112" s="2" t="s">
        <v>231</v>
      </c>
      <c r="J112" s="5">
        <v>2.5999999999999999E-2</v>
      </c>
      <c r="K112" s="5">
        <v>0.06</v>
      </c>
      <c r="L112" s="6" t="s">
        <v>23</v>
      </c>
      <c r="M112" s="7" t="s">
        <v>58</v>
      </c>
      <c r="N112" s="6" t="s">
        <v>221</v>
      </c>
    </row>
    <row r="113" spans="1:14">
      <c r="A113" s="45"/>
      <c r="B113" s="2" t="s">
        <v>2</v>
      </c>
      <c r="C113" s="3">
        <v>0.152</v>
      </c>
      <c r="D113" s="3">
        <v>0.15</v>
      </c>
      <c r="E113" s="1" t="s">
        <v>24</v>
      </c>
      <c r="F113" s="4" t="s">
        <v>52</v>
      </c>
      <c r="G113" s="1" t="s">
        <v>14</v>
      </c>
      <c r="H113" s="199"/>
      <c r="I113" s="2" t="s">
        <v>2</v>
      </c>
      <c r="J113" s="3">
        <v>0.25390000000000001</v>
      </c>
      <c r="K113" s="3">
        <v>0.25</v>
      </c>
      <c r="L113" s="1" t="s">
        <v>24</v>
      </c>
      <c r="M113" s="4" t="s">
        <v>54</v>
      </c>
      <c r="N113" s="1" t="s">
        <v>14</v>
      </c>
    </row>
    <row r="114" spans="1:14" ht="28.5">
      <c r="A114" s="46"/>
      <c r="B114" s="70" t="s">
        <v>138</v>
      </c>
      <c r="C114" s="3">
        <v>0.47239999999999999</v>
      </c>
      <c r="D114" s="3">
        <v>0.5</v>
      </c>
      <c r="E114" s="1" t="s">
        <v>23</v>
      </c>
      <c r="F114" s="4" t="s">
        <v>91</v>
      </c>
      <c r="G114" s="1" t="s">
        <v>15</v>
      </c>
      <c r="H114" s="199"/>
      <c r="I114" s="2" t="s">
        <v>138</v>
      </c>
      <c r="J114" s="3">
        <v>0.66200000000000003</v>
      </c>
      <c r="K114" s="3">
        <v>0.7</v>
      </c>
      <c r="L114" s="1" t="s">
        <v>23</v>
      </c>
      <c r="M114" s="4" t="s">
        <v>86</v>
      </c>
      <c r="N114" s="1" t="s">
        <v>15</v>
      </c>
    </row>
    <row r="115" spans="1:14">
      <c r="A115" s="46"/>
      <c r="B115" s="2" t="s">
        <v>12</v>
      </c>
      <c r="C115" s="3">
        <v>6.3299999999999995E-2</v>
      </c>
      <c r="D115" s="3">
        <v>0.1</v>
      </c>
      <c r="E115" s="1" t="s">
        <v>24</v>
      </c>
      <c r="F115" s="9" t="s">
        <v>49</v>
      </c>
      <c r="G115" s="9" t="s">
        <v>18</v>
      </c>
      <c r="H115" s="199"/>
      <c r="I115" s="2" t="s">
        <v>12</v>
      </c>
      <c r="J115" s="3">
        <v>5.8099999999999999E-2</v>
      </c>
      <c r="K115" s="3">
        <v>0.05</v>
      </c>
      <c r="L115" s="1" t="s">
        <v>24</v>
      </c>
      <c r="M115" s="9" t="s">
        <v>51</v>
      </c>
      <c r="N115" s="9" t="s">
        <v>18</v>
      </c>
    </row>
    <row r="116" spans="1:14" ht="15">
      <c r="A116" s="46"/>
      <c r="B116" s="27" t="s">
        <v>5</v>
      </c>
      <c r="C116" s="28">
        <f>SUBTOTAL(109,C111:C115)</f>
        <v>1.0029999999999999</v>
      </c>
      <c r="D116" s="28">
        <f>SUBTOTAL(109,D111:D115)</f>
        <v>1.1100000000000001</v>
      </c>
      <c r="E116" s="119" t="s">
        <v>188</v>
      </c>
      <c r="F116" s="120" t="s">
        <v>188</v>
      </c>
      <c r="G116" s="114" t="s">
        <v>188</v>
      </c>
      <c r="H116" s="199"/>
      <c r="I116" s="27" t="s">
        <v>5</v>
      </c>
      <c r="J116" s="28">
        <f>SUBTOTAL(109,J111:J115)</f>
        <v>1</v>
      </c>
      <c r="K116" s="28">
        <f>SUBTOTAL(109,K111:K115)</f>
        <v>1.06</v>
      </c>
      <c r="L116" s="120" t="s">
        <v>188</v>
      </c>
      <c r="M116" s="120" t="s">
        <v>188</v>
      </c>
      <c r="N116" s="114" t="s">
        <v>188</v>
      </c>
    </row>
    <row r="117" spans="1:14">
      <c r="A117" s="46"/>
      <c r="B117" s="2" t="s">
        <v>6</v>
      </c>
      <c r="C117" s="11">
        <v>3.3700000000000001E-2</v>
      </c>
      <c r="D117" s="11">
        <v>0.06</v>
      </c>
      <c r="E117" s="1" t="s">
        <v>23</v>
      </c>
      <c r="F117" s="9" t="s">
        <v>58</v>
      </c>
      <c r="G117" s="1" t="s">
        <v>19</v>
      </c>
      <c r="H117" s="199"/>
      <c r="I117" s="2" t="s">
        <v>6</v>
      </c>
      <c r="J117" s="11">
        <v>3.73E-2</v>
      </c>
      <c r="K117" s="11">
        <v>0.08</v>
      </c>
      <c r="L117" s="1" t="s">
        <v>23</v>
      </c>
      <c r="M117" s="9" t="s">
        <v>59</v>
      </c>
      <c r="N117" s="1" t="s">
        <v>19</v>
      </c>
    </row>
    <row r="118" spans="1:14" ht="30">
      <c r="A118" s="46"/>
      <c r="B118" s="108" t="s">
        <v>228</v>
      </c>
      <c r="C118" s="12">
        <v>1.5E-3</v>
      </c>
      <c r="D118" s="136" t="s">
        <v>188</v>
      </c>
      <c r="E118" s="137" t="s">
        <v>188</v>
      </c>
      <c r="F118" s="138" t="s">
        <v>188</v>
      </c>
      <c r="G118" s="169" t="s">
        <v>188</v>
      </c>
      <c r="H118" s="199"/>
      <c r="I118" s="108" t="s">
        <v>228</v>
      </c>
      <c r="J118" s="12">
        <v>1.5E-3</v>
      </c>
      <c r="K118" s="136" t="s">
        <v>188</v>
      </c>
      <c r="L118" s="138" t="s">
        <v>188</v>
      </c>
      <c r="M118" s="138" t="s">
        <v>188</v>
      </c>
      <c r="N118" s="169" t="s">
        <v>188</v>
      </c>
    </row>
    <row r="119" spans="1:14" ht="21" customHeight="1">
      <c r="A119" s="71"/>
      <c r="B119" s="73"/>
      <c r="C119" s="74"/>
      <c r="D119" s="75"/>
      <c r="E119" s="74"/>
      <c r="F119" s="74"/>
      <c r="G119" s="171"/>
      <c r="H119" s="195"/>
      <c r="I119" s="77"/>
      <c r="J119" s="78"/>
      <c r="K119" s="79"/>
      <c r="L119" s="78"/>
      <c r="M119" s="78"/>
      <c r="N119" s="172"/>
    </row>
    <row r="120" spans="1:14" ht="51.75" customHeight="1">
      <c r="A120" s="47" t="s">
        <v>93</v>
      </c>
      <c r="B120" s="37" t="s">
        <v>157</v>
      </c>
      <c r="C120" s="38"/>
      <c r="D120" s="39"/>
      <c r="E120" s="83"/>
      <c r="F120" s="38"/>
      <c r="G120" s="168"/>
      <c r="H120" s="200" t="s">
        <v>93</v>
      </c>
      <c r="I120" s="37" t="s">
        <v>158</v>
      </c>
      <c r="J120" s="38"/>
      <c r="K120" s="39"/>
      <c r="L120" s="40"/>
      <c r="M120" s="38"/>
      <c r="N120" s="168"/>
    </row>
    <row r="121" spans="1:14" ht="51.75" customHeight="1">
      <c r="A121" s="48"/>
      <c r="B121" s="121" t="s">
        <v>0</v>
      </c>
      <c r="C121" s="122" t="s">
        <v>223</v>
      </c>
      <c r="D121" s="122" t="s">
        <v>199</v>
      </c>
      <c r="E121" s="123" t="s">
        <v>22</v>
      </c>
      <c r="F121" s="123" t="s">
        <v>20</v>
      </c>
      <c r="G121" s="123" t="s">
        <v>35</v>
      </c>
      <c r="H121" s="201"/>
      <c r="I121" s="121" t="s">
        <v>0</v>
      </c>
      <c r="J121" s="122" t="s">
        <v>223</v>
      </c>
      <c r="K121" s="122" t="s">
        <v>199</v>
      </c>
      <c r="L121" s="123" t="s">
        <v>22</v>
      </c>
      <c r="M121" s="123" t="s">
        <v>20</v>
      </c>
      <c r="N121" s="123" t="s">
        <v>35</v>
      </c>
    </row>
    <row r="122" spans="1:14" ht="15.75">
      <c r="A122" s="48"/>
      <c r="B122" s="106" t="s">
        <v>170</v>
      </c>
      <c r="C122" s="5" t="s">
        <v>236</v>
      </c>
      <c r="D122" s="5" t="s">
        <v>196</v>
      </c>
      <c r="E122" s="141" t="s">
        <v>188</v>
      </c>
      <c r="F122" s="142" t="s">
        <v>189</v>
      </c>
      <c r="G122" s="142" t="s">
        <v>197</v>
      </c>
      <c r="H122" s="201"/>
      <c r="I122" s="152" t="s">
        <v>188</v>
      </c>
      <c r="J122" s="153" t="s">
        <v>188</v>
      </c>
      <c r="K122" s="153" t="s">
        <v>188</v>
      </c>
      <c r="L122" s="142" t="s">
        <v>188</v>
      </c>
      <c r="M122" s="142" t="s">
        <v>188</v>
      </c>
      <c r="N122" s="142" t="s">
        <v>188</v>
      </c>
    </row>
    <row r="123" spans="1:14" ht="28.5">
      <c r="A123" s="48"/>
      <c r="B123" s="106" t="s">
        <v>139</v>
      </c>
      <c r="C123" s="5">
        <v>0.35039999999999999</v>
      </c>
      <c r="D123" s="5">
        <v>0.35</v>
      </c>
      <c r="E123" s="6" t="s">
        <v>23</v>
      </c>
      <c r="F123" s="7" t="s">
        <v>118</v>
      </c>
      <c r="G123" s="53" t="s">
        <v>27</v>
      </c>
      <c r="H123" s="201"/>
      <c r="I123" s="106" t="s">
        <v>231</v>
      </c>
      <c r="J123" s="5">
        <v>0.48180000000000001</v>
      </c>
      <c r="K123" s="5">
        <v>0.46</v>
      </c>
      <c r="L123" s="6" t="s">
        <v>23</v>
      </c>
      <c r="M123" s="7" t="s">
        <v>48</v>
      </c>
      <c r="N123" s="53" t="s">
        <v>27</v>
      </c>
    </row>
    <row r="124" spans="1:14">
      <c r="A124" s="48"/>
      <c r="B124" s="106" t="s">
        <v>2</v>
      </c>
      <c r="C124" s="3">
        <v>0.1638</v>
      </c>
      <c r="D124" s="3">
        <v>0.2</v>
      </c>
      <c r="E124" s="1" t="s">
        <v>24</v>
      </c>
      <c r="F124" s="4" t="s">
        <v>132</v>
      </c>
      <c r="G124" s="9" t="s">
        <v>28</v>
      </c>
      <c r="H124" s="202"/>
      <c r="I124" s="106" t="s">
        <v>2</v>
      </c>
      <c r="J124" s="3">
        <v>0.23130000000000001</v>
      </c>
      <c r="K124" s="3">
        <v>0.2</v>
      </c>
      <c r="L124" s="1" t="s">
        <v>24</v>
      </c>
      <c r="M124" s="4" t="s">
        <v>132</v>
      </c>
      <c r="N124" s="9" t="s">
        <v>28</v>
      </c>
    </row>
    <row r="125" spans="1:14" ht="28.5">
      <c r="A125" s="48"/>
      <c r="B125" s="107" t="s">
        <v>138</v>
      </c>
      <c r="C125" s="3">
        <v>0.223</v>
      </c>
      <c r="D125" s="3">
        <v>0.2</v>
      </c>
      <c r="E125" s="1" t="s">
        <v>23</v>
      </c>
      <c r="F125" s="4" t="s">
        <v>64</v>
      </c>
      <c r="G125" s="9" t="s">
        <v>182</v>
      </c>
      <c r="H125" s="201"/>
      <c r="I125" s="106" t="s">
        <v>138</v>
      </c>
      <c r="J125" s="3">
        <v>0.29930000000000001</v>
      </c>
      <c r="K125" s="3">
        <v>0.33</v>
      </c>
      <c r="L125" s="1" t="s">
        <v>23</v>
      </c>
      <c r="M125" s="4" t="s">
        <v>78</v>
      </c>
      <c r="N125" s="9" t="s">
        <v>182</v>
      </c>
    </row>
    <row r="126" spans="1:14">
      <c r="A126" s="50"/>
      <c r="B126" s="106" t="s">
        <v>12</v>
      </c>
      <c r="C126" s="3">
        <v>0.1517</v>
      </c>
      <c r="D126" s="3">
        <v>0.15</v>
      </c>
      <c r="E126" s="1" t="s">
        <v>24</v>
      </c>
      <c r="F126" s="9" t="s">
        <v>52</v>
      </c>
      <c r="G126" s="9" t="s">
        <v>18</v>
      </c>
      <c r="H126" s="201"/>
      <c r="I126" s="106" t="s">
        <v>12</v>
      </c>
      <c r="J126" s="3">
        <v>0.14000000000000001</v>
      </c>
      <c r="K126" s="3">
        <v>0.1</v>
      </c>
      <c r="L126" s="1" t="s">
        <v>24</v>
      </c>
      <c r="M126" s="9" t="s">
        <v>49</v>
      </c>
      <c r="N126" s="9" t="s">
        <v>18</v>
      </c>
    </row>
    <row r="127" spans="1:14" ht="15">
      <c r="A127" s="50"/>
      <c r="B127" s="108" t="s">
        <v>5</v>
      </c>
      <c r="C127" s="28">
        <f>SUBTOTAL(109,C122:C126)</f>
        <v>0.88890000000000002</v>
      </c>
      <c r="D127" s="28">
        <f>SUBTOTAL(109,D122:D126)</f>
        <v>0.9</v>
      </c>
      <c r="E127" s="119" t="s">
        <v>188</v>
      </c>
      <c r="F127" s="120" t="s">
        <v>188</v>
      </c>
      <c r="G127" s="114" t="s">
        <v>188</v>
      </c>
      <c r="H127" s="201"/>
      <c r="I127" s="108" t="s">
        <v>5</v>
      </c>
      <c r="J127" s="28">
        <f>SUBTOTAL(109,J122:J126)</f>
        <v>1.1524000000000001</v>
      </c>
      <c r="K127" s="28">
        <f>SUBTOTAL(109,K122:K126)</f>
        <v>1.0900000000000001</v>
      </c>
      <c r="L127" s="120" t="s">
        <v>188</v>
      </c>
      <c r="M127" s="120" t="s">
        <v>188</v>
      </c>
      <c r="N127" s="114" t="s">
        <v>188</v>
      </c>
    </row>
    <row r="128" spans="1:14">
      <c r="A128" s="50"/>
      <c r="B128" s="106" t="s">
        <v>6</v>
      </c>
      <c r="C128" s="11">
        <v>0.69440000000000002</v>
      </c>
      <c r="D128" s="11">
        <v>0.64</v>
      </c>
      <c r="E128" s="1" t="s">
        <v>23</v>
      </c>
      <c r="F128" s="9" t="s">
        <v>183</v>
      </c>
      <c r="G128" s="9" t="s">
        <v>19</v>
      </c>
      <c r="H128" s="201"/>
      <c r="I128" s="106" t="s">
        <v>6</v>
      </c>
      <c r="J128" s="11">
        <v>0.99019999999999997</v>
      </c>
      <c r="K128" s="11">
        <v>0.94</v>
      </c>
      <c r="L128" s="1" t="s">
        <v>23</v>
      </c>
      <c r="M128" s="9" t="s">
        <v>98</v>
      </c>
      <c r="N128" s="9" t="s">
        <v>19</v>
      </c>
    </row>
    <row r="129" spans="1:14" ht="30">
      <c r="A129" s="50"/>
      <c r="B129" s="108" t="s">
        <v>228</v>
      </c>
      <c r="C129" s="12">
        <v>4.0000000000000001E-3</v>
      </c>
      <c r="D129" s="136" t="s">
        <v>188</v>
      </c>
      <c r="E129" s="137" t="s">
        <v>188</v>
      </c>
      <c r="F129" s="138" t="s">
        <v>188</v>
      </c>
      <c r="G129" s="169" t="s">
        <v>188</v>
      </c>
      <c r="H129" s="201"/>
      <c r="I129" s="108" t="s">
        <v>228</v>
      </c>
      <c r="J129" s="12">
        <v>4.0000000000000001E-3</v>
      </c>
      <c r="K129" s="136" t="s">
        <v>188</v>
      </c>
      <c r="L129" s="138" t="s">
        <v>188</v>
      </c>
      <c r="M129" s="138" t="s">
        <v>188</v>
      </c>
      <c r="N129" s="169" t="s">
        <v>188</v>
      </c>
    </row>
    <row r="130" spans="1:14" ht="21" customHeight="1">
      <c r="A130" s="71"/>
      <c r="B130" s="73"/>
      <c r="C130" s="74"/>
      <c r="D130" s="75"/>
      <c r="E130" s="74"/>
      <c r="F130" s="74"/>
      <c r="G130" s="171"/>
      <c r="H130" s="195"/>
      <c r="I130" s="77"/>
      <c r="J130" s="78"/>
      <c r="K130" s="79"/>
      <c r="L130" s="78"/>
      <c r="M130" s="78"/>
      <c r="N130" s="172"/>
    </row>
    <row r="131" spans="1:14" ht="51.75" customHeight="1">
      <c r="A131" s="47" t="s">
        <v>100</v>
      </c>
      <c r="B131" s="37" t="s">
        <v>159</v>
      </c>
      <c r="C131" s="38"/>
      <c r="D131" s="39"/>
      <c r="E131" s="83"/>
      <c r="F131" s="38"/>
      <c r="G131" s="168"/>
      <c r="H131" s="200" t="s">
        <v>100</v>
      </c>
      <c r="I131" s="37" t="s">
        <v>160</v>
      </c>
      <c r="J131" s="38"/>
      <c r="K131" s="39"/>
      <c r="L131" s="40"/>
      <c r="M131" s="38"/>
      <c r="N131" s="168"/>
    </row>
    <row r="132" spans="1:14" ht="51.75" customHeight="1">
      <c r="A132" s="50"/>
      <c r="B132" s="121" t="s">
        <v>0</v>
      </c>
      <c r="C132" s="122" t="s">
        <v>223</v>
      </c>
      <c r="D132" s="122" t="s">
        <v>199</v>
      </c>
      <c r="E132" s="123" t="s">
        <v>22</v>
      </c>
      <c r="F132" s="123" t="s">
        <v>20</v>
      </c>
      <c r="G132" s="123" t="s">
        <v>35</v>
      </c>
      <c r="H132" s="201"/>
      <c r="I132" s="121" t="s">
        <v>0</v>
      </c>
      <c r="J132" s="122" t="s">
        <v>223</v>
      </c>
      <c r="K132" s="122" t="s">
        <v>199</v>
      </c>
      <c r="L132" s="123" t="s">
        <v>22</v>
      </c>
      <c r="M132" s="123" t="s">
        <v>20</v>
      </c>
      <c r="N132" s="123" t="s">
        <v>35</v>
      </c>
    </row>
    <row r="133" spans="1:14" ht="15.75">
      <c r="A133" s="50"/>
      <c r="B133" s="106" t="s">
        <v>170</v>
      </c>
      <c r="C133" s="5" t="s">
        <v>237</v>
      </c>
      <c r="D133" s="5" t="s">
        <v>196</v>
      </c>
      <c r="E133" s="141" t="s">
        <v>188</v>
      </c>
      <c r="F133" s="142" t="s">
        <v>189</v>
      </c>
      <c r="G133" s="142" t="s">
        <v>197</v>
      </c>
      <c r="H133" s="201"/>
      <c r="I133" s="152" t="s">
        <v>188</v>
      </c>
      <c r="J133" s="153" t="s">
        <v>188</v>
      </c>
      <c r="K133" s="153" t="s">
        <v>188</v>
      </c>
      <c r="L133" s="142" t="s">
        <v>188</v>
      </c>
      <c r="M133" s="142" t="s">
        <v>188</v>
      </c>
      <c r="N133" s="142" t="s">
        <v>188</v>
      </c>
    </row>
    <row r="134" spans="1:14" ht="28.5">
      <c r="A134" s="50"/>
      <c r="B134" s="106" t="s">
        <v>139</v>
      </c>
      <c r="C134" s="5">
        <v>0.69910000000000005</v>
      </c>
      <c r="D134" s="5">
        <v>0.64</v>
      </c>
      <c r="E134" s="6" t="s">
        <v>23</v>
      </c>
      <c r="F134" s="7" t="s">
        <v>183</v>
      </c>
      <c r="G134" s="53" t="s">
        <v>27</v>
      </c>
      <c r="H134" s="201"/>
      <c r="I134" s="106" t="s">
        <v>231</v>
      </c>
      <c r="J134" s="5">
        <v>0.99519999999999997</v>
      </c>
      <c r="K134" s="5">
        <v>0.94</v>
      </c>
      <c r="L134" s="6" t="s">
        <v>23</v>
      </c>
      <c r="M134" s="7" t="s">
        <v>98</v>
      </c>
      <c r="N134" s="53" t="s">
        <v>27</v>
      </c>
    </row>
    <row r="135" spans="1:14">
      <c r="A135" s="49"/>
      <c r="B135" s="106" t="s">
        <v>2</v>
      </c>
      <c r="C135" s="3">
        <v>0.2878</v>
      </c>
      <c r="D135" s="3">
        <v>0.25</v>
      </c>
      <c r="E135" s="1" t="s">
        <v>24</v>
      </c>
      <c r="F135" s="4" t="s">
        <v>190</v>
      </c>
      <c r="G135" s="9" t="s">
        <v>14</v>
      </c>
      <c r="H135" s="202"/>
      <c r="I135" s="106" t="s">
        <v>2</v>
      </c>
      <c r="J135" s="3">
        <v>0.218</v>
      </c>
      <c r="K135" s="3">
        <v>0.25</v>
      </c>
      <c r="L135" s="1" t="s">
        <v>24</v>
      </c>
      <c r="M135" s="4" t="s">
        <v>54</v>
      </c>
      <c r="N135" s="9" t="s">
        <v>14</v>
      </c>
    </row>
    <row r="136" spans="1:14" ht="28.5">
      <c r="A136" s="50"/>
      <c r="B136" s="107" t="s">
        <v>138</v>
      </c>
      <c r="C136" s="3">
        <v>0</v>
      </c>
      <c r="D136" s="115" t="s">
        <v>188</v>
      </c>
      <c r="E136" s="1" t="s">
        <v>23</v>
      </c>
      <c r="F136" s="115" t="s">
        <v>250</v>
      </c>
      <c r="G136" s="131" t="s">
        <v>188</v>
      </c>
      <c r="H136" s="201"/>
      <c r="I136" s="106" t="s">
        <v>138</v>
      </c>
      <c r="J136" s="3">
        <v>0</v>
      </c>
      <c r="K136" s="115" t="s">
        <v>188</v>
      </c>
      <c r="L136" s="1" t="s">
        <v>23</v>
      </c>
      <c r="M136" s="115" t="s">
        <v>250</v>
      </c>
      <c r="N136" s="131" t="s">
        <v>188</v>
      </c>
    </row>
    <row r="137" spans="1:14">
      <c r="A137" s="50"/>
      <c r="B137" s="106" t="s">
        <v>12</v>
      </c>
      <c r="C137" s="3">
        <v>0.1827</v>
      </c>
      <c r="D137" s="3">
        <v>0.15</v>
      </c>
      <c r="E137" s="1" t="s">
        <v>24</v>
      </c>
      <c r="F137" s="9" t="s">
        <v>52</v>
      </c>
      <c r="G137" s="9" t="s">
        <v>18</v>
      </c>
      <c r="H137" s="201"/>
      <c r="I137" s="106" t="s">
        <v>12</v>
      </c>
      <c r="J137" s="3">
        <v>0.14929999999999999</v>
      </c>
      <c r="K137" s="3">
        <v>0.15</v>
      </c>
      <c r="L137" s="1" t="s">
        <v>24</v>
      </c>
      <c r="M137" s="9" t="s">
        <v>52</v>
      </c>
      <c r="N137" s="9" t="s">
        <v>18</v>
      </c>
    </row>
    <row r="138" spans="1:14" ht="15">
      <c r="A138" s="50"/>
      <c r="B138" s="108" t="s">
        <v>5</v>
      </c>
      <c r="C138" s="28">
        <f>SUBTOTAL(109,C133:C137)</f>
        <v>1.1696000000000002</v>
      </c>
      <c r="D138" s="28">
        <f>SUBTOTAL(109,D133:D137)</f>
        <v>1.04</v>
      </c>
      <c r="E138" s="119" t="s">
        <v>188</v>
      </c>
      <c r="F138" s="120" t="s">
        <v>188</v>
      </c>
      <c r="G138" s="114" t="s">
        <v>188</v>
      </c>
      <c r="H138" s="201"/>
      <c r="I138" s="108" t="s">
        <v>5</v>
      </c>
      <c r="J138" s="28">
        <f>SUBTOTAL(109,J133:J137)</f>
        <v>1.3625</v>
      </c>
      <c r="K138" s="28">
        <f>SUBTOTAL(109,K133:K137)</f>
        <v>1.3399999999999999</v>
      </c>
      <c r="L138" s="120" t="s">
        <v>188</v>
      </c>
      <c r="M138" s="120" t="s">
        <v>188</v>
      </c>
      <c r="N138" s="114" t="s">
        <v>188</v>
      </c>
    </row>
    <row r="139" spans="1:14">
      <c r="A139" s="50"/>
      <c r="B139" s="106" t="s">
        <v>6</v>
      </c>
      <c r="C139" s="11">
        <v>0.69799999999999995</v>
      </c>
      <c r="D139" s="11">
        <v>0.64</v>
      </c>
      <c r="E139" s="1" t="s">
        <v>23</v>
      </c>
      <c r="F139" s="9" t="s">
        <v>183</v>
      </c>
      <c r="G139" s="9" t="s">
        <v>19</v>
      </c>
      <c r="H139" s="201"/>
      <c r="I139" s="106" t="s">
        <v>6</v>
      </c>
      <c r="J139" s="11">
        <v>0.996</v>
      </c>
      <c r="K139" s="11">
        <v>0.94</v>
      </c>
      <c r="L139" s="1" t="s">
        <v>23</v>
      </c>
      <c r="M139" s="9" t="s">
        <v>98</v>
      </c>
      <c r="N139" s="9" t="s">
        <v>19</v>
      </c>
    </row>
    <row r="140" spans="1:14" ht="30">
      <c r="A140" s="50"/>
      <c r="B140" s="108" t="s">
        <v>137</v>
      </c>
      <c r="C140" s="12">
        <v>2E-3</v>
      </c>
      <c r="D140" s="136" t="s">
        <v>188</v>
      </c>
      <c r="E140" s="137" t="s">
        <v>188</v>
      </c>
      <c r="F140" s="138" t="s">
        <v>188</v>
      </c>
      <c r="G140" s="169" t="s">
        <v>188</v>
      </c>
      <c r="H140" s="201"/>
      <c r="I140" s="108" t="s">
        <v>137</v>
      </c>
      <c r="J140" s="12">
        <v>2E-3</v>
      </c>
      <c r="K140" s="136" t="s">
        <v>188</v>
      </c>
      <c r="L140" s="138" t="s">
        <v>188</v>
      </c>
      <c r="M140" s="138" t="s">
        <v>188</v>
      </c>
      <c r="N140" s="169" t="s">
        <v>188</v>
      </c>
    </row>
    <row r="141" spans="1:14" ht="21" customHeight="1">
      <c r="A141" s="71"/>
      <c r="B141" s="73"/>
      <c r="C141" s="74"/>
      <c r="D141" s="75"/>
      <c r="E141" s="74"/>
      <c r="F141" s="74"/>
      <c r="G141" s="171"/>
      <c r="H141" s="195"/>
      <c r="I141" s="77"/>
      <c r="J141" s="78"/>
      <c r="K141" s="79"/>
      <c r="L141" s="78"/>
      <c r="M141" s="78"/>
      <c r="N141" s="172"/>
    </row>
    <row r="142" spans="1:14" ht="51.75" customHeight="1">
      <c r="A142" s="47" t="s">
        <v>104</v>
      </c>
      <c r="B142" s="37" t="s">
        <v>161</v>
      </c>
      <c r="C142" s="38"/>
      <c r="D142" s="39"/>
      <c r="E142" s="83"/>
      <c r="F142" s="38"/>
      <c r="G142" s="168"/>
      <c r="H142" s="200" t="s">
        <v>104</v>
      </c>
      <c r="I142" s="37" t="s">
        <v>162</v>
      </c>
      <c r="J142" s="38"/>
      <c r="K142" s="39"/>
      <c r="L142" s="40"/>
      <c r="M142" s="38"/>
      <c r="N142" s="168"/>
    </row>
    <row r="143" spans="1:14" ht="51.75" customHeight="1">
      <c r="A143" s="48"/>
      <c r="B143" s="121" t="s">
        <v>0</v>
      </c>
      <c r="C143" s="122" t="s">
        <v>223</v>
      </c>
      <c r="D143" s="122" t="s">
        <v>199</v>
      </c>
      <c r="E143" s="123" t="s">
        <v>22</v>
      </c>
      <c r="F143" s="123" t="s">
        <v>20</v>
      </c>
      <c r="G143" s="123" t="s">
        <v>35</v>
      </c>
      <c r="H143" s="201"/>
      <c r="I143" s="121" t="s">
        <v>0</v>
      </c>
      <c r="J143" s="122" t="s">
        <v>223</v>
      </c>
      <c r="K143" s="122" t="s">
        <v>199</v>
      </c>
      <c r="L143" s="123" t="s">
        <v>22</v>
      </c>
      <c r="M143" s="123" t="s">
        <v>20</v>
      </c>
      <c r="N143" s="123" t="s">
        <v>35</v>
      </c>
    </row>
    <row r="144" spans="1:14" ht="15.75">
      <c r="A144" s="48"/>
      <c r="B144" s="106" t="s">
        <v>170</v>
      </c>
      <c r="C144" s="3">
        <v>0.3085</v>
      </c>
      <c r="D144" s="3">
        <v>0.3</v>
      </c>
      <c r="E144" s="141" t="s">
        <v>188</v>
      </c>
      <c r="F144" s="142" t="s">
        <v>188</v>
      </c>
      <c r="G144" s="142" t="s">
        <v>188</v>
      </c>
      <c r="H144" s="201"/>
      <c r="I144" s="152" t="s">
        <v>188</v>
      </c>
      <c r="J144" s="153" t="s">
        <v>188</v>
      </c>
      <c r="K144" s="153" t="s">
        <v>188</v>
      </c>
      <c r="L144" s="142" t="s">
        <v>188</v>
      </c>
      <c r="M144" s="142" t="s">
        <v>188</v>
      </c>
      <c r="N144" s="142" t="s">
        <v>188</v>
      </c>
    </row>
    <row r="145" spans="1:14" ht="28.5">
      <c r="A145" s="48"/>
      <c r="B145" s="106" t="s">
        <v>139</v>
      </c>
      <c r="C145" s="155">
        <v>0</v>
      </c>
      <c r="D145" s="155" t="s">
        <v>188</v>
      </c>
      <c r="E145" s="6" t="s">
        <v>23</v>
      </c>
      <c r="F145" s="155" t="s">
        <v>188</v>
      </c>
      <c r="G145" s="145" t="s">
        <v>188</v>
      </c>
      <c r="H145" s="201"/>
      <c r="I145" s="106" t="s">
        <v>231</v>
      </c>
      <c r="J145" s="155" t="s">
        <v>188</v>
      </c>
      <c r="K145" s="155" t="s">
        <v>188</v>
      </c>
      <c r="L145" s="6" t="s">
        <v>23</v>
      </c>
      <c r="M145" s="155" t="s">
        <v>188</v>
      </c>
      <c r="N145" s="145" t="s">
        <v>188</v>
      </c>
    </row>
    <row r="146" spans="1:14">
      <c r="A146" s="48"/>
      <c r="B146" s="106" t="s">
        <v>2</v>
      </c>
      <c r="C146" s="3">
        <v>0.20760000000000001</v>
      </c>
      <c r="D146" s="3">
        <v>0.25</v>
      </c>
      <c r="E146" s="1" t="s">
        <v>24</v>
      </c>
      <c r="F146" s="4" t="s">
        <v>54</v>
      </c>
      <c r="G146" s="1" t="s">
        <v>28</v>
      </c>
      <c r="H146" s="202"/>
      <c r="I146" s="106" t="s">
        <v>2</v>
      </c>
      <c r="J146" s="3">
        <v>0.25409999999999999</v>
      </c>
      <c r="K146" s="5">
        <v>0.3</v>
      </c>
      <c r="L146" s="1" t="s">
        <v>24</v>
      </c>
      <c r="M146" s="4" t="s">
        <v>60</v>
      </c>
      <c r="N146" s="1" t="s">
        <v>28</v>
      </c>
    </row>
    <row r="147" spans="1:14" ht="28.5">
      <c r="A147" s="50"/>
      <c r="B147" s="107" t="s">
        <v>138</v>
      </c>
      <c r="C147" s="3">
        <v>0.47099999999999997</v>
      </c>
      <c r="D147" s="3">
        <v>0.5</v>
      </c>
      <c r="E147" s="1" t="s">
        <v>23</v>
      </c>
      <c r="F147" s="4" t="s">
        <v>91</v>
      </c>
      <c r="G147" s="9" t="s">
        <v>182</v>
      </c>
      <c r="H147" s="201"/>
      <c r="I147" s="156" t="s">
        <v>138</v>
      </c>
      <c r="J147" s="3">
        <v>0.65790000000000004</v>
      </c>
      <c r="K147" s="5">
        <v>0.7</v>
      </c>
      <c r="L147" s="105" t="s">
        <v>23</v>
      </c>
      <c r="M147" s="4" t="s">
        <v>86</v>
      </c>
      <c r="N147" s="4" t="s">
        <v>182</v>
      </c>
    </row>
    <row r="148" spans="1:14">
      <c r="A148" s="50"/>
      <c r="B148" s="106" t="s">
        <v>12</v>
      </c>
      <c r="C148" s="3">
        <v>6.3E-3</v>
      </c>
      <c r="D148" s="3">
        <v>0.3</v>
      </c>
      <c r="E148" s="1" t="s">
        <v>24</v>
      </c>
      <c r="F148" s="9" t="s">
        <v>233</v>
      </c>
      <c r="G148" s="1" t="s">
        <v>18</v>
      </c>
      <c r="H148" s="201"/>
      <c r="I148" s="156" t="s">
        <v>12</v>
      </c>
      <c r="J148" s="3">
        <v>8.8900000000000007E-2</v>
      </c>
      <c r="K148" s="5">
        <v>0.3</v>
      </c>
      <c r="L148" s="105" t="s">
        <v>24</v>
      </c>
      <c r="M148" s="9" t="s">
        <v>233</v>
      </c>
      <c r="N148" s="105" t="s">
        <v>18</v>
      </c>
    </row>
    <row r="149" spans="1:14" ht="15">
      <c r="A149" s="50"/>
      <c r="B149" s="108" t="s">
        <v>5</v>
      </c>
      <c r="C149" s="101">
        <f>SUBTOTAL(109,C144:C148)</f>
        <v>0.99339999999999995</v>
      </c>
      <c r="D149" s="101">
        <f>SUBTOTAL(109,D144:D148)</f>
        <v>1.35</v>
      </c>
      <c r="E149" s="119" t="s">
        <v>188</v>
      </c>
      <c r="F149" s="120" t="s">
        <v>188</v>
      </c>
      <c r="G149" s="113" t="s">
        <v>188</v>
      </c>
      <c r="H149" s="201"/>
      <c r="I149" s="108" t="s">
        <v>5</v>
      </c>
      <c r="J149" s="28">
        <f>SUBTOTAL(109,J144:J148)</f>
        <v>1.0009000000000001</v>
      </c>
      <c r="K149" s="28">
        <f>SUBTOTAL(109,K144:K148)</f>
        <v>1.3</v>
      </c>
      <c r="L149" s="120" t="s">
        <v>188</v>
      </c>
      <c r="M149" s="120" t="s">
        <v>188</v>
      </c>
      <c r="N149" s="113" t="s">
        <v>188</v>
      </c>
    </row>
    <row r="150" spans="1:14">
      <c r="A150" s="50"/>
      <c r="B150" s="106" t="s">
        <v>6</v>
      </c>
      <c r="C150" s="11">
        <v>0.69679999999999997</v>
      </c>
      <c r="D150" s="11">
        <v>0.64</v>
      </c>
      <c r="E150" s="1" t="s">
        <v>23</v>
      </c>
      <c r="F150" s="9" t="s">
        <v>183</v>
      </c>
      <c r="G150" s="1" t="s">
        <v>19</v>
      </c>
      <c r="H150" s="201"/>
      <c r="I150" s="106" t="s">
        <v>6</v>
      </c>
      <c r="J150" s="11">
        <v>0.98029999999999995</v>
      </c>
      <c r="K150" s="11">
        <v>0.94</v>
      </c>
      <c r="L150" s="1" t="s">
        <v>23</v>
      </c>
      <c r="M150" s="9" t="s">
        <v>98</v>
      </c>
      <c r="N150" s="1" t="s">
        <v>19</v>
      </c>
    </row>
    <row r="151" spans="1:14" ht="30">
      <c r="A151" s="50"/>
      <c r="B151" s="108" t="s">
        <v>228</v>
      </c>
      <c r="C151" s="12">
        <v>4.0000000000000001E-3</v>
      </c>
      <c r="D151" s="136" t="s">
        <v>188</v>
      </c>
      <c r="E151" s="137" t="s">
        <v>188</v>
      </c>
      <c r="F151" s="138" t="s">
        <v>188</v>
      </c>
      <c r="G151" s="169" t="s">
        <v>188</v>
      </c>
      <c r="H151" s="201"/>
      <c r="I151" s="108" t="s">
        <v>228</v>
      </c>
      <c r="J151" s="12">
        <v>4.0000000000000001E-3</v>
      </c>
      <c r="K151" s="136" t="s">
        <v>188</v>
      </c>
      <c r="L151" s="138" t="s">
        <v>188</v>
      </c>
      <c r="M151" s="138" t="s">
        <v>188</v>
      </c>
      <c r="N151" s="169" t="s">
        <v>188</v>
      </c>
    </row>
    <row r="152" spans="1:14" ht="21" customHeight="1">
      <c r="A152" s="71"/>
      <c r="B152" s="73"/>
      <c r="C152" s="74"/>
      <c r="D152" s="75"/>
      <c r="E152" s="74"/>
      <c r="F152" s="74"/>
      <c r="G152" s="171"/>
      <c r="H152" s="195"/>
      <c r="I152" s="77"/>
      <c r="J152" s="78"/>
      <c r="K152" s="79"/>
      <c r="L152" s="78"/>
      <c r="M152" s="78"/>
      <c r="N152" s="172"/>
    </row>
    <row r="153" spans="1:14" ht="51.75" customHeight="1">
      <c r="A153" s="47" t="s">
        <v>111</v>
      </c>
      <c r="B153" s="37" t="s">
        <v>163</v>
      </c>
      <c r="C153" s="38"/>
      <c r="D153" s="39"/>
      <c r="E153" s="83"/>
      <c r="F153" s="38"/>
      <c r="G153" s="168"/>
      <c r="H153" s="200" t="s">
        <v>111</v>
      </c>
      <c r="I153" s="37" t="s">
        <v>164</v>
      </c>
      <c r="J153" s="38"/>
      <c r="K153" s="39"/>
      <c r="L153" s="40"/>
      <c r="M153" s="38"/>
      <c r="N153" s="168"/>
    </row>
    <row r="154" spans="1:14" ht="51.75" customHeight="1">
      <c r="A154" s="48"/>
      <c r="B154" s="121" t="s">
        <v>0</v>
      </c>
      <c r="C154" s="122" t="s">
        <v>223</v>
      </c>
      <c r="D154" s="122" t="s">
        <v>199</v>
      </c>
      <c r="E154" s="123" t="s">
        <v>22</v>
      </c>
      <c r="F154" s="123" t="s">
        <v>20</v>
      </c>
      <c r="G154" s="123" t="s">
        <v>35</v>
      </c>
      <c r="H154" s="201"/>
      <c r="I154" s="121" t="s">
        <v>0</v>
      </c>
      <c r="J154" s="122" t="s">
        <v>223</v>
      </c>
      <c r="K154" s="122" t="s">
        <v>199</v>
      </c>
      <c r="L154" s="123" t="s">
        <v>22</v>
      </c>
      <c r="M154" s="123" t="s">
        <v>20</v>
      </c>
      <c r="N154" s="123" t="s">
        <v>35</v>
      </c>
    </row>
    <row r="155" spans="1:14" ht="15.75">
      <c r="A155" s="48"/>
      <c r="B155" s="106" t="s">
        <v>170</v>
      </c>
      <c r="C155" s="5">
        <v>0.39269999999999999</v>
      </c>
      <c r="D155" s="5">
        <v>0.3</v>
      </c>
      <c r="E155" s="141" t="s">
        <v>188</v>
      </c>
      <c r="F155" s="142" t="s">
        <v>188</v>
      </c>
      <c r="G155" s="145" t="s">
        <v>188</v>
      </c>
      <c r="H155" s="201"/>
      <c r="I155" s="152" t="s">
        <v>188</v>
      </c>
      <c r="J155" s="153" t="s">
        <v>188</v>
      </c>
      <c r="K155" s="153" t="s">
        <v>188</v>
      </c>
      <c r="L155" s="142" t="s">
        <v>188</v>
      </c>
      <c r="M155" s="142" t="s">
        <v>188</v>
      </c>
      <c r="N155" s="142" t="s">
        <v>188</v>
      </c>
    </row>
    <row r="156" spans="1:14" ht="28.5">
      <c r="A156" s="48"/>
      <c r="B156" s="106" t="s">
        <v>139</v>
      </c>
      <c r="C156" s="5">
        <v>0.69569999999999999</v>
      </c>
      <c r="D156" s="5">
        <v>0.64</v>
      </c>
      <c r="E156" s="6" t="s">
        <v>23</v>
      </c>
      <c r="F156" s="7" t="s">
        <v>183</v>
      </c>
      <c r="G156" s="6" t="s">
        <v>7</v>
      </c>
      <c r="H156" s="201"/>
      <c r="I156" s="106" t="s">
        <v>231</v>
      </c>
      <c r="J156" s="5">
        <v>0.99780000000000002</v>
      </c>
      <c r="K156" s="5">
        <v>0.94</v>
      </c>
      <c r="L156" s="6" t="s">
        <v>23</v>
      </c>
      <c r="M156" s="7" t="s">
        <v>98</v>
      </c>
      <c r="N156" s="6" t="s">
        <v>7</v>
      </c>
    </row>
    <row r="157" spans="1:14">
      <c r="A157" s="49"/>
      <c r="B157" s="106" t="s">
        <v>2</v>
      </c>
      <c r="C157" s="3">
        <v>0.24640000000000001</v>
      </c>
      <c r="D157" s="3">
        <v>0.25</v>
      </c>
      <c r="E157" s="1" t="s">
        <v>24</v>
      </c>
      <c r="F157" s="4" t="s">
        <v>54</v>
      </c>
      <c r="G157" s="1" t="s">
        <v>14</v>
      </c>
      <c r="H157" s="202"/>
      <c r="I157" s="106" t="s">
        <v>2</v>
      </c>
      <c r="J157" s="3">
        <v>0.2046</v>
      </c>
      <c r="K157" s="3">
        <v>0.25</v>
      </c>
      <c r="L157" s="1" t="s">
        <v>24</v>
      </c>
      <c r="M157" s="4" t="s">
        <v>54</v>
      </c>
      <c r="N157" s="1" t="s">
        <v>14</v>
      </c>
    </row>
    <row r="158" spans="1:14" ht="28.5">
      <c r="A158" s="50"/>
      <c r="B158" s="107" t="s">
        <v>138</v>
      </c>
      <c r="C158" s="115">
        <v>0</v>
      </c>
      <c r="D158" s="115" t="s">
        <v>188</v>
      </c>
      <c r="E158" s="1" t="s">
        <v>23</v>
      </c>
      <c r="F158" s="115" t="s">
        <v>250</v>
      </c>
      <c r="G158" s="131" t="s">
        <v>188</v>
      </c>
      <c r="H158" s="201"/>
      <c r="I158" s="106" t="s">
        <v>138</v>
      </c>
      <c r="J158" s="115">
        <v>0</v>
      </c>
      <c r="K158" s="115" t="s">
        <v>188</v>
      </c>
      <c r="L158" s="1" t="s">
        <v>23</v>
      </c>
      <c r="M158" s="115" t="s">
        <v>250</v>
      </c>
      <c r="N158" s="131" t="s">
        <v>188</v>
      </c>
    </row>
    <row r="159" spans="1:14">
      <c r="A159" s="50"/>
      <c r="B159" s="106" t="s">
        <v>12</v>
      </c>
      <c r="C159" s="3">
        <v>0.27179999999999999</v>
      </c>
      <c r="D159" s="3">
        <v>0.25</v>
      </c>
      <c r="E159" s="1" t="s">
        <v>24</v>
      </c>
      <c r="F159" s="4" t="s">
        <v>54</v>
      </c>
      <c r="G159" s="1" t="s">
        <v>18</v>
      </c>
      <c r="H159" s="201"/>
      <c r="I159" s="106" t="s">
        <v>12</v>
      </c>
      <c r="J159" s="3">
        <v>0.26569999999999999</v>
      </c>
      <c r="K159" s="3">
        <v>0.25</v>
      </c>
      <c r="L159" s="1" t="s">
        <v>24</v>
      </c>
      <c r="M159" s="4" t="s">
        <v>54</v>
      </c>
      <c r="N159" s="1" t="s">
        <v>18</v>
      </c>
    </row>
    <row r="160" spans="1:14" ht="15">
      <c r="A160" s="50"/>
      <c r="B160" s="108" t="s">
        <v>5</v>
      </c>
      <c r="C160" s="28">
        <f>SUBTOTAL(109,C155:C159)</f>
        <v>1.6066</v>
      </c>
      <c r="D160" s="28">
        <f>SUBTOTAL(109,D155:D159)</f>
        <v>1.44</v>
      </c>
      <c r="E160" s="119" t="s">
        <v>188</v>
      </c>
      <c r="F160" s="120" t="s">
        <v>188</v>
      </c>
      <c r="G160" s="113" t="s">
        <v>188</v>
      </c>
      <c r="H160" s="201"/>
      <c r="I160" s="108" t="s">
        <v>5</v>
      </c>
      <c r="J160" s="28">
        <f>SUBTOTAL(109,J155:J159)</f>
        <v>1.4681</v>
      </c>
      <c r="K160" s="28">
        <f>SUBTOTAL(109,K155:K159)</f>
        <v>1.44</v>
      </c>
      <c r="L160" s="120" t="s">
        <v>188</v>
      </c>
      <c r="M160" s="120" t="s">
        <v>188</v>
      </c>
      <c r="N160" s="113" t="s">
        <v>188</v>
      </c>
    </row>
    <row r="161" spans="1:14">
      <c r="A161" s="50"/>
      <c r="B161" s="106" t="s">
        <v>6</v>
      </c>
      <c r="C161" s="11">
        <v>0.69440000000000002</v>
      </c>
      <c r="D161" s="11">
        <v>0.64</v>
      </c>
      <c r="E161" s="1" t="s">
        <v>23</v>
      </c>
      <c r="F161" s="9" t="s">
        <v>183</v>
      </c>
      <c r="G161" s="1" t="s">
        <v>19</v>
      </c>
      <c r="H161" s="201"/>
      <c r="I161" s="106" t="s">
        <v>6</v>
      </c>
      <c r="J161" s="11">
        <v>0.99809999999999999</v>
      </c>
      <c r="K161" s="11">
        <v>0.94</v>
      </c>
      <c r="L161" s="1" t="s">
        <v>23</v>
      </c>
      <c r="M161" s="9" t="s">
        <v>98</v>
      </c>
      <c r="N161" s="1" t="s">
        <v>19</v>
      </c>
    </row>
    <row r="162" spans="1:14" ht="30">
      <c r="A162" s="50"/>
      <c r="B162" s="108" t="s">
        <v>228</v>
      </c>
      <c r="C162" s="67">
        <v>2E-3</v>
      </c>
      <c r="D162" s="136" t="s">
        <v>188</v>
      </c>
      <c r="E162" s="137" t="s">
        <v>188</v>
      </c>
      <c r="F162" s="138" t="s">
        <v>188</v>
      </c>
      <c r="G162" s="169" t="s">
        <v>188</v>
      </c>
      <c r="H162" s="201"/>
      <c r="I162" s="108" t="s">
        <v>228</v>
      </c>
      <c r="J162" s="67">
        <v>2E-3</v>
      </c>
      <c r="K162" s="136" t="s">
        <v>188</v>
      </c>
      <c r="L162" s="138" t="s">
        <v>188</v>
      </c>
      <c r="M162" s="138" t="s">
        <v>188</v>
      </c>
      <c r="N162" s="169" t="s">
        <v>188</v>
      </c>
    </row>
    <row r="163" spans="1:14" ht="21" customHeight="1">
      <c r="A163" s="71"/>
      <c r="B163" s="73"/>
      <c r="C163" s="74"/>
      <c r="D163" s="75"/>
      <c r="E163" s="74"/>
      <c r="F163" s="74"/>
      <c r="G163" s="171"/>
      <c r="H163" s="195"/>
      <c r="I163" s="77"/>
      <c r="J163" s="78"/>
      <c r="K163" s="79"/>
      <c r="L163" s="78"/>
      <c r="M163" s="78"/>
      <c r="N163" s="172"/>
    </row>
    <row r="164" spans="1:14" ht="51.75" customHeight="1">
      <c r="A164" s="80" t="s">
        <v>165</v>
      </c>
      <c r="B164" s="33" t="s">
        <v>166</v>
      </c>
      <c r="C164" s="34"/>
      <c r="D164" s="35"/>
      <c r="E164" s="82"/>
      <c r="F164" s="34"/>
      <c r="G164" s="168"/>
      <c r="H164" s="203" t="s">
        <v>165</v>
      </c>
      <c r="I164" s="33" t="s">
        <v>168</v>
      </c>
      <c r="J164" s="34"/>
      <c r="K164" s="35"/>
      <c r="L164" s="36"/>
      <c r="M164" s="40"/>
      <c r="N164" s="168"/>
    </row>
    <row r="165" spans="1:14" ht="40.35" customHeight="1">
      <c r="A165" s="81"/>
      <c r="B165" s="121" t="s">
        <v>0</v>
      </c>
      <c r="C165" s="122" t="s">
        <v>223</v>
      </c>
      <c r="D165" s="122" t="s">
        <v>199</v>
      </c>
      <c r="E165" s="123" t="s">
        <v>30</v>
      </c>
      <c r="F165" s="123" t="s">
        <v>20</v>
      </c>
      <c r="G165" s="124" t="s">
        <v>35</v>
      </c>
      <c r="H165" s="204"/>
      <c r="I165" s="121" t="s">
        <v>0</v>
      </c>
      <c r="J165" s="122" t="s">
        <v>223</v>
      </c>
      <c r="K165" s="122" t="s">
        <v>199</v>
      </c>
      <c r="L165" s="123" t="s">
        <v>30</v>
      </c>
      <c r="M165" s="123" t="s">
        <v>20</v>
      </c>
      <c r="N165" s="124" t="s">
        <v>35</v>
      </c>
    </row>
    <row r="166" spans="1:14" ht="15.75">
      <c r="A166" s="81"/>
      <c r="B166" s="106" t="s">
        <v>170</v>
      </c>
      <c r="C166" s="64">
        <v>0.67090000000000005</v>
      </c>
      <c r="D166" s="5">
        <v>0.85</v>
      </c>
      <c r="E166" s="141" t="s">
        <v>188</v>
      </c>
      <c r="F166" s="142" t="s">
        <v>188</v>
      </c>
      <c r="G166" s="147" t="s">
        <v>188</v>
      </c>
      <c r="H166" s="204"/>
      <c r="I166" s="152" t="s">
        <v>188</v>
      </c>
      <c r="J166" s="153" t="s">
        <v>188</v>
      </c>
      <c r="K166" s="153" t="s">
        <v>188</v>
      </c>
      <c r="L166" s="142" t="s">
        <v>188</v>
      </c>
      <c r="M166" s="142" t="s">
        <v>188</v>
      </c>
      <c r="N166" s="147" t="s">
        <v>188</v>
      </c>
    </row>
    <row r="167" spans="1:14" ht="42" customHeight="1">
      <c r="A167" s="81"/>
      <c r="B167" s="106" t="s">
        <v>139</v>
      </c>
      <c r="C167" s="64">
        <v>8.0799999999999997E-2</v>
      </c>
      <c r="D167" s="3">
        <v>0.16</v>
      </c>
      <c r="E167" s="1" t="s">
        <v>4</v>
      </c>
      <c r="F167" s="4" t="s">
        <v>134</v>
      </c>
      <c r="G167" s="216" t="s">
        <v>221</v>
      </c>
      <c r="H167" s="204"/>
      <c r="I167" s="106" t="s">
        <v>231</v>
      </c>
      <c r="J167" s="64">
        <v>0.18729999999999999</v>
      </c>
      <c r="K167" s="5">
        <v>0.2</v>
      </c>
      <c r="L167" s="6" t="s">
        <v>4</v>
      </c>
      <c r="M167" s="7" t="s">
        <v>64</v>
      </c>
      <c r="N167" s="216" t="s">
        <v>221</v>
      </c>
    </row>
    <row r="168" spans="1:14" ht="21.75" customHeight="1">
      <c r="A168" s="81"/>
      <c r="B168" s="106" t="s">
        <v>2</v>
      </c>
      <c r="C168" s="65">
        <v>6.1199999999999997E-2</v>
      </c>
      <c r="D168" s="3">
        <v>0.05</v>
      </c>
      <c r="E168" s="1" t="s">
        <v>3</v>
      </c>
      <c r="F168" s="4" t="s">
        <v>51</v>
      </c>
      <c r="G168" s="116" t="s">
        <v>14</v>
      </c>
      <c r="H168" s="204"/>
      <c r="I168" s="106" t="s">
        <v>2</v>
      </c>
      <c r="J168" s="65">
        <v>0.44080000000000003</v>
      </c>
      <c r="K168" s="3">
        <v>0.45</v>
      </c>
      <c r="L168" s="1" t="s">
        <v>3</v>
      </c>
      <c r="M168" s="4" t="s">
        <v>175</v>
      </c>
      <c r="N168" s="116" t="s">
        <v>14</v>
      </c>
    </row>
    <row r="169" spans="1:14" ht="28.5">
      <c r="A169" s="81"/>
      <c r="B169" s="107" t="s">
        <v>138</v>
      </c>
      <c r="C169" s="65">
        <v>6.0999999999999999E-2</v>
      </c>
      <c r="D169" s="3">
        <v>0.06</v>
      </c>
      <c r="E169" s="1" t="s">
        <v>4</v>
      </c>
      <c r="F169" s="4" t="s">
        <v>58</v>
      </c>
      <c r="G169" s="116" t="s">
        <v>184</v>
      </c>
      <c r="H169" s="204"/>
      <c r="I169" s="106" t="s">
        <v>138</v>
      </c>
      <c r="J169" s="65">
        <v>0.26440000000000002</v>
      </c>
      <c r="K169" s="3">
        <v>0.3</v>
      </c>
      <c r="L169" s="1" t="s">
        <v>4</v>
      </c>
      <c r="M169" s="4" t="s">
        <v>61</v>
      </c>
      <c r="N169" s="116" t="s">
        <v>15</v>
      </c>
    </row>
    <row r="170" spans="1:14" ht="32.25" customHeight="1">
      <c r="A170" s="81"/>
      <c r="B170" s="106" t="s">
        <v>171</v>
      </c>
      <c r="C170" s="65">
        <v>0</v>
      </c>
      <c r="D170" s="3">
        <v>0.05</v>
      </c>
      <c r="E170" s="8" t="s">
        <v>3</v>
      </c>
      <c r="F170" s="9" t="s">
        <v>51</v>
      </c>
      <c r="G170" s="134" t="s">
        <v>188</v>
      </c>
      <c r="H170" s="204"/>
      <c r="I170" s="106" t="s">
        <v>171</v>
      </c>
      <c r="J170" s="65">
        <v>0</v>
      </c>
      <c r="K170" s="3">
        <v>0.05</v>
      </c>
      <c r="L170" s="8" t="s">
        <v>3</v>
      </c>
      <c r="M170" s="9" t="s">
        <v>51</v>
      </c>
      <c r="N170" s="134" t="s">
        <v>188</v>
      </c>
    </row>
    <row r="171" spans="1:14">
      <c r="A171" s="81"/>
      <c r="B171" s="106" t="s">
        <v>10</v>
      </c>
      <c r="C171" s="65">
        <v>6.8999999999999999E-3</v>
      </c>
      <c r="D171" s="3">
        <v>0.05</v>
      </c>
      <c r="E171" s="8" t="s">
        <v>3</v>
      </c>
      <c r="F171" s="9" t="s">
        <v>51</v>
      </c>
      <c r="G171" s="134" t="s">
        <v>188</v>
      </c>
      <c r="H171" s="204"/>
      <c r="I171" s="106" t="s">
        <v>10</v>
      </c>
      <c r="J171" s="65">
        <v>2.0999999999999999E-3</v>
      </c>
      <c r="K171" s="3">
        <v>0.05</v>
      </c>
      <c r="L171" s="8" t="s">
        <v>3</v>
      </c>
      <c r="M171" s="9" t="s">
        <v>51</v>
      </c>
      <c r="N171" s="134" t="s">
        <v>188</v>
      </c>
    </row>
    <row r="172" spans="1:14">
      <c r="A172" s="81"/>
      <c r="B172" s="106" t="s">
        <v>12</v>
      </c>
      <c r="C172" s="65">
        <v>0.11650000000000001</v>
      </c>
      <c r="D172" s="3">
        <v>0.15</v>
      </c>
      <c r="E172" s="8" t="s">
        <v>3</v>
      </c>
      <c r="F172" s="9" t="s">
        <v>52</v>
      </c>
      <c r="G172" s="134" t="s">
        <v>188</v>
      </c>
      <c r="H172" s="204"/>
      <c r="I172" s="106" t="s">
        <v>12</v>
      </c>
      <c r="J172" s="65">
        <v>0.1646</v>
      </c>
      <c r="K172" s="3">
        <v>0.15</v>
      </c>
      <c r="L172" s="8" t="s">
        <v>3</v>
      </c>
      <c r="M172" s="9" t="s">
        <v>52</v>
      </c>
      <c r="N172" s="134" t="s">
        <v>188</v>
      </c>
    </row>
    <row r="173" spans="1:14">
      <c r="A173" s="81"/>
      <c r="B173" s="106" t="s">
        <v>172</v>
      </c>
      <c r="C173" s="65">
        <v>0</v>
      </c>
      <c r="D173" s="3">
        <v>0.05</v>
      </c>
      <c r="E173" s="8" t="s">
        <v>3</v>
      </c>
      <c r="F173" s="9" t="s">
        <v>51</v>
      </c>
      <c r="G173" s="134" t="s">
        <v>188</v>
      </c>
      <c r="H173" s="204"/>
      <c r="I173" s="106" t="s">
        <v>172</v>
      </c>
      <c r="J173" s="65">
        <v>0</v>
      </c>
      <c r="K173" s="3">
        <v>0.05</v>
      </c>
      <c r="L173" s="8" t="s">
        <v>3</v>
      </c>
      <c r="M173" s="9" t="s">
        <v>51</v>
      </c>
      <c r="N173" s="134" t="s">
        <v>188</v>
      </c>
    </row>
    <row r="174" spans="1:14" ht="15">
      <c r="A174" s="81"/>
      <c r="B174" s="108" t="s">
        <v>5</v>
      </c>
      <c r="C174" s="101">
        <f>SUBTOTAL(109,C166:C173)</f>
        <v>0.99730000000000019</v>
      </c>
      <c r="D174" s="101">
        <f>SUBTOTAL(109,D166:D173)</f>
        <v>1.4200000000000002</v>
      </c>
      <c r="E174" s="143" t="s">
        <v>188</v>
      </c>
      <c r="F174" s="131" t="s">
        <v>188</v>
      </c>
      <c r="G174" s="118" t="s">
        <v>188</v>
      </c>
      <c r="H174" s="204"/>
      <c r="I174" s="108" t="s">
        <v>5</v>
      </c>
      <c r="J174" s="103">
        <f>SUBTOTAL(109,J166:J173)</f>
        <v>1.0592000000000001</v>
      </c>
      <c r="K174" s="103">
        <f>SUBTOTAL(109,K166:K173)</f>
        <v>1.25</v>
      </c>
      <c r="L174" s="143" t="s">
        <v>188</v>
      </c>
      <c r="M174" s="131" t="s">
        <v>188</v>
      </c>
      <c r="N174" s="118" t="s">
        <v>188</v>
      </c>
    </row>
    <row r="175" spans="1:14">
      <c r="A175" s="81"/>
      <c r="B175" s="106" t="s">
        <v>6</v>
      </c>
      <c r="C175" s="65">
        <v>2.1899999999999999E-2</v>
      </c>
      <c r="D175" s="3">
        <v>0.06</v>
      </c>
      <c r="E175" s="1" t="s">
        <v>23</v>
      </c>
      <c r="F175" s="10" t="s">
        <v>58</v>
      </c>
      <c r="G175" s="117" t="s">
        <v>19</v>
      </c>
      <c r="H175" s="204"/>
      <c r="I175" s="106" t="s">
        <v>6</v>
      </c>
      <c r="J175" s="65">
        <v>0.11219999999999999</v>
      </c>
      <c r="K175" s="3">
        <v>0.16</v>
      </c>
      <c r="L175" s="1" t="s">
        <v>23</v>
      </c>
      <c r="M175" s="10" t="s">
        <v>134</v>
      </c>
      <c r="N175" s="117" t="s">
        <v>19</v>
      </c>
    </row>
    <row r="176" spans="1:14" ht="30">
      <c r="A176" s="81"/>
      <c r="B176" s="217" t="s">
        <v>228</v>
      </c>
      <c r="C176" s="146">
        <v>2E-3</v>
      </c>
      <c r="D176" s="148" t="s">
        <v>188</v>
      </c>
      <c r="E176" s="149" t="s">
        <v>188</v>
      </c>
      <c r="F176" s="150" t="s">
        <v>188</v>
      </c>
      <c r="G176" s="151" t="s">
        <v>188</v>
      </c>
      <c r="H176" s="204"/>
      <c r="I176" s="217" t="s">
        <v>228</v>
      </c>
      <c r="J176" s="146">
        <v>2E-3</v>
      </c>
      <c r="K176" s="148" t="s">
        <v>188</v>
      </c>
      <c r="L176" s="150" t="s">
        <v>188</v>
      </c>
      <c r="M176" s="150" t="s">
        <v>188</v>
      </c>
      <c r="N176" s="151" t="s">
        <v>188</v>
      </c>
    </row>
    <row r="177" spans="1:14" ht="21" customHeight="1">
      <c r="A177" s="71"/>
      <c r="B177" s="159" t="s">
        <v>188</v>
      </c>
      <c r="C177" s="160" t="s">
        <v>188</v>
      </c>
      <c r="D177" s="160" t="s">
        <v>188</v>
      </c>
      <c r="E177" s="160" t="s">
        <v>188</v>
      </c>
      <c r="F177" s="160" t="s">
        <v>188</v>
      </c>
      <c r="G177" s="170" t="s">
        <v>188</v>
      </c>
      <c r="H177" s="195"/>
      <c r="I177" s="77"/>
      <c r="J177" s="78"/>
      <c r="K177" s="79"/>
      <c r="L177" s="78"/>
      <c r="M177" s="78"/>
      <c r="N177" s="172"/>
    </row>
    <row r="178" spans="1:14" ht="51.75" customHeight="1">
      <c r="A178" s="80" t="s">
        <v>165</v>
      </c>
      <c r="B178" s="33" t="s">
        <v>167</v>
      </c>
      <c r="C178" s="34"/>
      <c r="D178" s="35"/>
      <c r="E178" s="82"/>
      <c r="F178" s="34"/>
      <c r="G178" s="168"/>
      <c r="H178" s="203" t="s">
        <v>165</v>
      </c>
      <c r="I178" s="33" t="s">
        <v>169</v>
      </c>
      <c r="J178" s="34"/>
      <c r="K178" s="35"/>
      <c r="L178" s="36"/>
      <c r="M178" s="34"/>
      <c r="N178" s="168"/>
    </row>
    <row r="179" spans="1:14" ht="40.35" customHeight="1">
      <c r="A179" s="81"/>
      <c r="B179" s="121" t="s">
        <v>0</v>
      </c>
      <c r="C179" s="122" t="s">
        <v>223</v>
      </c>
      <c r="D179" s="122" t="s">
        <v>199</v>
      </c>
      <c r="E179" s="123" t="s">
        <v>30</v>
      </c>
      <c r="F179" s="123" t="s">
        <v>20</v>
      </c>
      <c r="G179" s="123" t="s">
        <v>35</v>
      </c>
      <c r="H179" s="204"/>
      <c r="I179" s="123" t="s">
        <v>0</v>
      </c>
      <c r="J179" s="122" t="s">
        <v>223</v>
      </c>
      <c r="K179" s="122" t="s">
        <v>199</v>
      </c>
      <c r="L179" s="123" t="s">
        <v>30</v>
      </c>
      <c r="M179" s="123" t="s">
        <v>20</v>
      </c>
      <c r="N179" s="123" t="s">
        <v>35</v>
      </c>
    </row>
    <row r="180" spans="1:14" ht="15.75">
      <c r="A180" s="81"/>
      <c r="B180" s="106" t="s">
        <v>170</v>
      </c>
      <c r="C180" s="5">
        <v>0.4904</v>
      </c>
      <c r="D180" s="5">
        <v>0.85</v>
      </c>
      <c r="E180" s="141" t="s">
        <v>188</v>
      </c>
      <c r="F180" s="142" t="s">
        <v>188</v>
      </c>
      <c r="G180" s="142" t="s">
        <v>188</v>
      </c>
      <c r="H180" s="204"/>
      <c r="I180" s="154" t="s">
        <v>188</v>
      </c>
      <c r="J180" s="153" t="s">
        <v>188</v>
      </c>
      <c r="K180" s="153" t="s">
        <v>188</v>
      </c>
      <c r="L180" s="142" t="s">
        <v>188</v>
      </c>
      <c r="M180" s="142" t="s">
        <v>188</v>
      </c>
      <c r="N180" s="142" t="s">
        <v>188</v>
      </c>
    </row>
    <row r="181" spans="1:14" ht="33.75" customHeight="1">
      <c r="A181" s="81"/>
      <c r="B181" s="106" t="s">
        <v>139</v>
      </c>
      <c r="C181" s="5">
        <v>0.1099</v>
      </c>
      <c r="D181" s="3">
        <v>0.16</v>
      </c>
      <c r="E181" s="1" t="s">
        <v>4</v>
      </c>
      <c r="F181" s="4" t="s">
        <v>134</v>
      </c>
      <c r="G181" s="6" t="s">
        <v>221</v>
      </c>
      <c r="H181" s="204"/>
      <c r="I181" s="2" t="s">
        <v>231</v>
      </c>
      <c r="J181" s="5">
        <v>0.1507</v>
      </c>
      <c r="K181" s="5">
        <v>0.2</v>
      </c>
      <c r="L181" s="6" t="s">
        <v>4</v>
      </c>
      <c r="M181" s="7" t="s">
        <v>64</v>
      </c>
      <c r="N181" s="6" t="s">
        <v>221</v>
      </c>
    </row>
    <row r="182" spans="1:14">
      <c r="A182" s="81"/>
      <c r="B182" s="106" t="s">
        <v>2</v>
      </c>
      <c r="C182" s="3">
        <v>5.9700000000000003E-2</v>
      </c>
      <c r="D182" s="3">
        <v>0.05</v>
      </c>
      <c r="E182" s="1" t="s">
        <v>3</v>
      </c>
      <c r="F182" s="4" t="s">
        <v>51</v>
      </c>
      <c r="G182" s="1" t="s">
        <v>14</v>
      </c>
      <c r="H182" s="204"/>
      <c r="I182" s="2" t="s">
        <v>2</v>
      </c>
      <c r="J182" s="3">
        <v>0.45140000000000002</v>
      </c>
      <c r="K182" s="3">
        <v>0.45</v>
      </c>
      <c r="L182" s="1" t="s">
        <v>3</v>
      </c>
      <c r="M182" s="4" t="s">
        <v>175</v>
      </c>
      <c r="N182" s="1" t="s">
        <v>14</v>
      </c>
    </row>
    <row r="183" spans="1:14" ht="28.5">
      <c r="A183" s="81"/>
      <c r="B183" s="107" t="s">
        <v>138</v>
      </c>
      <c r="C183" s="3">
        <v>7.1099999999999997E-2</v>
      </c>
      <c r="D183" s="3">
        <v>0.06</v>
      </c>
      <c r="E183" s="1" t="s">
        <v>4</v>
      </c>
      <c r="F183" s="4" t="s">
        <v>58</v>
      </c>
      <c r="G183" s="1" t="s">
        <v>184</v>
      </c>
      <c r="H183" s="204"/>
      <c r="I183" s="2" t="s">
        <v>138</v>
      </c>
      <c r="J183" s="3">
        <v>0.2954</v>
      </c>
      <c r="K183" s="3">
        <v>0.3</v>
      </c>
      <c r="L183" s="1" t="s">
        <v>4</v>
      </c>
      <c r="M183" s="4" t="s">
        <v>61</v>
      </c>
      <c r="N183" s="1" t="s">
        <v>184</v>
      </c>
    </row>
    <row r="184" spans="1:14">
      <c r="A184" s="81"/>
      <c r="B184" s="106" t="s">
        <v>12</v>
      </c>
      <c r="C184" s="3">
        <v>0.26889999999999997</v>
      </c>
      <c r="D184" s="3">
        <v>0.15</v>
      </c>
      <c r="E184" s="1" t="s">
        <v>3</v>
      </c>
      <c r="F184" s="9" t="s">
        <v>52</v>
      </c>
      <c r="G184" s="131" t="s">
        <v>188</v>
      </c>
      <c r="H184" s="204"/>
      <c r="I184" s="2" t="s">
        <v>12</v>
      </c>
      <c r="J184" s="3">
        <v>0.10249999999999999</v>
      </c>
      <c r="K184" s="3">
        <v>0.15</v>
      </c>
      <c r="L184" s="1" t="s">
        <v>3</v>
      </c>
      <c r="M184" s="9" t="s">
        <v>52</v>
      </c>
      <c r="N184" s="131" t="s">
        <v>188</v>
      </c>
    </row>
    <row r="185" spans="1:14" ht="15">
      <c r="A185" s="81"/>
      <c r="B185" s="108" t="s">
        <v>5</v>
      </c>
      <c r="C185" s="28">
        <f>SUBTOTAL(109,C180:C184)</f>
        <v>1</v>
      </c>
      <c r="D185" s="28">
        <f>SUBTOTAL(109,D180:D184)</f>
        <v>1.27</v>
      </c>
      <c r="E185" s="119" t="s">
        <v>188</v>
      </c>
      <c r="F185" s="120" t="s">
        <v>188</v>
      </c>
      <c r="G185" s="114" t="s">
        <v>188</v>
      </c>
      <c r="H185" s="204"/>
      <c r="I185" s="27" t="s">
        <v>5</v>
      </c>
      <c r="J185" s="28">
        <f>SUBTOTAL(109,J180:J184)</f>
        <v>1</v>
      </c>
      <c r="K185" s="28">
        <f>SUBTOTAL(109,K180:K184)</f>
        <v>1.0999999999999999</v>
      </c>
      <c r="L185" s="120" t="s">
        <v>188</v>
      </c>
      <c r="M185" s="120" t="s">
        <v>188</v>
      </c>
      <c r="N185" s="114" t="s">
        <v>188</v>
      </c>
    </row>
    <row r="186" spans="1:14">
      <c r="A186" s="81"/>
      <c r="B186" s="106" t="s">
        <v>6</v>
      </c>
      <c r="C186" s="11">
        <v>6.6699999999999995E-2</v>
      </c>
      <c r="D186" s="11">
        <v>0.06</v>
      </c>
      <c r="E186" s="1" t="s">
        <v>4</v>
      </c>
      <c r="F186" s="9" t="s">
        <v>58</v>
      </c>
      <c r="G186" s="1" t="s">
        <v>19</v>
      </c>
      <c r="H186" s="204"/>
      <c r="I186" s="2" t="s">
        <v>6</v>
      </c>
      <c r="J186" s="3">
        <v>0</v>
      </c>
      <c r="K186" s="11">
        <v>0.16</v>
      </c>
      <c r="L186" s="1" t="s">
        <v>4</v>
      </c>
      <c r="M186" s="9" t="s">
        <v>134</v>
      </c>
      <c r="N186" s="1" t="s">
        <v>19</v>
      </c>
    </row>
    <row r="187" spans="1:14" ht="30">
      <c r="A187" s="81"/>
      <c r="B187" s="108" t="s">
        <v>228</v>
      </c>
      <c r="C187" s="67">
        <v>2E-3</v>
      </c>
      <c r="D187" s="113" t="s">
        <v>188</v>
      </c>
      <c r="E187" s="130" t="s">
        <v>188</v>
      </c>
      <c r="F187" s="130" t="s">
        <v>188</v>
      </c>
      <c r="G187" s="169" t="s">
        <v>188</v>
      </c>
      <c r="H187" s="204"/>
      <c r="I187" s="108" t="s">
        <v>228</v>
      </c>
      <c r="J187" s="67">
        <v>2E-3</v>
      </c>
      <c r="K187" s="113" t="s">
        <v>188</v>
      </c>
      <c r="L187" s="130" t="s">
        <v>188</v>
      </c>
      <c r="M187" s="130" t="s">
        <v>188</v>
      </c>
      <c r="N187" s="169" t="s">
        <v>188</v>
      </c>
    </row>
    <row r="188" spans="1:14" ht="21" customHeight="1">
      <c r="A188" s="72" t="s">
        <v>8</v>
      </c>
      <c r="B188" s="73"/>
      <c r="C188" s="74"/>
      <c r="D188" s="75"/>
      <c r="E188" s="74"/>
      <c r="F188" s="74"/>
      <c r="G188" s="171"/>
      <c r="H188" s="205" t="s">
        <v>8</v>
      </c>
      <c r="I188" s="161" t="s">
        <v>188</v>
      </c>
      <c r="J188" s="162" t="s">
        <v>188</v>
      </c>
      <c r="K188" s="162" t="s">
        <v>188</v>
      </c>
      <c r="L188" s="162" t="s">
        <v>188</v>
      </c>
      <c r="M188" s="162" t="s">
        <v>188</v>
      </c>
      <c r="N188" s="173" t="s">
        <v>188</v>
      </c>
    </row>
    <row r="189" spans="1:14" s="97" customFormat="1" ht="18.75" customHeight="1">
      <c r="A189" s="60" t="s">
        <v>136</v>
      </c>
      <c r="B189" s="61"/>
      <c r="C189" s="185"/>
      <c r="D189" s="185"/>
      <c r="E189" s="206"/>
      <c r="F189" s="185"/>
      <c r="G189" s="207"/>
      <c r="H189" s="208" t="s">
        <v>136</v>
      </c>
      <c r="I189" s="209"/>
      <c r="J189" s="185"/>
      <c r="K189" s="185"/>
      <c r="L189" s="185"/>
      <c r="M189" s="185"/>
      <c r="N189" s="207"/>
    </row>
    <row r="190" spans="1:14" ht="18.75" customHeight="1">
      <c r="A190" s="58" t="s">
        <v>135</v>
      </c>
      <c r="B190" s="62"/>
      <c r="C190" s="186"/>
      <c r="D190" s="186"/>
      <c r="E190" s="210"/>
      <c r="F190" s="186"/>
      <c r="G190" s="207"/>
      <c r="H190" s="211" t="s">
        <v>135</v>
      </c>
      <c r="I190" s="212"/>
      <c r="J190" s="186"/>
      <c r="K190" s="186"/>
      <c r="L190" s="186"/>
      <c r="M190" s="186"/>
      <c r="N190" s="207"/>
    </row>
    <row r="191" spans="1:14" ht="18" customHeight="1">
      <c r="A191" s="76"/>
      <c r="B191" s="73"/>
      <c r="C191" s="74"/>
      <c r="D191" s="75"/>
      <c r="E191" s="74"/>
      <c r="F191" s="74"/>
      <c r="G191" s="171"/>
      <c r="H191" s="77"/>
      <c r="I191" s="77"/>
      <c r="J191" s="78"/>
      <c r="K191" s="79"/>
      <c r="L191" s="78"/>
      <c r="M191" s="78"/>
      <c r="N191" s="172"/>
    </row>
    <row r="10000" spans="52:52">
      <c r="AZ10000" s="96">
        <v>30</v>
      </c>
    </row>
    <row r="10001" spans="15:52">
      <c r="O10001" s="96">
        <v>87</v>
      </c>
      <c r="P10001" s="96">
        <v>31</v>
      </c>
      <c r="Q10001" s="96">
        <v>30</v>
      </c>
      <c r="R10001" s="96">
        <v>31</v>
      </c>
      <c r="S10001" s="96">
        <v>38</v>
      </c>
      <c r="T10001" s="96">
        <v>33</v>
      </c>
      <c r="AZ10001" s="96">
        <v>31</v>
      </c>
    </row>
  </sheetData>
  <mergeCells count="2">
    <mergeCell ref="A2:E2"/>
    <mergeCell ref="H2:K2"/>
  </mergeCells>
  <hyperlinks>
    <hyperlink ref="A190" r:id="rId1" display="https://www.moreinvest.co.il/media/5jfhbei0/res_%D7%9E%D7%93%D7%99%D7%A0%D7%99%D7%95%D7%AA-%D7%94%D7%A9%D7%AA%D7%AA%D7%A4%D7%95%D7%AA-%D7%91%D7%90%D7%A1%D7%99%D7%A4%D7%95%D7%AA-%D7%9B%D7%9C%D7%9C%D7%99%D7%95%D7%AA-15-8-2023-1.pdf" xr:uid="{815D6726-D699-4A22-BD7F-E0BF01DDE68D}"/>
    <hyperlink ref="H190" r:id="rId2" display="https://www.moreinvest.co.il/media/5jfhbei0/res_%D7%9E%D7%93%D7%99%D7%A0%D7%99%D7%95%D7%AA-%D7%94%D7%A9%D7%AA%D7%AA%D7%A4%D7%95%D7%AA-%D7%91%D7%90%D7%A1%D7%99%D7%A4%D7%95%D7%AA-%D7%9B%D7%9C%D7%9C%D7%99%D7%95%D7%AA-15-8-2023-1.pdf" xr:uid="{E98BE257-74C7-4631-A1B6-08E2411DB445}"/>
  </hyperlinks>
  <pageMargins left="0.7" right="0.7" top="0.75" bottom="0.75" header="0.3" footer="0.3"/>
  <pageSetup paperSize="9" scale="15" orientation="portrait" r:id="rId3"/>
  <drawing r:id="rId4"/>
  <tableParts count="30"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גמל- מדיניות מוצהרת </vt:lpstr>
      <vt:lpstr>פנסיה - מדיניות מוצהרת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7_17_0_2024_12</dc:title>
  <dc:creator>Adi Cohen</dc:creator>
  <cp:lastModifiedBy>Adi Raz</cp:lastModifiedBy>
  <cp:lastPrinted>2025-12-02T12:20:37Z</cp:lastPrinted>
  <dcterms:created xsi:type="dcterms:W3CDTF">2019-11-21T10:57:46Z</dcterms:created>
  <dcterms:modified xsi:type="dcterms:W3CDTF">2026-06-28T12:56:41Z</dcterms:modified>
  <dc:language>Hebrew (Israel)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emoveItalicFormatting">
    <vt:bool>false</vt:bool>
  </property>
  <property fmtid="{D5CDD505-2E9C-101B-9397-08002B2CF9AE}" pid="3" name="RemoveUnderlines">
    <vt:bool>false</vt:bool>
  </property>
  <property fmtid="{D5CDD505-2E9C-101B-9397-08002B2CF9AE}" pid="4" name="RemoveEmptySheets">
    <vt:bool>false</vt:bool>
  </property>
  <property fmtid="{D5CDD505-2E9C-101B-9397-08002B2CF9AE}" pid="5" name="BodyMinFont_tb">
    <vt:i4>0</vt:i4>
  </property>
</Properties>
</file>