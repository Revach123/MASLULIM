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לאתר'!$A$21:$A$30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לאתר'!$A$20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לאתר'!$A$32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1" l="1"/>
  <c r="A26" i="1"/>
  <c r="D14" i="1" l="1"/>
  <c r="D12" i="1"/>
  <c r="D11" i="1"/>
  <c r="D10" i="1"/>
  <c r="D9" i="1"/>
  <c r="D8" i="1"/>
  <c r="D7" i="1"/>
  <c r="D6" i="1"/>
  <c r="D5" i="1"/>
  <c r="D4" i="1"/>
  <c r="C13" i="1" l="1"/>
  <c r="B13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<sst xmlns="http://schemas.openxmlformats.org/spreadsheetml/2006/main" count="53" uniqueCount="47">
  <si>
    <t xml:space="preserve">מדיניות השקעה של ועדת השקעות לשנת 2022 עבור קופה </t>
  </si>
  <si>
    <t>אלטשולר שחם לפנסיה תקציבית מסלול כללי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</si>
  <si>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</si>
  <si>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</si>
  <si>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</si>
  <si>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</si>
  <si>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</si>
  <si>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</si>
  <si>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</si>
  <si>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50%-60%</t>
  </si>
  <si>
    <t>מדד ממשלתי כללי</t>
  </si>
  <si>
    <t>אפיק אגח קונצרני</t>
  </si>
  <si>
    <t>1%-13%</t>
  </si>
  <si>
    <t>מדד קונצרני כללי- 50 % Barclays Capital Global Credit Index - 50%</t>
  </si>
  <si>
    <t>אפיק מניות</t>
  </si>
  <si>
    <t>46%-58%</t>
  </si>
  <si>
    <t>מדד מניות כללי- 20%,  מדד MSCI WORLD 80%</t>
  </si>
  <si>
    <t>אפיק פקדונות</t>
  </si>
  <si>
    <t>ריבית בנק ישראל</t>
  </si>
  <si>
    <t>אפיק קרנות השקעה ושותפיות</t>
  </si>
  <si>
    <t>קונצרני כללי-50%, MSCI World- 50%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</si>
  <si>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</si>
  <si>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</si>
  <si>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</si>
  <si>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</si>
  <si>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</si>
  <si>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</si>
  <si>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0%-10%</t>
  </si>
  <si>
    <t>סה"כ **</t>
  </si>
  <si>
    <t>אפיק מט"ח</t>
  </si>
  <si>
    <t>13%-25%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</si>
  <si>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</si>
  <si>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</si>
  <si>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</si>
  <si>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</si>
  <si>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</si>
  <si>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</si>
  <si>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מ-37% ל-55%</t>
  </si>
  <si>
    <t>שיעור החשיפה לאפיק מניות שונה מ-50% ל-52%</t>
  </si>
  <si>
    <t>שיעור החשיפה לאפיק מטח שונה מ-13% ל-19%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</si>
  <si>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</si>
  <si>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אגח ממשלתי שונה מ-35% ל-37%</t>
  </si>
  <si>
    <t>שיעור החשיפה לאפיק אגח קונצרני שונה מ-10% ל-7%</t>
  </si>
  <si>
    <t>שיעור החשיפה לאפיק מניות שונה מ-49% ל-50%</t>
  </si>
  <si>
    <t>שיעור החשיפה לאפיק מזומן ותחליפי מזומן ממשלתי  עד 90 יום (כולל) שונה מ-9% ל-12%</t>
  </si>
  <si>
    <t>שיעור החשיפה לאפיק מט"ח שונה מ-18% ל-16%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</si>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</sst>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0" fillId="0" borderId="12" xfId="0" applyBorder="1"/>
    <xf numFmtId="0" fontId="9" fillId="0" borderId="13" xfId="0" applyFont="1" applyBorder="1"/>
    <xf numFmtId="0" fontId="0" fillId="0" borderId="1" xfId="0" applyBorder="1"/>
    <xf numFmtId="0" fontId="10" fillId="0" borderId="3" xfId="0" applyFont="1" applyBorder="1" applyAlignment="1">
      <alignment vertical="center" readingOrder="2"/>
    </xf>
    <xf numFmtId="0" fontId="2" fillId="0" borderId="0" xfId="0" applyFont="1" applyFill="1" applyAlignment="1">
      <alignment horizontal="center" vertical="center" readingOrder="2"/>
    </xf>
    <xf numFmtId="0" fontId="11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6</xdr:col>
      <xdr:colOff>434911</xdr:colOff>
      <xdr:row>32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1BB1AFD9-905B-40CF-BF31-CB734B75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7800975"/>
          <a:ext cx="157606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4" totalsRowShown="0" headerRowDxfId="10" dataDxfId="8" headerRowBorderDxfId="9" tableBorderDxfId="7" totalsRowBorderDxfId="6">
  <autoFilter ref="A3:F14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4"/>
  <sheetViews>
    <sheetView showGridLines="0" rightToLeft="1" tabSelected="1" zoomScale="85" zoomScaleNormal="85" workbookViewId="0">
      <selection activeCell="A35" sqref="A35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64" bestFit="1" customWidth="1"/>
    <col min="7" max="7" width="4.375" customWidth="1"/>
    <col min="8" max="8" width="20" bestFit="1" customWidth="1"/>
    <col min="9" max="9" width="11" customWidth="1"/>
  </cols>
  <sheetData>
    <row r="1" spans="1:9" ht="20.25" x14ac:dyDescent="0.2">
      <c r="A1" s="34" t="s">
        <v>0</v>
      </c>
      <c r="B1" s="34"/>
      <c r="C1" s="34"/>
      <c r="D1" s="34"/>
      <c r="E1" s="34"/>
      <c r="F1" s="34"/>
      <c r="G1" s="1"/>
      <c r="H1" s="35" t="s">
        <v>46</v>
      </c>
      <c r="I1" s="1"/>
    </row>
    <row r="2" spans="1:9" ht="20.25" x14ac:dyDescent="0.2">
      <c r="A2" s="34" t="s">
        <v>1</v>
      </c>
      <c r="B2" s="34"/>
      <c r="C2" s="34"/>
      <c r="D2" s="34"/>
      <c r="E2" s="34"/>
      <c r="F2" s="34"/>
      <c r="G2" s="1"/>
      <c r="H2" s="35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5"/>
    </row>
    <row r="4" spans="1:9" s="8" customFormat="1" x14ac:dyDescent="0.2">
      <c r="A4" s="9" t="s">
        <v>8</v>
      </c>
      <c r="B4" s="10">
        <v>0.39</v>
      </c>
      <c r="C4" s="11">
        <v>0.55000000000000004</v>
      </c>
      <c r="D4" s="12" t="str">
        <f>"+/-"&amp;"5%"</f>
        <v>+/-5%</v>
      </c>
      <c r="E4" s="13" t="s">
        <v>9</v>
      </c>
      <c r="F4" s="14" t="s">
        <v>10</v>
      </c>
      <c r="H4" s="35"/>
    </row>
    <row r="5" spans="1:9" s="8" customFormat="1" x14ac:dyDescent="0.2">
      <c r="A5" s="9" t="s">
        <v>11</v>
      </c>
      <c r="B5" s="10">
        <v>7.0000000000000007E-2</v>
      </c>
      <c r="C5" s="11">
        <v>7.0000000000000007E-2</v>
      </c>
      <c r="D5" s="12" t="str">
        <f>"+/-"&amp;"6%"</f>
        <v>+/-6%</v>
      </c>
      <c r="E5" s="13" t="s">
        <v>12</v>
      </c>
      <c r="F5" s="14" t="s">
        <v>13</v>
      </c>
      <c r="H5" s="35"/>
    </row>
    <row r="6" spans="1:9" s="8" customFormat="1" x14ac:dyDescent="0.2">
      <c r="A6" s="9" t="s">
        <v>14</v>
      </c>
      <c r="B6" s="10">
        <v>0.49</v>
      </c>
      <c r="C6" s="11">
        <v>0.52</v>
      </c>
      <c r="D6" s="12" t="str">
        <f>"+/-"&amp;"6%"</f>
        <v>+/-6%</v>
      </c>
      <c r="E6" s="13" t="s">
        <v>15</v>
      </c>
      <c r="F6" s="14" t="s">
        <v>16</v>
      </c>
      <c r="H6" s="35"/>
    </row>
    <row r="7" spans="1:9" s="8" customFormat="1" x14ac:dyDescent="0.2">
      <c r="A7" s="9" t="s">
        <v>17</v>
      </c>
      <c r="B7" s="10">
        <v>0</v>
      </c>
      <c r="C7" s="11">
        <v>0.05</v>
      </c>
      <c r="D7" s="12" t="str">
        <f t="shared" ref="D7:D12" si="0">"+/-"&amp;"5%"</f>
        <v>+/-5%</v>
      </c>
      <c r="E7" s="13" t="s">
        <v>27</v>
      </c>
      <c r="F7" s="14" t="s">
        <v>18</v>
      </c>
      <c r="H7" s="35"/>
    </row>
    <row r="8" spans="1:9" s="8" customFormat="1" x14ac:dyDescent="0.2">
      <c r="A8" s="9" t="s">
        <v>19</v>
      </c>
      <c r="B8" s="10">
        <v>0</v>
      </c>
      <c r="C8" s="11">
        <v>0.05</v>
      </c>
      <c r="D8" s="12" t="str">
        <f t="shared" si="0"/>
        <v>+/-5%</v>
      </c>
      <c r="E8" s="13" t="s">
        <v>27</v>
      </c>
      <c r="F8" s="14" t="s">
        <v>20</v>
      </c>
      <c r="H8" s="35"/>
    </row>
    <row r="9" spans="1:9" s="8" customFormat="1" x14ac:dyDescent="0.2">
      <c r="A9" s="9" t="s">
        <v>21</v>
      </c>
      <c r="B9" s="10">
        <v>0</v>
      </c>
      <c r="C9" s="11">
        <v>0.05</v>
      </c>
      <c r="D9" s="12" t="str">
        <f t="shared" si="0"/>
        <v>+/-5%</v>
      </c>
      <c r="E9" s="13" t="s">
        <v>27</v>
      </c>
      <c r="F9" s="14" t="s">
        <v>22</v>
      </c>
      <c r="H9" s="35"/>
    </row>
    <row r="10" spans="1:9" s="8" customFormat="1" ht="24" x14ac:dyDescent="0.2">
      <c r="A10" s="9" t="s">
        <v>23</v>
      </c>
      <c r="B10" s="10">
        <v>0.13</v>
      </c>
      <c r="C10" s="11">
        <v>0.12</v>
      </c>
      <c r="D10" s="12" t="str">
        <f t="shared" si="0"/>
        <v>+/-5%</v>
      </c>
      <c r="E10" s="13" t="s">
        <v>24</v>
      </c>
      <c r="F10" s="14" t="s">
        <v>18</v>
      </c>
      <c r="H10" s="35"/>
    </row>
    <row r="11" spans="1:9" s="8" customFormat="1" x14ac:dyDescent="0.2">
      <c r="A11" s="9" t="s">
        <v>25</v>
      </c>
      <c r="B11" s="10">
        <v>0</v>
      </c>
      <c r="C11" s="11">
        <v>0.05</v>
      </c>
      <c r="D11" s="12" t="str">
        <f t="shared" si="0"/>
        <v>+/-5%</v>
      </c>
      <c r="E11" s="13" t="s">
        <v>27</v>
      </c>
      <c r="F11" s="14"/>
      <c r="H11" s="35"/>
    </row>
    <row r="12" spans="1:9" s="8" customFormat="1" x14ac:dyDescent="0.2">
      <c r="A12" s="9" t="s">
        <v>26</v>
      </c>
      <c r="B12" s="10">
        <v>0</v>
      </c>
      <c r="C12" s="11">
        <v>0.05</v>
      </c>
      <c r="D12" s="12" t="str">
        <f t="shared" si="0"/>
        <v>+/-5%</v>
      </c>
      <c r="E12" s="13" t="s">
        <v>27</v>
      </c>
      <c r="F12" s="14"/>
      <c r="H12" s="35"/>
    </row>
    <row r="13" spans="1:9" s="8" customFormat="1" x14ac:dyDescent="0.2">
      <c r="A13" s="9" t="s">
        <v>28</v>
      </c>
      <c r="B13" s="10">
        <f>SUM(B4:B12)</f>
        <v>1.08</v>
      </c>
      <c r="C13" s="11">
        <f>SUBTOTAL(109,C4:C12)</f>
        <v>1.5100000000000002</v>
      </c>
      <c r="D13" s="12"/>
      <c r="E13" s="13"/>
      <c r="F13" s="14"/>
      <c r="H13" s="35"/>
    </row>
    <row r="14" spans="1:9" s="8" customFormat="1" x14ac:dyDescent="0.2">
      <c r="A14" s="15" t="s">
        <v>29</v>
      </c>
      <c r="B14" s="16">
        <v>0.15</v>
      </c>
      <c r="C14" s="17">
        <v>0.19</v>
      </c>
      <c r="D14" s="18" t="str">
        <f>"+/-"&amp;"6%"</f>
        <v>+/-6%</v>
      </c>
      <c r="E14" s="19" t="s">
        <v>30</v>
      </c>
      <c r="F14" s="20" t="s">
        <v>31</v>
      </c>
      <c r="H14" s="35"/>
    </row>
    <row r="15" spans="1:9" ht="15.75" x14ac:dyDescent="0.25">
      <c r="A15" s="21" t="s">
        <v>32</v>
      </c>
      <c r="H15" s="35"/>
    </row>
    <row r="16" spans="1:9" ht="15.75" x14ac:dyDescent="0.25">
      <c r="A16" s="21" t="s">
        <v>33</v>
      </c>
      <c r="H16" s="35"/>
    </row>
    <row r="17" spans="1:8" ht="15.75" x14ac:dyDescent="0.25">
      <c r="A17" s="22" t="s">
        <v>34</v>
      </c>
      <c r="H17" s="35"/>
    </row>
    <row r="18" spans="1:8" ht="15.75" x14ac:dyDescent="0.25">
      <c r="A18" s="22" t="s">
        <v>35</v>
      </c>
      <c r="H18" s="35"/>
    </row>
    <row r="19" spans="1:8" ht="15" x14ac:dyDescent="0.2">
      <c r="A19" s="23" t="s">
        <v>36</v>
      </c>
      <c r="H19" s="35"/>
    </row>
    <row r="20" spans="1:8" ht="15" x14ac:dyDescent="0.2">
      <c r="A20" s="24" t="s">
        <v>40</v>
      </c>
      <c r="B20" s="25"/>
      <c r="C20" s="25"/>
      <c r="D20" s="25"/>
      <c r="E20" s="26"/>
      <c r="F20" s="27"/>
      <c r="H20" s="35"/>
    </row>
    <row r="21" spans="1:8" x14ac:dyDescent="0.2">
      <c r="A21" s="28" t="s">
        <v>41</v>
      </c>
      <c r="B21" s="29"/>
      <c r="C21" s="29"/>
      <c r="D21" s="29"/>
      <c r="E21" s="30"/>
      <c r="F21" s="27"/>
      <c r="H21" s="35"/>
    </row>
    <row r="22" spans="1:8" x14ac:dyDescent="0.2">
      <c r="A22" s="28" t="s">
        <v>42</v>
      </c>
      <c r="B22" s="29"/>
      <c r="C22" s="29"/>
      <c r="D22" s="29"/>
      <c r="E22" s="30"/>
      <c r="F22" s="27"/>
      <c r="H22" s="35"/>
    </row>
    <row r="23" spans="1:8" x14ac:dyDescent="0.2">
      <c r="A23" s="28" t="s">
        <v>43</v>
      </c>
      <c r="B23" s="29"/>
      <c r="C23" s="29"/>
      <c r="D23" s="29"/>
      <c r="E23" s="30"/>
      <c r="F23" s="27"/>
      <c r="H23" s="35"/>
    </row>
    <row r="24" spans="1:8" x14ac:dyDescent="0.2">
      <c r="A24" s="28" t="s">
        <v>44</v>
      </c>
      <c r="B24" s="29"/>
      <c r="C24" s="29"/>
      <c r="D24" s="29"/>
      <c r="E24" s="30"/>
      <c r="H24" s="35"/>
    </row>
    <row r="25" spans="1:8" x14ac:dyDescent="0.2">
      <c r="A25" s="28" t="s">
        <v>45</v>
      </c>
      <c r="B25" s="29"/>
      <c r="C25" s="29"/>
      <c r="D25" s="29"/>
      <c r="E25" s="30"/>
      <c r="H25" s="35"/>
    </row>
    <row r="26" spans="1:8" ht="15" x14ac:dyDescent="0.2">
      <c r="A26" s="24" t="str">
        <f>"בהתאם לחוזר הצהרה מראש על מדיניות ההשקעה עלינו לדווח כי ביום " &amp; "08/02/2022" &amp; " שונתה מדיניות ההשקעה הצפויה לשנת 2022 :"</f>
        <v>בהתאם לחוזר הצהרה מראש על מדיניות ההשקעה עלינו לדווח כי ביום 08/02/2022 שונתה מדיניות ההשקעה הצפויה לשנת 2022 :</v>
      </c>
      <c r="B26" s="25"/>
      <c r="C26" s="25"/>
      <c r="D26" s="25"/>
      <c r="E26" s="30"/>
      <c r="H26" s="35"/>
    </row>
    <row r="27" spans="1:8" x14ac:dyDescent="0.2">
      <c r="A27" s="28" t="s">
        <v>39</v>
      </c>
      <c r="B27" s="29"/>
      <c r="C27" s="29"/>
      <c r="D27" s="29"/>
      <c r="E27" s="30"/>
      <c r="H27" s="35"/>
    </row>
    <row r="28" spans="1:8" ht="15" x14ac:dyDescent="0.2">
      <c r="A28" s="24" t="str">
        <f>"בהתאם לחוזר הצהרה מראש על מדיניות ההשקעה עלינו לדווח כי ביום " &amp;"27/02/2022" &amp; " שונתה מדיניות ההשקעה הצפויה לשנת 2022 :"</f>
        <v>בהתאם לחוזר הצהרה מראש על מדיניות ההשקעה עלינו לדווח כי ביום 27/02/2022 שונתה מדיניות ההשקעה הצפויה לשנת 2022 :</v>
      </c>
      <c r="B28" s="25"/>
      <c r="C28" s="25"/>
      <c r="D28" s="25"/>
      <c r="E28" s="30"/>
      <c r="H28" s="35"/>
    </row>
    <row r="29" spans="1:8" x14ac:dyDescent="0.2">
      <c r="A29" s="28" t="s">
        <v>37</v>
      </c>
      <c r="B29" s="29"/>
      <c r="C29" s="29"/>
      <c r="D29" s="29"/>
      <c r="E29" s="30"/>
      <c r="H29" s="35"/>
    </row>
    <row r="30" spans="1:8" x14ac:dyDescent="0.2">
      <c r="A30" s="33" t="s">
        <v>38</v>
      </c>
      <c r="B30" s="31"/>
      <c r="C30" s="31"/>
      <c r="D30" s="31"/>
      <c r="E30" s="32"/>
      <c r="H30" s="35"/>
    </row>
    <row r="31" spans="1:8" x14ac:dyDescent="0.2">
      <c r="H31" s="35"/>
    </row>
    <row r="32" spans="1:8" x14ac:dyDescent="0.2">
      <c r="H32" s="35"/>
    </row>
    <row r="33" spans="1:8" x14ac:dyDescent="0.2">
      <c r="H33" s="35"/>
    </row>
    <row r="34" spans="1:8" x14ac:dyDescent="0.2">
      <c r="A34" s="36" t="s">
        <v>46</v>
      </c>
      <c r="B34" s="36"/>
      <c r="C34" s="36"/>
      <c r="D34" s="36"/>
      <c r="E34" s="36"/>
      <c r="F34" s="36"/>
      <c r="G34" s="36"/>
    </row>
  </sheetData>
  <mergeCells count="4">
    <mergeCell ref="A1:F1"/>
    <mergeCell ref="A2:F2"/>
    <mergeCell ref="H1:H33"/>
    <mergeCell ref="A34:G34"/>
  </mergeCells>
  <hyperlinks>
    <hyperlink ref="A19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2022-03-02T09:56:18Z</dcterms:created>
  <dcterms:modified xsi:type="dcterms:W3CDTF">2022-03-23T08:48:02Z</dcterms:modified>
</cp:coreProperties>
</file>