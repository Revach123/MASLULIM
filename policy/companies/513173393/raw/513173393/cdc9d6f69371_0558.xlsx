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86CF89DD-95FE-4239-9FDF-251ECAD0E456}" xr6:coauthVersionLast="36" xr6:coauthVersionMax="36" xr10:uidLastSave="{00000000-0000-0000-0000-000000000000}"/>
  <bookViews>
    <workbookView xWindow="0" yWindow="0" windowWidth="28800" windowHeight="10995" xr2:uid="{9EB468CF-3209-4E6B-BE18-BA36AACD7AC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<sst xmlns="http://schemas.openxmlformats.org/spreadsheetml/2006/main" count="69" uniqueCount="55">
  <si>
    <t xml:space="preserve">מדיניות השקעה צפויה לשנת 2026 עבור מסלול </t>
  </si>
  <si>
    <t>אלטשולר שחם השתלמות  אשראי ואג"ח עם מניות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</si>
  <si>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</si>
  <si>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</si>
  <si>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</si>
  <si>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</si>
  <si>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</si>
  <si>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</si>
  <si>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</si>
  <si>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</si>
  <si>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</si>
  <si>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</si>
  <si>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</si>
  <si>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</si>
  <si>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</si>
  <si>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קונצרני</t>
  </si>
  <si>
    <t>+/-6%</t>
  </si>
  <si>
    <t>3%-15%</t>
  </si>
  <si>
    <t>67%-תל בונד 20,
33%-Bloomberg Global Aggregate Corporate</t>
  </si>
  <si>
    <t>מניות</t>
  </si>
  <si>
    <t>13%-25%</t>
  </si>
  <si>
    <t>מדד מניות ת"א 125- 30%
MSCI WORLD- 70%</t>
  </si>
  <si>
    <t>קרנות השקעה חוב</t>
  </si>
  <si>
    <t>2%-12%</t>
  </si>
  <si>
    <t>50%-תל בונד 20,
50%-Bloomberg Global Aggregate Corporate</t>
  </si>
  <si>
    <t>קרנות השקעה מנייתיות</t>
  </si>
  <si>
    <t>0%-10%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</si>
  <si>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</si>
  <si>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</si>
  <si>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</si>
  <si>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</si>
  <si>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</si>
  <si>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</si>
  <si>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</si>
  <si>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1%-11%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</si>
  <si>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</si>
  <si>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</si>
  <si>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</si>
  <si>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</si>
  <si>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ICE BofA AAA US Fixed Rate CMBS Index</t>
  </si>
  <si>
    <t>**סה"כ</t>
  </si>
  <si>
    <t>חשיפה למט"ח</t>
  </si>
  <si>
    <t>10%-22%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</si>
  <si>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</si>
  <si>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</si>
  <si>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</si>
  <si>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</si>
  <si>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</si>
  <si>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</si>
  <si>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</si>
  <si>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</si>
  <si>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</si>
  <si>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מ-29% ל-31%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</si>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</sst>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6C2314F-7C5D-43BD-BB54-D8D2650D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8C091-0281-45BE-BE2E-B7899FEFE005}" name="WebTBL_1" displayName="WebTBL_1" ref="A4:F18" totalsRowShown="0" headerRowDxfId="10" dataDxfId="9" headerRowBorderDxfId="7" tableBorderDxfId="8" totalsRowBorderDxfId="6">
  <autoFilter ref="A4:F18" xr:uid="{51DB5D4D-5713-44CB-850B-FE2C0C64018E}"/>
  <tableColumns count="6">
    <tableColumn id="1" xr3:uid="{3EFEC6AA-585C-42A4-ABE2-E4EBB081BFD0}" name="אפיק השקעה" dataDxfId="5"/>
    <tableColumn id="2" xr3:uid="{B679CDB7-17EB-45A9-AF8A-2F70400418D3}" name="שיעור החשיפה בפועל ליום  31/12/2025*" dataDxfId="4" dataCellStyle="Percent"/>
    <tableColumn id="3" xr3:uid="{2FE77C55-E21C-4F98-94DD-C77424DE08DC}" name="שיעור החשיפה הצפוי לשנת 2026" dataDxfId="3" dataCellStyle="Percent"/>
    <tableColumn id="4" xr3:uid="{4C6112DF-5F41-416A-9C40-AF183CA2F437}" name="טווח סטייה" dataDxfId="2"/>
    <tableColumn id="5" xr3:uid="{A13F6880-CDEE-4AF6-B9B3-6BBCB8181245}" name="גבולות שיעור החשיפה הצפויה" dataDxfId="1"/>
    <tableColumn id="6" xr3:uid="{58858AE7-B1CB-4F94-B2C8-142C0F5E427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C1D1-20F5-45E7-8029-983868C26C6E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0.32500000000000001</v>
      </c>
      <c r="C5" s="9">
        <v>0.31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0.17280000000000001</v>
      </c>
      <c r="C6" s="9">
        <v>0.23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7.5700000000000003E-2</v>
      </c>
      <c r="C7" s="9">
        <v>0.09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0.18720000000000001</v>
      </c>
      <c r="C8" s="9">
        <v>0.19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6.9400000000000003E-2</v>
      </c>
      <c r="C9" s="9">
        <v>7.0000000000000007E-2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5.5399999999999998E-2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6.3399999999999998E-2</v>
      </c>
      <c r="C11" s="9">
        <v>0.09</v>
      </c>
      <c r="D11" s="10" t="s">
        <v>9</v>
      </c>
      <c r="E11" s="10" t="s">
        <v>29</v>
      </c>
      <c r="F11" s="11" t="s">
        <v>30</v>
      </c>
      <c r="G11" s="24"/>
    </row>
    <row r="12" spans="1:9" x14ac:dyDescent="0.2">
      <c r="A12" s="8" t="s">
        <v>31</v>
      </c>
      <c r="B12" s="9">
        <v>4.1399999999999999E-2</v>
      </c>
      <c r="C12" s="9">
        <v>0.05</v>
      </c>
      <c r="D12" s="10" t="s">
        <v>9</v>
      </c>
      <c r="E12" s="10" t="s">
        <v>26</v>
      </c>
      <c r="F12" s="11" t="s">
        <v>32</v>
      </c>
      <c r="G12" s="24"/>
    </row>
    <row r="13" spans="1:9" ht="42.75" x14ac:dyDescent="0.2">
      <c r="A13" s="8" t="s">
        <v>33</v>
      </c>
      <c r="B13" s="9">
        <v>6.6100000000000006E-2</v>
      </c>
      <c r="C13" s="9">
        <v>0.06</v>
      </c>
      <c r="D13" s="10" t="s">
        <v>9</v>
      </c>
      <c r="E13" s="10" t="s">
        <v>34</v>
      </c>
      <c r="F13" s="11" t="s">
        <v>35</v>
      </c>
      <c r="G13" s="24"/>
    </row>
    <row r="14" spans="1:9" x14ac:dyDescent="0.2">
      <c r="A14" s="8" t="s">
        <v>36</v>
      </c>
      <c r="B14" s="9">
        <v>0</v>
      </c>
      <c r="C14" s="9">
        <v>0.05</v>
      </c>
      <c r="D14" s="10" t="s">
        <v>9</v>
      </c>
      <c r="E14" s="10" t="s">
        <v>26</v>
      </c>
      <c r="F14" s="11" t="s">
        <v>37</v>
      </c>
      <c r="G14" s="24"/>
    </row>
    <row r="15" spans="1:9" x14ac:dyDescent="0.2">
      <c r="A15" s="8" t="s">
        <v>38</v>
      </c>
      <c r="B15" s="9">
        <v>3.8E-3</v>
      </c>
      <c r="C15" s="9">
        <v>0.05</v>
      </c>
      <c r="D15" s="10" t="s">
        <v>9</v>
      </c>
      <c r="E15" s="10" t="s">
        <v>26</v>
      </c>
      <c r="F15" s="11" t="s">
        <v>39</v>
      </c>
      <c r="G15" s="24"/>
    </row>
    <row r="16" spans="1:9" x14ac:dyDescent="0.2">
      <c r="A16" s="8" t="s">
        <v>40</v>
      </c>
      <c r="B16" s="9">
        <f ca="1">SUM(B4:B15)</f>
        <v>1.0602</v>
      </c>
      <c r="C16" s="9">
        <f ca="1">SUM(C4:C15)</f>
        <v>1.2400000000000004</v>
      </c>
      <c r="D16" s="10"/>
      <c r="E16" s="10"/>
      <c r="F16" s="11"/>
      <c r="G16" s="24"/>
    </row>
    <row r="17" spans="1:7" x14ac:dyDescent="0.2">
      <c r="A17" s="8" t="s">
        <v>41</v>
      </c>
      <c r="B17" s="9">
        <v>0.14630000000000001</v>
      </c>
      <c r="C17" s="9">
        <v>0.16</v>
      </c>
      <c r="D17" s="10" t="s">
        <v>16</v>
      </c>
      <c r="E17" s="10" t="s">
        <v>42</v>
      </c>
      <c r="F17" s="11" t="s">
        <v>43</v>
      </c>
      <c r="G17" s="24"/>
    </row>
    <row r="18" spans="1:7" x14ac:dyDescent="0.2">
      <c r="A18" s="12" t="s">
        <v>44</v>
      </c>
      <c r="B18" s="13"/>
      <c r="C18" s="13">
        <v>2.7000000000000001E-3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45</v>
      </c>
      <c r="B25" s="3"/>
      <c r="C25" s="3"/>
      <c r="D25"/>
      <c r="E25"/>
      <c r="F25"/>
      <c r="G25" s="24"/>
    </row>
    <row r="26" spans="1:7" x14ac:dyDescent="0.2">
      <c r="A26" s="16" t="s">
        <v>46</v>
      </c>
      <c r="B26" s="3"/>
      <c r="C26" s="3"/>
      <c r="D26"/>
      <c r="E26"/>
      <c r="F26"/>
      <c r="G26" s="24"/>
    </row>
    <row r="27" spans="1:7" x14ac:dyDescent="0.2">
      <c r="A27" t="s">
        <v>47</v>
      </c>
      <c r="B27" s="3"/>
      <c r="C27" s="3"/>
      <c r="D27"/>
      <c r="E27"/>
      <c r="F27"/>
      <c r="G27" s="24"/>
    </row>
    <row r="28" spans="1:7" x14ac:dyDescent="0.2">
      <c r="A28" t="s">
        <v>48</v>
      </c>
      <c r="B28" s="3"/>
      <c r="C28" s="3"/>
      <c r="D28"/>
      <c r="E28"/>
      <c r="F28"/>
      <c r="G28" s="24"/>
    </row>
    <row r="29" spans="1:7" x14ac:dyDescent="0.2">
      <c r="A29" s="17" t="s">
        <v>49</v>
      </c>
      <c r="B29" s="3"/>
      <c r="C29" s="3"/>
      <c r="D29"/>
      <c r="E29"/>
      <c r="F29"/>
      <c r="G29" s="24"/>
    </row>
    <row r="30" spans="1:7" x14ac:dyDescent="0.2">
      <c r="A30" t="s">
        <v>50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51</v>
      </c>
      <c r="B37" s="3"/>
      <c r="C37" s="3"/>
      <c r="D37"/>
      <c r="E37"/>
      <c r="F37"/>
      <c r="G37" s="24"/>
    </row>
    <row r="38" spans="1:7" x14ac:dyDescent="0.2">
      <c r="A38" t="s">
        <v>52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53</v>
      </c>
      <c r="E40"/>
      <c r="F40"/>
      <c r="G40" s="24"/>
    </row>
    <row r="41" spans="1:7" x14ac:dyDescent="0.2">
      <c r="A41" s="23" t="s">
        <v>54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0F1902E2-9E36-47B6-9D59-C4D344B3670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2026-06-17T08:39:39Z</dcterms:created>
  <dcterms:modified xsi:type="dcterms:W3CDTF">2026-06-17T08:39:40Z</dcterms:modified>
</cp:coreProperties>
</file>