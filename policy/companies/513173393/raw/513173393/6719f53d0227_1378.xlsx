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2C545325-9C83-4ABE-874C-1600ACEF6249}" xr6:coauthVersionLast="47" xr6:coauthVersionMax="47" xr10:uidLastSave="{00000000-0000-0000-0000-000000000000}"/>
  <bookViews>
    <workbookView xWindow="-28920" yWindow="-90" windowWidth="29040" windowHeight="15720" xr2:uid="{59FC868A-727B-4065-83DC-CE92041723D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<sst xmlns="http://schemas.openxmlformats.org/spreadsheetml/2006/main" count="61" uniqueCount="47">
  <si>
    <t xml:space="preserve">מדיניות השקעה צפויה לשנת 2025 עבור מסלול </t>
  </si>
  <si>
    <t>אלטשולר שחם השתלמות אשראי ואג"ח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</si>
  <si>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</si>
  <si>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</si>
  <si>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</si>
  <si>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</si>
  <si>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</si>
  <si>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</si>
  <si>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</si>
  <si>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</si>
  <si>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50%-60%</t>
  </si>
  <si>
    <t>67%-מדד אג"ח ממשלתיות כללי,
 33%-ICE BOfA 10Y US TREASURY INDEX</t>
  </si>
  <si>
    <t>השקעה באג"ח ממשלתי עד שנה</t>
  </si>
  <si>
    <t>17%-27%</t>
  </si>
  <si>
    <t>67% - מדד תל גוב-מק"מ 
33% - ICE BOfA 0-1 YEAR US TREASURY INDEX</t>
  </si>
  <si>
    <t>אג"ח קונצרני</t>
  </si>
  <si>
    <t>+/-6%</t>
  </si>
  <si>
    <t>5%-17%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</si>
  <si>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</si>
  <si>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</si>
  <si>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</si>
  <si>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</si>
  <si>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</si>
  <si>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</si>
  <si>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</si>
  <si>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5%-15%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</si>
  <si>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</si>
  <si>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</si>
  <si>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</si>
  <si>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</si>
  <si>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למוצרים מובנים</t>
  </si>
  <si>
    <t>ICE BofA AAA US Fixed Rate CMBS Index</t>
  </si>
  <si>
    <t>**סה"כ</t>
  </si>
  <si>
    <t>חשיפה למט"ח</t>
  </si>
  <si>
    <t>8%-20%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</si>
  <si>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</si>
  <si>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</si>
  <si>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</si>
  <si>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</si>
  <si>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</si>
  <si>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</si>
  <si>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</si>
  <si>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</si>
  <si>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</si>
  <si>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מ-56% ל-55%</t>
  </si>
  <si>
    <t>שיעור החשיפה לחשיפה למט"ח שונה מ-15% ל-14%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</si>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</sst>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67B1F70-B58B-47F4-A3C2-EDF810EDB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0018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48BB9-BEB1-4900-A87F-1811523CFD74}" name="WebTBL_1" displayName="WebTBL_1" ref="A4:F16" totalsRowShown="0" headerRowDxfId="10" dataDxfId="9" headerRowBorderDxfId="7" tableBorderDxfId="8" totalsRowBorderDxfId="6">
  <autoFilter ref="A4:F16" xr:uid="{3FD64510-CF4B-4B91-93CD-5B9C7D915F42}"/>
  <tableColumns count="6">
    <tableColumn id="1" xr3:uid="{B155EB6F-B108-452B-8E50-67429F3DFD2D}" name="אפיק השקעה" dataDxfId="5"/>
    <tableColumn id="2" xr3:uid="{781A031C-0C3C-4F5E-9AA9-ACF74AB65787}" name="שיעור החשיפה בפועל ליום  31/12/2024*" dataDxfId="4"/>
    <tableColumn id="3" xr3:uid="{58F96CB4-F185-457A-AD35-5B410A9C6181}" name="שיעור החשיפה הצפוי לשנת 2025" dataDxfId="3"/>
    <tableColumn id="4" xr3:uid="{1BE021BE-B48C-49F1-8E74-53A18EA14BAA}" name="טווח סטייה" dataDxfId="2" dataCellStyle="Percent"/>
    <tableColumn id="5" xr3:uid="{54CDBFBE-CA5A-4326-9143-6DE311CA3F33}" name="גבולות שיעור החשיפה הצפויה" dataDxfId="1" dataCellStyle="Percent"/>
    <tableColumn id="6" xr3:uid="{35C57ADB-6FD7-4C09-A27D-4A7EDC5AAAD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1E46-2027-485A-9B5A-7CBFA37E77E7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0.55000000000000004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0.22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0.10249999999999999</v>
      </c>
      <c r="C7" s="9">
        <v>0.11</v>
      </c>
      <c r="D7" s="10" t="s">
        <v>16</v>
      </c>
      <c r="E7" s="11" t="s">
        <v>17</v>
      </c>
      <c r="F7" s="12" t="s">
        <v>18</v>
      </c>
      <c r="G7" s="23"/>
    </row>
    <row r="8" spans="1:9" x14ac:dyDescent="0.2">
      <c r="A8" s="8" t="s">
        <v>19</v>
      </c>
      <c r="B8" s="9">
        <v>5.9999999999999995E-4</v>
      </c>
      <c r="C8" s="9">
        <v>0.05</v>
      </c>
      <c r="D8" s="10" t="s">
        <v>9</v>
      </c>
      <c r="E8" s="11" t="s">
        <v>20</v>
      </c>
      <c r="F8" s="12" t="s">
        <v>21</v>
      </c>
      <c r="G8" s="23"/>
    </row>
    <row r="9" spans="1:9" ht="28.5" x14ac:dyDescent="0.2">
      <c r="A9" s="8" t="s">
        <v>22</v>
      </c>
      <c r="B9" s="9">
        <v>2.7E-2</v>
      </c>
      <c r="C9" s="9">
        <v>0.05</v>
      </c>
      <c r="D9" s="10" t="s">
        <v>9</v>
      </c>
      <c r="E9" s="11" t="s">
        <v>20</v>
      </c>
      <c r="F9" s="12" t="s">
        <v>23</v>
      </c>
      <c r="G9" s="23"/>
    </row>
    <row r="10" spans="1:9" ht="28.5" x14ac:dyDescent="0.2">
      <c r="A10" s="8" t="s">
        <v>24</v>
      </c>
      <c r="B10" s="9">
        <v>8.6599999999999996E-2</v>
      </c>
      <c r="C10" s="9">
        <v>0.1</v>
      </c>
      <c r="D10" s="10" t="s">
        <v>9</v>
      </c>
      <c r="E10" s="11" t="s">
        <v>25</v>
      </c>
      <c r="F10" s="12" t="s">
        <v>26</v>
      </c>
      <c r="G10" s="23"/>
    </row>
    <row r="11" spans="1:9" x14ac:dyDescent="0.2">
      <c r="A11" s="8" t="s">
        <v>27</v>
      </c>
      <c r="B11" s="9">
        <v>5.21E-2</v>
      </c>
      <c r="C11" s="9">
        <v>0.05</v>
      </c>
      <c r="D11" s="10" t="s">
        <v>9</v>
      </c>
      <c r="E11" s="11" t="s">
        <v>20</v>
      </c>
      <c r="F11" s="12" t="s">
        <v>21</v>
      </c>
      <c r="G11" s="23"/>
    </row>
    <row r="12" spans="1:9" ht="42.75" x14ac:dyDescent="0.2">
      <c r="A12" s="8" t="s">
        <v>28</v>
      </c>
      <c r="B12" s="9">
        <v>1.8200000000000001E-2</v>
      </c>
      <c r="C12" s="9">
        <v>0.05</v>
      </c>
      <c r="D12" s="10" t="s">
        <v>9</v>
      </c>
      <c r="E12" s="11" t="s">
        <v>20</v>
      </c>
      <c r="F12" s="12" t="s">
        <v>29</v>
      </c>
      <c r="G12" s="23"/>
    </row>
    <row r="13" spans="1:9" x14ac:dyDescent="0.2">
      <c r="A13" s="8" t="s">
        <v>30</v>
      </c>
      <c r="B13" s="9">
        <v>8.6E-3</v>
      </c>
      <c r="C13" s="9">
        <v>0.05</v>
      </c>
      <c r="D13" s="10" t="s">
        <v>9</v>
      </c>
      <c r="E13" s="11" t="s">
        <v>20</v>
      </c>
      <c r="F13" s="12" t="s">
        <v>31</v>
      </c>
      <c r="G13" s="23"/>
    </row>
    <row r="14" spans="1:9" x14ac:dyDescent="0.2">
      <c r="A14" s="8" t="s">
        <v>32</v>
      </c>
      <c r="B14" s="9">
        <f>SUM(B4:B13)</f>
        <v>0.29559999999999997</v>
      </c>
      <c r="C14" s="9">
        <f>SUM(C4:C13)</f>
        <v>1.2300000000000002</v>
      </c>
      <c r="D14" s="10"/>
      <c r="E14" s="11"/>
      <c r="F14" s="12"/>
      <c r="G14" s="23"/>
    </row>
    <row r="15" spans="1:9" x14ac:dyDescent="0.2">
      <c r="A15" s="8" t="s">
        <v>33</v>
      </c>
      <c r="B15" s="9">
        <v>0.14419999999999999</v>
      </c>
      <c r="C15" s="9">
        <v>0.14000000000000001</v>
      </c>
      <c r="D15" s="10" t="s">
        <v>16</v>
      </c>
      <c r="E15" s="11" t="s">
        <v>34</v>
      </c>
      <c r="F15" s="12" t="s">
        <v>35</v>
      </c>
      <c r="G15" s="23"/>
    </row>
    <row r="16" spans="1:9" x14ac:dyDescent="0.2">
      <c r="A16" s="13" t="s">
        <v>36</v>
      </c>
      <c r="B16" s="14"/>
      <c r="C16" s="14">
        <v>2E-3</v>
      </c>
      <c r="D16" s="15"/>
      <c r="E16" s="16"/>
      <c r="F16" s="17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37</v>
      </c>
      <c r="G25" s="23"/>
    </row>
    <row r="26" spans="1:7" x14ac:dyDescent="0.2">
      <c r="A26" s="18" t="s">
        <v>38</v>
      </c>
      <c r="G26" s="23"/>
    </row>
    <row r="27" spans="1:7" x14ac:dyDescent="0.2">
      <c r="A27" t="s">
        <v>39</v>
      </c>
      <c r="G27" s="23"/>
    </row>
    <row r="28" spans="1:7" x14ac:dyDescent="0.2">
      <c r="A28" t="s">
        <v>40</v>
      </c>
      <c r="G28" s="23"/>
    </row>
    <row r="29" spans="1:7" x14ac:dyDescent="0.2">
      <c r="A29" s="19" t="s">
        <v>41</v>
      </c>
      <c r="G29" s="23"/>
    </row>
    <row r="30" spans="1:7" x14ac:dyDescent="0.2">
      <c r="A30" t="s">
        <v>42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43</v>
      </c>
      <c r="G51" s="23"/>
    </row>
    <row r="52" spans="1:7" x14ac:dyDescent="0.2">
      <c r="A52" t="s">
        <v>44</v>
      </c>
      <c r="G52" s="23"/>
    </row>
    <row r="53" spans="1:7" x14ac:dyDescent="0.2">
      <c r="A53" s="20" t="s">
        <v>45</v>
      </c>
      <c r="G53" s="23"/>
    </row>
    <row r="54" spans="1:7" x14ac:dyDescent="0.2">
      <c r="A54" s="22" t="s">
        <v>46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7E6FA611-DD70-4C9C-B70B-D08AB6A57DB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2025-12-10T15:35:17Z</dcterms:created>
  <dcterms:modified xsi:type="dcterms:W3CDTF">2025-12-10T15:35:17Z</dcterms:modified>
</cp:coreProperties>
</file>