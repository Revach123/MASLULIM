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שקעות צפויה אושרה בדירקטוריון 28.8.23\"/>
    </mc:Choice>
  </mc:AlternateContent>
  <xr:revisionPtr revIDLastSave="0" documentId="13_ncr:1_{22F8E556-FE90-4851-882F-6E9856CCE423}" xr6:coauthVersionLast="47" xr6:coauthVersionMax="47" xr10:uidLastSave="{00000000-0000-0000-0000-000000000000}"/>
  <bookViews>
    <workbookView xWindow="-120" yWindow="-120" windowWidth="15600" windowHeight="11160" xr2:uid="{B9D176A3-7369-4FDD-841E-50AA39D1CEF6}"/>
  </bookViews>
  <sheets>
    <sheet name="מורים תיכוניים" sheetId="1" r:id="rId1"/>
  </sheets>
  <definedNames>
    <definedName name="_xlnm.Print_Area" localSheetId="0">'מורים תיכוניים'!$A$1:$J$16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O16" i="1" s="1"/>
  <c r="M11" i="1"/>
  <c r="G10" i="1"/>
  <c r="D10" i="1"/>
  <c r="C10" i="1"/>
  <c r="L8" i="1"/>
</calcChain>
</file>

<file path=xl/sharedStrings.xml><?xml version="1.0" encoding="utf-8"?>
<sst xmlns="http://schemas.openxmlformats.org/spreadsheetml/2006/main" count="60" uniqueCount="47">
  <si>
    <t>קרן השתלמות למורים תיכונים - מדיניות צפויה תשפ"ד - אוגוסט 2023</t>
  </si>
  <si>
    <t>אפיק השקעה</t>
  </si>
  <si>
    <t>שיעור החשיפה לתאריך 20/08/2023</t>
  </si>
  <si>
    <t>שיעור חשיפה  לשנת תשפ"ג</t>
  </si>
  <si>
    <t>טווח סטייה</t>
  </si>
  <si>
    <t>גבולות שיעור החשיפה הצפויה לשנת תשפ"ג</t>
  </si>
  <si>
    <t>שיעור חשיפה מעודכן לשנת תשפ"ד</t>
  </si>
  <si>
    <t>גבולות שיעור החשיפה הצפויה המעודכנת לשנת תשפ"ד</t>
  </si>
  <si>
    <t>מדד ייחוס לשנת תשפ"ג</t>
  </si>
  <si>
    <t>מדד ייחוס מעודכן לשנת תשפ"ד</t>
  </si>
  <si>
    <t>מניות סחירות</t>
  </si>
  <si>
    <t>6% +/-</t>
  </si>
  <si>
    <t>38%-50%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</si>
  <si>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</si>
  <si>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</si>
  <si>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</si>
  <si>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</si>
  <si>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</si>
  <si>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</si>
  <si>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</si>
  <si>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</si>
  <si>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</si>
  <si>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16%-26%</t>
  </si>
  <si>
    <t>17%-27%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</si>
  <si>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</si>
  <si>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</si>
  <si>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</si>
  <si>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</si>
  <si>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</si>
  <si>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</si>
  <si>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</si>
  <si>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במקום 0.33%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</si>
  <si>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</si>
  <si>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</si>
  <si>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</si>
  <si>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</si>
  <si>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</si>
  <si>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</si>
  <si>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</si>
  <si>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</si>
  <si>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</si>
  <si>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</si>
  <si>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</si>
  <si>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</si>
  <si>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</si>
  <si>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color rgb="FFFF0000"/>
        <rFont val="David"/>
        <family val="2"/>
      </rPr>
      <t>ומדיניות ESG</t>
    </r>
    <r>
      <rPr>
        <i/>
        <sz val="11"/>
        <color rgb="FF000000"/>
        <rFont val="David"/>
        <family val="2"/>
        <charset val="177"/>
      </rPr>
      <t xml:space="preserve"> של החברה</t>
    </r>
  </si>
  <si>
    <t>מדיניות אושרה בדירקטוריון מיום 28.08.2023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</si>
</sst>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i/>
      <sz val="11"/>
      <color rgb="FFFF0000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10" fontId="6" fillId="0" borderId="1" xfId="0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wrapText="1" readingOrder="2"/>
    </xf>
    <xf numFmtId="0" fontId="17" fillId="0" borderId="0" xfId="0" applyFont="1" applyAlignment="1">
      <alignment horizontal="right" vertical="center" wrapText="1" readingOrder="2"/>
    </xf>
    <xf numFmtId="0" fontId="22" fillId="0" borderId="0" xfId="0" applyFont="1" applyAlignment="1">
      <alignment vertical="center"/>
    </xf>
  </cellXfs>
  <cellStyles count="2">
    <cellStyle name="Normal" xfId="0" builtinId="0"/>
    <cellStyle name="Normal 2" xfId="1" xr:uid="{C33421AB-37DC-488C-9167-B42714299E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21DF-620E-42E1-8049-97A74AE174C5}">
  <sheetPr>
    <pageSetUpPr fitToPage="1"/>
  </sheetPr>
  <dimension ref="A2:Q30"/>
  <sheetViews>
    <sheetView rightToLeft="1" tabSelected="1" zoomScaleNormal="100" workbookViewId="0">
      <selection activeCell="B18" sqref="B18:H24"/>
    </sheetView>
  </sheetViews>
  <sheetFormatPr defaultRowHeight="12.75" x14ac:dyDescent="0.2"/>
  <cols>
    <col min="2" max="2" width="38.28515625" customWidth="1"/>
    <col min="3" max="5" width="23.85546875" customWidth="1"/>
    <col min="6" max="6" width="19.28515625" customWidth="1"/>
    <col min="7" max="8" width="24.140625" customWidth="1"/>
    <col min="9" max="9" width="29.42578125" customWidth="1"/>
    <col min="10" max="10" width="28.5703125" customWidth="1"/>
    <col min="12" max="15" width="0" hidden="1" customWidth="1"/>
  </cols>
  <sheetData>
    <row r="2" spans="1:17" x14ac:dyDescent="0.2">
      <c r="B2" s="1" t="s">
        <v>0</v>
      </c>
      <c r="C2" s="1"/>
      <c r="D2" s="1"/>
      <c r="E2" s="1"/>
      <c r="F2" s="1"/>
      <c r="G2" s="1"/>
      <c r="H2" s="1"/>
      <c r="I2" s="1"/>
    </row>
    <row r="4" spans="1:17" ht="41.25" customHeight="1" x14ac:dyDescent="0.2">
      <c r="B4" s="2" t="s">
        <v>1</v>
      </c>
      <c r="C4" s="3" t="s">
        <v>2</v>
      </c>
      <c r="D4" s="4" t="s">
        <v>3</v>
      </c>
      <c r="E4" s="4" t="s">
        <v>4</v>
      </c>
      <c r="F4" s="5" t="s">
        <v>5</v>
      </c>
      <c r="G4" s="3" t="s">
        <v>6</v>
      </c>
      <c r="H4" s="3" t="s">
        <v>7</v>
      </c>
      <c r="I4" s="6" t="s">
        <v>8</v>
      </c>
      <c r="J4" s="7" t="s">
        <v>9</v>
      </c>
      <c r="M4">
        <v>0.28999999999999998</v>
      </c>
    </row>
    <row r="5" spans="1:17" ht="56.25" customHeight="1" x14ac:dyDescent="0.2">
      <c r="B5" s="2" t="s">
        <v>10</v>
      </c>
      <c r="C5" s="8">
        <v>0.45419999999999999</v>
      </c>
      <c r="D5" s="9">
        <v>0.44</v>
      </c>
      <c r="E5" s="2" t="s">
        <v>11</v>
      </c>
      <c r="F5" s="4" t="s">
        <v>12</v>
      </c>
      <c r="G5" s="9">
        <v>0.44</v>
      </c>
      <c r="H5" s="2" t="s">
        <v>12</v>
      </c>
      <c r="I5" s="10" t="s">
        <v>13</v>
      </c>
      <c r="J5" s="10" t="s">
        <v>13</v>
      </c>
      <c r="K5" s="11"/>
      <c r="L5">
        <v>7.52</v>
      </c>
      <c r="M5">
        <v>35.53</v>
      </c>
    </row>
    <row r="6" spans="1:17" ht="48.75" customHeight="1" x14ac:dyDescent="0.2">
      <c r="B6" s="2" t="s">
        <v>14</v>
      </c>
      <c r="C6" s="8">
        <v>0.111</v>
      </c>
      <c r="D6" s="12">
        <v>0.15</v>
      </c>
      <c r="E6" s="2" t="s">
        <v>15</v>
      </c>
      <c r="F6" s="2" t="s">
        <v>16</v>
      </c>
      <c r="G6" s="9">
        <v>0.15</v>
      </c>
      <c r="H6" s="2" t="s">
        <v>16</v>
      </c>
      <c r="I6" s="10" t="s">
        <v>17</v>
      </c>
      <c r="J6" s="10" t="s">
        <v>17</v>
      </c>
      <c r="L6">
        <v>6.06</v>
      </c>
      <c r="M6">
        <v>22.02</v>
      </c>
    </row>
    <row r="7" spans="1:17" ht="51" x14ac:dyDescent="0.2">
      <c r="B7" s="2" t="s">
        <v>18</v>
      </c>
      <c r="C7" s="8">
        <v>0.20250000000000001</v>
      </c>
      <c r="D7" s="12">
        <v>0.2</v>
      </c>
      <c r="E7" s="2" t="s">
        <v>11</v>
      </c>
      <c r="F7" s="2" t="s">
        <v>19</v>
      </c>
      <c r="G7" s="9">
        <v>0.2</v>
      </c>
      <c r="H7" s="2" t="s">
        <v>19</v>
      </c>
      <c r="I7" s="13" t="s">
        <v>20</v>
      </c>
      <c r="J7" s="13" t="s">
        <v>20</v>
      </c>
      <c r="M7">
        <v>24.55</v>
      </c>
    </row>
    <row r="8" spans="1:17" ht="51" x14ac:dyDescent="0.2">
      <c r="B8" s="10" t="s">
        <v>21</v>
      </c>
      <c r="C8" s="8">
        <v>0.23480000000000001</v>
      </c>
      <c r="D8" s="14">
        <v>0.21</v>
      </c>
      <c r="E8" s="2" t="s">
        <v>15</v>
      </c>
      <c r="F8" s="4" t="s">
        <v>22</v>
      </c>
      <c r="G8" s="15">
        <v>0.22</v>
      </c>
      <c r="H8" s="7" t="s">
        <v>23</v>
      </c>
      <c r="I8" s="2"/>
      <c r="J8" s="16"/>
      <c r="L8">
        <f>SUM(L5:L7)</f>
        <v>13.579999999999998</v>
      </c>
      <c r="M8">
        <v>4.87</v>
      </c>
    </row>
    <row r="9" spans="1:17" s="17" customFormat="1" ht="41.25" customHeight="1" x14ac:dyDescent="0.2">
      <c r="B9" s="2" t="s">
        <v>24</v>
      </c>
      <c r="C9" s="8">
        <v>4.4299999999999999E-2</v>
      </c>
      <c r="D9" s="18">
        <v>0.05</v>
      </c>
      <c r="E9" s="2" t="s">
        <v>15</v>
      </c>
      <c r="F9" s="19" t="s">
        <v>25</v>
      </c>
      <c r="G9" s="18">
        <v>0.05</v>
      </c>
      <c r="H9" s="19" t="s">
        <v>25</v>
      </c>
      <c r="I9" s="2" t="s">
        <v>26</v>
      </c>
      <c r="J9" s="2" t="s">
        <v>26</v>
      </c>
      <c r="M9" s="17">
        <v>7.52</v>
      </c>
    </row>
    <row r="10" spans="1:17" ht="39" customHeight="1" x14ac:dyDescent="0.2">
      <c r="B10" s="2" t="s">
        <v>27</v>
      </c>
      <c r="C10" s="14">
        <f>SUM(C5:C9)</f>
        <v>1.0468</v>
      </c>
      <c r="D10" s="20">
        <f>SUM(D5:D9)</f>
        <v>1.05</v>
      </c>
      <c r="E10" s="2"/>
      <c r="F10" s="19"/>
      <c r="G10" s="20">
        <f>SUM(G5:G9)</f>
        <v>1.06</v>
      </c>
      <c r="H10" s="19"/>
      <c r="I10" s="2"/>
      <c r="J10" s="2"/>
      <c r="M10">
        <v>5.21</v>
      </c>
    </row>
    <row r="11" spans="1:17" ht="36.75" customHeight="1" x14ac:dyDescent="0.2">
      <c r="B11" s="2" t="s">
        <v>28</v>
      </c>
      <c r="C11" s="21">
        <v>0.222</v>
      </c>
      <c r="D11" s="18">
        <v>0.19</v>
      </c>
      <c r="E11" s="2" t="s">
        <v>11</v>
      </c>
      <c r="F11" s="2" t="s">
        <v>29</v>
      </c>
      <c r="G11" s="18">
        <v>0.19</v>
      </c>
      <c r="H11" s="2" t="s">
        <v>29</v>
      </c>
      <c r="I11" s="2"/>
      <c r="J11" s="2"/>
      <c r="M11">
        <f>SUM(M4:M10)</f>
        <v>99.99</v>
      </c>
    </row>
    <row r="12" spans="1:17" ht="24" customHeight="1" x14ac:dyDescent="0.2">
      <c r="B12" s="22" t="s">
        <v>30</v>
      </c>
      <c r="C12" s="23">
        <v>4.0000000000000001E-3</v>
      </c>
      <c r="D12" s="24"/>
      <c r="E12" s="24"/>
      <c r="F12" s="24"/>
      <c r="G12" s="24"/>
      <c r="H12" s="24"/>
      <c r="I12" s="24"/>
      <c r="J12" s="24"/>
      <c r="K12" s="25" t="s">
        <v>31</v>
      </c>
    </row>
    <row r="13" spans="1:17" ht="17.25" customHeight="1" x14ac:dyDescent="0.2">
      <c r="B13" s="11"/>
    </row>
    <row r="14" spans="1:17" x14ac:dyDescent="0.2">
      <c r="A14" t="s">
        <v>32</v>
      </c>
      <c r="B14" s="11" t="s">
        <v>33</v>
      </c>
      <c r="M14">
        <v>0.95</v>
      </c>
      <c r="Q14" s="11"/>
    </row>
    <row r="15" spans="1:17" x14ac:dyDescent="0.2">
      <c r="A15" t="s">
        <v>34</v>
      </c>
      <c r="B15" s="26" t="s">
        <v>35</v>
      </c>
      <c r="C15" s="26"/>
      <c r="D15" s="26"/>
      <c r="E15" s="26"/>
    </row>
    <row r="16" spans="1:17" x14ac:dyDescent="0.2">
      <c r="A16" t="s">
        <v>36</v>
      </c>
      <c r="B16" s="27" t="s">
        <v>37</v>
      </c>
      <c r="C16" s="27"/>
      <c r="D16" s="27"/>
      <c r="E16" s="27"/>
      <c r="M16">
        <f>M11-M14</f>
        <v>99.039999999999992</v>
      </c>
      <c r="N16">
        <v>98.47</v>
      </c>
      <c r="O16">
        <f>M16-N16</f>
        <v>0.56999999999999318</v>
      </c>
    </row>
    <row r="17" spans="2:8" ht="33.75" customHeight="1" x14ac:dyDescent="0.2"/>
    <row r="18" spans="2:8" ht="43.5" customHeight="1" x14ac:dyDescent="0.2">
      <c r="B18" s="28" t="s">
        <v>38</v>
      </c>
      <c r="C18" s="29"/>
      <c r="D18" s="29"/>
      <c r="E18" s="29"/>
      <c r="F18" s="29"/>
      <c r="G18" s="29"/>
      <c r="H18" s="29"/>
    </row>
    <row r="19" spans="2:8" ht="15" x14ac:dyDescent="0.2">
      <c r="B19" s="30" t="s">
        <v>39</v>
      </c>
      <c r="C19" s="11"/>
      <c r="D19" s="11"/>
      <c r="E19" s="11"/>
    </row>
    <row r="20" spans="2:8" ht="15" x14ac:dyDescent="0.2">
      <c r="B20" s="31" t="s">
        <v>40</v>
      </c>
    </row>
    <row r="21" spans="2:8" ht="15" x14ac:dyDescent="0.2">
      <c r="B21" s="32" t="s">
        <v>41</v>
      </c>
    </row>
    <row r="22" spans="2:8" ht="27.75" customHeight="1" x14ac:dyDescent="0.2">
      <c r="B22" s="33" t="s">
        <v>42</v>
      </c>
      <c r="C22" s="29"/>
      <c r="D22" s="29"/>
      <c r="E22" s="29"/>
      <c r="F22" s="29"/>
      <c r="G22" s="29"/>
      <c r="H22" s="29"/>
    </row>
    <row r="23" spans="2:8" ht="33" customHeight="1" x14ac:dyDescent="0.2">
      <c r="B23" s="34" t="s">
        <v>43</v>
      </c>
      <c r="C23" s="29"/>
      <c r="D23" s="29"/>
      <c r="E23" s="29"/>
      <c r="F23" s="29"/>
      <c r="G23" s="29"/>
      <c r="H23" s="29"/>
    </row>
    <row r="24" spans="2:8" ht="38.25" customHeight="1" x14ac:dyDescent="0.2">
      <c r="B24" s="34" t="s">
        <v>44</v>
      </c>
      <c r="C24" s="29"/>
      <c r="D24" s="29"/>
      <c r="E24" s="29"/>
      <c r="F24" s="29"/>
      <c r="G24" s="29"/>
      <c r="H24" s="29"/>
    </row>
    <row r="25" spans="2:8" x14ac:dyDescent="0.2">
      <c r="B25" s="35"/>
    </row>
    <row r="26" spans="2:8" ht="15" x14ac:dyDescent="0.2">
      <c r="B26" s="32" t="s">
        <v>45</v>
      </c>
    </row>
    <row r="30" spans="2:8" x14ac:dyDescent="0.2">
      <c r="B30" s="25" t="s">
        <v>46</v>
      </c>
    </row>
  </sheetData>
  <mergeCells count="6">
    <mergeCell ref="B2:I2"/>
    <mergeCell ref="C12:J12"/>
    <mergeCell ref="B18:H18"/>
    <mergeCell ref="B22:H22"/>
    <mergeCell ref="B23:H23"/>
    <mergeCell ref="B24:H24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מורים תיכוניים</vt:lpstr>
      <vt:lpstr>'מורים תיכוניים'!WPrint_Area_W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2023-08-28T13:33:07Z</dcterms:created>
  <dcterms:modified xsi:type="dcterms:W3CDTF">2023-08-28T13:35:54Z</dcterms:modified>
</cp:coreProperties>
</file>