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08CC0EA9-DA5D-471D-93D2-495358AB489F}" xr6:coauthVersionLast="47" xr6:coauthVersionMax="47" xr10:uidLastSave="{00000000-0000-0000-0000-000000000000}"/>
  <bookViews>
    <workbookView xWindow="-120" yWindow="-120" windowWidth="15600" windowHeight="11160" xr2:uid="{F2F75546-9E64-46DF-AEC7-3D5A33012CCB}"/>
  </bookViews>
  <sheets>
    <sheet name="מות הלכתי" sheetId="1" r:id="rId1"/>
  </sheets>
  <definedNames>
    <definedName name="_xlnm.Print_Area" localSheetId="0">'מות הלכתי'!$A$1:$J$16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<sst xmlns="http://schemas.openxmlformats.org/spreadsheetml/2006/main" count="53" uniqueCount="43">
  <si>
    <t>קרן השתלמות למורים תיכוניים הלכתי - מדיניות צפויה תשפ"ג</t>
  </si>
  <si>
    <t>אפיק השקעה</t>
  </si>
  <si>
    <t>שיעור החשיפה לתאריך 15/08/2022</t>
  </si>
  <si>
    <t>שיעור חשיפה מעודכן  לשנת תשפ"ב</t>
  </si>
  <si>
    <t>טווח סטייה</t>
  </si>
  <si>
    <t>גבולות שיעור החשיפה הצפויה לשנת תשפ"ב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</si>
  <si>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</si>
  <si>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</si>
  <si>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</si>
  <si>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</si>
  <si>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</si>
  <si>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</si>
  <si>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</si>
  <si>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</si>
  <si>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</si>
  <si>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22%-32%</t>
  </si>
  <si>
    <t>ממשלתי שקלי 2-5 שנים- 65%
ממשלתי צמוד 2-5 שנים- 35%</t>
  </si>
  <si>
    <t>אג"ח קונצרני (כולל פקדונות ושטרי הון)***</t>
  </si>
  <si>
    <t>16%-28%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</si>
  <si>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</si>
  <si>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</si>
  <si>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</si>
  <si>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</si>
  <si>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</si>
  <si>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</si>
  <si>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</si>
  <si>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</si>
  <si>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</si>
  <si>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*</t>
  </si>
  <si>
    <t xml:space="preserve">סה"כ תיק עלול להגיע מעל 100% בשל פעילות נגזרים על מדדי מניות </t>
  </si>
  <si>
    <t>**</t>
  </si>
  <si>
    <t>פקדונות עד 3 חודשים יכללו באפיק עו"ש/פר"י/פק"מ ; עו"ש ללא התחשבות בנגזרי מט"ח</t>
  </si>
  <si>
    <t>***</t>
  </si>
  <si>
    <t>פקדונות מעל 3 חודשים יכללו באפיק קונצרני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</si>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</sst>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22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64" fontId="1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10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readingOrder="2"/>
    </xf>
    <xf numFmtId="0" fontId="7" fillId="0" borderId="0" xfId="0" applyFont="1" applyAlignment="1">
      <alignment horizontal="right" vertical="center"/>
    </xf>
    <xf numFmtId="165" fontId="1" fillId="0" borderId="0" xfId="0" applyNumberFormat="1" applyFont="1"/>
    <xf numFmtId="0" fontId="1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readingOrder="2"/>
    </xf>
    <xf numFmtId="0" fontId="19" fillId="0" borderId="0" xfId="0" applyFont="1" applyAlignment="1">
      <alignment horizontal="right" vertical="center" readingOrder="2"/>
    </xf>
    <xf numFmtId="0" fontId="21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D1BA4162-5F5B-4EBF-B079-835B469BE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DDEA-72DE-496D-9E69-D4325085CF38}">
  <sheetPr>
    <pageSetUpPr fitToPage="1"/>
  </sheetPr>
  <dimension ref="A2:L28"/>
  <sheetViews>
    <sheetView rightToLeft="1" tabSelected="1" topLeftCell="D1" workbookViewId="0">
      <selection activeCell="C11" sqref="C11"/>
    </sheetView>
  </sheetViews>
  <sheetFormatPr defaultRowHeight="12.75" x14ac:dyDescent="0.2"/>
  <cols>
    <col min="2" max="2" width="38.28515625" customWidth="1"/>
    <col min="3" max="4" width="23.85546875" customWidth="1"/>
    <col min="5" max="5" width="19.28515625" customWidth="1"/>
    <col min="6" max="8" width="20.5703125" customWidth="1"/>
    <col min="9" max="9" width="29.42578125" customWidth="1"/>
  </cols>
  <sheetData>
    <row r="2" spans="1:12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2" ht="41.25" customHeight="1" x14ac:dyDescent="0.2">
      <c r="B4" s="2" t="s">
        <v>1</v>
      </c>
      <c r="C4" s="3" t="s">
        <v>2</v>
      </c>
      <c r="D4" s="4" t="s">
        <v>3</v>
      </c>
      <c r="E4" s="5" t="s">
        <v>4</v>
      </c>
      <c r="F4" s="4" t="s">
        <v>5</v>
      </c>
      <c r="G4" s="3" t="s">
        <v>6</v>
      </c>
      <c r="H4" s="3" t="s">
        <v>7</v>
      </c>
      <c r="I4" s="6" t="s">
        <v>8</v>
      </c>
    </row>
    <row r="5" spans="1:12" ht="56.25" customHeight="1" x14ac:dyDescent="0.2">
      <c r="B5" s="7" t="s">
        <v>9</v>
      </c>
      <c r="C5" s="8">
        <v>0.46839999999999998</v>
      </c>
      <c r="D5" s="9">
        <v>0.46</v>
      </c>
      <c r="E5" s="7" t="s">
        <v>10</v>
      </c>
      <c r="F5" s="7" t="s">
        <v>11</v>
      </c>
      <c r="G5" s="9">
        <v>0.46</v>
      </c>
      <c r="H5" s="7" t="s">
        <v>11</v>
      </c>
      <c r="I5" s="10" t="s">
        <v>12</v>
      </c>
    </row>
    <row r="6" spans="1:12" ht="48.75" customHeight="1" x14ac:dyDescent="0.2">
      <c r="B6" s="7" t="s">
        <v>13</v>
      </c>
      <c r="C6" s="8">
        <v>0.2666</v>
      </c>
      <c r="D6" s="9">
        <v>0.27</v>
      </c>
      <c r="E6" s="7" t="s">
        <v>14</v>
      </c>
      <c r="F6" s="11" t="s">
        <v>15</v>
      </c>
      <c r="G6" s="9">
        <v>0.27</v>
      </c>
      <c r="H6" s="11" t="s">
        <v>15</v>
      </c>
      <c r="I6" s="10" t="s">
        <v>16</v>
      </c>
    </row>
    <row r="7" spans="1:12" ht="51" x14ac:dyDescent="0.2">
      <c r="B7" s="7" t="s">
        <v>17</v>
      </c>
      <c r="C7" s="8">
        <v>0.18940000000000001</v>
      </c>
      <c r="D7" s="9">
        <v>0.22</v>
      </c>
      <c r="E7" s="7" t="s">
        <v>10</v>
      </c>
      <c r="F7" s="11" t="s">
        <v>18</v>
      </c>
      <c r="G7" s="9">
        <v>0.22</v>
      </c>
      <c r="H7" s="11" t="s">
        <v>18</v>
      </c>
      <c r="I7" s="12" t="s">
        <v>19</v>
      </c>
    </row>
    <row r="8" spans="1:12" ht="51" x14ac:dyDescent="0.2">
      <c r="B8" s="10" t="s">
        <v>20</v>
      </c>
      <c r="C8" s="8">
        <v>0</v>
      </c>
      <c r="D8" s="13">
        <v>0.03</v>
      </c>
      <c r="E8" s="7" t="s">
        <v>14</v>
      </c>
      <c r="F8" s="7" t="s">
        <v>21</v>
      </c>
      <c r="G8" s="13">
        <v>0.03</v>
      </c>
      <c r="H8" s="7" t="s">
        <v>21</v>
      </c>
      <c r="I8" s="14"/>
    </row>
    <row r="9" spans="1:12" s="15" customFormat="1" ht="41.25" customHeight="1" x14ac:dyDescent="0.2">
      <c r="B9" s="7" t="s">
        <v>22</v>
      </c>
      <c r="C9" s="8">
        <v>6.7900000000000002E-2</v>
      </c>
      <c r="D9" s="13">
        <v>0.05</v>
      </c>
      <c r="E9" s="7" t="s">
        <v>14</v>
      </c>
      <c r="F9" s="7" t="s">
        <v>23</v>
      </c>
      <c r="G9" s="13">
        <v>0.05</v>
      </c>
      <c r="H9" s="7" t="s">
        <v>23</v>
      </c>
      <c r="I9" s="7" t="s">
        <v>24</v>
      </c>
    </row>
    <row r="10" spans="1:12" ht="39" customHeight="1" x14ac:dyDescent="0.2">
      <c r="B10" s="7" t="s">
        <v>25</v>
      </c>
      <c r="C10" s="16">
        <f>SUM(C4:C9)</f>
        <v>0.99229999999999996</v>
      </c>
      <c r="D10" s="13">
        <f>SUM(D5:D9)</f>
        <v>1.03</v>
      </c>
      <c r="E10" s="7"/>
      <c r="F10" s="7"/>
      <c r="G10" s="13">
        <f>SUM(G5:G9)</f>
        <v>1.03</v>
      </c>
      <c r="H10" s="7"/>
      <c r="I10" s="7"/>
    </row>
    <row r="11" spans="1:12" ht="36.75" customHeight="1" x14ac:dyDescent="0.2">
      <c r="B11" s="7" t="s">
        <v>26</v>
      </c>
      <c r="C11" s="17">
        <v>0.1789</v>
      </c>
      <c r="D11" s="18">
        <v>0.19</v>
      </c>
      <c r="E11" s="7" t="s">
        <v>10</v>
      </c>
      <c r="F11" s="7" t="s">
        <v>27</v>
      </c>
      <c r="G11" s="18">
        <v>0.19</v>
      </c>
      <c r="H11" s="7" t="s">
        <v>27</v>
      </c>
      <c r="I11" s="7"/>
    </row>
    <row r="12" spans="1:12" x14ac:dyDescent="0.2">
      <c r="B12" s="19"/>
      <c r="D12" s="20"/>
    </row>
    <row r="13" spans="1:12" x14ac:dyDescent="0.2">
      <c r="A13" t="s">
        <v>28</v>
      </c>
      <c r="B13" s="21" t="s">
        <v>29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x14ac:dyDescent="0.2">
      <c r="A14" t="s">
        <v>30</v>
      </c>
      <c r="B14" s="21" t="s">
        <v>31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x14ac:dyDescent="0.2">
      <c r="A15" t="s">
        <v>32</v>
      </c>
      <c r="B15" s="21" t="s">
        <v>33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7" spans="2:8" ht="15" x14ac:dyDescent="0.2">
      <c r="B17" s="22" t="s">
        <v>34</v>
      </c>
      <c r="C17" s="23"/>
      <c r="D17" s="23"/>
      <c r="E17" s="23"/>
      <c r="F17" s="19"/>
      <c r="G17" s="19"/>
      <c r="H17" s="19"/>
    </row>
    <row r="18" spans="2:8" ht="15" x14ac:dyDescent="0.2">
      <c r="B18" s="24" t="s">
        <v>35</v>
      </c>
      <c r="C18" s="19"/>
      <c r="D18" s="19"/>
      <c r="E18" s="19"/>
      <c r="F18" s="19"/>
      <c r="G18" s="19"/>
      <c r="H18" s="19"/>
    </row>
    <row r="19" spans="2:8" ht="15" x14ac:dyDescent="0.2">
      <c r="B19" s="25" t="s">
        <v>36</v>
      </c>
    </row>
    <row r="20" spans="2:8" ht="15" x14ac:dyDescent="0.2">
      <c r="B20" s="26" t="s">
        <v>37</v>
      </c>
    </row>
    <row r="21" spans="2:8" ht="15" x14ac:dyDescent="0.2">
      <c r="B21" s="26" t="s">
        <v>38</v>
      </c>
    </row>
    <row r="22" spans="2:8" ht="15" x14ac:dyDescent="0.2">
      <c r="B22" s="25" t="s">
        <v>39</v>
      </c>
    </row>
    <row r="23" spans="2:8" ht="15" x14ac:dyDescent="0.2">
      <c r="B23" s="25" t="s">
        <v>40</v>
      </c>
    </row>
    <row r="24" spans="2:8" x14ac:dyDescent="0.2">
      <c r="B24" s="27"/>
    </row>
    <row r="25" spans="2:8" ht="15" x14ac:dyDescent="0.2">
      <c r="B25" s="26" t="s">
        <v>41</v>
      </c>
    </row>
    <row r="28" spans="2:8" x14ac:dyDescent="0.2">
      <c r="B28" s="28" t="s">
        <v>42</v>
      </c>
    </row>
  </sheetData>
  <mergeCells count="4">
    <mergeCell ref="B2:I2"/>
    <mergeCell ref="B13:L13"/>
    <mergeCell ref="B14:L14"/>
    <mergeCell ref="B15:L15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הלכתי</vt:lpstr>
      <vt:lpstr>'מות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2022-10-11T05:45:11Z</dcterms:created>
  <dcterms:modified xsi:type="dcterms:W3CDTF">2022-10-11T05:45:33Z</dcterms:modified>
</cp:coreProperties>
</file>