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13_ncr:1_{33737EA6-08AF-4C7C-825D-E3ABE7FE6412}" xr6:coauthVersionLast="47" xr6:coauthVersionMax="47" xr10:uidLastSave="{00000000-0000-0000-0000-000000000000}"/>
  <bookViews>
    <workbookView xWindow="-120" yWindow="-120" windowWidth="29040" windowHeight="15840" xr2:uid="{74F638DF-4CB3-4AEB-AC10-980F58FEB464}"/>
  </bookViews>
  <sheets>
    <sheet name="מורים תיכוניים" sheetId="1" r:id="rId1"/>
  </sheets>
  <definedNames>
    <definedName name="_xlnm.Print_Area" localSheetId="0">'מורים תיכוניים'!$A$1:$H$23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3" i="1" s="1"/>
  <c r="M13" i="1" s="1"/>
  <c r="F8" i="1"/>
  <c r="C8" i="1"/>
  <c r="J6" i="1"/>
</calcChain>
</file>

<file path=xl/sharedStrings.xml><?xml version="1.0" encoding="utf-8"?>
<sst xmlns="http://schemas.openxmlformats.org/spreadsheetml/2006/main" count="67" uniqueCount="43">
  <si>
    <t>קרן השתלמות למורים תיכונים, מורי סמינרים ומפקחים- מסלול רגיל-מסלול כללי - מדיניות צפויה תשפ"ה - דצמבר 2024</t>
  </si>
  <si>
    <t>אפיק השקעה</t>
  </si>
  <si>
    <t>שיעור החשיפה לתאריך 08/12/2024</t>
  </si>
  <si>
    <t>שיעור חשיפה  לשנת תשפ"ד</t>
  </si>
  <si>
    <t>טווח סטייה</t>
  </si>
  <si>
    <t>גבולות שיעור החשיפה הצפויה לשנת תשפ"ד</t>
  </si>
  <si>
    <t>שיעור חשיפה לשנת תשפ"ה</t>
  </si>
  <si>
    <t>גבולות שיעור החשיפה הצפויה  לשנת תשפ"ה</t>
  </si>
  <si>
    <t>מדד ייחוס  לשנת תשפ"ה</t>
  </si>
  <si>
    <t>מניות סחירות</t>
  </si>
  <si>
    <t>6% +/-</t>
  </si>
  <si>
    <t>38%-50%</t>
  </si>
  <si>
    <t>ת"א 125- 25%
MSCI ALL COUNTRIES  -75% שקלי</t>
  </si>
  <si>
    <t>אג"ח ממשלתי (שקלי, צמוד, משתנה, מט"ח, מק"מ)</t>
  </si>
  <si>
    <t>5% +/-</t>
  </si>
  <si>
    <t>10%-20%</t>
  </si>
  <si>
    <t>ממשלתי שקלי בריבית קבועה- 65%
ממשלתי צמוד 2-5 שנים- 35%</t>
  </si>
  <si>
    <t>אג"ח קונצרני (כולל פקדונות ושטרי הון)***</t>
  </si>
  <si>
    <t>14%-26%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</si>
  <si>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</si>
  <si>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</si>
  <si>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17%-27%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</si>
  <si>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</si>
  <si>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</si>
  <si>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</si>
  <si>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</si>
  <si>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</si>
  <si>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</si>
  <si>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</si>
  <si>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</si>
  <si>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</si>
  <si>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</si>
  <si>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</si>
  <si>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</si>
  <si>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</si>
  <si>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</si>
  <si>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</si>
  <si>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</si>
  <si>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</si>
  <si>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</si>
  <si>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</si>
  <si>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סוף גיליון עבודה</t>
  </si>
  <si>
    <t>מדיניות אושרה בדירקטוריון מיום 23.12.2024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</si>
</sst>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name val="Arial"/>
      <charset val="177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0"/>
      <name val="Arial"/>
      <family val="2"/>
    </font>
    <font>
      <sz val="12"/>
      <color theme="0"/>
      <name val="Arial"/>
      <family val="2"/>
      <charset val="177"/>
    </font>
    <font>
      <b/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36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0" fontId="3" fillId="0" borderId="5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6" xfId="0" applyFont="1" applyBorder="1"/>
    <xf numFmtId="10" fontId="2" fillId="0" borderId="6" xfId="0" applyNumberFormat="1" applyFont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0" xfId="0" applyFont="1"/>
    <xf numFmtId="9" fontId="2" fillId="0" borderId="6" xfId="0" applyNumberFormat="1" applyFont="1" applyBorder="1" applyAlignment="1">
      <alignment horizontal="center" vertical="center"/>
    </xf>
    <xf numFmtId="9" fontId="3" fillId="0" borderId="6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wrapText="1"/>
    </xf>
    <xf numFmtId="10" fontId="3" fillId="0" borderId="6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horizontal="right" vertical="center" wrapText="1"/>
    </xf>
    <xf numFmtId="0" fontId="2" fillId="0" borderId="0" xfId="0" applyFont="1" applyAlignment="1">
      <alignment wrapText="1"/>
    </xf>
    <xf numFmtId="0" fontId="7" fillId="0" borderId="0" xfId="0" applyFont="1" applyAlignment="1">
      <alignment horizontal="right" vertical="center" wrapText="1" readingOrder="2"/>
    </xf>
    <xf numFmtId="0" fontId="14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0ED97963-C3EB-48AB-A839-AA1424797384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charset val="177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none">
          <fgColor indexed="9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ED5F25-D42A-4048-9D35-87F920BB9393}" name="טבלה1" displayName="טבלה1" ref="A2:H9" totalsRowShown="0" headerRowDxfId="11" dataDxfId="9" headerRowBorderDxfId="10" tableBorderDxfId="8">
  <tableColumns count="8">
    <tableColumn id="1" xr3:uid="{3A7D0F48-A700-4E1B-BE1D-18C6EAF793AC}" name="אפיק השקעה" dataDxfId="7"/>
    <tableColumn id="2" xr3:uid="{D071448D-E1D1-4FD1-8EDA-3BC38E6B496B}" name="שיעור החשיפה לתאריך 08/12/2024" dataDxfId="6"/>
    <tableColumn id="3" xr3:uid="{E4DBEE20-80BF-4CE2-BF2A-7D1F920C9ADD}" name="שיעור חשיפה  לשנת תשפ&quot;ד" dataDxfId="5"/>
    <tableColumn id="4" xr3:uid="{C949352B-CB81-4D05-AE54-67BCB1C1E9A4}" name="טווח סטייה" dataDxfId="4"/>
    <tableColumn id="5" xr3:uid="{410F640F-7C5A-4672-847A-6EE078EA926B}" name="גבולות שיעור החשיפה הצפויה לשנת תשפ&quot;ד" dataDxfId="3"/>
    <tableColumn id="6" xr3:uid="{E123C4FE-F96A-4E16-941B-9728A0FACE27}" name="שיעור חשיפה לשנת תשפ&quot;ה" dataDxfId="2"/>
    <tableColumn id="7" xr3:uid="{A04B6227-BBDF-4C00-8B62-08DD2722623A}" name="גבולות שיעור החשיפה הצפויה  לשנת תשפ&quot;ה" dataDxfId="1"/>
    <tableColumn id="8" xr3:uid="{AA329BA1-E8D1-4751-BD62-906F3BF37221}" name="מדד ייחוס  לשנת תשפ&quot;ה" dataDxfId="0"/>
  </tableColumns>
  <tableStyleInfo name="TableStyleLight1" showFirstColumn="0" showLastColumn="0" showRowStripes="0" showColumnStripes="0"/>
  <extLst>
    <ext xmlns:x14="http://schemas.microsoft.com/office/spreadsheetml/2009/9/main" uri="{504A1905-F514-4f6f-8877-14C23A59335A}">
      <x14:table altText="טבלה 1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ACD5-DCE2-4526-A855-40095F9369A4}">
  <sheetPr>
    <pageSetUpPr fitToPage="1"/>
  </sheetPr>
  <dimension ref="A1:M23"/>
  <sheetViews>
    <sheetView rightToLeft="1" tabSelected="1" view="pageBreakPreview" topLeftCell="A6" zoomScaleNormal="100" zoomScaleSheetLayoutView="100" workbookViewId="0">
      <selection activeCell="A22" sqref="A22"/>
    </sheetView>
  </sheetViews>
  <sheetFormatPr defaultRowHeight="15" x14ac:dyDescent="0.2"/>
  <cols>
    <col min="1" max="1" width="35.42578125" style="3" customWidth="1"/>
    <col min="2" max="2" width="27.7109375" style="3" customWidth="1"/>
    <col min="3" max="3" width="20.28515625" style="3" customWidth="1"/>
    <col min="4" max="4" width="13" style="3" customWidth="1"/>
    <col min="5" max="5" width="25.42578125" style="3" customWidth="1"/>
    <col min="6" max="6" width="21.42578125" style="3" customWidth="1"/>
    <col min="7" max="7" width="26.140625" style="3" customWidth="1"/>
    <col min="8" max="8" width="27.5703125" style="3" customWidth="1"/>
    <col min="9" max="9" width="9.140625" style="3"/>
    <col min="10" max="13" width="0" style="3" hidden="1" customWidth="1"/>
    <col min="14" max="16384" width="9.140625" style="3"/>
  </cols>
  <sheetData>
    <row r="1" spans="1:13" ht="27.75" customHeight="1" x14ac:dyDescent="0.25">
      <c r="A1" s="1" t="s">
        <v>0</v>
      </c>
      <c r="B1" s="2"/>
      <c r="C1" s="2"/>
      <c r="D1" s="2"/>
      <c r="E1" s="2"/>
      <c r="F1" s="2"/>
      <c r="G1" s="2"/>
      <c r="H1" s="2"/>
    </row>
    <row r="2" spans="1:13" ht="41.25" customHeight="1" x14ac:dyDescent="0.2">
      <c r="A2" s="4" t="s">
        <v>1</v>
      </c>
      <c r="B2" s="5" t="s">
        <v>2</v>
      </c>
      <c r="C2" s="5" t="s">
        <v>3</v>
      </c>
      <c r="D2" s="6" t="s">
        <v>4</v>
      </c>
      <c r="E2" s="5" t="s">
        <v>5</v>
      </c>
      <c r="F2" s="5" t="s">
        <v>6</v>
      </c>
      <c r="G2" s="5" t="s">
        <v>7</v>
      </c>
      <c r="H2" s="7" t="s">
        <v>8</v>
      </c>
      <c r="K2" s="3">
        <v>0.28999999999999998</v>
      </c>
    </row>
    <row r="3" spans="1:13" ht="56.25" customHeight="1" x14ac:dyDescent="0.2">
      <c r="A3" s="8" t="s">
        <v>9</v>
      </c>
      <c r="B3" s="9">
        <v>0.47570000000000001</v>
      </c>
      <c r="C3" s="10">
        <v>0.44</v>
      </c>
      <c r="D3" s="11" t="s">
        <v>10</v>
      </c>
      <c r="E3" s="11" t="s">
        <v>11</v>
      </c>
      <c r="F3" s="12">
        <v>0.44</v>
      </c>
      <c r="G3" s="13" t="s">
        <v>11</v>
      </c>
      <c r="H3" s="14" t="s">
        <v>12</v>
      </c>
      <c r="J3" s="3">
        <v>7.52</v>
      </c>
      <c r="K3" s="3">
        <v>35.53</v>
      </c>
    </row>
    <row r="4" spans="1:13" ht="48.75" customHeight="1" x14ac:dyDescent="0.2">
      <c r="A4" s="8" t="s">
        <v>13</v>
      </c>
      <c r="B4" s="9">
        <v>0.13650000000000001</v>
      </c>
      <c r="C4" s="10">
        <v>0.15</v>
      </c>
      <c r="D4" s="11" t="s">
        <v>14</v>
      </c>
      <c r="E4" s="11" t="s">
        <v>15</v>
      </c>
      <c r="F4" s="12">
        <v>0.15</v>
      </c>
      <c r="G4" s="13" t="s">
        <v>15</v>
      </c>
      <c r="H4" s="14" t="s">
        <v>16</v>
      </c>
      <c r="J4" s="3">
        <v>6.06</v>
      </c>
      <c r="K4" s="3">
        <v>22.02</v>
      </c>
    </row>
    <row r="5" spans="1:13" ht="90" x14ac:dyDescent="0.2">
      <c r="A5" s="8" t="s">
        <v>17</v>
      </c>
      <c r="B5" s="9">
        <v>0.18479999999999999</v>
      </c>
      <c r="C5" s="10">
        <v>0.2</v>
      </c>
      <c r="D5" s="11" t="s">
        <v>10</v>
      </c>
      <c r="E5" s="11" t="s">
        <v>18</v>
      </c>
      <c r="F5" s="12">
        <v>0.2</v>
      </c>
      <c r="G5" s="13" t="s">
        <v>18</v>
      </c>
      <c r="H5" s="15" t="s">
        <v>19</v>
      </c>
      <c r="K5" s="3">
        <v>24.55</v>
      </c>
    </row>
    <row r="6" spans="1:13" ht="60" x14ac:dyDescent="0.2">
      <c r="A6" s="16" t="s">
        <v>20</v>
      </c>
      <c r="B6" s="9">
        <v>0.21110000000000001</v>
      </c>
      <c r="C6" s="10">
        <v>0.22</v>
      </c>
      <c r="D6" s="11" t="s">
        <v>14</v>
      </c>
      <c r="E6" s="11" t="s">
        <v>21</v>
      </c>
      <c r="F6" s="12">
        <v>0.22</v>
      </c>
      <c r="G6" s="13" t="s">
        <v>21</v>
      </c>
      <c r="H6" s="17" t="s">
        <v>22</v>
      </c>
      <c r="J6" s="3">
        <f>SUM(J3:J5)</f>
        <v>13.579999999999998</v>
      </c>
      <c r="K6" s="3">
        <v>4.87</v>
      </c>
    </row>
    <row r="7" spans="1:13" s="21" customFormat="1" ht="41.25" customHeight="1" x14ac:dyDescent="0.25">
      <c r="A7" s="8" t="s">
        <v>23</v>
      </c>
      <c r="B7" s="9">
        <v>2.81E-2</v>
      </c>
      <c r="C7" s="18">
        <v>0.05</v>
      </c>
      <c r="D7" s="11" t="s">
        <v>14</v>
      </c>
      <c r="E7" s="11" t="s">
        <v>24</v>
      </c>
      <c r="F7" s="19">
        <v>0.05</v>
      </c>
      <c r="G7" s="13" t="s">
        <v>24</v>
      </c>
      <c r="H7" s="20" t="s">
        <v>25</v>
      </c>
      <c r="K7" s="21">
        <v>7.52</v>
      </c>
    </row>
    <row r="8" spans="1:13" ht="39" customHeight="1" x14ac:dyDescent="0.2">
      <c r="A8" s="8" t="s">
        <v>26</v>
      </c>
      <c r="B8" s="19">
        <v>1.0362</v>
      </c>
      <c r="C8" s="22">
        <f>SUM(C3:C7)</f>
        <v>1.06</v>
      </c>
      <c r="D8" s="17" t="s">
        <v>22</v>
      </c>
      <c r="E8" s="17" t="s">
        <v>22</v>
      </c>
      <c r="F8" s="19">
        <f>SUM(F3:F7)</f>
        <v>1.06</v>
      </c>
      <c r="G8" s="17" t="s">
        <v>22</v>
      </c>
      <c r="H8" s="17" t="s">
        <v>22</v>
      </c>
      <c r="K8" s="3">
        <v>5.21</v>
      </c>
    </row>
    <row r="9" spans="1:13" ht="36.75" customHeight="1" x14ac:dyDescent="0.2">
      <c r="A9" s="11" t="s">
        <v>27</v>
      </c>
      <c r="B9" s="19">
        <v>0.2127</v>
      </c>
      <c r="C9" s="18">
        <v>0.19</v>
      </c>
      <c r="D9" s="11" t="s">
        <v>10</v>
      </c>
      <c r="E9" s="11" t="s">
        <v>28</v>
      </c>
      <c r="F9" s="23">
        <v>0.2</v>
      </c>
      <c r="G9" s="13" t="s">
        <v>18</v>
      </c>
      <c r="H9" s="17" t="s">
        <v>22</v>
      </c>
      <c r="K9" s="3">
        <f>SUM(K2:K8)</f>
        <v>99.99</v>
      </c>
    </row>
    <row r="10" spans="1:13" ht="36.75" customHeight="1" x14ac:dyDescent="0.25">
      <c r="A10" s="24" t="s">
        <v>29</v>
      </c>
      <c r="B10" s="17" t="s">
        <v>22</v>
      </c>
      <c r="C10" s="17" t="s">
        <v>22</v>
      </c>
      <c r="D10" s="17" t="s">
        <v>22</v>
      </c>
      <c r="E10" s="17" t="s">
        <v>22</v>
      </c>
      <c r="F10" s="25">
        <v>4.0000000000000001E-3</v>
      </c>
      <c r="G10" s="17" t="s">
        <v>22</v>
      </c>
      <c r="H10" s="17" t="s">
        <v>22</v>
      </c>
      <c r="I10" s="21"/>
    </row>
    <row r="11" spans="1:13" ht="25.5" customHeight="1" x14ac:dyDescent="0.25">
      <c r="A11" s="3" t="s">
        <v>30</v>
      </c>
      <c r="C11" s="26" t="s">
        <v>22</v>
      </c>
      <c r="K11" s="3">
        <v>0.95</v>
      </c>
    </row>
    <row r="12" spans="1:13" ht="15.75" x14ac:dyDescent="0.25">
      <c r="A12" s="27" t="s">
        <v>31</v>
      </c>
      <c r="B12" s="27"/>
      <c r="C12" s="26" t="s">
        <v>22</v>
      </c>
      <c r="D12" s="27"/>
    </row>
    <row r="13" spans="1:13" ht="15.75" x14ac:dyDescent="0.25">
      <c r="A13" s="27" t="s">
        <v>32</v>
      </c>
      <c r="B13" s="27"/>
      <c r="C13" s="26" t="s">
        <v>22</v>
      </c>
      <c r="D13" s="27"/>
      <c r="K13" s="3">
        <f>K9-K11</f>
        <v>99.039999999999992</v>
      </c>
      <c r="L13" s="3">
        <v>98.47</v>
      </c>
      <c r="M13" s="3">
        <f>K13-L13</f>
        <v>0.56999999999999318</v>
      </c>
    </row>
    <row r="14" spans="1:13" ht="44.25" customHeight="1" x14ac:dyDescent="0.2">
      <c r="A14" s="31" t="s">
        <v>33</v>
      </c>
      <c r="B14" s="32"/>
      <c r="C14" s="32"/>
      <c r="D14" s="32"/>
      <c r="E14" s="32"/>
      <c r="F14" s="32"/>
      <c r="G14" s="32"/>
      <c r="H14" s="32"/>
    </row>
    <row r="15" spans="1:13" ht="15.75" x14ac:dyDescent="0.2">
      <c r="A15" s="28" t="s">
        <v>34</v>
      </c>
    </row>
    <row r="16" spans="1:13" ht="15.75" x14ac:dyDescent="0.2">
      <c r="A16" s="29" t="s">
        <v>35</v>
      </c>
    </row>
    <row r="17" spans="1:8" ht="15.75" x14ac:dyDescent="0.2">
      <c r="A17" s="30" t="s">
        <v>36</v>
      </c>
    </row>
    <row r="18" spans="1:8" ht="36.75" customHeight="1" x14ac:dyDescent="0.2">
      <c r="A18" s="33" t="s">
        <v>37</v>
      </c>
      <c r="B18" s="32"/>
      <c r="C18" s="32"/>
      <c r="D18" s="32"/>
      <c r="E18" s="32"/>
      <c r="F18" s="32"/>
      <c r="G18" s="32"/>
      <c r="H18" s="32"/>
    </row>
    <row r="19" spans="1:8" ht="30.75" customHeight="1" x14ac:dyDescent="0.2">
      <c r="A19" s="34" t="s">
        <v>38</v>
      </c>
      <c r="B19" s="32"/>
      <c r="C19" s="32"/>
      <c r="D19" s="32"/>
      <c r="E19" s="32"/>
      <c r="F19" s="32"/>
      <c r="G19" s="32"/>
      <c r="H19" s="32"/>
    </row>
    <row r="20" spans="1:8" ht="31.5" customHeight="1" x14ac:dyDescent="0.2">
      <c r="A20" s="34" t="s">
        <v>39</v>
      </c>
      <c r="B20" s="32"/>
      <c r="C20" s="32"/>
      <c r="D20" s="32"/>
      <c r="E20" s="32"/>
      <c r="F20" s="32"/>
      <c r="G20" s="32"/>
      <c r="H20" s="32"/>
    </row>
    <row r="21" spans="1:8" ht="20.25" customHeight="1" x14ac:dyDescent="0.2">
      <c r="A21" s="30" t="s">
        <v>40</v>
      </c>
    </row>
    <row r="22" spans="1:8" ht="20.25" customHeight="1" x14ac:dyDescent="0.25">
      <c r="A22" s="21" t="s">
        <v>42</v>
      </c>
    </row>
    <row r="23" spans="1:8" ht="26.25" customHeight="1" x14ac:dyDescent="0.25">
      <c r="A23" s="35" t="s">
        <v>41</v>
      </c>
      <c r="B23" s="35"/>
      <c r="C23" s="35"/>
      <c r="D23" s="35"/>
      <c r="E23" s="35"/>
      <c r="F23" s="35"/>
      <c r="G23" s="35"/>
      <c r="H23" s="35"/>
    </row>
  </sheetData>
  <mergeCells count="5"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מורים תיכוניים</vt:lpstr>
      <vt:lpstr>'מורים תיכוניים'!WPrint_Area_W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2024-12-25T13:54:18Z</dcterms:created>
  <dcterms:modified xsi:type="dcterms:W3CDTF">2024-12-25T14:01:27Z</dcterms:modified>
</cp:coreProperties>
</file>