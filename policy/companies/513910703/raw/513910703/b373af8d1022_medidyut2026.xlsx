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63"/>
  <workbookPr defaultThemeVersion="124226"/>
  <mc:AlternateContent xmlns:mc="http://schemas.openxmlformats.org/markup-compatibility/2006">
    <mc:Choice Requires="x15">
      <x15ac:absPath xmlns:x15ac="http://schemas.microsoft.com/office/spreadsheetml/2010/11/ac" url="V:\השקעות\מדיניות השקעות\2026\משתתפות\"/>
    </mc:Choice>
  </mc:AlternateContent>
  <xr:revisionPtr revIDLastSave="0" documentId="13_ncr:1_{F3E65C94-6FDA-4FDA-9D9D-4DDE9496F471}" xr6:coauthVersionLast="36" xr6:coauthVersionMax="36" xr10:uidLastSave="{00000000-0000-0000-0000-000000000000}"/>
  <bookViews>
    <workbookView xWindow="0" yWindow="0" windowWidth="21570" windowHeight="8010" xr2:uid="{00000000-000D-0000-FFFF-FFFF00000000}"/>
  </bookViews>
  <sheets>
    <sheet name="מסלול כללי" sheetId="2" r:id="rId1"/>
    <sheet name="אשראי ואגח" sheetId="1" r:id="rId2"/>
    <sheet name="אגח ממשלות" sheetId="4" r:id="rId3"/>
    <sheet name="מניות" sheetId="6" r:id="rId4"/>
    <sheet name="S&amp;P" sheetId="7" r:id="rId5"/>
  </sheets>
  <definedNames>
    <definedName name="_xlnm.Print_Area" localSheetId="4">'S&amp;P'!$A$1:$I$20</definedName>
  </definedNames>
  <calcPr calcId="191029"/>
</workbook>
</file>

<file path=xl/calcChain.xml><?xml version="1.0" encoding="utf-8"?>
<calcChain xmlns="http://schemas.openxmlformats.org/spreadsheetml/2006/main">
  <c r="C15" i="2" l="1"/>
  <c r="H4" i="7" l="1"/>
  <c r="D3" i="7"/>
  <c r="H2" i="7"/>
  <c r="F2" i="7"/>
  <c r="B15" i="2" l="1"/>
</calcChain>
</file>

<file path=xl/sharedStrings.xml><?xml version="1.0" encoding="utf-8"?>
<sst xmlns="http://schemas.openxmlformats.org/spreadsheetml/2006/main" count="104" uniqueCount="83">
  <si>
    <t>מדיניות השקעה</t>
  </si>
  <si>
    <t>טווח סטייה</t>
  </si>
  <si>
    <t>אפיק השקעה</t>
  </si>
  <si>
    <t>+/- 6%</t>
  </si>
  <si>
    <t>אג"ח ממשלתי</t>
  </si>
  <si>
    <t>+/-6%</t>
  </si>
  <si>
    <t>+/-5%</t>
  </si>
  <si>
    <t>סה"כ</t>
  </si>
  <si>
    <t>חשיפה למט"ח</t>
  </si>
  <si>
    <t>תל בונד 60</t>
  </si>
  <si>
    <t>50% - ממשלתי צמוד 2-5</t>
  </si>
  <si>
    <t>אג"ח קונצרני (סחיר ולא סחיר בארץ ובחו"ל, כולל פקדונות זמן ארוך בבנקים והלוואות)</t>
  </si>
  <si>
    <t>10% - תל בונד 60</t>
  </si>
  <si>
    <t>50% - ממשלתי שקלי 0-2</t>
  </si>
  <si>
    <t>קרנות השקעה</t>
  </si>
  <si>
    <t>3% - MSCI WORLD</t>
  </si>
  <si>
    <t>מסלול מניות</t>
  </si>
  <si>
    <t>ריבית ב"י + 3%</t>
  </si>
  <si>
    <t>22%-34%</t>
  </si>
  <si>
    <t>2% - ת"א 125</t>
  </si>
  <si>
    <t>47.5% - תל בונד 60</t>
  </si>
  <si>
    <t>25%- ממשלתי שקלי 0-2</t>
  </si>
  <si>
    <t>22.5%- ממשלתי צמוד 2-5</t>
  </si>
  <si>
    <t>2% - MSCI WORLD</t>
  </si>
  <si>
    <t>44%- ממשלתי שקלי 0-2</t>
  </si>
  <si>
    <t>44%- ממשלתי צמוד 2-5</t>
  </si>
  <si>
    <t>15% - מזומן</t>
  </si>
  <si>
    <t>מניות (תעודות סל</t>
  </si>
  <si>
    <t xml:space="preserve"> אופציות, קרנות נאמנות)</t>
  </si>
  <si>
    <t>אחר (מזומן ,פק"מ, קרנות גידור וכו')</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</si>
  <si>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בשיעור חשיפה שלא יפחת מ-75% ולא יעלה על 120% מנכסי המסלול.</t>
  </si>
  <si>
    <t>חשיפה לנכסים כאמור תושג באמצעות השקעה במישרין והן באמצעות השקעה בנגזרים (לרבות חוזים עתידיים, אופציות וכתבי אופציות), בקרנות סל, בקרנות נאמנות ובקרנות השקעה המתמחות בחוב החל מיום 1 ביולי 2024 השקעה בקרנות השקעה מתמחות בחוב תהיה בתנאי שבהתאם למדיניות ההשקעה שלהן, שיעור החשיפה לחוב לא יפחת מ 75%.</t>
  </si>
  <si>
    <t xml:space="preserve">יתרת הנכסים תושקע בכפוף להוראות הדין ובתנאי ששיעור החשיפה הכולל במסלול לא יעלה על 120% מנכסי המסלול. </t>
  </si>
  <si>
    <t>השקעה במסלול זה עשויה להיות חשופה לסיכוני מטבע.</t>
  </si>
  <si>
    <t xml:space="preserve">יתרת הנכסים תושקע בכפוף להוראות הדין ובתנאי ששיעור החשיפה הכולל במסלול </t>
  </si>
  <si>
    <t>לא יעלה על 120% מנכסי המסלול. השקעה במסלול זה עשויה להיות חשופה לסיכוני מטבע.</t>
  </si>
  <si>
    <t xml:space="preserve">נכסי המסלול יהיו חשופים לאג"ח של ממשלות בדירוג של מדינת חוץ מאושרת כהגדרתה בתקנות כללי השקעה, בשיעור חשיפה שלא יפחת מ-75% ולא יעלה על 120% מנכסי המסלול. </t>
  </si>
  <si>
    <t xml:space="preserve">חשיפה לנכסים כאמור תושג באמצעות השקעה במישרין והן באמצעות השקעה בנגזרים (לרבות חוזים עתידיים, אופציות וכתבי אופציות), בקרנות סל ובקרנות נאמנות. </t>
  </si>
  <si>
    <t>יתרת הנכסים תושקע בכפוף להוראות הדין ובתנאי ששיעור החשיפה הכולל במסלול לא יעלה על 120% מנכסי המסלול.</t>
  </si>
  <si>
    <t xml:space="preserve">נכסי המסלול יהיו חשופים למניות בארץ ובחו"ל, בשיעור חשיפה שלא יפחת מ-75% ולא יעלה על 120% מנכסי המסלול. </t>
  </si>
  <si>
    <t>חשיפה לנכסים כאמור תושג באמצעות השקעה במישרין ובאמצעות השקעה בנגזרים (לרבות חוזים עתידיים, אופציות וכתבי אופציות), בקרנות סל, בקרנות נאמנות ובקרנות השקעה.</t>
  </si>
  <si>
    <t xml:space="preserve">השקעה במסלול זה עשויה להיות חשופה לסיכוני מטבע. </t>
  </si>
  <si>
    <t>מסלול אשראי ואג"ח</t>
  </si>
  <si>
    <t>מסלול אג"ח ממשלות</t>
  </si>
  <si>
    <t>7%-17%</t>
  </si>
  <si>
    <t>3%-13%</t>
  </si>
  <si>
    <t>מסלול כללי</t>
  </si>
  <si>
    <t>אפיק</t>
  </si>
  <si>
    <t>גבולות שיעור החשיפה המומלץ</t>
  </si>
  <si>
    <t>מדד ייחוס</t>
  </si>
  <si>
    <t>מניות</t>
  </si>
  <si>
    <t>-</t>
  </si>
  <si>
    <t>S&amp;P500 - 100%</t>
  </si>
  <si>
    <t>100% - דולר</t>
  </si>
  <si>
    <t>מדד ייחוס 2026</t>
  </si>
  <si>
    <t>מגבלת עמלת ניהול חיצוני לשנת 2026</t>
  </si>
  <si>
    <t>המעקב אחר המדד יהיה בכפוף להוראות הדין ועשוי להיות חשוף לסיכוני מטבע.</t>
  </si>
  <si>
    <t xml:space="preserve">נכסי המסלול, יעקבו באמצעות מכשירים עוקבי מדד ונגזרים (לרבות חוזים עתידיים, אופציות וכתבי אופציות) ובשיעור חשיפה שלא יעלה על 100% מנכסי המסלול, אחר מדד 500 S&amp;P. </t>
  </si>
  <si>
    <t>נכסי המסלול העוקבים אחר המדד יהיו כל נכסי המסלול למעט שיעור מהנכסים שיושקע באופן הבא:</t>
  </si>
  <si>
    <t>           א.         בנגזרים המשמשים לצרכי גידור;</t>
  </si>
  <si>
    <t xml:space="preserve">           ב.         לצורך הפקדות, משיכות והעברות כספים או טיפול בביטחונות בגין נגזרים, באחד או יותר מן הבאים: </t>
  </si>
  <si>
    <t xml:space="preserve">                       1) מזומנים; </t>
  </si>
  <si>
    <t xml:space="preserve">                       2) מק"מ;</t>
  </si>
  <si>
    <t xml:space="preserve">                       3) פיקדונות שהופקדו לתקופה שאינה עולה על 12 חודשים ממועד הפקדתם, </t>
  </si>
  <si>
    <t xml:space="preserve">                       4) אג"ח של מדינת ישראל שמועד פירעונן אינו עולה על 12 חודשים;</t>
  </si>
  <si>
    <t xml:space="preserve">                       5) באג"ח של מדינת חוץ מאושרת שמועד פירעונן אינו עולה על 12 חודשים, ובלבד שהאג"ח והנגזר נרכשו באותה מדינת חוץ מאושרת; </t>
  </si>
  <si>
    <t xml:space="preserve">                       6) קרן כספית שהגדרתה בתקנות השקעות משותפות בנאמנות (נכסים שמותר לקנות ולהחזיק בקרן ושיעוריהם המרביים), התשנ"ה-1994.</t>
  </si>
  <si>
    <t>שיעור חשיפה מומלץ לשנת 2026</t>
  </si>
  <si>
    <t>מדיניות השקעות 2025</t>
  </si>
  <si>
    <t>שיעור חשיפה נוכחי ליום 31.12.2025</t>
  </si>
  <si>
    <t>שיעור חשיפה צפוי לשנת 2026</t>
  </si>
  <si>
    <t xml:space="preserve">מדד ייחוס 2026 </t>
  </si>
  <si>
    <t>41%-53%</t>
  </si>
  <si>
    <t>0%-10%</t>
  </si>
  <si>
    <t>12%-24%</t>
  </si>
  <si>
    <t>50% - ת"א 125</t>
  </si>
  <si>
    <t>MSCI WORLD -50%</t>
  </si>
  <si>
    <t>42.5% - ת"א 125</t>
  </si>
  <si>
    <t>42.5% - MSCI WORLD</t>
  </si>
  <si>
    <t>/- 6%</t>
  </si>
  <si>
    <t>מסלול S&amp;P</t>
  </si>
  <si>
    <t>גבולות שיעור החשיפה הצפויה 2026</t>
  </si>
  <si>
    <t>המסלול נפתח בשנת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</si>
</sst>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rial"/>
      <family val="2"/>
      <charset val="177"/>
      <scheme val="minor"/>
    </font>
    <font>
      <b/>
      <sz val="12"/>
      <color theme="1"/>
      <name val="Narkisim"/>
      <family val="2"/>
    </font>
    <font>
      <sz val="12"/>
      <color theme="1"/>
      <name val="Narkisim"/>
      <family val="2"/>
    </font>
    <font>
      <b/>
      <sz val="11"/>
      <color theme="1"/>
      <name val="Times New Roman"/>
      <family val="1"/>
    </font>
    <font>
      <sz val="12"/>
      <color theme="1"/>
      <name val="Narkisim"/>
      <family val="2"/>
    </font>
    <font>
      <sz val="12"/>
      <color theme="1"/>
      <name val="Narkisim"/>
      <family val="2"/>
      <charset val="177"/>
    </font>
    <font>
      <sz val="14"/>
      <color theme="1"/>
      <name val="Narkisim"/>
      <family val="2"/>
      <charset val="177"/>
    </font>
    <font>
      <b/>
      <sz val="12"/>
      <color theme="1"/>
      <name val="Narkisim"/>
      <family val="2"/>
      <charset val="177"/>
    </font>
    <font>
      <sz val="11"/>
      <color theme="1"/>
      <name val="Arial"/>
      <family val="2"/>
      <charset val="177"/>
      <scheme val="minor"/>
    </font>
    <font>
      <sz val="10"/>
      <name val="Arial"/>
      <family val="2"/>
    </font>
    <font>
      <sz val="11"/>
      <color theme="1"/>
      <name val="Narkisim"/>
      <family val="2"/>
    </font>
    <font>
      <b/>
      <sz val="11"/>
      <color theme="1"/>
      <name val="Narkisim"/>
      <family val="2"/>
    </font>
    <font>
      <b/>
      <sz val="11"/>
      <color theme="1"/>
      <name val="Arial"/>
      <family val="2"/>
      <scheme val="minor"/>
    </font>
    <font>
      <sz val="11"/>
      <color theme="1"/>
      <name val="Arial"/>
      <family val="2"/>
      <scheme val="minor"/>
    </font>
    <font>
      <sz val="11"/>
      <name val="Arial"/>
      <family val="2"/>
      <scheme val="minor"/>
    </font>
    <font>
      <b/>
      <sz val="11"/>
      <color indexed="8"/>
      <name val="Arial"/>
      <family val="2"/>
    </font>
    <font>
      <b/>
      <sz val="11"/>
      <name val="Arial"/>
      <family val="2"/>
    </font>
    <font>
      <sz val="12"/>
      <color theme="1"/>
      <name val="Arial"/>
      <family val="2"/>
      <scheme val="minor"/>
    </font>
    <font>
      <sz val="13"/>
      <color theme="1"/>
      <name val="Arial"/>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rgb="FFFFFF00"/>
        <bgColor indexed="64"/>
      </patternFill>
    </fill>
  </fills>
  <borders count="37">
    <border>
      <left/>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indexed="64"/>
      </left>
      <right/>
      <top/>
      <bottom/>
      <diagonal/>
    </border>
    <border>
      <left/>
      <right/>
      <top style="medium">
        <color indexed="64"/>
      </top>
      <bottom style="medium">
        <color indexed="64"/>
      </bottom>
      <diagonal/>
    </border>
    <border>
      <left style="medium">
        <color indexed="64"/>
      </left>
      <right style="medium">
        <color rgb="FF000000"/>
      </right>
      <top/>
      <bottom style="medium">
        <color indexed="64"/>
      </bottom>
      <diagonal/>
    </border>
    <border>
      <left style="medium">
        <color indexed="64"/>
      </left>
      <right style="medium">
        <color rgb="FF000000"/>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bottom/>
      <diagonal/>
    </border>
    <border>
      <left/>
      <right/>
      <top/>
      <bottom style="medium">
        <color rgb="FF000000"/>
      </bottom>
      <diagonal/>
    </border>
    <border>
      <left style="medium">
        <color indexed="64"/>
      </left>
      <right style="medium">
        <color indexed="64"/>
      </right>
      <top style="medium">
        <color indexed="64"/>
      </top>
      <bottom style="medium">
        <color indexed="64"/>
      </bottom>
      <diagonal/>
    </border>
    <border>
      <left style="medium">
        <color rgb="FF000000"/>
      </left>
      <right/>
      <top style="medium">
        <color indexed="64"/>
      </top>
      <bottom/>
      <diagonal/>
    </border>
    <border>
      <left style="medium">
        <color rgb="FF000000"/>
      </left>
      <right/>
      <top/>
      <bottom style="medium">
        <color indexed="64"/>
      </bottom>
      <diagonal/>
    </border>
    <border>
      <left style="medium">
        <color rgb="FF000000"/>
      </left>
      <right style="medium">
        <color indexed="64"/>
      </right>
      <top style="medium">
        <color indexed="64"/>
      </top>
      <bottom/>
      <diagonal/>
    </border>
    <border>
      <left style="medium">
        <color rgb="FF000000"/>
      </left>
      <right style="medium">
        <color indexed="64"/>
      </right>
      <top/>
      <bottom style="medium">
        <color indexed="64"/>
      </bottom>
      <diagonal/>
    </border>
    <border>
      <left style="medium">
        <color rgb="FF000000"/>
      </left>
      <right/>
      <top/>
      <bottom/>
      <diagonal/>
    </border>
    <border>
      <left style="medium">
        <color indexed="64"/>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indexed="64"/>
      </left>
      <right style="medium">
        <color rgb="FF000000"/>
      </right>
      <top/>
      <bottom/>
      <diagonal/>
    </border>
    <border>
      <left style="medium">
        <color rgb="FF000000"/>
      </left>
      <right style="medium">
        <color indexed="64"/>
      </right>
      <top/>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diagonal/>
    </border>
  </borders>
  <cellStyleXfs count="11">
    <xf numFmtId="0" fontId="0" fillId="0" borderId="0"/>
    <xf numFmtId="0" fontId="9" fillId="0" borderId="0"/>
    <xf numFmtId="0" fontId="8" fillId="0" borderId="0"/>
    <xf numFmtId="0" fontId="9"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0" fontId="8" fillId="0" borderId="0"/>
  </cellStyleXfs>
  <cellXfs count="138">
    <xf numFmtId="0" fontId="0" fillId="0" borderId="0" xfId="0"/>
    <xf numFmtId="0" fontId="1" fillId="0" borderId="4" xfId="0" applyFont="1" applyBorder="1" applyAlignment="1">
      <alignment horizontal="center"/>
    </xf>
    <xf numFmtId="0" fontId="2" fillId="0" borderId="0" xfId="0" applyFont="1" applyBorder="1" applyAlignment="1">
      <alignment horizontal="center" vertical="center" wrapText="1" readingOrder="2"/>
    </xf>
    <xf numFmtId="0" fontId="2" fillId="0" borderId="14" xfId="0" applyFont="1" applyBorder="1" applyAlignment="1">
      <alignment horizontal="center" vertical="center"/>
    </xf>
    <xf numFmtId="0" fontId="2" fillId="0" borderId="13" xfId="0" applyFont="1" applyBorder="1" applyAlignment="1">
      <alignment horizontal="center" vertical="center"/>
    </xf>
    <xf numFmtId="0" fontId="0" fillId="0" borderId="0" xfId="0" applyFill="1"/>
    <xf numFmtId="0" fontId="1" fillId="0" borderId="5" xfId="0" applyFont="1" applyBorder="1" applyAlignment="1">
      <alignment horizontal="center" vertical="center" wrapText="1"/>
    </xf>
    <xf numFmtId="0" fontId="1" fillId="0" borderId="7" xfId="0" applyFont="1" applyFill="1" applyBorder="1" applyAlignment="1">
      <alignment horizontal="center" vertical="center" wrapText="1"/>
    </xf>
    <xf numFmtId="0" fontId="1" fillId="0" borderId="15" xfId="0" applyFont="1" applyBorder="1" applyAlignment="1">
      <alignment horizontal="center" vertical="center" wrapText="1" readingOrder="2"/>
    </xf>
    <xf numFmtId="0" fontId="7" fillId="0" borderId="19" xfId="0" applyFont="1" applyFill="1" applyBorder="1" applyAlignment="1">
      <alignment horizontal="center" vertical="center" wrapText="1" readingOrder="2"/>
    </xf>
    <xf numFmtId="0" fontId="1" fillId="0" borderId="7" xfId="0" applyFont="1" applyBorder="1" applyAlignment="1">
      <alignment horizontal="center" vertical="center" wrapText="1"/>
    </xf>
    <xf numFmtId="0" fontId="1" fillId="0" borderId="20" xfId="0" applyFont="1" applyFill="1" applyBorder="1" applyAlignment="1">
      <alignment horizontal="center" vertical="center" wrapText="1"/>
    </xf>
    <xf numFmtId="0" fontId="2" fillId="0" borderId="20" xfId="0" applyFont="1" applyFill="1" applyBorder="1" applyAlignment="1">
      <alignment horizontal="center" vertical="center" wrapText="1"/>
    </xf>
    <xf numFmtId="0" fontId="0" fillId="0" borderId="0" xfId="0"/>
    <xf numFmtId="10" fontId="10" fillId="3" borderId="7" xfId="0" applyNumberFormat="1" applyFont="1" applyFill="1" applyBorder="1" applyAlignment="1">
      <alignment horizontal="center" vertical="center" wrapText="1"/>
    </xf>
    <xf numFmtId="0" fontId="10" fillId="0" borderId="7" xfId="0" applyFont="1" applyFill="1" applyBorder="1" applyAlignment="1">
      <alignment horizontal="center" vertical="center" wrapText="1"/>
    </xf>
    <xf numFmtId="10" fontId="11" fillId="3" borderId="4" xfId="0" applyNumberFormat="1" applyFont="1" applyFill="1" applyBorder="1" applyAlignment="1">
      <alignment horizontal="center"/>
    </xf>
    <xf numFmtId="0" fontId="10" fillId="0" borderId="4" xfId="0" applyFont="1" applyFill="1" applyBorder="1"/>
    <xf numFmtId="0" fontId="10" fillId="0" borderId="0" xfId="0" applyFont="1"/>
    <xf numFmtId="164" fontId="10" fillId="0" borderId="0" xfId="0" applyNumberFormat="1" applyFont="1"/>
    <xf numFmtId="0" fontId="10" fillId="0" borderId="0" xfId="0" applyFont="1" applyFill="1"/>
    <xf numFmtId="10" fontId="10" fillId="0" borderId="8"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10" fillId="0" borderId="14" xfId="0" applyFont="1" applyFill="1" applyBorder="1" applyAlignment="1">
      <alignment horizontal="center" vertical="center"/>
    </xf>
    <xf numFmtId="0" fontId="2" fillId="0" borderId="22" xfId="0" applyFont="1" applyFill="1" applyBorder="1" applyAlignment="1">
      <alignment horizontal="center" vertical="center"/>
    </xf>
    <xf numFmtId="10" fontId="10" fillId="0" borderId="24" xfId="0" applyNumberFormat="1" applyFont="1" applyBorder="1" applyAlignment="1">
      <alignment horizontal="center" vertical="center"/>
    </xf>
    <xf numFmtId="0" fontId="2" fillId="0" borderId="6" xfId="0" applyFont="1" applyBorder="1" applyAlignment="1">
      <alignment horizontal="center" vertical="center" wrapText="1"/>
    </xf>
    <xf numFmtId="0" fontId="10" fillId="0" borderId="26" xfId="0" applyFont="1" applyFill="1" applyBorder="1" applyAlignment="1">
      <alignment horizontal="center" vertical="center" wrapText="1"/>
    </xf>
    <xf numFmtId="0" fontId="2" fillId="0" borderId="18" xfId="0" applyFont="1" applyBorder="1" applyAlignment="1">
      <alignment horizontal="center" vertical="center" wrapText="1" readingOrder="2"/>
    </xf>
    <xf numFmtId="0" fontId="2" fillId="0" borderId="11" xfId="0" applyFont="1" applyBorder="1" applyAlignment="1">
      <alignment horizontal="center" vertical="center" wrapText="1" readingOrder="2"/>
    </xf>
    <xf numFmtId="0" fontId="6" fillId="2" borderId="12" xfId="0" applyFont="1" applyFill="1" applyBorder="1" applyAlignment="1">
      <alignment horizontal="center" vertical="center" wrapText="1" readingOrder="2"/>
    </xf>
    <xf numFmtId="0" fontId="2" fillId="0" borderId="3" xfId="0" applyFont="1" applyBorder="1" applyAlignment="1">
      <alignment horizontal="center" vertical="center" wrapText="1" readingOrder="2"/>
    </xf>
    <xf numFmtId="0" fontId="2" fillId="0" borderId="2" xfId="0" applyFont="1" applyBorder="1" applyAlignment="1">
      <alignment horizontal="center" vertical="center" wrapText="1" readingOrder="2"/>
    </xf>
    <xf numFmtId="0" fontId="6" fillId="2" borderId="15" xfId="0" applyFont="1" applyFill="1" applyBorder="1" applyAlignment="1">
      <alignment wrapText="1"/>
    </xf>
    <xf numFmtId="0" fontId="6" fillId="2" borderId="12" xfId="0" applyFont="1" applyFill="1" applyBorder="1" applyAlignment="1">
      <alignment wrapText="1"/>
    </xf>
    <xf numFmtId="0" fontId="10" fillId="0" borderId="9" xfId="0" applyFont="1" applyFill="1" applyBorder="1" applyAlignment="1">
      <alignment vertical="center" wrapText="1"/>
    </xf>
    <xf numFmtId="0" fontId="2" fillId="0" borderId="6" xfId="0" applyFont="1" applyBorder="1" applyAlignment="1">
      <alignment vertical="center" wrapText="1"/>
    </xf>
    <xf numFmtId="0" fontId="10" fillId="0" borderId="26" xfId="0" applyFont="1" applyFill="1" applyBorder="1" applyAlignment="1">
      <alignment vertical="center" wrapText="1"/>
    </xf>
    <xf numFmtId="9" fontId="10" fillId="0" borderId="26" xfId="9" applyFont="1" applyFill="1" applyBorder="1" applyAlignment="1">
      <alignment horizontal="center" vertical="center" wrapText="1"/>
    </xf>
    <xf numFmtId="10" fontId="10" fillId="0" borderId="25" xfId="0" applyNumberFormat="1" applyFont="1" applyBorder="1" applyAlignment="1">
      <alignment vertical="center"/>
    </xf>
    <xf numFmtId="0" fontId="10" fillId="0" borderId="13" xfId="0" applyFont="1" applyFill="1" applyBorder="1" applyAlignment="1">
      <alignment vertical="center"/>
    </xf>
    <xf numFmtId="0" fontId="2" fillId="0" borderId="23" xfId="0" applyFont="1" applyFill="1" applyBorder="1" applyAlignment="1">
      <alignment vertical="center"/>
    </xf>
    <xf numFmtId="10" fontId="2" fillId="0" borderId="10" xfId="0" applyNumberFormat="1" applyFont="1" applyBorder="1" applyAlignment="1">
      <alignment horizontal="center" vertical="center" wrapText="1"/>
    </xf>
    <xf numFmtId="0" fontId="2" fillId="0" borderId="21" xfId="0" applyFont="1" applyBorder="1" applyAlignment="1">
      <alignment horizontal="center" vertical="center" wrapText="1"/>
    </xf>
    <xf numFmtId="0" fontId="1" fillId="0" borderId="3" xfId="0" applyFont="1" applyBorder="1" applyAlignment="1">
      <alignment vertical="center" wrapText="1"/>
    </xf>
    <xf numFmtId="0" fontId="2" fillId="0" borderId="16" xfId="0" applyFont="1" applyBorder="1" applyAlignment="1">
      <alignment horizontal="center" vertical="center" wrapText="1"/>
    </xf>
    <xf numFmtId="0" fontId="2" fillId="0" borderId="15" xfId="0" applyFont="1" applyBorder="1" applyAlignment="1">
      <alignment horizontal="right" vertical="center"/>
    </xf>
    <xf numFmtId="0" fontId="1" fillId="0" borderId="27" xfId="0" applyFont="1" applyBorder="1" applyAlignment="1">
      <alignment horizontal="center" vertical="center" wrapText="1"/>
    </xf>
    <xf numFmtId="0" fontId="6" fillId="2" borderId="16" xfId="0" applyFont="1" applyFill="1" applyBorder="1" applyAlignment="1">
      <alignment vertical="center" wrapText="1" readingOrder="2"/>
    </xf>
    <xf numFmtId="0" fontId="2" fillId="0" borderId="8" xfId="0" applyFont="1" applyBorder="1" applyAlignment="1">
      <alignment horizontal="center" wrapText="1"/>
    </xf>
    <xf numFmtId="10" fontId="10" fillId="0" borderId="26" xfId="9" applyNumberFormat="1" applyFont="1" applyFill="1" applyBorder="1" applyAlignment="1">
      <alignment horizontal="center" vertical="center" wrapText="1"/>
    </xf>
    <xf numFmtId="0" fontId="2" fillId="0" borderId="29" xfId="0" applyFont="1" applyBorder="1" applyAlignment="1">
      <alignment horizontal="center" vertical="center"/>
    </xf>
    <xf numFmtId="10" fontId="10" fillId="0" borderId="30" xfId="0" applyNumberFormat="1" applyFont="1" applyBorder="1" applyAlignment="1">
      <alignment horizontal="center" vertical="center"/>
    </xf>
    <xf numFmtId="0" fontId="10" fillId="0" borderId="29" xfId="0" applyFont="1" applyFill="1" applyBorder="1" applyAlignment="1">
      <alignment horizontal="center" vertical="center"/>
    </xf>
    <xf numFmtId="0" fontId="2" fillId="0" borderId="26" xfId="0" applyFont="1" applyFill="1" applyBorder="1" applyAlignment="1">
      <alignment horizontal="center" vertical="center"/>
    </xf>
    <xf numFmtId="0" fontId="2" fillId="0" borderId="1" xfId="0" applyFont="1" applyBorder="1" applyAlignment="1">
      <alignment horizontal="center" vertical="center" wrapText="1" readingOrder="2"/>
    </xf>
    <xf numFmtId="0" fontId="2" fillId="0" borderId="17" xfId="0" applyFont="1" applyBorder="1" applyAlignment="1">
      <alignment horizontal="center" vertical="center" wrapText="1" readingOrder="2"/>
    </xf>
    <xf numFmtId="0" fontId="1" fillId="0" borderId="21" xfId="0" applyFont="1" applyBorder="1" applyAlignment="1">
      <alignment horizontal="center" vertical="center" wrapText="1" readingOrder="2"/>
    </xf>
    <xf numFmtId="10" fontId="11" fillId="0" borderId="8" xfId="0" applyNumberFormat="1" applyFont="1" applyFill="1" applyBorder="1" applyAlignment="1">
      <alignment horizontal="center"/>
    </xf>
    <xf numFmtId="0" fontId="12" fillId="0" borderId="21" xfId="0" applyFont="1" applyBorder="1" applyAlignment="1">
      <alignment horizontal="center" vertical="center" wrapText="1"/>
    </xf>
    <xf numFmtId="0" fontId="12" fillId="4" borderId="21" xfId="10" applyFont="1" applyFill="1" applyBorder="1" applyAlignment="1">
      <alignment horizontal="center" vertical="center" wrapText="1"/>
    </xf>
    <xf numFmtId="0" fontId="12" fillId="0" borderId="31" xfId="0" applyFont="1" applyBorder="1" applyAlignment="1">
      <alignment horizontal="center" vertical="center"/>
    </xf>
    <xf numFmtId="49" fontId="12" fillId="3" borderId="2" xfId="0" applyNumberFormat="1" applyFont="1" applyFill="1" applyBorder="1" applyAlignment="1">
      <alignment horizontal="center" vertical="center"/>
    </xf>
    <xf numFmtId="9" fontId="13" fillId="3" borderId="11" xfId="10" applyNumberFormat="1" applyFont="1" applyFill="1" applyBorder="1" applyAlignment="1">
      <alignment horizontal="center" vertical="center"/>
    </xf>
    <xf numFmtId="49" fontId="12" fillId="0" borderId="0" xfId="10" applyNumberFormat="1" applyFont="1" applyBorder="1" applyAlignment="1">
      <alignment horizontal="center" vertical="center"/>
    </xf>
    <xf numFmtId="9" fontId="13" fillId="0" borderId="19" xfId="10" applyNumberFormat="1" applyFont="1" applyBorder="1" applyAlignment="1">
      <alignment horizontal="center" vertical="center"/>
    </xf>
    <xf numFmtId="0" fontId="13" fillId="0" borderId="32" xfId="0" applyFont="1" applyBorder="1" applyAlignment="1">
      <alignment horizontal="center"/>
    </xf>
    <xf numFmtId="0" fontId="15" fillId="5" borderId="21" xfId="10" applyFont="1" applyFill="1" applyBorder="1" applyAlignment="1">
      <alignment horizontal="center" vertical="center"/>
    </xf>
    <xf numFmtId="0" fontId="12" fillId="5" borderId="21" xfId="0" applyFont="1" applyFill="1" applyBorder="1" applyAlignment="1">
      <alignment horizontal="center" vertical="center"/>
    </xf>
    <xf numFmtId="9" fontId="12" fillId="5" borderId="15" xfId="10" applyNumberFormat="1" applyFont="1" applyFill="1" applyBorder="1" applyAlignment="1">
      <alignment horizontal="center" vertical="center"/>
    </xf>
    <xf numFmtId="0" fontId="12" fillId="5" borderId="12" xfId="10" applyFont="1" applyFill="1" applyBorder="1" applyAlignment="1">
      <alignment horizontal="center" vertical="center"/>
    </xf>
    <xf numFmtId="9" fontId="13" fillId="5" borderId="16" xfId="10" applyNumberFormat="1" applyFont="1" applyFill="1" applyBorder="1" applyAlignment="1">
      <alignment horizontal="center" vertical="center"/>
    </xf>
    <xf numFmtId="0" fontId="13" fillId="5" borderId="21" xfId="10" applyFont="1" applyFill="1" applyBorder="1" applyAlignment="1">
      <alignment horizontal="center" vertical="center"/>
    </xf>
    <xf numFmtId="0" fontId="0" fillId="0" borderId="1" xfId="10" applyFont="1" applyBorder="1" applyAlignment="1">
      <alignment horizontal="center" vertical="center"/>
    </xf>
    <xf numFmtId="49" fontId="12" fillId="3" borderId="21" xfId="0" applyNumberFormat="1" applyFont="1" applyFill="1" applyBorder="1" applyAlignment="1">
      <alignment horizontal="center" vertical="center"/>
    </xf>
    <xf numFmtId="9" fontId="13" fillId="3" borderId="17" xfId="10" applyNumberFormat="1" applyFont="1" applyFill="1" applyBorder="1" applyAlignment="1">
      <alignment horizontal="center" vertical="center"/>
    </xf>
    <xf numFmtId="49" fontId="12" fillId="0" borderId="33" xfId="10" applyNumberFormat="1" applyFont="1" applyBorder="1" applyAlignment="1">
      <alignment horizontal="center" vertical="center"/>
    </xf>
    <xf numFmtId="9" fontId="0" fillId="0" borderId="34" xfId="10" applyNumberFormat="1" applyFont="1" applyBorder="1" applyAlignment="1">
      <alignment horizontal="center" vertical="center"/>
    </xf>
    <xf numFmtId="0" fontId="0" fillId="0" borderId="1" xfId="10" applyFont="1" applyBorder="1" applyAlignment="1">
      <alignment horizontal="center" vertical="center" readingOrder="2"/>
    </xf>
    <xf numFmtId="0" fontId="0" fillId="0" borderId="21" xfId="0" applyBorder="1" applyAlignment="1">
      <alignment horizontal="center" vertical="center"/>
    </xf>
    <xf numFmtId="10" fontId="0" fillId="0" borderId="15" xfId="9" applyNumberFormat="1" applyFont="1" applyBorder="1" applyAlignment="1">
      <alignment vertical="center"/>
    </xf>
    <xf numFmtId="10" fontId="0" fillId="0" borderId="12" xfId="9" applyNumberFormat="1" applyFont="1" applyBorder="1" applyAlignment="1">
      <alignment vertical="center"/>
    </xf>
    <xf numFmtId="0" fontId="17" fillId="0" borderId="0" xfId="0" applyFont="1" applyAlignment="1">
      <alignment horizontal="right"/>
    </xf>
    <xf numFmtId="0" fontId="18" fillId="0" borderId="0" xfId="0" applyFont="1" applyAlignment="1">
      <alignment horizontal="center"/>
    </xf>
    <xf numFmtId="0" fontId="18" fillId="0" borderId="0" xfId="0" applyFont="1" applyAlignment="1">
      <alignment horizontal="right" readingOrder="2"/>
    </xf>
    <xf numFmtId="0" fontId="12" fillId="0" borderId="3" xfId="0" applyFont="1" applyBorder="1" applyAlignment="1">
      <alignment horizontal="right" wrapText="1" readingOrder="2"/>
    </xf>
    <xf numFmtId="0" fontId="12" fillId="0" borderId="2" xfId="0" applyFont="1" applyBorder="1" applyAlignment="1">
      <alignment horizontal="right" wrapText="1" readingOrder="2"/>
    </xf>
    <xf numFmtId="0" fontId="12" fillId="0" borderId="1" xfId="0" applyFont="1" applyBorder="1" applyAlignment="1">
      <alignment horizontal="right" wrapText="1" readingOrder="2"/>
    </xf>
    <xf numFmtId="0" fontId="0" fillId="3" borderId="0" xfId="0" applyFill="1"/>
    <xf numFmtId="0" fontId="1" fillId="3" borderId="7" xfId="0" applyFont="1" applyFill="1" applyBorder="1" applyAlignment="1">
      <alignment horizontal="center" vertical="center" wrapText="1"/>
    </xf>
    <xf numFmtId="0" fontId="10" fillId="3" borderId="9" xfId="0" applyFont="1" applyFill="1" applyBorder="1" applyAlignment="1">
      <alignment vertical="center" wrapText="1"/>
    </xf>
    <xf numFmtId="10" fontId="10" fillId="3" borderId="26" xfId="9" applyNumberFormat="1" applyFont="1" applyFill="1" applyBorder="1" applyAlignment="1">
      <alignment horizontal="center" vertical="center" wrapText="1"/>
    </xf>
    <xf numFmtId="10" fontId="10" fillId="3" borderId="26" xfId="0" applyNumberFormat="1" applyFont="1" applyFill="1" applyBorder="1" applyAlignment="1">
      <alignment vertical="center" wrapText="1"/>
    </xf>
    <xf numFmtId="10" fontId="10" fillId="3" borderId="3" xfId="0" applyNumberFormat="1" applyFont="1" applyFill="1" applyBorder="1" applyAlignment="1">
      <alignment horizontal="center" vertical="center"/>
    </xf>
    <xf numFmtId="10" fontId="10" fillId="3" borderId="2" xfId="0" applyNumberFormat="1" applyFont="1" applyFill="1" applyBorder="1" applyAlignment="1">
      <alignment horizontal="center" vertical="center"/>
    </xf>
    <xf numFmtId="10" fontId="10" fillId="3" borderId="1" xfId="0" applyNumberFormat="1" applyFont="1" applyFill="1" applyBorder="1" applyAlignment="1">
      <alignment vertical="center"/>
    </xf>
    <xf numFmtId="10" fontId="2" fillId="3" borderId="8" xfId="0" applyNumberFormat="1" applyFont="1" applyFill="1" applyBorder="1" applyAlignment="1">
      <alignment horizontal="center" vertical="center" wrapText="1"/>
    </xf>
    <xf numFmtId="10" fontId="2" fillId="3" borderId="9" xfId="0" applyNumberFormat="1" applyFont="1" applyFill="1" applyBorder="1" applyAlignment="1">
      <alignment horizontal="center" vertical="center" wrapText="1"/>
    </xf>
    <xf numFmtId="9" fontId="11" fillId="3" borderId="4" xfId="0" applyNumberFormat="1" applyFont="1" applyFill="1" applyBorder="1" applyAlignment="1">
      <alignment horizontal="center"/>
    </xf>
    <xf numFmtId="0" fontId="10" fillId="3" borderId="0" xfId="0" applyFont="1" applyFill="1"/>
    <xf numFmtId="10" fontId="11" fillId="3" borderId="8" xfId="0" applyNumberFormat="1" applyFont="1" applyFill="1" applyBorder="1" applyAlignment="1">
      <alignment horizontal="center"/>
    </xf>
    <xf numFmtId="10" fontId="3" fillId="3" borderId="16" xfId="0" applyNumberFormat="1" applyFont="1" applyFill="1" applyBorder="1" applyAlignment="1">
      <alignment horizontal="center" vertical="center" wrapText="1"/>
    </xf>
    <xf numFmtId="0" fontId="7" fillId="3" borderId="21" xfId="0" applyFont="1" applyFill="1" applyBorder="1" applyAlignment="1">
      <alignment horizontal="center" vertical="center" wrapText="1"/>
    </xf>
    <xf numFmtId="0" fontId="2" fillId="3" borderId="3" xfId="0" applyFont="1" applyFill="1" applyBorder="1" applyAlignment="1">
      <alignment horizontal="right" vertical="center" wrapText="1" readingOrder="2"/>
    </xf>
    <xf numFmtId="0" fontId="2" fillId="3" borderId="2" xfId="0" applyFont="1" applyFill="1" applyBorder="1" applyAlignment="1">
      <alignment horizontal="right" vertical="center" wrapText="1"/>
    </xf>
    <xf numFmtId="0" fontId="2" fillId="3" borderId="2" xfId="0" applyFont="1" applyFill="1" applyBorder="1" applyAlignment="1">
      <alignment horizontal="right" vertical="center" wrapText="1" indent="2"/>
    </xf>
    <xf numFmtId="0" fontId="2" fillId="3" borderId="1" xfId="0" applyFont="1" applyFill="1" applyBorder="1" applyAlignment="1">
      <alignment horizontal="left" vertical="center" wrapText="1" indent="2"/>
    </xf>
    <xf numFmtId="0" fontId="2" fillId="3" borderId="2" xfId="0" applyFont="1" applyFill="1" applyBorder="1" applyAlignment="1">
      <alignment horizontal="right" vertical="center" wrapText="1" readingOrder="2"/>
    </xf>
    <xf numFmtId="0" fontId="2" fillId="3" borderId="1" xfId="0" applyFont="1" applyFill="1" applyBorder="1" applyAlignment="1">
      <alignment horizontal="right" vertical="center" wrapText="1" readingOrder="2"/>
    </xf>
    <xf numFmtId="0" fontId="7" fillId="3" borderId="19" xfId="0" applyFont="1" applyFill="1" applyBorder="1" applyAlignment="1">
      <alignment horizontal="center" vertical="center" wrapText="1" readingOrder="2"/>
    </xf>
    <xf numFmtId="0" fontId="2" fillId="3" borderId="2" xfId="0" applyFont="1" applyFill="1" applyBorder="1" applyAlignment="1">
      <alignment horizontal="right" vertical="top" wrapText="1" readingOrder="2"/>
    </xf>
    <xf numFmtId="0" fontId="5" fillId="3" borderId="2" xfId="0" applyFont="1" applyFill="1" applyBorder="1" applyAlignment="1">
      <alignment horizontal="right" vertical="center" wrapText="1" readingOrder="2"/>
    </xf>
    <xf numFmtId="10" fontId="3" fillId="3" borderId="28" xfId="0" applyNumberFormat="1" applyFont="1" applyFill="1" applyBorder="1" applyAlignment="1">
      <alignment horizontal="center" vertical="center" wrapText="1"/>
    </xf>
    <xf numFmtId="0" fontId="4" fillId="3" borderId="2" xfId="0" applyFont="1" applyFill="1" applyBorder="1" applyAlignment="1">
      <alignment horizontal="right" vertical="center" wrapText="1" readingOrder="2"/>
    </xf>
    <xf numFmtId="0" fontId="5" fillId="3" borderId="3" xfId="0" applyFont="1" applyFill="1" applyBorder="1" applyAlignment="1">
      <alignment horizontal="right" vertical="center" wrapText="1" readingOrder="2"/>
    </xf>
    <xf numFmtId="0" fontId="12" fillId="3" borderId="21" xfId="10" applyFont="1" applyFill="1" applyBorder="1" applyAlignment="1">
      <alignment horizontal="center" vertical="center" wrapText="1"/>
    </xf>
    <xf numFmtId="9" fontId="14" fillId="3" borderId="2" xfId="0" applyNumberFormat="1" applyFont="1" applyFill="1" applyBorder="1" applyAlignment="1">
      <alignment horizontal="center" vertical="center"/>
    </xf>
    <xf numFmtId="9" fontId="16" fillId="3" borderId="21" xfId="0" applyNumberFormat="1" applyFont="1" applyFill="1" applyBorder="1" applyAlignment="1">
      <alignment horizontal="center" vertical="center"/>
    </xf>
    <xf numFmtId="9" fontId="14" fillId="3" borderId="1" xfId="0" applyNumberFormat="1" applyFont="1" applyFill="1" applyBorder="1" applyAlignment="1">
      <alignment horizontal="center" vertical="center"/>
    </xf>
    <xf numFmtId="10" fontId="0" fillId="3" borderId="12" xfId="9" applyNumberFormat="1" applyFont="1" applyFill="1" applyBorder="1" applyAlignment="1">
      <alignment vertical="center"/>
    </xf>
    <xf numFmtId="0" fontId="17" fillId="3" borderId="0" xfId="0" applyFont="1" applyFill="1" applyAlignment="1">
      <alignment horizontal="right"/>
    </xf>
    <xf numFmtId="0" fontId="18" fillId="3" borderId="0" xfId="0" applyFont="1" applyFill="1" applyAlignment="1">
      <alignment horizontal="center"/>
    </xf>
    <xf numFmtId="0" fontId="12" fillId="0" borderId="12" xfId="10" applyFont="1" applyBorder="1" applyAlignment="1">
      <alignment vertical="center"/>
    </xf>
    <xf numFmtId="0" fontId="6" fillId="2" borderId="12" xfId="0" applyFont="1" applyFill="1" applyBorder="1" applyAlignment="1">
      <alignment horizontal="center" vertical="center" readingOrder="2"/>
    </xf>
    <xf numFmtId="0" fontId="12" fillId="0" borderId="21" xfId="0" applyFont="1" applyBorder="1" applyAlignment="1">
      <alignment horizontal="center" vertical="center"/>
    </xf>
    <xf numFmtId="10" fontId="0" fillId="0" borderId="16" xfId="9" applyNumberFormat="1" applyFont="1" applyBorder="1" applyAlignment="1">
      <alignment vertical="center"/>
    </xf>
    <xf numFmtId="10" fontId="3" fillId="6" borderId="28" xfId="0" applyNumberFormat="1" applyFont="1" applyFill="1" applyBorder="1" applyAlignment="1">
      <alignment horizontal="center" vertical="center" wrapText="1"/>
    </xf>
    <xf numFmtId="9" fontId="16" fillId="3" borderId="21" xfId="0" applyNumberFormat="1" applyFont="1" applyFill="1" applyBorder="1" applyAlignment="1">
      <alignment vertical="center"/>
    </xf>
    <xf numFmtId="9" fontId="2" fillId="0" borderId="9" xfId="0" applyNumberFormat="1" applyFont="1" applyFill="1" applyBorder="1" applyAlignment="1">
      <alignment horizontal="center" vertical="center" wrapText="1"/>
    </xf>
    <xf numFmtId="0" fontId="2" fillId="0" borderId="36" xfId="0" applyFont="1" applyFill="1" applyBorder="1" applyAlignment="1">
      <alignment horizontal="center" vertical="center" wrapText="1"/>
    </xf>
    <xf numFmtId="0" fontId="10" fillId="0" borderId="35" xfId="0" applyFont="1" applyFill="1" applyBorder="1"/>
    <xf numFmtId="0" fontId="2" fillId="3" borderId="21" xfId="0" applyFont="1" applyFill="1" applyBorder="1" applyAlignment="1">
      <alignment horizontal="center" vertical="center" wrapText="1"/>
    </xf>
    <xf numFmtId="9" fontId="2" fillId="3" borderId="21" xfId="0" applyNumberFormat="1" applyFont="1" applyFill="1" applyBorder="1" applyAlignment="1">
      <alignment horizontal="center" vertical="center" wrapText="1"/>
    </xf>
    <xf numFmtId="0" fontId="2" fillId="3" borderId="21" xfId="0" applyFont="1" applyFill="1" applyBorder="1" applyAlignment="1">
      <alignment vertical="center" wrapText="1"/>
    </xf>
    <xf numFmtId="0" fontId="10" fillId="3" borderId="21" xfId="0" applyFont="1" applyFill="1" applyBorder="1"/>
    <xf numFmtId="0" fontId="13" fillId="0" borderId="3" xfId="0" applyFont="1" applyBorder="1" applyAlignment="1">
      <alignment vertical="center" wrapText="1"/>
    </xf>
    <xf numFmtId="0" fontId="13" fillId="0" borderId="2" xfId="0" applyFont="1" applyBorder="1" applyAlignment="1">
      <alignment vertical="center" wrapText="1"/>
    </xf>
    <xf numFmtId="0" fontId="13" fillId="0" borderId="1" xfId="0" applyFont="1" applyBorder="1" applyAlignment="1">
      <alignment vertical="center" wrapText="1"/>
    </xf>
  </cellXfs>
  <cellStyles count="11">
    <cellStyle name="Normal" xfId="0" builtinId="0"/>
    <cellStyle name="Normal 100" xfId="10" xr:uid="{FF687B0C-3592-483E-8AC4-C404625A5C7A}"/>
    <cellStyle name="Normal 2" xfId="1" xr:uid="{00000000-0005-0000-0000-000001000000}"/>
    <cellStyle name="Normal 212" xfId="2" xr:uid="{00000000-0005-0000-0000-000002000000}"/>
    <cellStyle name="Normal 4" xfId="3" xr:uid="{00000000-0005-0000-0000-000003000000}"/>
    <cellStyle name="Normal 5 2 2 2" xfId="4" xr:uid="{00000000-0005-0000-0000-000004000000}"/>
    <cellStyle name="Normal 6 2" xfId="5" xr:uid="{00000000-0005-0000-0000-000005000000}"/>
    <cellStyle name="Percent" xfId="9" builtinId="5"/>
    <cellStyle name="Percent 2 3 2" xfId="6" xr:uid="{00000000-0005-0000-0000-000007000000}"/>
    <cellStyle name="Percent 3 2" xfId="7" xr:uid="{00000000-0005-0000-0000-000008000000}"/>
    <cellStyle name="Percent 5" xfId="8"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1"/>
  <sheetViews>
    <sheetView showGridLines="0" rightToLeft="1" tabSelected="1" zoomScale="130" zoomScaleNormal="130" workbookViewId="0">
      <selection activeCell="C4" sqref="C4:C5"/>
    </sheetView>
  </sheetViews>
  <sheetFormatPr defaultRowHeight="14.25" x14ac:dyDescent="0.2"/>
  <cols>
    <col min="1" max="1" width="19.375" customWidth="1"/>
    <col min="2" max="2" width="16.375" customWidth="1"/>
    <col min="3" max="3" width="12.75" style="88" customWidth="1"/>
    <col min="4" max="4" width="18.5" customWidth="1"/>
    <col min="5" max="5" width="19.125" customWidth="1"/>
    <col min="6" max="6" width="19.625" style="88" bestFit="1" customWidth="1"/>
  </cols>
  <sheetData>
    <row r="1" spans="1:8" ht="15" thickBot="1" x14ac:dyDescent="0.25">
      <c r="B1" s="13"/>
      <c r="D1" s="13"/>
      <c r="E1" s="13"/>
    </row>
    <row r="2" spans="1:8" ht="19.5" thickBot="1" x14ac:dyDescent="0.35">
      <c r="A2" s="33" t="s">
        <v>46</v>
      </c>
      <c r="B2" s="34"/>
      <c r="C2" s="34"/>
      <c r="D2" s="34"/>
      <c r="E2" s="34"/>
      <c r="F2" s="34"/>
    </row>
    <row r="3" spans="1:8" ht="52.5" customHeight="1" thickBot="1" x14ac:dyDescent="0.25">
      <c r="A3" s="6" t="s">
        <v>2</v>
      </c>
      <c r="B3" s="10" t="s">
        <v>69</v>
      </c>
      <c r="C3" s="89" t="s">
        <v>70</v>
      </c>
      <c r="D3" s="7" t="s">
        <v>1</v>
      </c>
      <c r="E3" s="11" t="s">
        <v>81</v>
      </c>
      <c r="F3" s="102" t="s">
        <v>71</v>
      </c>
      <c r="G3" s="13"/>
    </row>
    <row r="4" spans="1:8" ht="15.75" customHeight="1" x14ac:dyDescent="0.25">
      <c r="A4" s="49" t="s">
        <v>27</v>
      </c>
      <c r="B4" s="35"/>
      <c r="C4" s="90"/>
      <c r="D4" s="35"/>
      <c r="E4" s="35"/>
      <c r="F4" s="103" t="s">
        <v>75</v>
      </c>
      <c r="G4" s="13"/>
    </row>
    <row r="5" spans="1:8" ht="31.5" customHeight="1" x14ac:dyDescent="0.2">
      <c r="A5" s="26" t="s">
        <v>28</v>
      </c>
      <c r="B5" s="50">
        <v>0.50409999999999999</v>
      </c>
      <c r="C5" s="91">
        <v>0.47</v>
      </c>
      <c r="D5" s="38" t="s">
        <v>3</v>
      </c>
      <c r="E5" s="27" t="s">
        <v>72</v>
      </c>
      <c r="F5" s="104" t="s">
        <v>76</v>
      </c>
      <c r="G5" s="13"/>
    </row>
    <row r="6" spans="1:8" ht="15.75" x14ac:dyDescent="0.2">
      <c r="A6" s="36"/>
      <c r="B6" s="37"/>
      <c r="C6" s="92"/>
      <c r="D6" s="37"/>
      <c r="E6" s="37"/>
      <c r="F6" s="105"/>
      <c r="G6" s="13"/>
    </row>
    <row r="7" spans="1:8" ht="10.5" customHeight="1" thickBot="1" x14ac:dyDescent="0.25">
      <c r="A7" s="36"/>
      <c r="B7" s="37"/>
      <c r="C7" s="92"/>
      <c r="D7" s="37"/>
      <c r="E7" s="37"/>
      <c r="F7" s="106"/>
      <c r="G7" s="13"/>
    </row>
    <row r="8" spans="1:8" ht="7.5" customHeight="1" x14ac:dyDescent="0.2">
      <c r="A8" s="3"/>
      <c r="B8" s="25"/>
      <c r="C8" s="93"/>
      <c r="D8" s="23"/>
      <c r="E8" s="24"/>
      <c r="F8" s="103"/>
      <c r="G8" s="13"/>
    </row>
    <row r="9" spans="1:8" s="13" customFormat="1" ht="15.75" customHeight="1" x14ac:dyDescent="0.2">
      <c r="A9" s="51" t="s">
        <v>4</v>
      </c>
      <c r="B9" s="52">
        <v>0.13519999999999999</v>
      </c>
      <c r="C9" s="94">
        <v>0.12</v>
      </c>
      <c r="D9" s="53" t="s">
        <v>6</v>
      </c>
      <c r="E9" s="54" t="s">
        <v>44</v>
      </c>
      <c r="F9" s="107" t="s">
        <v>13</v>
      </c>
    </row>
    <row r="10" spans="1:8" s="13" customFormat="1" ht="6.75" customHeight="1" x14ac:dyDescent="0.2">
      <c r="A10" s="51"/>
      <c r="B10" s="52"/>
      <c r="C10" s="94"/>
      <c r="D10" s="53"/>
      <c r="E10" s="54"/>
      <c r="F10" s="107"/>
    </row>
    <row r="11" spans="1:8" ht="23.25" customHeight="1" thickBot="1" x14ac:dyDescent="0.25">
      <c r="A11" s="4"/>
      <c r="B11" s="39"/>
      <c r="C11" s="95"/>
      <c r="D11" s="40"/>
      <c r="E11" s="41"/>
      <c r="F11" s="107" t="s">
        <v>10</v>
      </c>
      <c r="G11" s="13"/>
    </row>
    <row r="12" spans="1:8" ht="63.75" thickBot="1" x14ac:dyDescent="0.25">
      <c r="A12" s="26" t="s">
        <v>11</v>
      </c>
      <c r="B12" s="14">
        <v>0.24379999999999999</v>
      </c>
      <c r="C12" s="14">
        <v>0.28000000000000003</v>
      </c>
      <c r="D12" s="15" t="s">
        <v>5</v>
      </c>
      <c r="E12" s="12" t="s">
        <v>18</v>
      </c>
      <c r="F12" s="131" t="s">
        <v>9</v>
      </c>
      <c r="G12" s="13"/>
    </row>
    <row r="13" spans="1:8" s="13" customFormat="1" ht="31.5" customHeight="1" thickBot="1" x14ac:dyDescent="0.25">
      <c r="A13" s="43" t="s">
        <v>14</v>
      </c>
      <c r="B13" s="42">
        <v>7.2300000000000003E-2</v>
      </c>
      <c r="C13" s="96">
        <v>0.08</v>
      </c>
      <c r="D13" s="23" t="s">
        <v>6</v>
      </c>
      <c r="E13" s="128" t="s">
        <v>45</v>
      </c>
      <c r="F13" s="132" t="s">
        <v>17</v>
      </c>
    </row>
    <row r="14" spans="1:8" s="13" customFormat="1" ht="32.25" thickBot="1" x14ac:dyDescent="0.25">
      <c r="A14" s="22" t="s">
        <v>29</v>
      </c>
      <c r="B14" s="21">
        <v>4.4600000000000001E-2</v>
      </c>
      <c r="C14" s="97">
        <v>0.05</v>
      </c>
      <c r="D14" s="23" t="s">
        <v>6</v>
      </c>
      <c r="E14" s="129" t="s">
        <v>73</v>
      </c>
      <c r="F14" s="133"/>
    </row>
    <row r="15" spans="1:8" ht="29.25" customHeight="1" thickBot="1" x14ac:dyDescent="0.3">
      <c r="A15" s="1" t="s">
        <v>7</v>
      </c>
      <c r="B15" s="16">
        <f>SUM(B4:B14)</f>
        <v>1</v>
      </c>
      <c r="C15" s="98">
        <f>SUM(C4:C14)</f>
        <v>1</v>
      </c>
      <c r="D15" s="17"/>
      <c r="E15" s="130"/>
      <c r="F15" s="134"/>
      <c r="G15" s="13"/>
      <c r="H15" s="13"/>
    </row>
    <row r="16" spans="1:8" ht="15.75" thickBot="1" x14ac:dyDescent="0.3">
      <c r="A16" s="18"/>
      <c r="B16" s="19"/>
      <c r="C16" s="99"/>
      <c r="D16" s="20"/>
      <c r="E16" s="20"/>
      <c r="G16" s="13"/>
    </row>
    <row r="17" spans="1:7" s="13" customFormat="1" ht="14.25" customHeight="1" thickBot="1" x14ac:dyDescent="0.3">
      <c r="A17" s="44" t="s">
        <v>8</v>
      </c>
      <c r="B17" s="58">
        <v>0.1913</v>
      </c>
      <c r="C17" s="100">
        <v>0.18</v>
      </c>
      <c r="D17" s="17" t="s">
        <v>5</v>
      </c>
      <c r="E17" s="17" t="s">
        <v>74</v>
      </c>
      <c r="F17" s="88"/>
    </row>
    <row r="18" spans="1:7" ht="45" customHeight="1" thickBot="1" x14ac:dyDescent="0.25">
      <c r="A18" s="46" t="s">
        <v>55</v>
      </c>
      <c r="B18" s="45"/>
      <c r="C18" s="101">
        <v>2.5000000000000001E-3</v>
      </c>
      <c r="D18" s="5"/>
      <c r="E18" s="5"/>
      <c r="G18" s="13"/>
    </row>
    <row r="20" spans="1:7" x14ac:dyDescent="0.2">
      <c r="A20" s="13"/>
      <c r="B20" s="13"/>
    </row>
    <row r="21" spans="1:7" x14ac:dyDescent="0.2">
      <c r="A21" s="13"/>
      <c r="B21" s="13"/>
    </row>
  </sheetData>
  <pageMargins left="0.7" right="0.7" top="0.75" bottom="0.75" header="0.3" footer="0.3"/>
  <pageSetup paperSize="9" orientation="landscape"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showGridLines="0" rightToLeft="1" zoomScale="150" zoomScaleNormal="150" workbookViewId="0">
      <selection activeCell="B2" sqref="B2"/>
    </sheetView>
  </sheetViews>
  <sheetFormatPr defaultRowHeight="14.25" x14ac:dyDescent="0.2"/>
  <cols>
    <col min="1" max="1" width="74.25" customWidth="1"/>
    <col min="2" max="2" width="19.5" style="88" customWidth="1"/>
  </cols>
  <sheetData>
    <row r="1" spans="1:2" ht="15" thickBot="1" x14ac:dyDescent="0.25"/>
    <row r="2" spans="1:2" ht="19.5" thickBot="1" x14ac:dyDescent="0.25">
      <c r="A2" s="30" t="s">
        <v>42</v>
      </c>
      <c r="B2" s="30"/>
    </row>
    <row r="3" spans="1:2" ht="16.5" thickBot="1" x14ac:dyDescent="0.25">
      <c r="A3" s="57" t="s">
        <v>0</v>
      </c>
      <c r="B3" s="109" t="s">
        <v>54</v>
      </c>
    </row>
    <row r="4" spans="1:2" ht="73.5" customHeight="1" x14ac:dyDescent="0.2">
      <c r="A4" s="28" t="s">
        <v>30</v>
      </c>
      <c r="B4" s="103" t="s">
        <v>21</v>
      </c>
    </row>
    <row r="5" spans="1:2" ht="68.25" customHeight="1" x14ac:dyDescent="0.2">
      <c r="A5" s="29" t="s">
        <v>31</v>
      </c>
      <c r="B5" s="107" t="s">
        <v>22</v>
      </c>
    </row>
    <row r="6" spans="1:2" ht="21.75" customHeight="1" x14ac:dyDescent="0.2">
      <c r="A6" s="29" t="s">
        <v>34</v>
      </c>
      <c r="B6" s="110" t="s">
        <v>20</v>
      </c>
    </row>
    <row r="7" spans="1:2" ht="22.5" customHeight="1" x14ac:dyDescent="0.2">
      <c r="A7" s="29" t="s">
        <v>35</v>
      </c>
      <c r="B7" s="111" t="s">
        <v>15</v>
      </c>
    </row>
    <row r="8" spans="1:2" ht="35.25" customHeight="1" thickBot="1" x14ac:dyDescent="0.25">
      <c r="A8" s="56"/>
      <c r="B8" s="108" t="s">
        <v>19</v>
      </c>
    </row>
    <row r="9" spans="1:2" ht="14.25" customHeight="1" thickBot="1" x14ac:dyDescent="0.25">
      <c r="A9" s="47" t="s">
        <v>55</v>
      </c>
      <c r="B9" s="112">
        <v>2.5000000000000001E-3</v>
      </c>
    </row>
  </sheetData>
  <pageMargins left="0.70866141732283472" right="0.70866141732283472" top="0.74803149606299213" bottom="0.74803149606299213" header="0.31496062992125984" footer="0.31496062992125984"/>
  <pageSetup paperSize="9" orientation="landscape"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10"/>
  <sheetViews>
    <sheetView showGridLines="0" rightToLeft="1" zoomScale="150" zoomScaleNormal="150" workbookViewId="0">
      <selection activeCell="A20" sqref="A20:A21"/>
    </sheetView>
  </sheetViews>
  <sheetFormatPr defaultRowHeight="14.25" x14ac:dyDescent="0.2"/>
  <cols>
    <col min="1" max="1" width="69.75" customWidth="1"/>
    <col min="2" max="2" width="20.75" style="88" customWidth="1"/>
  </cols>
  <sheetData>
    <row r="2" spans="1:2" ht="14.25" customHeight="1" x14ac:dyDescent="0.2">
      <c r="A2" s="2"/>
    </row>
    <row r="3" spans="1:2" ht="14.25" customHeight="1" thickBot="1" x14ac:dyDescent="0.25">
      <c r="A3" s="2"/>
    </row>
    <row r="4" spans="1:2" ht="17.25" customHeight="1" thickBot="1" x14ac:dyDescent="0.25">
      <c r="A4" s="30" t="s">
        <v>43</v>
      </c>
      <c r="B4" s="30"/>
    </row>
    <row r="5" spans="1:2" s="13" customFormat="1" ht="16.5" thickBot="1" x14ac:dyDescent="0.25">
      <c r="A5" s="8" t="s">
        <v>0</v>
      </c>
      <c r="B5" s="109" t="s">
        <v>54</v>
      </c>
    </row>
    <row r="6" spans="1:2" ht="35.25" customHeight="1" x14ac:dyDescent="0.2">
      <c r="A6" s="31" t="s">
        <v>36</v>
      </c>
      <c r="B6" s="103" t="s">
        <v>24</v>
      </c>
    </row>
    <row r="7" spans="1:2" ht="35.25" customHeight="1" x14ac:dyDescent="0.2">
      <c r="A7" s="32" t="s">
        <v>37</v>
      </c>
      <c r="B7" s="107" t="s">
        <v>25</v>
      </c>
    </row>
    <row r="8" spans="1:2" ht="35.25" customHeight="1" x14ac:dyDescent="0.2">
      <c r="A8" s="32" t="s">
        <v>38</v>
      </c>
      <c r="B8" s="113" t="s">
        <v>12</v>
      </c>
    </row>
    <row r="9" spans="1:2" ht="34.5" customHeight="1" thickBot="1" x14ac:dyDescent="0.25">
      <c r="A9" s="55" t="s">
        <v>33</v>
      </c>
      <c r="B9" s="113" t="s">
        <v>23</v>
      </c>
    </row>
    <row r="10" spans="1:2" ht="14.25" customHeight="1" thickBot="1" x14ac:dyDescent="0.25">
      <c r="A10" s="47" t="s">
        <v>55</v>
      </c>
      <c r="B10" s="112">
        <v>2.5000000000000001E-3</v>
      </c>
    </row>
  </sheetData>
  <pageMargins left="0.70866141732283472" right="0.70866141732283472" top="0.74803149606299213" bottom="0.74803149606299213" header="0.31496062992125984" footer="0.31496062992125984"/>
  <pageSetup paperSize="9" orientation="landscape"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showGridLines="0" rightToLeft="1" zoomScale="150" zoomScaleNormal="150" workbookViewId="0">
      <selection activeCell="B4" sqref="B4"/>
    </sheetView>
  </sheetViews>
  <sheetFormatPr defaultRowHeight="14.25" x14ac:dyDescent="0.2"/>
  <cols>
    <col min="1" max="1" width="74.25" customWidth="1"/>
    <col min="2" max="2" width="19.125" style="88" bestFit="1" customWidth="1"/>
  </cols>
  <sheetData>
    <row r="1" spans="1:2" ht="15" thickBot="1" x14ac:dyDescent="0.25"/>
    <row r="2" spans="1:2" ht="19.5" thickBot="1" x14ac:dyDescent="0.25">
      <c r="A2" s="30" t="s">
        <v>16</v>
      </c>
      <c r="B2" s="30"/>
    </row>
    <row r="3" spans="1:2" ht="16.5" thickBot="1" x14ac:dyDescent="0.25">
      <c r="A3" s="8" t="s">
        <v>0</v>
      </c>
      <c r="B3" s="109" t="s">
        <v>54</v>
      </c>
    </row>
    <row r="4" spans="1:2" ht="34.5" customHeight="1" x14ac:dyDescent="0.2">
      <c r="A4" s="28" t="s">
        <v>39</v>
      </c>
      <c r="B4" s="114" t="s">
        <v>78</v>
      </c>
    </row>
    <row r="5" spans="1:2" ht="36" customHeight="1" x14ac:dyDescent="0.2">
      <c r="A5" s="29" t="s">
        <v>40</v>
      </c>
      <c r="B5" s="107" t="s">
        <v>77</v>
      </c>
    </row>
    <row r="6" spans="1:2" ht="36.75" customHeight="1" x14ac:dyDescent="0.2">
      <c r="A6" s="29" t="s">
        <v>32</v>
      </c>
      <c r="B6" s="107" t="s">
        <v>26</v>
      </c>
    </row>
    <row r="7" spans="1:2" s="13" customFormat="1" ht="22.5" customHeight="1" thickBot="1" x14ac:dyDescent="0.25">
      <c r="A7" s="29" t="s">
        <v>41</v>
      </c>
      <c r="B7" s="107"/>
    </row>
    <row r="8" spans="1:2" ht="21" customHeight="1" thickBot="1" x14ac:dyDescent="0.25">
      <c r="A8" s="47" t="s">
        <v>55</v>
      </c>
      <c r="B8" s="112">
        <v>2.5000000000000001E-3</v>
      </c>
    </row>
    <row r="9" spans="1:2" x14ac:dyDescent="0.2">
      <c r="A9" s="13"/>
    </row>
  </sheetData>
  <pageMargins left="0.70866141732283472" right="0.70866141732283472" top="0.74803149606299213" bottom="0.74803149606299213" header="0.31496062992125984" footer="0.31496062992125984"/>
  <pageSetup paperSize="9" orientation="landscape"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4AF28-2C26-473B-8591-6915C44A1650}">
  <sheetPr>
    <pageSetUpPr fitToPage="1"/>
  </sheetPr>
  <dimension ref="A1:J21"/>
  <sheetViews>
    <sheetView showGridLines="0" rightToLeft="1" zoomScaleNormal="100" workbookViewId="0">
      <selection activeCell="F11" sqref="F11"/>
    </sheetView>
  </sheetViews>
  <sheetFormatPr defaultRowHeight="14.25" x14ac:dyDescent="0.2"/>
  <cols>
    <col min="1" max="1" width="115.125" style="13" bestFit="1" customWidth="1"/>
    <col min="2" max="2" width="15.375" style="5" bestFit="1" customWidth="1"/>
    <col min="3" max="3" width="11.5" style="13" bestFit="1" customWidth="1"/>
    <col min="4" max="4" width="15" style="88" bestFit="1" customWidth="1"/>
    <col min="5" max="5" width="9" style="13"/>
    <col min="6" max="6" width="24.625" style="13" bestFit="1" customWidth="1"/>
    <col min="7" max="7" width="1.5" style="13" bestFit="1" customWidth="1"/>
    <col min="8" max="8" width="4.5" style="13" bestFit="1" customWidth="1"/>
    <col min="9" max="9" width="14" style="13" bestFit="1" customWidth="1"/>
    <col min="10" max="16384" width="9" style="13"/>
  </cols>
  <sheetData>
    <row r="1" spans="1:10" ht="57" customHeight="1" thickBot="1" x14ac:dyDescent="0.25">
      <c r="A1" s="59" t="s">
        <v>47</v>
      </c>
      <c r="B1" s="10" t="s">
        <v>69</v>
      </c>
      <c r="C1" s="60" t="s">
        <v>68</v>
      </c>
      <c r="D1" s="115" t="s">
        <v>67</v>
      </c>
      <c r="E1" s="61" t="s">
        <v>1</v>
      </c>
      <c r="F1" s="122" t="s">
        <v>48</v>
      </c>
      <c r="G1" s="122"/>
      <c r="H1" s="122"/>
      <c r="I1" s="124" t="s">
        <v>49</v>
      </c>
    </row>
    <row r="2" spans="1:10" ht="22.5" customHeight="1" thickBot="1" x14ac:dyDescent="0.25">
      <c r="A2" s="73" t="s">
        <v>50</v>
      </c>
      <c r="B2" s="120"/>
      <c r="C2" s="120"/>
      <c r="D2" s="116">
        <v>1</v>
      </c>
      <c r="E2" s="62" t="s">
        <v>79</v>
      </c>
      <c r="F2" s="63">
        <f>D2</f>
        <v>1</v>
      </c>
      <c r="G2" s="64" t="s">
        <v>51</v>
      </c>
      <c r="H2" s="65">
        <f>IF(D2-6%&lt;0%,0%,D2-6%)</f>
        <v>0.94</v>
      </c>
      <c r="I2" s="66" t="s">
        <v>52</v>
      </c>
    </row>
    <row r="3" spans="1:10" ht="22.5" customHeight="1" thickBot="1" x14ac:dyDescent="0.25">
      <c r="A3" s="67" t="s">
        <v>7</v>
      </c>
      <c r="B3" s="127" t="s">
        <v>82</v>
      </c>
      <c r="C3" s="127"/>
      <c r="D3" s="117">
        <f>SUM(D2)</f>
        <v>1</v>
      </c>
      <c r="E3" s="68"/>
      <c r="F3" s="69"/>
      <c r="G3" s="70"/>
      <c r="H3" s="71"/>
      <c r="I3" s="72"/>
    </row>
    <row r="4" spans="1:10" ht="22.5" customHeight="1" thickBot="1" x14ac:dyDescent="0.25">
      <c r="A4" s="73" t="s">
        <v>8</v>
      </c>
      <c r="B4" s="120"/>
      <c r="C4" s="120"/>
      <c r="D4" s="118">
        <v>1</v>
      </c>
      <c r="E4" s="74" t="s">
        <v>79</v>
      </c>
      <c r="F4" s="75">
        <v>1</v>
      </c>
      <c r="G4" s="76" t="s">
        <v>51</v>
      </c>
      <c r="H4" s="77">
        <f>IF(D4-6%&lt;0%,0%,D4-6%)</f>
        <v>0.94</v>
      </c>
      <c r="I4" s="78" t="s">
        <v>53</v>
      </c>
    </row>
    <row r="5" spans="1:10" ht="22.5" customHeight="1" thickBot="1" x14ac:dyDescent="0.25">
      <c r="A5" s="79" t="s">
        <v>55</v>
      </c>
      <c r="B5" s="80"/>
      <c r="C5" s="81"/>
      <c r="D5" s="119">
        <v>2.5000000000000001E-3</v>
      </c>
      <c r="E5" s="81"/>
      <c r="F5" s="81"/>
      <c r="G5" s="81"/>
      <c r="H5" s="81"/>
      <c r="I5" s="125"/>
    </row>
    <row r="6" spans="1:10" ht="22.5" customHeight="1" thickBot="1" x14ac:dyDescent="0.25">
      <c r="B6" s="13"/>
    </row>
    <row r="7" spans="1:10" ht="21" customHeight="1" thickBot="1" x14ac:dyDescent="0.25">
      <c r="A7" s="123" t="s">
        <v>80</v>
      </c>
      <c r="B7" s="48"/>
    </row>
    <row r="8" spans="1:10" ht="14.25" customHeight="1" thickBot="1" x14ac:dyDescent="0.25">
      <c r="A8" s="8" t="s">
        <v>0</v>
      </c>
      <c r="B8" s="9" t="s">
        <v>54</v>
      </c>
    </row>
    <row r="9" spans="1:10" ht="14.25" customHeight="1" x14ac:dyDescent="0.25">
      <c r="A9" s="85" t="s">
        <v>57</v>
      </c>
      <c r="B9" s="135"/>
    </row>
    <row r="10" spans="1:10" ht="30" customHeight="1" x14ac:dyDescent="0.25">
      <c r="A10" s="86" t="s">
        <v>58</v>
      </c>
      <c r="B10" s="136"/>
      <c r="C10" s="82"/>
      <c r="D10" s="120"/>
      <c r="E10" s="82"/>
      <c r="F10" s="82"/>
      <c r="G10" s="82"/>
      <c r="H10" s="82"/>
      <c r="I10" s="82"/>
      <c r="J10" s="83"/>
    </row>
    <row r="11" spans="1:10" ht="30" customHeight="1" x14ac:dyDescent="0.25">
      <c r="A11" s="86" t="s">
        <v>59</v>
      </c>
      <c r="B11" s="136"/>
      <c r="C11" s="82"/>
      <c r="D11" s="120"/>
      <c r="E11" s="82"/>
      <c r="F11" s="82"/>
      <c r="G11" s="82"/>
      <c r="H11" s="82"/>
      <c r="I11" s="82"/>
      <c r="J11" s="83"/>
    </row>
    <row r="12" spans="1:10" ht="16.5" customHeight="1" x14ac:dyDescent="0.25">
      <c r="A12" s="86" t="s">
        <v>60</v>
      </c>
      <c r="B12" s="136"/>
      <c r="C12" s="82"/>
      <c r="D12" s="120"/>
      <c r="E12" s="82"/>
      <c r="F12" s="82"/>
      <c r="G12" s="82"/>
      <c r="H12" s="82"/>
      <c r="I12" s="82"/>
      <c r="J12" s="83"/>
    </row>
    <row r="13" spans="1:10" ht="30" customHeight="1" x14ac:dyDescent="0.25">
      <c r="A13" s="86" t="s">
        <v>61</v>
      </c>
      <c r="B13" s="136" t="s">
        <v>52</v>
      </c>
      <c r="C13" s="83"/>
      <c r="D13" s="121"/>
      <c r="E13" s="83"/>
      <c r="F13" s="83"/>
      <c r="G13" s="83"/>
      <c r="H13" s="83"/>
      <c r="I13" s="83"/>
      <c r="J13" s="83"/>
    </row>
    <row r="14" spans="1:10" ht="16.5" customHeight="1" x14ac:dyDescent="0.25">
      <c r="A14" s="86" t="s">
        <v>62</v>
      </c>
      <c r="B14" s="136"/>
      <c r="C14" s="84"/>
      <c r="D14" s="121"/>
      <c r="E14" s="83"/>
      <c r="F14" s="83"/>
      <c r="G14" s="83"/>
      <c r="H14" s="83"/>
      <c r="I14" s="83"/>
      <c r="J14" s="83"/>
    </row>
    <row r="15" spans="1:10" ht="16.5" customHeight="1" x14ac:dyDescent="0.25">
      <c r="A15" s="86" t="s">
        <v>63</v>
      </c>
      <c r="B15" s="136"/>
      <c r="C15" s="83"/>
      <c r="D15" s="121"/>
      <c r="E15" s="83"/>
      <c r="F15" s="83"/>
      <c r="G15" s="83"/>
      <c r="H15" s="83"/>
      <c r="I15" s="83"/>
      <c r="J15" s="83"/>
    </row>
    <row r="16" spans="1:10" ht="16.5" customHeight="1" x14ac:dyDescent="0.25">
      <c r="A16" s="86" t="s">
        <v>64</v>
      </c>
      <c r="B16" s="136"/>
      <c r="C16" s="83"/>
      <c r="D16" s="121"/>
      <c r="E16" s="83"/>
      <c r="F16" s="83"/>
      <c r="G16" s="83"/>
      <c r="H16" s="83"/>
      <c r="I16" s="83"/>
      <c r="J16" s="83"/>
    </row>
    <row r="17" spans="1:10" ht="16.5" customHeight="1" x14ac:dyDescent="0.25">
      <c r="A17" s="86" t="s">
        <v>65</v>
      </c>
      <c r="B17" s="136"/>
      <c r="C17" s="83"/>
      <c r="D17" s="121"/>
      <c r="E17" s="83"/>
      <c r="F17" s="83"/>
      <c r="G17" s="83"/>
      <c r="H17" s="83"/>
      <c r="I17" s="83"/>
      <c r="J17" s="83"/>
    </row>
    <row r="18" spans="1:10" ht="30" customHeight="1" x14ac:dyDescent="0.25">
      <c r="A18" s="86" t="s">
        <v>66</v>
      </c>
      <c r="B18" s="136"/>
      <c r="C18" s="83"/>
      <c r="D18" s="121"/>
      <c r="E18" s="83"/>
      <c r="F18" s="83"/>
      <c r="G18" s="83"/>
      <c r="H18" s="83"/>
      <c r="I18" s="83"/>
      <c r="J18" s="83"/>
    </row>
    <row r="19" spans="1:10" ht="30" customHeight="1" thickBot="1" x14ac:dyDescent="0.3">
      <c r="A19" s="87" t="s">
        <v>56</v>
      </c>
      <c r="B19" s="137"/>
      <c r="C19" s="83"/>
      <c r="D19" s="121"/>
      <c r="E19" s="83"/>
      <c r="F19" s="83"/>
      <c r="G19" s="83"/>
      <c r="H19" s="83"/>
      <c r="I19" s="83"/>
      <c r="J19" s="83"/>
    </row>
    <row r="20" spans="1:10" ht="16.5" customHeight="1" thickBot="1" x14ac:dyDescent="0.3">
      <c r="A20" s="47" t="s">
        <v>55</v>
      </c>
      <c r="B20" s="126">
        <v>2.5000000000000001E-3</v>
      </c>
      <c r="C20" s="83"/>
      <c r="D20" s="121"/>
      <c r="E20" s="83"/>
      <c r="F20" s="83"/>
      <c r="G20" s="83"/>
      <c r="H20" s="83"/>
      <c r="I20" s="83"/>
      <c r="J20" s="83"/>
    </row>
    <row r="21" spans="1:10" ht="16.5" x14ac:dyDescent="0.25">
      <c r="A21" s="83"/>
      <c r="B21" s="83"/>
      <c r="C21" s="83"/>
      <c r="D21" s="121"/>
      <c r="E21" s="83"/>
      <c r="F21" s="83"/>
      <c r="G21" s="83"/>
      <c r="H21" s="83"/>
      <c r="I21" s="83"/>
      <c r="J21" s="83"/>
    </row>
  </sheetData>
  <pageMargins left="0.25" right="0.25" top="0.75" bottom="0.75" header="0.3" footer="0.3"/>
  <pageSetup paperSize="9" scale="62" orientation="landscape"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5</vt:i4>
      </vt:variant>
      <vt:variant>
        <vt:lpstr>טווחים בעלי שם</vt:lpstr>
      </vt:variant>
      <vt:variant>
        <vt:i4>1</vt:i4>
      </vt:variant>
    </vt:vector>
  </HeadingPairs>
  <TitlesOfParts>
    <vt:vector size="6" baseType="lpstr">
      <vt:lpstr>מסלול כללי</vt:lpstr>
      <vt:lpstr>אשראי ואגח</vt:lpstr>
      <vt:lpstr>אגח ממשלות</vt:lpstr>
      <vt:lpstr>מניות</vt:lpstr>
      <vt:lpstr>S&amp;P</vt:lpstr>
      <vt:lpstr>'S&amp;P'!WPrint_Area_W</vt:lpstr>
    </vt:vector>
  </TitlesOfParts>
  <Company>IDI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גיל זלבסקי</dc:creator>
  <cp:lastModifiedBy>רועי אושר</cp:lastModifiedBy>
  <cp:lastPrinted>2025-12-31T09:19:34Z</cp:lastPrinted>
  <dcterms:created xsi:type="dcterms:W3CDTF">2014-12-28T12:39:27Z</dcterms:created>
  <dcterms:modified xsi:type="dcterms:W3CDTF">2026-01-05T09:11:55Z</dcterms:modified>
</cp:coreProperties>
</file>