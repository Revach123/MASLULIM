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di\Documents\גילה\עתודות\2025\12.2025\"/>
    </mc:Choice>
  </mc:AlternateContent>
  <xr:revisionPtr revIDLastSave="0" documentId="13_ncr:1_{FD9ECD9F-8378-4163-8E45-6636AD28204E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גיליון2" sheetId="2" r:id="rId1"/>
  </sheets>
  <definedNames>
    <definedName name="_xlnm.Print_Area" localSheetId="0">גיליון2!$A$1:$G$45</definedName>
  </definedNames>
  <calcPr calcId="181029" calcMode="manual" concurrentCalc="0"/>
</workbook>
</file>

<file path=xl/sharedStrings.xml><?xml version="1.0" encoding="utf-8"?>
<sst xmlns="http://schemas.openxmlformats.org/spreadsheetml/2006/main" count="94" uniqueCount="42">
  <si>
    <t>עתודות הותיקה</t>
  </si>
  <si>
    <t>מדד יחוס</t>
  </si>
  <si>
    <t xml:space="preserve">שיעור חשיפה </t>
  </si>
  <si>
    <t>טווח הסטייה</t>
  </si>
  <si>
    <t>חשיפה צפויה מינימום</t>
  </si>
  <si>
    <t>חשיפה צפויה מקסימום</t>
  </si>
  <si>
    <t>%+/-</t>
  </si>
  <si>
    <t>מניות</t>
  </si>
  <si>
    <t>אחר</t>
  </si>
  <si>
    <t>סה"כ</t>
  </si>
  <si>
    <t>חשיפה למט"ח</t>
  </si>
  <si>
    <t>פירוט אחר</t>
  </si>
  <si>
    <t>עתודות הותיקה רבעון</t>
  </si>
  <si>
    <t>קרנות הפנסיה</t>
  </si>
  <si>
    <t>אפיק השקעה (2)</t>
  </si>
  <si>
    <t>אג"ח ממשלתי (3)</t>
  </si>
  <si>
    <t xml:space="preserve">שיעור חשיפה צפוי  </t>
  </si>
  <si>
    <t xml:space="preserve">  תיאור מדד היחוס (1)</t>
  </si>
  <si>
    <t>אג"ח קונצרני (4)</t>
  </si>
  <si>
    <t>מזומן (5)</t>
  </si>
  <si>
    <r>
      <t>*</t>
    </r>
    <r>
      <rPr>
        <b/>
        <sz val="10"/>
        <rFont val="Arial"/>
        <family val="2"/>
      </rPr>
      <t xml:space="preserve"> שיעור החשיפה לאפיקי ההשקעה השונים כולל חשיפה באמצעות השקעה בחוזים עתידיים, אופציות, תעודות סל וכיוצ"ב (2)</t>
    </r>
  </si>
  <si>
    <t>(5) לא כולל מזומנים בגין חוזים עתידיים ונגזרות על מניות</t>
  </si>
  <si>
    <r>
      <t xml:space="preserve"> (1)</t>
    </r>
    <r>
      <rPr>
        <b/>
        <sz val="10"/>
        <rFont val="Arial"/>
        <family val="2"/>
      </rPr>
      <t xml:space="preserve"> לרבות מק"מ  </t>
    </r>
    <r>
      <rPr>
        <b/>
        <sz val="10"/>
        <color indexed="9"/>
        <rFont val="Arial"/>
        <family val="2"/>
      </rPr>
      <t xml:space="preserve">י </t>
    </r>
    <r>
      <rPr>
        <b/>
        <sz val="10"/>
        <rFont val="Arial"/>
        <family val="2"/>
      </rPr>
      <t>(3)</t>
    </r>
  </si>
  <si>
    <r>
      <t xml:space="preserve"> (1)</t>
    </r>
    <r>
      <rPr>
        <b/>
        <sz val="10"/>
        <rFont val="Arial"/>
        <family val="2"/>
      </rPr>
      <t xml:space="preserve"> לרבות הלוואות לא סחירות, שטרי הון, פקדונות לטווח ארוך ומשכנתאות </t>
    </r>
    <r>
      <rPr>
        <b/>
        <sz val="10"/>
        <color indexed="9"/>
        <rFont val="Arial"/>
        <family val="2"/>
      </rPr>
      <t xml:space="preserve">י </t>
    </r>
    <r>
      <rPr>
        <b/>
        <sz val="10"/>
        <rFont val="Arial"/>
        <family val="2"/>
      </rPr>
      <t>(4)</t>
    </r>
  </si>
  <si>
    <t>קרנות השקעה</t>
  </si>
  <si>
    <r>
      <t>(*)</t>
    </r>
    <r>
      <rPr>
        <b/>
        <sz val="10"/>
        <rFont val="Arial"/>
        <family val="2"/>
      </rPr>
      <t>מובהר כי תיק הנכסים אינו תואם בהכרח במלואו להרכב מדדי הייחוס. אין בציון מדד הייחוס בכדי להוות מצג, הצהרה או התחייבות כלשהי לגבי התשואה שתושג בפועל בתיק (1)</t>
    </r>
  </si>
  <si>
    <t xml:space="preserve">אגח מיועדות / מובטח תשואה </t>
  </si>
  <si>
    <t xml:space="preserve">הצהרה מראש של משקיע מוסדי על מדיניות ההשקעה שלו בהתאם להוראות משרד האוצר </t>
  </si>
  <si>
    <t xml:space="preserve">ל - 2026 </t>
  </si>
  <si>
    <t>מגבלת עמלת ניהול חיצוני לשנת 2026:</t>
  </si>
  <si>
    <t>08/12/2025</t>
  </si>
  <si>
    <t>MSCI World All Countries  65% - 35%  מדד ת"א 125</t>
  </si>
  <si>
    <t>מדד אגח ממשלתי צמוד מדד</t>
  </si>
  <si>
    <t/>
  </si>
  <si>
    <t>מדד אג"ח תלבונד צמודות 85% + מדד תלבונד שקלי 15%</t>
  </si>
  <si>
    <t>ריבית בנק ישראל</t>
  </si>
  <si>
    <t>קרנות גידור, נדל"ן ומדדי סחורות</t>
  </si>
  <si>
    <t>*KEY_ERR</t>
  </si>
  <si>
    <t>עמודה1</t>
  </si>
  <si>
    <t>עמודה2</t>
  </si>
  <si>
    <t>עמודה3</t>
  </si>
  <si>
    <t>עמודה4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</si>
</sst>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Arial"/>
      <family val="2"/>
      <charset val="177"/>
      <scheme val="minor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color theme="1"/>
      <name val="Arial"/>
      <family val="2"/>
      <charset val="177"/>
      <scheme val="minor"/>
    </font>
    <font>
      <b/>
      <sz val="10"/>
      <name val="Arial"/>
      <family val="2"/>
      <scheme val="minor"/>
    </font>
    <font>
      <b/>
      <sz val="12"/>
      <color indexed="9"/>
      <name val="Arial"/>
      <family val="2"/>
      <scheme val="minor"/>
    </font>
    <font>
      <sz val="10"/>
      <name val="Arial"/>
      <family val="2"/>
      <scheme val="minor"/>
    </font>
    <font>
      <b/>
      <sz val="10"/>
      <color indexed="9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8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7">
    <xf numFmtId="0" fontId="0" fillId="0" borderId="0"/>
    <xf numFmtId="0" fontId="5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65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horizontal="center"/>
    </xf>
    <xf numFmtId="164" fontId="3" fillId="3" borderId="2" xfId="4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3" fillId="2" borderId="0" xfId="0" applyFont="1" applyFill="1" applyAlignment="1">
      <alignment horizontal="right" readingOrder="2"/>
    </xf>
    <xf numFmtId="0" fontId="8" fillId="2" borderId="0" xfId="0" applyFont="1" applyFill="1" applyAlignment="1">
      <alignment horizontal="right" readingOrder="2"/>
    </xf>
    <xf numFmtId="0" fontId="1" fillId="4" borderId="3" xfId="0" applyFont="1" applyFill="1" applyBorder="1" applyAlignment="1">
      <alignment horizontal="center" vertical="center" wrapText="1"/>
    </xf>
    <xf numFmtId="0" fontId="3" fillId="3" borderId="4" xfId="0" applyFont="1" applyFill="1" applyBorder="1"/>
    <xf numFmtId="0" fontId="3" fillId="3" borderId="6" xfId="0" applyFont="1" applyFill="1" applyBorder="1" applyAlignment="1">
      <alignment horizontal="center" vertical="top" wrapText="1"/>
    </xf>
    <xf numFmtId="0" fontId="3" fillId="3" borderId="7" xfId="0" applyFont="1" applyFill="1" applyBorder="1" applyAlignment="1">
      <alignment horizontal="center" vertical="top" wrapText="1"/>
    </xf>
    <xf numFmtId="14" fontId="3" fillId="3" borderId="8" xfId="0" applyNumberFormat="1" applyFont="1" applyFill="1" applyBorder="1" applyAlignment="1">
      <alignment horizontal="center"/>
    </xf>
    <xf numFmtId="0" fontId="9" fillId="4" borderId="9" xfId="0" applyFont="1" applyFill="1" applyBorder="1" applyAlignment="1">
      <alignment horizontal="center" vertical="center" wrapText="1"/>
    </xf>
    <xf numFmtId="164" fontId="5" fillId="0" borderId="10" xfId="4" applyNumberFormat="1" applyFont="1" applyBorder="1" applyAlignment="1">
      <alignment horizontal="center"/>
    </xf>
    <xf numFmtId="9" fontId="10" fillId="0" borderId="11" xfId="4" applyFont="1" applyBorder="1" applyAlignment="1">
      <alignment horizontal="center"/>
    </xf>
    <xf numFmtId="9" fontId="10" fillId="0" borderId="12" xfId="4" applyFont="1" applyBorder="1" applyAlignment="1">
      <alignment horizontal="center"/>
    </xf>
    <xf numFmtId="0" fontId="9" fillId="4" borderId="9" xfId="1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164" fontId="3" fillId="3" borderId="3" xfId="4" applyNumberFormat="1" applyFont="1" applyFill="1" applyBorder="1" applyAlignment="1">
      <alignment horizontal="center"/>
    </xf>
    <xf numFmtId="0" fontId="6" fillId="2" borderId="14" xfId="0" applyFont="1" applyFill="1" applyBorder="1"/>
    <xf numFmtId="0" fontId="5" fillId="2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 vertical="center" wrapText="1"/>
    </xf>
    <xf numFmtId="164" fontId="5" fillId="0" borderId="15" xfId="4" applyNumberFormat="1" applyFont="1" applyBorder="1" applyAlignment="1">
      <alignment horizontal="center"/>
    </xf>
    <xf numFmtId="9" fontId="10" fillId="0" borderId="16" xfId="0" applyNumberFormat="1" applyFont="1" applyBorder="1" applyAlignment="1">
      <alignment horizontal="center"/>
    </xf>
    <xf numFmtId="0" fontId="0" fillId="2" borderId="17" xfId="0" applyFill="1" applyBorder="1"/>
    <xf numFmtId="0" fontId="11" fillId="2" borderId="0" xfId="0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10" fillId="2" borderId="0" xfId="0" applyFont="1" applyFill="1"/>
    <xf numFmtId="0" fontId="12" fillId="2" borderId="0" xfId="0" applyFont="1" applyFill="1"/>
    <xf numFmtId="0" fontId="1" fillId="4" borderId="9" xfId="0" applyFont="1" applyFill="1" applyBorder="1" applyAlignment="1">
      <alignment horizontal="center" vertical="center" wrapText="1"/>
    </xf>
    <xf numFmtId="0" fontId="1" fillId="4" borderId="9" xfId="1" applyFont="1" applyFill="1" applyBorder="1" applyAlignment="1">
      <alignment horizontal="center" vertical="center" wrapText="1"/>
    </xf>
    <xf numFmtId="164" fontId="5" fillId="0" borderId="10" xfId="4" applyNumberFormat="1" applyFont="1" applyFill="1" applyBorder="1" applyAlignment="1">
      <alignment horizontal="center"/>
    </xf>
    <xf numFmtId="0" fontId="3" fillId="3" borderId="2" xfId="0" applyFont="1" applyFill="1" applyBorder="1"/>
    <xf numFmtId="164" fontId="13" fillId="0" borderId="10" xfId="5" applyNumberFormat="1" applyFont="1" applyBorder="1" applyAlignment="1">
      <alignment horizontal="center"/>
    </xf>
    <xf numFmtId="9" fontId="10" fillId="0" borderId="12" xfId="4" applyFont="1" applyBorder="1" applyAlignment="1">
      <alignment horizontal="center" vertical="center" wrapText="1"/>
    </xf>
    <xf numFmtId="0" fontId="9" fillId="4" borderId="11" xfId="1" applyFont="1" applyFill="1" applyBorder="1" applyAlignment="1">
      <alignment horizontal="center" vertical="center" wrapText="1"/>
    </xf>
    <xf numFmtId="164" fontId="5" fillId="0" borderId="11" xfId="6" applyNumberFormat="1" applyFont="1" applyBorder="1" applyAlignment="1">
      <alignment horizontal="center"/>
    </xf>
    <xf numFmtId="9" fontId="10" fillId="0" borderId="11" xfId="6" applyFont="1" applyBorder="1" applyAlignment="1">
      <alignment horizontal="center"/>
    </xf>
    <xf numFmtId="0" fontId="1" fillId="4" borderId="18" xfId="0" applyFont="1" applyFill="1" applyBorder="1" applyAlignment="1">
      <alignment horizontal="center" vertical="center" wrapText="1"/>
    </xf>
    <xf numFmtId="3" fontId="0" fillId="2" borderId="19" xfId="0" applyNumberFormat="1" applyFill="1" applyBorder="1"/>
    <xf numFmtId="0" fontId="3" fillId="2" borderId="0" xfId="0" applyFont="1" applyFill="1" applyAlignment="1">
      <alignment horizontal="right"/>
    </xf>
    <xf numFmtId="10" fontId="8" fillId="2" borderId="0" xfId="0" applyNumberFormat="1" applyFont="1" applyFill="1" applyAlignment="1">
      <alignment horizontal="right"/>
    </xf>
    <xf numFmtId="10" fontId="14" fillId="2" borderId="0" xfId="0" applyNumberFormat="1" applyFont="1" applyFill="1" applyAlignment="1">
      <alignment horizontal="right"/>
    </xf>
    <xf numFmtId="10" fontId="5" fillId="0" borderId="10" xfId="4" applyNumberFormat="1" applyFont="1" applyBorder="1" applyAlignment="1">
      <alignment horizontal="center"/>
    </xf>
    <xf numFmtId="0" fontId="9" fillId="4" borderId="21" xfId="0" applyFont="1" applyFill="1" applyBorder="1" applyAlignment="1">
      <alignment horizontal="center" wrapText="1"/>
    </xf>
    <xf numFmtId="0" fontId="9" fillId="4" borderId="22" xfId="0" applyFont="1" applyFill="1" applyBorder="1" applyAlignment="1">
      <alignment horizontal="center" wrapText="1"/>
    </xf>
    <xf numFmtId="0" fontId="3" fillId="3" borderId="16" xfId="0" applyFont="1" applyFill="1" applyBorder="1" applyAlignment="1">
      <alignment horizontal="center" vertical="top" wrapText="1"/>
    </xf>
    <xf numFmtId="0" fontId="3" fillId="3" borderId="11" xfId="0" applyFont="1" applyFill="1" applyBorder="1" applyAlignment="1">
      <alignment horizontal="center" vertical="top" wrapText="1"/>
    </xf>
    <xf numFmtId="0" fontId="3" fillId="3" borderId="17" xfId="0" applyFont="1" applyFill="1" applyBorder="1" applyAlignment="1">
      <alignment horizontal="center" vertical="top" wrapText="1" readingOrder="2"/>
    </xf>
    <xf numFmtId="0" fontId="3" fillId="3" borderId="12" xfId="0" applyFont="1" applyFill="1" applyBorder="1" applyAlignment="1">
      <alignment horizontal="center" vertical="top" wrapText="1" readingOrder="2"/>
    </xf>
    <xf numFmtId="0" fontId="0" fillId="2" borderId="20" xfId="0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0" fontId="0" fillId="2" borderId="4" xfId="0" applyFill="1" applyBorder="1" applyAlignment="1">
      <alignment horizontal="right"/>
    </xf>
    <xf numFmtId="14" fontId="1" fillId="4" borderId="22" xfId="0" applyNumberFormat="1" applyFont="1" applyFill="1" applyBorder="1" applyAlignment="1">
      <alignment horizontal="center" vertical="center" wrapText="1"/>
    </xf>
    <xf numFmtId="0" fontId="1" fillId="4" borderId="23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/>
    </xf>
    <xf numFmtId="3" fontId="0" fillId="2" borderId="26" xfId="0" applyNumberFormat="1" applyFill="1" applyBorder="1"/>
    <xf numFmtId="0" fontId="0" fillId="2" borderId="27" xfId="0" applyFill="1" applyBorder="1" applyAlignment="1">
      <alignment horizontal="right"/>
    </xf>
    <xf numFmtId="0" fontId="0" fillId="2" borderId="28" xfId="0" applyFill="1" applyBorder="1" applyAlignment="1">
      <alignment horizontal="right"/>
    </xf>
    <xf numFmtId="0" fontId="0" fillId="2" borderId="26" xfId="0" applyFill="1" applyBorder="1" applyAlignment="1">
      <alignment horizontal="right"/>
    </xf>
    <xf numFmtId="0" fontId="1" fillId="4" borderId="25" xfId="0" applyFont="1" applyFill="1" applyBorder="1" applyAlignment="1">
      <alignment horizontal="center" vertical="center" wrapText="1"/>
    </xf>
    <xf numFmtId="0" fontId="1" fillId="4" borderId="29" xfId="0" applyFont="1" applyFill="1" applyBorder="1" applyAlignment="1">
      <alignment horizontal="center"/>
    </xf>
  </cellXfs>
  <cellStyles count="7">
    <cellStyle name="Normal" xfId="0" builtinId="0"/>
    <cellStyle name="Normal 2 2" xfId="1" xr:uid="{00000000-0005-0000-0000-000001000000}"/>
    <cellStyle name="Normal 3" xfId="2" xr:uid="{00000000-0005-0000-0000-000002000000}"/>
    <cellStyle name="Normal 6" xfId="3" xr:uid="{00000000-0005-0000-0000-000003000000}"/>
    <cellStyle name="Percent" xfId="4" builtinId="5"/>
    <cellStyle name="Percent 2" xfId="5" xr:uid="{00000000-0005-0000-0000-000005000000}"/>
    <cellStyle name="Percent 4" xfId="6" xr:uid="{00000000-0005-0000-0000-000006000000}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9"/>
        <name val="Arial"/>
        <family val="2"/>
        <scheme val="none"/>
      </font>
      <fill>
        <patternFill patternType="solid">
          <fgColor indexed="64"/>
          <bgColor indexed="48"/>
        </patternFill>
      </fill>
      <alignment horizontal="center" vertical="center" textRotation="0" wrapText="1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9"/>
        <name val="Arial"/>
        <family val="2"/>
        <scheme val="none"/>
      </font>
      <fill>
        <patternFill patternType="solid">
          <fgColor indexed="64"/>
          <bgColor indexed="4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medium">
          <color indexed="64"/>
        </top>
        <bottom style="medium">
          <color indexed="64"/>
        </bottom>
      </border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834866-836F-4C8D-95E1-F71C2441B835}" name="טבלה1" displayName="טבלה1" ref="A4:G17" totalsRowShown="0" headerRowDxfId="2" tableBorderDxfId="3">
  <autoFilter ref="A4:G17" xr:uid="{41834866-836F-4C8D-95E1-F71C2441B83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FBA65D8A-A940-4FF1-826F-A0FBCA6EEC6B}" name="08/12/2025"/>
    <tableColumn id="2" xr3:uid="{C15E1E95-CB81-413C-AFAE-AEFA2680C662}" name="עתודות הותיקה"/>
    <tableColumn id="3" xr3:uid="{12804854-E48F-4735-A0C2-81D9D5919939}" name="עמודה1"/>
    <tableColumn id="4" xr3:uid="{5710E194-FDF7-4689-8059-9100BD088AAD}" name="עמודה2"/>
    <tableColumn id="5" xr3:uid="{9BCFC0C8-2503-4C76-BF26-9E268AB8D6D2}" name="עמודה3"/>
    <tableColumn id="6" xr3:uid="{398D10D5-DBAD-482E-91CD-5E008C4E8928}" name="עמודה4"/>
    <tableColumn id="7" xr3:uid="{ECD070FF-2420-4176-B712-22D40F5437C4}" name="מדד יחוס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DD538E-B015-43A6-BC2F-26502A8F9C91}" name="טבלה2" displayName="טבלה2" ref="A25:G37" totalsRowShown="0" headerRowDxfId="0" tableBorderDxfId="1">
  <autoFilter ref="A25:G37" xr:uid="{F5DD538E-B015-43A6-BC2F-26502A8F9C9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FC921E48-790A-46F6-A654-D4B0CAFAB1EB}" name="08/12/2025"/>
    <tableColumn id="2" xr3:uid="{DCED158F-AAF1-4DE6-8B48-468E1130CDB6}" name="עתודות הותיקה רבעון"/>
    <tableColumn id="3" xr3:uid="{CFE0FD7D-EE23-46DE-A009-D22C29300A82}" name="עמודה1"/>
    <tableColumn id="4" xr3:uid="{10291339-637A-4474-B483-B9B735D06629}" name="עמודה2"/>
    <tableColumn id="5" xr3:uid="{B21BC5A7-698C-455D-9059-A36EE89889DD}" name="עמודה3"/>
    <tableColumn id="6" xr3:uid="{44A8B256-5EC8-4BCD-A6C0-7B9B9273E689}" name="עמודה4"/>
    <tableColumn id="7" xr3:uid="{314A6939-A535-4BA2-90C1-FDAAADF81BD7}" name="מדד יחוס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rightToLeft="1" tabSelected="1" view="pageBreakPreview" zoomScale="80" zoomScaleNormal="80" zoomScaleSheetLayoutView="80" workbookViewId="0">
      <selection activeCell="A25" sqref="A25:G37"/>
    </sheetView>
  </sheetViews>
  <sheetFormatPr defaultColWidth="9" defaultRowHeight="14.25" x14ac:dyDescent="0.2"/>
  <cols>
    <col min="1" max="1" width="28.375" style="1" customWidth="1"/>
    <col min="2" max="2" width="21.25" style="1" customWidth="1"/>
    <col min="3" max="3" width="14.375" style="1" customWidth="1"/>
    <col min="4" max="4" width="11.375" style="1" customWidth="1"/>
    <col min="5" max="5" width="10.875" style="1" customWidth="1"/>
    <col min="6" max="6" width="12" style="1" customWidth="1"/>
    <col min="7" max="7" width="65.125" style="1" bestFit="1" customWidth="1"/>
    <col min="8" max="10" width="9" style="1"/>
    <col min="11" max="11" width="10.625" style="1" bestFit="1" customWidth="1"/>
    <col min="12" max="12" width="14" style="1" customWidth="1"/>
    <col min="13" max="14" width="9" style="1"/>
    <col min="15" max="15" width="7.375" style="1" customWidth="1"/>
    <col min="16" max="16384" width="9" style="1"/>
  </cols>
  <sheetData>
    <row r="1" spans="1:7" ht="15.75" x14ac:dyDescent="0.25">
      <c r="B1" s="5" t="s">
        <v>27</v>
      </c>
    </row>
    <row r="2" spans="1:7" ht="15.75" x14ac:dyDescent="0.25">
      <c r="E2" s="5" t="s">
        <v>13</v>
      </c>
    </row>
    <row r="3" spans="1:7" ht="15.75" x14ac:dyDescent="0.25">
      <c r="D3" s="5"/>
    </row>
    <row r="4" spans="1:7" ht="15.75" customHeight="1" thickBot="1" x14ac:dyDescent="0.3">
      <c r="A4" s="55" t="s">
        <v>30</v>
      </c>
      <c r="B4" s="56" t="s">
        <v>0</v>
      </c>
      <c r="C4" s="57" t="s">
        <v>38</v>
      </c>
      <c r="D4" s="57" t="s">
        <v>39</v>
      </c>
      <c r="E4" s="57" t="s">
        <v>40</v>
      </c>
      <c r="F4" s="57" t="s">
        <v>41</v>
      </c>
      <c r="G4" s="58" t="s">
        <v>1</v>
      </c>
    </row>
    <row r="5" spans="1:7" ht="25.5" x14ac:dyDescent="0.25">
      <c r="A5" s="46" t="s">
        <v>14</v>
      </c>
      <c r="B5" s="11" t="s">
        <v>2</v>
      </c>
      <c r="C5" s="12" t="s">
        <v>16</v>
      </c>
      <c r="D5" s="12" t="s">
        <v>3</v>
      </c>
      <c r="E5" s="48" t="s">
        <v>4</v>
      </c>
      <c r="F5" s="48" t="s">
        <v>5</v>
      </c>
      <c r="G5" s="50" t="s">
        <v>17</v>
      </c>
    </row>
    <row r="6" spans="1:7" ht="15.75" x14ac:dyDescent="0.25">
      <c r="A6" s="47"/>
      <c r="B6" s="13" t="s">
        <v>30</v>
      </c>
      <c r="C6" s="2" t="s">
        <v>28</v>
      </c>
      <c r="D6" s="2" t="s">
        <v>6</v>
      </c>
      <c r="E6" s="49"/>
      <c r="F6" s="49"/>
      <c r="G6" s="51"/>
    </row>
    <row r="7" spans="1:7" ht="15.75" x14ac:dyDescent="0.2">
      <c r="A7" s="14" t="s">
        <v>7</v>
      </c>
      <c r="B7" s="15">
        <v>0.13424739720840351</v>
      </c>
      <c r="C7" s="16">
        <v>0.12</v>
      </c>
      <c r="D7" s="16">
        <v>0.06</v>
      </c>
      <c r="E7" s="16">
        <v>0.06</v>
      </c>
      <c r="F7" s="16">
        <v>0.18</v>
      </c>
      <c r="G7" s="17" t="s">
        <v>31</v>
      </c>
    </row>
    <row r="8" spans="1:7" ht="15.75" x14ac:dyDescent="0.2">
      <c r="A8" s="18" t="s">
        <v>15</v>
      </c>
      <c r="B8" s="45">
        <v>0.18928093756534234</v>
      </c>
      <c r="C8" s="16">
        <v>0.19</v>
      </c>
      <c r="D8" s="16">
        <v>0.05</v>
      </c>
      <c r="E8" s="16">
        <v>0.14000000000000001</v>
      </c>
      <c r="F8" s="16">
        <v>0.24</v>
      </c>
      <c r="G8" s="17" t="s">
        <v>32</v>
      </c>
    </row>
    <row r="9" spans="1:7" ht="15.75" x14ac:dyDescent="0.2">
      <c r="A9" s="14" t="s">
        <v>26</v>
      </c>
      <c r="B9" s="15">
        <v>0.33714787613759972</v>
      </c>
      <c r="C9" s="16">
        <v>0.33</v>
      </c>
      <c r="D9" s="16">
        <v>0.05</v>
      </c>
      <c r="E9" s="16">
        <v>0.28000000000000003</v>
      </c>
      <c r="F9" s="16">
        <v>0.38</v>
      </c>
      <c r="G9" s="17" t="s">
        <v>33</v>
      </c>
    </row>
    <row r="10" spans="1:7" ht="15.75" x14ac:dyDescent="0.2">
      <c r="A10" s="14" t="s">
        <v>18</v>
      </c>
      <c r="B10" s="15">
        <v>0.21524243133589349</v>
      </c>
      <c r="C10" s="16">
        <v>0.22</v>
      </c>
      <c r="D10" s="16">
        <v>0.06</v>
      </c>
      <c r="E10" s="16">
        <v>0.16</v>
      </c>
      <c r="F10" s="16">
        <v>0.28000000000000003</v>
      </c>
      <c r="G10" s="36" t="s">
        <v>34</v>
      </c>
    </row>
    <row r="11" spans="1:7" ht="15.75" x14ac:dyDescent="0.2">
      <c r="A11" s="18" t="s">
        <v>19</v>
      </c>
      <c r="B11" s="35">
        <v>2.4945748435305861E-2</v>
      </c>
      <c r="C11" s="16">
        <v>0.02</v>
      </c>
      <c r="D11" s="16">
        <v>0.05</v>
      </c>
      <c r="E11" s="16">
        <v>0</v>
      </c>
      <c r="F11" s="16">
        <v>7.0000000000000007E-2</v>
      </c>
      <c r="G11" s="17" t="s">
        <v>35</v>
      </c>
    </row>
    <row r="12" spans="1:7" ht="15.75" x14ac:dyDescent="0.2">
      <c r="A12" s="37" t="s">
        <v>24</v>
      </c>
      <c r="B12" s="38">
        <v>9.4216822984653031E-2</v>
      </c>
      <c r="C12" s="39">
        <v>0.12</v>
      </c>
      <c r="D12" s="39">
        <v>0.05</v>
      </c>
      <c r="E12" s="39">
        <v>7.0000000000000007E-2</v>
      </c>
      <c r="F12" s="39">
        <v>0.17</v>
      </c>
      <c r="G12" s="39" t="s">
        <v>33</v>
      </c>
    </row>
    <row r="13" spans="1:7" ht="15.75" x14ac:dyDescent="0.2">
      <c r="A13" s="14" t="s">
        <v>8</v>
      </c>
      <c r="B13" s="15">
        <v>6.2407279242623478E-3</v>
      </c>
      <c r="C13" s="16">
        <v>0</v>
      </c>
      <c r="D13" s="16">
        <v>0.05</v>
      </c>
      <c r="E13" s="16">
        <v>0</v>
      </c>
      <c r="F13" s="16">
        <v>0.05</v>
      </c>
      <c r="G13" s="17" t="s">
        <v>33</v>
      </c>
    </row>
    <row r="14" spans="1:7" ht="16.5" thickBot="1" x14ac:dyDescent="0.25">
      <c r="A14" s="19" t="s">
        <v>9</v>
      </c>
      <c r="B14" s="20">
        <v>1.0013219415914603</v>
      </c>
      <c r="C14" s="3">
        <v>1</v>
      </c>
      <c r="D14" s="4"/>
      <c r="E14" s="4"/>
      <c r="F14" s="4"/>
      <c r="G14" s="10"/>
    </row>
    <row r="15" spans="1:7" ht="15.75" thickBot="1" x14ac:dyDescent="0.25">
      <c r="A15" s="21"/>
      <c r="B15" s="22"/>
      <c r="C15" s="22"/>
      <c r="D15" s="22"/>
      <c r="E15" s="22"/>
      <c r="F15" s="22"/>
    </row>
    <row r="16" spans="1:7" ht="15.75" x14ac:dyDescent="0.2">
      <c r="A16" s="23" t="s">
        <v>10</v>
      </c>
      <c r="B16" s="24">
        <v>9.6866908847418665E-2</v>
      </c>
      <c r="C16" s="25">
        <v>0.08</v>
      </c>
      <c r="D16" s="25">
        <v>0.06</v>
      </c>
      <c r="E16" s="25">
        <v>0.02</v>
      </c>
      <c r="F16" s="25">
        <v>0.14000000000000001</v>
      </c>
      <c r="G16" s="26"/>
    </row>
    <row r="17" spans="1:7" x14ac:dyDescent="0.2">
      <c r="A17" s="59" t="s">
        <v>11</v>
      </c>
      <c r="B17" s="60" t="s">
        <v>36</v>
      </c>
      <c r="C17" s="61" t="s">
        <v>37</v>
      </c>
      <c r="D17" s="61" t="s">
        <v>37</v>
      </c>
      <c r="E17" s="61" t="s">
        <v>37</v>
      </c>
      <c r="F17" s="61" t="s">
        <v>33</v>
      </c>
      <c r="G17" s="62" t="s">
        <v>33</v>
      </c>
    </row>
    <row r="18" spans="1:7" x14ac:dyDescent="0.2">
      <c r="A18" s="42" t="s">
        <v>29</v>
      </c>
      <c r="B18" s="43">
        <v>2E-3</v>
      </c>
      <c r="D18" s="6"/>
      <c r="E18" s="6"/>
      <c r="F18" s="6"/>
      <c r="G18" s="6"/>
    </row>
    <row r="19" spans="1:7" x14ac:dyDescent="0.2">
      <c r="A19" s="28" t="s">
        <v>25</v>
      </c>
      <c r="B19" s="6"/>
      <c r="C19" s="6"/>
      <c r="D19" s="6"/>
      <c r="E19" s="6"/>
      <c r="F19" s="6"/>
      <c r="G19" s="6"/>
    </row>
    <row r="20" spans="1:7" x14ac:dyDescent="0.2">
      <c r="A20" s="27" t="s">
        <v>20</v>
      </c>
      <c r="B20" s="6"/>
      <c r="C20" s="6"/>
      <c r="D20" s="6"/>
      <c r="E20" s="6"/>
      <c r="F20" s="6"/>
      <c r="G20" s="6"/>
    </row>
    <row r="21" spans="1:7" x14ac:dyDescent="0.2">
      <c r="A21" s="28" t="s">
        <v>22</v>
      </c>
      <c r="B21" s="6"/>
      <c r="C21" s="6"/>
      <c r="D21" s="6"/>
      <c r="E21" s="6"/>
      <c r="F21" s="6"/>
      <c r="G21" s="6"/>
    </row>
    <row r="22" spans="1:7" s="29" customFormat="1" ht="12.75" x14ac:dyDescent="0.2">
      <c r="A22" s="28" t="s">
        <v>23</v>
      </c>
    </row>
    <row r="23" spans="1:7" s="30" customFormat="1" ht="12.75" x14ac:dyDescent="0.2">
      <c r="A23" s="7" t="s">
        <v>21</v>
      </c>
    </row>
    <row r="24" spans="1:7" x14ac:dyDescent="0.2">
      <c r="A24" s="8"/>
    </row>
    <row r="25" spans="1:7" ht="15.75" customHeight="1" thickBot="1" x14ac:dyDescent="0.3">
      <c r="A25" s="55" t="s">
        <v>30</v>
      </c>
      <c r="B25" s="56" t="s">
        <v>12</v>
      </c>
      <c r="C25" s="57" t="s">
        <v>38</v>
      </c>
      <c r="D25" s="57" t="s">
        <v>39</v>
      </c>
      <c r="E25" s="57" t="s">
        <v>40</v>
      </c>
      <c r="F25" s="63" t="s">
        <v>41</v>
      </c>
      <c r="G25" s="64" t="s">
        <v>1</v>
      </c>
    </row>
    <row r="26" spans="1:7" ht="25.5" x14ac:dyDescent="0.25">
      <c r="A26" s="46" t="s">
        <v>14</v>
      </c>
      <c r="B26" s="11" t="s">
        <v>2</v>
      </c>
      <c r="C26" s="12" t="s">
        <v>16</v>
      </c>
      <c r="D26" s="12" t="s">
        <v>3</v>
      </c>
      <c r="E26" s="48" t="s">
        <v>4</v>
      </c>
      <c r="F26" s="48" t="s">
        <v>5</v>
      </c>
      <c r="G26" s="50" t="s">
        <v>17</v>
      </c>
    </row>
    <row r="27" spans="1:7" ht="12.75" customHeight="1" x14ac:dyDescent="0.25">
      <c r="A27" s="47"/>
      <c r="B27" s="13" t="s">
        <v>30</v>
      </c>
      <c r="C27" s="2" t="s">
        <v>28</v>
      </c>
      <c r="D27" s="2" t="s">
        <v>6</v>
      </c>
      <c r="E27" s="49"/>
      <c r="F27" s="49"/>
      <c r="G27" s="51"/>
    </row>
    <row r="28" spans="1:7" ht="15.75" x14ac:dyDescent="0.2">
      <c r="A28" s="31" t="s">
        <v>7</v>
      </c>
      <c r="B28" s="15">
        <v>0.13288975413506621</v>
      </c>
      <c r="C28" s="16">
        <v>0.12</v>
      </c>
      <c r="D28" s="16">
        <v>0.06</v>
      </c>
      <c r="E28" s="16">
        <v>0.06</v>
      </c>
      <c r="F28" s="16">
        <v>0.18</v>
      </c>
      <c r="G28" s="17" t="s">
        <v>31</v>
      </c>
    </row>
    <row r="29" spans="1:7" ht="15.75" x14ac:dyDescent="0.2">
      <c r="A29" s="32" t="s">
        <v>15</v>
      </c>
      <c r="B29" s="15">
        <v>0.1916694468128467</v>
      </c>
      <c r="C29" s="16">
        <v>0.19</v>
      </c>
      <c r="D29" s="16">
        <v>0.05</v>
      </c>
      <c r="E29" s="16">
        <v>0.14000000000000001</v>
      </c>
      <c r="F29" s="16">
        <v>0.24</v>
      </c>
      <c r="G29" s="17" t="s">
        <v>32</v>
      </c>
    </row>
    <row r="30" spans="1:7" ht="15.75" x14ac:dyDescent="0.2">
      <c r="A30" s="31" t="s">
        <v>26</v>
      </c>
      <c r="B30" s="15">
        <v>0.32636029718955989</v>
      </c>
      <c r="C30" s="16">
        <v>0.33</v>
      </c>
      <c r="D30" s="16">
        <v>0.05</v>
      </c>
      <c r="E30" s="16">
        <v>0.28000000000000003</v>
      </c>
      <c r="F30" s="16">
        <v>0.38</v>
      </c>
      <c r="G30" s="17" t="s">
        <v>33</v>
      </c>
    </row>
    <row r="31" spans="1:7" ht="15.75" x14ac:dyDescent="0.2">
      <c r="A31" s="32" t="s">
        <v>18</v>
      </c>
      <c r="B31" s="15">
        <v>0.22794737400304912</v>
      </c>
      <c r="C31" s="16">
        <v>0.22</v>
      </c>
      <c r="D31" s="16">
        <v>0.06</v>
      </c>
      <c r="E31" s="16">
        <v>0.16</v>
      </c>
      <c r="F31" s="16">
        <v>0.28000000000000003</v>
      </c>
      <c r="G31" s="36" t="s">
        <v>34</v>
      </c>
    </row>
    <row r="32" spans="1:7" ht="15.75" x14ac:dyDescent="0.2">
      <c r="A32" s="32" t="s">
        <v>19</v>
      </c>
      <c r="B32" s="35">
        <v>2.3911427090928101E-2</v>
      </c>
      <c r="C32" s="16">
        <v>0.02</v>
      </c>
      <c r="D32" s="16">
        <v>0.05</v>
      </c>
      <c r="E32" s="16">
        <v>0</v>
      </c>
      <c r="F32" s="16">
        <v>7.0000000000000007E-2</v>
      </c>
      <c r="G32" s="17" t="s">
        <v>35</v>
      </c>
    </row>
    <row r="33" spans="1:7" ht="15.75" x14ac:dyDescent="0.2">
      <c r="A33" s="37" t="s">
        <v>24</v>
      </c>
      <c r="B33" s="38">
        <v>9.226786111393348E-2</v>
      </c>
      <c r="C33" s="39">
        <v>0.12</v>
      </c>
      <c r="D33" s="39">
        <v>0.05</v>
      </c>
      <c r="E33" s="39">
        <v>7.0000000000000007E-2</v>
      </c>
      <c r="F33" s="39">
        <v>0.17</v>
      </c>
      <c r="G33" s="39" t="s">
        <v>33</v>
      </c>
    </row>
    <row r="34" spans="1:7" ht="15.75" x14ac:dyDescent="0.2">
      <c r="A34" s="32" t="s">
        <v>8</v>
      </c>
      <c r="B34" s="33">
        <v>6.2913747505335812E-3</v>
      </c>
      <c r="C34" s="16">
        <v>0</v>
      </c>
      <c r="D34" s="16">
        <v>0.05</v>
      </c>
      <c r="E34" s="16">
        <v>0</v>
      </c>
      <c r="F34" s="16">
        <v>0.05</v>
      </c>
      <c r="G34" s="17" t="s">
        <v>33</v>
      </c>
    </row>
    <row r="35" spans="1:7" ht="16.5" thickBot="1" x14ac:dyDescent="0.25">
      <c r="A35" s="9" t="s">
        <v>9</v>
      </c>
      <c r="B35" s="3">
        <v>1.0013375350959171</v>
      </c>
      <c r="C35" s="3">
        <v>1</v>
      </c>
      <c r="D35" s="34"/>
      <c r="E35" s="34"/>
      <c r="F35" s="34"/>
      <c r="G35" s="10"/>
    </row>
    <row r="36" spans="1:7" ht="15.75" thickBot="1" x14ac:dyDescent="0.25">
      <c r="A36" s="21"/>
      <c r="B36" s="22"/>
    </row>
    <row r="37" spans="1:7" ht="15.75" x14ac:dyDescent="0.2">
      <c r="A37" s="40" t="s">
        <v>10</v>
      </c>
      <c r="B37" s="24">
        <v>9.6724208223575553E-2</v>
      </c>
      <c r="C37" s="25">
        <v>0.08</v>
      </c>
      <c r="D37" s="25">
        <v>0.06</v>
      </c>
      <c r="E37" s="25">
        <v>0.02</v>
      </c>
      <c r="F37" s="25">
        <v>0.14000000000000001</v>
      </c>
      <c r="G37" s="26"/>
    </row>
    <row r="38" spans="1:7" ht="15" thickBot="1" x14ac:dyDescent="0.25">
      <c r="A38" s="41" t="s">
        <v>11</v>
      </c>
      <c r="B38" s="52" t="s">
        <v>36</v>
      </c>
      <c r="C38" s="53" t="s">
        <v>37</v>
      </c>
      <c r="D38" s="53" t="s">
        <v>37</v>
      </c>
      <c r="E38" s="53" t="s">
        <v>37</v>
      </c>
      <c r="F38" s="53" t="s">
        <v>33</v>
      </c>
      <c r="G38" s="54" t="s">
        <v>33</v>
      </c>
    </row>
    <row r="39" spans="1:7" x14ac:dyDescent="0.2">
      <c r="A39" s="42" t="s">
        <v>29</v>
      </c>
      <c r="B39" s="44">
        <v>2E-3</v>
      </c>
      <c r="D39" s="6"/>
      <c r="E39" s="6"/>
      <c r="F39" s="6"/>
      <c r="G39" s="6"/>
    </row>
    <row r="40" spans="1:7" x14ac:dyDescent="0.2">
      <c r="A40" s="28" t="s">
        <v>25</v>
      </c>
      <c r="B40" s="6"/>
      <c r="C40" s="6"/>
      <c r="D40" s="6"/>
      <c r="E40" s="6"/>
      <c r="F40" s="6"/>
      <c r="G40" s="6"/>
    </row>
    <row r="41" spans="1:7" x14ac:dyDescent="0.2">
      <c r="A41" s="27" t="s">
        <v>20</v>
      </c>
      <c r="B41" s="6"/>
      <c r="C41" s="6"/>
      <c r="D41" s="6"/>
      <c r="E41" s="6"/>
      <c r="F41" s="6"/>
      <c r="G41" s="6"/>
    </row>
    <row r="42" spans="1:7" x14ac:dyDescent="0.2">
      <c r="A42" s="28" t="s">
        <v>22</v>
      </c>
      <c r="B42" s="6"/>
      <c r="C42" s="6"/>
      <c r="D42" s="6"/>
      <c r="E42" s="6"/>
      <c r="F42" s="6"/>
      <c r="G42" s="6"/>
    </row>
    <row r="43" spans="1:7" x14ac:dyDescent="0.2">
      <c r="A43" s="28" t="s">
        <v>23</v>
      </c>
      <c r="B43" s="6"/>
      <c r="C43" s="6"/>
      <c r="D43" s="6"/>
      <c r="E43" s="6"/>
      <c r="F43" s="6"/>
      <c r="G43" s="6"/>
    </row>
    <row r="44" spans="1:7" x14ac:dyDescent="0.2">
      <c r="A44" s="7" t="s">
        <v>21</v>
      </c>
      <c r="B44" s="6"/>
      <c r="C44" s="6"/>
      <c r="D44" s="6"/>
      <c r="E44" s="6"/>
      <c r="F44" s="6"/>
      <c r="G44" s="6"/>
    </row>
    <row r="45" spans="1:7" s="29" customFormat="1" ht="12.75" x14ac:dyDescent="0.2">
      <c r="A45" s="7"/>
    </row>
    <row r="46" spans="1:7" s="30" customFormat="1" ht="12.75" x14ac:dyDescent="0.2">
      <c r="A46" s="8"/>
    </row>
  </sheetData>
  <mergeCells count="1">
    <mergeCell ref="B38:G38"/>
  </mergeCells>
  <conditionalFormatting sqref="B7:B11">
    <cfRule type="cellIs" dxfId="27" priority="13" stopIfTrue="1" operator="greaterThan">
      <formula>F7</formula>
    </cfRule>
    <cfRule type="cellIs" dxfId="26" priority="14" stopIfTrue="1" operator="lessThan">
      <formula>E7</formula>
    </cfRule>
    <cfRule type="expression" dxfId="25" priority="15" stopIfTrue="1">
      <formula>IF(B7&lt;&gt;0,OR(F7-B7&lt;0.5%,B7-E7&lt;0.5%),0)</formula>
    </cfRule>
  </conditionalFormatting>
  <conditionalFormatting sqref="B12">
    <cfRule type="cellIs" dxfId="24" priority="4" stopIfTrue="1" operator="greaterThan">
      <formula>F12</formula>
    </cfRule>
    <cfRule type="cellIs" dxfId="23" priority="5" stopIfTrue="1" operator="lessThan">
      <formula>E12</formula>
    </cfRule>
    <cfRule type="expression" dxfId="22" priority="6" stopIfTrue="1">
      <formula>IF(B12&lt;&gt;0,OR(F12-B12&lt;0.5%,B12-E12&lt;0.5%),0)</formula>
    </cfRule>
  </conditionalFormatting>
  <conditionalFormatting sqref="B13">
    <cfRule type="cellIs" dxfId="21" priority="157" stopIfTrue="1" operator="greaterThan">
      <formula>F13</formula>
    </cfRule>
    <cfRule type="cellIs" dxfId="20" priority="158" stopIfTrue="1" operator="lessThan">
      <formula>E13</formula>
    </cfRule>
    <cfRule type="expression" dxfId="19" priority="159" stopIfTrue="1">
      <formula>IF(B13&lt;&gt;0,OR(F13-B13&lt;0.5%,B13-E13&lt;0.5%),0)</formula>
    </cfRule>
  </conditionalFormatting>
  <conditionalFormatting sqref="B16">
    <cfRule type="cellIs" dxfId="18" priority="154" stopIfTrue="1" operator="greaterThan">
      <formula>F16</formula>
    </cfRule>
    <cfRule type="cellIs" dxfId="17" priority="155" stopIfTrue="1" operator="lessThan">
      <formula>E16</formula>
    </cfRule>
    <cfRule type="expression" dxfId="16" priority="156" stopIfTrue="1">
      <formula>IF(B16&lt;&gt;0,OR(F16-B16&lt;0.5%,B16-E16&lt;0.5%),0)</formula>
    </cfRule>
  </conditionalFormatting>
  <conditionalFormatting sqref="B28:B32">
    <cfRule type="cellIs" dxfId="15" priority="7" stopIfTrue="1" operator="greaterThan">
      <formula>F28</formula>
    </cfRule>
    <cfRule type="cellIs" dxfId="14" priority="8" stopIfTrue="1" operator="lessThan">
      <formula>E28</formula>
    </cfRule>
    <cfRule type="expression" dxfId="13" priority="9" stopIfTrue="1">
      <formula>IF(B28&lt;&gt;0,OR(F28-B28&lt;0.5%,B28-E28&lt;0.5%),0)</formula>
    </cfRule>
  </conditionalFormatting>
  <conditionalFormatting sqref="B33">
    <cfRule type="cellIs" dxfId="12" priority="1" stopIfTrue="1" operator="greaterThan">
      <formula>F33</formula>
    </cfRule>
    <cfRule type="cellIs" dxfId="11" priority="2" stopIfTrue="1" operator="lessThan">
      <formula>E33</formula>
    </cfRule>
    <cfRule type="expression" dxfId="10" priority="3" stopIfTrue="1">
      <formula>IF(B33&lt;&gt;0,OR(F33-B33&lt;0.5%,B33-E33&lt;0.5%),0)</formula>
    </cfRule>
  </conditionalFormatting>
  <conditionalFormatting sqref="B34">
    <cfRule type="cellIs" dxfId="9" priority="148" stopIfTrue="1" operator="greaterThan">
      <formula>F34</formula>
    </cfRule>
    <cfRule type="cellIs" dxfId="8" priority="149" stopIfTrue="1" operator="lessThan">
      <formula>E34</formula>
    </cfRule>
    <cfRule type="expression" dxfId="7" priority="150" stopIfTrue="1">
      <formula>IF(B34&lt;&gt;0,OR(F34-B34&lt;0.5%,B34-E34&lt;0.5%),0)</formula>
    </cfRule>
  </conditionalFormatting>
  <conditionalFormatting sqref="B37">
    <cfRule type="cellIs" dxfId="6" priority="145" stopIfTrue="1" operator="greaterThan">
      <formula>F37</formula>
    </cfRule>
    <cfRule type="cellIs" dxfId="5" priority="146" stopIfTrue="1" operator="lessThan">
      <formula>E37</formula>
    </cfRule>
    <cfRule type="expression" dxfId="4" priority="147" stopIfTrue="1">
      <formula>IF(B37&lt;&gt;0,OR(F37-B37&lt;0.5%,B37-E37&lt;0.5%),0)</formula>
    </cfRule>
  </conditionalFormatting>
  <pageMargins left="0.70866141732283472" right="0.70866141732283472" top="0.74803149606299213" bottom="0.74803149606299213" header="0.31496062992125984" footer="0.31496062992125984"/>
  <pageSetup paperSize="9" scale="68" orientation="landscape" horizontalDpi="4294967295" verticalDpi="4294967295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גיליון2</vt:lpstr>
      <vt:lpstr>גיליון2!WPrint_Area_W</vt:lpstr>
    </vt:vector>
  </TitlesOfParts>
  <Company>clal-ins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אלה מלכה קפלן</dc:creator>
  <cp:lastModifiedBy>Naomi Shamai</cp:lastModifiedBy>
  <cp:lastPrinted>2018-01-25T05:41:46Z</cp:lastPrinted>
  <dcterms:created xsi:type="dcterms:W3CDTF">2015-01-07T11:59:50Z</dcterms:created>
  <dcterms:modified xsi:type="dcterms:W3CDTF">2026-01-04T09:15:28Z</dcterms:modified>
</cp:coreProperties>
</file>